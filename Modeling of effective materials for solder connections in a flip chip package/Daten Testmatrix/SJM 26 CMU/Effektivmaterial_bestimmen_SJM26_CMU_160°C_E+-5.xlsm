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1"/>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bestimmen'!$E$126:$H$126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A18" i="43" l="1"/>
  <c r="M3" i="8"/>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H403" i="43"/>
  <c r="C403" i="43"/>
  <c r="B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B405" i="43" l="1"/>
  <c r="B424" i="43"/>
  <c r="B425" i="43"/>
  <c r="B413" i="43"/>
  <c r="B414" i="43"/>
  <c r="B408" i="43"/>
  <c r="B415" i="43"/>
  <c r="B417" i="43"/>
  <c r="B409" i="43"/>
  <c r="B406" i="43"/>
  <c r="B429" i="43"/>
  <c r="B411" i="43"/>
  <c r="B416" i="43"/>
  <c r="B432" i="43"/>
  <c r="B404" i="43"/>
  <c r="B428" i="43"/>
  <c r="B410" i="43"/>
  <c r="B407" i="43"/>
  <c r="B431" i="43"/>
  <c r="B427" i="43"/>
  <c r="B420" i="43"/>
  <c r="B434" i="43"/>
  <c r="B430" i="43"/>
  <c r="B423" i="43"/>
  <c r="B418" i="43"/>
  <c r="B419" i="43"/>
  <c r="B433" i="43"/>
  <c r="B426" i="43"/>
  <c r="B421" i="43"/>
  <c r="B422" i="43"/>
  <c r="B412" i="43"/>
  <c r="D406" i="43"/>
  <c r="D417" i="43"/>
  <c r="D419" i="43"/>
  <c r="D426" i="43"/>
  <c r="D430" i="43"/>
  <c r="D423" i="43"/>
  <c r="D428" i="43"/>
  <c r="D404" i="43"/>
  <c r="D425" i="43"/>
  <c r="D429" i="43"/>
  <c r="D432" i="43"/>
  <c r="D433" i="43"/>
  <c r="D411" i="43"/>
  <c r="D416" i="43"/>
  <c r="D415" i="43"/>
  <c r="D409" i="43"/>
  <c r="D421" i="43"/>
  <c r="D434" i="43"/>
  <c r="D407" i="43"/>
  <c r="D414" i="43"/>
  <c r="D418" i="43"/>
  <c r="D427" i="43"/>
  <c r="D408" i="43"/>
  <c r="D424" i="43"/>
  <c r="D410" i="43"/>
  <c r="D412" i="43"/>
  <c r="D420" i="43"/>
  <c r="D422" i="43"/>
  <c r="D431" i="43"/>
  <c r="D405" i="43"/>
  <c r="D413" i="43"/>
  <c r="C406" i="43"/>
  <c r="C423" i="43"/>
  <c r="C428" i="43"/>
  <c r="C404" i="43"/>
  <c r="C434" i="43"/>
  <c r="C419" i="43"/>
  <c r="C426" i="43"/>
  <c r="C409" i="43"/>
  <c r="C421" i="43"/>
  <c r="C430" i="43"/>
  <c r="C407" i="43"/>
  <c r="C414" i="43"/>
  <c r="C418" i="43"/>
  <c r="C425" i="43"/>
  <c r="C427" i="43"/>
  <c r="C429" i="43"/>
  <c r="C432" i="43"/>
  <c r="C412" i="43"/>
  <c r="C422" i="43"/>
  <c r="C431" i="43"/>
  <c r="C417" i="43"/>
  <c r="C410" i="43"/>
  <c r="C420" i="43"/>
  <c r="C405" i="43"/>
  <c r="C408" i="43"/>
  <c r="C415" i="43"/>
  <c r="C424" i="43"/>
  <c r="C433" i="43"/>
  <c r="C413" i="43"/>
  <c r="C411" i="43"/>
  <c r="C416" i="43"/>
  <c r="H434" i="43"/>
  <c r="H418" i="43"/>
  <c r="H415" i="43"/>
  <c r="H410" i="43"/>
  <c r="H424" i="43"/>
  <c r="H405" i="43"/>
  <c r="H433" i="43"/>
  <c r="H426" i="43"/>
  <c r="H408" i="43"/>
  <c r="H417" i="43"/>
  <c r="H414" i="43"/>
  <c r="H430" i="43"/>
  <c r="H423" i="43"/>
  <c r="H416" i="43"/>
  <c r="H404" i="43"/>
  <c r="H413" i="43"/>
  <c r="H427" i="43"/>
  <c r="H409" i="43"/>
  <c r="H422" i="43"/>
  <c r="H421" i="43"/>
  <c r="H428" i="43"/>
  <c r="H420" i="43"/>
  <c r="H432" i="43"/>
  <c r="H412" i="43"/>
  <c r="H425" i="43"/>
  <c r="H407" i="43"/>
  <c r="H419" i="43"/>
  <c r="H431" i="43"/>
  <c r="H411" i="43"/>
  <c r="H429" i="43"/>
  <c r="H406" i="43"/>
  <c r="G410" i="43"/>
  <c r="G413" i="43"/>
  <c r="G431" i="43"/>
  <c r="G416" i="43"/>
  <c r="G434" i="43"/>
  <c r="G428" i="43"/>
  <c r="G429" i="43"/>
  <c r="G411" i="43"/>
  <c r="G427" i="43"/>
  <c r="G409" i="43"/>
  <c r="G421" i="43"/>
  <c r="G404" i="43"/>
  <c r="G430" i="43"/>
  <c r="G422" i="43"/>
  <c r="G426" i="43"/>
  <c r="G408" i="43"/>
  <c r="G424" i="43"/>
  <c r="G406" i="43"/>
  <c r="G419" i="43"/>
  <c r="G423" i="43"/>
  <c r="G405" i="43"/>
  <c r="G420" i="43"/>
  <c r="G418" i="43"/>
  <c r="G432" i="43"/>
  <c r="G412" i="43"/>
  <c r="G407" i="43"/>
  <c r="G417" i="43"/>
  <c r="G433" i="43"/>
  <c r="G415" i="43"/>
  <c r="G425" i="43"/>
  <c r="G414" i="43"/>
  <c r="E405" i="43"/>
  <c r="E408" i="43"/>
  <c r="E413" i="43"/>
  <c r="E415" i="43"/>
  <c r="E424" i="43"/>
  <c r="E433" i="43"/>
  <c r="E430" i="43"/>
  <c r="E434" i="43"/>
  <c r="E410" i="43"/>
  <c r="E406" i="43"/>
  <c r="E417" i="43"/>
  <c r="E419" i="43"/>
  <c r="E426" i="43"/>
  <c r="E422" i="43"/>
  <c r="E411" i="43"/>
  <c r="E416" i="43"/>
  <c r="E423" i="43"/>
  <c r="E404" i="43"/>
  <c r="E431" i="43"/>
  <c r="E418" i="43"/>
  <c r="E425" i="43"/>
  <c r="E427" i="43"/>
  <c r="E429" i="43"/>
  <c r="E420" i="43"/>
  <c r="E421" i="43"/>
  <c r="E409" i="43"/>
  <c r="E432" i="43"/>
  <c r="E412" i="43"/>
  <c r="E407" i="43"/>
  <c r="E428" i="43"/>
  <c r="E414" i="43"/>
  <c r="F415" i="43"/>
  <c r="F410" i="43"/>
  <c r="F420" i="43"/>
  <c r="F431" i="43"/>
  <c r="F424" i="43"/>
  <c r="F404" i="43"/>
  <c r="F419" i="43"/>
  <c r="F430" i="43"/>
  <c r="F416" i="43"/>
  <c r="F423" i="43"/>
  <c r="F434" i="43"/>
  <c r="F427" i="43"/>
  <c r="F421" i="43"/>
  <c r="F425" i="43"/>
  <c r="F426" i="43"/>
  <c r="F412" i="43"/>
  <c r="F409" i="43"/>
  <c r="F417" i="43"/>
  <c r="F414" i="43"/>
  <c r="F422" i="43"/>
  <c r="F411" i="43"/>
  <c r="F405" i="43"/>
  <c r="F432" i="43"/>
  <c r="F418" i="43"/>
  <c r="F428" i="43"/>
  <c r="F429" i="43"/>
  <c r="F406" i="43"/>
  <c r="F408" i="43"/>
  <c r="F407" i="43"/>
  <c r="F433" i="43"/>
  <c r="F41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AO11" i="8"/>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AN13" i="8"/>
  <c r="K414" i="43"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AO16" i="8"/>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AQ4" i="8"/>
  <c r="N405" i="43"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AP5" i="8"/>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AQ7" i="8"/>
  <c r="U14" i="8"/>
  <c r="BE14" i="8" s="1"/>
  <c r="P24" i="8"/>
  <c r="AZ24" i="8" s="1"/>
  <c r="U5" i="8"/>
  <c r="BE5" i="8" s="1"/>
  <c r="R19" i="8"/>
  <c r="S29" i="8"/>
  <c r="BC29" i="8" s="1"/>
  <c r="P9" i="8"/>
  <c r="AZ9" i="8" s="1"/>
  <c r="O29" i="8"/>
  <c r="AY29" i="8" s="1"/>
  <c r="AM29" i="8"/>
  <c r="J430" i="43" s="1"/>
  <c r="Q23" i="8"/>
  <c r="R32" i="8"/>
  <c r="BB32" i="8" s="1"/>
  <c r="Q4" i="8"/>
  <c r="BA4" i="8" s="1"/>
  <c r="AO4" i="8"/>
  <c r="U7" i="8"/>
  <c r="S21" i="8"/>
  <c r="BC21" i="8" s="1"/>
  <c r="P5" i="8"/>
  <c r="S31" i="8"/>
  <c r="BC31" i="8" s="1"/>
  <c r="U18" i="8"/>
  <c r="BE18" i="8" s="1"/>
  <c r="U9" i="8"/>
  <c r="BE9" i="8" s="1"/>
  <c r="Q3" i="8"/>
  <c r="BA3" i="8" s="1"/>
  <c r="T24" i="8"/>
  <c r="T29" i="8"/>
  <c r="BD29" i="8" s="1"/>
  <c r="Q10" i="8"/>
  <c r="R28" i="8"/>
  <c r="BB28" i="8" s="1"/>
  <c r="S8" i="8"/>
  <c r="BC8" i="8" s="1"/>
  <c r="P16" i="8"/>
  <c r="AZ16" i="8" s="1"/>
  <c r="AN16" i="8"/>
  <c r="K417" i="43" s="1"/>
  <c r="P23" i="8"/>
  <c r="AZ23" i="8" s="1"/>
  <c r="R13" i="8"/>
  <c r="BB13" i="8" s="1"/>
  <c r="T20" i="8"/>
  <c r="Q9" i="8"/>
  <c r="BA9" i="8" s="1"/>
  <c r="S30" i="8"/>
  <c r="BC30" i="8" s="1"/>
  <c r="T11" i="8"/>
  <c r="BD11" i="8" s="1"/>
  <c r="AR11" i="8"/>
  <c r="O412" i="43" s="1"/>
  <c r="R14" i="8"/>
  <c r="O31" i="8"/>
  <c r="AY31" i="8" s="1"/>
  <c r="P3" i="8"/>
  <c r="T3" i="8"/>
  <c r="R3" i="8"/>
  <c r="BB3" i="8" s="1"/>
  <c r="AP3" i="8"/>
  <c r="F16" i="43" s="1"/>
  <c r="U15" i="8"/>
  <c r="R15" i="8"/>
  <c r="BB15" i="8" s="1"/>
  <c r="AP15" i="8"/>
  <c r="O3" i="8"/>
  <c r="AY3" i="8" s="1"/>
  <c r="Q33" i="8"/>
  <c r="BA33" i="8" s="1"/>
  <c r="AQ3" i="8" l="1"/>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AM21" i="8"/>
  <c r="AO8" i="8"/>
  <c r="AO7" i="8"/>
  <c r="L408" i="43" s="1"/>
  <c r="AN10" i="8"/>
  <c r="K411" i="43" s="1"/>
  <c r="AS9" i="8"/>
  <c r="P410" i="43" s="1"/>
  <c r="AQ21" i="8"/>
  <c r="AS5" i="8"/>
  <c r="P406" i="43" s="1"/>
  <c r="AR31" i="8"/>
  <c r="O432" i="43" s="1"/>
  <c r="AM8" i="8"/>
  <c r="J409" i="43" s="1"/>
  <c r="AM24" i="8"/>
  <c r="AN11" i="8"/>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F49" i="43"/>
  <c r="F50" i="43" s="1"/>
  <c r="F51" i="43"/>
  <c r="F55" i="43"/>
  <c r="J404" i="43"/>
  <c r="B130" i="43"/>
  <c r="N404" i="43"/>
  <c r="B286" i="43"/>
  <c r="AY30" i="8"/>
  <c r="AM30" i="8"/>
  <c r="BB12" i="8"/>
  <c r="AP12" i="8"/>
  <c r="BE15" i="8"/>
  <c r="AS15" i="8"/>
  <c r="J432" i="43"/>
  <c r="O422" i="43"/>
  <c r="T325" i="43"/>
  <c r="O40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J280" i="43"/>
  <c r="J281" i="43"/>
  <c r="J282" i="43" s="1"/>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12" i="43"/>
  <c r="J169" i="43"/>
  <c r="K432" i="43"/>
  <c r="AD169" i="43"/>
  <c r="BB31" i="8"/>
  <c r="AP31" i="8"/>
  <c r="BE33" i="8"/>
  <c r="AS33" i="8"/>
  <c r="AY26" i="8"/>
  <c r="AM26" i="8"/>
  <c r="O423" i="43"/>
  <c r="U325" i="43"/>
  <c r="C280" i="43"/>
  <c r="M416" i="43"/>
  <c r="R16" i="43"/>
  <c r="N247" i="43"/>
  <c r="BE7" i="8"/>
  <c r="AS7" i="8"/>
  <c r="BB19" i="8"/>
  <c r="AP19" i="8"/>
  <c r="N408" i="43"/>
  <c r="F286" i="43"/>
  <c r="T286" i="43"/>
  <c r="N422"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M405" i="43"/>
  <c r="G16" i="43"/>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O364" i="43"/>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X286" i="43"/>
  <c r="AO5" i="8"/>
  <c r="P286" i="43"/>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F359" i="43"/>
  <c r="AF360" i="43" s="1"/>
  <c r="AY18" i="8"/>
  <c r="AM18" i="8"/>
  <c r="AA358" i="43"/>
  <c r="BC11" i="8"/>
  <c r="BE25" i="8"/>
  <c r="S163" i="43"/>
  <c r="S164" i="43"/>
  <c r="S165" i="43" s="1"/>
  <c r="BD28" i="8"/>
  <c r="BD6" i="8"/>
  <c r="AZ12" i="8"/>
  <c r="BD33" i="8"/>
  <c r="AQ5" i="8"/>
  <c r="AR26" i="8"/>
  <c r="S208" i="43"/>
  <c r="L421" i="43"/>
  <c r="Z364" i="43"/>
  <c r="P428" i="43"/>
  <c r="BE23" i="8"/>
  <c r="T208" i="43" l="1"/>
  <c r="Q208" i="43"/>
  <c r="I202" i="43"/>
  <c r="F208" i="43"/>
  <c r="AB16" i="43"/>
  <c r="AB49" i="43" s="1"/>
  <c r="AB50" i="43" s="1"/>
  <c r="P432" i="43"/>
  <c r="V169" i="43"/>
  <c r="P364" i="43"/>
  <c r="P397" i="43" s="1"/>
  <c r="P16" i="43"/>
  <c r="AD286" i="43"/>
  <c r="V398" i="43"/>
  <c r="V399" i="43" s="1"/>
  <c r="M426" i="43"/>
  <c r="U364" i="43"/>
  <c r="X280" i="43"/>
  <c r="G130" i="43"/>
  <c r="L247" i="43"/>
  <c r="H247" i="43"/>
  <c r="P430" i="43"/>
  <c r="AB397" i="43"/>
  <c r="AB169" i="43"/>
  <c r="B364" i="43"/>
  <c r="Z359" i="43"/>
  <c r="Z360" i="43" s="1"/>
  <c r="J422" i="43"/>
  <c r="T130" i="43"/>
  <c r="M359" i="43"/>
  <c r="M360" i="43" s="1"/>
  <c r="G364" i="43"/>
  <c r="L409" i="43"/>
  <c r="G208" i="43"/>
  <c r="M407" i="43"/>
  <c r="G169" i="43"/>
  <c r="G202" i="43" s="1"/>
  <c r="Z169" i="43"/>
  <c r="Z202" i="43" s="1"/>
  <c r="W281" i="43"/>
  <c r="W282" i="43" s="1"/>
  <c r="I49" i="43"/>
  <c r="I50" i="43" s="1"/>
  <c r="I286" i="43"/>
  <c r="AA130" i="43"/>
  <c r="AA163" i="43" s="1"/>
  <c r="D364" i="43"/>
  <c r="D398" i="43" s="1"/>
  <c r="D399" i="43" s="1"/>
  <c r="I51" i="43"/>
  <c r="F130" i="43"/>
  <c r="F163" i="43" s="1"/>
  <c r="AD325" i="43"/>
  <c r="AD359" i="43" s="1"/>
  <c r="AD360" i="43" s="1"/>
  <c r="E247" i="43"/>
  <c r="R364" i="43"/>
  <c r="AA16" i="43"/>
  <c r="AA55" i="43" s="1"/>
  <c r="AE247" i="43"/>
  <c r="AE281" i="43" s="1"/>
  <c r="J410" i="43"/>
  <c r="H130" i="43"/>
  <c r="R208" i="43"/>
  <c r="W364" i="43"/>
  <c r="W398" i="43" s="1"/>
  <c r="W399" i="43" s="1"/>
  <c r="M433" i="43"/>
  <c r="Y286" i="43"/>
  <c r="Y320" i="43" s="1"/>
  <c r="Y321" i="43" s="1"/>
  <c r="L426" i="43"/>
  <c r="E364" i="43"/>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P398" i="43"/>
  <c r="P399" i="43" s="1"/>
  <c r="J203" i="43"/>
  <c r="J204" i="43" s="1"/>
  <c r="J202" i="43"/>
  <c r="K406" i="43"/>
  <c r="D169" i="43"/>
  <c r="N425" i="43"/>
  <c r="W286" i="43"/>
  <c r="L55" i="43"/>
  <c r="L49" i="43"/>
  <c r="L50" i="43" s="1"/>
  <c r="L51" i="43"/>
  <c r="O425" i="43"/>
  <c r="W325" i="43"/>
  <c r="L427" i="43"/>
  <c r="Y208" i="43"/>
  <c r="O427" i="43"/>
  <c r="Y325" i="43"/>
  <c r="L416" i="43"/>
  <c r="N208" i="43"/>
  <c r="X203" i="43"/>
  <c r="X204" i="43" s="1"/>
  <c r="X202" i="43"/>
  <c r="U397" i="43"/>
  <c r="U398" i="43"/>
  <c r="U399" i="43" s="1"/>
  <c r="O419" i="43"/>
  <c r="Q325" i="43"/>
  <c r="X130" i="43"/>
  <c r="J426" i="43"/>
  <c r="C397" i="43"/>
  <c r="C398" i="43"/>
  <c r="C399" i="43" s="1"/>
  <c r="X319" i="43"/>
  <c r="X320" i="43"/>
  <c r="X321" i="43" s="1"/>
  <c r="E280" i="43"/>
  <c r="E281" i="43"/>
  <c r="E282" i="43" s="1"/>
  <c r="AA164" i="43"/>
  <c r="AA165" i="43" s="1"/>
  <c r="N417" i="43"/>
  <c r="O286" i="43"/>
  <c r="N413" i="43"/>
  <c r="K286" i="43"/>
  <c r="E397" i="43"/>
  <c r="E398" i="43"/>
  <c r="E399" i="43" s="1"/>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AB319"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1" i="43"/>
  <c r="G55" i="43"/>
  <c r="G49" i="43"/>
  <c r="G50" i="43" s="1"/>
  <c r="L428" i="43"/>
  <c r="Z208" i="43"/>
  <c r="Z398" i="43"/>
  <c r="Z399" i="43" s="1"/>
  <c r="Z397" i="43"/>
  <c r="N406" i="43"/>
  <c r="D286" i="43"/>
  <c r="J319" i="43"/>
  <c r="J320" i="43"/>
  <c r="J321" i="43" s="1"/>
  <c r="AB202" i="43"/>
  <c r="AB203" i="43"/>
  <c r="AB204" i="43" s="1"/>
  <c r="G397" i="43"/>
  <c r="G398" i="43"/>
  <c r="G399" i="43" s="1"/>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55" i="43"/>
  <c r="P49" i="43"/>
  <c r="P50" i="43" s="1"/>
  <c r="P51" i="43"/>
  <c r="P429" i="43"/>
  <c r="AA364" i="43"/>
  <c r="O421" i="43"/>
  <c r="S325" i="43"/>
  <c r="AD242" i="43"/>
  <c r="AD243" i="43" s="1"/>
  <c r="AD241" i="43"/>
  <c r="O418" i="43"/>
  <c r="P325" i="43"/>
  <c r="K404" i="43"/>
  <c r="B169" i="43"/>
  <c r="I319" i="43"/>
  <c r="I320" i="43"/>
  <c r="I321" i="43" s="1"/>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V203" i="43"/>
  <c r="V204" i="43" s="1"/>
  <c r="V202" i="43"/>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W397"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B398" i="43"/>
  <c r="B399" i="43" s="1"/>
  <c r="B397" i="43"/>
  <c r="P419" i="43"/>
  <c r="Q364" i="43"/>
  <c r="N431" i="43"/>
  <c r="AC286" i="43"/>
  <c r="Q241" i="43"/>
  <c r="Q242" i="43"/>
  <c r="Q243" i="43" s="1"/>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R397" i="43"/>
  <c r="R398" i="43"/>
  <c r="R399" i="43" s="1"/>
  <c r="F242" i="43"/>
  <c r="F243" i="43" s="1"/>
  <c r="F241" i="43"/>
  <c r="J242" i="43"/>
  <c r="J243" i="43" s="1"/>
  <c r="J241" i="43"/>
  <c r="N421" i="43"/>
  <c r="S286" i="43"/>
  <c r="Z164" i="43"/>
  <c r="Z165" i="43" s="1"/>
  <c r="Z163" i="43"/>
  <c r="N420" i="43"/>
  <c r="R286" i="43"/>
  <c r="AC397" i="43"/>
  <c r="AC398" i="43"/>
  <c r="AC399" i="43" s="1"/>
  <c r="T241" i="43"/>
  <c r="T242" i="43"/>
  <c r="T243" i="43" s="1"/>
  <c r="O420" i="43"/>
  <c r="R325" i="43"/>
  <c r="E164" i="43"/>
  <c r="E165" i="43" s="1"/>
  <c r="E163" i="43"/>
  <c r="J416" i="43"/>
  <c r="N130" i="43"/>
  <c r="M423" i="43"/>
  <c r="U247" i="43"/>
  <c r="Y16" i="43"/>
  <c r="I397" i="43"/>
  <c r="I398" i="43"/>
  <c r="I399" i="43" s="1"/>
  <c r="K418" i="43"/>
  <c r="P169" i="43"/>
  <c r="K433" i="43"/>
  <c r="AE169" i="43"/>
  <c r="AD358" i="43"/>
  <c r="H397" i="43"/>
  <c r="H398" i="43"/>
  <c r="H399" i="43" s="1"/>
  <c r="J358" i="43"/>
  <c r="J359" i="43"/>
  <c r="J360" i="43" s="1"/>
  <c r="O130" i="43"/>
  <c r="J417" i="43"/>
  <c r="R241" i="43"/>
  <c r="R242" i="43"/>
  <c r="R243" i="43" s="1"/>
  <c r="P421" i="43"/>
  <c r="S364" i="43"/>
  <c r="G164" i="43"/>
  <c r="G165" i="43" s="1"/>
  <c r="G163" i="43"/>
  <c r="M420" i="43"/>
  <c r="R247" i="43"/>
  <c r="V16" i="43"/>
  <c r="U55" i="43"/>
  <c r="Q16" i="43"/>
  <c r="M415" i="43"/>
  <c r="M247" i="43"/>
  <c r="L434" i="43"/>
  <c r="AF208" i="43"/>
  <c r="D281" i="43"/>
  <c r="D282" i="43" s="1"/>
  <c r="D280" i="43"/>
  <c r="H281" i="43"/>
  <c r="H282" i="43" s="1"/>
  <c r="H280" i="43"/>
  <c r="P413" i="43"/>
  <c r="K364" i="43"/>
  <c r="AC51" i="43"/>
  <c r="AC49" i="43"/>
  <c r="AC50" i="43" s="1"/>
  <c r="AC55" i="43"/>
  <c r="O417" i="43"/>
  <c r="O325" i="43"/>
  <c r="J405" i="43"/>
  <c r="C130" i="43"/>
  <c r="AI51" i="43"/>
  <c r="AI55" i="43"/>
  <c r="AI49" i="43"/>
  <c r="AI50" i="43" s="1"/>
  <c r="P416" i="43"/>
  <c r="N364" i="43"/>
  <c r="B320" i="43"/>
  <c r="B321" i="43" s="1"/>
  <c r="B319" i="43"/>
  <c r="AE49" i="43" l="1"/>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<sst xmlns="http://schemas.openxmlformats.org/spreadsheetml/2006/main" count="311" uniqueCount="164">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</sst>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-4.9616354857142861E-4</c:v>
                </c:pt>
                <c:pt idx="1">
                  <c:v>-4.9615606285714287E-4</c:v>
                </c:pt>
                <c:pt idx="2">
                  <c:v>-4.9615869142857142E-4</c:v>
                </c:pt>
                <c:pt idx="3">
                  <c:v>-4.9615937714285723E-4</c:v>
                </c:pt>
                <c:pt idx="4">
                  <c:v>-4.961595828571429E-4</c:v>
                </c:pt>
                <c:pt idx="5">
                  <c:v>-4.9615964571428578E-4</c:v>
                </c:pt>
                <c:pt idx="6">
                  <c:v>-4.961596628571429E-4</c:v>
                </c:pt>
                <c:pt idx="7">
                  <c:v>-4.9615966857142861E-4</c:v>
                </c:pt>
                <c:pt idx="8">
                  <c:v>-4.9615967428571432E-4</c:v>
                </c:pt>
                <c:pt idx="9">
                  <c:v>-4.9615967428571432E-4</c:v>
                </c:pt>
                <c:pt idx="10">
                  <c:v>-4.9615967428571432E-4</c:v>
                </c:pt>
                <c:pt idx="11">
                  <c:v>-4.9615968000000002E-4</c:v>
                </c:pt>
                <c:pt idx="12">
                  <c:v>-4.9615971999999997E-4</c:v>
                </c:pt>
                <c:pt idx="13">
                  <c:v>-4.9616012E-4</c:v>
                </c:pt>
                <c:pt idx="14">
                  <c:v>-4.9616414285714289E-4</c:v>
                </c:pt>
                <c:pt idx="15">
                  <c:v>-4.9620426857142864E-4</c:v>
                </c:pt>
                <c:pt idx="16">
                  <c:v>-4.9659688571428574E-4</c:v>
                </c:pt>
                <c:pt idx="17">
                  <c:v>-4.9978220571428582E-4</c:v>
                </c:pt>
                <c:pt idx="18">
                  <c:v>-5.0802429142857142E-4</c:v>
                </c:pt>
                <c:pt idx="19">
                  <c:v>-5.1786149714285715E-4</c:v>
                </c:pt>
                <c:pt idx="20">
                  <c:v>-5.3859186857142859E-4</c:v>
                </c:pt>
                <c:pt idx="21">
                  <c:v>-5.9660388571428568E-4</c:v>
                </c:pt>
                <c:pt idx="22">
                  <c:v>-7.0151668571428571E-4</c:v>
                </c:pt>
                <c:pt idx="23">
                  <c:v>-8.3000274285714303E-4</c:v>
                </c:pt>
                <c:pt idx="24">
                  <c:v>-9.6008531428571427E-4</c:v>
                </c:pt>
                <c:pt idx="25">
                  <c:v>-1.0833461714285714E-3</c:v>
                </c:pt>
                <c:pt idx="26">
                  <c:v>-1.2086622857142857E-3</c:v>
                </c:pt>
                <c:pt idx="27">
                  <c:v>-1.3428904000000001E-3</c:v>
                </c:pt>
                <c:pt idx="28">
                  <c:v>-1.5254830857142857E-3</c:v>
                </c:pt>
                <c:pt idx="29">
                  <c:v>-1.8067370285714287E-3</c:v>
                </c:pt>
                <c:pt idx="30">
                  <c:v>-2.2795963428571429E-3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-5.0062553142857138E-4</c:v>
                </c:pt>
                <c:pt idx="1">
                  <c:v>-5.0061783428571427E-4</c:v>
                </c:pt>
                <c:pt idx="2">
                  <c:v>-5.0062047428571423E-4</c:v>
                </c:pt>
                <c:pt idx="3">
                  <c:v>-5.0062116571428575E-4</c:v>
                </c:pt>
                <c:pt idx="4">
                  <c:v>-5.0062136571428571E-4</c:v>
                </c:pt>
                <c:pt idx="5">
                  <c:v>-5.0062142857142859E-4</c:v>
                </c:pt>
                <c:pt idx="6">
                  <c:v>-5.0062144571428582E-4</c:v>
                </c:pt>
                <c:pt idx="7">
                  <c:v>-5.0062145714285713E-4</c:v>
                </c:pt>
                <c:pt idx="8">
                  <c:v>-5.0062145714285713E-4</c:v>
                </c:pt>
                <c:pt idx="9">
                  <c:v>-5.0062146285714283E-4</c:v>
                </c:pt>
                <c:pt idx="10">
                  <c:v>-5.0062147428571436E-4</c:v>
                </c:pt>
                <c:pt idx="11">
                  <c:v>-5.0062162285714295E-4</c:v>
                </c:pt>
                <c:pt idx="12">
                  <c:v>-5.006231028571429E-4</c:v>
                </c:pt>
                <c:pt idx="13">
                  <c:v>-5.0063787428571431E-4</c:v>
                </c:pt>
                <c:pt idx="14">
                  <c:v>-5.0078442857142856E-4</c:v>
                </c:pt>
                <c:pt idx="15">
                  <c:v>-5.0213963428571431E-4</c:v>
                </c:pt>
                <c:pt idx="16">
                  <c:v>-5.0906977142857143E-4</c:v>
                </c:pt>
                <c:pt idx="17">
                  <c:v>-5.1808074285714285E-4</c:v>
                </c:pt>
                <c:pt idx="18">
                  <c:v>-5.3390951428571433E-4</c:v>
                </c:pt>
                <c:pt idx="19">
                  <c:v>-5.7776177142857151E-4</c:v>
                </c:pt>
                <c:pt idx="20">
                  <c:v>-6.7136982857142859E-4</c:v>
                </c:pt>
                <c:pt idx="21">
                  <c:v>-7.9288314285714287E-4</c:v>
                </c:pt>
                <c:pt idx="22">
                  <c:v>-9.1991182857142863E-4</c:v>
                </c:pt>
                <c:pt idx="23">
                  <c:v>-1.0417293142857143E-3</c:v>
                </c:pt>
                <c:pt idx="24">
                  <c:v>-1.1608348571428573E-3</c:v>
                </c:pt>
                <c:pt idx="25">
                  <c:v>-1.286381542857143E-3</c:v>
                </c:pt>
                <c:pt idx="26">
                  <c:v>-1.4380592571428571E-3</c:v>
                </c:pt>
                <c:pt idx="27">
                  <c:v>-1.6660458857142859E-3</c:v>
                </c:pt>
                <c:pt idx="28">
                  <c:v>-2.0377010285714285E-3</c:v>
                </c:pt>
                <c:pt idx="29">
                  <c:v>-2.7212866285714287E-3</c:v>
                </c:pt>
                <c:pt idx="30">
                  <c:v>-4.2085354857142859E-3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-5.0354817714285717E-4</c:v>
                </c:pt>
                <c:pt idx="1">
                  <c:v>-5.0354034285714287E-4</c:v>
                </c:pt>
                <c:pt idx="2">
                  <c:v>-5.0354298857142865E-4</c:v>
                </c:pt>
                <c:pt idx="3">
                  <c:v>-5.0354368000000006E-4</c:v>
                </c:pt>
                <c:pt idx="4">
                  <c:v>-5.0354388000000002E-4</c:v>
                </c:pt>
                <c:pt idx="5">
                  <c:v>-5.0354394285714291E-4</c:v>
                </c:pt>
                <c:pt idx="6">
                  <c:v>-5.0354396571428573E-4</c:v>
                </c:pt>
                <c:pt idx="7">
                  <c:v>-5.0354397142857144E-4</c:v>
                </c:pt>
                <c:pt idx="8">
                  <c:v>-5.0354398857142856E-4</c:v>
                </c:pt>
                <c:pt idx="9">
                  <c:v>-5.0354413142857145E-4</c:v>
                </c:pt>
                <c:pt idx="10">
                  <c:v>-5.0354551999999997E-4</c:v>
                </c:pt>
                <c:pt idx="11">
                  <c:v>-5.0355938857142861E-4</c:v>
                </c:pt>
                <c:pt idx="12">
                  <c:v>-5.0369704571428576E-4</c:v>
                </c:pt>
                <c:pt idx="13">
                  <c:v>-5.0497592000000007E-4</c:v>
                </c:pt>
                <c:pt idx="14">
                  <c:v>-5.1173175428571437E-4</c:v>
                </c:pt>
                <c:pt idx="15">
                  <c:v>-5.2032943428571431E-4</c:v>
                </c:pt>
                <c:pt idx="16">
                  <c:v>-5.3060416571428578E-4</c:v>
                </c:pt>
                <c:pt idx="17">
                  <c:v>-5.4780842285714285E-4</c:v>
                </c:pt>
                <c:pt idx="18">
                  <c:v>-5.8892868571428576E-4</c:v>
                </c:pt>
                <c:pt idx="19">
                  <c:v>-6.8474788571428575E-4</c:v>
                </c:pt>
                <c:pt idx="20">
                  <c:v>-8.1817565714285714E-4</c:v>
                </c:pt>
                <c:pt idx="21">
                  <c:v>-9.5848325714285724E-4</c:v>
                </c:pt>
                <c:pt idx="22">
                  <c:v>-1.0958064000000001E-3</c:v>
                </c:pt>
                <c:pt idx="23">
                  <c:v>-1.2360097142857145E-3</c:v>
                </c:pt>
                <c:pt idx="24">
                  <c:v>-1.3967930285714288E-3</c:v>
                </c:pt>
                <c:pt idx="25">
                  <c:v>-1.6280200571428573E-3</c:v>
                </c:pt>
                <c:pt idx="26">
                  <c:v>-1.9967447428571429E-3</c:v>
                </c:pt>
                <c:pt idx="27">
                  <c:v>-2.665770742857143E-3</c:v>
                </c:pt>
                <c:pt idx="28">
                  <c:v>-4.1149062285714289E-3</c:v>
                </c:pt>
                <c:pt idx="29">
                  <c:v>-7.0580468571428577E-3</c:v>
                </c:pt>
                <c:pt idx="30">
                  <c:v>-1.2567767428571429E-2</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-5.0658109142857151E-4</c:v>
                </c:pt>
                <c:pt idx="1">
                  <c:v>-5.0657311428571432E-4</c:v>
                </c:pt>
                <c:pt idx="2">
                  <c:v>-5.0657577142857141E-4</c:v>
                </c:pt>
                <c:pt idx="3">
                  <c:v>-5.0657646285714292E-4</c:v>
                </c:pt>
                <c:pt idx="4">
                  <c:v>-5.0657666285714288E-4</c:v>
                </c:pt>
                <c:pt idx="5">
                  <c:v>-5.0657673714285718E-4</c:v>
                </c:pt>
                <c:pt idx="6">
                  <c:v>-5.0657688571428578E-4</c:v>
                </c:pt>
                <c:pt idx="7">
                  <c:v>-5.0657814285714282E-4</c:v>
                </c:pt>
                <c:pt idx="8">
                  <c:v>-5.0659066857142859E-4</c:v>
                </c:pt>
                <c:pt idx="9">
                  <c:v>-5.0671505714285721E-4</c:v>
                </c:pt>
                <c:pt idx="10">
                  <c:v>-5.0787922285714293E-4</c:v>
                </c:pt>
                <c:pt idx="11">
                  <c:v>-5.1437622857142859E-4</c:v>
                </c:pt>
                <c:pt idx="12">
                  <c:v>-5.2294328571428578E-4</c:v>
                </c:pt>
                <c:pt idx="13">
                  <c:v>-5.328277314285714E-4</c:v>
                </c:pt>
                <c:pt idx="14">
                  <c:v>-5.4514910857142852E-4</c:v>
                </c:pt>
                <c:pt idx="15">
                  <c:v>-5.598790057142857E-4</c:v>
                </c:pt>
                <c:pt idx="16">
                  <c:v>-5.7975125714285723E-4</c:v>
                </c:pt>
                <c:pt idx="17">
                  <c:v>-6.2296308571428574E-4</c:v>
                </c:pt>
                <c:pt idx="18">
                  <c:v>-7.2448354285714286E-4</c:v>
                </c:pt>
                <c:pt idx="19">
                  <c:v>-8.7810862857142869E-4</c:v>
                </c:pt>
                <c:pt idx="20">
                  <c:v>-1.0546606857142857E-3</c:v>
                </c:pt>
                <c:pt idx="21">
                  <c:v>-1.248117142857143E-3</c:v>
                </c:pt>
                <c:pt idx="22">
                  <c:v>-1.4984720571428571E-3</c:v>
                </c:pt>
                <c:pt idx="23">
                  <c:v>-1.8695733714285717E-3</c:v>
                </c:pt>
                <c:pt idx="24">
                  <c:v>-2.5137643428571428E-3</c:v>
                </c:pt>
                <c:pt idx="25">
                  <c:v>-3.8843041714285717E-3</c:v>
                </c:pt>
                <c:pt idx="26">
                  <c:v>-6.6688354285714289E-3</c:v>
                </c:pt>
                <c:pt idx="27">
                  <c:v>-1.1922857142857143E-2</c:v>
                </c:pt>
                <c:pt idx="28">
                  <c:v>-2.1379386285714286E-2</c:v>
                </c:pt>
                <c:pt idx="29">
                  <c:v>-3.0989681714285715E-2</c:v>
                </c:pt>
                <c:pt idx="30">
                  <c:v>-3.5601946857142859E-2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-5.1037552571428578E-4</c:v>
                </c:pt>
                <c:pt idx="1">
                  <c:v>-5.1036770285714289E-4</c:v>
                </c:pt>
                <c:pt idx="2">
                  <c:v>-5.1037372000000011E-4</c:v>
                </c:pt>
                <c:pt idx="3">
                  <c:v>-5.1040788571428571E-4</c:v>
                </c:pt>
                <c:pt idx="4">
                  <c:v>-5.1073692000000003E-4</c:v>
                </c:pt>
                <c:pt idx="5">
                  <c:v>-5.1350480000000008E-4</c:v>
                </c:pt>
                <c:pt idx="6">
                  <c:v>-5.2176818857142858E-4</c:v>
                </c:pt>
                <c:pt idx="7">
                  <c:v>-5.3089043999999998E-4</c:v>
                </c:pt>
                <c:pt idx="8">
                  <c:v>-5.4184649714285717E-4</c:v>
                </c:pt>
                <c:pt idx="9">
                  <c:v>-5.560503828571429E-4</c:v>
                </c:pt>
                <c:pt idx="10">
                  <c:v>-5.7032560571428569E-4</c:v>
                </c:pt>
                <c:pt idx="11">
                  <c:v>-5.9075154285714285E-4</c:v>
                </c:pt>
                <c:pt idx="12">
                  <c:v>-6.1450165714285721E-4</c:v>
                </c:pt>
                <c:pt idx="13">
                  <c:v>-6.4009560000000002E-4</c:v>
                </c:pt>
                <c:pt idx="14">
                  <c:v>-6.7092542857142862E-4</c:v>
                </c:pt>
                <c:pt idx="15">
                  <c:v>-7.0998982857142855E-4</c:v>
                </c:pt>
                <c:pt idx="16">
                  <c:v>-7.8814565714285714E-4</c:v>
                </c:pt>
                <c:pt idx="17">
                  <c:v>-9.8329554285714305E-4</c:v>
                </c:pt>
                <c:pt idx="18">
                  <c:v>-1.3697842857142858E-3</c:v>
                </c:pt>
                <c:pt idx="19">
                  <c:v>-2.0932604000000001E-3</c:v>
                </c:pt>
                <c:pt idx="20">
                  <c:v>-3.5947298857142863E-3</c:v>
                </c:pt>
                <c:pt idx="21">
                  <c:v>-6.7054811428571438E-3</c:v>
                </c:pt>
                <c:pt idx="22">
                  <c:v>-1.2735464000000002E-2</c:v>
                </c:pt>
                <c:pt idx="23">
                  <c:v>-2.2840043428571429E-2</c:v>
                </c:pt>
                <c:pt idx="24">
                  <c:v>-3.0692317142857143E-2</c:v>
                </c:pt>
                <c:pt idx="25">
                  <c:v>-3.5013912000000001E-2</c:v>
                </c:pt>
                <c:pt idx="26">
                  <c:v>-3.8170907428571432E-2</c:v>
                </c:pt>
                <c:pt idx="27">
                  <c:v>-3.838269542857143E-2</c:v>
                </c:pt>
                <c:pt idx="28">
                  <c:v>-3.9121936000000003E-2</c:v>
                </c:pt>
                <c:pt idx="29">
                  <c:v>-3.9133293142857142E-2</c:v>
                </c:pt>
                <c:pt idx="30">
                  <c:v>-3.961332E-2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-5.5299581142857139E-4</c:v>
                </c:pt>
                <c:pt idx="1">
                  <c:v>-5.7108600571428576E-4</c:v>
                </c:pt>
                <c:pt idx="2">
                  <c:v>-5.8931291428571423E-4</c:v>
                </c:pt>
                <c:pt idx="3">
                  <c:v>-6.1189388571428573E-4</c:v>
                </c:pt>
                <c:pt idx="4">
                  <c:v>-6.3697485714285724E-4</c:v>
                </c:pt>
                <c:pt idx="5">
                  <c:v>-6.6554657142857149E-4</c:v>
                </c:pt>
                <c:pt idx="6">
                  <c:v>-6.9984782857142856E-4</c:v>
                </c:pt>
                <c:pt idx="7">
                  <c:v>-7.4568331428571434E-4</c:v>
                </c:pt>
                <c:pt idx="8">
                  <c:v>-8.1845571428571429E-4</c:v>
                </c:pt>
                <c:pt idx="9">
                  <c:v>-9.3642748571428583E-4</c:v>
                </c:pt>
                <c:pt idx="10">
                  <c:v>-1.1481097714285714E-3</c:v>
                </c:pt>
                <c:pt idx="11">
                  <c:v>-1.5971413714285718E-3</c:v>
                </c:pt>
                <c:pt idx="12">
                  <c:v>-2.500001942857143E-3</c:v>
                </c:pt>
                <c:pt idx="13">
                  <c:v>-4.1989545142857142E-3</c:v>
                </c:pt>
                <c:pt idx="14">
                  <c:v>-7.2816897142857148E-3</c:v>
                </c:pt>
                <c:pt idx="15">
                  <c:v>-1.0303910857142858E-2</c:v>
                </c:pt>
                <c:pt idx="16">
                  <c:v>-1.2012539428571429E-2</c:v>
                </c:pt>
                <c:pt idx="17">
                  <c:v>-1.4327210285714287E-2</c:v>
                </c:pt>
                <c:pt idx="18">
                  <c:v>-1.8220335428571429E-2</c:v>
                </c:pt>
                <c:pt idx="19">
                  <c:v>-2.3546590285714285E-2</c:v>
                </c:pt>
                <c:pt idx="20">
                  <c:v>-2.8443946857142858E-2</c:v>
                </c:pt>
                <c:pt idx="21">
                  <c:v>-3.2151818857142855E-2</c:v>
                </c:pt>
                <c:pt idx="22">
                  <c:v>-3.4756550857142854E-2</c:v>
                </c:pt>
                <c:pt idx="23">
                  <c:v>-3.6507982285714287E-2</c:v>
                </c:pt>
                <c:pt idx="24">
                  <c:v>-3.7692596571428573E-2</c:v>
                </c:pt>
                <c:pt idx="25">
                  <c:v>-3.8479935999999999E-2</c:v>
                </c:pt>
                <c:pt idx="26">
                  <c:v>-3.8618251999999999E-2</c:v>
                </c:pt>
                <c:pt idx="27">
                  <c:v>-3.918260914285715E-2</c:v>
                </c:pt>
                <c:pt idx="28">
                  <c:v>-3.9291900571428576E-2</c:v>
                </c:pt>
                <c:pt idx="29">
                  <c:v>-3.9614430857142863E-2</c:v>
                </c:pt>
                <c:pt idx="30">
                  <c:v>-3.9740222857142862E-2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-5.8529725714285717E-4</c:v>
                </c:pt>
                <c:pt idx="1">
                  <c:v>-6.1177828571428578E-4</c:v>
                </c:pt>
                <c:pt idx="2">
                  <c:v>-6.373926285714286E-4</c:v>
                </c:pt>
                <c:pt idx="3">
                  <c:v>-6.6519811428571434E-4</c:v>
                </c:pt>
                <c:pt idx="4">
                  <c:v>-6.9886154285714298E-4</c:v>
                </c:pt>
                <c:pt idx="5">
                  <c:v>-7.4121085714285719E-4</c:v>
                </c:pt>
                <c:pt idx="6">
                  <c:v>-8.0826034285714295E-4</c:v>
                </c:pt>
                <c:pt idx="7">
                  <c:v>-9.1564354285714287E-4</c:v>
                </c:pt>
                <c:pt idx="8">
                  <c:v>-1.1011168571428572E-3</c:v>
                </c:pt>
                <c:pt idx="9">
                  <c:v>-1.4827460571428574E-3</c:v>
                </c:pt>
                <c:pt idx="10">
                  <c:v>-2.2463832571428572E-3</c:v>
                </c:pt>
                <c:pt idx="11">
                  <c:v>-3.7054184571428572E-3</c:v>
                </c:pt>
                <c:pt idx="12">
                  <c:v>-6.4069080000000002E-3</c:v>
                </c:pt>
                <c:pt idx="13">
                  <c:v>-9.6377394285714294E-3</c:v>
                </c:pt>
                <c:pt idx="14">
                  <c:v>-1.1343958857142858E-2</c:v>
                </c:pt>
                <c:pt idx="15">
                  <c:v>-1.2617024571428574E-2</c:v>
                </c:pt>
                <c:pt idx="16">
                  <c:v>-1.3739041142857143E-2</c:v>
                </c:pt>
                <c:pt idx="17">
                  <c:v>-1.6347784571428572E-2</c:v>
                </c:pt>
                <c:pt idx="18">
                  <c:v>-2.1261844000000002E-2</c:v>
                </c:pt>
                <c:pt idx="19">
                  <c:v>-2.6506324000000001E-2</c:v>
                </c:pt>
                <c:pt idx="20">
                  <c:v>-3.0733689142857148E-2</c:v>
                </c:pt>
                <c:pt idx="21">
                  <c:v>-3.3773099428571429E-2</c:v>
                </c:pt>
                <c:pt idx="22">
                  <c:v>-3.5841918857142857E-2</c:v>
                </c:pt>
                <c:pt idx="23">
                  <c:v>-3.7248799999999999E-2</c:v>
                </c:pt>
                <c:pt idx="24">
                  <c:v>-3.8186862285714288E-2</c:v>
                </c:pt>
                <c:pt idx="25">
                  <c:v>-3.8684196571428568E-2</c:v>
                </c:pt>
                <c:pt idx="26">
                  <c:v>-3.8816426857142858E-2</c:v>
                </c:pt>
                <c:pt idx="27">
                  <c:v>-3.9329979428571429E-2</c:v>
                </c:pt>
                <c:pt idx="28">
                  <c:v>-3.9338258857142858E-2</c:v>
                </c:pt>
                <c:pt idx="29">
                  <c:v>-3.9678557142857146E-2</c:v>
                </c:pt>
                <c:pt idx="30">
                  <c:v>-3.9819933714285716E-2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393378472"/>
        <c:axId val="3933765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3933784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93376512"/>
        <c:crossesAt val="-8.0000000000000019E-3"/>
        <c:crossBetween val="midCat"/>
      </c:valAx>
      <c:valAx>
        <c:axId val="393376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933784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20154.644630369057</c:v>
                </c:pt>
                <c:pt idx="1">
                  <c:v>20154.948711932353</c:v>
                </c:pt>
                <c:pt idx="2">
                  <c:v>20154.841934154916</c:v>
                </c:pt>
                <c:pt idx="3">
                  <c:v>20154.814079268603</c:v>
                </c:pt>
                <c:pt idx="4">
                  <c:v>20154.805722817728</c:v>
                </c:pt>
                <c:pt idx="5">
                  <c:v>20154.803169459119</c:v>
                </c:pt>
                <c:pt idx="6">
                  <c:v>20154.802473088701</c:v>
                </c:pt>
                <c:pt idx="7">
                  <c:v>20154.80224096524</c:v>
                </c:pt>
                <c:pt idx="8">
                  <c:v>20154.802008841783</c:v>
                </c:pt>
                <c:pt idx="9">
                  <c:v>20154.802008841783</c:v>
                </c:pt>
                <c:pt idx="10">
                  <c:v>20154.802008841783</c:v>
                </c:pt>
                <c:pt idx="11">
                  <c:v>20154.801776718334</c:v>
                </c:pt>
                <c:pt idx="12">
                  <c:v>20154.800151854328</c:v>
                </c:pt>
                <c:pt idx="13">
                  <c:v>20154.783903228661</c:v>
                </c:pt>
                <c:pt idx="14">
                  <c:v>20154.620489935787</c:v>
                </c:pt>
                <c:pt idx="15">
                  <c:v>20152.99068020915</c:v>
                </c:pt>
                <c:pt idx="16">
                  <c:v>20137.057415526051</c:v>
                </c:pt>
                <c:pt idx="17">
                  <c:v>20008.715567830306</c:v>
                </c:pt>
                <c:pt idx="18">
                  <c:v>19684.098120347473</c:v>
                </c:pt>
                <c:pt idx="19">
                  <c:v>19310.182462245117</c:v>
                </c:pt>
                <c:pt idx="20">
                  <c:v>18566.934600264562</c:v>
                </c:pt>
                <c:pt idx="21">
                  <c:v>16761.540176741342</c:v>
                </c:pt>
                <c:pt idx="22">
                  <c:v>14254.828436215996</c:v>
                </c:pt>
                <c:pt idx="23">
                  <c:v>12048.152956189884</c:v>
                </c:pt>
                <c:pt idx="24">
                  <c:v>10415.741029681112</c:v>
                </c:pt>
                <c:pt idx="25">
                  <c:v>9230.6598423783071</c:v>
                </c:pt>
                <c:pt idx="26">
                  <c:v>8273.6096908081145</c:v>
                </c:pt>
                <c:pt idx="27">
                  <c:v>7446.6240878630142</c:v>
                </c:pt>
                <c:pt idx="28">
                  <c:v>6555.3004773682187</c:v>
                </c:pt>
                <c:pt idx="29">
                  <c:v>5534.8397923226894</c:v>
                </c:pt>
                <c:pt idx="30">
                  <c:v>4386.7415524392591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19975.010006909302</c:v>
                </c:pt>
                <c:pt idx="1">
                  <c:v>19975.317128420094</c:v>
                </c:pt>
                <c:pt idx="2">
                  <c:v>19975.21178946588</c:v>
                </c:pt>
                <c:pt idx="3">
                  <c:v>19975.184200875749</c:v>
                </c:pt>
                <c:pt idx="4">
                  <c:v>19975.176220719259</c:v>
                </c:pt>
                <c:pt idx="5">
                  <c:v>19975.173712671392</c:v>
                </c:pt>
                <c:pt idx="6">
                  <c:v>19975.173028658446</c:v>
                </c:pt>
                <c:pt idx="7">
                  <c:v>19975.172572649844</c:v>
                </c:pt>
                <c:pt idx="8">
                  <c:v>19975.172572649844</c:v>
                </c:pt>
                <c:pt idx="9">
                  <c:v>19975.172344645551</c:v>
                </c:pt>
                <c:pt idx="10">
                  <c:v>19975.171888636974</c:v>
                </c:pt>
                <c:pt idx="11">
                  <c:v>19975.165960527425</c:v>
                </c:pt>
                <c:pt idx="12">
                  <c:v>19975.106907628244</c:v>
                </c:pt>
                <c:pt idx="13">
                  <c:v>19974.517537786192</c:v>
                </c:pt>
                <c:pt idx="14">
                  <c:v>19968.672006289562</c:v>
                </c:pt>
                <c:pt idx="15">
                  <c:v>19914.779310788406</c:v>
                </c:pt>
                <c:pt idx="16">
                  <c:v>19643.672756167805</c:v>
                </c:pt>
                <c:pt idx="17">
                  <c:v>19302.010618752975</c:v>
                </c:pt>
                <c:pt idx="18">
                  <c:v>18729.765498519733</c:v>
                </c:pt>
                <c:pt idx="19">
                  <c:v>17308.171801111104</c:v>
                </c:pt>
                <c:pt idx="20">
                  <c:v>14894.920168334727</c:v>
                </c:pt>
                <c:pt idx="21">
                  <c:v>12612.199023383377</c:v>
                </c:pt>
                <c:pt idx="22">
                  <c:v>10870.607040165401</c:v>
                </c:pt>
                <c:pt idx="23">
                  <c:v>9599.4226742642168</c:v>
                </c:pt>
                <c:pt idx="24">
                  <c:v>8614.4897686935656</c:v>
                </c:pt>
                <c:pt idx="25">
                  <c:v>7773.7433777145961</c:v>
                </c:pt>
                <c:pt idx="26">
                  <c:v>6953.8163676704444</c:v>
                </c:pt>
                <c:pt idx="27">
                  <c:v>6002.2356441357479</c:v>
                </c:pt>
                <c:pt idx="28">
                  <c:v>4907.4912657872592</c:v>
                </c:pt>
                <c:pt idx="29">
                  <c:v>3674.7323471947598</c:v>
                </c:pt>
                <c:pt idx="30">
                  <c:v>2376.123483797302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19859.07298233152</c:v>
                </c:pt>
                <c:pt idx="1">
                  <c:v>19859.381957876321</c:v>
                </c:pt>
                <c:pt idx="2">
                  <c:v>19859.277612762307</c:v>
                </c:pt>
                <c:pt idx="3">
                  <c:v>19859.25034348559</c:v>
                </c:pt>
                <c:pt idx="4">
                  <c:v>19859.242455692241</c:v>
                </c:pt>
                <c:pt idx="5">
                  <c:v>19859.239976672769</c:v>
                </c:pt>
                <c:pt idx="6">
                  <c:v>19859.239075211295</c:v>
                </c:pt>
                <c:pt idx="7">
                  <c:v>19859.23884984594</c:v>
                </c:pt>
                <c:pt idx="8">
                  <c:v>19859.238173749905</c:v>
                </c:pt>
                <c:pt idx="9">
                  <c:v>19859.23253961806</c:v>
                </c:pt>
                <c:pt idx="10">
                  <c:v>19859.177776023109</c:v>
                </c:pt>
                <c:pt idx="11">
                  <c:v>19858.630832739454</c:v>
                </c:pt>
                <c:pt idx="12">
                  <c:v>19853.203597450407</c:v>
                </c:pt>
                <c:pt idx="13">
                  <c:v>19802.92446420019</c:v>
                </c:pt>
                <c:pt idx="14">
                  <c:v>19541.4881258604</c:v>
                </c:pt>
                <c:pt idx="15">
                  <c:v>19218.593723661947</c:v>
                </c:pt>
                <c:pt idx="16">
                  <c:v>18846.440804960992</c:v>
                </c:pt>
                <c:pt idx="17">
                  <c:v>18254.556853733873</c:v>
                </c:pt>
                <c:pt idx="18">
                  <c:v>16979.984576352294</c:v>
                </c:pt>
                <c:pt idx="19">
                  <c:v>14603.915117705887</c:v>
                </c:pt>
                <c:pt idx="20">
                  <c:v>12222.314258188637</c:v>
                </c:pt>
                <c:pt idx="21">
                  <c:v>10433.150423314644</c:v>
                </c:pt>
                <c:pt idx="22">
                  <c:v>9125.6995761295057</c:v>
                </c:pt>
                <c:pt idx="23">
                  <c:v>8090.5512994118853</c:v>
                </c:pt>
                <c:pt idx="24">
                  <c:v>7159.2568085964094</c:v>
                </c:pt>
                <c:pt idx="25">
                  <c:v>6142.4304670728689</c:v>
                </c:pt>
                <c:pt idx="26">
                  <c:v>5008.1514103254858</c:v>
                </c:pt>
                <c:pt idx="27">
                  <c:v>3751.2603162874061</c:v>
                </c:pt>
                <c:pt idx="28">
                  <c:v>2430.1890357952816</c:v>
                </c:pt>
                <c:pt idx="29">
                  <c:v>1416.8225576286502</c:v>
                </c:pt>
                <c:pt idx="30">
                  <c:v>795.68627099719447</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19740.176191337396</c:v>
                </c:pt>
                <c:pt idx="1">
                  <c:v>19740.487045192571</c:v>
                </c:pt>
                <c:pt idx="2">
                  <c:v>19740.383500378339</c:v>
                </c:pt>
                <c:pt idx="3">
                  <c:v>19740.356556637038</c:v>
                </c:pt>
                <c:pt idx="4">
                  <c:v>19740.348763006576</c:v>
                </c:pt>
                <c:pt idx="5">
                  <c:v>19740.345868231114</c:v>
                </c:pt>
                <c:pt idx="6">
                  <c:v>19740.340078682737</c:v>
                </c:pt>
                <c:pt idx="7">
                  <c:v>19740.291090332419</c:v>
                </c:pt>
                <c:pt idx="8">
                  <c:v>19739.803001503598</c:v>
                </c:pt>
                <c:pt idx="9">
                  <c:v>19734.957268460879</c:v>
                </c:pt>
                <c:pt idx="10">
                  <c:v>19689.720606690018</c:v>
                </c:pt>
                <c:pt idx="11">
                  <c:v>19441.022824427346</c:v>
                </c:pt>
                <c:pt idx="12">
                  <c:v>19122.532544501544</c:v>
                </c:pt>
                <c:pt idx="13">
                  <c:v>18767.791933781053</c:v>
                </c:pt>
                <c:pt idx="14">
                  <c:v>18343.605158238544</c:v>
                </c:pt>
                <c:pt idx="15">
                  <c:v>17861.001927089837</c:v>
                </c:pt>
                <c:pt idx="16">
                  <c:v>17248.776741394606</c:v>
                </c:pt>
                <c:pt idx="17">
                  <c:v>16052.315505234246</c:v>
                </c:pt>
                <c:pt idx="18">
                  <c:v>13802.936034354956</c:v>
                </c:pt>
                <c:pt idx="19">
                  <c:v>11388.112671513923</c:v>
                </c:pt>
                <c:pt idx="20">
                  <c:v>9481.7225439927552</c:v>
                </c:pt>
                <c:pt idx="21">
                  <c:v>8012.0684642696078</c:v>
                </c:pt>
                <c:pt idx="22">
                  <c:v>6673.464448224041</c:v>
                </c:pt>
                <c:pt idx="23">
                  <c:v>5348.8138806549405</c:v>
                </c:pt>
                <c:pt idx="24">
                  <c:v>3978.0976400651807</c:v>
                </c:pt>
                <c:pt idx="25">
                  <c:v>2574.4636770611592</c:v>
                </c:pt>
                <c:pt idx="26">
                  <c:v>1499.5121872638804</c:v>
                </c:pt>
                <c:pt idx="27">
                  <c:v>838.72513779055839</c:v>
                </c:pt>
                <c:pt idx="28">
                  <c:v>467.74027403592981</c:v>
                </c:pt>
                <c:pt idx="29">
                  <c:v>322.68805120996677</c:v>
                </c:pt>
                <c:pt idx="30">
                  <c:v>280.88351572812059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19593.41601657858</c:v>
                </c:pt>
                <c:pt idx="1">
                  <c:v>19593.716342193977</c:v>
                </c:pt>
                <c:pt idx="2">
                  <c:v>19593.485338547598</c:v>
                </c:pt>
                <c:pt idx="3">
                  <c:v>19592.173788627089</c:v>
                </c:pt>
                <c:pt idx="4">
                  <c:v>19579.551836589373</c:v>
                </c:pt>
                <c:pt idx="5">
                  <c:v>19474.014653806546</c:v>
                </c:pt>
                <c:pt idx="6">
                  <c:v>19165.599243180055</c:v>
                </c:pt>
                <c:pt idx="7">
                  <c:v>18836.278159388217</c:v>
                </c:pt>
                <c:pt idx="8">
                  <c:v>18455.411362313396</c:v>
                </c:pt>
                <c:pt idx="9">
                  <c:v>17983.981862609631</c:v>
                </c:pt>
                <c:pt idx="10">
                  <c:v>17533.843649674167</c:v>
                </c:pt>
                <c:pt idx="11">
                  <c:v>16927.590153443285</c:v>
                </c:pt>
                <c:pt idx="12">
                  <c:v>16273.34911755207</c:v>
                </c:pt>
                <c:pt idx="13">
                  <c:v>15622.666364211846</c:v>
                </c:pt>
                <c:pt idx="14">
                  <c:v>14904.786097156208</c:v>
                </c:pt>
                <c:pt idx="15">
                  <c:v>14084.708819168596</c:v>
                </c:pt>
                <c:pt idx="16">
                  <c:v>12688.010026283031</c:v>
                </c:pt>
                <c:pt idx="17">
                  <c:v>10169.882364098989</c:v>
                </c:pt>
                <c:pt idx="18">
                  <c:v>7300.4195655416024</c:v>
                </c:pt>
                <c:pt idx="19">
                  <c:v>4777.2365062655363</c:v>
                </c:pt>
                <c:pt idx="20">
                  <c:v>2781.8501856678345</c:v>
                </c:pt>
                <c:pt idx="21">
                  <c:v>1491.317295053803</c:v>
                </c:pt>
                <c:pt idx="22">
                  <c:v>785.20892524999465</c:v>
                </c:pt>
                <c:pt idx="23">
                  <c:v>437.8275387817626</c:v>
                </c:pt>
                <c:pt idx="24">
                  <c:v>325.81443601846939</c:v>
                </c:pt>
                <c:pt idx="25">
                  <c:v>285.60076349080902</c:v>
                </c:pt>
                <c:pt idx="26">
                  <c:v>261.97962463200093</c:v>
                </c:pt>
                <c:pt idx="27">
                  <c:v>260.53407371062764</c:v>
                </c:pt>
                <c:pt idx="28">
                  <c:v>255.61107200829733</c:v>
                </c:pt>
                <c:pt idx="29">
                  <c:v>255.53688935645488</c:v>
                </c:pt>
                <c:pt idx="30">
                  <c:v>252.44034077426483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18083.319608093752</c:v>
                </c:pt>
                <c:pt idx="1">
                  <c:v>17510.497368067183</c:v>
                </c:pt>
                <c:pt idx="2">
                  <c:v>16968.91372577615</c:v>
                </c:pt>
                <c:pt idx="3">
                  <c:v>16342.70293177818</c:v>
                </c:pt>
                <c:pt idx="4">
                  <c:v>15699.206786363398</c:v>
                </c:pt>
                <c:pt idx="5">
                  <c:v>15025.244557319804</c:v>
                </c:pt>
                <c:pt idx="6">
                  <c:v>14288.820500325908</c:v>
                </c:pt>
                <c:pt idx="7">
                  <c:v>13410.518659089135</c:v>
                </c:pt>
                <c:pt idx="8">
                  <c:v>12218.132057062168</c:v>
                </c:pt>
                <c:pt idx="9">
                  <c:v>10678.883472084573</c:v>
                </c:pt>
                <c:pt idx="10">
                  <c:v>8709.9685490501379</c:v>
                </c:pt>
                <c:pt idx="11">
                  <c:v>6261.1865041448682</c:v>
                </c:pt>
                <c:pt idx="12">
                  <c:v>3999.996891430987</c:v>
                </c:pt>
                <c:pt idx="13">
                  <c:v>2381.5452074981822</c:v>
                </c:pt>
                <c:pt idx="14">
                  <c:v>1373.307623968283</c:v>
                </c:pt>
                <c:pt idx="15">
                  <c:v>970.50529052935451</c:v>
                </c:pt>
                <c:pt idx="16">
                  <c:v>832.46344867058917</c:v>
                </c:pt>
                <c:pt idx="17">
                  <c:v>697.97258507268759</c:v>
                </c:pt>
                <c:pt idx="18">
                  <c:v>548.83731637118672</c:v>
                </c:pt>
                <c:pt idx="19">
                  <c:v>424.68993933559034</c:v>
                </c:pt>
                <c:pt idx="20">
                  <c:v>351.56865009712232</c:v>
                </c:pt>
                <c:pt idx="21">
                  <c:v>311.02439474519485</c:v>
                </c:pt>
                <c:pt idx="22">
                  <c:v>287.7155458003362</c:v>
                </c:pt>
                <c:pt idx="23">
                  <c:v>273.91270001555353</c:v>
                </c:pt>
                <c:pt idx="24">
                  <c:v>265.30408912131344</c:v>
                </c:pt>
                <c:pt idx="25">
                  <c:v>259.87569210094318</c:v>
                </c:pt>
                <c:pt idx="26">
                  <c:v>258.94491547675437</c:v>
                </c:pt>
                <c:pt idx="27">
                  <c:v>255.21526561798564</c:v>
                </c:pt>
                <c:pt idx="28">
                  <c:v>254.50537781497852</c:v>
                </c:pt>
                <c:pt idx="29">
                  <c:v>252.43326191058742</c:v>
                </c:pt>
                <c:pt idx="30">
                  <c:v>251.63422047097583</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17085.335490576606</c:v>
                </c:pt>
                <c:pt idx="1">
                  <c:v>16345.791005518337</c:v>
                </c:pt>
                <c:pt idx="2">
                  <c:v>15688.916927722772</c:v>
                </c:pt>
                <c:pt idx="3">
                  <c:v>15033.115376067983</c:v>
                </c:pt>
                <c:pt idx="4">
                  <c:v>14308.985953236433</c:v>
                </c:pt>
                <c:pt idx="5">
                  <c:v>13491.437562783367</c:v>
                </c:pt>
                <c:pt idx="6">
                  <c:v>12372.251203926089</c:v>
                </c:pt>
                <c:pt idx="7">
                  <c:v>10921.28053324806</c:v>
                </c:pt>
                <c:pt idx="8">
                  <c:v>9081.6882287568278</c:v>
                </c:pt>
                <c:pt idx="9">
                  <c:v>6744.2431910891501</c:v>
                </c:pt>
                <c:pt idx="10">
                  <c:v>4451.600130210576</c:v>
                </c:pt>
                <c:pt idx="11">
                  <c:v>2698.7505232298959</c:v>
                </c:pt>
                <c:pt idx="12">
                  <c:v>1560.8152949909691</c:v>
                </c:pt>
                <c:pt idx="13">
                  <c:v>1037.5877117360774</c:v>
                </c:pt>
                <c:pt idx="14">
                  <c:v>881.52646936861743</c:v>
                </c:pt>
                <c:pt idx="15">
                  <c:v>792.579894204624</c:v>
                </c:pt>
                <c:pt idx="16">
                  <c:v>727.85283165113367</c:v>
                </c:pt>
                <c:pt idx="17">
                  <c:v>611.70368108943933</c:v>
                </c:pt>
                <c:pt idx="18">
                  <c:v>470.32609213010869</c:v>
                </c:pt>
                <c:pt idx="19">
                  <c:v>377.26845865160328</c:v>
                </c:pt>
                <c:pt idx="20">
                  <c:v>325.37584256539247</c:v>
                </c:pt>
                <c:pt idx="21">
                  <c:v>296.09364166145144</c:v>
                </c:pt>
                <c:pt idx="22">
                  <c:v>279.00291945466313</c:v>
                </c:pt>
                <c:pt idx="23">
                  <c:v>268.46502437662423</c:v>
                </c:pt>
                <c:pt idx="24">
                  <c:v>261.87016689614222</c:v>
                </c:pt>
                <c:pt idx="25">
                  <c:v>258.5034946127281</c:v>
                </c:pt>
                <c:pt idx="26">
                  <c:v>257.62288828910681</c:v>
                </c:pt>
                <c:pt idx="27">
                  <c:v>254.25896848385986</c:v>
                </c:pt>
                <c:pt idx="28">
                  <c:v>254.20545521130117</c:v>
                </c:pt>
                <c:pt idx="29">
                  <c:v>252.02529325843139</c:v>
                </c:pt>
                <c:pt idx="30">
                  <c:v>251.13050342453033</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116465896"/>
        <c:axId val="44126992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1646589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269928"/>
        <c:crosses val="autoZero"/>
        <c:crossBetween val="midCat"/>
      </c:valAx>
      <c:valAx>
        <c:axId val="441269928"/>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646589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23091.664287895361</c:v>
                </c:pt>
                <c:pt idx="1">
                  <c:v>23093.037347630336</c:v>
                </c:pt>
                <c:pt idx="2">
                  <c:v>23092.925814714792</c:v>
                </c:pt>
                <c:pt idx="3">
                  <c:v>23092.894731963072</c:v>
                </c:pt>
                <c:pt idx="4">
                  <c:v>23092.8837616001</c:v>
                </c:pt>
                <c:pt idx="5">
                  <c:v>23092.88101901098</c:v>
                </c:pt>
                <c:pt idx="6">
                  <c:v>23092.880104814758</c:v>
                </c:pt>
                <c:pt idx="7">
                  <c:v>23092.879190618609</c:v>
                </c:pt>
                <c:pt idx="8">
                  <c:v>23092.878276422522</c:v>
                </c:pt>
                <c:pt idx="9">
                  <c:v>23092.878276422522</c:v>
                </c:pt>
                <c:pt idx="10">
                  <c:v>23092.878276422522</c:v>
                </c:pt>
                <c:pt idx="11">
                  <c:v>23092.879190618602</c:v>
                </c:pt>
                <c:pt idx="12">
                  <c:v>23092.880104814769</c:v>
                </c:pt>
                <c:pt idx="13">
                  <c:v>23092.900217148483</c:v>
                </c:pt>
                <c:pt idx="14">
                  <c:v>23093.090371853257</c:v>
                </c:pt>
                <c:pt idx="15">
                  <c:v>23094.990262426258</c:v>
                </c:pt>
                <c:pt idx="16">
                  <c:v>23113.614390393683</c:v>
                </c:pt>
                <c:pt idx="17">
                  <c:v>23266.667815375284</c:v>
                </c:pt>
                <c:pt idx="18">
                  <c:v>23677.952674862463</c:v>
                </c:pt>
                <c:pt idx="19">
                  <c:v>24127.233185682937</c:v>
                </c:pt>
                <c:pt idx="20">
                  <c:v>24294.462096800613</c:v>
                </c:pt>
                <c:pt idx="21">
                  <c:v>23137.466351182688</c:v>
                </c:pt>
                <c:pt idx="22">
                  <c:v>20334.791070595831</c:v>
                </c:pt>
                <c:pt idx="23">
                  <c:v>17463.791970831018</c:v>
                </c:pt>
                <c:pt idx="24">
                  <c:v>15088.2159705507</c:v>
                </c:pt>
                <c:pt idx="25">
                  <c:v>13184.309351933493</c:v>
                </c:pt>
                <c:pt idx="26">
                  <c:v>11597.378361592906</c:v>
                </c:pt>
                <c:pt idx="27">
                  <c:v>10220.861605550637</c:v>
                </c:pt>
                <c:pt idx="28">
                  <c:v>8856.7683423672406</c:v>
                </c:pt>
                <c:pt idx="29">
                  <c:v>7389.4175770851343</c:v>
                </c:pt>
                <c:pt idx="30">
                  <c:v>5812.4040289060513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22879.621291278767</c:v>
                </c:pt>
                <c:pt idx="1">
                  <c:v>22881.083231796893</c:v>
                </c:pt>
                <c:pt idx="2">
                  <c:v>22880.977326821179</c:v>
                </c:pt>
                <c:pt idx="3">
                  <c:v>22880.945914516891</c:v>
                </c:pt>
                <c:pt idx="4">
                  <c:v>22880.936042096218</c:v>
                </c:pt>
                <c:pt idx="5">
                  <c:v>22880.933349619339</c:v>
                </c:pt>
                <c:pt idx="6">
                  <c:v>22880.932452127159</c:v>
                </c:pt>
                <c:pt idx="7">
                  <c:v>22880.930657143079</c:v>
                </c:pt>
                <c:pt idx="8">
                  <c:v>22880.930657143079</c:v>
                </c:pt>
                <c:pt idx="9">
                  <c:v>22880.931554635095</c:v>
                </c:pt>
                <c:pt idx="10">
                  <c:v>22880.931554635074</c:v>
                </c:pt>
                <c:pt idx="11">
                  <c:v>22880.93873457372</c:v>
                </c:pt>
                <c:pt idx="12">
                  <c:v>22881.006046717706</c:v>
                </c:pt>
                <c:pt idx="13">
                  <c:v>22881.676497288649</c:v>
                </c:pt>
                <c:pt idx="14">
                  <c:v>22888.326585920066</c:v>
                </c:pt>
                <c:pt idx="15">
                  <c:v>22950.132221613188</c:v>
                </c:pt>
                <c:pt idx="16">
                  <c:v>23275.539238382869</c:v>
                </c:pt>
                <c:pt idx="17">
                  <c:v>23686.514422745709</c:v>
                </c:pt>
                <c:pt idx="18">
                  <c:v>23949.605541101169</c:v>
                </c:pt>
                <c:pt idx="19">
                  <c:v>23248.691357733402</c:v>
                </c:pt>
                <c:pt idx="20">
                  <c:v>20848.0505678878</c:v>
                </c:pt>
                <c:pt idx="21">
                  <c:v>18012.69349364013</c:v>
                </c:pt>
                <c:pt idx="22">
                  <c:v>15604.81851114552</c:v>
                </c:pt>
                <c:pt idx="23">
                  <c:v>13659.478596315132</c:v>
                </c:pt>
                <c:pt idx="24">
                  <c:v>12056.693466284903</c:v>
                </c:pt>
                <c:pt idx="25">
                  <c:v>10671.101161660947</c:v>
                </c:pt>
                <c:pt idx="26">
                  <c:v>9383.9197173173034</c:v>
                </c:pt>
                <c:pt idx="27">
                  <c:v>8001.5776367701637</c:v>
                </c:pt>
                <c:pt idx="28">
                  <c:v>6489.0635917849504</c:v>
                </c:pt>
                <c:pt idx="29">
                  <c:v>4842.2553687053723</c:v>
                </c:pt>
                <c:pt idx="30">
                  <c:v>3149.0996661072604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22742.488042487119</c:v>
                </c:pt>
                <c:pt idx="1">
                  <c:v>22744.008773208971</c:v>
                </c:pt>
                <c:pt idx="2">
                  <c:v>22743.905020100996</c:v>
                </c:pt>
                <c:pt idx="3">
                  <c:v>22743.873983030415</c:v>
                </c:pt>
                <c:pt idx="4">
                  <c:v>22743.866002083112</c:v>
                </c:pt>
                <c:pt idx="5">
                  <c:v>22743.861568225893</c:v>
                </c:pt>
                <c:pt idx="6">
                  <c:v>22743.859794683511</c:v>
                </c:pt>
                <c:pt idx="7">
                  <c:v>22743.860681454684</c:v>
                </c:pt>
                <c:pt idx="8">
                  <c:v>22743.861568225911</c:v>
                </c:pt>
                <c:pt idx="9">
                  <c:v>22743.866002083108</c:v>
                </c:pt>
                <c:pt idx="10">
                  <c:v>22743.927189489001</c:v>
                </c:pt>
                <c:pt idx="11">
                  <c:v>22744.543515776928</c:v>
                </c:pt>
                <c:pt idx="12">
                  <c:v>22750.655378129468</c:v>
                </c:pt>
                <c:pt idx="13">
                  <c:v>22807.726538330313</c:v>
                </c:pt>
                <c:pt idx="14">
                  <c:v>23119.548715921093</c:v>
                </c:pt>
                <c:pt idx="15">
                  <c:v>23539.170194751117</c:v>
                </c:pt>
                <c:pt idx="16">
                  <c:v>24053.006007932338</c:v>
                </c:pt>
                <c:pt idx="17">
                  <c:v>24532.417037744013</c:v>
                </c:pt>
                <c:pt idx="18">
                  <c:v>24038.911937855533</c:v>
                </c:pt>
                <c:pt idx="19">
                  <c:v>21605.392785053158</c:v>
                </c:pt>
                <c:pt idx="20">
                  <c:v>18380.492109422798</c:v>
                </c:pt>
                <c:pt idx="21">
                  <c:v>15581.640468230606</c:v>
                </c:pt>
                <c:pt idx="22">
                  <c:v>13388.464428663197</c:v>
                </c:pt>
                <c:pt idx="23">
                  <c:v>11600.508502655679</c:v>
                </c:pt>
                <c:pt idx="24">
                  <c:v>10035.900998532001</c:v>
                </c:pt>
                <c:pt idx="25">
                  <c:v>8460.358362409168</c:v>
                </c:pt>
                <c:pt idx="26">
                  <c:v>6802.7139485606767</c:v>
                </c:pt>
                <c:pt idx="27">
                  <c:v>5057.7654618780325</c:v>
                </c:pt>
                <c:pt idx="28">
                  <c:v>3285.2835273837663</c:v>
                </c:pt>
                <c:pt idx="29">
                  <c:v>1940.1857367522732</c:v>
                </c:pt>
                <c:pt idx="30">
                  <c:v>1120.3536230398786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22601.623842724206</c:v>
                </c:pt>
                <c:pt idx="1">
                  <c:v>22603.200238586462</c:v>
                </c:pt>
                <c:pt idx="2">
                  <c:v>22603.09951783068</c:v>
                </c:pt>
                <c:pt idx="3">
                  <c:v>22603.070615518671</c:v>
                </c:pt>
                <c:pt idx="4">
                  <c:v>22603.06098143111</c:v>
                </c:pt>
                <c:pt idx="5">
                  <c:v>22603.0583539541</c:v>
                </c:pt>
                <c:pt idx="6">
                  <c:v>22603.061857256907</c:v>
                </c:pt>
                <c:pt idx="7">
                  <c:v>22603.11615858931</c:v>
                </c:pt>
                <c:pt idx="8">
                  <c:v>22603.655682775396</c:v>
                </c:pt>
                <c:pt idx="9">
                  <c:v>22609.026052897494</c:v>
                </c:pt>
                <c:pt idx="10">
                  <c:v>22659.511958136605</c:v>
                </c:pt>
                <c:pt idx="11">
                  <c:v>22950.442833384557</c:v>
                </c:pt>
                <c:pt idx="12">
                  <c:v>23358.587704015405</c:v>
                </c:pt>
                <c:pt idx="13">
                  <c:v>23870.012369440417</c:v>
                </c:pt>
                <c:pt idx="14">
                  <c:v>24582.450226367855</c:v>
                </c:pt>
                <c:pt idx="15">
                  <c:v>25418.201308726548</c:v>
                </c:pt>
                <c:pt idx="16">
                  <c:v>26537.998319158982</c:v>
                </c:pt>
                <c:pt idx="17">
                  <c:v>27036.96493846388</c:v>
                </c:pt>
                <c:pt idx="18">
                  <c:v>24411.748696698593</c:v>
                </c:pt>
                <c:pt idx="19">
                  <c:v>19836.143480107861</c:v>
                </c:pt>
                <c:pt idx="20">
                  <c:v>15907.606584781948</c:v>
                </c:pt>
                <c:pt idx="21">
                  <c:v>12951.329790737587</c:v>
                </c:pt>
                <c:pt idx="22">
                  <c:v>10476.560790543319</c:v>
                </c:pt>
                <c:pt idx="23">
                  <c:v>8157.2805733477471</c:v>
                </c:pt>
                <c:pt idx="24">
                  <c:v>5920.0994955601627</c:v>
                </c:pt>
                <c:pt idx="25">
                  <c:v>3781.973261189708</c:v>
                </c:pt>
                <c:pt idx="26">
                  <c:v>2200.7791714033719</c:v>
                </c:pt>
                <c:pt idx="27">
                  <c:v>1249.4466557746339</c:v>
                </c:pt>
                <c:pt idx="28">
                  <c:v>724.82946833551421</c:v>
                </c:pt>
                <c:pt idx="29">
                  <c:v>518.33647874718224</c:v>
                </c:pt>
                <c:pt idx="30">
                  <c:v>454.46798250989048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22427.415559851273</c:v>
                </c:pt>
                <c:pt idx="1">
                  <c:v>22429.077271093392</c:v>
                </c:pt>
                <c:pt idx="2">
                  <c:v>22429.119528507599</c:v>
                </c:pt>
                <c:pt idx="3">
                  <c:v>22430.484787376045</c:v>
                </c:pt>
                <c:pt idx="4">
                  <c:v>22444.180201629541</c:v>
                </c:pt>
                <c:pt idx="5">
                  <c:v>22560.863795914058</c:v>
                </c:pt>
                <c:pt idx="6">
                  <c:v>22927.118894522977</c:v>
                </c:pt>
                <c:pt idx="7">
                  <c:v>23359.64470274073</c:v>
                </c:pt>
                <c:pt idx="8">
                  <c:v>23932.162957571156</c:v>
                </c:pt>
                <c:pt idx="9">
                  <c:v>24681.292236302077</c:v>
                </c:pt>
                <c:pt idx="10">
                  <c:v>25712.062135152279</c:v>
                </c:pt>
                <c:pt idx="11">
                  <c:v>27250.346032679754</c:v>
                </c:pt>
                <c:pt idx="12">
                  <c:v>29648.848860571012</c:v>
                </c:pt>
                <c:pt idx="13">
                  <c:v>33100.063003605632</c:v>
                </c:pt>
                <c:pt idx="14">
                  <c:v>38998.208667425417</c:v>
                </c:pt>
                <c:pt idx="15">
                  <c:v>50135.230473373435</c:v>
                </c:pt>
                <c:pt idx="16">
                  <c:v>77661.347885028619</c:v>
                </c:pt>
                <c:pt idx="17">
                  <c:v>112874.35909938901</c:v>
                </c:pt>
                <c:pt idx="18">
                  <c:v>82522.140690347413</c:v>
                </c:pt>
                <c:pt idx="19">
                  <c:v>46155.010680269632</c:v>
                </c:pt>
                <c:pt idx="20">
                  <c:v>18911.340071605871</c:v>
                </c:pt>
                <c:pt idx="21">
                  <c:v>6397.0180976393976</c:v>
                </c:pt>
                <c:pt idx="22">
                  <c:v>2458.1768598411568</c:v>
                </c:pt>
                <c:pt idx="23">
                  <c:v>1138.5739484911751</c:v>
                </c:pt>
                <c:pt idx="24">
                  <c:v>704.79920331109042</c:v>
                </c:pt>
                <c:pt idx="25">
                  <c:v>546.83473929231957</c:v>
                </c:pt>
                <c:pt idx="26">
                  <c:v>472.47631098271978</c:v>
                </c:pt>
                <c:pt idx="27">
                  <c:v>463.3494184422018</c:v>
                </c:pt>
                <c:pt idx="28">
                  <c:v>429.87012763703814</c:v>
                </c:pt>
                <c:pt idx="29">
                  <c:v>429.40543909466612</c:v>
                </c:pt>
                <c:pt idx="30">
                  <c:v>411.52756917249343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23715.402700073144</c:v>
                </c:pt>
                <c:pt idx="1">
                  <c:v>24769.857240838614</c:v>
                </c:pt>
                <c:pt idx="2">
                  <c:v>26045.894473466047</c:v>
                </c:pt>
                <c:pt idx="3">
                  <c:v>28000.797462711733</c:v>
                </c:pt>
                <c:pt idx="4">
                  <c:v>30828.068339661877</c:v>
                </c:pt>
                <c:pt idx="5">
                  <c:v>35260.524500906417</c:v>
                </c:pt>
                <c:pt idx="6">
                  <c:v>43490.574374796946</c:v>
                </c:pt>
                <c:pt idx="7">
                  <c:v>66099.600086088118</c:v>
                </c:pt>
                <c:pt idx="8">
                  <c:v>843764.67547848891</c:v>
                </c:pt>
                <c:pt idx="9">
                  <c:v>-40890.884800236614</c:v>
                </c:pt>
                <c:pt idx="10">
                  <c:v>-13052.406755657226</c:v>
                </c:pt>
                <c:pt idx="11">
                  <c:v>-5000.2094373438613</c:v>
                </c:pt>
                <c:pt idx="12">
                  <c:v>-2152.4502004816723</c:v>
                </c:pt>
                <c:pt idx="13">
                  <c:v>-1024.6827693397393</c:v>
                </c:pt>
                <c:pt idx="14">
                  <c:v>-522.41658208742194</c:v>
                </c:pt>
                <c:pt idx="15">
                  <c:v>-355.57302401162281</c:v>
                </c:pt>
                <c:pt idx="16">
                  <c:v>-315.47182344480592</c:v>
                </c:pt>
                <c:pt idx="17">
                  <c:v>-306.90421543988464</c:v>
                </c:pt>
                <c:pt idx="18">
                  <c:v>-387.9818132749063</c:v>
                </c:pt>
                <c:pt idx="19">
                  <c:v>-686.94569615763794</c:v>
                </c:pt>
                <c:pt idx="20">
                  <c:v>-2922.2876870326827</c:v>
                </c:pt>
                <c:pt idx="21">
                  <c:v>1800.6732871764245</c:v>
                </c:pt>
                <c:pt idx="22">
                  <c:v>825.45518900942818</c:v>
                </c:pt>
                <c:pt idx="23">
                  <c:v>602.54767486320873</c:v>
                </c:pt>
                <c:pt idx="24">
                  <c:v>509.73663975898</c:v>
                </c:pt>
                <c:pt idx="25">
                  <c:v>463.43780280695023</c:v>
                </c:pt>
                <c:pt idx="26">
                  <c:v>456.09614590156087</c:v>
                </c:pt>
                <c:pt idx="27">
                  <c:v>429.45390200097501</c:v>
                </c:pt>
                <c:pt idx="28">
                  <c:v>424.70580143756354</c:v>
                </c:pt>
                <c:pt idx="29">
                  <c:v>412.06053626076198</c:v>
                </c:pt>
                <c:pt idx="30">
                  <c:v>407.54499459758341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24960.032569562049</c:v>
                </c:pt>
                <c:pt idx="1">
                  <c:v>26969.44694541116</c:v>
                </c:pt>
                <c:pt idx="2">
                  <c:v>29542.081530337884</c:v>
                </c:pt>
                <c:pt idx="3">
                  <c:v>33322.437848226611</c:v>
                </c:pt>
                <c:pt idx="4">
                  <c:v>40134.26033842488</c:v>
                </c:pt>
                <c:pt idx="5">
                  <c:v>55922.642432413799</c:v>
                </c:pt>
                <c:pt idx="6">
                  <c:v>181964.24475376276</c:v>
                </c:pt>
                <c:pt idx="7">
                  <c:v>-58763.553057981509</c:v>
                </c:pt>
                <c:pt idx="8">
                  <c:v>-16319.184600284887</c:v>
                </c:pt>
                <c:pt idx="9">
                  <c:v>-6112.1090729963262</c:v>
                </c:pt>
                <c:pt idx="10">
                  <c:v>-2597.7885159963871</c:v>
                </c:pt>
                <c:pt idx="11">
                  <c:v>-1215.9313155279717</c:v>
                </c:pt>
                <c:pt idx="12">
                  <c:v>-607.46000457295872</c:v>
                </c:pt>
                <c:pt idx="13">
                  <c:v>-378.25449083184589</c:v>
                </c:pt>
                <c:pt idx="14">
                  <c:v>-316.51811838334686</c:v>
                </c:pt>
                <c:pt idx="15">
                  <c:v>-289.01073030782044</c:v>
                </c:pt>
                <c:pt idx="16">
                  <c:v>-290.88082303515483</c:v>
                </c:pt>
                <c:pt idx="17">
                  <c:v>-339.17877917695796</c:v>
                </c:pt>
                <c:pt idx="18">
                  <c:v>-513.47871353453911</c:v>
                </c:pt>
                <c:pt idx="19">
                  <c:v>-1262.932154635145</c:v>
                </c:pt>
                <c:pt idx="20">
                  <c:v>4828.5985475575499</c:v>
                </c:pt>
                <c:pt idx="21">
                  <c:v>1039.4167007298379</c:v>
                </c:pt>
                <c:pt idx="22">
                  <c:v>671.63538687963717</c:v>
                </c:pt>
                <c:pt idx="23">
                  <c:v>540.76065309301828</c:v>
                </c:pt>
                <c:pt idx="24">
                  <c:v>479.47253418303558</c:v>
                </c:pt>
                <c:pt idx="25">
                  <c:v>452.63730028284408</c:v>
                </c:pt>
                <c:pt idx="26">
                  <c:v>446.0375034959784</c:v>
                </c:pt>
                <c:pt idx="27">
                  <c:v>423.58243659721273</c:v>
                </c:pt>
                <c:pt idx="28">
                  <c:v>423.23365068359851</c:v>
                </c:pt>
                <c:pt idx="29">
                  <c:v>410.57511038781047</c:v>
                </c:pt>
                <c:pt idx="30">
                  <c:v>404.44648932589445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41266008"/>
        <c:axId val="44127188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412660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271888"/>
        <c:crosses val="autoZero"/>
        <c:crossBetween val="midCat"/>
        <c:majorUnit val="10000"/>
      </c:valAx>
      <c:valAx>
        <c:axId val="441271888"/>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266008"/>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0.35453160081858259</c:v>
                </c:pt>
                <c:pt idx="1">
                  <c:v>0.35453805542820516</c:v>
                </c:pt>
                <c:pt idx="2">
                  <c:v>0.35453812352271485</c:v>
                </c:pt>
                <c:pt idx="3">
                  <c:v>0.35453812876786328</c:v>
                </c:pt>
                <c:pt idx="4">
                  <c:v>0.35453811997607637</c:v>
                </c:pt>
                <c:pt idx="5">
                  <c:v>0.35453812112870858</c:v>
                </c:pt>
                <c:pt idx="6">
                  <c:v>0.35453812039606009</c:v>
                </c:pt>
                <c:pt idx="7">
                  <c:v>0.354538116312834</c:v>
                </c:pt>
                <c:pt idx="8">
                  <c:v>0.35453811222960796</c:v>
                </c:pt>
                <c:pt idx="9">
                  <c:v>0.35453811222960796</c:v>
                </c:pt>
                <c:pt idx="10">
                  <c:v>0.35453811222960796</c:v>
                </c:pt>
                <c:pt idx="11">
                  <c:v>0.35453811966341159</c:v>
                </c:pt>
                <c:pt idx="12">
                  <c:v>0.3545381371489465</c:v>
                </c:pt>
                <c:pt idx="13">
                  <c:v>0.35453838110625602</c:v>
                </c:pt>
                <c:pt idx="14">
                  <c:v>0.3545407582571321</c:v>
                </c:pt>
                <c:pt idx="15">
                  <c:v>0.35456448598294432</c:v>
                </c:pt>
                <c:pt idx="16">
                  <c:v>0.3547965636514262</c:v>
                </c:pt>
                <c:pt idx="17">
                  <c:v>0.35667109899733923</c:v>
                </c:pt>
                <c:pt idx="18">
                  <c:v>0.36144566360499458</c:v>
                </c:pt>
                <c:pt idx="19">
                  <c:v>0.36660866917731405</c:v>
                </c:pt>
                <c:pt idx="20">
                  <c:v>0.37262574130210468</c:v>
                </c:pt>
                <c:pt idx="21">
                  <c:v>0.37926119536791486</c:v>
                </c:pt>
                <c:pt idx="22">
                  <c:v>0.38316552006257132</c:v>
                </c:pt>
                <c:pt idx="23">
                  <c:v>0.38501778445069501</c:v>
                </c:pt>
                <c:pt idx="24">
                  <c:v>0.38494618305647005</c:v>
                </c:pt>
                <c:pt idx="25">
                  <c:v>0.38331255995313573</c:v>
                </c:pt>
                <c:pt idx="26">
                  <c:v>0.38109942562237648</c:v>
                </c:pt>
                <c:pt idx="27">
                  <c:v>0.37857148814442121</c:v>
                </c:pt>
                <c:pt idx="28">
                  <c:v>0.37664235561688492</c:v>
                </c:pt>
                <c:pt idx="29">
                  <c:v>0.37516292196274398</c:v>
                </c:pt>
                <c:pt idx="30">
                  <c:v>0.37421321910224914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0.35449198253321207</c:v>
                </c:pt>
                <c:pt idx="1">
                  <c:v>0.35449904238900409</c:v>
                </c:pt>
                <c:pt idx="2">
                  <c:v>0.35449913623189183</c:v>
                </c:pt>
                <c:pt idx="3">
                  <c:v>0.35449913743730305</c:v>
                </c:pt>
                <c:pt idx="4">
                  <c:v>0.3544991327862852</c:v>
                </c:pt>
                <c:pt idx="5">
                  <c:v>0.35449913393353982</c:v>
                </c:pt>
                <c:pt idx="6">
                  <c:v>0.35449913320875592</c:v>
                </c:pt>
                <c:pt idx="7">
                  <c:v>0.35449912511597731</c:v>
                </c:pt>
                <c:pt idx="8">
                  <c:v>0.35449912511597731</c:v>
                </c:pt>
                <c:pt idx="9">
                  <c:v>0.3544991324839723</c:v>
                </c:pt>
                <c:pt idx="10">
                  <c:v>0.35449913580557774</c:v>
                </c:pt>
                <c:pt idx="11">
                  <c:v>0.354499224643958</c:v>
                </c:pt>
                <c:pt idx="12">
                  <c:v>0.35450008282820761</c:v>
                </c:pt>
                <c:pt idx="13">
                  <c:v>0.35450863896742107</c:v>
                </c:pt>
                <c:pt idx="14">
                  <c:v>0.35459347634896232</c:v>
                </c:pt>
                <c:pt idx="15">
                  <c:v>0.35537643735204172</c:v>
                </c:pt>
                <c:pt idx="16">
                  <c:v>0.3593396515616552</c:v>
                </c:pt>
                <c:pt idx="17">
                  <c:v>0.36418424794899595</c:v>
                </c:pt>
                <c:pt idx="18">
                  <c:v>0.36965849697484854</c:v>
                </c:pt>
                <c:pt idx="19">
                  <c:v>0.37592009994035108</c:v>
                </c:pt>
                <c:pt idx="20">
                  <c:v>0.38092475665105002</c:v>
                </c:pt>
                <c:pt idx="21">
                  <c:v>0.3833026736780884</c:v>
                </c:pt>
                <c:pt idx="22">
                  <c:v>0.38389689769646873</c:v>
                </c:pt>
                <c:pt idx="23">
                  <c:v>0.38287226574844252</c:v>
                </c:pt>
                <c:pt idx="24">
                  <c:v>0.380916911523283</c:v>
                </c:pt>
                <c:pt idx="25">
                  <c:v>0.37858573574949567</c:v>
                </c:pt>
                <c:pt idx="26">
                  <c:v>0.37649410592537874</c:v>
                </c:pt>
                <c:pt idx="27">
                  <c:v>0.37497807897796537</c:v>
                </c:pt>
                <c:pt idx="28">
                  <c:v>0.37395481653161627</c:v>
                </c:pt>
                <c:pt idx="29">
                  <c:v>0.3735185684015519</c:v>
                </c:pt>
                <c:pt idx="30">
                  <c:v>0.3742432369178007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0.35446423052430071</c:v>
                </c:pt>
                <c:pt idx="1">
                  <c:v>0.35447169731669115</c:v>
                </c:pt>
                <c:pt idx="2">
                  <c:v>0.35447179808384754</c:v>
                </c:pt>
                <c:pt idx="3">
                  <c:v>0.35447179931980138</c:v>
                </c:pt>
                <c:pt idx="4">
                  <c:v>0.35447180605477441</c:v>
                </c:pt>
                <c:pt idx="5">
                  <c:v>0.35447179585064437</c:v>
                </c:pt>
                <c:pt idx="6">
                  <c:v>0.3544717911084036</c:v>
                </c:pt>
                <c:pt idx="7">
                  <c:v>0.35447179843394588</c:v>
                </c:pt>
                <c:pt idx="8">
                  <c:v>0.35447180906243542</c:v>
                </c:pt>
                <c:pt idx="9">
                  <c:v>0.35447187871959884</c:v>
                </c:pt>
                <c:pt idx="10">
                  <c:v>0.35447267153580425</c:v>
                </c:pt>
                <c:pt idx="11">
                  <c:v>0.35448062287287818</c:v>
                </c:pt>
                <c:pt idx="12">
                  <c:v>0.35455947482626826</c:v>
                </c:pt>
                <c:pt idx="13">
                  <c:v>0.35529081975122406</c:v>
                </c:pt>
                <c:pt idx="14">
                  <c:v>0.35912723783399148</c:v>
                </c:pt>
                <c:pt idx="15">
                  <c:v>0.36392472940027848</c:v>
                </c:pt>
                <c:pt idx="16">
                  <c:v>0.36941035700662039</c:v>
                </c:pt>
                <c:pt idx="17">
                  <c:v>0.3759834329569689</c:v>
                </c:pt>
                <c:pt idx="18">
                  <c:v>0.38227431271814427</c:v>
                </c:pt>
                <c:pt idx="19">
                  <c:v>0.38734359624163656</c:v>
                </c:pt>
                <c:pt idx="20">
                  <c:v>0.38917313180529733</c:v>
                </c:pt>
                <c:pt idx="21">
                  <c:v>0.38840338041227873</c:v>
                </c:pt>
                <c:pt idx="22">
                  <c:v>0.38639847852164921</c:v>
                </c:pt>
                <c:pt idx="23">
                  <c:v>0.38376154232722165</c:v>
                </c:pt>
                <c:pt idx="24">
                  <c:v>0.38110589489932811</c:v>
                </c:pt>
                <c:pt idx="25">
                  <c:v>0.37899585722899659</c:v>
                </c:pt>
                <c:pt idx="26">
                  <c:v>0.37730016166598934</c:v>
                </c:pt>
                <c:pt idx="27">
                  <c:v>0.37638611212264145</c:v>
                </c:pt>
                <c:pt idx="28">
                  <c:v>0.37671337874194777</c:v>
                </c:pt>
                <c:pt idx="29">
                  <c:v>0.37829150144491613</c:v>
                </c:pt>
                <c:pt idx="30">
                  <c:v>0.38163167791638225</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0.35443393854720717</c:v>
                </c:pt>
                <c:pt idx="1">
                  <c:v>0.35444179852983004</c:v>
                </c:pt>
                <c:pt idx="2">
                  <c:v>0.35444191341394027</c:v>
                </c:pt>
                <c:pt idx="3">
                  <c:v>0.35444192596348811</c:v>
                </c:pt>
                <c:pt idx="4">
                  <c:v>0.35444192138973502</c:v>
                </c:pt>
                <c:pt idx="5">
                  <c:v>0.35444192581444917</c:v>
                </c:pt>
                <c:pt idx="6">
                  <c:v>0.35444199106484525</c:v>
                </c:pt>
                <c:pt idx="7">
                  <c:v>0.35444270197208333</c:v>
                </c:pt>
                <c:pt idx="8">
                  <c:v>0.35444977515631193</c:v>
                </c:pt>
                <c:pt idx="9">
                  <c:v>0.35452006923925178</c:v>
                </c:pt>
                <c:pt idx="10">
                  <c:v>0.35517692935409251</c:v>
                </c:pt>
                <c:pt idx="11">
                  <c:v>0.35881882566446083</c:v>
                </c:pt>
                <c:pt idx="12">
                  <c:v>0.36355815694845905</c:v>
                </c:pt>
                <c:pt idx="13">
                  <c:v>0.36895837028130662</c:v>
                </c:pt>
                <c:pt idx="14">
                  <c:v>0.37563210753117782</c:v>
                </c:pt>
                <c:pt idx="15">
                  <c:v>0.38288574717153689</c:v>
                </c:pt>
                <c:pt idx="16">
                  <c:v>0.39167245814880008</c:v>
                </c:pt>
                <c:pt idx="17">
                  <c:v>0.40104710629953405</c:v>
                </c:pt>
                <c:pt idx="18">
                  <c:v>0.40576302551523996</c:v>
                </c:pt>
                <c:pt idx="19">
                  <c:v>0.40431513159354637</c:v>
                </c:pt>
                <c:pt idx="20">
                  <c:v>0.40065839997720054</c:v>
                </c:pt>
                <c:pt idx="21">
                  <c:v>0.3968951632287262</c:v>
                </c:pt>
                <c:pt idx="22">
                  <c:v>0.39383500015501505</c:v>
                </c:pt>
                <c:pt idx="23">
                  <c:v>0.39071492979880451</c:v>
                </c:pt>
                <c:pt idx="24">
                  <c:v>0.38800589013048981</c:v>
                </c:pt>
                <c:pt idx="25">
                  <c:v>0.38654671784347389</c:v>
                </c:pt>
                <c:pt idx="26">
                  <c:v>0.38644081099788508</c:v>
                </c:pt>
                <c:pt idx="27">
                  <c:v>0.38812045530793199</c:v>
                </c:pt>
                <c:pt idx="28">
                  <c:v>0.39244820230841321</c:v>
                </c:pt>
                <c:pt idx="29">
                  <c:v>0.39624241381135833</c:v>
                </c:pt>
                <c:pt idx="30">
                  <c:v>0.3969918210090822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0.35439386328836164</c:v>
                </c:pt>
                <c:pt idx="1">
                  <c:v>0.35440241919473009</c:v>
                </c:pt>
                <c:pt idx="2">
                  <c:v>0.35440441005241635</c:v>
                </c:pt>
                <c:pt idx="3">
                  <c:v>0.35442301719924163</c:v>
                </c:pt>
                <c:pt idx="4">
                  <c:v>0.35460557658529956</c:v>
                </c:pt>
                <c:pt idx="5">
                  <c:v>0.35613719677011779</c:v>
                </c:pt>
                <c:pt idx="6">
                  <c:v>0.36067736835032149</c:v>
                </c:pt>
                <c:pt idx="7">
                  <c:v>0.3656067019348529</c:v>
                </c:pt>
                <c:pt idx="8">
                  <c:v>0.37147413716127109</c:v>
                </c:pt>
                <c:pt idx="9">
                  <c:v>0.37855861509445748</c:v>
                </c:pt>
                <c:pt idx="10">
                  <c:v>0.38634488904137881</c:v>
                </c:pt>
                <c:pt idx="11">
                  <c:v>0.39646865319836666</c:v>
                </c:pt>
                <c:pt idx="12">
                  <c:v>0.40852174849418049</c:v>
                </c:pt>
                <c:pt idx="13">
                  <c:v>0.42133617005245555</c:v>
                </c:pt>
                <c:pt idx="14">
                  <c:v>0.43630140713956289</c:v>
                </c:pt>
                <c:pt idx="15">
                  <c:v>0.45317760689046493</c:v>
                </c:pt>
                <c:pt idx="16">
                  <c:v>0.47277064594804052</c:v>
                </c:pt>
                <c:pt idx="17">
                  <c:v>0.48498347713740708</c:v>
                </c:pt>
                <c:pt idx="18">
                  <c:v>0.48525563462025828</c:v>
                </c:pt>
                <c:pt idx="19">
                  <c:v>0.48274930343114508</c:v>
                </c:pt>
                <c:pt idx="20">
                  <c:v>0.47548340329898497</c:v>
                </c:pt>
                <c:pt idx="21">
                  <c:v>0.46114550893631406</c:v>
                </c:pt>
                <c:pt idx="22">
                  <c:v>0.4467621079889309</c:v>
                </c:pt>
                <c:pt idx="23">
                  <c:v>0.43590995423676454</c:v>
                </c:pt>
                <c:pt idx="24">
                  <c:v>0.42295336636595238</c:v>
                </c:pt>
                <c:pt idx="25">
                  <c:v>0.4129533589799555</c:v>
                </c:pt>
                <c:pt idx="26">
                  <c:v>0.40758632812471929</c:v>
                </c:pt>
                <c:pt idx="27">
                  <c:v>0.40628596068076334</c:v>
                </c:pt>
                <c:pt idx="28">
                  <c:v>0.40089600882737497</c:v>
                </c:pt>
                <c:pt idx="29">
                  <c:v>0.40081755450233147</c:v>
                </c:pt>
                <c:pt idx="30">
                  <c:v>0.39776288812522081</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0.37291438229131724</c:v>
                </c:pt>
                <c:pt idx="1">
                  <c:v>0.38217872232224498</c:v>
                </c:pt>
                <c:pt idx="2">
                  <c:v>0.39141658043226329</c:v>
                </c:pt>
                <c:pt idx="3">
                  <c:v>0.40272477683572211</c:v>
                </c:pt>
                <c:pt idx="4">
                  <c:v>0.41512492980211818</c:v>
                </c:pt>
                <c:pt idx="5">
                  <c:v>0.42897985887431728</c:v>
                </c:pt>
                <c:pt idx="6">
                  <c:v>0.4452416962152671</c:v>
                </c:pt>
                <c:pt idx="7">
                  <c:v>0.46618608221123053</c:v>
                </c:pt>
                <c:pt idx="8">
                  <c:v>0.49758658379282245</c:v>
                </c:pt>
                <c:pt idx="9">
                  <c:v>0.54352593299726781</c:v>
                </c:pt>
                <c:pt idx="10">
                  <c:v>0.61121791191593877</c:v>
                </c:pt>
                <c:pt idx="11">
                  <c:v>0.70869747499586222</c:v>
                </c:pt>
                <c:pt idx="12">
                  <c:v>0.80972430787139493</c:v>
                </c:pt>
                <c:pt idx="13">
                  <c:v>0.88736300943701596</c:v>
                </c:pt>
                <c:pt idx="14">
                  <c:v>0.93812660593612618</c:v>
                </c:pt>
                <c:pt idx="15">
                  <c:v>0.9549020055852302</c:v>
                </c:pt>
                <c:pt idx="16">
                  <c:v>0.93979809859640007</c:v>
                </c:pt>
                <c:pt idx="17">
                  <c:v>0.87903931691536952</c:v>
                </c:pt>
                <c:pt idx="18">
                  <c:v>0.73576591204044639</c:v>
                </c:pt>
                <c:pt idx="19">
                  <c:v>0.6030382124116096</c:v>
                </c:pt>
                <c:pt idx="20">
                  <c:v>0.52005099473135197</c:v>
                </c:pt>
                <c:pt idx="21">
                  <c:v>0.47121221295758564</c:v>
                </c:pt>
                <c:pt idx="22">
                  <c:v>0.44190769940610913</c:v>
                </c:pt>
                <c:pt idx="23">
                  <c:v>0.42423484717682641</c:v>
                </c:pt>
                <c:pt idx="24">
                  <c:v>0.41325452255542594</c:v>
                </c:pt>
                <c:pt idx="25">
                  <c:v>0.40654060784894686</c:v>
                </c:pt>
                <c:pt idx="26">
                  <c:v>0.40537634158805835</c:v>
                </c:pt>
                <c:pt idx="27">
                  <c:v>0.40095356590123371</c:v>
                </c:pt>
                <c:pt idx="28">
                  <c:v>0.40012483270634358</c:v>
                </c:pt>
                <c:pt idx="29">
                  <c:v>0.39789798678559474</c:v>
                </c:pt>
                <c:pt idx="30">
                  <c:v>0.39709348096257707</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0.38591537662620667</c:v>
                </c:pt>
                <c:pt idx="1">
                  <c:v>0.39898574833833361</c:v>
                </c:pt>
                <c:pt idx="2">
                  <c:v>0.41148831251892193</c:v>
                </c:pt>
                <c:pt idx="3">
                  <c:v>0.42480984612360811</c:v>
                </c:pt>
                <c:pt idx="4">
                  <c:v>0.44057867338038831</c:v>
                </c:pt>
                <c:pt idx="5">
                  <c:v>0.45979136840952911</c:v>
                </c:pt>
                <c:pt idx="6">
                  <c:v>0.48866787335000123</c:v>
                </c:pt>
                <c:pt idx="7">
                  <c:v>0.53097521044059437</c:v>
                </c:pt>
                <c:pt idx="8">
                  <c:v>0.59275063318827714</c:v>
                </c:pt>
                <c:pt idx="9">
                  <c:v>0.68390387318417989</c:v>
                </c:pt>
                <c:pt idx="10">
                  <c:v>0.78560190734022317</c:v>
                </c:pt>
                <c:pt idx="11">
                  <c:v>0.86991542871510341</c:v>
                </c:pt>
                <c:pt idx="12">
                  <c:v>0.92823540733577847</c:v>
                </c:pt>
                <c:pt idx="13">
                  <c:v>0.95718237187096167</c:v>
                </c:pt>
                <c:pt idx="14">
                  <c:v>0.9641790459848536</c:v>
                </c:pt>
                <c:pt idx="15">
                  <c:v>0.95706486016422332</c:v>
                </c:pt>
                <c:pt idx="16">
                  <c:v>0.91703954220635575</c:v>
                </c:pt>
                <c:pt idx="17">
                  <c:v>0.80058075497027603</c:v>
                </c:pt>
                <c:pt idx="18">
                  <c:v>0.65266004209230388</c:v>
                </c:pt>
                <c:pt idx="19">
                  <c:v>0.5497873747304336</c:v>
                </c:pt>
                <c:pt idx="20">
                  <c:v>0.48876914148896</c:v>
                </c:pt>
                <c:pt idx="21">
                  <c:v>0.45252246741633295</c:v>
                </c:pt>
                <c:pt idx="22">
                  <c:v>0.43076528205010961</c:v>
                </c:pt>
                <c:pt idx="23">
                  <c:v>0.41725697778950505</c:v>
                </c:pt>
                <c:pt idx="24">
                  <c:v>0.40897283013220004</c:v>
                </c:pt>
                <c:pt idx="25">
                  <c:v>0.40481580784026033</c:v>
                </c:pt>
                <c:pt idx="26">
                  <c:v>0.4037364622668515</c:v>
                </c:pt>
                <c:pt idx="27">
                  <c:v>0.39995691254874655</c:v>
                </c:pt>
                <c:pt idx="28">
                  <c:v>0.39989554044174197</c:v>
                </c:pt>
                <c:pt idx="29">
                  <c:v>0.39769419898981057</c:v>
                </c:pt>
                <c:pt idx="30">
                  <c:v>0.39651267841674243</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41270712"/>
        <c:axId val="44126914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12707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1269144"/>
        <c:crosses val="autoZero"/>
        <c:crossBetween val="midCat"/>
        <c:majorUnit val="10000"/>
      </c:valAx>
      <c:valAx>
        <c:axId val="441269144"/>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1270712"/>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41273064"/>
        <c:axId val="44126757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127306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267576"/>
        <c:crosses val="autoZero"/>
        <c:crossBetween val="midCat"/>
        <c:majorUnit val="10000"/>
      </c:valAx>
      <c:valAx>
        <c:axId val="441267576"/>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273064"/>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1.4541118470158793E-2</c:v>
                </c:pt>
                <c:pt idx="1">
                  <c:v>1.9844802799964149E-2</c:v>
                </c:pt>
                <c:pt idx="2">
                  <c:v>5.5227605740725142E-3</c:v>
                </c:pt>
                <c:pt idx="3">
                  <c:v>9.5051613708754432E-4</c:v>
                </c:pt>
                <c:pt idx="4">
                  <c:v>1.4223690755627133E-4</c:v>
                </c:pt>
                <c:pt idx="5">
                  <c:v>2.0177102976674456E-5</c:v>
                </c:pt>
                <c:pt idx="6">
                  <c:v>3.0494894840045716E-6</c:v>
                </c:pt>
                <c:pt idx="7">
                  <c:v>1.47027121535566E-6</c:v>
                </c:pt>
                <c:pt idx="8">
                  <c:v>2.1378424294124404E-6</c:v>
                </c:pt>
                <c:pt idx="9">
                  <c:v>3.7439647452870781E-6</c:v>
                </c:pt>
                <c:pt idx="10">
                  <c:v>7.8962656156628689E-6</c:v>
                </c:pt>
                <c:pt idx="11">
                  <c:v>1.2140170077971408E-5</c:v>
                </c:pt>
                <c:pt idx="12">
                  <c:v>2.7344239646846314E-5</c:v>
                </c:pt>
                <c:pt idx="13">
                  <c:v>2.843751029153816E-5</c:v>
                </c:pt>
                <c:pt idx="14">
                  <c:v>7.1262229983848268E-6</c:v>
                </c:pt>
                <c:pt idx="15">
                  <c:v>5.814766136002786E-8</c:v>
                </c:pt>
                <c:pt idx="16">
                  <c:v>1.5313804420583351E-5</c:v>
                </c:pt>
                <c:pt idx="17">
                  <c:v>4.2187181060436725E-5</c:v>
                </c:pt>
                <c:pt idx="18">
                  <c:v>5.1848806530115306E-5</c:v>
                </c:pt>
                <c:pt idx="19">
                  <c:v>3.976176842542894E-5</c:v>
                </c:pt>
                <c:pt idx="20">
                  <c:v>1.3785676523716372E-5</c:v>
                </c:pt>
                <c:pt idx="21">
                  <c:v>1.2523897284165058E-5</c:v>
                </c:pt>
                <c:pt idx="22">
                  <c:v>7.7709349537788329E-6</c:v>
                </c:pt>
                <c:pt idx="23">
                  <c:v>7.788868953144828E-5</c:v>
                </c:pt>
                <c:pt idx="24">
                  <c:v>1.6930716154725382E-4</c:v>
                </c:pt>
                <c:pt idx="25">
                  <c:v>3.8405571624011838E-4</c:v>
                </c:pt>
                <c:pt idx="26">
                  <c:v>7.1781760251653421E-4</c:v>
                </c:pt>
                <c:pt idx="27">
                  <c:v>1.0369977635366202E-3</c:v>
                </c:pt>
                <c:pt idx="28">
                  <c:v>3.5730730501997996E-3</c:v>
                </c:pt>
                <c:pt idx="29">
                  <c:v>2.8912484754059545E-3</c:v>
                </c:pt>
                <c:pt idx="30">
                  <c:v>1.3138072492738223E-4</c:v>
                </c:pt>
              </c:numCache>
            </c:numRef>
          </c:yVal>
          <c:smooth val="1"/>
        </c:ser>
        <c:dLbls>
          <c:showLegendKey val="0"/>
          <c:showVal val="0"/>
          <c:showCatName val="0"/>
          <c:showSerName val="0"/>
          <c:showPercent val="0"/>
          <c:showBubbleSize val="0"/>
        </c:dLbls>
        <c:axId val="441268360"/>
        <c:axId val="441268752"/>
      </c:scatterChart>
      <c:valAx>
        <c:axId val="44126836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268752"/>
        <c:crossesAt val="-1.5000000000000005E-3"/>
        <c:crossBetween val="midCat"/>
      </c:valAx>
      <c:valAx>
        <c:axId val="44126875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1268360"/>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6074.2870333441651</c:v>
                </c:pt>
                <c:pt idx="1">
                  <c:v>5957.9484724674712</c:v>
                </c:pt>
                <c:pt idx="2">
                  <c:v>5526.8862864407483</c:v>
                </c:pt>
                <c:pt idx="3">
                  <c:v>5280.495722205379</c:v>
                </c:pt>
                <c:pt idx="4">
                  <c:v>4965.6957137065692</c:v>
                </c:pt>
                <c:pt idx="5">
                  <c:v>4621.1089039414765</c:v>
                </c:pt>
                <c:pt idx="6">
                  <c:v>4155.464659499411</c:v>
                </c:pt>
                <c:pt idx="7">
                  <c:v>3566.777736182109</c:v>
                </c:pt>
                <c:pt idx="8">
                  <c:v>2850.9386919405069</c:v>
                </c:pt>
                <c:pt idx="9">
                  <c:v>2002.5693119123268</c:v>
                </c:pt>
                <c:pt idx="10">
                  <c:v>1246.5166398215954</c:v>
                </c:pt>
                <c:pt idx="11">
                  <c:v>721.6324452637657</c:v>
                </c:pt>
                <c:pt idx="12">
                  <c:v>404.71526706378677</c:v>
                </c:pt>
                <c:pt idx="13">
                  <c:v>265.07933881383821</c:v>
                </c:pt>
                <c:pt idx="14">
                  <c:v>224.39914253652398</c:v>
                </c:pt>
                <c:pt idx="15">
                  <c:v>202.49199615816093</c:v>
                </c:pt>
                <c:pt idx="16">
                  <c:v>189.84062712898782</c:v>
                </c:pt>
                <c:pt idx="17">
                  <c:v>169.85571831394682</c:v>
                </c:pt>
                <c:pt idx="18">
                  <c:v>142.30103772013257</c:v>
                </c:pt>
                <c:pt idx="19">
                  <c:v>121.7113598748134</c:v>
                </c:pt>
                <c:pt idx="20">
                  <c:v>109.27830213020289</c:v>
                </c:pt>
                <c:pt idx="21">
                  <c:v>101.92266903167608</c:v>
                </c:pt>
                <c:pt idx="22">
                  <c:v>97.500531653015301</c:v>
                </c:pt>
                <c:pt idx="23">
                  <c:v>94.72027267218516</c:v>
                </c:pt>
                <c:pt idx="24">
                  <c:v>92.913725801555998</c:v>
                </c:pt>
                <c:pt idx="25">
                  <c:v>92.041523491636113</c:v>
                </c:pt>
                <c:pt idx="26">
                  <c:v>91.697397967903811</c:v>
                </c:pt>
                <c:pt idx="27">
                  <c:v>90.903738602267254</c:v>
                </c:pt>
                <c:pt idx="28">
                  <c:v>90.470021952546219</c:v>
                </c:pt>
                <c:pt idx="29">
                  <c:v>90.418190612083663</c:v>
                </c:pt>
                <c:pt idx="30">
                  <c:v>89.925247730966291</c:v>
                </c:pt>
              </c:numCache>
            </c:numRef>
          </c:yVal>
          <c:smooth val="1"/>
        </c:ser>
        <c:dLbls>
          <c:showLegendKey val="0"/>
          <c:showVal val="0"/>
          <c:showCatName val="0"/>
          <c:showSerName val="0"/>
          <c:showPercent val="0"/>
          <c:showBubbleSize val="0"/>
        </c:dLbls>
        <c:axId val="393383568"/>
        <c:axId val="440223928"/>
      </c:scatterChart>
      <c:valAx>
        <c:axId val="3933835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23928"/>
        <c:crosses val="autoZero"/>
        <c:crossBetween val="midCat"/>
      </c:valAx>
      <c:valAx>
        <c:axId val="4402239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93383568"/>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0.18157256614329767</c:v>
                </c:pt>
                <c:pt idx="11">
                  <c:v>0.1815725522365696</c:v>
                </c:pt>
                <c:pt idx="12">
                  <c:v>0.18157247579777816</c:v>
                </c:pt>
                <c:pt idx="13">
                  <c:v>0.18157166965753577</c:v>
                </c:pt>
                <c:pt idx="14">
                  <c:v>0.18156360825522849</c:v>
                </c:pt>
                <c:pt idx="15">
                  <c:v>0.18148318908786698</c:v>
                </c:pt>
                <c:pt idx="16">
                  <c:v>0.1806962700868765</c:v>
                </c:pt>
                <c:pt idx="17">
                  <c:v>0.17431093754230192</c:v>
                </c:pt>
                <c:pt idx="18">
                  <c:v>0.15785059068071944</c:v>
                </c:pt>
                <c:pt idx="19">
                  <c:v>0.1394070671886509</c:v>
                </c:pt>
                <c:pt idx="20">
                  <c:v>0.11188796002482602</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0.16444645042573106</c:v>
                </c:pt>
                <c:pt idx="1">
                  <c:v>0.16445475914921268</c:v>
                </c:pt>
                <c:pt idx="2">
                  <c:v>0.16445030556764856</c:v>
                </c:pt>
                <c:pt idx="3">
                  <c:v>0.16444915737869353</c:v>
                </c:pt>
                <c:pt idx="4">
                  <c:v>0.16444883031922625</c:v>
                </c:pt>
                <c:pt idx="5">
                  <c:v>0.16444870506653722</c:v>
                </c:pt>
                <c:pt idx="6">
                  <c:v>0.16444841980189245</c:v>
                </c:pt>
                <c:pt idx="7">
                  <c:v>0.16444590813278792</c:v>
                </c:pt>
                <c:pt idx="8">
                  <c:v>0.16442088886397807</c:v>
                </c:pt>
                <c:pt idx="9">
                  <c:v>0.16417238715916266</c:v>
                </c:pt>
                <c:pt idx="10">
                  <c:v>0.16184626686350054</c:v>
                </c:pt>
                <c:pt idx="11">
                  <c:v>0.1488473576757465</c:v>
                </c:pt>
                <c:pt idx="12">
                  <c:v>0.13169768446897384</c:v>
                </c:pt>
                <c:pt idx="13">
                  <c:v>0.11223647569592504</c:v>
                </c:pt>
                <c:pt idx="14">
                  <c:v>9.182377688954714E-2</c:v>
                </c:pt>
                <c:pt idx="15">
                  <c:v>9.8009806545722944E-2</c:v>
                </c:pt>
                <c:pt idx="16">
                  <c:v>0.12343233064249841</c:v>
                </c:pt>
                <c:pt idx="17">
                  <c:v>9.5153616745348668E-2</c:v>
                </c:pt>
                <c:pt idx="18">
                  <c:v>1.1781839545203569E-2</c:v>
                </c:pt>
                <c:pt idx="19">
                  <c:v>0.10369666049213361</c:v>
                </c:pt>
                <c:pt idx="20">
                  <c:v>0.16959573880164677</c:v>
                </c:pt>
                <c:pt idx="21">
                  <c:v>0.15735954766645696</c:v>
                </c:pt>
                <c:pt idx="22">
                  <c:v>6.2626680311876654E-2</c:v>
                </c:pt>
                <c:pt idx="23">
                  <c:v>0.13083730069843566</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4.058693156329158E-2</c:v>
                </c:pt>
                <c:pt idx="11">
                  <c:v>2.5969320505910196E-2</c:v>
                </c:pt>
                <c:pt idx="12">
                  <c:v>5.2310261067794274E-2</c:v>
                </c:pt>
                <c:pt idx="13">
                  <c:v>4.7330201873054242E-2</c:v>
                </c:pt>
                <c:pt idx="14">
                  <c:v>5.3941609179399587E-2</c:v>
                </c:pt>
                <c:pt idx="15">
                  <c:v>6.0891273221048571E-2</c:v>
                </c:pt>
                <c:pt idx="16">
                  <c:v>5.7829919259318005E-2</c:v>
                </c:pt>
                <c:pt idx="17">
                  <c:v>5.7505695180177169E-3</c:v>
                </c:pt>
                <c:pt idx="18">
                  <c:v>9.81523926357908E-2</c:v>
                </c:pt>
                <c:pt idx="19">
                  <c:v>0.13751398572678014</c:v>
                </c:pt>
                <c:pt idx="20">
                  <c:v>0.18556812848013371</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3.6828986352156916E-6</c:v>
                </c:pt>
                <c:pt idx="11">
                  <c:v>1.6584170195744412E-5</c:v>
                </c:pt>
                <c:pt idx="12">
                  <c:v>2.310622724276176E-5</c:v>
                </c:pt>
                <c:pt idx="13">
                  <c:v>2.9837730000140983E-5</c:v>
                </c:pt>
                <c:pt idx="14">
                  <c:v>6.1852253566543505E-6</c:v>
                </c:pt>
                <c:pt idx="15">
                  <c:v>4.5736704394127822E-7</c:v>
                </c:pt>
                <c:pt idx="16">
                  <c:v>1.5845476610676437E-5</c:v>
                </c:pt>
                <c:pt idx="17">
                  <c:v>4.1091118758460114E-5</c:v>
                </c:pt>
                <c:pt idx="18">
                  <c:v>5.2885440345926205E-5</c:v>
                </c:pt>
                <c:pt idx="19">
                  <c:v>3.9022807736257051E-5</c:v>
                </c:pt>
                <c:pt idx="20">
                  <c:v>1.4295141818319196E-5</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40224320"/>
        <c:axId val="440217656"/>
      </c:scatterChart>
      <c:valAx>
        <c:axId val="4402243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17656"/>
        <c:crossesAt val="1.0000000000000005E-9"/>
        <c:crossBetween val="midCat"/>
      </c:valAx>
      <c:valAx>
        <c:axId val="440217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24320"/>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-44.26089696904954</c:v>
                </c:pt>
                <c:pt idx="1">
                  <c:v>-41.268748195236732</c:v>
                </c:pt>
                <c:pt idx="2">
                  <c:v>-37.103682773973375</c:v>
                </c:pt>
                <c:pt idx="3">
                  <c:v>-31.380796825884964</c:v>
                </c:pt>
                <c:pt idx="4">
                  <c:v>-22.619462830515431</c:v>
                </c:pt>
                <c:pt idx="5">
                  <c:v>-4.183678981864384</c:v>
                </c:pt>
                <c:pt idx="6">
                  <c:v>0</c:v>
                </c:pt>
              </c:numCache>
            </c:numRef>
          </c:yVal>
          <c:smooth val="0"/>
        </c:ser>
        <c:dLbls>
          <c:showLegendKey val="0"/>
          <c:showVal val="0"/>
          <c:showCatName val="0"/>
          <c:showSerName val="0"/>
          <c:showPercent val="0"/>
          <c:showBubbleSize val="0"/>
        </c:dLbls>
        <c:axId val="440220008"/>
        <c:axId val="440223536"/>
      </c:scatterChart>
      <c:valAx>
        <c:axId val="4402200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23536"/>
        <c:crossesAt val="-100"/>
        <c:crossBetween val="midCat"/>
      </c:valAx>
      <c:valAx>
        <c:axId val="440223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20008"/>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ser>
        <c:dLbls>
          <c:showLegendKey val="0"/>
          <c:showVal val="0"/>
          <c:showCatName val="0"/>
          <c:showSerName val="0"/>
          <c:showPercent val="0"/>
          <c:showBubbleSize val="0"/>
        </c:dLbls>
        <c:axId val="440222360"/>
        <c:axId val="440220792"/>
      </c:scatterChart>
      <c:valAx>
        <c:axId val="44022236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20792"/>
        <c:crosses val="autoZero"/>
        <c:crossBetween val="midCat"/>
      </c:valAx>
      <c:valAx>
        <c:axId val="44022079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22360"/>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5.994275262410036E-35</c:v>
                </c:pt>
                <c:pt idx="1">
                  <c:v>5.9942752624100358E-34</c:v>
                </c:pt>
                <c:pt idx="2">
                  <c:v>5.9942752624100358E-33</c:v>
                </c:pt>
                <c:pt idx="3">
                  <c:v>5.9942752624100359E-32</c:v>
                </c:pt>
                <c:pt idx="4">
                  <c:v>5.9942752624100352E-31</c:v>
                </c:pt>
                <c:pt idx="5">
                  <c:v>5.9942752624100359E-30</c:v>
                </c:pt>
                <c:pt idx="6">
                  <c:v>5.9942752624100359E-29</c:v>
                </c:pt>
                <c:pt idx="7">
                  <c:v>5.9942752624100359E-28</c:v>
                </c:pt>
                <c:pt idx="8">
                  <c:v>5.9942752624100354E-27</c:v>
                </c:pt>
                <c:pt idx="9">
                  <c:v>5.9942752624100355E-26</c:v>
                </c:pt>
                <c:pt idx="10">
                  <c:v>5.994275262410036E-25</c:v>
                </c:pt>
                <c:pt idx="11">
                  <c:v>5.9942752624100358E-24</c:v>
                </c:pt>
                <c:pt idx="12">
                  <c:v>5.9942752624100355E-23</c:v>
                </c:pt>
                <c:pt idx="13">
                  <c:v>5.9942752624100358E-22</c:v>
                </c:pt>
                <c:pt idx="14">
                  <c:v>5.9942752624100361E-21</c:v>
                </c:pt>
                <c:pt idx="15">
                  <c:v>5.9942752624100354E-20</c:v>
                </c:pt>
                <c:pt idx="16">
                  <c:v>5.9942752624100351E-19</c:v>
                </c:pt>
                <c:pt idx="17">
                  <c:v>5.9942752624100353E-18</c:v>
                </c:pt>
                <c:pt idx="18">
                  <c:v>5.994275262410036E-17</c:v>
                </c:pt>
                <c:pt idx="19">
                  <c:v>5.9942752624100355E-16</c:v>
                </c:pt>
                <c:pt idx="20">
                  <c:v>5.9942752624100357E-15</c:v>
                </c:pt>
                <c:pt idx="21">
                  <c:v>5.9942752624100355E-14</c:v>
                </c:pt>
                <c:pt idx="22">
                  <c:v>5.9942752624100355E-13</c:v>
                </c:pt>
                <c:pt idx="23">
                  <c:v>5.9942752624100359E-12</c:v>
                </c:pt>
                <c:pt idx="24">
                  <c:v>5.9942752624100354E-11</c:v>
                </c:pt>
                <c:pt idx="25">
                  <c:v>5.9942752624100357E-10</c:v>
                </c:pt>
                <c:pt idx="26">
                  <c:v>5.9942752624100359E-9</c:v>
                </c:pt>
                <c:pt idx="27">
                  <c:v>5.9942752624100357E-8</c:v>
                </c:pt>
                <c:pt idx="28">
                  <c:v>5.9942752624100357E-7</c:v>
                </c:pt>
                <c:pt idx="29">
                  <c:v>5.9942752624100357E-6</c:v>
                </c:pt>
                <c:pt idx="30">
                  <c:v>5.9942752624100354E-5</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1.1945666440560854E-33</c:v>
                </c:pt>
                <c:pt idx="1">
                  <c:v>1.1945666440560853E-32</c:v>
                </c:pt>
                <c:pt idx="2">
                  <c:v>1.1945666440560853E-31</c:v>
                </c:pt>
                <c:pt idx="3">
                  <c:v>1.1945666440560854E-30</c:v>
                </c:pt>
                <c:pt idx="4">
                  <c:v>1.1945666440560853E-29</c:v>
                </c:pt>
                <c:pt idx="5">
                  <c:v>1.1945666440560853E-28</c:v>
                </c:pt>
                <c:pt idx="6">
                  <c:v>1.1945666440560855E-27</c:v>
                </c:pt>
                <c:pt idx="7">
                  <c:v>1.1945666440560854E-26</c:v>
                </c:pt>
                <c:pt idx="8">
                  <c:v>1.1945666440560852E-25</c:v>
                </c:pt>
                <c:pt idx="9">
                  <c:v>1.1945666440560854E-24</c:v>
                </c:pt>
                <c:pt idx="10">
                  <c:v>1.1945666440560854E-23</c:v>
                </c:pt>
                <c:pt idx="11">
                  <c:v>1.1945666440560854E-22</c:v>
                </c:pt>
                <c:pt idx="12">
                  <c:v>1.1945666440560853E-21</c:v>
                </c:pt>
                <c:pt idx="13">
                  <c:v>1.1945666440560854E-20</c:v>
                </c:pt>
                <c:pt idx="14">
                  <c:v>1.1945666440560854E-19</c:v>
                </c:pt>
                <c:pt idx="15">
                  <c:v>1.1945666440560854E-18</c:v>
                </c:pt>
                <c:pt idx="16">
                  <c:v>1.1945666440560853E-17</c:v>
                </c:pt>
                <c:pt idx="17">
                  <c:v>1.1945666440560852E-16</c:v>
                </c:pt>
                <c:pt idx="18">
                  <c:v>1.1945666440560853E-15</c:v>
                </c:pt>
                <c:pt idx="19">
                  <c:v>1.1945666440560853E-14</c:v>
                </c:pt>
                <c:pt idx="20">
                  <c:v>1.1945666440560855E-13</c:v>
                </c:pt>
                <c:pt idx="21">
                  <c:v>1.1945666440560854E-12</c:v>
                </c:pt>
                <c:pt idx="22">
                  <c:v>1.1945666440560854E-11</c:v>
                </c:pt>
                <c:pt idx="23">
                  <c:v>1.1945666440560854E-10</c:v>
                </c:pt>
                <c:pt idx="24">
                  <c:v>1.1945666440560854E-9</c:v>
                </c:pt>
                <c:pt idx="25">
                  <c:v>1.1945666440560854E-8</c:v>
                </c:pt>
                <c:pt idx="26">
                  <c:v>1.1945666440560854E-7</c:v>
                </c:pt>
                <c:pt idx="27">
                  <c:v>1.1945666440560853E-6</c:v>
                </c:pt>
                <c:pt idx="28">
                  <c:v>1.1945666440560854E-5</c:v>
                </c:pt>
                <c:pt idx="29">
                  <c:v>1.1945666440560854E-4</c:v>
                </c:pt>
                <c:pt idx="30">
                  <c:v>1.1945666440560854E-3</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7.6926383024802419E-32</c:v>
                </c:pt>
                <c:pt idx="1">
                  <c:v>7.6926383024802413E-31</c:v>
                </c:pt>
                <c:pt idx="2">
                  <c:v>7.6926383024802411E-30</c:v>
                </c:pt>
                <c:pt idx="3">
                  <c:v>7.6926383024802411E-29</c:v>
                </c:pt>
                <c:pt idx="4">
                  <c:v>7.6926383024802411E-28</c:v>
                </c:pt>
                <c:pt idx="5">
                  <c:v>7.6926383024802422E-27</c:v>
                </c:pt>
                <c:pt idx="6">
                  <c:v>7.6926383024802419E-26</c:v>
                </c:pt>
                <c:pt idx="7">
                  <c:v>7.6926383024802419E-25</c:v>
                </c:pt>
                <c:pt idx="8">
                  <c:v>7.6926383024802408E-24</c:v>
                </c:pt>
                <c:pt idx="9">
                  <c:v>7.6926383024802405E-23</c:v>
                </c:pt>
                <c:pt idx="10">
                  <c:v>7.6926383024802424E-22</c:v>
                </c:pt>
                <c:pt idx="11">
                  <c:v>7.6926383024802424E-21</c:v>
                </c:pt>
                <c:pt idx="12">
                  <c:v>7.6926383024802421E-20</c:v>
                </c:pt>
                <c:pt idx="13">
                  <c:v>7.6926383024802411E-19</c:v>
                </c:pt>
                <c:pt idx="14">
                  <c:v>7.6926383024802417E-18</c:v>
                </c:pt>
                <c:pt idx="15">
                  <c:v>7.6926383024802411E-17</c:v>
                </c:pt>
                <c:pt idx="16">
                  <c:v>7.6926383024802418E-16</c:v>
                </c:pt>
                <c:pt idx="17">
                  <c:v>7.6926383024802416E-15</c:v>
                </c:pt>
                <c:pt idx="18">
                  <c:v>7.6926383024802413E-14</c:v>
                </c:pt>
                <c:pt idx="19">
                  <c:v>7.6926383024802415E-13</c:v>
                </c:pt>
                <c:pt idx="20">
                  <c:v>7.6926383024802422E-12</c:v>
                </c:pt>
                <c:pt idx="21">
                  <c:v>7.6926383024802415E-11</c:v>
                </c:pt>
                <c:pt idx="22">
                  <c:v>7.692638302480241E-10</c:v>
                </c:pt>
                <c:pt idx="23">
                  <c:v>7.6926383024802418E-9</c:v>
                </c:pt>
                <c:pt idx="24">
                  <c:v>7.6926383024802418E-8</c:v>
                </c:pt>
                <c:pt idx="25">
                  <c:v>7.6926383024802413E-7</c:v>
                </c:pt>
                <c:pt idx="26">
                  <c:v>7.6926383024802415E-6</c:v>
                </c:pt>
                <c:pt idx="27">
                  <c:v>7.6926383024802415E-5</c:v>
                </c:pt>
                <c:pt idx="28">
                  <c:v>7.6926383024802415E-4</c:v>
                </c:pt>
                <c:pt idx="29">
                  <c:v>7.6926383024802413E-3</c:v>
                </c:pt>
                <c:pt idx="30">
                  <c:v>7.6926383024802411E-2</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2.3523021243838521E-29</c:v>
                </c:pt>
                <c:pt idx="1">
                  <c:v>2.3523021243838519E-28</c:v>
                </c:pt>
                <c:pt idx="2">
                  <c:v>2.3523021243838518E-27</c:v>
                </c:pt>
                <c:pt idx="3">
                  <c:v>2.3523021243838517E-26</c:v>
                </c:pt>
                <c:pt idx="4">
                  <c:v>2.3523021243838519E-25</c:v>
                </c:pt>
                <c:pt idx="5">
                  <c:v>2.3523021243838518E-24</c:v>
                </c:pt>
                <c:pt idx="6">
                  <c:v>2.3523021243838518E-23</c:v>
                </c:pt>
                <c:pt idx="7">
                  <c:v>2.352302124383852E-22</c:v>
                </c:pt>
                <c:pt idx="8">
                  <c:v>2.3523021243838516E-21</c:v>
                </c:pt>
                <c:pt idx="9">
                  <c:v>2.3523021243838518E-20</c:v>
                </c:pt>
                <c:pt idx="10">
                  <c:v>2.3523021243838518E-19</c:v>
                </c:pt>
                <c:pt idx="11">
                  <c:v>2.352302124383852E-18</c:v>
                </c:pt>
                <c:pt idx="12">
                  <c:v>2.3523021243838518E-17</c:v>
                </c:pt>
                <c:pt idx="13">
                  <c:v>2.3523021243838517E-16</c:v>
                </c:pt>
                <c:pt idx="14">
                  <c:v>2.3523021243838519E-15</c:v>
                </c:pt>
                <c:pt idx="15">
                  <c:v>2.3523021243838517E-14</c:v>
                </c:pt>
                <c:pt idx="16">
                  <c:v>2.3523021243838516E-13</c:v>
                </c:pt>
                <c:pt idx="17">
                  <c:v>2.3523021243838518E-12</c:v>
                </c:pt>
                <c:pt idx="18">
                  <c:v>2.3523021243838517E-11</c:v>
                </c:pt>
                <c:pt idx="19">
                  <c:v>2.3523021243838517E-10</c:v>
                </c:pt>
                <c:pt idx="20">
                  <c:v>2.3523021243838519E-9</c:v>
                </c:pt>
                <c:pt idx="21">
                  <c:v>2.3523021243838519E-8</c:v>
                </c:pt>
                <c:pt idx="22">
                  <c:v>2.3523021243838518E-7</c:v>
                </c:pt>
                <c:pt idx="23">
                  <c:v>2.352302124383852E-6</c:v>
                </c:pt>
                <c:pt idx="24">
                  <c:v>2.3523021243838518E-5</c:v>
                </c:pt>
                <c:pt idx="25">
                  <c:v>2.3523021243838517E-4</c:v>
                </c:pt>
                <c:pt idx="26">
                  <c:v>2.3523021243838519E-3</c:v>
                </c:pt>
                <c:pt idx="27">
                  <c:v>2.3523021243838517E-2</c:v>
                </c:pt>
                <c:pt idx="28">
                  <c:v>0.23523021243838518</c:v>
                </c:pt>
                <c:pt idx="29">
                  <c:v>2.352302124383852</c:v>
                </c:pt>
                <c:pt idx="30">
                  <c:v>23.523021243838517</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1.501385126106643E-25</c:v>
                </c:pt>
                <c:pt idx="1">
                  <c:v>1.5013851261066427E-24</c:v>
                </c:pt>
                <c:pt idx="2">
                  <c:v>1.5013851261066428E-23</c:v>
                </c:pt>
                <c:pt idx="3">
                  <c:v>1.5013851261066428E-22</c:v>
                </c:pt>
                <c:pt idx="4">
                  <c:v>1.5013851261066426E-21</c:v>
                </c:pt>
                <c:pt idx="5">
                  <c:v>1.5013851261066428E-20</c:v>
                </c:pt>
                <c:pt idx="6">
                  <c:v>1.5013851261066428E-19</c:v>
                </c:pt>
                <c:pt idx="7">
                  <c:v>1.5013851261066429E-18</c:v>
                </c:pt>
                <c:pt idx="8">
                  <c:v>1.5013851261066427E-17</c:v>
                </c:pt>
                <c:pt idx="9">
                  <c:v>1.5013851261066427E-16</c:v>
                </c:pt>
                <c:pt idx="10">
                  <c:v>1.5013851261066429E-15</c:v>
                </c:pt>
                <c:pt idx="11">
                  <c:v>1.5013851261066428E-14</c:v>
                </c:pt>
                <c:pt idx="12">
                  <c:v>1.5013851261066429E-13</c:v>
                </c:pt>
                <c:pt idx="13">
                  <c:v>1.5013851261066428E-12</c:v>
                </c:pt>
                <c:pt idx="14">
                  <c:v>1.501385126106643E-11</c:v>
                </c:pt>
                <c:pt idx="15">
                  <c:v>1.5013851261066428E-10</c:v>
                </c:pt>
                <c:pt idx="16">
                  <c:v>1.5013851261066428E-9</c:v>
                </c:pt>
                <c:pt idx="17">
                  <c:v>1.5013851261066427E-8</c:v>
                </c:pt>
                <c:pt idx="18">
                  <c:v>1.5013851261066427E-7</c:v>
                </c:pt>
                <c:pt idx="19">
                  <c:v>1.5013851261066427E-6</c:v>
                </c:pt>
                <c:pt idx="20">
                  <c:v>1.5013851261066428E-5</c:v>
                </c:pt>
                <c:pt idx="21">
                  <c:v>1.5013851261066428E-4</c:v>
                </c:pt>
                <c:pt idx="22">
                  <c:v>1.5013851261066428E-3</c:v>
                </c:pt>
                <c:pt idx="23">
                  <c:v>1.5013851261066427E-2</c:v>
                </c:pt>
                <c:pt idx="24">
                  <c:v>0.15013851261066427</c:v>
                </c:pt>
                <c:pt idx="25">
                  <c:v>1.5013851261066429</c:v>
                </c:pt>
                <c:pt idx="26">
                  <c:v>15.013851261066428</c:v>
                </c:pt>
                <c:pt idx="27">
                  <c:v>150.13851261066429</c:v>
                </c:pt>
                <c:pt idx="28">
                  <c:v>1501.3851261066427</c:v>
                </c:pt>
                <c:pt idx="29">
                  <c:v>15013.851261066427</c:v>
                </c:pt>
                <c:pt idx="30">
                  <c:v>150138.51261066427</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1.5242328039930881E-17</c:v>
                </c:pt>
                <c:pt idx="1">
                  <c:v>1.5242328039930881E-16</c:v>
                </c:pt>
                <c:pt idx="2">
                  <c:v>1.5242328039930881E-15</c:v>
                </c:pt>
                <c:pt idx="3">
                  <c:v>1.524232803993088E-14</c:v>
                </c:pt>
                <c:pt idx="4">
                  <c:v>1.524232803993088E-13</c:v>
                </c:pt>
                <c:pt idx="5">
                  <c:v>1.5242328039930882E-12</c:v>
                </c:pt>
                <c:pt idx="6">
                  <c:v>1.5242328039930881E-11</c:v>
                </c:pt>
                <c:pt idx="7">
                  <c:v>1.5242328039930881E-10</c:v>
                </c:pt>
                <c:pt idx="8">
                  <c:v>1.5242328039930881E-9</c:v>
                </c:pt>
                <c:pt idx="9">
                  <c:v>1.5242328039930881E-8</c:v>
                </c:pt>
                <c:pt idx="10">
                  <c:v>1.5242328039930883E-7</c:v>
                </c:pt>
                <c:pt idx="11">
                  <c:v>1.5242328039930881E-6</c:v>
                </c:pt>
                <c:pt idx="12">
                  <c:v>1.5242328039930881E-5</c:v>
                </c:pt>
                <c:pt idx="13">
                  <c:v>1.5242328039930881E-4</c:v>
                </c:pt>
                <c:pt idx="14">
                  <c:v>1.5242328039930882E-3</c:v>
                </c:pt>
                <c:pt idx="15">
                  <c:v>1.5242328039930881E-2</c:v>
                </c:pt>
                <c:pt idx="16">
                  <c:v>0.1524232803993088</c:v>
                </c:pt>
                <c:pt idx="17">
                  <c:v>1.5242328039930881</c:v>
                </c:pt>
                <c:pt idx="18">
                  <c:v>15.24232803993088</c:v>
                </c:pt>
                <c:pt idx="19">
                  <c:v>152.42328039930882</c:v>
                </c:pt>
                <c:pt idx="20">
                  <c:v>1524.2328039930881</c:v>
                </c:pt>
                <c:pt idx="21">
                  <c:v>15242.328039930881</c:v>
                </c:pt>
                <c:pt idx="22">
                  <c:v>152423.2803993088</c:v>
                </c:pt>
                <c:pt idx="23">
                  <c:v>1524232.8039930882</c:v>
                </c:pt>
                <c:pt idx="24">
                  <c:v>15242328.039930882</c:v>
                </c:pt>
                <c:pt idx="25">
                  <c:v>152423280.3993088</c:v>
                </c:pt>
                <c:pt idx="26">
                  <c:v>1524232803.9930882</c:v>
                </c:pt>
                <c:pt idx="27">
                  <c:v>15242328039.930882</c:v>
                </c:pt>
                <c:pt idx="28">
                  <c:v>152423280399.30881</c:v>
                </c:pt>
                <c:pt idx="29">
                  <c:v>1524232803993.0881</c:v>
                </c:pt>
                <c:pt idx="30">
                  <c:v>15242328039930.881</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440218440"/>
        <c:axId val="440218832"/>
      </c:scatterChart>
      <c:valAx>
        <c:axId val="44021844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18832"/>
        <c:crosses val="autoZero"/>
        <c:crossBetween val="midCat"/>
      </c:valAx>
      <c:valAx>
        <c:axId val="4402188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18440"/>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5.994275262410036E-35</c:v>
                </c:pt>
                <c:pt idx="1">
                  <c:v>5.9942752624100358E-34</c:v>
                </c:pt>
                <c:pt idx="2">
                  <c:v>5.9942752624100358E-33</c:v>
                </c:pt>
                <c:pt idx="3">
                  <c:v>5.9942752624100359E-32</c:v>
                </c:pt>
                <c:pt idx="4">
                  <c:v>5.9942752624100352E-31</c:v>
                </c:pt>
                <c:pt idx="5">
                  <c:v>5.9942752624100359E-30</c:v>
                </c:pt>
                <c:pt idx="6">
                  <c:v>5.9942752624100359E-29</c:v>
                </c:pt>
                <c:pt idx="7">
                  <c:v>5.9942752624100359E-28</c:v>
                </c:pt>
                <c:pt idx="8">
                  <c:v>5.9942752624100354E-27</c:v>
                </c:pt>
                <c:pt idx="9">
                  <c:v>5.9942752624100355E-26</c:v>
                </c:pt>
                <c:pt idx="10">
                  <c:v>5.994275262410036E-25</c:v>
                </c:pt>
                <c:pt idx="11">
                  <c:v>5.9942752624100358E-24</c:v>
                </c:pt>
                <c:pt idx="12">
                  <c:v>5.9942752624100355E-23</c:v>
                </c:pt>
                <c:pt idx="13">
                  <c:v>5.9942752624100358E-22</c:v>
                </c:pt>
                <c:pt idx="14">
                  <c:v>5.9942752624100361E-21</c:v>
                </c:pt>
                <c:pt idx="15">
                  <c:v>5.9942752624100354E-20</c:v>
                </c:pt>
                <c:pt idx="16">
                  <c:v>5.9942752624100351E-19</c:v>
                </c:pt>
                <c:pt idx="17">
                  <c:v>5.9942752624100353E-18</c:v>
                </c:pt>
                <c:pt idx="18">
                  <c:v>5.994275262410036E-17</c:v>
                </c:pt>
                <c:pt idx="19">
                  <c:v>5.9942752624100355E-16</c:v>
                </c:pt>
                <c:pt idx="20">
                  <c:v>5.9942752624100357E-15</c:v>
                </c:pt>
                <c:pt idx="21">
                  <c:v>5.9942752624100355E-14</c:v>
                </c:pt>
                <c:pt idx="22">
                  <c:v>5.9942752624100355E-13</c:v>
                </c:pt>
                <c:pt idx="23">
                  <c:v>5.9942752624100359E-12</c:v>
                </c:pt>
                <c:pt idx="24">
                  <c:v>5.9942752624100354E-11</c:v>
                </c:pt>
                <c:pt idx="25">
                  <c:v>5.9942752624100357E-10</c:v>
                </c:pt>
                <c:pt idx="26">
                  <c:v>5.9942752624100359E-9</c:v>
                </c:pt>
                <c:pt idx="27">
                  <c:v>5.9942752624100357E-8</c:v>
                </c:pt>
                <c:pt idx="28">
                  <c:v>5.9942752624100357E-7</c:v>
                </c:pt>
                <c:pt idx="29">
                  <c:v>5.9942752624100357E-6</c:v>
                </c:pt>
                <c:pt idx="30">
                  <c:v>5.9942752624100354E-5</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1.1945666440560854E-33</c:v>
                </c:pt>
                <c:pt idx="1">
                  <c:v>1.1945666440560853E-32</c:v>
                </c:pt>
                <c:pt idx="2">
                  <c:v>1.1945666440560853E-31</c:v>
                </c:pt>
                <c:pt idx="3">
                  <c:v>1.1945666440560854E-30</c:v>
                </c:pt>
                <c:pt idx="4">
                  <c:v>1.1945666440560853E-29</c:v>
                </c:pt>
                <c:pt idx="5">
                  <c:v>1.1945666440560853E-28</c:v>
                </c:pt>
                <c:pt idx="6">
                  <c:v>1.1945666440560855E-27</c:v>
                </c:pt>
                <c:pt idx="7">
                  <c:v>1.1945666440560854E-26</c:v>
                </c:pt>
                <c:pt idx="8">
                  <c:v>1.1945666440560852E-25</c:v>
                </c:pt>
                <c:pt idx="9">
                  <c:v>1.1945666440560854E-24</c:v>
                </c:pt>
                <c:pt idx="10">
                  <c:v>1.1945666440560854E-23</c:v>
                </c:pt>
                <c:pt idx="11">
                  <c:v>1.1945666440560854E-22</c:v>
                </c:pt>
                <c:pt idx="12">
                  <c:v>1.1945666440560853E-21</c:v>
                </c:pt>
                <c:pt idx="13">
                  <c:v>1.1945666440560854E-20</c:v>
                </c:pt>
                <c:pt idx="14">
                  <c:v>1.1945666440560854E-19</c:v>
                </c:pt>
                <c:pt idx="15">
                  <c:v>1.1945666440560854E-18</c:v>
                </c:pt>
                <c:pt idx="16">
                  <c:v>1.1945666440560853E-17</c:v>
                </c:pt>
                <c:pt idx="17">
                  <c:v>1.1945666440560852E-16</c:v>
                </c:pt>
                <c:pt idx="18">
                  <c:v>1.1945666440560853E-15</c:v>
                </c:pt>
                <c:pt idx="19">
                  <c:v>1.1945666440560853E-14</c:v>
                </c:pt>
                <c:pt idx="20">
                  <c:v>1.1945666440560855E-13</c:v>
                </c:pt>
                <c:pt idx="21">
                  <c:v>1.1945666440560854E-12</c:v>
                </c:pt>
                <c:pt idx="22">
                  <c:v>1.1945666440560854E-11</c:v>
                </c:pt>
                <c:pt idx="23">
                  <c:v>1.1945666440560854E-10</c:v>
                </c:pt>
                <c:pt idx="24">
                  <c:v>1.1945666440560854E-9</c:v>
                </c:pt>
                <c:pt idx="25">
                  <c:v>1.1945666440560854E-8</c:v>
                </c:pt>
                <c:pt idx="26">
                  <c:v>1.1945666440560854E-7</c:v>
                </c:pt>
                <c:pt idx="27">
                  <c:v>1.1945666440560853E-6</c:v>
                </c:pt>
                <c:pt idx="28">
                  <c:v>1.1945666440560854E-5</c:v>
                </c:pt>
                <c:pt idx="29">
                  <c:v>1.1945666440560854E-4</c:v>
                </c:pt>
                <c:pt idx="30">
                  <c:v>1.1945666440560854E-3</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7.6926383024802419E-32</c:v>
                </c:pt>
                <c:pt idx="1">
                  <c:v>7.6926383024802413E-31</c:v>
                </c:pt>
                <c:pt idx="2">
                  <c:v>7.6926383024802411E-30</c:v>
                </c:pt>
                <c:pt idx="3">
                  <c:v>7.6926383024802411E-29</c:v>
                </c:pt>
                <c:pt idx="4">
                  <c:v>7.6926383024802411E-28</c:v>
                </c:pt>
                <c:pt idx="5">
                  <c:v>7.6926383024802422E-27</c:v>
                </c:pt>
                <c:pt idx="6">
                  <c:v>7.6926383024802419E-26</c:v>
                </c:pt>
                <c:pt idx="7">
                  <c:v>7.6926383024802419E-25</c:v>
                </c:pt>
                <c:pt idx="8">
                  <c:v>7.6926383024802408E-24</c:v>
                </c:pt>
                <c:pt idx="9">
                  <c:v>7.6926383024802405E-23</c:v>
                </c:pt>
                <c:pt idx="10">
                  <c:v>7.6926383024802424E-22</c:v>
                </c:pt>
                <c:pt idx="11">
                  <c:v>7.6926383024802424E-21</c:v>
                </c:pt>
                <c:pt idx="12">
                  <c:v>7.6926383024802421E-20</c:v>
                </c:pt>
                <c:pt idx="13">
                  <c:v>7.6926383024802411E-19</c:v>
                </c:pt>
                <c:pt idx="14">
                  <c:v>7.6926383024802417E-18</c:v>
                </c:pt>
                <c:pt idx="15">
                  <c:v>7.6926383024802411E-17</c:v>
                </c:pt>
                <c:pt idx="16">
                  <c:v>7.6926383024802418E-16</c:v>
                </c:pt>
                <c:pt idx="17">
                  <c:v>7.6926383024802416E-15</c:v>
                </c:pt>
                <c:pt idx="18">
                  <c:v>7.6926383024802413E-14</c:v>
                </c:pt>
                <c:pt idx="19">
                  <c:v>7.6926383024802415E-13</c:v>
                </c:pt>
                <c:pt idx="20">
                  <c:v>7.6926383024802422E-12</c:v>
                </c:pt>
                <c:pt idx="21">
                  <c:v>7.6926383024802415E-11</c:v>
                </c:pt>
                <c:pt idx="22">
                  <c:v>7.692638302480241E-10</c:v>
                </c:pt>
                <c:pt idx="23">
                  <c:v>7.6926383024802418E-9</c:v>
                </c:pt>
                <c:pt idx="24">
                  <c:v>7.6926383024802418E-8</c:v>
                </c:pt>
                <c:pt idx="25">
                  <c:v>7.6926383024802413E-7</c:v>
                </c:pt>
                <c:pt idx="26">
                  <c:v>7.6926383024802415E-6</c:v>
                </c:pt>
                <c:pt idx="27">
                  <c:v>7.6926383024802415E-5</c:v>
                </c:pt>
                <c:pt idx="28">
                  <c:v>7.6926383024802415E-4</c:v>
                </c:pt>
                <c:pt idx="29">
                  <c:v>7.6926383024802413E-3</c:v>
                </c:pt>
                <c:pt idx="30">
                  <c:v>7.6926383024802411E-2</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2.3523021243838521E-29</c:v>
                </c:pt>
                <c:pt idx="1">
                  <c:v>2.3523021243838519E-28</c:v>
                </c:pt>
                <c:pt idx="2">
                  <c:v>2.3523021243838518E-27</c:v>
                </c:pt>
                <c:pt idx="3">
                  <c:v>2.3523021243838517E-26</c:v>
                </c:pt>
                <c:pt idx="4">
                  <c:v>2.3523021243838519E-25</c:v>
                </c:pt>
                <c:pt idx="5">
                  <c:v>2.3523021243838518E-24</c:v>
                </c:pt>
                <c:pt idx="6">
                  <c:v>2.3523021243838518E-23</c:v>
                </c:pt>
                <c:pt idx="7">
                  <c:v>2.352302124383852E-22</c:v>
                </c:pt>
                <c:pt idx="8">
                  <c:v>2.3523021243838516E-21</c:v>
                </c:pt>
                <c:pt idx="9">
                  <c:v>2.3523021243838518E-20</c:v>
                </c:pt>
                <c:pt idx="10">
                  <c:v>2.3523021243838518E-19</c:v>
                </c:pt>
                <c:pt idx="11">
                  <c:v>2.352302124383852E-18</c:v>
                </c:pt>
                <c:pt idx="12">
                  <c:v>2.3523021243838518E-17</c:v>
                </c:pt>
                <c:pt idx="13">
                  <c:v>2.3523021243838517E-16</c:v>
                </c:pt>
                <c:pt idx="14">
                  <c:v>2.3523021243838519E-15</c:v>
                </c:pt>
                <c:pt idx="15">
                  <c:v>2.3523021243838517E-14</c:v>
                </c:pt>
                <c:pt idx="16">
                  <c:v>2.3523021243838516E-13</c:v>
                </c:pt>
                <c:pt idx="17">
                  <c:v>2.3523021243838518E-12</c:v>
                </c:pt>
                <c:pt idx="18">
                  <c:v>2.3523021243838517E-11</c:v>
                </c:pt>
                <c:pt idx="19">
                  <c:v>2.3523021243838517E-10</c:v>
                </c:pt>
                <c:pt idx="20">
                  <c:v>2.3523021243838519E-9</c:v>
                </c:pt>
                <c:pt idx="21">
                  <c:v>2.3523021243838519E-8</c:v>
                </c:pt>
                <c:pt idx="22">
                  <c:v>2.3523021243838518E-7</c:v>
                </c:pt>
                <c:pt idx="23">
                  <c:v>2.352302124383852E-6</c:v>
                </c:pt>
                <c:pt idx="24">
                  <c:v>2.3523021243838518E-5</c:v>
                </c:pt>
                <c:pt idx="25">
                  <c:v>2.3523021243838517E-4</c:v>
                </c:pt>
                <c:pt idx="26">
                  <c:v>2.3523021243838519E-3</c:v>
                </c:pt>
                <c:pt idx="27">
                  <c:v>2.3523021243838517E-2</c:v>
                </c:pt>
                <c:pt idx="28">
                  <c:v>0.23523021243838518</c:v>
                </c:pt>
                <c:pt idx="29">
                  <c:v>2.352302124383852</c:v>
                </c:pt>
                <c:pt idx="30">
                  <c:v>23.523021243838517</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1.501385126106643E-25</c:v>
                </c:pt>
                <c:pt idx="1">
                  <c:v>1.5013851261066427E-24</c:v>
                </c:pt>
                <c:pt idx="2">
                  <c:v>1.5013851261066428E-23</c:v>
                </c:pt>
                <c:pt idx="3">
                  <c:v>1.5013851261066428E-22</c:v>
                </c:pt>
                <c:pt idx="4">
                  <c:v>1.5013851261066426E-21</c:v>
                </c:pt>
                <c:pt idx="5">
                  <c:v>1.5013851261066428E-20</c:v>
                </c:pt>
                <c:pt idx="6">
                  <c:v>1.5013851261066428E-19</c:v>
                </c:pt>
                <c:pt idx="7">
                  <c:v>1.5013851261066429E-18</c:v>
                </c:pt>
                <c:pt idx="8">
                  <c:v>1.5013851261066427E-17</c:v>
                </c:pt>
                <c:pt idx="9">
                  <c:v>1.5013851261066427E-16</c:v>
                </c:pt>
                <c:pt idx="10">
                  <c:v>1.5013851261066429E-15</c:v>
                </c:pt>
                <c:pt idx="11">
                  <c:v>1.5013851261066428E-14</c:v>
                </c:pt>
                <c:pt idx="12">
                  <c:v>1.5013851261066429E-13</c:v>
                </c:pt>
                <c:pt idx="13">
                  <c:v>1.5013851261066428E-12</c:v>
                </c:pt>
                <c:pt idx="14">
                  <c:v>1.501385126106643E-11</c:v>
                </c:pt>
                <c:pt idx="15">
                  <c:v>1.5013851261066428E-10</c:v>
                </c:pt>
                <c:pt idx="16">
                  <c:v>1.5013851261066428E-9</c:v>
                </c:pt>
                <c:pt idx="17">
                  <c:v>1.5013851261066427E-8</c:v>
                </c:pt>
                <c:pt idx="18">
                  <c:v>1.5013851261066427E-7</c:v>
                </c:pt>
                <c:pt idx="19">
                  <c:v>1.5013851261066427E-6</c:v>
                </c:pt>
                <c:pt idx="20">
                  <c:v>1.5013851261066428E-5</c:v>
                </c:pt>
                <c:pt idx="21">
                  <c:v>1.5013851261066428E-4</c:v>
                </c:pt>
                <c:pt idx="22">
                  <c:v>1.5013851261066428E-3</c:v>
                </c:pt>
                <c:pt idx="23">
                  <c:v>1.5013851261066427E-2</c:v>
                </c:pt>
                <c:pt idx="24">
                  <c:v>0.15013851261066427</c:v>
                </c:pt>
                <c:pt idx="25">
                  <c:v>1.5013851261066429</c:v>
                </c:pt>
                <c:pt idx="26">
                  <c:v>15.013851261066428</c:v>
                </c:pt>
                <c:pt idx="27">
                  <c:v>150.13851261066429</c:v>
                </c:pt>
                <c:pt idx="28">
                  <c:v>1501.3851261066427</c:v>
                </c:pt>
                <c:pt idx="29">
                  <c:v>15013.851261066427</c:v>
                </c:pt>
                <c:pt idx="30">
                  <c:v>150138.51261066427</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1.5242328039930881E-17</c:v>
                </c:pt>
                <c:pt idx="1">
                  <c:v>1.5242328039930881E-16</c:v>
                </c:pt>
                <c:pt idx="2">
                  <c:v>1.5242328039930881E-15</c:v>
                </c:pt>
                <c:pt idx="3">
                  <c:v>1.524232803993088E-14</c:v>
                </c:pt>
                <c:pt idx="4">
                  <c:v>1.524232803993088E-13</c:v>
                </c:pt>
                <c:pt idx="5">
                  <c:v>1.5242328039930882E-12</c:v>
                </c:pt>
                <c:pt idx="6">
                  <c:v>1.5242328039930881E-11</c:v>
                </c:pt>
                <c:pt idx="7">
                  <c:v>1.5242328039930881E-10</c:v>
                </c:pt>
                <c:pt idx="8">
                  <c:v>1.5242328039930881E-9</c:v>
                </c:pt>
                <c:pt idx="9">
                  <c:v>1.5242328039930881E-8</c:v>
                </c:pt>
                <c:pt idx="10">
                  <c:v>1.5242328039930883E-7</c:v>
                </c:pt>
                <c:pt idx="11">
                  <c:v>1.5242328039930881E-6</c:v>
                </c:pt>
                <c:pt idx="12">
                  <c:v>1.5242328039930881E-5</c:v>
                </c:pt>
                <c:pt idx="13">
                  <c:v>1.5242328039930881E-4</c:v>
                </c:pt>
                <c:pt idx="14">
                  <c:v>1.5242328039930882E-3</c:v>
                </c:pt>
                <c:pt idx="15">
                  <c:v>1.5242328039930881E-2</c:v>
                </c:pt>
                <c:pt idx="16">
                  <c:v>0.1524232803993088</c:v>
                </c:pt>
                <c:pt idx="17">
                  <c:v>1.5242328039930881</c:v>
                </c:pt>
                <c:pt idx="18">
                  <c:v>15.24232803993088</c:v>
                </c:pt>
                <c:pt idx="19">
                  <c:v>152.42328039930882</c:v>
                </c:pt>
                <c:pt idx="20">
                  <c:v>1524.2328039930881</c:v>
                </c:pt>
                <c:pt idx="21">
                  <c:v>15242.328039930881</c:v>
                </c:pt>
                <c:pt idx="22">
                  <c:v>152423.2803993088</c:v>
                </c:pt>
                <c:pt idx="23">
                  <c:v>1524232.8039930882</c:v>
                </c:pt>
                <c:pt idx="24">
                  <c:v>15242328.039930882</c:v>
                </c:pt>
                <c:pt idx="25">
                  <c:v>152423280.3993088</c:v>
                </c:pt>
                <c:pt idx="26">
                  <c:v>1524232803.9930882</c:v>
                </c:pt>
                <c:pt idx="27">
                  <c:v>15242328039.930882</c:v>
                </c:pt>
                <c:pt idx="28">
                  <c:v>152423280399.30881</c:v>
                </c:pt>
                <c:pt idx="29">
                  <c:v>1524232803993.0881</c:v>
                </c:pt>
                <c:pt idx="30">
                  <c:v>15242328039930.881</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440221576"/>
        <c:axId val="440219224"/>
      </c:scatterChart>
      <c:valAx>
        <c:axId val="44022157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19224"/>
        <c:crosses val="autoZero"/>
        <c:crossBetween val="midCat"/>
      </c:valAx>
      <c:valAx>
        <c:axId val="440219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21576"/>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-44.26089696904954</c:v>
                </c:pt>
                <c:pt idx="1">
                  <c:v>-44.20889855651459</c:v>
                </c:pt>
                <c:pt idx="2">
                  <c:v>-44.156814570595721</c:v>
                </c:pt>
                <c:pt idx="3">
                  <c:v>-44.10455943790906</c:v>
                </c:pt>
                <c:pt idx="4">
                  <c:v>-44.052047585070675</c:v>
                </c:pt>
                <c:pt idx="5">
                  <c:v>-43.999193438696686</c:v>
                </c:pt>
                <c:pt idx="6">
                  <c:v>-43.94591142540316</c:v>
                </c:pt>
                <c:pt idx="7">
                  <c:v>-43.892115971806234</c:v>
                </c:pt>
                <c:pt idx="8">
                  <c:v>-43.837721504521959</c:v>
                </c:pt>
                <c:pt idx="9">
                  <c:v>-43.78264245016647</c:v>
                </c:pt>
                <c:pt idx="10">
                  <c:v>-43.726793235355835</c:v>
                </c:pt>
                <c:pt idx="11">
                  <c:v>-43.670088286706175</c:v>
                </c:pt>
                <c:pt idx="12">
                  <c:v>-43.612442030833563</c:v>
                </c:pt>
                <c:pt idx="13">
                  <c:v>-43.553768894354107</c:v>
                </c:pt>
                <c:pt idx="14">
                  <c:v>-43.493983303883908</c:v>
                </c:pt>
                <c:pt idx="15">
                  <c:v>-43.432999686039054</c:v>
                </c:pt>
                <c:pt idx="16">
                  <c:v>-43.370732467435637</c:v>
                </c:pt>
                <c:pt idx="17">
                  <c:v>-43.307096074689767</c:v>
                </c:pt>
                <c:pt idx="18">
                  <c:v>-43.242004934417523</c:v>
                </c:pt>
                <c:pt idx="19">
                  <c:v>-43.175373473235013</c:v>
                </c:pt>
                <c:pt idx="20">
                  <c:v>-43.107116117758338</c:v>
                </c:pt>
                <c:pt idx="21">
                  <c:v>-43.037147294603578</c:v>
                </c:pt>
                <c:pt idx="22">
                  <c:v>-42.965381430386842</c:v>
                </c:pt>
                <c:pt idx="23">
                  <c:v>-42.891732951724222</c:v>
                </c:pt>
                <c:pt idx="24">
                  <c:v>-42.816116285231821</c:v>
                </c:pt>
                <c:pt idx="25">
                  <c:v>-42.738445857525718</c:v>
                </c:pt>
                <c:pt idx="26">
                  <c:v>-42.658636095222029</c:v>
                </c:pt>
                <c:pt idx="27">
                  <c:v>-42.57660142493684</c:v>
                </c:pt>
                <c:pt idx="28">
                  <c:v>-42.492256273286245</c:v>
                </c:pt>
                <c:pt idx="29">
                  <c:v>-42.405515066886345</c:v>
                </c:pt>
                <c:pt idx="30">
                  <c:v>-42.316292232353234</c:v>
                </c:pt>
                <c:pt idx="31">
                  <c:v>-42.224502196303</c:v>
                </c:pt>
                <c:pt idx="32">
                  <c:v>-42.130059385351764</c:v>
                </c:pt>
                <c:pt idx="33">
                  <c:v>-42.032878226115599</c:v>
                </c:pt>
                <c:pt idx="34">
                  <c:v>-41.932873145210607</c:v>
                </c:pt>
                <c:pt idx="35">
                  <c:v>-41.829958569252895</c:v>
                </c:pt>
                <c:pt idx="36">
                  <c:v>-41.724048924858536</c:v>
                </c:pt>
                <c:pt idx="37">
                  <c:v>-41.615058638643653</c:v>
                </c:pt>
                <c:pt idx="38">
                  <c:v>-41.502902137224318</c:v>
                </c:pt>
                <c:pt idx="39">
                  <c:v>-41.387493847216646</c:v>
                </c:pt>
                <c:pt idx="40">
                  <c:v>-41.268748195236725</c:v>
                </c:pt>
                <c:pt idx="41">
                  <c:v>-41.140487197459372</c:v>
                </c:pt>
                <c:pt idx="42">
                  <c:v>-41.008829548991258</c:v>
                </c:pt>
                <c:pt idx="43">
                  <c:v>-40.873801534497765</c:v>
                </c:pt>
                <c:pt idx="44">
                  <c:v>-40.735429438644289</c:v>
                </c:pt>
                <c:pt idx="45">
                  <c:v>-40.593739546096231</c:v>
                </c:pt>
                <c:pt idx="46">
                  <c:v>-40.448758141518979</c:v>
                </c:pt>
                <c:pt idx="47">
                  <c:v>-40.300511509577916</c:v>
                </c:pt>
                <c:pt idx="48">
                  <c:v>-40.149025934938436</c:v>
                </c:pt>
                <c:pt idx="49">
                  <c:v>-39.994327702265934</c:v>
                </c:pt>
                <c:pt idx="50">
                  <c:v>-39.836443096225793</c:v>
                </c:pt>
                <c:pt idx="51">
                  <c:v>-39.675398401483406</c:v>
                </c:pt>
                <c:pt idx="52">
                  <c:v>-39.51121990270417</c:v>
                </c:pt>
                <c:pt idx="53">
                  <c:v>-39.343933884553479</c:v>
                </c:pt>
                <c:pt idx="54">
                  <c:v>-39.173566631696715</c:v>
                </c:pt>
                <c:pt idx="55">
                  <c:v>-39.00014442879926</c:v>
                </c:pt>
                <c:pt idx="56">
                  <c:v>-38.823693560526529</c:v>
                </c:pt>
                <c:pt idx="57">
                  <c:v>-38.644240311543889</c:v>
                </c:pt>
                <c:pt idx="58">
                  <c:v>-38.461810966516751</c:v>
                </c:pt>
                <c:pt idx="59">
                  <c:v>-38.276431810110488</c:v>
                </c:pt>
                <c:pt idx="60">
                  <c:v>-38.088129126990502</c:v>
                </c:pt>
                <c:pt idx="61">
                  <c:v>-37.896929201822182</c:v>
                </c:pt>
                <c:pt idx="62">
                  <c:v>-37.702858319270923</c:v>
                </c:pt>
                <c:pt idx="63">
                  <c:v>-37.505942764002107</c:v>
                </c:pt>
                <c:pt idx="64">
                  <c:v>-37.306208820681128</c:v>
                </c:pt>
                <c:pt idx="65">
                  <c:v>-37.103682773973375</c:v>
                </c:pt>
                <c:pt idx="66">
                  <c:v>-36.898401840779378</c:v>
                </c:pt>
                <c:pt idx="67">
                  <c:v>-36.690446966940229</c:v>
                </c:pt>
                <c:pt idx="68">
                  <c:v>-36.479910030532139</c:v>
                </c:pt>
                <c:pt idx="69">
                  <c:v>-36.266882909631327</c:v>
                </c:pt>
                <c:pt idx="70">
                  <c:v>-36.051457482314028</c:v>
                </c:pt>
                <c:pt idx="71">
                  <c:v>-35.833725626656452</c:v>
                </c:pt>
                <c:pt idx="72">
                  <c:v>-35.613779220734827</c:v>
                </c:pt>
                <c:pt idx="73">
                  <c:v>-35.391710142625371</c:v>
                </c:pt>
                <c:pt idx="74">
                  <c:v>-35.167610270404303</c:v>
                </c:pt>
                <c:pt idx="75">
                  <c:v>-34.941571482147843</c:v>
                </c:pt>
                <c:pt idx="76">
                  <c:v>-34.713685655932224</c:v>
                </c:pt>
                <c:pt idx="77">
                  <c:v>-34.484044669833651</c:v>
                </c:pt>
                <c:pt idx="78">
                  <c:v>-34.252740401928364</c:v>
                </c:pt>
                <c:pt idx="79">
                  <c:v>-34.019864730292568</c:v>
                </c:pt>
                <c:pt idx="80">
                  <c:v>-33.785509533002489</c:v>
                </c:pt>
                <c:pt idx="81">
                  <c:v>-33.549766688134355</c:v>
                </c:pt>
                <c:pt idx="82">
                  <c:v>-33.312728073764376</c:v>
                </c:pt>
                <c:pt idx="83">
                  <c:v>-33.074485567968786</c:v>
                </c:pt>
                <c:pt idx="84">
                  <c:v>-32.835131048823797</c:v>
                </c:pt>
                <c:pt idx="85">
                  <c:v>-32.594756394405636</c:v>
                </c:pt>
                <c:pt idx="86">
                  <c:v>-32.353453482790528</c:v>
                </c:pt>
                <c:pt idx="87">
                  <c:v>-32.111314192054678</c:v>
                </c:pt>
                <c:pt idx="88">
                  <c:v>-31.868430400274324</c:v>
                </c:pt>
                <c:pt idx="89">
                  <c:v>-31.624893985525674</c:v>
                </c:pt>
                <c:pt idx="90">
                  <c:v>-31.380796825884964</c:v>
                </c:pt>
                <c:pt idx="91">
                  <c:v>-31.136170303573241</c:v>
                </c:pt>
                <c:pt idx="92">
                  <c:v>-30.890803817390914</c:v>
                </c:pt>
                <c:pt idx="93">
                  <c:v>-30.64442627028324</c:v>
                </c:pt>
                <c:pt idx="94">
                  <c:v>-30.396766565195449</c:v>
                </c:pt>
                <c:pt idx="95">
                  <c:v>-30.14755360507279</c:v>
                </c:pt>
                <c:pt idx="96">
                  <c:v>-29.896516292860511</c:v>
                </c:pt>
                <c:pt idx="97">
                  <c:v>-29.643383531503851</c:v>
                </c:pt>
                <c:pt idx="98">
                  <c:v>-29.387884223948063</c:v>
                </c:pt>
                <c:pt idx="99">
                  <c:v>-29.129747273138385</c:v>
                </c:pt>
                <c:pt idx="100">
                  <c:v>-28.868701582020066</c:v>
                </c:pt>
                <c:pt idx="101">
                  <c:v>-28.604476053538342</c:v>
                </c:pt>
                <c:pt idx="102">
                  <c:v>-28.336799590638471</c:v>
                </c:pt>
                <c:pt idx="103">
                  <c:v>-28.065401096265688</c:v>
                </c:pt>
                <c:pt idx="104">
                  <c:v>-27.790009473365238</c:v>
                </c:pt>
                <c:pt idx="105">
                  <c:v>-27.510353624882374</c:v>
                </c:pt>
                <c:pt idx="106">
                  <c:v>-27.226162453762331</c:v>
                </c:pt>
                <c:pt idx="107">
                  <c:v>-26.937164862950358</c:v>
                </c:pt>
                <c:pt idx="108">
                  <c:v>-26.643089755391699</c:v>
                </c:pt>
                <c:pt idx="109">
                  <c:v>-26.343666034031607</c:v>
                </c:pt>
                <c:pt idx="110">
                  <c:v>-26.038622601815309</c:v>
                </c:pt>
                <c:pt idx="111">
                  <c:v>-25.727688361688067</c:v>
                </c:pt>
                <c:pt idx="112">
                  <c:v>-25.410592216595109</c:v>
                </c:pt>
                <c:pt idx="113">
                  <c:v>-25.087063069481697</c:v>
                </c:pt>
                <c:pt idx="114">
                  <c:v>-24.756829823293067</c:v>
                </c:pt>
                <c:pt idx="115">
                  <c:v>-24.419621380974462</c:v>
                </c:pt>
                <c:pt idx="116">
                  <c:v>-24.075166645471135</c:v>
                </c:pt>
                <c:pt idx="117">
                  <c:v>-23.72319451972832</c:v>
                </c:pt>
                <c:pt idx="118">
                  <c:v>-23.363433906691267</c:v>
                </c:pt>
                <c:pt idx="119">
                  <c:v>-22.995613709305225</c:v>
                </c:pt>
                <c:pt idx="120">
                  <c:v>-22.619462830515431</c:v>
                </c:pt>
                <c:pt idx="121">
                  <c:v>-22.234836473400939</c:v>
                </c:pt>
                <c:pt idx="122">
                  <c:v>-21.842095041575991</c:v>
                </c:pt>
                <c:pt idx="123">
                  <c:v>-21.441725238788639</c:v>
                </c:pt>
                <c:pt idx="124">
                  <c:v>-21.034213768786937</c:v>
                </c:pt>
                <c:pt idx="125">
                  <c:v>-20.620047335318944</c:v>
                </c:pt>
                <c:pt idx="126">
                  <c:v>-20.199712642132699</c:v>
                </c:pt>
                <c:pt idx="127">
                  <c:v>-19.773696392976259</c:v>
                </c:pt>
                <c:pt idx="128">
                  <c:v>-19.342485291597676</c:v>
                </c:pt>
                <c:pt idx="129">
                  <c:v>-18.906566041744995</c:v>
                </c:pt>
                <c:pt idx="130">
                  <c:v>-18.466425347166279</c:v>
                </c:pt>
                <c:pt idx="131">
                  <c:v>-18.02254991160957</c:v>
                </c:pt>
                <c:pt idx="132">
                  <c:v>-17.57542643882292</c:v>
                </c:pt>
                <c:pt idx="133">
                  <c:v>-17.125541632554388</c:v>
                </c:pt>
                <c:pt idx="134">
                  <c:v>-16.673382196552019</c:v>
                </c:pt>
                <c:pt idx="135">
                  <c:v>-16.219434834563863</c:v>
                </c:pt>
                <c:pt idx="136">
                  <c:v>-15.764186250337977</c:v>
                </c:pt>
                <c:pt idx="137">
                  <c:v>-15.308123147622407</c:v>
                </c:pt>
                <c:pt idx="138">
                  <c:v>-14.851732230165208</c:v>
                </c:pt>
                <c:pt idx="139">
                  <c:v>-14.395500201714427</c:v>
                </c:pt>
                <c:pt idx="140">
                  <c:v>-13.939913766018122</c:v>
                </c:pt>
                <c:pt idx="141">
                  <c:v>-13.485459626824342</c:v>
                </c:pt>
                <c:pt idx="142">
                  <c:v>-13.032624487881135</c:v>
                </c:pt>
                <c:pt idx="143">
                  <c:v>-12.581895052936556</c:v>
                </c:pt>
                <c:pt idx="144">
                  <c:v>-12.133758025738654</c:v>
                </c:pt>
                <c:pt idx="145">
                  <c:v>-11.688700110035484</c:v>
                </c:pt>
                <c:pt idx="146">
                  <c:v>-11.247208009575091</c:v>
                </c:pt>
                <c:pt idx="147">
                  <c:v>-10.809768428105532</c:v>
                </c:pt>
                <c:pt idx="148">
                  <c:v>-10.376868069374858</c:v>
                </c:pt>
                <c:pt idx="149">
                  <c:v>-9.9489936371311174</c:v>
                </c:pt>
                <c:pt idx="150">
                  <c:v>-9.5266318351223642</c:v>
                </c:pt>
                <c:pt idx="151">
                  <c:v>-9.1102693670966488</c:v>
                </c:pt>
                <c:pt idx="152">
                  <c:v>-8.7003929368020216</c:v>
                </c:pt>
                <c:pt idx="153">
                  <c:v>-8.2974892479865368</c:v>
                </c:pt>
                <c:pt idx="154">
                  <c:v>-7.9020450043982429</c:v>
                </c:pt>
                <c:pt idx="155">
                  <c:v>-7.5145469097851931</c:v>
                </c:pt>
                <c:pt idx="156">
                  <c:v>-7.1354816678954371</c:v>
                </c:pt>
                <c:pt idx="157">
                  <c:v>-6.7653359824770281</c:v>
                </c:pt>
                <c:pt idx="158">
                  <c:v>-6.4045965572780164</c:v>
                </c:pt>
                <c:pt idx="159">
                  <c:v>-6.0537500960464534</c:v>
                </c:pt>
                <c:pt idx="160">
                  <c:v>-5.7132833025303906</c:v>
                </c:pt>
                <c:pt idx="161">
                  <c:v>-5.3836828804778811</c:v>
                </c:pt>
                <c:pt idx="162">
                  <c:v>-5.0654355336369727</c:v>
                </c:pt>
                <c:pt idx="163">
                  <c:v>-4.7590279657557204</c:v>
                </c:pt>
                <c:pt idx="164">
                  <c:v>-4.4649468805821737</c:v>
                </c:pt>
                <c:pt idx="165">
                  <c:v>-4.183678981864384</c:v>
                </c:pt>
                <c:pt idx="166">
                  <c:v>-3.9155665232485664</c:v>
                </c:pt>
                <c:pt idx="167">
                  <c:v>-3.6603739579735919</c:v>
                </c:pt>
                <c:pt idx="168">
                  <c:v>-3.417721289176495</c:v>
                </c:pt>
                <c:pt idx="169">
                  <c:v>-3.1872285199943082</c:v>
                </c:pt>
                <c:pt idx="170">
                  <c:v>-2.9685156535640669</c:v>
                </c:pt>
                <c:pt idx="171">
                  <c:v>-2.761202693022804</c:v>
                </c:pt>
                <c:pt idx="172">
                  <c:v>-2.5649096415075539</c:v>
                </c:pt>
                <c:pt idx="173">
                  <c:v>-2.3792565021553509</c:v>
                </c:pt>
                <c:pt idx="174">
                  <c:v>-2.2038632781032295</c:v>
                </c:pt>
                <c:pt idx="175">
                  <c:v>-2.0383499724882226</c:v>
                </c:pt>
                <c:pt idx="176">
                  <c:v>-1.8823365884473651</c:v>
                </c:pt>
                <c:pt idx="177">
                  <c:v>-1.7354431291176902</c:v>
                </c:pt>
                <c:pt idx="178">
                  <c:v>-1.5972895976362329</c:v>
                </c:pt>
                <c:pt idx="179">
                  <c:v>-1.4674959971400265</c:v>
                </c:pt>
                <c:pt idx="180">
                  <c:v>-1.3456823307661054</c:v>
                </c:pt>
                <c:pt idx="181">
                  <c:v>-1.2314686016515037</c:v>
                </c:pt>
                <c:pt idx="182">
                  <c:v>-1.1244748129332551</c:v>
                </c:pt>
                <c:pt idx="183">
                  <c:v>-1.0243209677483942</c:v>
                </c:pt>
                <c:pt idx="184">
                  <c:v>-0.93062706923395444</c:v>
                </c:pt>
                <c:pt idx="185">
                  <c:v>-0.84301312052697008</c:v>
                </c:pt>
                <c:pt idx="186">
                  <c:v>-0.76109912476447528</c:v>
                </c:pt>
                <c:pt idx="187">
                  <c:v>-0.68450508508350383</c:v>
                </c:pt>
                <c:pt idx="188">
                  <c:v>-0.6128510046210901</c:v>
                </c:pt>
                <c:pt idx="189">
                  <c:v>-0.54575688651426779</c:v>
                </c:pt>
                <c:pt idx="190">
                  <c:v>-0.48284273390007104</c:v>
                </c:pt>
                <c:pt idx="191">
                  <c:v>-0.42372854991553399</c:v>
                </c:pt>
                <c:pt idx="192">
                  <c:v>-0.36803433769769056</c:v>
                </c:pt>
                <c:pt idx="193">
                  <c:v>-0.31538010038357489</c:v>
                </c:pt>
                <c:pt idx="194">
                  <c:v>-0.26538584111022101</c:v>
                </c:pt>
                <c:pt idx="195">
                  <c:v>-0.21767156301466278</c:v>
                </c:pt>
                <c:pt idx="196">
                  <c:v>-0.17185726923393446</c:v>
                </c:pt>
                <c:pt idx="197">
                  <c:v>-0.12756296290506999</c:v>
                </c:pt>
                <c:pt idx="198">
                  <c:v>-8.4408647165103379E-2</c:v>
                </c:pt>
                <c:pt idx="199">
                  <c:v>-4.2014325151068711E-2</c:v>
                </c:pt>
                <c:pt idx="200">
                  <c:v>0</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-44.26089696904954</c:v>
                </c:pt>
                <c:pt idx="1">
                  <c:v>-41.268748195236732</c:v>
                </c:pt>
                <c:pt idx="2">
                  <c:v>-37.103682773973375</c:v>
                </c:pt>
                <c:pt idx="3">
                  <c:v>-31.380796825884964</c:v>
                </c:pt>
                <c:pt idx="4">
                  <c:v>-22.619462830515431</c:v>
                </c:pt>
                <c:pt idx="5">
                  <c:v>-4.183678981864384</c:v>
                </c:pt>
                <c:pt idx="6">
                  <c:v>0</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-200</c:v>
                </c:pt>
                <c:pt idx="1">
                  <c:v>-199</c:v>
                </c:pt>
                <c:pt idx="2">
                  <c:v>-198</c:v>
                </c:pt>
                <c:pt idx="3">
                  <c:v>-197</c:v>
                </c:pt>
                <c:pt idx="4">
                  <c:v>-196</c:v>
                </c:pt>
                <c:pt idx="5">
                  <c:v>-195</c:v>
                </c:pt>
                <c:pt idx="6">
                  <c:v>-194</c:v>
                </c:pt>
                <c:pt idx="7">
                  <c:v>-193</c:v>
                </c:pt>
                <c:pt idx="8">
                  <c:v>-192</c:v>
                </c:pt>
                <c:pt idx="9">
                  <c:v>-191</c:v>
                </c:pt>
                <c:pt idx="10">
                  <c:v>-190</c:v>
                </c:pt>
                <c:pt idx="11">
                  <c:v>-189</c:v>
                </c:pt>
                <c:pt idx="12">
                  <c:v>-188</c:v>
                </c:pt>
                <c:pt idx="13">
                  <c:v>-187</c:v>
                </c:pt>
                <c:pt idx="14">
                  <c:v>-186</c:v>
                </c:pt>
                <c:pt idx="15">
                  <c:v>-185</c:v>
                </c:pt>
                <c:pt idx="16">
                  <c:v>-184</c:v>
                </c:pt>
                <c:pt idx="17">
                  <c:v>-183</c:v>
                </c:pt>
                <c:pt idx="18">
                  <c:v>-182</c:v>
                </c:pt>
                <c:pt idx="19">
                  <c:v>-181</c:v>
                </c:pt>
                <c:pt idx="20">
                  <c:v>-180</c:v>
                </c:pt>
                <c:pt idx="21">
                  <c:v>-179</c:v>
                </c:pt>
                <c:pt idx="22">
                  <c:v>-178</c:v>
                </c:pt>
                <c:pt idx="23">
                  <c:v>-177</c:v>
                </c:pt>
                <c:pt idx="24">
                  <c:v>-176</c:v>
                </c:pt>
                <c:pt idx="25">
                  <c:v>-175</c:v>
                </c:pt>
                <c:pt idx="26">
                  <c:v>-174</c:v>
                </c:pt>
                <c:pt idx="27">
                  <c:v>-173</c:v>
                </c:pt>
                <c:pt idx="28">
                  <c:v>-172</c:v>
                </c:pt>
                <c:pt idx="29">
                  <c:v>-171</c:v>
                </c:pt>
                <c:pt idx="30">
                  <c:v>-170</c:v>
                </c:pt>
                <c:pt idx="31">
                  <c:v>-169</c:v>
                </c:pt>
                <c:pt idx="32">
                  <c:v>-168</c:v>
                </c:pt>
                <c:pt idx="33">
                  <c:v>-167</c:v>
                </c:pt>
                <c:pt idx="34">
                  <c:v>-166</c:v>
                </c:pt>
                <c:pt idx="35">
                  <c:v>-165</c:v>
                </c:pt>
                <c:pt idx="36">
                  <c:v>-164</c:v>
                </c:pt>
                <c:pt idx="37">
                  <c:v>-163</c:v>
                </c:pt>
                <c:pt idx="38">
                  <c:v>-162</c:v>
                </c:pt>
                <c:pt idx="39">
                  <c:v>-161</c:v>
                </c:pt>
                <c:pt idx="40">
                  <c:v>-160</c:v>
                </c:pt>
                <c:pt idx="41">
                  <c:v>-159</c:v>
                </c:pt>
                <c:pt idx="42">
                  <c:v>-158</c:v>
                </c:pt>
                <c:pt idx="43">
                  <c:v>-157</c:v>
                </c:pt>
                <c:pt idx="44">
                  <c:v>-156</c:v>
                </c:pt>
                <c:pt idx="45">
                  <c:v>-155</c:v>
                </c:pt>
                <c:pt idx="46">
                  <c:v>-154</c:v>
                </c:pt>
                <c:pt idx="47">
                  <c:v>-153</c:v>
                </c:pt>
                <c:pt idx="48">
                  <c:v>-152</c:v>
                </c:pt>
                <c:pt idx="49">
                  <c:v>-151</c:v>
                </c:pt>
                <c:pt idx="50">
                  <c:v>-150</c:v>
                </c:pt>
                <c:pt idx="51">
                  <c:v>-149</c:v>
                </c:pt>
                <c:pt idx="52">
                  <c:v>-148</c:v>
                </c:pt>
                <c:pt idx="53">
                  <c:v>-147</c:v>
                </c:pt>
                <c:pt idx="54">
                  <c:v>-146</c:v>
                </c:pt>
                <c:pt idx="55">
                  <c:v>-145</c:v>
                </c:pt>
                <c:pt idx="56">
                  <c:v>-144</c:v>
                </c:pt>
                <c:pt idx="57">
                  <c:v>-143</c:v>
                </c:pt>
                <c:pt idx="58">
                  <c:v>-142</c:v>
                </c:pt>
                <c:pt idx="59">
                  <c:v>-141</c:v>
                </c:pt>
                <c:pt idx="60">
                  <c:v>-140</c:v>
                </c:pt>
                <c:pt idx="61">
                  <c:v>-139</c:v>
                </c:pt>
                <c:pt idx="62">
                  <c:v>-138</c:v>
                </c:pt>
                <c:pt idx="63">
                  <c:v>-137</c:v>
                </c:pt>
                <c:pt idx="64">
                  <c:v>-136</c:v>
                </c:pt>
                <c:pt idx="65">
                  <c:v>-135</c:v>
                </c:pt>
                <c:pt idx="66">
                  <c:v>-134</c:v>
                </c:pt>
                <c:pt idx="67">
                  <c:v>-133</c:v>
                </c:pt>
                <c:pt idx="68">
                  <c:v>-132</c:v>
                </c:pt>
                <c:pt idx="69">
                  <c:v>-131</c:v>
                </c:pt>
                <c:pt idx="70">
                  <c:v>-130</c:v>
                </c:pt>
                <c:pt idx="71">
                  <c:v>-129</c:v>
                </c:pt>
                <c:pt idx="72">
                  <c:v>-128</c:v>
                </c:pt>
                <c:pt idx="73">
                  <c:v>-127</c:v>
                </c:pt>
                <c:pt idx="74">
                  <c:v>-126</c:v>
                </c:pt>
                <c:pt idx="75">
                  <c:v>-125</c:v>
                </c:pt>
                <c:pt idx="76">
                  <c:v>-124</c:v>
                </c:pt>
                <c:pt idx="77">
                  <c:v>-123</c:v>
                </c:pt>
                <c:pt idx="78">
                  <c:v>-122</c:v>
                </c:pt>
                <c:pt idx="79">
                  <c:v>-121</c:v>
                </c:pt>
                <c:pt idx="80">
                  <c:v>-120</c:v>
                </c:pt>
                <c:pt idx="81">
                  <c:v>-119</c:v>
                </c:pt>
                <c:pt idx="82">
                  <c:v>-118</c:v>
                </c:pt>
                <c:pt idx="83">
                  <c:v>-117</c:v>
                </c:pt>
                <c:pt idx="84">
                  <c:v>-116</c:v>
                </c:pt>
                <c:pt idx="85">
                  <c:v>-115</c:v>
                </c:pt>
                <c:pt idx="86">
                  <c:v>-114</c:v>
                </c:pt>
                <c:pt idx="87">
                  <c:v>-113</c:v>
                </c:pt>
                <c:pt idx="88">
                  <c:v>-112</c:v>
                </c:pt>
                <c:pt idx="89">
                  <c:v>-111</c:v>
                </c:pt>
                <c:pt idx="90">
                  <c:v>-110</c:v>
                </c:pt>
                <c:pt idx="91">
                  <c:v>-109</c:v>
                </c:pt>
                <c:pt idx="92">
                  <c:v>-108</c:v>
                </c:pt>
                <c:pt idx="93">
                  <c:v>-107</c:v>
                </c:pt>
                <c:pt idx="94">
                  <c:v>-106</c:v>
                </c:pt>
                <c:pt idx="95">
                  <c:v>-105</c:v>
                </c:pt>
                <c:pt idx="96">
                  <c:v>-104</c:v>
                </c:pt>
                <c:pt idx="97">
                  <c:v>-103</c:v>
                </c:pt>
                <c:pt idx="98">
                  <c:v>-102</c:v>
                </c:pt>
                <c:pt idx="99">
                  <c:v>-101</c:v>
                </c:pt>
                <c:pt idx="100">
                  <c:v>-100</c:v>
                </c:pt>
                <c:pt idx="101">
                  <c:v>-99</c:v>
                </c:pt>
                <c:pt idx="102">
                  <c:v>-98</c:v>
                </c:pt>
                <c:pt idx="103">
                  <c:v>-97</c:v>
                </c:pt>
                <c:pt idx="104">
                  <c:v>-96</c:v>
                </c:pt>
                <c:pt idx="105">
                  <c:v>-95</c:v>
                </c:pt>
                <c:pt idx="106">
                  <c:v>-94</c:v>
                </c:pt>
                <c:pt idx="107">
                  <c:v>-93</c:v>
                </c:pt>
                <c:pt idx="108">
                  <c:v>-92</c:v>
                </c:pt>
                <c:pt idx="109">
                  <c:v>-91</c:v>
                </c:pt>
                <c:pt idx="110">
                  <c:v>-90</c:v>
                </c:pt>
                <c:pt idx="111">
                  <c:v>-89</c:v>
                </c:pt>
                <c:pt idx="112">
                  <c:v>-88</c:v>
                </c:pt>
                <c:pt idx="113">
                  <c:v>-87</c:v>
                </c:pt>
                <c:pt idx="114">
                  <c:v>-86</c:v>
                </c:pt>
                <c:pt idx="115">
                  <c:v>-85</c:v>
                </c:pt>
                <c:pt idx="116">
                  <c:v>-84</c:v>
                </c:pt>
                <c:pt idx="117">
                  <c:v>-83</c:v>
                </c:pt>
                <c:pt idx="118">
                  <c:v>-82</c:v>
                </c:pt>
                <c:pt idx="119">
                  <c:v>-81</c:v>
                </c:pt>
                <c:pt idx="120">
                  <c:v>-80</c:v>
                </c:pt>
                <c:pt idx="121">
                  <c:v>-79</c:v>
                </c:pt>
                <c:pt idx="122">
                  <c:v>-78</c:v>
                </c:pt>
                <c:pt idx="123">
                  <c:v>-77</c:v>
                </c:pt>
                <c:pt idx="124">
                  <c:v>-76</c:v>
                </c:pt>
                <c:pt idx="125">
                  <c:v>-75</c:v>
                </c:pt>
                <c:pt idx="126">
                  <c:v>-74</c:v>
                </c:pt>
                <c:pt idx="127">
                  <c:v>-73</c:v>
                </c:pt>
                <c:pt idx="128">
                  <c:v>-72</c:v>
                </c:pt>
                <c:pt idx="129">
                  <c:v>-71</c:v>
                </c:pt>
                <c:pt idx="130">
                  <c:v>-70</c:v>
                </c:pt>
                <c:pt idx="131">
                  <c:v>-69</c:v>
                </c:pt>
                <c:pt idx="132">
                  <c:v>-68</c:v>
                </c:pt>
                <c:pt idx="133">
                  <c:v>-67</c:v>
                </c:pt>
                <c:pt idx="134">
                  <c:v>-66</c:v>
                </c:pt>
                <c:pt idx="135">
                  <c:v>-65</c:v>
                </c:pt>
                <c:pt idx="136">
                  <c:v>-64</c:v>
                </c:pt>
                <c:pt idx="137">
                  <c:v>-63</c:v>
                </c:pt>
                <c:pt idx="138">
                  <c:v>-62</c:v>
                </c:pt>
                <c:pt idx="139">
                  <c:v>-61</c:v>
                </c:pt>
                <c:pt idx="140">
                  <c:v>-60</c:v>
                </c:pt>
                <c:pt idx="141">
                  <c:v>-59</c:v>
                </c:pt>
                <c:pt idx="142">
                  <c:v>-58</c:v>
                </c:pt>
                <c:pt idx="143">
                  <c:v>-57</c:v>
                </c:pt>
                <c:pt idx="144">
                  <c:v>-56</c:v>
                </c:pt>
                <c:pt idx="145">
                  <c:v>-55</c:v>
                </c:pt>
                <c:pt idx="146">
                  <c:v>-54</c:v>
                </c:pt>
                <c:pt idx="147">
                  <c:v>-53</c:v>
                </c:pt>
                <c:pt idx="148">
                  <c:v>-52</c:v>
                </c:pt>
                <c:pt idx="149">
                  <c:v>-51</c:v>
                </c:pt>
                <c:pt idx="150">
                  <c:v>-50</c:v>
                </c:pt>
                <c:pt idx="151">
                  <c:v>-49</c:v>
                </c:pt>
                <c:pt idx="152">
                  <c:v>-48</c:v>
                </c:pt>
                <c:pt idx="153">
                  <c:v>-47</c:v>
                </c:pt>
                <c:pt idx="154">
                  <c:v>-46</c:v>
                </c:pt>
                <c:pt idx="155">
                  <c:v>-45</c:v>
                </c:pt>
                <c:pt idx="156">
                  <c:v>-44</c:v>
                </c:pt>
                <c:pt idx="157">
                  <c:v>-43</c:v>
                </c:pt>
                <c:pt idx="158">
                  <c:v>-42</c:v>
                </c:pt>
                <c:pt idx="159">
                  <c:v>-41</c:v>
                </c:pt>
                <c:pt idx="160">
                  <c:v>-40</c:v>
                </c:pt>
                <c:pt idx="161">
                  <c:v>-39</c:v>
                </c:pt>
                <c:pt idx="162">
                  <c:v>-38</c:v>
                </c:pt>
                <c:pt idx="163">
                  <c:v>-37</c:v>
                </c:pt>
                <c:pt idx="164">
                  <c:v>-36</c:v>
                </c:pt>
                <c:pt idx="165">
                  <c:v>-35</c:v>
                </c:pt>
                <c:pt idx="166">
                  <c:v>-34</c:v>
                </c:pt>
                <c:pt idx="167">
                  <c:v>-33</c:v>
                </c:pt>
                <c:pt idx="168">
                  <c:v>-32</c:v>
                </c:pt>
                <c:pt idx="169">
                  <c:v>-31</c:v>
                </c:pt>
                <c:pt idx="170">
                  <c:v>-30</c:v>
                </c:pt>
                <c:pt idx="171">
                  <c:v>-29</c:v>
                </c:pt>
                <c:pt idx="172">
                  <c:v>-28</c:v>
                </c:pt>
                <c:pt idx="173">
                  <c:v>-27</c:v>
                </c:pt>
                <c:pt idx="174">
                  <c:v>-26</c:v>
                </c:pt>
                <c:pt idx="175">
                  <c:v>-25</c:v>
                </c:pt>
                <c:pt idx="176">
                  <c:v>-24</c:v>
                </c:pt>
                <c:pt idx="177">
                  <c:v>-23</c:v>
                </c:pt>
                <c:pt idx="178">
                  <c:v>-22</c:v>
                </c:pt>
                <c:pt idx="179">
                  <c:v>-21</c:v>
                </c:pt>
                <c:pt idx="180">
                  <c:v>-20</c:v>
                </c:pt>
                <c:pt idx="181">
                  <c:v>-19</c:v>
                </c:pt>
                <c:pt idx="182">
                  <c:v>-18</c:v>
                </c:pt>
                <c:pt idx="183">
                  <c:v>-17</c:v>
                </c:pt>
                <c:pt idx="184">
                  <c:v>-16</c:v>
                </c:pt>
                <c:pt idx="185">
                  <c:v>-15</c:v>
                </c:pt>
                <c:pt idx="186">
                  <c:v>-14</c:v>
                </c:pt>
                <c:pt idx="187">
                  <c:v>-13</c:v>
                </c:pt>
                <c:pt idx="188">
                  <c:v>-12</c:v>
                </c:pt>
                <c:pt idx="189">
                  <c:v>-11</c:v>
                </c:pt>
                <c:pt idx="190">
                  <c:v>-10</c:v>
                </c:pt>
                <c:pt idx="191">
                  <c:v>-9</c:v>
                </c:pt>
                <c:pt idx="192">
                  <c:v>-8</c:v>
                </c:pt>
                <c:pt idx="193">
                  <c:v>-7</c:v>
                </c:pt>
                <c:pt idx="194">
                  <c:v>-6</c:v>
                </c:pt>
                <c:pt idx="195">
                  <c:v>-5</c:v>
                </c:pt>
                <c:pt idx="196">
                  <c:v>-4</c:v>
                </c:pt>
                <c:pt idx="197">
                  <c:v>-3</c:v>
                </c:pt>
                <c:pt idx="198">
                  <c:v>-2</c:v>
                </c:pt>
                <c:pt idx="199">
                  <c:v>-1</c:v>
                </c:pt>
                <c:pt idx="200">
                  <c:v>0</c:v>
                </c:pt>
              </c:numCache>
            </c:numRef>
          </c:xVal>
          <c:yVal>
            <c:numRef>
              <c:f>'Shiftfunktion bestimmen'!$F$222:$F$422</c:f>
              <c:numCache>
                <c:formatCode>General</c:formatCode>
                <c:ptCount val="201"/>
                <c:pt idx="0">
                  <c:v>-44.466340081120279</c:v>
                </c:pt>
                <c:pt idx="1">
                  <c:v>-44.337388846653084</c:v>
                </c:pt>
                <c:pt idx="2">
                  <c:v>-44.221591889892125</c:v>
                </c:pt>
                <c:pt idx="3">
                  <c:v>-44.117556557404896</c:v>
                </c:pt>
                <c:pt idx="4">
                  <c:v>-44.023965306291984</c:v>
                </c:pt>
                <c:pt idx="5">
                  <c:v>-43.939573513900541</c:v>
                </c:pt>
                <c:pt idx="6">
                  <c:v>-43.863207298188399</c:v>
                </c:pt>
                <c:pt idx="7">
                  <c:v>-43.793761350021896</c:v>
                </c:pt>
                <c:pt idx="8">
                  <c:v>-43.730196778630443</c:v>
                </c:pt>
                <c:pt idx="9">
                  <c:v>-43.671538971412929</c:v>
                </c:pt>
                <c:pt idx="10">
                  <c:v>-43.616875469374236</c:v>
                </c:pt>
                <c:pt idx="11">
                  <c:v>-43.565353859208017</c:v>
                </c:pt>
                <c:pt idx="12">
                  <c:v>-43.516179683266046</c:v>
                </c:pt>
                <c:pt idx="13">
                  <c:v>-43.468614368485532</c:v>
                </c:pt>
                <c:pt idx="14">
                  <c:v>-43.42197317533703</c:v>
                </c:pt>
                <c:pt idx="15">
                  <c:v>-43.375623167819185</c:v>
                </c:pt>
                <c:pt idx="16">
                  <c:v>-43.328981205596619</c:v>
                </c:pt>
                <c:pt idx="17">
                  <c:v>-43.281511959180534</c:v>
                </c:pt>
                <c:pt idx="18">
                  <c:v>-43.232725949162955</c:v>
                </c:pt>
                <c:pt idx="19">
                  <c:v>-43.182177610454801</c:v>
                </c:pt>
                <c:pt idx="20">
                  <c:v>-43.129463382382028</c:v>
                </c:pt>
                <c:pt idx="21">
                  <c:v>-43.074219825574346</c:v>
                </c:pt>
                <c:pt idx="22">
                  <c:v>-43.016121766453466</c:v>
                </c:pt>
                <c:pt idx="23">
                  <c:v>-42.954880470189323</c:v>
                </c:pt>
                <c:pt idx="24">
                  <c:v>-42.890241842875412</c:v>
                </c:pt>
                <c:pt idx="25">
                  <c:v>-42.821984663731769</c:v>
                </c:pt>
                <c:pt idx="26">
                  <c:v>-42.749918848041148</c:v>
                </c:pt>
                <c:pt idx="27">
                  <c:v>-42.673883741560417</c:v>
                </c:pt>
                <c:pt idx="28">
                  <c:v>-42.593746447070657</c:v>
                </c:pt>
                <c:pt idx="29">
                  <c:v>-42.509400183742514</c:v>
                </c:pt>
                <c:pt idx="30">
                  <c:v>-42.420762679919164</c:v>
                </c:pt>
                <c:pt idx="31">
                  <c:v>-42.32777459996089</c:v>
                </c:pt>
                <c:pt idx="32">
                  <c:v>-42.230398005667325</c:v>
                </c:pt>
                <c:pt idx="33">
                  <c:v>-42.12861485287533</c:v>
                </c:pt>
                <c:pt idx="34">
                  <c:v>-42.022425523738889</c:v>
                </c:pt>
                <c:pt idx="35">
                  <c:v>-41.911847395145685</c:v>
                </c:pt>
                <c:pt idx="36">
                  <c:v>-41.796913443782103</c:v>
                </c:pt>
                <c:pt idx="37">
                  <c:v>-41.6776708882511</c:v>
                </c:pt>
                <c:pt idx="38">
                  <c:v>-41.554179868655694</c:v>
                </c:pt>
                <c:pt idx="39">
                  <c:v>-41.426512164047722</c:v>
                </c:pt>
                <c:pt idx="40">
                  <c:v>-41.294749948037293</c:v>
                </c:pt>
                <c:pt idx="41">
                  <c:v>-41.158984582970561</c:v>
                </c:pt>
                <c:pt idx="42">
                  <c:v>-41.019315452891476</c:v>
                </c:pt>
                <c:pt idx="43">
                  <c:v>-40.875848835594525</c:v>
                </c:pt>
                <c:pt idx="44">
                  <c:v>-40.72869681401977</c:v>
                </c:pt>
                <c:pt idx="45">
                  <c:v>-40.577976227173394</c:v>
                </c:pt>
                <c:pt idx="46">
                  <c:v>-40.423807660756523</c:v>
                </c:pt>
                <c:pt idx="47">
                  <c:v>-40.266314477705748</c:v>
                </c:pt>
                <c:pt idx="48">
                  <c:v>-40.105621888715092</c:v>
                </c:pt>
                <c:pt idx="49">
                  <c:v>-39.941856062870954</c:v>
                </c:pt>
                <c:pt idx="50">
                  <c:v>-39.775143278481579</c:v>
                </c:pt>
                <c:pt idx="51">
                  <c:v>-39.605609114116987</c:v>
                </c:pt>
                <c:pt idx="52">
                  <c:v>-39.433377679903117</c:v>
                </c:pt>
                <c:pt idx="53">
                  <c:v>-39.258570889055221</c:v>
                </c:pt>
                <c:pt idx="54">
                  <c:v>-39.081307769591547</c:v>
                </c:pt>
                <c:pt idx="55">
                  <c:v>-38.901703816195948</c:v>
                </c:pt>
                <c:pt idx="56">
                  <c:v>-38.719870382103977</c:v>
                </c:pt>
                <c:pt idx="57">
                  <c:v>-38.53591411091152</c:v>
                </c:pt>
                <c:pt idx="58">
                  <c:v>-38.349936408147784</c:v>
                </c:pt>
                <c:pt idx="59">
                  <c:v>-38.162032952437016</c:v>
                </c:pt>
                <c:pt idx="60">
                  <c:v>-37.972293246048153</c:v>
                </c:pt>
                <c:pt idx="61">
                  <c:v>-37.780800204586953</c:v>
                </c:pt>
                <c:pt idx="62">
                  <c:v>-37.587629785588916</c:v>
                </c:pt>
                <c:pt idx="63">
                  <c:v>-37.392850655711669</c:v>
                </c:pt>
                <c:pt idx="64">
                  <c:v>-37.196523896210991</c:v>
                </c:pt>
                <c:pt idx="65">
                  <c:v>-36.998702746361928</c:v>
                </c:pt>
                <c:pt idx="66">
                  <c:v>-36.799432384456011</c:v>
                </c:pt>
                <c:pt idx="67">
                  <c:v>-36.598749745955814</c:v>
                </c:pt>
                <c:pt idx="68">
                  <c:v>-36.396683378406841</c:v>
                </c:pt>
                <c:pt idx="69">
                  <c:v>-36.193253332633603</c:v>
                </c:pt>
                <c:pt idx="70">
                  <c:v>-35.988471089741985</c:v>
                </c:pt>
                <c:pt idx="71">
                  <c:v>-35.782339523412212</c:v>
                </c:pt>
                <c:pt idx="72">
                  <c:v>-35.574852896955051</c:v>
                </c:pt>
                <c:pt idx="73">
                  <c:v>-35.365996894554137</c:v>
                </c:pt>
                <c:pt idx="74">
                  <c:v>-35.155748686103109</c:v>
                </c:pt>
                <c:pt idx="75">
                  <c:v>-34.944077025020121</c:v>
                </c:pt>
                <c:pt idx="76">
                  <c:v>-34.730942378382117</c:v>
                </c:pt>
                <c:pt idx="77">
                  <c:v>-34.516297088708527</c:v>
                </c:pt>
                <c:pt idx="78">
                  <c:v>-34.300085566681467</c:v>
                </c:pt>
                <c:pt idx="79">
                  <c:v>-34.082244514081381</c:v>
                </c:pt>
                <c:pt idx="80">
                  <c:v>-33.86270317615832</c:v>
                </c:pt>
                <c:pt idx="81">
                  <c:v>-33.641383622668926</c:v>
                </c:pt>
                <c:pt idx="82">
                  <c:v>-33.418201056751045</c:v>
                </c:pt>
                <c:pt idx="83">
                  <c:v>-33.193064150793504</c:v>
                </c:pt>
                <c:pt idx="84">
                  <c:v>-32.965875408435451</c:v>
                </c:pt>
                <c:pt idx="85">
                  <c:v>-32.736531551777922</c:v>
                </c:pt>
                <c:pt idx="86">
                  <c:v>-32.504923932905655</c:v>
                </c:pt>
                <c:pt idx="87">
                  <c:v>-32.270938968738335</c:v>
                </c:pt>
                <c:pt idx="88">
                  <c:v>-32.034458598242033</c:v>
                </c:pt>
                <c:pt idx="89">
                  <c:v>-31.795360760986803</c:v>
                </c:pt>
                <c:pt idx="90">
                  <c:v>-31.553519896007423</c:v>
                </c:pt>
                <c:pt idx="91">
                  <c:v>-31.308807459907104</c:v>
                </c:pt>
                <c:pt idx="92">
                  <c:v>-31.061092463101865</c:v>
                </c:pt>
                <c:pt idx="93">
                  <c:v>-30.810242023087646</c:v>
                </c:pt>
                <c:pt idx="94">
                  <c:v>-30.556121933578581</c:v>
                </c:pt>
                <c:pt idx="95">
                  <c:v>-30.298597248340137</c:v>
                </c:pt>
                <c:pt idx="96">
                  <c:v>-30.037532878504926</c:v>
                </c:pt>
                <c:pt idx="97">
                  <c:v>-29.772794202147047</c:v>
                </c:pt>
                <c:pt idx="98">
                  <c:v>-29.504247684842014</c:v>
                </c:pt>
                <c:pt idx="99">
                  <c:v>-29.231761509933499</c:v>
                </c:pt>
                <c:pt idx="100">
                  <c:v>-28.955206217182365</c:v>
                </c:pt>
                <c:pt idx="101">
                  <c:v>-28.674455348456437</c:v>
                </c:pt>
                <c:pt idx="102">
                  <c:v>-28.389386099084629</c:v>
                </c:pt>
                <c:pt idx="103">
                  <c:v>-28.09987997348134</c:v>
                </c:pt>
                <c:pt idx="104">
                  <c:v>-27.805823443604286</c:v>
                </c:pt>
                <c:pt idx="105">
                  <c:v>-27.507108608795477</c:v>
                </c:pt>
                <c:pt idx="106">
                  <c:v>-27.203633855520007</c:v>
                </c:pt>
                <c:pt idx="107">
                  <c:v>-26.89530451548724</c:v>
                </c:pt>
                <c:pt idx="108">
                  <c:v>-26.582033520621298</c:v>
                </c:pt>
                <c:pt idx="109">
                  <c:v>-26.263742053305826</c:v>
                </c:pt>
                <c:pt idx="110">
                  <c:v>-25.940360190312894</c:v>
                </c:pt>
                <c:pt idx="111">
                  <c:v>-25.611827538791804</c:v>
                </c:pt>
                <c:pt idx="112">
                  <c:v>-25.278093862664715</c:v>
                </c:pt>
                <c:pt idx="113">
                  <c:v>-24.939119697753092</c:v>
                </c:pt>
                <c:pt idx="114">
                  <c:v>-24.594876953926615</c:v>
                </c:pt>
                <c:pt idx="115">
                  <c:v>-24.245349502540364</c:v>
                </c:pt>
                <c:pt idx="116">
                  <c:v>-23.890533747399033</c:v>
                </c:pt>
                <c:pt idx="117">
                  <c:v>-23.530439177456245</c:v>
                </c:pt>
                <c:pt idx="118">
                  <c:v>-23.165088899434387</c:v>
                </c:pt>
                <c:pt idx="119">
                  <c:v>-22.794520148514685</c:v>
                </c:pt>
                <c:pt idx="120">
                  <c:v>-22.41878477522895</c:v>
                </c:pt>
                <c:pt idx="121">
                  <c:v>-22.037949706647755</c:v>
                </c:pt>
                <c:pt idx="122">
                  <c:v>-21.652097379938549</c:v>
                </c:pt>
                <c:pt idx="123">
                  <c:v>-21.261326146336049</c:v>
                </c:pt>
                <c:pt idx="124">
                  <c:v>-20.865750643538842</c:v>
                </c:pt>
                <c:pt idx="125">
                  <c:v>-20.465502134522641</c:v>
                </c:pt>
                <c:pt idx="126">
                  <c:v>-20.060728810726765</c:v>
                </c:pt>
                <c:pt idx="127">
                  <c:v>-19.651596057547831</c:v>
                </c:pt>
                <c:pt idx="128">
                  <c:v>-19.238286680044336</c:v>
                </c:pt>
                <c:pt idx="129">
                  <c:v>-18.821001086726856</c:v>
                </c:pt>
                <c:pt idx="130">
                  <c:v>-18.39995742928491</c:v>
                </c:pt>
                <c:pt idx="131">
                  <c:v>-17.975391696069018</c:v>
                </c:pt>
                <c:pt idx="132">
                  <c:v>-17.54755775712178</c:v>
                </c:pt>
                <c:pt idx="133">
                  <c:v>-17.11672735852245</c:v>
                </c:pt>
                <c:pt idx="134">
                  <c:v>-16.683190063783105</c:v>
                </c:pt>
                <c:pt idx="135">
                  <c:v>-16.247253140004563</c:v>
                </c:pt>
                <c:pt idx="136">
                  <c:v>-15.809241386474852</c:v>
                </c:pt>
                <c:pt idx="137">
                  <c:v>-15.369496903363146</c:v>
                </c:pt>
                <c:pt idx="138">
                  <c:v>-14.928378798135729</c:v>
                </c:pt>
                <c:pt idx="139">
                  <c:v>-14.486262827291544</c:v>
                </c:pt>
                <c:pt idx="140">
                  <c:v>-14.043540970988575</c:v>
                </c:pt>
                <c:pt idx="141">
                  <c:v>-13.600620938102614</c:v>
                </c:pt>
                <c:pt idx="142">
                  <c:v>-13.15792559923392</c:v>
                </c:pt>
                <c:pt idx="143">
                  <c:v>-12.715892345148136</c:v>
                </c:pt>
                <c:pt idx="144">
                  <c:v>-12.274972368111305</c:v>
                </c:pt>
                <c:pt idx="145">
                  <c:v>-11.835629863549283</c:v>
                </c:pt>
                <c:pt idx="146">
                  <c:v>-11.398341149436055</c:v>
                </c:pt>
                <c:pt idx="147">
                  <c:v>-10.963593700786076</c:v>
                </c:pt>
                <c:pt idx="148">
                  <c:v>-10.531885096598577</c:v>
                </c:pt>
                <c:pt idx="149">
                  <c:v>-10.10372187657415</c:v>
                </c:pt>
                <c:pt idx="150">
                  <c:v>-9.6796183048955502</c:v>
                </c:pt>
                <c:pt idx="151">
                  <c:v>-9.2600950383375675</c:v>
                </c:pt>
                <c:pt idx="152">
                  <c:v>-8.8456776959421095</c:v>
                </c:pt>
                <c:pt idx="153">
                  <c:v>-8.4368953274678677</c:v>
                </c:pt>
                <c:pt idx="154">
                  <c:v>-8.0342787777952154</c:v>
                </c:pt>
                <c:pt idx="155">
                  <c:v>-7.6383589444397826</c:v>
                </c:pt>
                <c:pt idx="156">
                  <c:v>-7.2496649252998981</c:v>
                </c:pt>
                <c:pt idx="157">
                  <c:v>-6.8687220537356755</c:v>
                </c:pt>
                <c:pt idx="158">
                  <c:v>-6.4960498180496238</c:v>
                </c:pt>
                <c:pt idx="159">
                  <c:v>-6.1321596624103707</c:v>
                </c:pt>
                <c:pt idx="160">
                  <c:v>-5.7775526662341701</c:v>
                </c:pt>
                <c:pt idx="161">
                  <c:v>-5.4327170990101701</c:v>
                </c:pt>
                <c:pt idx="162">
                  <c:v>-5.0981258475282178</c:v>
                </c:pt>
                <c:pt idx="163">
                  <c:v>-4.7742337124398428</c:v>
                </c:pt>
                <c:pt idx="164">
                  <c:v>-4.4614745710553629</c:v>
                </c:pt>
                <c:pt idx="165">
                  <c:v>-4.1602584032523682</c:v>
                </c:pt>
                <c:pt idx="166">
                  <c:v>-3.8709681773426396</c:v>
                </c:pt>
                <c:pt idx="167">
                  <c:v>-3.5939565927173112</c:v>
                </c:pt>
                <c:pt idx="168">
                  <c:v>-3.3295426760617404</c:v>
                </c:pt>
                <c:pt idx="169">
                  <c:v>-3.0780082279041205</c:v>
                </c:pt>
                <c:pt idx="170">
                  <c:v>-2.8395941162338243</c:v>
                </c:pt>
                <c:pt idx="171">
                  <c:v>-2.6144964138978275</c:v>
                </c:pt>
                <c:pt idx="172">
                  <c:v>-2.4028623764556114</c:v>
                </c:pt>
                <c:pt idx="173">
                  <c:v>-2.2047862571452379</c:v>
                </c:pt>
                <c:pt idx="174">
                  <c:v>-2.020304955585416</c:v>
                </c:pt>
                <c:pt idx="175">
                  <c:v>-1.8493934968106125</c:v>
                </c:pt>
                <c:pt idx="176">
                  <c:v>-1.6919603372084226</c:v>
                </c:pt>
                <c:pt idx="177">
                  <c:v>-1.5478424939006137</c:v>
                </c:pt>
                <c:pt idx="178">
                  <c:v>-1.4168004940814687</c:v>
                </c:pt>
                <c:pt idx="179">
                  <c:v>-1.2985131407991901</c:v>
                </c:pt>
                <c:pt idx="180">
                  <c:v>-1.1925720916383911</c:v>
                </c:pt>
                <c:pt idx="181">
                  <c:v>-1.0984762467338254</c:v>
                </c:pt>
                <c:pt idx="182">
                  <c:v>-1.015625942517749</c:v>
                </c:pt>
                <c:pt idx="183">
                  <c:v>-0.94331694757544282</c:v>
                </c:pt>
                <c:pt idx="184">
                  <c:v>-0.8807342569556833</c:v>
                </c:pt>
                <c:pt idx="185">
                  <c:v>-0.82694568125507284</c:v>
                </c:pt>
                <c:pt idx="186">
                  <c:v>-0.78089522676738166</c:v>
                </c:pt>
                <c:pt idx="187">
                  <c:v>-0.74139626296121419</c:v>
                </c:pt>
                <c:pt idx="188">
                  <c:v>-0.70712447352152086</c:v>
                </c:pt>
                <c:pt idx="189">
                  <c:v>-0.67661058716265121</c:v>
                </c:pt>
                <c:pt idx="190">
                  <c:v>-0.64823288439285531</c:v>
                </c:pt>
                <c:pt idx="191">
                  <c:v>-0.62020947638230717</c:v>
                </c:pt>
                <c:pt idx="192">
                  <c:v>-0.59059035205893873</c:v>
                </c:pt>
                <c:pt idx="193">
                  <c:v>-0.55724918952854363</c:v>
                </c:pt>
                <c:pt idx="194">
                  <c:v>-0.51787492788781231</c:v>
                </c:pt>
                <c:pt idx="195">
                  <c:v>-0.46996309547114706</c:v>
                </c:pt>
                <c:pt idx="196">
                  <c:v>-0.4108068905442997</c:v>
                </c:pt>
                <c:pt idx="197">
                  <c:v>-0.337488010430055</c:v>
                </c:pt>
                <c:pt idx="198">
                  <c:v>-0.24686722502339001</c:v>
                </c:pt>
                <c:pt idx="199">
                  <c:v>-0.1355746906257147</c:v>
                </c:pt>
                <c:pt idx="200">
                  <c:v>0</c:v>
                </c:pt>
              </c:numCache>
            </c:numRef>
          </c:yVal>
          <c:smooth val="1"/>
        </c:ser>
        <c:dLbls>
          <c:showLegendKey val="0"/>
          <c:showVal val="0"/>
          <c:showCatName val="0"/>
          <c:showSerName val="0"/>
          <c:showPercent val="0"/>
          <c:showBubbleSize val="0"/>
        </c:dLbls>
        <c:axId val="440217264"/>
        <c:axId val="440218048"/>
      </c:scatterChart>
      <c:valAx>
        <c:axId val="44021726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18048"/>
        <c:crossesAt val="-1000"/>
        <c:crossBetween val="midCat"/>
      </c:valAx>
      <c:valAx>
        <c:axId val="440218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021726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abSelected="1"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85</v>
      </c>
    </row>
    <row r="22" spans="1:2" s="11" customFormat="1" x14ac:dyDescent="0.25">
      <c r="A22" s="61" t="s">
        <v>156</v>
      </c>
      <c r="B22" s="99">
        <f>CTE!N8-0.5</f>
        <v>95</v>
      </c>
    </row>
    <row r="23" spans="1:2" s="11" customFormat="1" x14ac:dyDescent="0.25">
      <c r="A23" s="61" t="s">
        <v>157</v>
      </c>
      <c r="B23" s="99">
        <f>CTE!N9</f>
        <v>180.5</v>
      </c>
    </row>
    <row r="24" spans="1:2" s="11" customFormat="1" x14ac:dyDescent="0.25"/>
    <row r="25" spans="1:2" s="11" customFormat="1" x14ac:dyDescent="0.25">
      <c r="A25" s="61" t="s">
        <v>146</v>
      </c>
      <c r="B25" s="53">
        <f>CTE!O5</f>
        <v>2.4982378857142858E-5</v>
      </c>
    </row>
    <row r="26" spans="1:2" s="11" customFormat="1" x14ac:dyDescent="0.25">
      <c r="A26" s="61" t="s">
        <v>147</v>
      </c>
      <c r="B26" s="53">
        <f>CTE!O6</f>
        <v>2.7353645142857146E-5</v>
      </c>
    </row>
    <row r="27" spans="1:2" s="11" customFormat="1" x14ac:dyDescent="0.25">
      <c r="A27" s="61" t="s">
        <v>148</v>
      </c>
      <c r="B27" s="53">
        <f>CTE!O8</f>
        <v>6.5304893142857141E-5</v>
      </c>
    </row>
    <row r="28" spans="1:2" s="11" customFormat="1" x14ac:dyDescent="0.25">
      <c r="A28" s="61" t="s">
        <v>149</v>
      </c>
      <c r="B28" s="53">
        <f>CTE!O9</f>
        <v>6.5054468571428583E-5</v>
      </c>
    </row>
    <row r="29" spans="1:2" s="11" customFormat="1" x14ac:dyDescent="0.25">
      <c r="A29" s="61"/>
    </row>
    <row r="30" spans="1:2" s="11" customFormat="1" x14ac:dyDescent="0.25">
      <c r="A30" s="61" t="s">
        <v>150</v>
      </c>
      <c r="B30" s="52">
        <f>CTE!P5</f>
        <v>2.1653550666666668E-5</v>
      </c>
    </row>
    <row r="31" spans="1:2" s="11" customFormat="1" x14ac:dyDescent="0.25">
      <c r="A31" s="61" t="s">
        <v>151</v>
      </c>
      <c r="B31" s="52">
        <f>CTE!P6</f>
        <v>2.2701453333333334E-5</v>
      </c>
    </row>
    <row r="32" spans="1:2" s="11" customFormat="1" x14ac:dyDescent="0.25">
      <c r="A32" s="61" t="s">
        <v>152</v>
      </c>
      <c r="B32" s="52">
        <f>CTE!P8</f>
        <v>3.6964487777777785E-5</v>
      </c>
    </row>
    <row r="33" spans="1:2" s="11" customFormat="1" x14ac:dyDescent="0.25">
      <c r="A33" s="61" t="s">
        <v>153</v>
      </c>
      <c r="B33" s="52">
        <f>CTE!P9</f>
        <v>3.8042414444444447E-5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433.15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0.148981413244447</v>
      </c>
      <c r="D59" s="55">
        <v>1</v>
      </c>
    </row>
    <row r="60" spans="1:4" s="11" customFormat="1" x14ac:dyDescent="0.25">
      <c r="A60" s="54">
        <v>2</v>
      </c>
      <c r="B60" s="56">
        <f>'Shiftfunktion bestimmen'!N2</f>
        <v>1.4060787657338503E-2</v>
      </c>
      <c r="D60" s="55">
        <v>2</v>
      </c>
    </row>
    <row r="61" spans="1:4" s="11" customFormat="1" x14ac:dyDescent="0.25">
      <c r="A61" s="54">
        <v>3</v>
      </c>
      <c r="B61" s="56">
        <f>'Shiftfunktion bestimmen'!N3</f>
        <v>6.6486125192969465E-4</v>
      </c>
      <c r="D61" s="55">
        <v>3</v>
      </c>
    </row>
    <row r="62" spans="1:4" s="11" customFormat="1" x14ac:dyDescent="0.25">
      <c r="A62" s="54">
        <v>4</v>
      </c>
      <c r="B62" s="56">
        <f>'Shiftfunktion bestimmen'!N4</f>
        <v>1.0884385753252694E-5</v>
      </c>
      <c r="D62" s="55">
        <v>4</v>
      </c>
    </row>
    <row r="63" spans="1:4" s="11" customFormat="1" x14ac:dyDescent="0.25">
      <c r="A63" s="54">
        <v>5</v>
      </c>
      <c r="B63" s="56">
        <f>'Shiftfunktion bestimmen'!N5</f>
        <v>8.8555255828174989E-8</v>
      </c>
      <c r="D63" s="55">
        <v>5</v>
      </c>
    </row>
    <row r="64" spans="1:4" s="11" customFormat="1" x14ac:dyDescent="0.25">
      <c r="A64" s="54">
        <v>6</v>
      </c>
      <c r="B64" s="56">
        <f>'Shiftfunktion bestimmen'!N6</f>
        <v>3.8365779016836814E-10</v>
      </c>
      <c r="D64" s="55">
        <v>6</v>
      </c>
    </row>
    <row r="65" spans="1:5" s="11" customFormat="1" x14ac:dyDescent="0.25">
      <c r="A65" s="54">
        <v>7</v>
      </c>
      <c r="B65" s="56">
        <f>'Shiftfunktion bestimmen'!N7</f>
        <v>8.3244638346224829E-13</v>
      </c>
      <c r="D65" s="55">
        <v>7</v>
      </c>
    </row>
    <row r="66" spans="1:5" x14ac:dyDescent="0.25">
      <c r="A66" s="54">
        <v>8</v>
      </c>
      <c r="B66" s="56">
        <f>'Shiftfunktion bestimmen'!N8</f>
        <v>6.8971415979089285E-16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0.16943181878703842</v>
      </c>
      <c r="D74" s="51">
        <v>1</v>
      </c>
      <c r="E74" s="56">
        <f>'Mastercurve bestimmen'!A18</f>
        <v>1.0000000000000001E-30</v>
      </c>
    </row>
    <row r="75" spans="1:5" x14ac:dyDescent="0.25">
      <c r="A75" s="50">
        <f>A74+1</f>
        <v>2</v>
      </c>
      <c r="B75" s="56">
        <f>'Mastercurve bestimmen'!C19</f>
        <v>7.5788306997470078E-2</v>
      </c>
      <c r="D75" s="51">
        <v>2</v>
      </c>
      <c r="E75" s="56">
        <f>'Mastercurve bestimmen'!A19</f>
        <v>3.9038946506297401E-14</v>
      </c>
    </row>
    <row r="76" spans="1:5" x14ac:dyDescent="0.25">
      <c r="A76" s="50">
        <f t="shared" ref="A76:A104" si="0">A75+1</f>
        <v>3</v>
      </c>
      <c r="B76" s="56">
        <f>'Mastercurve bestimmen'!C20</f>
        <v>2.742614598116927E-2</v>
      </c>
      <c r="D76" s="51">
        <v>3</v>
      </c>
      <c r="E76" s="56">
        <f>'Mastercurve bestimmen'!A20</f>
        <v>4.3276437088188502E-13</v>
      </c>
    </row>
    <row r="77" spans="1:5" x14ac:dyDescent="0.25">
      <c r="A77" s="50">
        <f t="shared" si="0"/>
        <v>4</v>
      </c>
      <c r="B77" s="56">
        <f>'Mastercurve bestimmen'!C21</f>
        <v>4.6802795715284964E-2</v>
      </c>
      <c r="D77" s="51">
        <v>4</v>
      </c>
      <c r="E77" s="56">
        <f>'Mastercurve bestimmen'!A21</f>
        <v>4.7973886968128502E-12</v>
      </c>
    </row>
    <row r="78" spans="1:5" x14ac:dyDescent="0.25">
      <c r="A78" s="50">
        <f t="shared" si="0"/>
        <v>5</v>
      </c>
      <c r="B78" s="56">
        <f>'Mastercurve bestimmen'!C22</f>
        <v>4.5136552781973364E-2</v>
      </c>
      <c r="D78" s="51">
        <v>5</v>
      </c>
      <c r="E78" s="56">
        <f>'Mastercurve bestimmen'!A22</f>
        <v>5.31812225239524E-11</v>
      </c>
    </row>
    <row r="79" spans="1:5" x14ac:dyDescent="0.25">
      <c r="A79" s="50">
        <f t="shared" si="0"/>
        <v>6</v>
      </c>
      <c r="B79" s="56">
        <f>'Mastercurve bestimmen'!C23</f>
        <v>6.7281406852932088E-2</v>
      </c>
      <c r="D79" s="51">
        <v>6</v>
      </c>
      <c r="E79" s="56">
        <f>'Mastercurve bestimmen'!A23</f>
        <v>5.8953789402578301E-10</v>
      </c>
    </row>
    <row r="80" spans="1:5" x14ac:dyDescent="0.25">
      <c r="A80" s="50">
        <f t="shared" si="0"/>
        <v>7</v>
      </c>
      <c r="B80" s="56">
        <f>'Mastercurve bestimmen'!C24</f>
        <v>8.4823708436980116E-2</v>
      </c>
      <c r="D80" s="51">
        <v>7</v>
      </c>
      <c r="E80" s="56">
        <f>'Mastercurve bestimmen'!A24</f>
        <v>6.5352940755699598E-9</v>
      </c>
    </row>
    <row r="81" spans="1:5" x14ac:dyDescent="0.25">
      <c r="A81" s="50">
        <f t="shared" si="0"/>
        <v>8</v>
      </c>
      <c r="B81" s="56">
        <f>'Mastercurve bestimmen'!C25</f>
        <v>0.10369484660409525</v>
      </c>
      <c r="D81" s="51">
        <v>8</v>
      </c>
      <c r="E81" s="56">
        <f>'Mastercurve bestimmen'!A25</f>
        <v>7.2446689325643296E-8</v>
      </c>
    </row>
    <row r="82" spans="1:5" x14ac:dyDescent="0.25">
      <c r="A82" s="50">
        <f t="shared" si="0"/>
        <v>9</v>
      </c>
      <c r="B82" s="56">
        <f>'Mastercurve bestimmen'!C26</f>
        <v>0.13305313379533851</v>
      </c>
      <c r="D82" s="51">
        <f>A82</f>
        <v>9</v>
      </c>
      <c r="E82" s="56">
        <f>'Mastercurve bestimmen'!A26</f>
        <v>8.03104303120212E-7</v>
      </c>
    </row>
    <row r="83" spans="1:5" x14ac:dyDescent="0.25">
      <c r="A83" s="50">
        <f t="shared" si="0"/>
        <v>10</v>
      </c>
      <c r="B83" s="56">
        <f>'Mastercurve bestimmen'!C27</f>
        <v>0.10368180212181953</v>
      </c>
      <c r="C83" s="11"/>
      <c r="D83" s="51">
        <f t="shared" ref="D83:D104" si="1">A83</f>
        <v>10</v>
      </c>
      <c r="E83" s="56">
        <f>'Mastercurve bestimmen'!A27</f>
        <v>8.9027742702096099E-6</v>
      </c>
    </row>
    <row r="84" spans="1:5" x14ac:dyDescent="0.25">
      <c r="A84" s="50">
        <f t="shared" si="0"/>
        <v>11</v>
      </c>
      <c r="B84" s="56">
        <f>'Mastercurve bestimmen'!C28</f>
        <v>6.4516912228113732E-2</v>
      </c>
      <c r="C84" s="11"/>
      <c r="D84" s="51">
        <f t="shared" si="1"/>
        <v>11</v>
      </c>
      <c r="E84" s="56">
        <f>'Mastercurve bestimmen'!A28</f>
        <v>9.86912775817142E-5</v>
      </c>
    </row>
    <row r="85" spans="1:5" x14ac:dyDescent="0.25">
      <c r="A85" s="50">
        <f t="shared" si="0"/>
        <v>12</v>
      </c>
      <c r="B85" s="56">
        <f>'Mastercurve bestimmen'!C29</f>
        <v>3.7592139756949243E-2</v>
      </c>
      <c r="C85" s="11"/>
      <c r="D85" s="51">
        <f t="shared" si="1"/>
        <v>12</v>
      </c>
      <c r="E85" s="56">
        <f>'Mastercurve bestimmen'!A29</f>
        <v>1.0940374286813801E-3</v>
      </c>
    </row>
    <row r="86" spans="1:5" x14ac:dyDescent="0.25">
      <c r="A86" s="50">
        <f t="shared" si="0"/>
        <v>13</v>
      </c>
      <c r="B86" s="56">
        <f>'Mastercurve bestimmen'!C30</f>
        <v>7.6036322594280207E-3</v>
      </c>
      <c r="C86" s="11"/>
      <c r="D86" s="51">
        <f t="shared" si="1"/>
        <v>13</v>
      </c>
      <c r="E86" s="56">
        <f>'Mastercurve bestimmen'!A30</f>
        <v>1.2127899493091E-2</v>
      </c>
    </row>
    <row r="87" spans="1:5" x14ac:dyDescent="0.25">
      <c r="A87" s="50">
        <f t="shared" si="0"/>
        <v>14</v>
      </c>
      <c r="B87" s="56">
        <f>'Mastercurve bestimmen'!C31</f>
        <v>4.6601949201853935E-3</v>
      </c>
      <c r="C87" s="11"/>
      <c r="D87" s="51">
        <f t="shared" si="1"/>
        <v>14</v>
      </c>
      <c r="E87" s="56">
        <f>'Mastercurve bestimmen'!A31</f>
        <v>0.13444324870292301</v>
      </c>
    </row>
    <row r="88" spans="1:5" x14ac:dyDescent="0.25">
      <c r="A88" s="50">
        <f t="shared" si="0"/>
        <v>15</v>
      </c>
      <c r="B88" s="56">
        <f>'Mastercurve bestimmen'!C32</f>
        <v>1.548728015482176E-3</v>
      </c>
      <c r="C88" s="11"/>
      <c r="D88" s="51">
        <f t="shared" si="1"/>
        <v>15</v>
      </c>
      <c r="E88" s="56">
        <f>'Mastercurve bestimmen'!A32</f>
        <v>1.49036419143257</v>
      </c>
    </row>
    <row r="89" spans="1:5" x14ac:dyDescent="0.25">
      <c r="A89" s="50">
        <f t="shared" si="0"/>
        <v>16</v>
      </c>
      <c r="B89" s="56">
        <f>'Mastercurve bestimmen'!C33</f>
        <v>1.7981576820785483E-3</v>
      </c>
      <c r="C89" s="11"/>
      <c r="D89" s="51">
        <f t="shared" si="1"/>
        <v>16</v>
      </c>
      <c r="E89" s="56">
        <f>'Mastercurve bestimmen'!A33</f>
        <v>16.521360830937301</v>
      </c>
    </row>
    <row r="90" spans="1:5" x14ac:dyDescent="0.25">
      <c r="A90" s="50">
        <f t="shared" si="0"/>
        <v>17</v>
      </c>
      <c r="B90" s="56">
        <f>'Mastercurve bestimmen'!C34</f>
        <v>4.3198756825701184E-3</v>
      </c>
      <c r="C90" s="11"/>
      <c r="D90" s="51">
        <f t="shared" si="1"/>
        <v>17</v>
      </c>
      <c r="E90" s="56">
        <f>'Mastercurve bestimmen'!A34</f>
        <v>183.146753843879</v>
      </c>
    </row>
    <row r="91" spans="1:5" x14ac:dyDescent="0.25">
      <c r="A91" s="50">
        <f t="shared" si="0"/>
        <v>18</v>
      </c>
      <c r="B91" s="56">
        <f>'Mastercurve bestimmen'!C35</f>
        <v>3.4800152588185828E-3</v>
      </c>
      <c r="C91" s="11"/>
      <c r="D91" s="51">
        <f t="shared" si="1"/>
        <v>18</v>
      </c>
      <c r="E91" s="56">
        <f>'Mastercurve bestimmen'!A35</f>
        <v>2030.26456396616</v>
      </c>
    </row>
    <row r="92" spans="1:5" x14ac:dyDescent="0.25">
      <c r="A92" s="50">
        <f t="shared" si="0"/>
        <v>19</v>
      </c>
      <c r="B92" s="56">
        <f>'Mastercurve bestimmen'!C36</f>
        <v>2.0367681547460849E-3</v>
      </c>
      <c r="C92" s="11"/>
      <c r="D92" s="51">
        <f t="shared" si="1"/>
        <v>19</v>
      </c>
      <c r="E92" s="56">
        <f>'Mastercurve bestimmen'!A36</f>
        <v>22506.400540467101</v>
      </c>
    </row>
    <row r="93" spans="1:5" x14ac:dyDescent="0.25">
      <c r="A93" s="50">
        <f t="shared" si="0"/>
        <v>20</v>
      </c>
      <c r="B93" s="56">
        <f>'Mastercurve bestimmen'!C37</f>
        <v>1.2781847248259422E-3</v>
      </c>
      <c r="C93" s="11"/>
      <c r="D93" s="51">
        <f t="shared" si="1"/>
        <v>20</v>
      </c>
      <c r="E93" s="56">
        <f>'Mastercurve bestimmen'!A37</f>
        <v>249493.62476110301</v>
      </c>
    </row>
    <row r="94" spans="1:5" x14ac:dyDescent="0.25">
      <c r="A94" s="50">
        <f t="shared" si="0"/>
        <v>21</v>
      </c>
      <c r="B94" s="56">
        <f>'Mastercurve bestimmen'!C38</f>
        <v>3.444457645749161E-4</v>
      </c>
      <c r="C94" s="11"/>
      <c r="D94" s="51">
        <f t="shared" si="1"/>
        <v>21</v>
      </c>
      <c r="E94" s="56">
        <f>'Mastercurve bestimmen'!A38</f>
        <v>2765749.6224023802</v>
      </c>
    </row>
    <row r="95" spans="1:5" x14ac:dyDescent="0.25">
      <c r="A95" s="50">
        <f t="shared" si="0"/>
        <v>22</v>
      </c>
      <c r="B95" s="56">
        <f>'Mastercurve bestimmen'!C39</f>
        <v>6.1014336776090067E-4</v>
      </c>
      <c r="C95" s="11"/>
      <c r="D95" s="51">
        <f t="shared" si="1"/>
        <v>22</v>
      </c>
      <c r="E95" s="56">
        <f>'Mastercurve bestimmen'!A39</f>
        <v>10000000</v>
      </c>
    </row>
    <row r="96" spans="1:5" x14ac:dyDescent="0.25">
      <c r="A96" s="50">
        <f t="shared" si="0"/>
        <v>23</v>
      </c>
      <c r="B96" s="56">
        <f>'Mastercurve bestimmen'!C40</f>
        <v>2.2250933466635417E-4</v>
      </c>
      <c r="C96" s="11"/>
      <c r="D96" s="51">
        <f t="shared" si="1"/>
        <v>23</v>
      </c>
      <c r="E96" s="56">
        <f>'Mastercurve bestimmen'!A40</f>
        <v>100000000</v>
      </c>
    </row>
    <row r="97" spans="1:5" x14ac:dyDescent="0.25">
      <c r="A97" s="50">
        <f t="shared" si="0"/>
        <v>24</v>
      </c>
      <c r="B97" s="56">
        <f>'Mastercurve bestimmen'!C41</f>
        <v>3.0514987252664002E-4</v>
      </c>
      <c r="C97" s="11"/>
      <c r="D97" s="51">
        <f t="shared" si="1"/>
        <v>24</v>
      </c>
      <c r="E97" s="56">
        <f>'Mastercurve bestimmen'!A41</f>
        <v>1000000000</v>
      </c>
    </row>
    <row r="98" spans="1:5" x14ac:dyDescent="0.25">
      <c r="A98" s="50">
        <f t="shared" si="0"/>
        <v>25</v>
      </c>
      <c r="B98" s="56">
        <f>'Mastercurve bestimmen'!C42</f>
        <v>0</v>
      </c>
      <c r="C98" s="11"/>
      <c r="D98" s="51">
        <f t="shared" si="1"/>
        <v>25</v>
      </c>
      <c r="E98" s="56">
        <f>'Mastercurve bestimmen'!A42</f>
        <v>10000000000</v>
      </c>
    </row>
    <row r="99" spans="1:5" x14ac:dyDescent="0.25">
      <c r="A99" s="50">
        <f t="shared" si="0"/>
        <v>26</v>
      </c>
      <c r="B99" s="56">
        <f>'Mastercurve bestimmen'!C43</f>
        <v>6.2164799219330605E-5</v>
      </c>
      <c r="C99" s="11"/>
      <c r="D99" s="51">
        <f t="shared" si="1"/>
        <v>26</v>
      </c>
      <c r="E99" s="56">
        <f>'Mastercurve bestimmen'!A43</f>
        <v>100000000000</v>
      </c>
    </row>
    <row r="100" spans="1:5" x14ac:dyDescent="0.25">
      <c r="A100" s="50">
        <f t="shared" si="0"/>
        <v>27</v>
      </c>
      <c r="B100" s="56">
        <f>'Mastercurve bestimmen'!C44</f>
        <v>1.589018825978126E-4</v>
      </c>
      <c r="C100" s="11"/>
      <c r="D100" s="51">
        <f t="shared" si="1"/>
        <v>27</v>
      </c>
      <c r="E100" s="56">
        <f>'Mastercurve bestimmen'!A44</f>
        <v>1000000000000</v>
      </c>
    </row>
    <row r="101" spans="1:5" x14ac:dyDescent="0.25">
      <c r="A101" s="50">
        <f t="shared" si="0"/>
        <v>28</v>
      </c>
      <c r="B101" s="56">
        <f>'Mastercurve bestimmen'!C45</f>
        <v>0</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7.8909905102376337E-4</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19859.223000000002</v>
      </c>
    </row>
    <row r="108" spans="1:5" s="11" customFormat="1" x14ac:dyDescent="0.25">
      <c r="A108" s="61" t="str">
        <f>STUTT!B3</f>
        <v>mp,PRXY,MatID,</v>
      </c>
      <c r="B108" s="52">
        <f>STUTT!C3</f>
        <v>0.28281187000000002</v>
      </c>
    </row>
    <row r="109" spans="1:5" s="11" customFormat="1" x14ac:dyDescent="0.25">
      <c r="A109" s="61" t="str">
        <f>STUTT!B4</f>
        <v>mp,ey,MatID,</v>
      </c>
      <c r="B109" s="52">
        <f>STUTT!C4</f>
        <v>25588.819</v>
      </c>
    </row>
    <row r="110" spans="1:5" s="11" customFormat="1" x14ac:dyDescent="0.25">
      <c r="A110" s="61" t="str">
        <f>STUTT!B5</f>
        <v>mp,PRYZ,MatID,</v>
      </c>
      <c r="B110" s="52">
        <f>STUTT!C5</f>
        <v>0.36446197000000002</v>
      </c>
    </row>
    <row r="111" spans="1:5" s="11" customFormat="1" x14ac:dyDescent="0.25">
      <c r="A111" s="61" t="str">
        <f>STUTT!B6</f>
        <v>mp,ez,MatID,</v>
      </c>
      <c r="B111" s="52">
        <f>STUTT!C6</f>
        <v>19859.223000000002</v>
      </c>
    </row>
    <row r="112" spans="1:5" s="11" customFormat="1" x14ac:dyDescent="0.25">
      <c r="A112" s="61" t="str">
        <f>STUTT!B7</f>
        <v>mp,PRXZ,MatID,</v>
      </c>
      <c r="B112" s="52">
        <f>STUTT!C7</f>
        <v>0.35447205999999998</v>
      </c>
    </row>
    <row r="113" spans="1:4" s="11" customFormat="1" x14ac:dyDescent="0.25">
      <c r="A113" s="61" t="str">
        <f>STUTT!B8</f>
        <v>MP,GXZ,</v>
      </c>
      <c r="B113" s="52" t="str">
        <f>STUTT!C8</f>
        <v>MatID,</v>
      </c>
      <c r="C113" s="112">
        <f>STUTT!D8</f>
        <v>7330.9827999999998</v>
      </c>
      <c r="D113" s="112"/>
    </row>
    <row r="114" spans="1:4" s="11" customFormat="1" x14ac:dyDescent="0.25">
      <c r="A114" s="61" t="str">
        <f>STUTT!B9</f>
        <v>MP,GXY,</v>
      </c>
      <c r="B114" s="52" t="str">
        <f>STUTT!C9</f>
        <v>MatID,</v>
      </c>
      <c r="C114" s="112">
        <f>STUTT!D9</f>
        <v>9212.0444000000007</v>
      </c>
      <c r="D114" s="112"/>
    </row>
    <row r="115" spans="1:4" x14ac:dyDescent="0.25">
      <c r="A115" s="61" t="str">
        <f>STUTT!B10</f>
        <v>MP,GYZ,</v>
      </c>
      <c r="B115" s="52" t="str">
        <f>STUTT!C10</f>
        <v>MatID,</v>
      </c>
      <c r="C115" s="112">
        <f>STUTT!D10</f>
        <v>9212.0444000000007</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-2.7109999999999999E-7</v>
      </c>
      <c r="C3" s="3">
        <v>2.9730000000000002E-6</v>
      </c>
      <c r="D3" s="3">
        <v>-2.7109999999999999E-7</v>
      </c>
      <c r="E3" s="3">
        <v>-1.415E-5</v>
      </c>
      <c r="F3" s="3">
        <v>-1.415E-5</v>
      </c>
      <c r="G3" s="3">
        <v>-1.415E-5</v>
      </c>
      <c r="H3" s="3">
        <v>-2.1879924E-6</v>
      </c>
      <c r="I3" s="3">
        <v>-9.7158281000000005E-7</v>
      </c>
      <c r="J3" s="3">
        <v>-2.1879924E-6</v>
      </c>
      <c r="L3" s="48">
        <f>ABS(H3/(-0.5)/$L$1)</f>
        <v>2.5005627428571431E-5</v>
      </c>
      <c r="R3">
        <f>ABS(I3/(-0.5)/$R$1)</f>
        <v>2.1590729111111115E-5</v>
      </c>
    </row>
    <row r="4" spans="1:18" x14ac:dyDescent="0.25">
      <c r="A4">
        <v>-39</v>
      </c>
      <c r="B4" s="3">
        <v>2.7090000000000002E-7</v>
      </c>
      <c r="C4" s="3">
        <v>-2.9720000000000001E-6</v>
      </c>
      <c r="D4" s="3">
        <v>2.7090000000000002E-7</v>
      </c>
      <c r="E4" s="3">
        <v>1.415E-5</v>
      </c>
      <c r="F4" s="3">
        <v>1.415E-5</v>
      </c>
      <c r="G4" s="3">
        <v>1.415E-5</v>
      </c>
      <c r="H4" s="3">
        <v>2.1879434000000001E-6</v>
      </c>
      <c r="I4" s="3">
        <v>9.716506599999999E-7</v>
      </c>
      <c r="J4" s="3">
        <v>2.1879434000000001E-6</v>
      </c>
      <c r="L4" s="48">
        <f t="shared" ref="L4:L14" si="0">ABS(H4/(-0.5)/$L$1)</f>
        <v>2.5005067428571433E-5</v>
      </c>
      <c r="N4" s="39" t="s">
        <v>27</v>
      </c>
      <c r="O4" s="39" t="s">
        <v>130</v>
      </c>
      <c r="P4" s="85" t="s">
        <v>131</v>
      </c>
      <c r="R4" s="11">
        <f t="shared" ref="R4:R14" si="1">ABS(I4/(-0.5)/$R$1)</f>
        <v>2.1592236888888889E-5</v>
      </c>
    </row>
    <row r="5" spans="1:18" x14ac:dyDescent="0.25">
      <c r="A5">
        <v>0</v>
      </c>
      <c r="B5" s="3">
        <v>-2.6539999999999998E-7</v>
      </c>
      <c r="C5" s="3">
        <v>2.948E-6</v>
      </c>
      <c r="D5" s="3">
        <v>-2.6539999999999998E-7</v>
      </c>
      <c r="E5" s="3">
        <v>-1.415E-5</v>
      </c>
      <c r="F5" s="3">
        <v>-1.415E-5</v>
      </c>
      <c r="G5" s="3">
        <v>-1.415E-5</v>
      </c>
      <c r="H5" s="3">
        <v>-2.1859839E-6</v>
      </c>
      <c r="I5" s="3">
        <v>-9.7437384999999995E-7</v>
      </c>
      <c r="J5" s="3">
        <v>-2.1859839E-6</v>
      </c>
      <c r="L5" s="48">
        <f t="shared" si="0"/>
        <v>2.4982673142857145E-5</v>
      </c>
      <c r="M5" s="48"/>
      <c r="N5" s="10">
        <f>(INDEX(A:A,ROW(A2)*2+1)+INDEX(A:A,ROW(A2)*2+2))/2</f>
        <v>0.5</v>
      </c>
      <c r="O5" s="89">
        <f>(INDEX(L:L,ROW(L2)*2+1)+INDEX(L:L,ROW(L2)*2+2))/2</f>
        <v>2.4982378857142858E-5</v>
      </c>
      <c r="P5" s="89">
        <f>(INDEX(R:R,ROW(M2)*2+1)+INDEX(R:R,ROW(R2)*2+2))/2</f>
        <v>2.1653550666666668E-5</v>
      </c>
      <c r="R5" s="11">
        <f t="shared" si="1"/>
        <v>2.1652752222222223E-5</v>
      </c>
    </row>
    <row r="6" spans="1:18" x14ac:dyDescent="0.25">
      <c r="A6">
        <v>1</v>
      </c>
      <c r="B6" s="3">
        <v>2.6520000000000002E-7</v>
      </c>
      <c r="C6" s="3">
        <v>-2.948E-6</v>
      </c>
      <c r="D6" s="3">
        <v>2.6520000000000002E-7</v>
      </c>
      <c r="E6" s="3">
        <v>1.415E-5</v>
      </c>
      <c r="F6" s="3">
        <v>1.415E-5</v>
      </c>
      <c r="G6" s="3">
        <v>1.415E-5</v>
      </c>
      <c r="H6" s="3">
        <v>2.1859323999999999E-6</v>
      </c>
      <c r="I6" s="3">
        <v>9.7444570999999994E-7</v>
      </c>
      <c r="J6" s="3">
        <v>2.1859323999999999E-6</v>
      </c>
      <c r="L6" s="48">
        <f t="shared" si="0"/>
        <v>2.4982084571428571E-5</v>
      </c>
      <c r="M6" s="49"/>
      <c r="N6" s="10">
        <f>(INDEX(A:A,ROW(A3)*2+1)+INDEX(A:A,ROW(A3)*2+2))/2</f>
        <v>85.5</v>
      </c>
      <c r="O6" s="89">
        <f t="shared" ref="O6:O7" si="2">(INDEX(L:L,ROW(L3)*2+1)+INDEX(L:L,ROW(L3)*2+2))/2</f>
        <v>2.7353645142857146E-5</v>
      </c>
      <c r="P6" s="89">
        <f t="shared" ref="P6:P9" si="3">(INDEX(R:R,ROW(M3)*2+1)+INDEX(R:R,ROW(R3)*2+2))/2</f>
        <v>2.2701453333333334E-5</v>
      </c>
      <c r="R6" s="11">
        <f t="shared" si="1"/>
        <v>2.165434911111111E-5</v>
      </c>
    </row>
    <row r="7" spans="1:18" x14ac:dyDescent="0.25">
      <c r="A7">
        <v>85</v>
      </c>
      <c r="B7" s="3">
        <v>-3.8930000000000003E-7</v>
      </c>
      <c r="C7" s="3">
        <v>3.749E-6</v>
      </c>
      <c r="D7" s="3">
        <v>-3.8930000000000003E-7</v>
      </c>
      <c r="E7" s="3">
        <v>-1.525E-5</v>
      </c>
      <c r="F7" s="3">
        <v>-1.525E-5</v>
      </c>
      <c r="G7" s="3">
        <v>-1.525E-5</v>
      </c>
      <c r="H7" s="3">
        <v>-2.3050969999999999E-6</v>
      </c>
      <c r="I7" s="3">
        <v>-1.0045800999999999E-6</v>
      </c>
      <c r="J7" s="3">
        <v>-2.3050969999999999E-6</v>
      </c>
      <c r="L7" s="48">
        <f t="shared" si="0"/>
        <v>2.6343965714285715E-5</v>
      </c>
      <c r="M7" s="48"/>
      <c r="N7" s="10">
        <f>(INDEX(A:A,ROW(A4)*2+1)+INDEX(A:A,ROW(A4)*2+2))/2</f>
        <v>90.5</v>
      </c>
      <c r="O7" s="89">
        <f t="shared" si="2"/>
        <v>4.7545937714285716E-5</v>
      </c>
      <c r="P7" s="89">
        <f t="shared" si="3"/>
        <v>3.0262870000000003E-5</v>
      </c>
      <c r="R7" s="11">
        <f t="shared" si="1"/>
        <v>2.2324002222222221E-5</v>
      </c>
    </row>
    <row r="8" spans="1:18" x14ac:dyDescent="0.25">
      <c r="A8">
        <v>86</v>
      </c>
      <c r="B8" s="3">
        <v>5.848E-7</v>
      </c>
      <c r="C8" s="3">
        <v>-4.9740000000000001E-6</v>
      </c>
      <c r="D8" s="3">
        <v>5.848E-7</v>
      </c>
      <c r="E8" s="3">
        <v>1.681E-5</v>
      </c>
      <c r="F8" s="3">
        <v>1.681E-5</v>
      </c>
      <c r="G8" s="3">
        <v>1.681E-5</v>
      </c>
      <c r="H8" s="3">
        <v>2.4817909000000001E-6</v>
      </c>
      <c r="I8" s="3">
        <v>1.0385507E-6</v>
      </c>
      <c r="J8" s="3">
        <v>2.4817909000000001E-6</v>
      </c>
      <c r="L8" s="48">
        <f t="shared" si="0"/>
        <v>2.8363324571428574E-5</v>
      </c>
      <c r="M8" s="49"/>
      <c r="N8" s="10">
        <f>(INDEX(A:A,ROW(A5)*2+1)+INDEX(A:A,ROW(A5)*2+2))/2</f>
        <v>95.5</v>
      </c>
      <c r="O8" s="89">
        <f t="shared" ref="O8:O9" si="4">(INDEX(L:L,ROW(L5)*2+1)+INDEX(L:L,ROW(L5)*2+2))/2</f>
        <v>6.5304893142857141E-5</v>
      </c>
      <c r="P8" s="89">
        <f t="shared" si="3"/>
        <v>3.6964487777777785E-5</v>
      </c>
      <c r="R8" s="11">
        <f t="shared" si="1"/>
        <v>2.3078904444444446E-5</v>
      </c>
    </row>
    <row r="9" spans="1:18" x14ac:dyDescent="0.25">
      <c r="A9">
        <v>90</v>
      </c>
      <c r="B9" s="3">
        <v>-2.345E-6</v>
      </c>
      <c r="C9" s="3">
        <v>1.5999999999999999E-5</v>
      </c>
      <c r="D9" s="3">
        <v>-2.345E-6</v>
      </c>
      <c r="E9" s="3">
        <v>-3.0899999999999999E-5</v>
      </c>
      <c r="F9" s="3">
        <v>-3.0899999999999999E-5</v>
      </c>
      <c r="G9" s="3">
        <v>-3.0899999999999999E-5</v>
      </c>
      <c r="H9" s="3">
        <v>-4.0719910999999996E-6</v>
      </c>
      <c r="I9" s="3">
        <v>-1.3446786000000001E-6</v>
      </c>
      <c r="J9" s="3">
        <v>-4.0719910999999996E-6</v>
      </c>
      <c r="L9" s="48">
        <f t="shared" si="0"/>
        <v>4.6537041142857139E-5</v>
      </c>
      <c r="M9" s="48"/>
      <c r="N9" s="10">
        <f>(INDEX(A:A,ROW(A6)*2+1)+INDEX(A:A,ROW(A6)*2+2))/2</f>
        <v>180.5</v>
      </c>
      <c r="O9" s="89">
        <f t="shared" si="4"/>
        <v>6.5054468571428583E-5</v>
      </c>
      <c r="P9" s="89">
        <f t="shared" si="3"/>
        <v>3.8042414444444447E-5</v>
      </c>
      <c r="R9" s="11">
        <f t="shared" si="1"/>
        <v>2.9881746666666671E-5</v>
      </c>
    </row>
    <row r="10" spans="1:18" x14ac:dyDescent="0.25">
      <c r="A10">
        <v>91</v>
      </c>
      <c r="B10" s="3">
        <v>2.5399999999999998E-6</v>
      </c>
      <c r="C10" s="3">
        <v>-1.7220000000000001E-5</v>
      </c>
      <c r="D10" s="3">
        <v>2.5399999999999998E-6</v>
      </c>
      <c r="E10" s="3">
        <v>3.2459999999999998E-5</v>
      </c>
      <c r="F10" s="3">
        <v>3.2459999999999998E-5</v>
      </c>
      <c r="G10" s="3">
        <v>3.2459999999999998E-5</v>
      </c>
      <c r="H10" s="3">
        <v>4.2485479999999997E-6</v>
      </c>
      <c r="I10" s="3">
        <v>1.3789796999999999E-6</v>
      </c>
      <c r="J10" s="3">
        <v>4.2485479999999997E-6</v>
      </c>
      <c r="L10" s="48">
        <f t="shared" si="0"/>
        <v>4.8554834285714287E-5</v>
      </c>
      <c r="M10" s="49"/>
      <c r="N10" s="10"/>
      <c r="O10" s="3"/>
      <c r="R10" s="11">
        <f t="shared" si="1"/>
        <v>3.0643993333333331E-5</v>
      </c>
    </row>
    <row r="11" spans="1:18" x14ac:dyDescent="0.25">
      <c r="A11">
        <v>95</v>
      </c>
      <c r="B11" s="3">
        <v>-4.16E-6</v>
      </c>
      <c r="C11" s="3">
        <v>2.7370000000000001E-5</v>
      </c>
      <c r="D11" s="3">
        <v>-4.16E-6</v>
      </c>
      <c r="E11" s="3">
        <v>-4.545E-5</v>
      </c>
      <c r="F11" s="3">
        <v>-4.545E-5</v>
      </c>
      <c r="G11" s="3">
        <v>-4.545E-5</v>
      </c>
      <c r="H11" s="3">
        <v>-5.7142993000000001E-6</v>
      </c>
      <c r="I11" s="3">
        <v>-1.6631382000000001E-6</v>
      </c>
      <c r="J11" s="3">
        <v>-5.7142993000000001E-6</v>
      </c>
      <c r="L11" s="48">
        <f t="shared" si="0"/>
        <v>6.5306277714285719E-5</v>
      </c>
      <c r="M11" s="48"/>
      <c r="N11" s="10"/>
      <c r="O11" s="3"/>
      <c r="R11" s="11">
        <f t="shared" si="1"/>
        <v>3.6958626666666673E-5</v>
      </c>
    </row>
    <row r="12" spans="1:18" x14ac:dyDescent="0.25">
      <c r="A12">
        <v>96</v>
      </c>
      <c r="B12" s="3">
        <v>4.1590000000000003E-6</v>
      </c>
      <c r="C12" s="3">
        <v>-2.7370000000000001E-5</v>
      </c>
      <c r="D12" s="3">
        <v>4.1590000000000003E-6</v>
      </c>
      <c r="E12" s="3">
        <v>4.545E-5</v>
      </c>
      <c r="F12" s="3">
        <v>4.545E-5</v>
      </c>
      <c r="G12" s="3">
        <v>4.545E-5</v>
      </c>
      <c r="H12" s="3">
        <v>5.7140569999999999E-6</v>
      </c>
      <c r="I12" s="3">
        <v>1.6636656999999999E-6</v>
      </c>
      <c r="J12" s="3">
        <v>5.7140569999999999E-6</v>
      </c>
      <c r="L12" s="48">
        <f t="shared" si="0"/>
        <v>6.5303508571428576E-5</v>
      </c>
      <c r="M12" s="49"/>
      <c r="N12" s="10"/>
      <c r="O12" s="3"/>
      <c r="R12" s="11">
        <f t="shared" si="1"/>
        <v>3.6970348888888889E-5</v>
      </c>
    </row>
    <row r="13" spans="1:18" x14ac:dyDescent="0.25">
      <c r="A13">
        <v>180</v>
      </c>
      <c r="B13" s="3">
        <v>-4.0799999999999999E-6</v>
      </c>
      <c r="C13" s="3">
        <v>2.692E-5</v>
      </c>
      <c r="D13" s="3">
        <v>-4.0799999999999999E-6</v>
      </c>
      <c r="E13" s="3">
        <v>-4.545E-5</v>
      </c>
      <c r="F13" s="3">
        <v>-4.545E-5</v>
      </c>
      <c r="G13" s="3">
        <v>-4.545E-5</v>
      </c>
      <c r="H13" s="3">
        <v>-5.6924030999999997E-6</v>
      </c>
      <c r="I13" s="3">
        <v>-1.7116000000000001E-6</v>
      </c>
      <c r="J13" s="3">
        <v>-5.6924030999999997E-6</v>
      </c>
      <c r="L13" s="48">
        <f t="shared" si="0"/>
        <v>6.5056035428571435E-5</v>
      </c>
      <c r="M13" s="48"/>
      <c r="N13" s="10"/>
      <c r="O13" s="3"/>
      <c r="R13" s="11">
        <f t="shared" si="1"/>
        <v>3.8035555555555557E-5</v>
      </c>
    </row>
    <row r="14" spans="1:18" x14ac:dyDescent="0.25">
      <c r="A14" s="11">
        <v>181</v>
      </c>
      <c r="B14" s="3">
        <v>4.0790000000000002E-6</v>
      </c>
      <c r="C14" s="3">
        <v>-2.692E-5</v>
      </c>
      <c r="D14" s="3">
        <v>4.0790000000000002E-6</v>
      </c>
      <c r="E14" s="3">
        <v>4.545E-5</v>
      </c>
      <c r="F14" s="3">
        <v>4.545E-5</v>
      </c>
      <c r="G14" s="3">
        <v>4.545E-5</v>
      </c>
      <c r="H14" s="3">
        <v>5.6921289000000003E-6</v>
      </c>
      <c r="I14" s="3">
        <v>1.7122173E-6</v>
      </c>
      <c r="J14" s="3">
        <v>5.6921289000000003E-6</v>
      </c>
      <c r="L14" s="48">
        <f t="shared" si="0"/>
        <v>6.5052901714285718E-5</v>
      </c>
      <c r="M14" s="49"/>
      <c r="N14" s="10"/>
      <c r="O14" s="3"/>
      <c r="R14" s="11">
        <f t="shared" si="1"/>
        <v>3.8049273333333331E-5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19859.223000000002</v>
      </c>
    </row>
    <row r="3" spans="2:4" x14ac:dyDescent="0.25">
      <c r="B3" t="s">
        <v>118</v>
      </c>
      <c r="C3" s="3">
        <v>0.28281187000000002</v>
      </c>
    </row>
    <row r="4" spans="2:4" x14ac:dyDescent="0.25">
      <c r="B4" t="s">
        <v>119</v>
      </c>
      <c r="C4" s="3">
        <v>25588.819</v>
      </c>
    </row>
    <row r="5" spans="2:4" x14ac:dyDescent="0.25">
      <c r="B5" t="s">
        <v>120</v>
      </c>
      <c r="C5" s="3">
        <v>0.36446197000000002</v>
      </c>
    </row>
    <row r="6" spans="2:4" x14ac:dyDescent="0.25">
      <c r="B6" t="s">
        <v>121</v>
      </c>
      <c r="C6" s="3">
        <v>19859.223000000002</v>
      </c>
    </row>
    <row r="7" spans="2:4" x14ac:dyDescent="0.25">
      <c r="B7" t="s">
        <v>122</v>
      </c>
      <c r="C7" s="3">
        <v>0.35447205999999998</v>
      </c>
    </row>
    <row r="8" spans="2:4" x14ac:dyDescent="0.25">
      <c r="B8" t="s">
        <v>123</v>
      </c>
      <c r="C8" t="s">
        <v>124</v>
      </c>
      <c r="D8" s="3">
        <v>7330.9827999999998</v>
      </c>
    </row>
    <row r="9" spans="2:4" x14ac:dyDescent="0.25">
      <c r="B9" t="s">
        <v>125</v>
      </c>
      <c r="C9" t="s">
        <v>124</v>
      </c>
      <c r="D9" s="3">
        <v>9212.0444000000007</v>
      </c>
    </row>
    <row r="10" spans="2:4" x14ac:dyDescent="0.25">
      <c r="B10" t="s">
        <v>126</v>
      </c>
      <c r="C10" t="s">
        <v>124</v>
      </c>
      <c r="D10" s="3">
        <v>9212.0444000000007</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-4.9616354857142861E-4</v>
      </c>
      <c r="C3" s="2">
        <f>IF('Modell einstellen'!$B$2="Ja",creep_res0!O3,creep_res0!C3)</f>
        <v>-5.0062553142857138E-4</v>
      </c>
      <c r="D3" s="2">
        <f>IF('Modell einstellen'!$B$2="Ja",creep_res25!O3,creep_res25!C3)</f>
        <v>-5.0354817714285717E-4</v>
      </c>
      <c r="E3" s="2">
        <f>IF('Modell einstellen'!$B$2="Ja",creep_res50!O3,creep_res50!C3)</f>
        <v>-5.0658109142857151E-4</v>
      </c>
      <c r="F3" s="2">
        <f>IF('Modell einstellen'!$B$2="Ja",creep_res80!O3,creep_res80!C3)</f>
        <v>-5.1037552571428578E-4</v>
      </c>
      <c r="G3" s="2">
        <f>IF('Modell einstellen'!$B$2="Ja",creep_res125!O3,creep_res125!C3)</f>
        <v>-5.5299581142857139E-4</v>
      </c>
      <c r="H3" s="2">
        <f>IF('Modell einstellen'!$B$2="Ja",creep_res160!O3,creep_res160!C3)</f>
        <v>-5.8529725714285717E-4</v>
      </c>
      <c r="M3" s="9">
        <f>-10</f>
        <v>-10</v>
      </c>
      <c r="N3" s="2">
        <f t="shared" ref="N3:N33" si="4">A3</f>
        <v>1.0000000000000001E-15</v>
      </c>
      <c r="O3" s="2">
        <f t="shared" ref="O3:O33" si="5">$M$3/B3</f>
        <v>20154.644630369057</v>
      </c>
      <c r="P3" s="2">
        <f t="shared" ref="P3:P33" si="6">$M$3/C3</f>
        <v>19975.010006909302</v>
      </c>
      <c r="Q3" s="2">
        <f t="shared" ref="Q3:Q33" si="7">$M$3/D3</f>
        <v>19859.07298233152</v>
      </c>
      <c r="R3" s="2">
        <f>$M$3/E3</f>
        <v>19740.176191337396</v>
      </c>
      <c r="S3" s="2">
        <f t="shared" ref="S3:S33" si="8">$M$3/F3</f>
        <v>19593.41601657858</v>
      </c>
      <c r="T3" s="2">
        <f t="shared" ref="T3:T33" si="9">$M$3/G3</f>
        <v>18083.319608093752</v>
      </c>
      <c r="U3" s="2">
        <f t="shared" ref="U3:U33" si="10">$M$3/H3</f>
        <v>17085.335490576606</v>
      </c>
      <c r="W3" s="2">
        <v>18599.275035544593</v>
      </c>
      <c r="Z3" s="2">
        <v>1.0000000000000001E-15</v>
      </c>
      <c r="AA3" s="3">
        <f>IF('Modell einstellen'!$B$2="Ja",'creep_res-40'!P3,'creep_res-40'!L3)</f>
        <v>0.35453160081858259</v>
      </c>
      <c r="AB3" s="2">
        <f>IF('Modell einstellen'!$B$2="Ja",creep_res0!P3,creep_res0!L3)</f>
        <v>0.35449198253321207</v>
      </c>
      <c r="AC3" s="2">
        <f>IF('Modell einstellen'!$B$2="Ja",creep_res25!P3,creep_res25!L3)</f>
        <v>0.35446423052430071</v>
      </c>
      <c r="AD3" s="2">
        <f>IF('Modell einstellen'!$B$2="Ja",creep_res50!P3,creep_res50!L3)</f>
        <v>0.35443393854720717</v>
      </c>
      <c r="AE3" s="2">
        <f>IF('Modell einstellen'!$B$2="Ja",creep_res80!P3,creep_res80!L3)</f>
        <v>0.35439386328836164</v>
      </c>
      <c r="AF3" s="2">
        <f>IF('Modell einstellen'!$B$2="Ja",creep_res125!P3,creep_res125!L3)</f>
        <v>0.37291438229131724</v>
      </c>
      <c r="AG3" s="2">
        <f>IF('Modell einstellen'!$B$2="Ja",creep_res160!P3,creep_res160!L3)</f>
        <v>0.38591537662620667</v>
      </c>
      <c r="AL3" s="2">
        <f t="shared" ref="AL3:AL33" si="11">Z3</f>
        <v>1.0000000000000001E-15</v>
      </c>
      <c r="AM3" s="2">
        <f t="shared" ref="AM3:AM33" si="12">O3/(2*(1+AA3))</f>
        <v>7439.7100142178388</v>
      </c>
      <c r="AN3" s="2">
        <f t="shared" ref="AN3:AN33" si="13">P3/(2*(1+AB3))</f>
        <v>7373.6169222469052</v>
      </c>
      <c r="AO3" s="2">
        <f t="shared" ref="AO3:AO33" si="14">Q3/(2*(1+AC3))</f>
        <v>7330.9698900812818</v>
      </c>
      <c r="AP3" s="2">
        <f t="shared" ref="AP3:AP33" si="15">R3/(2*(1+AD3))</f>
        <v>7287.2421568641066</v>
      </c>
      <c r="AQ3" s="2">
        <f t="shared" ref="AQ3:AQ33" si="16">S3/(2*(1+AE3))</f>
        <v>7233.2784973668249</v>
      </c>
      <c r="AR3" s="2">
        <f t="shared" ref="AR3:AR33" si="17">T3/(2*(1+AF3))</f>
        <v>6585.7419229281086</v>
      </c>
      <c r="AS3" s="2">
        <f t="shared" ref="AS3:AS33" si="18">U3/(2*(1+AG3))</f>
        <v>6163.9172848230364</v>
      </c>
      <c r="AX3" s="2">
        <f>AL3</f>
        <v>1.0000000000000001E-15</v>
      </c>
      <c r="AY3" s="37">
        <f t="shared" ref="AY3:AY33" si="19">O3/(3*(1-(2*AA3)))</f>
        <v>23091.664287895361</v>
      </c>
      <c r="AZ3" s="37">
        <f t="shared" ref="AZ3:AZ33" si="20">P3/(3*(1-(2*AB3)))</f>
        <v>22879.621291278767</v>
      </c>
      <c r="BA3" s="37">
        <f t="shared" ref="BA3:BA33" si="21">Q3/(3*(1-(2*AC3)))</f>
        <v>22742.488042487119</v>
      </c>
      <c r="BB3" s="37">
        <f t="shared" ref="BB3:BB33" si="22">R3/(3*(1-(2*AD3)))</f>
        <v>22601.623842724206</v>
      </c>
      <c r="BC3" s="37">
        <f t="shared" ref="BC3:BC33" si="23">S3/(3*(1-(2*AE3)))</f>
        <v>22427.415559851273</v>
      </c>
      <c r="BD3" s="37">
        <f t="shared" ref="BD3:BD33" si="24">T3/(3*(1-(2*AF3)))</f>
        <v>23715.402700073144</v>
      </c>
      <c r="BE3" s="37">
        <f t="shared" ref="BE3:BE33" si="25">U3/(3*(1-(2*AG3)))</f>
        <v>24960.032569562049</v>
      </c>
    </row>
    <row r="4" spans="1:308" x14ac:dyDescent="0.25">
      <c r="A4" s="2">
        <f>'creep_res-40'!A4</f>
        <v>1E-14</v>
      </c>
      <c r="B4" s="3">
        <f>'creep_res-40'!O4</f>
        <v>-4.9615606285714287E-4</v>
      </c>
      <c r="C4" s="2">
        <f>IF('Modell einstellen'!$B$2="Ja",creep_res0!O4,creep_res0!C4)</f>
        <v>-5.0061783428571427E-4</v>
      </c>
      <c r="D4" s="2">
        <f>IF('Modell einstellen'!$B$2="Ja",creep_res25!O4,creep_res25!C4)</f>
        <v>-5.0354034285714287E-4</v>
      </c>
      <c r="E4" s="2">
        <f>IF('Modell einstellen'!$B$2="Ja",creep_res50!O4,creep_res50!C4)</f>
        <v>-5.0657311428571432E-4</v>
      </c>
      <c r="F4" s="2">
        <f>IF('Modell einstellen'!$B$2="Ja",creep_res80!O4,creep_res80!C4)</f>
        <v>-5.1036770285714289E-4</v>
      </c>
      <c r="G4" s="2">
        <f>IF('Modell einstellen'!$B$2="Ja",creep_res125!O4,creep_res125!C4)</f>
        <v>-5.7108600571428576E-4</v>
      </c>
      <c r="H4" s="2">
        <f>IF('Modell einstellen'!$B$2="Ja",creep_res160!O4,creep_res160!C4)</f>
        <v>-6.1177828571428578E-4</v>
      </c>
      <c r="M4" s="9">
        <f t="shared" ref="M4:M32" si="26">M3</f>
        <v>-10</v>
      </c>
      <c r="N4" s="2">
        <f t="shared" si="4"/>
        <v>1E-14</v>
      </c>
      <c r="O4" s="2">
        <f t="shared" si="5"/>
        <v>20154.948711932353</v>
      </c>
      <c r="P4" s="2">
        <f t="shared" si="6"/>
        <v>19975.317128420094</v>
      </c>
      <c r="Q4" s="2">
        <f t="shared" si="7"/>
        <v>19859.381957876321</v>
      </c>
      <c r="R4" s="2">
        <f t="shared" ref="R4:R33" si="27">$M$3/E4</f>
        <v>19740.487045192571</v>
      </c>
      <c r="S4" s="2">
        <f t="shared" si="8"/>
        <v>19593.716342193977</v>
      </c>
      <c r="T4" s="2">
        <f t="shared" si="9"/>
        <v>17510.497368067183</v>
      </c>
      <c r="U4" s="2">
        <f t="shared" si="10"/>
        <v>16345.791005518337</v>
      </c>
      <c r="Z4" s="2">
        <v>1E-14</v>
      </c>
      <c r="AA4" s="3">
        <f>IF('Modell einstellen'!$B$2="Ja",'creep_res-40'!P4,'creep_res-40'!L4)</f>
        <v>0.35453805542820516</v>
      </c>
      <c r="AB4" s="2">
        <f>IF('Modell einstellen'!$B$2="Ja",creep_res0!P4,creep_res0!L4)</f>
        <v>0.35449904238900409</v>
      </c>
      <c r="AC4" s="2">
        <f>IF('Modell einstellen'!$B$2="Ja",creep_res25!P4,creep_res25!L4)</f>
        <v>0.35447169731669115</v>
      </c>
      <c r="AD4" s="2">
        <f>IF('Modell einstellen'!$B$2="Ja",creep_res50!P4,creep_res50!L4)</f>
        <v>0.35444179852983004</v>
      </c>
      <c r="AE4" s="2">
        <f>IF('Modell einstellen'!$B$2="Ja",creep_res80!P4,creep_res80!L4)</f>
        <v>0.35440241919473009</v>
      </c>
      <c r="AF4" s="2">
        <f>IF('Modell einstellen'!$B$2="Ja",creep_res125!P4,creep_res125!L4)</f>
        <v>0.38217872232224498</v>
      </c>
      <c r="AG4" s="2">
        <f>IF('Modell einstellen'!$B$2="Ja",creep_res160!P4,creep_res160!L4)</f>
        <v>0.39898574833833361</v>
      </c>
      <c r="AL4" s="2">
        <f t="shared" si="11"/>
        <v>1E-14</v>
      </c>
      <c r="AM4" s="2">
        <f t="shared" si="12"/>
        <v>7439.7868081900597</v>
      </c>
      <c r="AN4" s="2">
        <f t="shared" si="13"/>
        <v>7373.6918607149901</v>
      </c>
      <c r="AO4" s="2">
        <f t="shared" si="14"/>
        <v>7331.0435342500059</v>
      </c>
      <c r="AP4" s="2">
        <f t="shared" si="15"/>
        <v>7287.3146216469959</v>
      </c>
      <c r="AQ4" s="2">
        <f t="shared" si="16"/>
        <v>7233.3436741214491</v>
      </c>
      <c r="AR4" s="2">
        <f t="shared" si="17"/>
        <v>6334.3824808152185</v>
      </c>
      <c r="AS4" s="2">
        <f t="shared" si="18"/>
        <v>5842.0148400129501</v>
      </c>
      <c r="AX4" s="2">
        <f t="shared" ref="AX4:AX32" si="28">AL4</f>
        <v>1E-14</v>
      </c>
      <c r="AY4" s="37">
        <f t="shared" si="19"/>
        <v>23093.037347630336</v>
      </c>
      <c r="AZ4" s="37">
        <f t="shared" si="20"/>
        <v>22881.083231796893</v>
      </c>
      <c r="BA4" s="37">
        <f t="shared" si="21"/>
        <v>22744.008773208971</v>
      </c>
      <c r="BB4" s="37">
        <f t="shared" si="22"/>
        <v>22603.200238586462</v>
      </c>
      <c r="BC4" s="37">
        <f t="shared" si="23"/>
        <v>22429.077271093392</v>
      </c>
      <c r="BD4" s="37">
        <f t="shared" si="24"/>
        <v>24769.857240838614</v>
      </c>
      <c r="BE4" s="37">
        <f t="shared" si="25"/>
        <v>26969.44694541116</v>
      </c>
      <c r="BF4" s="5"/>
      <c r="BG4" s="5"/>
    </row>
    <row r="5" spans="1:308" x14ac:dyDescent="0.25">
      <c r="A5" s="2">
        <f>'creep_res-40'!A5</f>
        <v>1E-13</v>
      </c>
      <c r="B5" s="3">
        <f>'creep_res-40'!O5</f>
        <v>-4.9615869142857142E-4</v>
      </c>
      <c r="C5" s="2">
        <f>IF('Modell einstellen'!$B$2="Ja",creep_res0!O5,creep_res0!C5)</f>
        <v>-5.0062047428571423E-4</v>
      </c>
      <c r="D5" s="2">
        <f>IF('Modell einstellen'!$B$2="Ja",creep_res25!O5,creep_res25!C5)</f>
        <v>-5.0354298857142865E-4</v>
      </c>
      <c r="E5" s="2">
        <f>IF('Modell einstellen'!$B$2="Ja",creep_res50!O5,creep_res50!C5)</f>
        <v>-5.0657577142857141E-4</v>
      </c>
      <c r="F5" s="2">
        <f>IF('Modell einstellen'!$B$2="Ja",creep_res80!O5,creep_res80!C5)</f>
        <v>-5.1037372000000011E-4</v>
      </c>
      <c r="G5" s="2">
        <f>IF('Modell einstellen'!$B$2="Ja",creep_res125!O5,creep_res125!C5)</f>
        <v>-5.8931291428571423E-4</v>
      </c>
      <c r="H5" s="2">
        <f>IF('Modell einstellen'!$B$2="Ja",creep_res160!O5,creep_res160!C5)</f>
        <v>-6.373926285714286E-4</v>
      </c>
      <c r="M5" s="9">
        <f t="shared" si="26"/>
        <v>-10</v>
      </c>
      <c r="N5" s="2">
        <f t="shared" si="4"/>
        <v>1E-13</v>
      </c>
      <c r="O5" s="2">
        <f t="shared" si="5"/>
        <v>20154.841934154916</v>
      </c>
      <c r="P5" s="2">
        <f t="shared" si="6"/>
        <v>19975.21178946588</v>
      </c>
      <c r="Q5" s="2">
        <f t="shared" si="7"/>
        <v>19859.277612762307</v>
      </c>
      <c r="R5" s="2">
        <f t="shared" si="27"/>
        <v>19740.383500378339</v>
      </c>
      <c r="S5" s="2">
        <f t="shared" si="8"/>
        <v>19593.485338547598</v>
      </c>
      <c r="T5" s="2">
        <f t="shared" si="9"/>
        <v>16968.91372577615</v>
      </c>
      <c r="U5" s="2">
        <f t="shared" si="10"/>
        <v>15688.916927722772</v>
      </c>
      <c r="Z5" s="2">
        <v>1E-13</v>
      </c>
      <c r="AA5" s="3">
        <f>IF('Modell einstellen'!$B$2="Ja",'creep_res-40'!P5,'creep_res-40'!L5)</f>
        <v>0.35453812352271485</v>
      </c>
      <c r="AB5" s="2">
        <f>IF('Modell einstellen'!$B$2="Ja",creep_res0!P5,creep_res0!L5)</f>
        <v>0.35449913623189183</v>
      </c>
      <c r="AC5" s="2">
        <f>IF('Modell einstellen'!$B$2="Ja",creep_res25!P5,creep_res25!L5)</f>
        <v>0.35447179808384754</v>
      </c>
      <c r="AD5" s="2">
        <f>IF('Modell einstellen'!$B$2="Ja",creep_res50!P5,creep_res50!L5)</f>
        <v>0.35444191341394027</v>
      </c>
      <c r="AE5" s="2">
        <f>IF('Modell einstellen'!$B$2="Ja",creep_res80!P5,creep_res80!L5)</f>
        <v>0.35440441005241635</v>
      </c>
      <c r="AF5" s="2">
        <f>IF('Modell einstellen'!$B$2="Ja",creep_res125!P5,creep_res125!L5)</f>
        <v>0.39141658043226329</v>
      </c>
      <c r="AG5" s="2">
        <f>IF('Modell einstellen'!$B$2="Ja",creep_res160!P5,creep_res160!L5)</f>
        <v>0.41148831251892193</v>
      </c>
      <c r="AL5" s="2">
        <f t="shared" si="11"/>
        <v>1E-13</v>
      </c>
      <c r="AM5" s="2">
        <f t="shared" si="12"/>
        <v>7439.7470193525078</v>
      </c>
      <c r="AN5" s="2">
        <f t="shared" si="13"/>
        <v>7373.6524650120191</v>
      </c>
      <c r="AO5" s="2">
        <f t="shared" si="14"/>
        <v>7331.0044701030138</v>
      </c>
      <c r="AP5" s="2">
        <f t="shared" si="15"/>
        <v>7287.2757793731034</v>
      </c>
      <c r="AQ5" s="2">
        <f t="shared" si="16"/>
        <v>7233.2477630478616</v>
      </c>
      <c r="AR5" s="2">
        <f t="shared" si="17"/>
        <v>6097.7114849761656</v>
      </c>
      <c r="AS5" s="2">
        <f t="shared" si="18"/>
        <v>5557.579467209528</v>
      </c>
      <c r="AX5" s="2">
        <f t="shared" si="28"/>
        <v>1E-13</v>
      </c>
      <c r="AY5" s="37">
        <f t="shared" si="19"/>
        <v>23092.925814714792</v>
      </c>
      <c r="AZ5" s="37">
        <f t="shared" si="20"/>
        <v>22880.977326821179</v>
      </c>
      <c r="BA5" s="37">
        <f t="shared" si="21"/>
        <v>22743.905020100996</v>
      </c>
      <c r="BB5" s="37">
        <f t="shared" si="22"/>
        <v>22603.09951783068</v>
      </c>
      <c r="BC5" s="37">
        <f t="shared" si="23"/>
        <v>22429.119528507599</v>
      </c>
      <c r="BD5" s="37">
        <f t="shared" si="24"/>
        <v>26045.894473466047</v>
      </c>
      <c r="BE5" s="37">
        <f t="shared" si="25"/>
        <v>29542.081530337884</v>
      </c>
    </row>
    <row r="6" spans="1:308" x14ac:dyDescent="0.25">
      <c r="A6" s="2">
        <f>'creep_res-40'!A6</f>
        <v>9.9999999999999998E-13</v>
      </c>
      <c r="B6" s="3">
        <f>'creep_res-40'!O6</f>
        <v>-4.9615937714285723E-4</v>
      </c>
      <c r="C6" s="2">
        <f>IF('Modell einstellen'!$B$2="Ja",creep_res0!O6,creep_res0!C6)</f>
        <v>-5.0062116571428575E-4</v>
      </c>
      <c r="D6" s="2">
        <f>IF('Modell einstellen'!$B$2="Ja",creep_res25!O6,creep_res25!C6)</f>
        <v>-5.0354368000000006E-4</v>
      </c>
      <c r="E6" s="2">
        <f>IF('Modell einstellen'!$B$2="Ja",creep_res50!O6,creep_res50!C6)</f>
        <v>-5.0657646285714292E-4</v>
      </c>
      <c r="F6" s="2">
        <f>IF('Modell einstellen'!$B$2="Ja",creep_res80!O6,creep_res80!C6)</f>
        <v>-5.1040788571428571E-4</v>
      </c>
      <c r="G6" s="2">
        <f>IF('Modell einstellen'!$B$2="Ja",creep_res125!O6,creep_res125!C6)</f>
        <v>-6.1189388571428573E-4</v>
      </c>
      <c r="H6" s="2">
        <f>IF('Modell einstellen'!$B$2="Ja",creep_res160!O6,creep_res160!C6)</f>
        <v>-6.6519811428571434E-4</v>
      </c>
      <c r="M6" s="9">
        <f t="shared" si="26"/>
        <v>-10</v>
      </c>
      <c r="N6" s="2">
        <f t="shared" si="4"/>
        <v>9.9999999999999998E-13</v>
      </c>
      <c r="O6" s="2">
        <f t="shared" si="5"/>
        <v>20154.814079268603</v>
      </c>
      <c r="P6" s="2">
        <f t="shared" si="6"/>
        <v>19975.184200875749</v>
      </c>
      <c r="Q6" s="2">
        <f t="shared" si="7"/>
        <v>19859.25034348559</v>
      </c>
      <c r="R6" s="2">
        <f t="shared" si="27"/>
        <v>19740.356556637038</v>
      </c>
      <c r="S6" s="2">
        <f t="shared" si="8"/>
        <v>19592.173788627089</v>
      </c>
      <c r="T6" s="2">
        <f t="shared" si="9"/>
        <v>16342.70293177818</v>
      </c>
      <c r="U6" s="2">
        <f t="shared" si="10"/>
        <v>15033.115376067983</v>
      </c>
      <c r="Z6" s="2">
        <v>9.9999999999999998E-13</v>
      </c>
      <c r="AA6" s="3">
        <f>IF('Modell einstellen'!$B$2="Ja",'creep_res-40'!P6,'creep_res-40'!L6)</f>
        <v>0.35453812876786328</v>
      </c>
      <c r="AB6" s="2">
        <f>IF('Modell einstellen'!$B$2="Ja",creep_res0!P6,creep_res0!L6)</f>
        <v>0.35449913743730305</v>
      </c>
      <c r="AC6" s="2">
        <f>IF('Modell einstellen'!$B$2="Ja",creep_res25!P6,creep_res25!L6)</f>
        <v>0.35447179931980138</v>
      </c>
      <c r="AD6" s="2">
        <f>IF('Modell einstellen'!$B$2="Ja",creep_res50!P6,creep_res50!L6)</f>
        <v>0.35444192596348811</v>
      </c>
      <c r="AE6" s="2">
        <f>IF('Modell einstellen'!$B$2="Ja",creep_res80!P6,creep_res80!L6)</f>
        <v>0.35442301719924163</v>
      </c>
      <c r="AF6" s="2">
        <f>IF('Modell einstellen'!$B$2="Ja",creep_res125!P6,creep_res125!L6)</f>
        <v>0.40272477683572211</v>
      </c>
      <c r="AG6" s="2">
        <f>IF('Modell einstellen'!$B$2="Ja",creep_res160!P6,creep_res160!L6)</f>
        <v>0.42480984612360811</v>
      </c>
      <c r="AL6" s="2">
        <f t="shared" si="11"/>
        <v>9.9999999999999998E-13</v>
      </c>
      <c r="AM6" s="2">
        <f t="shared" si="12"/>
        <v>7439.7367084831149</v>
      </c>
      <c r="AN6" s="2">
        <f t="shared" si="13"/>
        <v>7373.6422743939765</v>
      </c>
      <c r="AO6" s="2">
        <f t="shared" si="14"/>
        <v>7330.9943970257091</v>
      </c>
      <c r="AP6" s="2">
        <f t="shared" si="15"/>
        <v>7287.2657654165014</v>
      </c>
      <c r="AQ6" s="2">
        <f t="shared" si="16"/>
        <v>7232.6642193149437</v>
      </c>
      <c r="AR6" s="2">
        <f t="shared" si="17"/>
        <v>5825.3419350887143</v>
      </c>
      <c r="AS6" s="2">
        <f t="shared" si="18"/>
        <v>5275.4812921063285</v>
      </c>
      <c r="AX6" s="2">
        <f t="shared" si="28"/>
        <v>9.9999999999999998E-13</v>
      </c>
      <c r="AY6" s="37">
        <f t="shared" si="19"/>
        <v>23092.894731963072</v>
      </c>
      <c r="AZ6" s="37">
        <f t="shared" si="20"/>
        <v>22880.945914516891</v>
      </c>
      <c r="BA6" s="37">
        <f t="shared" si="21"/>
        <v>22743.873983030415</v>
      </c>
      <c r="BB6" s="37">
        <f t="shared" si="22"/>
        <v>22603.070615518671</v>
      </c>
      <c r="BC6" s="37">
        <f t="shared" si="23"/>
        <v>22430.484787376045</v>
      </c>
      <c r="BD6" s="37">
        <f t="shared" si="24"/>
        <v>28000.797462711733</v>
      </c>
      <c r="BE6" s="37">
        <f t="shared" si="25"/>
        <v>33322.437848226611</v>
      </c>
    </row>
    <row r="7" spans="1:308" x14ac:dyDescent="0.25">
      <c r="A7" s="2">
        <f>'creep_res-40'!A7</f>
        <v>9.9999999999999994E-12</v>
      </c>
      <c r="B7" s="3">
        <f>'creep_res-40'!O7</f>
        <v>-4.961595828571429E-4</v>
      </c>
      <c r="C7" s="2">
        <f>IF('Modell einstellen'!$B$2="Ja",creep_res0!O7,creep_res0!C7)</f>
        <v>-5.0062136571428571E-4</v>
      </c>
      <c r="D7" s="2">
        <f>IF('Modell einstellen'!$B$2="Ja",creep_res25!O7,creep_res25!C7)</f>
        <v>-5.0354388000000002E-4</v>
      </c>
      <c r="E7" s="2">
        <f>IF('Modell einstellen'!$B$2="Ja",creep_res50!O7,creep_res50!C7)</f>
        <v>-5.0657666285714288E-4</v>
      </c>
      <c r="F7" s="2">
        <f>IF('Modell einstellen'!$B$2="Ja",creep_res80!O7,creep_res80!C7)</f>
        <v>-5.1073692000000003E-4</v>
      </c>
      <c r="G7" s="2">
        <f>IF('Modell einstellen'!$B$2="Ja",creep_res125!O7,creep_res125!C7)</f>
        <v>-6.3697485714285724E-4</v>
      </c>
      <c r="H7" s="2">
        <f>IF('Modell einstellen'!$B$2="Ja",creep_res160!O7,creep_res160!C7)</f>
        <v>-6.9886154285714298E-4</v>
      </c>
      <c r="M7" s="9">
        <f t="shared" si="26"/>
        <v>-10</v>
      </c>
      <c r="N7" s="2">
        <f t="shared" si="4"/>
        <v>9.9999999999999994E-12</v>
      </c>
      <c r="O7" s="2">
        <f t="shared" si="5"/>
        <v>20154.805722817728</v>
      </c>
      <c r="P7" s="2">
        <f t="shared" si="6"/>
        <v>19975.176220719259</v>
      </c>
      <c r="Q7" s="2">
        <f t="shared" si="7"/>
        <v>19859.242455692241</v>
      </c>
      <c r="R7" s="2">
        <f t="shared" si="27"/>
        <v>19740.348763006576</v>
      </c>
      <c r="S7" s="2">
        <f t="shared" si="8"/>
        <v>19579.551836589373</v>
      </c>
      <c r="T7" s="2">
        <f t="shared" si="9"/>
        <v>15699.206786363398</v>
      </c>
      <c r="U7" s="2">
        <f t="shared" si="10"/>
        <v>14308.985953236433</v>
      </c>
      <c r="Z7" s="2">
        <v>9.9999999999999994E-12</v>
      </c>
      <c r="AA7" s="3">
        <f>IF('Modell einstellen'!$B$2="Ja",'creep_res-40'!P7,'creep_res-40'!L7)</f>
        <v>0.35453811997607637</v>
      </c>
      <c r="AB7" s="2">
        <f>IF('Modell einstellen'!$B$2="Ja",creep_res0!P7,creep_res0!L7)</f>
        <v>0.3544991327862852</v>
      </c>
      <c r="AC7" s="2">
        <f>IF('Modell einstellen'!$B$2="Ja",creep_res25!P7,creep_res25!L7)</f>
        <v>0.35447180605477441</v>
      </c>
      <c r="AD7" s="2">
        <f>IF('Modell einstellen'!$B$2="Ja",creep_res50!P7,creep_res50!L7)</f>
        <v>0.35444192138973502</v>
      </c>
      <c r="AE7" s="2">
        <f>IF('Modell einstellen'!$B$2="Ja",creep_res80!P7,creep_res80!L7)</f>
        <v>0.35460557658529956</v>
      </c>
      <c r="AF7" s="2">
        <f>IF('Modell einstellen'!$B$2="Ja",creep_res125!P7,creep_res125!L7)</f>
        <v>0.41512492980211818</v>
      </c>
      <c r="AG7" s="2">
        <f>IF('Modell einstellen'!$B$2="Ja",creep_res160!P7,creep_res160!L7)</f>
        <v>0.44057867338038831</v>
      </c>
      <c r="AL7" s="2">
        <f t="shared" si="11"/>
        <v>9.9999999999999994E-12</v>
      </c>
      <c r="AM7" s="2">
        <f t="shared" si="12"/>
        <v>7439.7336721589263</v>
      </c>
      <c r="AN7" s="2">
        <f t="shared" si="13"/>
        <v>7373.6393539171686</v>
      </c>
      <c r="AO7" s="2">
        <f t="shared" si="14"/>
        <v>7330.991448813199</v>
      </c>
      <c r="AP7" s="2">
        <f t="shared" si="15"/>
        <v>7287.2629129611732</v>
      </c>
      <c r="AQ7" s="2">
        <f t="shared" si="16"/>
        <v>7227.030574444283</v>
      </c>
      <c r="AR7" s="2">
        <f t="shared" si="17"/>
        <v>5546.9331561273084</v>
      </c>
      <c r="AS7" s="2">
        <f t="shared" si="18"/>
        <v>4966.4021193857116</v>
      </c>
      <c r="AX7" s="2">
        <f t="shared" si="28"/>
        <v>9.9999999999999994E-12</v>
      </c>
      <c r="AY7" s="37">
        <f t="shared" si="19"/>
        <v>23092.8837616001</v>
      </c>
      <c r="AZ7" s="37">
        <f t="shared" si="20"/>
        <v>22880.936042096218</v>
      </c>
      <c r="BA7" s="37">
        <f t="shared" si="21"/>
        <v>22743.866002083112</v>
      </c>
      <c r="BB7" s="37">
        <f t="shared" si="22"/>
        <v>22603.06098143111</v>
      </c>
      <c r="BC7" s="37">
        <f t="shared" si="23"/>
        <v>22444.180201629541</v>
      </c>
      <c r="BD7" s="37">
        <f t="shared" si="24"/>
        <v>30828.068339661877</v>
      </c>
      <c r="BE7" s="37">
        <f t="shared" si="25"/>
        <v>40134.26033842488</v>
      </c>
    </row>
    <row r="8" spans="1:308" x14ac:dyDescent="0.25">
      <c r="A8" s="2">
        <f>'creep_res-40'!A8</f>
        <v>1E-10</v>
      </c>
      <c r="B8" s="3">
        <f>'creep_res-40'!O8</f>
        <v>-4.9615964571428578E-4</v>
      </c>
      <c r="C8" s="2">
        <f>IF('Modell einstellen'!$B$2="Ja",creep_res0!O8,creep_res0!C8)</f>
        <v>-5.0062142857142859E-4</v>
      </c>
      <c r="D8" s="2">
        <f>IF('Modell einstellen'!$B$2="Ja",creep_res25!O8,creep_res25!C8)</f>
        <v>-5.0354394285714291E-4</v>
      </c>
      <c r="E8" s="2">
        <f>IF('Modell einstellen'!$B$2="Ja",creep_res50!O8,creep_res50!C8)</f>
        <v>-5.0657673714285718E-4</v>
      </c>
      <c r="F8" s="2">
        <f>IF('Modell einstellen'!$B$2="Ja",creep_res80!O8,creep_res80!C8)</f>
        <v>-5.1350480000000008E-4</v>
      </c>
      <c r="G8" s="2">
        <f>IF('Modell einstellen'!$B$2="Ja",creep_res125!O8,creep_res125!C8)</f>
        <v>-6.6554657142857149E-4</v>
      </c>
      <c r="H8" s="2">
        <f>IF('Modell einstellen'!$B$2="Ja",creep_res160!O8,creep_res160!C8)</f>
        <v>-7.4121085714285719E-4</v>
      </c>
      <c r="M8" s="9">
        <f t="shared" si="26"/>
        <v>-10</v>
      </c>
      <c r="N8" s="2">
        <f t="shared" si="4"/>
        <v>1E-10</v>
      </c>
      <c r="O8" s="2">
        <f t="shared" si="5"/>
        <v>20154.803169459119</v>
      </c>
      <c r="P8" s="2">
        <f t="shared" si="6"/>
        <v>19975.173712671392</v>
      </c>
      <c r="Q8" s="2">
        <f t="shared" si="7"/>
        <v>19859.239976672769</v>
      </c>
      <c r="R8" s="2">
        <f t="shared" si="27"/>
        <v>19740.345868231114</v>
      </c>
      <c r="S8" s="2">
        <f t="shared" si="8"/>
        <v>19474.014653806546</v>
      </c>
      <c r="T8" s="2">
        <f t="shared" si="9"/>
        <v>15025.244557319804</v>
      </c>
      <c r="U8" s="2">
        <f t="shared" si="10"/>
        <v>13491.437562783367</v>
      </c>
      <c r="Z8" s="2">
        <v>1E-10</v>
      </c>
      <c r="AA8" s="3">
        <f>IF('Modell einstellen'!$B$2="Ja",'creep_res-40'!P8,'creep_res-40'!L8)</f>
        <v>0.35453812112870858</v>
      </c>
      <c r="AB8" s="2">
        <f>IF('Modell einstellen'!$B$2="Ja",creep_res0!P8,creep_res0!L8)</f>
        <v>0.35449913393353982</v>
      </c>
      <c r="AC8" s="2">
        <f>IF('Modell einstellen'!$B$2="Ja",creep_res25!P8,creep_res25!L8)</f>
        <v>0.35447179585064437</v>
      </c>
      <c r="AD8" s="2">
        <f>IF('Modell einstellen'!$B$2="Ja",creep_res50!P8,creep_res50!L8)</f>
        <v>0.35444192581444917</v>
      </c>
      <c r="AE8" s="2">
        <f>IF('Modell einstellen'!$B$2="Ja",creep_res80!P8,creep_res80!L8)</f>
        <v>0.35613719677011779</v>
      </c>
      <c r="AF8" s="2">
        <f>IF('Modell einstellen'!$B$2="Ja",creep_res125!P8,creep_res125!L8)</f>
        <v>0.42897985887431728</v>
      </c>
      <c r="AG8" s="2">
        <f>IF('Modell einstellen'!$B$2="Ja",creep_res160!P8,creep_res160!L8)</f>
        <v>0.45979136840952911</v>
      </c>
      <c r="AL8" s="2">
        <f t="shared" si="11"/>
        <v>1E-10</v>
      </c>
      <c r="AM8" s="2">
        <f t="shared" si="12"/>
        <v>7439.732723308126</v>
      </c>
      <c r="AN8" s="2">
        <f t="shared" si="13"/>
        <v>7373.6384218505882</v>
      </c>
      <c r="AO8" s="2">
        <f t="shared" si="14"/>
        <v>7330.990588918331</v>
      </c>
      <c r="AP8" s="2">
        <f t="shared" si="15"/>
        <v>7287.2618205320641</v>
      </c>
      <c r="AQ8" s="2">
        <f t="shared" si="16"/>
        <v>7179.9574188317292</v>
      </c>
      <c r="AR8" s="2">
        <f t="shared" si="17"/>
        <v>5257.3325173232261</v>
      </c>
      <c r="AS8" s="2">
        <f t="shared" si="18"/>
        <v>4621.0156652325422</v>
      </c>
      <c r="AX8" s="2">
        <f t="shared" si="28"/>
        <v>1E-10</v>
      </c>
      <c r="AY8" s="37">
        <f t="shared" si="19"/>
        <v>23092.88101901098</v>
      </c>
      <c r="AZ8" s="37">
        <f t="shared" si="20"/>
        <v>22880.933349619339</v>
      </c>
      <c r="BA8" s="37">
        <f t="shared" si="21"/>
        <v>22743.861568225893</v>
      </c>
      <c r="BB8" s="37">
        <f t="shared" si="22"/>
        <v>22603.0583539541</v>
      </c>
      <c r="BC8" s="37">
        <f t="shared" si="23"/>
        <v>22560.863795914058</v>
      </c>
      <c r="BD8" s="37">
        <f t="shared" si="24"/>
        <v>35260.524500906417</v>
      </c>
      <c r="BE8" s="37">
        <f t="shared" si="25"/>
        <v>55922.642432413799</v>
      </c>
    </row>
    <row r="9" spans="1:308" x14ac:dyDescent="0.25">
      <c r="A9" s="2">
        <f>'creep_res-40'!A9</f>
        <v>1.0000000000000001E-9</v>
      </c>
      <c r="B9" s="3">
        <f>'creep_res-40'!O9</f>
        <v>-4.961596628571429E-4</v>
      </c>
      <c r="C9" s="2">
        <f>IF('Modell einstellen'!$B$2="Ja",creep_res0!O9,creep_res0!C9)</f>
        <v>-5.0062144571428582E-4</v>
      </c>
      <c r="D9" s="2">
        <f>IF('Modell einstellen'!$B$2="Ja",creep_res25!O9,creep_res25!C9)</f>
        <v>-5.0354396571428573E-4</v>
      </c>
      <c r="E9" s="2">
        <f>IF('Modell einstellen'!$B$2="Ja",creep_res50!O9,creep_res50!C9)</f>
        <v>-5.0657688571428578E-4</v>
      </c>
      <c r="F9" s="2">
        <f>IF('Modell einstellen'!$B$2="Ja",creep_res80!O9,creep_res80!C9)</f>
        <v>-5.2176818857142858E-4</v>
      </c>
      <c r="G9" s="2">
        <f>IF('Modell einstellen'!$B$2="Ja",creep_res125!O9,creep_res125!C9)</f>
        <v>-6.9984782857142856E-4</v>
      </c>
      <c r="H9" s="2">
        <f>IF('Modell einstellen'!$B$2="Ja",creep_res160!O9,creep_res160!C9)</f>
        <v>-8.0826034285714295E-4</v>
      </c>
      <c r="M9" s="9">
        <f t="shared" si="26"/>
        <v>-10</v>
      </c>
      <c r="N9" s="2">
        <f t="shared" si="4"/>
        <v>1.0000000000000001E-9</v>
      </c>
      <c r="O9" s="2">
        <f t="shared" si="5"/>
        <v>20154.802473088701</v>
      </c>
      <c r="P9" s="2">
        <f t="shared" si="6"/>
        <v>19975.173028658446</v>
      </c>
      <c r="Q9" s="2">
        <f t="shared" si="7"/>
        <v>19859.239075211295</v>
      </c>
      <c r="R9" s="2">
        <f t="shared" si="27"/>
        <v>19740.340078682737</v>
      </c>
      <c r="S9" s="2">
        <f t="shared" si="8"/>
        <v>19165.599243180055</v>
      </c>
      <c r="T9" s="2">
        <f t="shared" si="9"/>
        <v>14288.820500325908</v>
      </c>
      <c r="U9" s="2">
        <f t="shared" si="10"/>
        <v>12372.251203926089</v>
      </c>
      <c r="Z9" s="2">
        <v>1.0000000000000001E-9</v>
      </c>
      <c r="AA9" s="3">
        <f>IF('Modell einstellen'!$B$2="Ja",'creep_res-40'!P9,'creep_res-40'!L9)</f>
        <v>0.35453812039606009</v>
      </c>
      <c r="AB9" s="2">
        <f>IF('Modell einstellen'!$B$2="Ja",creep_res0!P9,creep_res0!L9)</f>
        <v>0.35449913320875592</v>
      </c>
      <c r="AC9" s="2">
        <f>IF('Modell einstellen'!$B$2="Ja",creep_res25!P9,creep_res25!L9)</f>
        <v>0.3544717911084036</v>
      </c>
      <c r="AD9" s="2">
        <f>IF('Modell einstellen'!$B$2="Ja",creep_res50!P9,creep_res50!L9)</f>
        <v>0.35444199106484525</v>
      </c>
      <c r="AE9" s="2">
        <f>IF('Modell einstellen'!$B$2="Ja",creep_res80!P9,creep_res80!L9)</f>
        <v>0.36067736835032149</v>
      </c>
      <c r="AF9" s="2">
        <f>IF('Modell einstellen'!$B$2="Ja",creep_res125!P9,creep_res125!L9)</f>
        <v>0.4452416962152671</v>
      </c>
      <c r="AG9" s="2">
        <f>IF('Modell einstellen'!$B$2="Ja",creep_res160!P9,creep_res160!L9)</f>
        <v>0.48866787335000123</v>
      </c>
      <c r="AL9" s="2">
        <f t="shared" si="11"/>
        <v>1.0000000000000001E-9</v>
      </c>
      <c r="AM9" s="2">
        <f t="shared" si="12"/>
        <v>7439.7324702812866</v>
      </c>
      <c r="AN9" s="2">
        <f t="shared" si="13"/>
        <v>7373.6381732995414</v>
      </c>
      <c r="AO9" s="2">
        <f t="shared" si="14"/>
        <v>7330.9902818130686</v>
      </c>
      <c r="AP9" s="2">
        <f t="shared" si="15"/>
        <v>7287.2593322225375</v>
      </c>
      <c r="AQ9" s="2">
        <f t="shared" si="16"/>
        <v>7042.6684859234238</v>
      </c>
      <c r="AR9" s="2">
        <f t="shared" si="17"/>
        <v>4943.4016945901922</v>
      </c>
      <c r="AS9" s="2">
        <f t="shared" si="18"/>
        <v>4155.4773315838347</v>
      </c>
      <c r="AX9" s="2">
        <f t="shared" si="28"/>
        <v>1.0000000000000001E-9</v>
      </c>
      <c r="AY9" s="37">
        <f t="shared" si="19"/>
        <v>23092.880104814758</v>
      </c>
      <c r="AZ9" s="37">
        <f t="shared" si="20"/>
        <v>22880.932452127159</v>
      </c>
      <c r="BA9" s="37">
        <f t="shared" si="21"/>
        <v>22743.859794683511</v>
      </c>
      <c r="BB9" s="37">
        <f t="shared" si="22"/>
        <v>22603.061857256907</v>
      </c>
      <c r="BC9" s="37">
        <f t="shared" si="23"/>
        <v>22927.118894522977</v>
      </c>
      <c r="BD9" s="37">
        <f t="shared" si="24"/>
        <v>43490.574374796946</v>
      </c>
      <c r="BE9" s="37">
        <f t="shared" si="25"/>
        <v>181964.24475376276</v>
      </c>
    </row>
    <row r="10" spans="1:308" x14ac:dyDescent="0.25">
      <c r="A10" s="2">
        <f>'creep_res-40'!A10</f>
        <v>1E-8</v>
      </c>
      <c r="B10" s="3">
        <f>'creep_res-40'!O10</f>
        <v>-4.9615966857142861E-4</v>
      </c>
      <c r="C10" s="2">
        <f>IF('Modell einstellen'!$B$2="Ja",creep_res0!O10,creep_res0!C10)</f>
        <v>-5.0062145714285713E-4</v>
      </c>
      <c r="D10" s="2">
        <f>IF('Modell einstellen'!$B$2="Ja",creep_res25!O10,creep_res25!C10)</f>
        <v>-5.0354397142857144E-4</v>
      </c>
      <c r="E10" s="2">
        <f>IF('Modell einstellen'!$B$2="Ja",creep_res50!O10,creep_res50!C10)</f>
        <v>-5.0657814285714282E-4</v>
      </c>
      <c r="F10" s="2">
        <f>IF('Modell einstellen'!$B$2="Ja",creep_res80!O10,creep_res80!C10)</f>
        <v>-5.3089043999999998E-4</v>
      </c>
      <c r="G10" s="2">
        <f>IF('Modell einstellen'!$B$2="Ja",creep_res125!O10,creep_res125!C10)</f>
        <v>-7.4568331428571434E-4</v>
      </c>
      <c r="H10" s="2">
        <f>IF('Modell einstellen'!$B$2="Ja",creep_res160!O10,creep_res160!C10)</f>
        <v>-9.1564354285714287E-4</v>
      </c>
      <c r="M10" s="9">
        <f t="shared" si="26"/>
        <v>-10</v>
      </c>
      <c r="N10" s="2">
        <f t="shared" si="4"/>
        <v>1E-8</v>
      </c>
      <c r="O10" s="2">
        <f t="shared" si="5"/>
        <v>20154.80224096524</v>
      </c>
      <c r="P10" s="2">
        <f t="shared" si="6"/>
        <v>19975.172572649844</v>
      </c>
      <c r="Q10" s="2">
        <f t="shared" si="7"/>
        <v>19859.23884984594</v>
      </c>
      <c r="R10" s="2">
        <f t="shared" si="27"/>
        <v>19740.291090332419</v>
      </c>
      <c r="S10" s="2">
        <f t="shared" si="8"/>
        <v>18836.278159388217</v>
      </c>
      <c r="T10" s="2">
        <f t="shared" si="9"/>
        <v>13410.518659089135</v>
      </c>
      <c r="U10" s="2">
        <f t="shared" si="10"/>
        <v>10921.28053324806</v>
      </c>
      <c r="Z10" s="2">
        <v>1E-8</v>
      </c>
      <c r="AA10" s="3">
        <f>IF('Modell einstellen'!$B$2="Ja",'creep_res-40'!P10,'creep_res-40'!L10)</f>
        <v>0.354538116312834</v>
      </c>
      <c r="AB10" s="2">
        <f>IF('Modell einstellen'!$B$2="Ja",creep_res0!P10,creep_res0!L10)</f>
        <v>0.35449912511597731</v>
      </c>
      <c r="AC10" s="2">
        <f>IF('Modell einstellen'!$B$2="Ja",creep_res25!P10,creep_res25!L10)</f>
        <v>0.35447179843394588</v>
      </c>
      <c r="AD10" s="2">
        <f>IF('Modell einstellen'!$B$2="Ja",creep_res50!P10,creep_res50!L10)</f>
        <v>0.35444270197208333</v>
      </c>
      <c r="AE10" s="2">
        <f>IF('Modell einstellen'!$B$2="Ja",creep_res80!P10,creep_res80!L10)</f>
        <v>0.3656067019348529</v>
      </c>
      <c r="AF10" s="2">
        <f>IF('Modell einstellen'!$B$2="Ja",creep_res125!P10,creep_res125!L10)</f>
        <v>0.46618608221123053</v>
      </c>
      <c r="AG10" s="2">
        <f>IF('Modell einstellen'!$B$2="Ja",creep_res160!P10,creep_res160!L10)</f>
        <v>0.53097521044059437</v>
      </c>
      <c r="AL10" s="2">
        <f t="shared" si="11"/>
        <v>1E-8</v>
      </c>
      <c r="AM10" s="2">
        <f t="shared" si="12"/>
        <v>7439.7324070245795</v>
      </c>
      <c r="AN10" s="2">
        <f t="shared" si="13"/>
        <v>7373.6380490240244</v>
      </c>
      <c r="AO10" s="2">
        <f t="shared" si="14"/>
        <v>7330.9901589709716</v>
      </c>
      <c r="AP10" s="2">
        <f t="shared" si="15"/>
        <v>7287.2374230339683</v>
      </c>
      <c r="AQ10" s="2">
        <f t="shared" si="16"/>
        <v>6896.670224560311</v>
      </c>
      <c r="AR10" s="2">
        <f t="shared" si="17"/>
        <v>4573.266252420035</v>
      </c>
      <c r="AS10" s="2">
        <f t="shared" si="18"/>
        <v>3566.7724920591822</v>
      </c>
      <c r="AX10" s="2">
        <f t="shared" si="28"/>
        <v>1E-8</v>
      </c>
      <c r="AY10" s="37">
        <f t="shared" si="19"/>
        <v>23092.879190618609</v>
      </c>
      <c r="AZ10" s="37">
        <f t="shared" si="20"/>
        <v>22880.930657143079</v>
      </c>
      <c r="BA10" s="37">
        <f t="shared" si="21"/>
        <v>22743.860681454684</v>
      </c>
      <c r="BB10" s="37">
        <f t="shared" si="22"/>
        <v>22603.11615858931</v>
      </c>
      <c r="BC10" s="37">
        <f t="shared" si="23"/>
        <v>23359.64470274073</v>
      </c>
      <c r="BD10" s="37">
        <f t="shared" si="24"/>
        <v>66099.600086088118</v>
      </c>
      <c r="BE10" s="37">
        <f t="shared" si="25"/>
        <v>-58763.553057981509</v>
      </c>
    </row>
    <row r="11" spans="1:308" x14ac:dyDescent="0.25">
      <c r="A11" s="2">
        <f>'creep_res-40'!A11</f>
        <v>9.9999999999999995E-8</v>
      </c>
      <c r="B11" s="3">
        <f>'creep_res-40'!O11</f>
        <v>-4.9615967428571432E-4</v>
      </c>
      <c r="C11" s="2">
        <f>IF('Modell einstellen'!$B$2="Ja",creep_res0!O11,creep_res0!C11)</f>
        <v>-5.0062145714285713E-4</v>
      </c>
      <c r="D11" s="2">
        <f>IF('Modell einstellen'!$B$2="Ja",creep_res25!O11,creep_res25!C11)</f>
        <v>-5.0354398857142856E-4</v>
      </c>
      <c r="E11" s="2">
        <f>IF('Modell einstellen'!$B$2="Ja",creep_res50!O11,creep_res50!C11)</f>
        <v>-5.0659066857142859E-4</v>
      </c>
      <c r="F11" s="2">
        <f>IF('Modell einstellen'!$B$2="Ja",creep_res80!O11,creep_res80!C11)</f>
        <v>-5.4184649714285717E-4</v>
      </c>
      <c r="G11" s="2">
        <f>IF('Modell einstellen'!$B$2="Ja",creep_res125!O11,creep_res125!C11)</f>
        <v>-8.1845571428571429E-4</v>
      </c>
      <c r="H11" s="2">
        <f>IF('Modell einstellen'!$B$2="Ja",creep_res160!O11,creep_res160!C11)</f>
        <v>-1.1011168571428572E-3</v>
      </c>
      <c r="M11" s="9">
        <f t="shared" si="26"/>
        <v>-10</v>
      </c>
      <c r="N11" s="2">
        <f t="shared" si="4"/>
        <v>9.9999999999999995E-8</v>
      </c>
      <c r="O11" s="2">
        <f t="shared" si="5"/>
        <v>20154.802008841783</v>
      </c>
      <c r="P11" s="2">
        <f t="shared" si="6"/>
        <v>19975.172572649844</v>
      </c>
      <c r="Q11" s="2">
        <f t="shared" si="7"/>
        <v>19859.238173749905</v>
      </c>
      <c r="R11" s="2">
        <f t="shared" si="27"/>
        <v>19739.803001503598</v>
      </c>
      <c r="S11" s="2">
        <f t="shared" si="8"/>
        <v>18455.411362313396</v>
      </c>
      <c r="T11" s="2">
        <f t="shared" si="9"/>
        <v>12218.132057062168</v>
      </c>
      <c r="U11" s="2">
        <f t="shared" si="10"/>
        <v>9081.6882287568278</v>
      </c>
      <c r="Z11" s="2">
        <v>9.9999999999999995E-8</v>
      </c>
      <c r="AA11" s="3">
        <f>IF('Modell einstellen'!$B$2="Ja",'creep_res-40'!P11,'creep_res-40'!L11)</f>
        <v>0.35453811222960796</v>
      </c>
      <c r="AB11" s="2">
        <f>IF('Modell einstellen'!$B$2="Ja",creep_res0!P11,creep_res0!L11)</f>
        <v>0.35449912511597731</v>
      </c>
      <c r="AC11" s="2">
        <f>IF('Modell einstellen'!$B$2="Ja",creep_res25!P11,creep_res25!L11)</f>
        <v>0.35447180906243542</v>
      </c>
      <c r="AD11" s="2">
        <f>IF('Modell einstellen'!$B$2="Ja",creep_res50!P11,creep_res50!L11)</f>
        <v>0.35444977515631193</v>
      </c>
      <c r="AE11" s="2">
        <f>IF('Modell einstellen'!$B$2="Ja",creep_res80!P11,creep_res80!L11)</f>
        <v>0.37147413716127109</v>
      </c>
      <c r="AF11" s="2">
        <f>IF('Modell einstellen'!$B$2="Ja",creep_res125!P11,creep_res125!L11)</f>
        <v>0.49758658379282245</v>
      </c>
      <c r="AG11" s="2">
        <f>IF('Modell einstellen'!$B$2="Ja",creep_res160!P11,creep_res160!L11)</f>
        <v>0.59275063318827714</v>
      </c>
      <c r="AL11" s="2">
        <f t="shared" si="11"/>
        <v>9.9999999999999995E-8</v>
      </c>
      <c r="AM11" s="2">
        <f t="shared" si="12"/>
        <v>7439.7323437678724</v>
      </c>
      <c r="AN11" s="2">
        <f t="shared" si="13"/>
        <v>7373.6380490240244</v>
      </c>
      <c r="AO11" s="2">
        <f t="shared" si="14"/>
        <v>7330.9898518657455</v>
      </c>
      <c r="AP11" s="2">
        <f t="shared" si="15"/>
        <v>7287.0191880040384</v>
      </c>
      <c r="AQ11" s="2">
        <f t="shared" si="16"/>
        <v>6728.3118442587265</v>
      </c>
      <c r="AR11" s="2">
        <f t="shared" si="17"/>
        <v>4079.2740096930638</v>
      </c>
      <c r="AS11" s="2">
        <f t="shared" si="18"/>
        <v>2850.9447868112361</v>
      </c>
      <c r="AX11" s="2">
        <f t="shared" si="28"/>
        <v>9.9999999999999995E-8</v>
      </c>
      <c r="AY11" s="37">
        <f t="shared" si="19"/>
        <v>23092.878276422522</v>
      </c>
      <c r="AZ11" s="37">
        <f t="shared" si="20"/>
        <v>22880.930657143079</v>
      </c>
      <c r="BA11" s="37">
        <f t="shared" si="21"/>
        <v>22743.861568225911</v>
      </c>
      <c r="BB11" s="37">
        <f t="shared" si="22"/>
        <v>22603.655682775396</v>
      </c>
      <c r="BC11" s="37">
        <f t="shared" si="23"/>
        <v>23932.162957571156</v>
      </c>
      <c r="BD11" s="37">
        <f t="shared" si="24"/>
        <v>843764.67547848891</v>
      </c>
      <c r="BE11" s="37">
        <f t="shared" si="25"/>
        <v>-16319.184600284887</v>
      </c>
    </row>
    <row r="12" spans="1:308" x14ac:dyDescent="0.25">
      <c r="A12" s="2">
        <f>'creep_res-40'!A12</f>
        <v>9.9999999999999995E-7</v>
      </c>
      <c r="B12" s="3">
        <f>'creep_res-40'!O12</f>
        <v>-4.9615967428571432E-4</v>
      </c>
      <c r="C12" s="2">
        <f>IF('Modell einstellen'!$B$2="Ja",creep_res0!O12,creep_res0!C12)</f>
        <v>-5.0062146285714283E-4</v>
      </c>
      <c r="D12" s="2">
        <f>IF('Modell einstellen'!$B$2="Ja",creep_res25!O12,creep_res25!C12)</f>
        <v>-5.0354413142857145E-4</v>
      </c>
      <c r="E12" s="2">
        <f>IF('Modell einstellen'!$B$2="Ja",creep_res50!O12,creep_res50!C12)</f>
        <v>-5.0671505714285721E-4</v>
      </c>
      <c r="F12" s="2">
        <f>IF('Modell einstellen'!$B$2="Ja",creep_res80!O12,creep_res80!C12)</f>
        <v>-5.560503828571429E-4</v>
      </c>
      <c r="G12" s="2">
        <f>IF('Modell einstellen'!$B$2="Ja",creep_res125!O12,creep_res125!C12)</f>
        <v>-9.3642748571428583E-4</v>
      </c>
      <c r="H12" s="2">
        <f>IF('Modell einstellen'!$B$2="Ja",creep_res160!O12,creep_res160!C12)</f>
        <v>-1.4827460571428574E-3</v>
      </c>
      <c r="M12" s="9">
        <f t="shared" si="26"/>
        <v>-10</v>
      </c>
      <c r="N12" s="2">
        <f t="shared" si="4"/>
        <v>9.9999999999999995E-7</v>
      </c>
      <c r="O12" s="2">
        <f t="shared" si="5"/>
        <v>20154.802008841783</v>
      </c>
      <c r="P12" s="2">
        <f t="shared" si="6"/>
        <v>19975.172344645551</v>
      </c>
      <c r="Q12" s="2">
        <f t="shared" si="7"/>
        <v>19859.23253961806</v>
      </c>
      <c r="R12" s="2">
        <f t="shared" si="27"/>
        <v>19734.957268460879</v>
      </c>
      <c r="S12" s="2">
        <f t="shared" si="8"/>
        <v>17983.981862609631</v>
      </c>
      <c r="T12" s="2">
        <f t="shared" si="9"/>
        <v>10678.883472084573</v>
      </c>
      <c r="U12" s="2">
        <f t="shared" si="10"/>
        <v>6744.2431910891501</v>
      </c>
      <c r="Z12" s="2">
        <v>9.9999999999999995E-7</v>
      </c>
      <c r="AA12" s="3">
        <f>IF('Modell einstellen'!$B$2="Ja",'creep_res-40'!P12,'creep_res-40'!L12)</f>
        <v>0.35453811222960796</v>
      </c>
      <c r="AB12" s="2">
        <f>IF('Modell einstellen'!$B$2="Ja",creep_res0!P12,creep_res0!L12)</f>
        <v>0.3544991324839723</v>
      </c>
      <c r="AC12" s="2">
        <f>IF('Modell einstellen'!$B$2="Ja",creep_res25!P12,creep_res25!L12)</f>
        <v>0.35447187871959884</v>
      </c>
      <c r="AD12" s="2">
        <f>IF('Modell einstellen'!$B$2="Ja",creep_res50!P12,creep_res50!L12)</f>
        <v>0.35452006923925178</v>
      </c>
      <c r="AE12" s="2">
        <f>IF('Modell einstellen'!$B$2="Ja",creep_res80!P12,creep_res80!L12)</f>
        <v>0.37855861509445748</v>
      </c>
      <c r="AF12" s="2">
        <f>IF('Modell einstellen'!$B$2="Ja",creep_res125!P12,creep_res125!L12)</f>
        <v>0.54352593299726781</v>
      </c>
      <c r="AG12" s="2">
        <f>IF('Modell einstellen'!$B$2="Ja",creep_res160!P12,creep_res160!L12)</f>
        <v>0.68390387318417989</v>
      </c>
      <c r="AL12" s="2">
        <f t="shared" si="11"/>
        <v>9.9999999999999995E-7</v>
      </c>
      <c r="AM12" s="2">
        <f t="shared" si="12"/>
        <v>7439.7323437678724</v>
      </c>
      <c r="AN12" s="2">
        <f t="shared" si="13"/>
        <v>7373.6379247485102</v>
      </c>
      <c r="AO12" s="2">
        <f t="shared" si="14"/>
        <v>7330.9873950248675</v>
      </c>
      <c r="AP12" s="2">
        <f t="shared" si="15"/>
        <v>7284.8522944162632</v>
      </c>
      <c r="AQ12" s="2">
        <f t="shared" si="16"/>
        <v>6522.7483495061197</v>
      </c>
      <c r="AR12" s="2">
        <f t="shared" si="17"/>
        <v>3459.2497747504567</v>
      </c>
      <c r="AS12" s="2">
        <f t="shared" si="18"/>
        <v>2002.5618143914935</v>
      </c>
      <c r="AX12" s="2">
        <f t="shared" si="28"/>
        <v>9.9999999999999995E-7</v>
      </c>
      <c r="AY12" s="37">
        <f t="shared" si="19"/>
        <v>23092.878276422522</v>
      </c>
      <c r="AZ12" s="37">
        <f t="shared" si="20"/>
        <v>22880.931554635095</v>
      </c>
      <c r="BA12" s="37">
        <f t="shared" si="21"/>
        <v>22743.866002083108</v>
      </c>
      <c r="BB12" s="37">
        <f t="shared" si="22"/>
        <v>22609.026052897494</v>
      </c>
      <c r="BC12" s="37">
        <f t="shared" si="23"/>
        <v>24681.292236302077</v>
      </c>
      <c r="BD12" s="37">
        <f t="shared" si="24"/>
        <v>-40890.884800236614</v>
      </c>
      <c r="BE12" s="37">
        <f t="shared" si="25"/>
        <v>-6112.1090729963262</v>
      </c>
    </row>
    <row r="13" spans="1:308" x14ac:dyDescent="0.25">
      <c r="A13" s="2">
        <f>'creep_res-40'!A13</f>
        <v>1.0000000000000001E-5</v>
      </c>
      <c r="B13" s="3">
        <f>'creep_res-40'!O13</f>
        <v>-4.9615967428571432E-4</v>
      </c>
      <c r="C13" s="2">
        <f>IF('Modell einstellen'!$B$2="Ja",creep_res0!O13,creep_res0!C13)</f>
        <v>-5.0062147428571436E-4</v>
      </c>
      <c r="D13" s="2">
        <f>IF('Modell einstellen'!$B$2="Ja",creep_res25!O13,creep_res25!C13)</f>
        <v>-5.0354551999999997E-4</v>
      </c>
      <c r="E13" s="2">
        <f>IF('Modell einstellen'!$B$2="Ja",creep_res50!O13,creep_res50!C13)</f>
        <v>-5.0787922285714293E-4</v>
      </c>
      <c r="F13" s="2">
        <f>IF('Modell einstellen'!$B$2="Ja",creep_res80!O13,creep_res80!C13)</f>
        <v>-5.7032560571428569E-4</v>
      </c>
      <c r="G13" s="2">
        <f>IF('Modell einstellen'!$B$2="Ja",creep_res125!O13,creep_res125!C13)</f>
        <v>-1.1481097714285714E-3</v>
      </c>
      <c r="H13" s="2">
        <f>IF('Modell einstellen'!$B$2="Ja",creep_res160!O13,creep_res160!C13)</f>
        <v>-2.2463832571428572E-3</v>
      </c>
      <c r="M13" s="9">
        <f t="shared" si="26"/>
        <v>-10</v>
      </c>
      <c r="N13" s="2">
        <f t="shared" si="4"/>
        <v>1.0000000000000001E-5</v>
      </c>
      <c r="O13" s="2">
        <f t="shared" si="5"/>
        <v>20154.802008841783</v>
      </c>
      <c r="P13" s="2">
        <f t="shared" si="6"/>
        <v>19975.171888636974</v>
      </c>
      <c r="Q13" s="2">
        <f t="shared" si="7"/>
        <v>19859.177776023109</v>
      </c>
      <c r="R13" s="2">
        <f t="shared" si="27"/>
        <v>19689.720606690018</v>
      </c>
      <c r="S13" s="2">
        <f t="shared" si="8"/>
        <v>17533.843649674167</v>
      </c>
      <c r="T13" s="2">
        <f t="shared" si="9"/>
        <v>8709.9685490501379</v>
      </c>
      <c r="U13" s="2">
        <f t="shared" si="10"/>
        <v>4451.600130210576</v>
      </c>
      <c r="Z13" s="2">
        <v>1.0000000000000001E-5</v>
      </c>
      <c r="AA13" s="3">
        <f>IF('Modell einstellen'!$B$2="Ja",'creep_res-40'!P13,'creep_res-40'!L13)</f>
        <v>0.35453811222960796</v>
      </c>
      <c r="AB13" s="2">
        <f>IF('Modell einstellen'!$B$2="Ja",creep_res0!P13,creep_res0!L13)</f>
        <v>0.35449913580557774</v>
      </c>
      <c r="AC13" s="2">
        <f>IF('Modell einstellen'!$B$2="Ja",creep_res25!P13,creep_res25!L13)</f>
        <v>0.35447267153580425</v>
      </c>
      <c r="AD13" s="2">
        <f>IF('Modell einstellen'!$B$2="Ja",creep_res50!P13,creep_res50!L13)</f>
        <v>0.35517692935409251</v>
      </c>
      <c r="AE13" s="2">
        <f>IF('Modell einstellen'!$B$2="Ja",creep_res80!P13,creep_res80!L13)</f>
        <v>0.38634488904137881</v>
      </c>
      <c r="AF13" s="2">
        <f>IF('Modell einstellen'!$B$2="Ja",creep_res125!P13,creep_res125!L13)</f>
        <v>0.61121791191593877</v>
      </c>
      <c r="AG13" s="2">
        <f>IF('Modell einstellen'!$B$2="Ja",creep_res160!P13,creep_res160!L13)</f>
        <v>0.78560190734022317</v>
      </c>
      <c r="AL13" s="2">
        <f t="shared" si="11"/>
        <v>1.0000000000000001E-5</v>
      </c>
      <c r="AM13" s="2">
        <f t="shared" si="12"/>
        <v>7439.7323437678724</v>
      </c>
      <c r="AN13" s="2">
        <f t="shared" si="13"/>
        <v>7373.6377383352474</v>
      </c>
      <c r="AO13" s="2">
        <f t="shared" si="14"/>
        <v>7330.962888127252</v>
      </c>
      <c r="AP13" s="2">
        <f t="shared" si="15"/>
        <v>7264.6309792458533</v>
      </c>
      <c r="AQ13" s="2">
        <f t="shared" si="16"/>
        <v>6323.7668304163335</v>
      </c>
      <c r="AR13" s="2">
        <f t="shared" si="17"/>
        <v>2702.914511015118</v>
      </c>
      <c r="AS13" s="2">
        <f t="shared" si="18"/>
        <v>1246.5264827258</v>
      </c>
      <c r="AX13" s="2">
        <f t="shared" si="28"/>
        <v>1.0000000000000001E-5</v>
      </c>
      <c r="AY13" s="37">
        <f t="shared" si="19"/>
        <v>23092.878276422522</v>
      </c>
      <c r="AZ13" s="37">
        <f t="shared" si="20"/>
        <v>22880.931554635074</v>
      </c>
      <c r="BA13" s="37">
        <f t="shared" si="21"/>
        <v>22743.927189489001</v>
      </c>
      <c r="BB13" s="37">
        <f t="shared" si="22"/>
        <v>22659.511958136605</v>
      </c>
      <c r="BC13" s="37">
        <f t="shared" si="23"/>
        <v>25712.062135152279</v>
      </c>
      <c r="BD13" s="37">
        <f t="shared" si="24"/>
        <v>-13052.406755657226</v>
      </c>
      <c r="BE13" s="37">
        <f t="shared" si="25"/>
        <v>-2597.7885159963871</v>
      </c>
    </row>
    <row r="14" spans="1:308" x14ac:dyDescent="0.25">
      <c r="A14" s="2">
        <f>'creep_res-40'!A14</f>
        <v>1E-4</v>
      </c>
      <c r="B14" s="3">
        <f>'creep_res-40'!O14</f>
        <v>-4.9615968000000002E-4</v>
      </c>
      <c r="C14" s="2">
        <f>IF('Modell einstellen'!$B$2="Ja",creep_res0!O14,creep_res0!C14)</f>
        <v>-5.0062162285714295E-4</v>
      </c>
      <c r="D14" s="2">
        <f>IF('Modell einstellen'!$B$2="Ja",creep_res25!O14,creep_res25!C14)</f>
        <v>-5.0355938857142861E-4</v>
      </c>
      <c r="E14" s="2">
        <f>IF('Modell einstellen'!$B$2="Ja",creep_res50!O14,creep_res50!C14)</f>
        <v>-5.1437622857142859E-4</v>
      </c>
      <c r="F14" s="2">
        <f>IF('Modell einstellen'!$B$2="Ja",creep_res80!O14,creep_res80!C14)</f>
        <v>-5.9075154285714285E-4</v>
      </c>
      <c r="G14" s="2">
        <f>IF('Modell einstellen'!$B$2="Ja",creep_res125!O14,creep_res125!C14)</f>
        <v>-1.5971413714285718E-3</v>
      </c>
      <c r="H14" s="2">
        <f>IF('Modell einstellen'!$B$2="Ja",creep_res160!O14,creep_res160!C14)</f>
        <v>-3.7054184571428572E-3</v>
      </c>
      <c r="M14" s="9">
        <f t="shared" si="26"/>
        <v>-10</v>
      </c>
      <c r="N14" s="2">
        <f t="shared" si="4"/>
        <v>1E-4</v>
      </c>
      <c r="O14" s="2">
        <f t="shared" si="5"/>
        <v>20154.801776718334</v>
      </c>
      <c r="P14" s="2">
        <f t="shared" si="6"/>
        <v>19975.165960527425</v>
      </c>
      <c r="Q14" s="2">
        <f t="shared" si="7"/>
        <v>19858.630832739454</v>
      </c>
      <c r="R14" s="2">
        <f t="shared" si="27"/>
        <v>19441.022824427346</v>
      </c>
      <c r="S14" s="2">
        <f t="shared" si="8"/>
        <v>16927.590153443285</v>
      </c>
      <c r="T14" s="2">
        <f t="shared" si="9"/>
        <v>6261.1865041448682</v>
      </c>
      <c r="U14" s="2">
        <f t="shared" si="10"/>
        <v>2698.7505232298959</v>
      </c>
      <c r="Z14" s="2">
        <v>1E-4</v>
      </c>
      <c r="AA14" s="3">
        <f>IF('Modell einstellen'!$B$2="Ja",'creep_res-40'!P14,'creep_res-40'!L14)</f>
        <v>0.35453811966341159</v>
      </c>
      <c r="AB14" s="2">
        <f>IF('Modell einstellen'!$B$2="Ja",creep_res0!P14,creep_res0!L14)</f>
        <v>0.354499224643958</v>
      </c>
      <c r="AC14" s="2">
        <f>IF('Modell einstellen'!$B$2="Ja",creep_res25!P14,creep_res25!L14)</f>
        <v>0.35448062287287818</v>
      </c>
      <c r="AD14" s="2">
        <f>IF('Modell einstellen'!$B$2="Ja",creep_res50!P14,creep_res50!L14)</f>
        <v>0.35881882566446083</v>
      </c>
      <c r="AE14" s="2">
        <f>IF('Modell einstellen'!$B$2="Ja",creep_res80!P14,creep_res80!L14)</f>
        <v>0.39646865319836666</v>
      </c>
      <c r="AF14" s="2">
        <f>IF('Modell einstellen'!$B$2="Ja",creep_res125!P14,creep_res125!L14)</f>
        <v>0.70869747499586222</v>
      </c>
      <c r="AG14" s="2">
        <f>IF('Modell einstellen'!$B$2="Ja",creep_res160!P14,creep_res160!L14)</f>
        <v>0.86991542871510341</v>
      </c>
      <c r="AL14" s="2">
        <f t="shared" si="11"/>
        <v>1E-4</v>
      </c>
      <c r="AM14" s="2">
        <f t="shared" si="12"/>
        <v>7439.7322172544646</v>
      </c>
      <c r="AN14" s="2">
        <f t="shared" si="13"/>
        <v>7373.6350664128558</v>
      </c>
      <c r="AO14" s="2">
        <f t="shared" si="14"/>
        <v>7330.7179509954649</v>
      </c>
      <c r="AP14" s="2">
        <f t="shared" si="15"/>
        <v>7153.647880511483</v>
      </c>
      <c r="AQ14" s="2">
        <f t="shared" si="16"/>
        <v>6060.8557573682765</v>
      </c>
      <c r="AR14" s="2">
        <f t="shared" si="17"/>
        <v>1832.1518571214692</v>
      </c>
      <c r="AS14" s="2">
        <f t="shared" si="18"/>
        <v>721.62368462950201</v>
      </c>
      <c r="AX14" s="2">
        <f t="shared" si="28"/>
        <v>1E-4</v>
      </c>
      <c r="AY14" s="37">
        <f t="shared" si="19"/>
        <v>23092.879190618602</v>
      </c>
      <c r="AZ14" s="37">
        <f t="shared" si="20"/>
        <v>22880.93873457372</v>
      </c>
      <c r="BA14" s="37">
        <f t="shared" si="21"/>
        <v>22744.543515776928</v>
      </c>
      <c r="BB14" s="37">
        <f t="shared" si="22"/>
        <v>22950.442833384557</v>
      </c>
      <c r="BC14" s="37">
        <f t="shared" si="23"/>
        <v>27250.346032679754</v>
      </c>
      <c r="BD14" s="37">
        <f t="shared" si="24"/>
        <v>-5000.2094373438613</v>
      </c>
      <c r="BE14" s="37">
        <f t="shared" si="25"/>
        <v>-1215.9313155279717</v>
      </c>
    </row>
    <row r="15" spans="1:308" x14ac:dyDescent="0.25">
      <c r="A15" s="2">
        <f>'creep_res-40'!A15</f>
        <v>1E-3</v>
      </c>
      <c r="B15" s="3">
        <f>'creep_res-40'!O15</f>
        <v>-4.9615971999999997E-4</v>
      </c>
      <c r="C15" s="2">
        <f>IF('Modell einstellen'!$B$2="Ja",creep_res0!O15,creep_res0!C15)</f>
        <v>-5.006231028571429E-4</v>
      </c>
      <c r="D15" s="2">
        <f>IF('Modell einstellen'!$B$2="Ja",creep_res25!O15,creep_res25!C15)</f>
        <v>-5.0369704571428576E-4</v>
      </c>
      <c r="E15" s="2">
        <f>IF('Modell einstellen'!$B$2="Ja",creep_res50!O15,creep_res50!C15)</f>
        <v>-5.2294328571428578E-4</v>
      </c>
      <c r="F15" s="2">
        <f>IF('Modell einstellen'!$B$2="Ja",creep_res80!O15,creep_res80!C15)</f>
        <v>-6.1450165714285721E-4</v>
      </c>
      <c r="G15" s="2">
        <f>IF('Modell einstellen'!$B$2="Ja",creep_res125!O15,creep_res125!C15)</f>
        <v>-2.500001942857143E-3</v>
      </c>
      <c r="H15" s="2">
        <f>IF('Modell einstellen'!$B$2="Ja",creep_res160!O15,creep_res160!C15)</f>
        <v>-6.4069080000000002E-3</v>
      </c>
      <c r="M15" s="9">
        <f t="shared" si="26"/>
        <v>-10</v>
      </c>
      <c r="N15" s="2">
        <f t="shared" si="4"/>
        <v>1E-3</v>
      </c>
      <c r="O15" s="2">
        <f t="shared" si="5"/>
        <v>20154.800151854328</v>
      </c>
      <c r="P15" s="2">
        <f t="shared" si="6"/>
        <v>19975.106907628244</v>
      </c>
      <c r="Q15" s="2">
        <f t="shared" si="7"/>
        <v>19853.203597450407</v>
      </c>
      <c r="R15" s="2">
        <f t="shared" si="27"/>
        <v>19122.532544501544</v>
      </c>
      <c r="S15" s="2">
        <f t="shared" si="8"/>
        <v>16273.34911755207</v>
      </c>
      <c r="T15" s="2">
        <f t="shared" si="9"/>
        <v>3999.996891430987</v>
      </c>
      <c r="U15" s="2">
        <f t="shared" si="10"/>
        <v>1560.8152949909691</v>
      </c>
      <c r="Z15" s="2">
        <v>1E-3</v>
      </c>
      <c r="AA15" s="3">
        <f>IF('Modell einstellen'!$B$2="Ja",'creep_res-40'!P15,'creep_res-40'!L15)</f>
        <v>0.3545381371489465</v>
      </c>
      <c r="AB15" s="2">
        <f>IF('Modell einstellen'!$B$2="Ja",creep_res0!P15,creep_res0!L15)</f>
        <v>0.35450008282820761</v>
      </c>
      <c r="AC15" s="2">
        <f>IF('Modell einstellen'!$B$2="Ja",creep_res25!P15,creep_res25!L15)</f>
        <v>0.35455947482626826</v>
      </c>
      <c r="AD15" s="2">
        <f>IF('Modell einstellen'!$B$2="Ja",creep_res50!P15,creep_res50!L15)</f>
        <v>0.36355815694845905</v>
      </c>
      <c r="AE15" s="2">
        <f>IF('Modell einstellen'!$B$2="Ja",creep_res80!P15,creep_res80!L15)</f>
        <v>0.40852174849418049</v>
      </c>
      <c r="AF15" s="2">
        <f>IF('Modell einstellen'!$B$2="Ja",creep_res125!P15,creep_res125!L15)</f>
        <v>0.80972430787139493</v>
      </c>
      <c r="AG15" s="2">
        <f>IF('Modell einstellen'!$B$2="Ja",creep_res160!P15,creep_res160!L15)</f>
        <v>0.92823540733577847</v>
      </c>
      <c r="AL15" s="2">
        <f t="shared" si="11"/>
        <v>1E-3</v>
      </c>
      <c r="AM15" s="2">
        <f t="shared" si="12"/>
        <v>7439.7315214307937</v>
      </c>
      <c r="AN15" s="2">
        <f t="shared" si="13"/>
        <v>7373.6085958444728</v>
      </c>
      <c r="AO15" s="2">
        <f t="shared" si="14"/>
        <v>7328.2878922672335</v>
      </c>
      <c r="AP15" s="2">
        <f t="shared" si="15"/>
        <v>7011.9974153857656</v>
      </c>
      <c r="AQ15" s="2">
        <f t="shared" si="16"/>
        <v>5776.7475493188331</v>
      </c>
      <c r="AR15" s="2">
        <f t="shared" si="17"/>
        <v>1105.139847553852</v>
      </c>
      <c r="AS15" s="2">
        <f t="shared" si="18"/>
        <v>404.72633399765499</v>
      </c>
      <c r="AX15" s="2">
        <f t="shared" si="28"/>
        <v>1E-3</v>
      </c>
      <c r="AY15" s="37">
        <f t="shared" si="19"/>
        <v>23092.880104814769</v>
      </c>
      <c r="AZ15" s="37">
        <f t="shared" si="20"/>
        <v>22881.006046717706</v>
      </c>
      <c r="BA15" s="37">
        <f t="shared" si="21"/>
        <v>22750.655378129468</v>
      </c>
      <c r="BB15" s="37">
        <f t="shared" si="22"/>
        <v>23358.587704015405</v>
      </c>
      <c r="BC15" s="37">
        <f t="shared" si="23"/>
        <v>29648.848860571012</v>
      </c>
      <c r="BD15" s="37">
        <f t="shared" si="24"/>
        <v>-2152.4502004816723</v>
      </c>
      <c r="BE15" s="37">
        <f t="shared" si="25"/>
        <v>-607.46000457295872</v>
      </c>
    </row>
    <row r="16" spans="1:308" x14ac:dyDescent="0.25">
      <c r="A16" s="2">
        <f>'creep_res-40'!A16</f>
        <v>0.01</v>
      </c>
      <c r="B16" s="3">
        <f>'creep_res-40'!O16</f>
        <v>-4.9616012E-4</v>
      </c>
      <c r="C16" s="2">
        <f>IF('Modell einstellen'!$B$2="Ja",creep_res0!O16,creep_res0!C16)</f>
        <v>-5.0063787428571431E-4</v>
      </c>
      <c r="D16" s="2">
        <f>IF('Modell einstellen'!$B$2="Ja",creep_res25!O16,creep_res25!C16)</f>
        <v>-5.0497592000000007E-4</v>
      </c>
      <c r="E16" s="2">
        <f>IF('Modell einstellen'!$B$2="Ja",creep_res50!O16,creep_res50!C16)</f>
        <v>-5.328277314285714E-4</v>
      </c>
      <c r="F16" s="2">
        <f>IF('Modell einstellen'!$B$2="Ja",creep_res80!O16,creep_res80!C16)</f>
        <v>-6.4009560000000002E-4</v>
      </c>
      <c r="G16" s="2">
        <f>IF('Modell einstellen'!$B$2="Ja",creep_res125!O16,creep_res125!C16)</f>
        <v>-4.1989545142857142E-3</v>
      </c>
      <c r="H16" s="2">
        <f>IF('Modell einstellen'!$B$2="Ja",creep_res160!O16,creep_res160!C16)</f>
        <v>-9.6377394285714294E-3</v>
      </c>
      <c r="M16" s="9">
        <f t="shared" si="26"/>
        <v>-10</v>
      </c>
      <c r="N16" s="2">
        <f t="shared" si="4"/>
        <v>0.01</v>
      </c>
      <c r="O16" s="2">
        <f t="shared" si="5"/>
        <v>20154.783903228661</v>
      </c>
      <c r="P16" s="2">
        <f t="shared" si="6"/>
        <v>19974.517537786192</v>
      </c>
      <c r="Q16" s="2">
        <f t="shared" si="7"/>
        <v>19802.92446420019</v>
      </c>
      <c r="R16" s="2">
        <f t="shared" si="27"/>
        <v>18767.791933781053</v>
      </c>
      <c r="S16" s="2">
        <f t="shared" si="8"/>
        <v>15622.666364211846</v>
      </c>
      <c r="T16" s="2">
        <f t="shared" si="9"/>
        <v>2381.5452074981822</v>
      </c>
      <c r="U16" s="2">
        <f t="shared" si="10"/>
        <v>1037.5877117360774</v>
      </c>
      <c r="Z16" s="2">
        <v>0.01</v>
      </c>
      <c r="AA16" s="3">
        <f>IF('Modell einstellen'!$B$2="Ja",'creep_res-40'!P16,'creep_res-40'!L16)</f>
        <v>0.35453838110625602</v>
      </c>
      <c r="AB16" s="2">
        <f>IF('Modell einstellen'!$B$2="Ja",creep_res0!P16,creep_res0!L16)</f>
        <v>0.35450863896742107</v>
      </c>
      <c r="AC16" s="2">
        <f>IF('Modell einstellen'!$B$2="Ja",creep_res25!P16,creep_res25!L16)</f>
        <v>0.35529081975122406</v>
      </c>
      <c r="AD16" s="2">
        <f>IF('Modell einstellen'!$B$2="Ja",creep_res50!P16,creep_res50!L16)</f>
        <v>0.36895837028130662</v>
      </c>
      <c r="AE16" s="2">
        <f>IF('Modell einstellen'!$B$2="Ja",creep_res80!P16,creep_res80!L16)</f>
        <v>0.42133617005245555</v>
      </c>
      <c r="AF16" s="2">
        <f>IF('Modell einstellen'!$B$2="Ja",creep_res125!P16,creep_res125!L16)</f>
        <v>0.88736300943701596</v>
      </c>
      <c r="AG16" s="2">
        <f>IF('Modell einstellen'!$B$2="Ja",creep_res160!P16,creep_res160!L16)</f>
        <v>0.95718237187096167</v>
      </c>
      <c r="AL16" s="2">
        <f t="shared" si="11"/>
        <v>0.01</v>
      </c>
      <c r="AM16" s="2">
        <f t="shared" si="12"/>
        <v>7439.7241836618095</v>
      </c>
      <c r="AN16" s="2">
        <f t="shared" si="13"/>
        <v>7373.3444598084343</v>
      </c>
      <c r="AO16" s="2">
        <f t="shared" si="14"/>
        <v>7305.7841813741479</v>
      </c>
      <c r="AP16" s="2">
        <f t="shared" si="15"/>
        <v>6854.7708758756735</v>
      </c>
      <c r="AQ16" s="2">
        <f t="shared" si="16"/>
        <v>5495.7675366958674</v>
      </c>
      <c r="AR16" s="2">
        <f t="shared" si="17"/>
        <v>630.91869332772831</v>
      </c>
      <c r="AS16" s="2">
        <f t="shared" si="18"/>
        <v>265.07180083177406</v>
      </c>
      <c r="AX16" s="2">
        <f t="shared" si="28"/>
        <v>0.01</v>
      </c>
      <c r="AY16" s="37">
        <f t="shared" si="19"/>
        <v>23092.900217148483</v>
      </c>
      <c r="AZ16" s="37">
        <f t="shared" si="20"/>
        <v>22881.676497288649</v>
      </c>
      <c r="BA16" s="37">
        <f t="shared" si="21"/>
        <v>22807.726538330313</v>
      </c>
      <c r="BB16" s="37">
        <f t="shared" si="22"/>
        <v>23870.012369440417</v>
      </c>
      <c r="BC16" s="37">
        <f t="shared" si="23"/>
        <v>33100.063003605632</v>
      </c>
      <c r="BD16" s="37">
        <f t="shared" si="24"/>
        <v>-1024.6827693397393</v>
      </c>
      <c r="BE16" s="37">
        <f t="shared" si="25"/>
        <v>-378.25449083184589</v>
      </c>
    </row>
    <row r="17" spans="1:57" x14ac:dyDescent="0.25">
      <c r="A17" s="2">
        <f>'creep_res-40'!A17</f>
        <v>0.1</v>
      </c>
      <c r="B17" s="3">
        <f>'creep_res-40'!O17</f>
        <v>-4.9616414285714289E-4</v>
      </c>
      <c r="C17" s="2">
        <f>IF('Modell einstellen'!$B$2="Ja",creep_res0!O17,creep_res0!C17)</f>
        <v>-5.0078442857142856E-4</v>
      </c>
      <c r="D17" s="2">
        <f>IF('Modell einstellen'!$B$2="Ja",creep_res25!O17,creep_res25!C17)</f>
        <v>-5.1173175428571437E-4</v>
      </c>
      <c r="E17" s="2">
        <f>IF('Modell einstellen'!$B$2="Ja",creep_res50!O17,creep_res50!C17)</f>
        <v>-5.4514910857142852E-4</v>
      </c>
      <c r="F17" s="2">
        <f>IF('Modell einstellen'!$B$2="Ja",creep_res80!O17,creep_res80!C17)</f>
        <v>-6.7092542857142862E-4</v>
      </c>
      <c r="G17" s="2">
        <f>IF('Modell einstellen'!$B$2="Ja",creep_res125!O17,creep_res125!C17)</f>
        <v>-7.2816897142857148E-3</v>
      </c>
      <c r="H17" s="2">
        <f>IF('Modell einstellen'!$B$2="Ja",creep_res160!O17,creep_res160!C17)</f>
        <v>-1.1343958857142858E-2</v>
      </c>
      <c r="M17" s="9">
        <f t="shared" si="26"/>
        <v>-10</v>
      </c>
      <c r="N17" s="2">
        <f t="shared" si="4"/>
        <v>0.1</v>
      </c>
      <c r="O17" s="2">
        <f t="shared" si="5"/>
        <v>20154.620489935787</v>
      </c>
      <c r="P17" s="2">
        <f t="shared" si="6"/>
        <v>19968.672006289562</v>
      </c>
      <c r="Q17" s="2">
        <f t="shared" si="7"/>
        <v>19541.4881258604</v>
      </c>
      <c r="R17" s="2">
        <f t="shared" si="27"/>
        <v>18343.605158238544</v>
      </c>
      <c r="S17" s="2">
        <f t="shared" si="8"/>
        <v>14904.786097156208</v>
      </c>
      <c r="T17" s="2">
        <f t="shared" si="9"/>
        <v>1373.307623968283</v>
      </c>
      <c r="U17" s="2">
        <f t="shared" si="10"/>
        <v>881.52646936861743</v>
      </c>
      <c r="Z17" s="2">
        <v>0.1</v>
      </c>
      <c r="AA17" s="3">
        <f>IF('Modell einstellen'!$B$2="Ja",'creep_res-40'!P17,'creep_res-40'!L17)</f>
        <v>0.3545407582571321</v>
      </c>
      <c r="AB17" s="2">
        <f>IF('Modell einstellen'!$B$2="Ja",creep_res0!P17,creep_res0!L17)</f>
        <v>0.35459347634896232</v>
      </c>
      <c r="AC17" s="2">
        <f>IF('Modell einstellen'!$B$2="Ja",creep_res25!P17,creep_res25!L17)</f>
        <v>0.35912723783399148</v>
      </c>
      <c r="AD17" s="2">
        <f>IF('Modell einstellen'!$B$2="Ja",creep_res50!P17,creep_res50!L17)</f>
        <v>0.37563210753117782</v>
      </c>
      <c r="AE17" s="2">
        <f>IF('Modell einstellen'!$B$2="Ja",creep_res80!P17,creep_res80!L17)</f>
        <v>0.43630140713956289</v>
      </c>
      <c r="AF17" s="2">
        <f>IF('Modell einstellen'!$B$2="Ja",creep_res125!P17,creep_res125!L17)</f>
        <v>0.93812660593612618</v>
      </c>
      <c r="AG17" s="2">
        <f>IF('Modell einstellen'!$B$2="Ja",creep_res160!P17,creep_res160!L17)</f>
        <v>0.9641790459848536</v>
      </c>
      <c r="AL17" s="2">
        <f t="shared" si="11"/>
        <v>0.1</v>
      </c>
      <c r="AM17" s="2">
        <f t="shared" si="12"/>
        <v>7439.6508067680606</v>
      </c>
      <c r="AN17" s="2">
        <f t="shared" si="13"/>
        <v>7370.7250016112393</v>
      </c>
      <c r="AO17" s="2">
        <f t="shared" si="14"/>
        <v>7188.9840707641179</v>
      </c>
      <c r="AP17" s="2">
        <f t="shared" si="15"/>
        <v>6667.3368038637464</v>
      </c>
      <c r="AQ17" s="2">
        <f t="shared" si="16"/>
        <v>5188.5996988750203</v>
      </c>
      <c r="AR17" s="2">
        <f t="shared" si="17"/>
        <v>354.28738756335468</v>
      </c>
      <c r="AS17" s="2">
        <f t="shared" si="18"/>
        <v>224.4007416662501</v>
      </c>
      <c r="AX17" s="2">
        <f t="shared" si="28"/>
        <v>0.1</v>
      </c>
      <c r="AY17" s="37">
        <f t="shared" si="19"/>
        <v>23093.090371853257</v>
      </c>
      <c r="AZ17" s="37">
        <f t="shared" si="20"/>
        <v>22888.326585920066</v>
      </c>
      <c r="BA17" s="37">
        <f t="shared" si="21"/>
        <v>23119.548715921093</v>
      </c>
      <c r="BB17" s="37">
        <f t="shared" si="22"/>
        <v>24582.450226367855</v>
      </c>
      <c r="BC17" s="37">
        <f t="shared" si="23"/>
        <v>38998.208667425417</v>
      </c>
      <c r="BD17" s="37">
        <f t="shared" si="24"/>
        <v>-522.41658208742194</v>
      </c>
      <c r="BE17" s="37">
        <f t="shared" si="25"/>
        <v>-316.51811838334686</v>
      </c>
    </row>
    <row r="18" spans="1:57" x14ac:dyDescent="0.25">
      <c r="A18" s="2">
        <f>'creep_res-40'!A18</f>
        <v>1</v>
      </c>
      <c r="B18" s="3">
        <f>'creep_res-40'!O18</f>
        <v>-4.9620426857142864E-4</v>
      </c>
      <c r="C18" s="2">
        <f>IF('Modell einstellen'!$B$2="Ja",creep_res0!O18,creep_res0!C18)</f>
        <v>-5.0213963428571431E-4</v>
      </c>
      <c r="D18" s="2">
        <f>IF('Modell einstellen'!$B$2="Ja",creep_res25!O18,creep_res25!C18)</f>
        <v>-5.2032943428571431E-4</v>
      </c>
      <c r="E18" s="2">
        <f>IF('Modell einstellen'!$B$2="Ja",creep_res50!O18,creep_res50!C18)</f>
        <v>-5.598790057142857E-4</v>
      </c>
      <c r="F18" s="2">
        <f>IF('Modell einstellen'!$B$2="Ja",creep_res80!O18,creep_res80!C18)</f>
        <v>-7.0998982857142855E-4</v>
      </c>
      <c r="G18" s="2">
        <f>IF('Modell einstellen'!$B$2="Ja",creep_res125!O18,creep_res125!C18)</f>
        <v>-1.0303910857142858E-2</v>
      </c>
      <c r="H18" s="2">
        <f>IF('Modell einstellen'!$B$2="Ja",creep_res160!O18,creep_res160!C18)</f>
        <v>-1.2617024571428574E-2</v>
      </c>
      <c r="M18" s="9">
        <f t="shared" si="26"/>
        <v>-10</v>
      </c>
      <c r="N18" s="2">
        <f t="shared" si="4"/>
        <v>1</v>
      </c>
      <c r="O18" s="2">
        <f t="shared" si="5"/>
        <v>20152.99068020915</v>
      </c>
      <c r="P18" s="2">
        <f t="shared" si="6"/>
        <v>19914.779310788406</v>
      </c>
      <c r="Q18" s="2">
        <f t="shared" si="7"/>
        <v>19218.593723661947</v>
      </c>
      <c r="R18" s="2">
        <f t="shared" si="27"/>
        <v>17861.001927089837</v>
      </c>
      <c r="S18" s="2">
        <f t="shared" si="8"/>
        <v>14084.708819168596</v>
      </c>
      <c r="T18" s="2">
        <f t="shared" si="9"/>
        <v>970.50529052935451</v>
      </c>
      <c r="U18" s="2">
        <f t="shared" si="10"/>
        <v>792.579894204624</v>
      </c>
      <c r="Z18" s="2">
        <v>1</v>
      </c>
      <c r="AA18" s="3">
        <f>IF('Modell einstellen'!$B$2="Ja",'creep_res-40'!P18,'creep_res-40'!L18)</f>
        <v>0.35456448598294432</v>
      </c>
      <c r="AB18" s="2">
        <f>IF('Modell einstellen'!$B$2="Ja",creep_res0!P18,creep_res0!L18)</f>
        <v>0.35537643735204172</v>
      </c>
      <c r="AC18" s="2">
        <f>IF('Modell einstellen'!$B$2="Ja",creep_res25!P18,creep_res25!L18)</f>
        <v>0.36392472940027848</v>
      </c>
      <c r="AD18" s="2">
        <f>IF('Modell einstellen'!$B$2="Ja",creep_res50!P18,creep_res50!L18)</f>
        <v>0.38288574717153689</v>
      </c>
      <c r="AE18" s="2">
        <f>IF('Modell einstellen'!$B$2="Ja",creep_res80!P18,creep_res80!L18)</f>
        <v>0.45317760689046493</v>
      </c>
      <c r="AF18" s="2">
        <f>IF('Modell einstellen'!$B$2="Ja",creep_res125!P18,creep_res125!L18)</f>
        <v>0.9549020055852302</v>
      </c>
      <c r="AG18" s="2">
        <f>IF('Modell einstellen'!$B$2="Ja",creep_res160!P18,creep_res160!L18)</f>
        <v>0.95706486016422332</v>
      </c>
      <c r="AL18" s="2">
        <f t="shared" si="11"/>
        <v>1</v>
      </c>
      <c r="AM18" s="2">
        <f t="shared" si="12"/>
        <v>7438.9188882303606</v>
      </c>
      <c r="AN18" s="2">
        <f t="shared" si="13"/>
        <v>7346.5860708392247</v>
      </c>
      <c r="AO18" s="2">
        <f t="shared" si="14"/>
        <v>7045.3278356909095</v>
      </c>
      <c r="AP18" s="2">
        <f t="shared" si="15"/>
        <v>6457.8733144157241</v>
      </c>
      <c r="AQ18" s="2">
        <f t="shared" si="16"/>
        <v>4846.1759775211867</v>
      </c>
      <c r="AR18" s="2">
        <f t="shared" si="17"/>
        <v>248.22351395532451</v>
      </c>
      <c r="AS18" s="2">
        <f t="shared" si="18"/>
        <v>202.49198438372559</v>
      </c>
      <c r="AX18" s="2">
        <f t="shared" si="28"/>
        <v>1</v>
      </c>
      <c r="AY18" s="37">
        <f t="shared" si="19"/>
        <v>23094.990262426258</v>
      </c>
      <c r="AZ18" s="37">
        <f t="shared" si="20"/>
        <v>22950.132221613188</v>
      </c>
      <c r="BA18" s="37">
        <f t="shared" si="21"/>
        <v>23539.170194751117</v>
      </c>
      <c r="BB18" s="37">
        <f t="shared" si="22"/>
        <v>25418.201308726548</v>
      </c>
      <c r="BC18" s="37">
        <f t="shared" si="23"/>
        <v>50135.230473373435</v>
      </c>
      <c r="BD18" s="37">
        <f t="shared" si="24"/>
        <v>-355.57302401162281</v>
      </c>
      <c r="BE18" s="37">
        <f t="shared" si="25"/>
        <v>-289.01073030782044</v>
      </c>
    </row>
    <row r="19" spans="1:57" x14ac:dyDescent="0.25">
      <c r="A19" s="2">
        <f>'creep_res-40'!A19</f>
        <v>10</v>
      </c>
      <c r="B19" s="3">
        <f>'creep_res-40'!O19</f>
        <v>-4.9659688571428574E-4</v>
      </c>
      <c r="C19" s="2">
        <f>IF('Modell einstellen'!$B$2="Ja",creep_res0!O19,creep_res0!C19)</f>
        <v>-5.0906977142857143E-4</v>
      </c>
      <c r="D19" s="2">
        <f>IF('Modell einstellen'!$B$2="Ja",creep_res25!O19,creep_res25!C19)</f>
        <v>-5.3060416571428578E-4</v>
      </c>
      <c r="E19" s="2">
        <f>IF('Modell einstellen'!$B$2="Ja",creep_res50!O19,creep_res50!C19)</f>
        <v>-5.7975125714285723E-4</v>
      </c>
      <c r="F19" s="2">
        <f>IF('Modell einstellen'!$B$2="Ja",creep_res80!O19,creep_res80!C19)</f>
        <v>-7.8814565714285714E-4</v>
      </c>
      <c r="G19" s="2">
        <f>IF('Modell einstellen'!$B$2="Ja",creep_res125!O19,creep_res125!C19)</f>
        <v>-1.2012539428571429E-2</v>
      </c>
      <c r="H19" s="2">
        <f>IF('Modell einstellen'!$B$2="Ja",creep_res160!O19,creep_res160!C19)</f>
        <v>-1.3739041142857143E-2</v>
      </c>
      <c r="M19" s="9">
        <f t="shared" si="26"/>
        <v>-10</v>
      </c>
      <c r="N19" s="2">
        <f t="shared" si="4"/>
        <v>10</v>
      </c>
      <c r="O19" s="2">
        <f t="shared" si="5"/>
        <v>20137.057415526051</v>
      </c>
      <c r="P19" s="2">
        <f t="shared" si="6"/>
        <v>19643.672756167805</v>
      </c>
      <c r="Q19" s="2">
        <f t="shared" si="7"/>
        <v>18846.440804960992</v>
      </c>
      <c r="R19" s="2">
        <f t="shared" si="27"/>
        <v>17248.776741394606</v>
      </c>
      <c r="S19" s="2">
        <f t="shared" si="8"/>
        <v>12688.010026283031</v>
      </c>
      <c r="T19" s="2">
        <f t="shared" si="9"/>
        <v>832.46344867058917</v>
      </c>
      <c r="U19" s="2">
        <f t="shared" si="10"/>
        <v>727.85283165113367</v>
      </c>
      <c r="Z19" s="2">
        <v>10</v>
      </c>
      <c r="AA19" s="3">
        <f>IF('Modell einstellen'!$B$2="Ja",'creep_res-40'!P19,'creep_res-40'!L19)</f>
        <v>0.3547965636514262</v>
      </c>
      <c r="AB19" s="2">
        <f>IF('Modell einstellen'!$B$2="Ja",creep_res0!P19,creep_res0!L19)</f>
        <v>0.3593396515616552</v>
      </c>
      <c r="AC19" s="2">
        <f>IF('Modell einstellen'!$B$2="Ja",creep_res25!P19,creep_res25!L19)</f>
        <v>0.36941035700662039</v>
      </c>
      <c r="AD19" s="2">
        <f>IF('Modell einstellen'!$B$2="Ja",creep_res50!P19,creep_res50!L19)</f>
        <v>0.39167245814880008</v>
      </c>
      <c r="AE19" s="2">
        <f>IF('Modell einstellen'!$B$2="Ja",creep_res80!P19,creep_res80!L19)</f>
        <v>0.47277064594804052</v>
      </c>
      <c r="AF19" s="2">
        <f>IF('Modell einstellen'!$B$2="Ja",creep_res125!P19,creep_res125!L19)</f>
        <v>0.93979809859640007</v>
      </c>
      <c r="AG19" s="2">
        <f>IF('Modell einstellen'!$B$2="Ja",creep_res160!P19,creep_res160!L19)</f>
        <v>0.91703954220635575</v>
      </c>
      <c r="AL19" s="2">
        <f t="shared" si="11"/>
        <v>10</v>
      </c>
      <c r="AM19" s="2">
        <f t="shared" si="12"/>
        <v>7431.7642795214106</v>
      </c>
      <c r="AN19" s="2">
        <f t="shared" si="13"/>
        <v>7225.4468313347925</v>
      </c>
      <c r="AO19" s="2">
        <f t="shared" si="14"/>
        <v>6881.2247214769232</v>
      </c>
      <c r="AP19" s="2">
        <f t="shared" si="15"/>
        <v>6197.1395066404111</v>
      </c>
      <c r="AQ19" s="2">
        <f t="shared" si="16"/>
        <v>4307.5308640863095</v>
      </c>
      <c r="AR19" s="2">
        <f t="shared" si="17"/>
        <v>214.57476664013214</v>
      </c>
      <c r="AS19" s="2">
        <f t="shared" si="18"/>
        <v>189.83771999127222</v>
      </c>
      <c r="AX19" s="2">
        <f t="shared" si="28"/>
        <v>10</v>
      </c>
      <c r="AY19" s="37">
        <f t="shared" si="19"/>
        <v>23113.614390393683</v>
      </c>
      <c r="AZ19" s="37">
        <f t="shared" si="20"/>
        <v>23275.539238382869</v>
      </c>
      <c r="BA19" s="37">
        <f t="shared" si="21"/>
        <v>24053.006007932338</v>
      </c>
      <c r="BB19" s="37">
        <f t="shared" si="22"/>
        <v>26537.998319158982</v>
      </c>
      <c r="BC19" s="37">
        <f t="shared" si="23"/>
        <v>77661.347885028619</v>
      </c>
      <c r="BD19" s="37">
        <f t="shared" si="24"/>
        <v>-315.47182344480592</v>
      </c>
      <c r="BE19" s="37">
        <f t="shared" si="25"/>
        <v>-290.88082303515483</v>
      </c>
    </row>
    <row r="20" spans="1:57" x14ac:dyDescent="0.25">
      <c r="A20" s="2">
        <f>'creep_res-40'!A20</f>
        <v>100</v>
      </c>
      <c r="B20" s="3">
        <f>'creep_res-40'!O20</f>
        <v>-4.9978220571428582E-4</v>
      </c>
      <c r="C20" s="2">
        <f>IF('Modell einstellen'!$B$2="Ja",creep_res0!O20,creep_res0!C20)</f>
        <v>-5.1808074285714285E-4</v>
      </c>
      <c r="D20" s="2">
        <f>IF('Modell einstellen'!$B$2="Ja",creep_res25!O20,creep_res25!C20)</f>
        <v>-5.4780842285714285E-4</v>
      </c>
      <c r="E20" s="2">
        <f>IF('Modell einstellen'!$B$2="Ja",creep_res50!O20,creep_res50!C20)</f>
        <v>-6.2296308571428574E-4</v>
      </c>
      <c r="F20" s="2">
        <f>IF('Modell einstellen'!$B$2="Ja",creep_res80!O20,creep_res80!C20)</f>
        <v>-9.8329554285714305E-4</v>
      </c>
      <c r="G20" s="2">
        <f>IF('Modell einstellen'!$B$2="Ja",creep_res125!O20,creep_res125!C20)</f>
        <v>-1.4327210285714287E-2</v>
      </c>
      <c r="H20" s="2">
        <f>IF('Modell einstellen'!$B$2="Ja",creep_res160!O20,creep_res160!C20)</f>
        <v>-1.6347784571428572E-2</v>
      </c>
      <c r="M20" s="9">
        <f t="shared" si="26"/>
        <v>-10</v>
      </c>
      <c r="N20" s="2">
        <f t="shared" si="4"/>
        <v>100</v>
      </c>
      <c r="O20" s="2">
        <f t="shared" si="5"/>
        <v>20008.715567830306</v>
      </c>
      <c r="P20" s="2">
        <f t="shared" si="6"/>
        <v>19302.010618752975</v>
      </c>
      <c r="Q20" s="2">
        <f t="shared" si="7"/>
        <v>18254.556853733873</v>
      </c>
      <c r="R20" s="2">
        <f t="shared" si="27"/>
        <v>16052.315505234246</v>
      </c>
      <c r="S20" s="2">
        <f t="shared" si="8"/>
        <v>10169.882364098989</v>
      </c>
      <c r="T20" s="2">
        <f t="shared" si="9"/>
        <v>697.97258507268759</v>
      </c>
      <c r="U20" s="2">
        <f t="shared" si="10"/>
        <v>611.70368108943933</v>
      </c>
      <c r="Z20" s="2">
        <v>100</v>
      </c>
      <c r="AA20" s="3">
        <f>IF('Modell einstellen'!$B$2="Ja",'creep_res-40'!P20,'creep_res-40'!L20)</f>
        <v>0.35667109899733923</v>
      </c>
      <c r="AB20" s="2">
        <f>IF('Modell einstellen'!$B$2="Ja",creep_res0!P20,creep_res0!L20)</f>
        <v>0.36418424794899595</v>
      </c>
      <c r="AC20" s="2">
        <f>IF('Modell einstellen'!$B$2="Ja",creep_res25!P20,creep_res25!L20)</f>
        <v>0.3759834329569689</v>
      </c>
      <c r="AD20" s="2">
        <f>IF('Modell einstellen'!$B$2="Ja",creep_res50!P20,creep_res50!L20)</f>
        <v>0.40104710629953405</v>
      </c>
      <c r="AE20" s="2">
        <f>IF('Modell einstellen'!$B$2="Ja",creep_res80!P20,creep_res80!L20)</f>
        <v>0.48498347713740708</v>
      </c>
      <c r="AF20" s="2">
        <f>IF('Modell einstellen'!$B$2="Ja",creep_res125!P20,creep_res125!L20)</f>
        <v>0.87903931691536952</v>
      </c>
      <c r="AG20" s="2">
        <f>IF('Modell einstellen'!$B$2="Ja",creep_res160!P20,creep_res160!L20)</f>
        <v>0.80058075497027603</v>
      </c>
      <c r="AL20" s="2">
        <f t="shared" si="11"/>
        <v>100</v>
      </c>
      <c r="AM20" s="2">
        <f t="shared" si="12"/>
        <v>7374.1954046997607</v>
      </c>
      <c r="AN20" s="2">
        <f t="shared" si="13"/>
        <v>7074.5614632967963</v>
      </c>
      <c r="AO20" s="2">
        <f t="shared" si="14"/>
        <v>6633.2763958157147</v>
      </c>
      <c r="AP20" s="2">
        <f t="shared" si="15"/>
        <v>5728.6851502202007</v>
      </c>
      <c r="AQ20" s="2">
        <f t="shared" si="16"/>
        <v>3424.2409160347711</v>
      </c>
      <c r="AR20" s="2">
        <f t="shared" si="17"/>
        <v>185.72591291449908</v>
      </c>
      <c r="AS20" s="2">
        <f t="shared" si="18"/>
        <v>169.86288435020435</v>
      </c>
      <c r="AX20" s="2">
        <f t="shared" si="28"/>
        <v>100</v>
      </c>
      <c r="AY20" s="37">
        <f t="shared" si="19"/>
        <v>23266.667815375284</v>
      </c>
      <c r="AZ20" s="37">
        <f t="shared" si="20"/>
        <v>23686.514422745709</v>
      </c>
      <c r="BA20" s="37">
        <f t="shared" si="21"/>
        <v>24532.417037744013</v>
      </c>
      <c r="BB20" s="37">
        <f t="shared" si="22"/>
        <v>27036.96493846388</v>
      </c>
      <c r="BC20" s="37">
        <f t="shared" si="23"/>
        <v>112874.35909938901</v>
      </c>
      <c r="BD20" s="37">
        <f t="shared" si="24"/>
        <v>-306.90421543988464</v>
      </c>
      <c r="BE20" s="37">
        <f t="shared" si="25"/>
        <v>-339.17877917695796</v>
      </c>
    </row>
    <row r="21" spans="1:57" x14ac:dyDescent="0.25">
      <c r="A21" s="2">
        <f>'creep_res-40'!A21</f>
        <v>1000</v>
      </c>
      <c r="B21" s="3">
        <f>'creep_res-40'!O21</f>
        <v>-5.0802429142857142E-4</v>
      </c>
      <c r="C21" s="2">
        <f>IF('Modell einstellen'!$B$2="Ja",creep_res0!O21,creep_res0!C21)</f>
        <v>-5.3390951428571433E-4</v>
      </c>
      <c r="D21" s="2">
        <f>IF('Modell einstellen'!$B$2="Ja",creep_res25!O21,creep_res25!C21)</f>
        <v>-5.8892868571428576E-4</v>
      </c>
      <c r="E21" s="2">
        <f>IF('Modell einstellen'!$B$2="Ja",creep_res50!O21,creep_res50!C21)</f>
        <v>-7.2448354285714286E-4</v>
      </c>
      <c r="F21" s="2">
        <f>IF('Modell einstellen'!$B$2="Ja",creep_res80!O21,creep_res80!C21)</f>
        <v>-1.3697842857142858E-3</v>
      </c>
      <c r="G21" s="2">
        <f>IF('Modell einstellen'!$B$2="Ja",creep_res125!O21,creep_res125!C21)</f>
        <v>-1.8220335428571429E-2</v>
      </c>
      <c r="H21" s="2">
        <f>IF('Modell einstellen'!$B$2="Ja",creep_res160!O21,creep_res160!C21)</f>
        <v>-2.1261844000000002E-2</v>
      </c>
      <c r="M21" s="9">
        <f t="shared" si="26"/>
        <v>-10</v>
      </c>
      <c r="N21" s="2">
        <f t="shared" si="4"/>
        <v>1000</v>
      </c>
      <c r="O21" s="2">
        <f t="shared" si="5"/>
        <v>19684.098120347473</v>
      </c>
      <c r="P21" s="2">
        <f t="shared" si="6"/>
        <v>18729.765498519733</v>
      </c>
      <c r="Q21" s="2">
        <f t="shared" si="7"/>
        <v>16979.984576352294</v>
      </c>
      <c r="R21" s="2">
        <f t="shared" si="27"/>
        <v>13802.936034354956</v>
      </c>
      <c r="S21" s="2">
        <f t="shared" si="8"/>
        <v>7300.4195655416024</v>
      </c>
      <c r="T21" s="2">
        <f t="shared" si="9"/>
        <v>548.83731637118672</v>
      </c>
      <c r="U21" s="2">
        <f t="shared" si="10"/>
        <v>470.32609213010869</v>
      </c>
      <c r="Z21" s="2">
        <v>1000</v>
      </c>
      <c r="AA21" s="3">
        <f>IF('Modell einstellen'!$B$2="Ja",'creep_res-40'!P21,'creep_res-40'!L21)</f>
        <v>0.36144566360499458</v>
      </c>
      <c r="AB21" s="2">
        <f>IF('Modell einstellen'!$B$2="Ja",creep_res0!P21,creep_res0!L21)</f>
        <v>0.36965849697484854</v>
      </c>
      <c r="AC21" s="2">
        <f>IF('Modell einstellen'!$B$2="Ja",creep_res25!P21,creep_res25!L21)</f>
        <v>0.38227431271814427</v>
      </c>
      <c r="AD21" s="2">
        <f>IF('Modell einstellen'!$B$2="Ja",creep_res50!P21,creep_res50!L21)</f>
        <v>0.40576302551523996</v>
      </c>
      <c r="AE21" s="2">
        <f>IF('Modell einstellen'!$B$2="Ja",creep_res80!P21,creep_res80!L21)</f>
        <v>0.48525563462025828</v>
      </c>
      <c r="AF21" s="2">
        <f>IF('Modell einstellen'!$B$2="Ja",creep_res125!P21,creep_res125!L21)</f>
        <v>0.73576591204044639</v>
      </c>
      <c r="AG21" s="2">
        <f>IF('Modell einstellen'!$B$2="Ja",creep_res160!P21,creep_res160!L21)</f>
        <v>0.65266004209230388</v>
      </c>
      <c r="AL21" s="2">
        <f t="shared" si="11"/>
        <v>1000</v>
      </c>
      <c r="AM21" s="2">
        <f t="shared" si="12"/>
        <v>7229.1163160436472</v>
      </c>
      <c r="AN21" s="2">
        <f t="shared" si="13"/>
        <v>6837.385209483964</v>
      </c>
      <c r="AO21" s="2">
        <f t="shared" si="14"/>
        <v>6142.0459094556854</v>
      </c>
      <c r="AP21" s="2">
        <f t="shared" si="15"/>
        <v>4909.4106843846976</v>
      </c>
      <c r="AQ21" s="2">
        <f t="shared" si="16"/>
        <v>2457.6306581082695</v>
      </c>
      <c r="AR21" s="2">
        <f t="shared" si="17"/>
        <v>158.09658219581334</v>
      </c>
      <c r="AS21" s="2">
        <f t="shared" si="18"/>
        <v>142.29365996368665</v>
      </c>
      <c r="AX21" s="2">
        <f t="shared" si="28"/>
        <v>1000</v>
      </c>
      <c r="AY21" s="37">
        <f t="shared" si="19"/>
        <v>23677.952674862463</v>
      </c>
      <c r="AZ21" s="37">
        <f t="shared" si="20"/>
        <v>23949.605541101169</v>
      </c>
      <c r="BA21" s="37">
        <f t="shared" si="21"/>
        <v>24038.911937855533</v>
      </c>
      <c r="BB21" s="37">
        <f t="shared" si="22"/>
        <v>24411.748696698593</v>
      </c>
      <c r="BC21" s="37">
        <f t="shared" si="23"/>
        <v>82522.140690347413</v>
      </c>
      <c r="BD21" s="37">
        <f t="shared" si="24"/>
        <v>-387.9818132749063</v>
      </c>
      <c r="BE21" s="37">
        <f t="shared" si="25"/>
        <v>-513.47871353453911</v>
      </c>
    </row>
    <row r="22" spans="1:57" x14ac:dyDescent="0.25">
      <c r="A22" s="2">
        <f>'creep_res-40'!A22</f>
        <v>10000</v>
      </c>
      <c r="B22" s="3">
        <f>'creep_res-40'!O22</f>
        <v>-5.1786149714285715E-4</v>
      </c>
      <c r="C22" s="2">
        <f>IF('Modell einstellen'!$B$2="Ja",creep_res0!O22,creep_res0!C22)</f>
        <v>-5.7776177142857151E-4</v>
      </c>
      <c r="D22" s="2">
        <f>IF('Modell einstellen'!$B$2="Ja",creep_res25!O22,creep_res25!C22)</f>
        <v>-6.8474788571428575E-4</v>
      </c>
      <c r="E22" s="2">
        <f>IF('Modell einstellen'!$B$2="Ja",creep_res50!O22,creep_res50!C22)</f>
        <v>-8.7810862857142869E-4</v>
      </c>
      <c r="F22" s="2">
        <f>IF('Modell einstellen'!$B$2="Ja",creep_res80!O22,creep_res80!C22)</f>
        <v>-2.0932604000000001E-3</v>
      </c>
      <c r="G22" s="2">
        <f>IF('Modell einstellen'!$B$2="Ja",creep_res125!O22,creep_res125!C22)</f>
        <v>-2.3546590285714285E-2</v>
      </c>
      <c r="H22" s="2">
        <f>IF('Modell einstellen'!$B$2="Ja",creep_res160!O22,creep_res160!C22)</f>
        <v>-2.6506324000000001E-2</v>
      </c>
      <c r="M22" s="9">
        <f t="shared" si="26"/>
        <v>-10</v>
      </c>
      <c r="N22" s="2">
        <f t="shared" si="4"/>
        <v>10000</v>
      </c>
      <c r="O22" s="2">
        <f t="shared" si="5"/>
        <v>19310.182462245117</v>
      </c>
      <c r="P22" s="2">
        <f t="shared" si="6"/>
        <v>17308.171801111104</v>
      </c>
      <c r="Q22" s="2">
        <f t="shared" si="7"/>
        <v>14603.915117705887</v>
      </c>
      <c r="R22" s="2">
        <f t="shared" si="27"/>
        <v>11388.112671513923</v>
      </c>
      <c r="S22" s="2">
        <f t="shared" si="8"/>
        <v>4777.2365062655363</v>
      </c>
      <c r="T22" s="2">
        <f t="shared" si="9"/>
        <v>424.68993933559034</v>
      </c>
      <c r="U22" s="2">
        <f t="shared" si="10"/>
        <v>377.26845865160328</v>
      </c>
      <c r="Z22" s="2">
        <v>10000</v>
      </c>
      <c r="AA22" s="3">
        <f>IF('Modell einstellen'!$B$2="Ja",'creep_res-40'!P22,'creep_res-40'!L22)</f>
        <v>0.36660866917731405</v>
      </c>
      <c r="AB22" s="2">
        <f>IF('Modell einstellen'!$B$2="Ja",creep_res0!P22,creep_res0!L22)</f>
        <v>0.37592009994035108</v>
      </c>
      <c r="AC22" s="2">
        <f>IF('Modell einstellen'!$B$2="Ja",creep_res25!P22,creep_res25!L22)</f>
        <v>0.38734359624163656</v>
      </c>
      <c r="AD22" s="2">
        <f>IF('Modell einstellen'!$B$2="Ja",creep_res50!P22,creep_res50!L22)</f>
        <v>0.40431513159354637</v>
      </c>
      <c r="AE22" s="2">
        <f>IF('Modell einstellen'!$B$2="Ja",creep_res80!P22,creep_res80!L22)</f>
        <v>0.48274930343114508</v>
      </c>
      <c r="AF22" s="2">
        <f>IF('Modell einstellen'!$B$2="Ja",creep_res125!P22,creep_res125!L22)</f>
        <v>0.6030382124116096</v>
      </c>
      <c r="AG22" s="2">
        <f>IF('Modell einstellen'!$B$2="Ja",creep_res160!P22,creep_res160!L22)</f>
        <v>0.5497873747304336</v>
      </c>
      <c r="AL22" s="2">
        <f t="shared" si="11"/>
        <v>10000</v>
      </c>
      <c r="AM22" s="2">
        <f t="shared" si="12"/>
        <v>7065.0007195804155</v>
      </c>
      <c r="AN22" s="2">
        <f t="shared" si="13"/>
        <v>6289.6718355453368</v>
      </c>
      <c r="AO22" s="2">
        <f t="shared" si="14"/>
        <v>5263.2654078154883</v>
      </c>
      <c r="AP22" s="2">
        <f t="shared" si="15"/>
        <v>4054.6855956010618</v>
      </c>
      <c r="AQ22" s="2">
        <f t="shared" si="16"/>
        <v>1610.938712030013</v>
      </c>
      <c r="AR22" s="2">
        <f t="shared" si="17"/>
        <v>132.46407229952649</v>
      </c>
      <c r="AS22" s="2">
        <f t="shared" si="18"/>
        <v>121.71619952615258</v>
      </c>
      <c r="AX22" s="2">
        <f t="shared" si="28"/>
        <v>10000</v>
      </c>
      <c r="AY22" s="37">
        <f t="shared" si="19"/>
        <v>24127.233185682937</v>
      </c>
      <c r="AZ22" s="37">
        <f t="shared" si="20"/>
        <v>23248.691357733402</v>
      </c>
      <c r="BA22" s="37">
        <f t="shared" si="21"/>
        <v>21605.392785053158</v>
      </c>
      <c r="BB22" s="37">
        <f t="shared" si="22"/>
        <v>19836.143480107861</v>
      </c>
      <c r="BC22" s="37">
        <f t="shared" si="23"/>
        <v>46155.010680269632</v>
      </c>
      <c r="BD22" s="37">
        <f t="shared" si="24"/>
        <v>-686.94569615763794</v>
      </c>
      <c r="BE22" s="37">
        <f t="shared" si="25"/>
        <v>-1262.932154635145</v>
      </c>
    </row>
    <row r="23" spans="1:57" x14ac:dyDescent="0.25">
      <c r="A23" s="2">
        <f>'creep_res-40'!A23</f>
        <v>100000</v>
      </c>
      <c r="B23" s="3">
        <f>'creep_res-40'!O23</f>
        <v>-5.3859186857142859E-4</v>
      </c>
      <c r="C23" s="2">
        <f>IF('Modell einstellen'!$B$2="Ja",creep_res0!O23,creep_res0!C23)</f>
        <v>-6.7136982857142859E-4</v>
      </c>
      <c r="D23" s="2">
        <f>IF('Modell einstellen'!$B$2="Ja",creep_res25!O23,creep_res25!C23)</f>
        <v>-8.1817565714285714E-4</v>
      </c>
      <c r="E23" s="2">
        <f>IF('Modell einstellen'!$B$2="Ja",creep_res50!O23,creep_res50!C23)</f>
        <v>-1.0546606857142857E-3</v>
      </c>
      <c r="F23" s="2">
        <f>IF('Modell einstellen'!$B$2="Ja",creep_res80!O23,creep_res80!C23)</f>
        <v>-3.5947298857142863E-3</v>
      </c>
      <c r="G23" s="2">
        <f>IF('Modell einstellen'!$B$2="Ja",creep_res125!O23,creep_res125!C23)</f>
        <v>-2.8443946857142858E-2</v>
      </c>
      <c r="H23" s="2">
        <f>IF('Modell einstellen'!$B$2="Ja",creep_res160!O23,creep_res160!C23)</f>
        <v>-3.0733689142857148E-2</v>
      </c>
      <c r="M23" s="9">
        <f t="shared" si="26"/>
        <v>-10</v>
      </c>
      <c r="N23" s="2">
        <f t="shared" si="4"/>
        <v>100000</v>
      </c>
      <c r="O23" s="2">
        <f t="shared" si="5"/>
        <v>18566.934600264562</v>
      </c>
      <c r="P23" s="2">
        <f t="shared" si="6"/>
        <v>14894.920168334727</v>
      </c>
      <c r="Q23" s="2">
        <f t="shared" si="7"/>
        <v>12222.314258188637</v>
      </c>
      <c r="R23" s="2">
        <f t="shared" si="27"/>
        <v>9481.7225439927552</v>
      </c>
      <c r="S23" s="2">
        <f t="shared" si="8"/>
        <v>2781.8501856678345</v>
      </c>
      <c r="T23" s="2">
        <f t="shared" si="9"/>
        <v>351.56865009712232</v>
      </c>
      <c r="U23" s="2">
        <f t="shared" si="10"/>
        <v>325.37584256539247</v>
      </c>
      <c r="Z23" s="2">
        <v>100000</v>
      </c>
      <c r="AA23" s="3">
        <f>IF('Modell einstellen'!$B$2="Ja",'creep_res-40'!P23,'creep_res-40'!L23)</f>
        <v>0.37262574130210468</v>
      </c>
      <c r="AB23" s="2">
        <f>IF('Modell einstellen'!$B$2="Ja",creep_res0!P23,creep_res0!L23)</f>
        <v>0.38092475665105002</v>
      </c>
      <c r="AC23" s="2">
        <f>IF('Modell einstellen'!$B$2="Ja",creep_res25!P23,creep_res25!L23)</f>
        <v>0.38917313180529733</v>
      </c>
      <c r="AD23" s="2">
        <f>IF('Modell einstellen'!$B$2="Ja",creep_res50!P23,creep_res50!L23)</f>
        <v>0.40065839997720054</v>
      </c>
      <c r="AE23" s="2">
        <f>IF('Modell einstellen'!$B$2="Ja",creep_res80!P23,creep_res80!L23)</f>
        <v>0.47548340329898497</v>
      </c>
      <c r="AF23" s="2">
        <f>IF('Modell einstellen'!$B$2="Ja",creep_res125!P23,creep_res125!L23)</f>
        <v>0.52005099473135197</v>
      </c>
      <c r="AG23" s="2">
        <f>IF('Modell einstellen'!$B$2="Ja",creep_res160!P23,creep_res160!L23)</f>
        <v>0.48876914148896</v>
      </c>
      <c r="AL23" s="2">
        <f t="shared" si="11"/>
        <v>100000</v>
      </c>
      <c r="AM23" s="2">
        <f t="shared" si="12"/>
        <v>6763.2909836921517</v>
      </c>
      <c r="AN23" s="2">
        <f t="shared" si="13"/>
        <v>5393.096219252795</v>
      </c>
      <c r="AO23" s="2">
        <f t="shared" si="14"/>
        <v>4399.1328288595505</v>
      </c>
      <c r="AP23" s="2">
        <f t="shared" si="15"/>
        <v>3384.7376862720757</v>
      </c>
      <c r="AQ23" s="2">
        <f t="shared" si="16"/>
        <v>942.69111378955085</v>
      </c>
      <c r="AR23" s="2">
        <f t="shared" si="17"/>
        <v>115.64370251909122</v>
      </c>
      <c r="AS23" s="2">
        <f t="shared" si="18"/>
        <v>109.27679567564616</v>
      </c>
      <c r="AX23" s="2">
        <f t="shared" si="28"/>
        <v>100000</v>
      </c>
      <c r="AY23" s="37">
        <f t="shared" si="19"/>
        <v>24294.462096800613</v>
      </c>
      <c r="AZ23" s="37">
        <f t="shared" si="20"/>
        <v>20848.0505678878</v>
      </c>
      <c r="BA23" s="37">
        <f t="shared" si="21"/>
        <v>18380.492109422798</v>
      </c>
      <c r="BB23" s="37">
        <f t="shared" si="22"/>
        <v>15907.606584781948</v>
      </c>
      <c r="BC23" s="37">
        <f t="shared" si="23"/>
        <v>18911.340071605871</v>
      </c>
      <c r="BD23" s="37">
        <f t="shared" si="24"/>
        <v>-2922.2876870326827</v>
      </c>
      <c r="BE23" s="37">
        <f t="shared" si="25"/>
        <v>4828.5985475575499</v>
      </c>
    </row>
    <row r="24" spans="1:57" x14ac:dyDescent="0.25">
      <c r="A24" s="2">
        <f>'creep_res-40'!A24</f>
        <v>1000000</v>
      </c>
      <c r="B24" s="3">
        <f>'creep_res-40'!O24</f>
        <v>-5.9660388571428568E-4</v>
      </c>
      <c r="C24" s="2">
        <f>IF('Modell einstellen'!$B$2="Ja",creep_res0!O24,creep_res0!C24)</f>
        <v>-7.9288314285714287E-4</v>
      </c>
      <c r="D24" s="2">
        <f>IF('Modell einstellen'!$B$2="Ja",creep_res25!O24,creep_res25!C24)</f>
        <v>-9.5848325714285724E-4</v>
      </c>
      <c r="E24" s="2">
        <f>IF('Modell einstellen'!$B$2="Ja",creep_res50!O24,creep_res50!C24)</f>
        <v>-1.248117142857143E-3</v>
      </c>
      <c r="F24" s="2">
        <f>IF('Modell einstellen'!$B$2="Ja",creep_res80!O24,creep_res80!C24)</f>
        <v>-6.7054811428571438E-3</v>
      </c>
      <c r="G24" s="2">
        <f>IF('Modell einstellen'!$B$2="Ja",creep_res125!O24,creep_res125!C24)</f>
        <v>-3.2151818857142855E-2</v>
      </c>
      <c r="H24" s="2">
        <f>IF('Modell einstellen'!$B$2="Ja",creep_res160!O24,creep_res160!C24)</f>
        <v>-3.3773099428571429E-2</v>
      </c>
      <c r="M24" s="9">
        <f t="shared" si="26"/>
        <v>-10</v>
      </c>
      <c r="N24" s="2">
        <f t="shared" si="4"/>
        <v>1000000</v>
      </c>
      <c r="O24" s="2">
        <f t="shared" si="5"/>
        <v>16761.540176741342</v>
      </c>
      <c r="P24" s="2">
        <f t="shared" si="6"/>
        <v>12612.199023383377</v>
      </c>
      <c r="Q24" s="2">
        <f t="shared" si="7"/>
        <v>10433.150423314644</v>
      </c>
      <c r="R24" s="2">
        <f t="shared" si="27"/>
        <v>8012.0684642696078</v>
      </c>
      <c r="S24" s="2">
        <f t="shared" si="8"/>
        <v>1491.317295053803</v>
      </c>
      <c r="T24" s="2">
        <f t="shared" si="9"/>
        <v>311.02439474519485</v>
      </c>
      <c r="U24" s="2">
        <f t="shared" si="10"/>
        <v>296.09364166145144</v>
      </c>
      <c r="Z24" s="2">
        <v>1000000</v>
      </c>
      <c r="AA24" s="3">
        <f>IF('Modell einstellen'!$B$2="Ja",'creep_res-40'!P24,'creep_res-40'!L24)</f>
        <v>0.37926119536791486</v>
      </c>
      <c r="AB24" s="2">
        <f>IF('Modell einstellen'!$B$2="Ja",creep_res0!P24,creep_res0!L24)</f>
        <v>0.3833026736780884</v>
      </c>
      <c r="AC24" s="2">
        <f>IF('Modell einstellen'!$B$2="Ja",creep_res25!P24,creep_res25!L24)</f>
        <v>0.38840338041227873</v>
      </c>
      <c r="AD24" s="2">
        <f>IF('Modell einstellen'!$B$2="Ja",creep_res50!P24,creep_res50!L24)</f>
        <v>0.3968951632287262</v>
      </c>
      <c r="AE24" s="2">
        <f>IF('Modell einstellen'!$B$2="Ja",creep_res80!P24,creep_res80!L24)</f>
        <v>0.46114550893631406</v>
      </c>
      <c r="AF24" s="2">
        <f>IF('Modell einstellen'!$B$2="Ja",creep_res125!P24,creep_res125!L24)</f>
        <v>0.47121221295758564</v>
      </c>
      <c r="AG24" s="2">
        <f>IF('Modell einstellen'!$B$2="Ja",creep_res160!P24,creep_res160!L24)</f>
        <v>0.45252246741633295</v>
      </c>
      <c r="AL24" s="2">
        <f t="shared" si="11"/>
        <v>1000000</v>
      </c>
      <c r="AM24" s="2">
        <f t="shared" si="12"/>
        <v>6076.274832146727</v>
      </c>
      <c r="AN24" s="2">
        <f t="shared" si="13"/>
        <v>4558.7271908643725</v>
      </c>
      <c r="AO24" s="2">
        <f t="shared" si="14"/>
        <v>3757.2475587809995</v>
      </c>
      <c r="AP24" s="2">
        <f t="shared" si="15"/>
        <v>2867.8130883318549</v>
      </c>
      <c r="AQ24" s="2">
        <f t="shared" si="16"/>
        <v>510.32470275306576</v>
      </c>
      <c r="AR24" s="2">
        <f t="shared" si="17"/>
        <v>105.70344373363407</v>
      </c>
      <c r="AS24" s="2">
        <f t="shared" si="18"/>
        <v>101.92394551670053</v>
      </c>
      <c r="AX24" s="2">
        <f t="shared" si="28"/>
        <v>1000000</v>
      </c>
      <c r="AY24" s="37">
        <f t="shared" si="19"/>
        <v>23137.466351182688</v>
      </c>
      <c r="AZ24" s="37">
        <f t="shared" si="20"/>
        <v>18012.69349364013</v>
      </c>
      <c r="BA24" s="37">
        <f t="shared" si="21"/>
        <v>15581.640468230606</v>
      </c>
      <c r="BB24" s="37">
        <f t="shared" si="22"/>
        <v>12951.329790737587</v>
      </c>
      <c r="BC24" s="37">
        <f t="shared" si="23"/>
        <v>6397.0180976393976</v>
      </c>
      <c r="BD24" s="37">
        <f t="shared" si="24"/>
        <v>1800.6732871764245</v>
      </c>
      <c r="BE24" s="37">
        <f t="shared" si="25"/>
        <v>1039.4167007298379</v>
      </c>
    </row>
    <row r="25" spans="1:57" x14ac:dyDescent="0.25">
      <c r="A25" s="2">
        <f>'creep_res-40'!A25</f>
        <v>10000000</v>
      </c>
      <c r="B25" s="3">
        <f>'creep_res-40'!O25</f>
        <v>-7.0151668571428571E-4</v>
      </c>
      <c r="C25" s="2">
        <f>IF('Modell einstellen'!$B$2="Ja",creep_res0!O25,creep_res0!C25)</f>
        <v>-9.1991182857142863E-4</v>
      </c>
      <c r="D25" s="2">
        <f>IF('Modell einstellen'!$B$2="Ja",creep_res25!O25,creep_res25!C25)</f>
        <v>-1.0958064000000001E-3</v>
      </c>
      <c r="E25" s="2">
        <f>IF('Modell einstellen'!$B$2="Ja",creep_res50!O25,creep_res50!C25)</f>
        <v>-1.4984720571428571E-3</v>
      </c>
      <c r="F25" s="2">
        <f>IF('Modell einstellen'!$B$2="Ja",creep_res80!O25,creep_res80!C25)</f>
        <v>-1.2735464000000002E-2</v>
      </c>
      <c r="G25" s="2">
        <f>IF('Modell einstellen'!$B$2="Ja",creep_res125!O25,creep_res125!C25)</f>
        <v>-3.4756550857142854E-2</v>
      </c>
      <c r="H25" s="2">
        <f>IF('Modell einstellen'!$B$2="Ja",creep_res160!O25,creep_res160!C25)</f>
        <v>-3.5841918857142857E-2</v>
      </c>
      <c r="M25" s="9">
        <f t="shared" si="26"/>
        <v>-10</v>
      </c>
      <c r="N25" s="2">
        <f t="shared" si="4"/>
        <v>10000000</v>
      </c>
      <c r="O25" s="2">
        <f t="shared" si="5"/>
        <v>14254.828436215996</v>
      </c>
      <c r="P25" s="2">
        <f t="shared" si="6"/>
        <v>10870.607040165401</v>
      </c>
      <c r="Q25" s="2">
        <f t="shared" si="7"/>
        <v>9125.6995761295057</v>
      </c>
      <c r="R25" s="2">
        <f t="shared" si="27"/>
        <v>6673.464448224041</v>
      </c>
      <c r="S25" s="2">
        <f t="shared" si="8"/>
        <v>785.20892524999465</v>
      </c>
      <c r="T25" s="2">
        <f t="shared" si="9"/>
        <v>287.7155458003362</v>
      </c>
      <c r="U25" s="2">
        <f t="shared" si="10"/>
        <v>279.00291945466313</v>
      </c>
      <c r="Z25" s="2">
        <v>10000000</v>
      </c>
      <c r="AA25" s="3">
        <f>IF('Modell einstellen'!$B$2="Ja",'creep_res-40'!P25,'creep_res-40'!L25)</f>
        <v>0.38316552006257132</v>
      </c>
      <c r="AB25" s="2">
        <f>IF('Modell einstellen'!$B$2="Ja",creep_res0!P25,creep_res0!L25)</f>
        <v>0.38389689769646873</v>
      </c>
      <c r="AC25" s="2">
        <f>IF('Modell einstellen'!$B$2="Ja",creep_res25!P25,creep_res25!L25)</f>
        <v>0.38639847852164921</v>
      </c>
      <c r="AD25" s="2">
        <f>IF('Modell einstellen'!$B$2="Ja",creep_res50!P25,creep_res50!L25)</f>
        <v>0.39383500015501505</v>
      </c>
      <c r="AE25" s="2">
        <f>IF('Modell einstellen'!$B$2="Ja",creep_res80!P25,creep_res80!L25)</f>
        <v>0.4467621079889309</v>
      </c>
      <c r="AF25" s="2">
        <f>IF('Modell einstellen'!$B$2="Ja",creep_res125!P25,creep_res125!L25)</f>
        <v>0.44190769940610913</v>
      </c>
      <c r="AG25" s="2">
        <f>IF('Modell einstellen'!$B$2="Ja",creep_res160!P25,creep_res160!L25)</f>
        <v>0.43076528205010961</v>
      </c>
      <c r="AL25" s="2">
        <f t="shared" si="11"/>
        <v>10000000</v>
      </c>
      <c r="AM25" s="2">
        <f t="shared" si="12"/>
        <v>5152.9727387836929</v>
      </c>
      <c r="AN25" s="2">
        <f t="shared" si="13"/>
        <v>3927.5350129983676</v>
      </c>
      <c r="AO25" s="2">
        <f t="shared" si="14"/>
        <v>3291.1531992809396</v>
      </c>
      <c r="AP25" s="2">
        <f t="shared" si="15"/>
        <v>2393.9219661874804</v>
      </c>
      <c r="AQ25" s="2">
        <f t="shared" si="16"/>
        <v>271.36767023207187</v>
      </c>
      <c r="AR25" s="2">
        <f t="shared" si="17"/>
        <v>99.769058005183027</v>
      </c>
      <c r="AS25" s="2">
        <f t="shared" si="18"/>
        <v>97.501289329192588</v>
      </c>
      <c r="AX25" s="2">
        <f t="shared" si="28"/>
        <v>10000000</v>
      </c>
      <c r="AY25" s="37">
        <f t="shared" si="19"/>
        <v>20334.791070595831</v>
      </c>
      <c r="AZ25" s="37">
        <f t="shared" si="20"/>
        <v>15604.81851114552</v>
      </c>
      <c r="BA25" s="37">
        <f t="shared" si="21"/>
        <v>13388.464428663197</v>
      </c>
      <c r="BB25" s="37">
        <f t="shared" si="22"/>
        <v>10476.560790543319</v>
      </c>
      <c r="BC25" s="37">
        <f t="shared" si="23"/>
        <v>2458.1768598411568</v>
      </c>
      <c r="BD25" s="37">
        <f t="shared" si="24"/>
        <v>825.45518900942818</v>
      </c>
      <c r="BE25" s="37">
        <f t="shared" si="25"/>
        <v>671.63538687963717</v>
      </c>
    </row>
    <row r="26" spans="1:57" x14ac:dyDescent="0.25">
      <c r="A26" s="2">
        <f>'creep_res-40'!A26</f>
        <v>100000000</v>
      </c>
      <c r="B26" s="3">
        <f>'creep_res-40'!O26</f>
        <v>-8.3000274285714303E-4</v>
      </c>
      <c r="C26" s="2">
        <f>IF('Modell einstellen'!$B$2="Ja",creep_res0!O26,creep_res0!C26)</f>
        <v>-1.0417293142857143E-3</v>
      </c>
      <c r="D26" s="2">
        <f>IF('Modell einstellen'!$B$2="Ja",creep_res25!O26,creep_res25!C26)</f>
        <v>-1.2360097142857145E-3</v>
      </c>
      <c r="E26" s="2">
        <f>IF('Modell einstellen'!$B$2="Ja",creep_res50!O26,creep_res50!C26)</f>
        <v>-1.8695733714285717E-3</v>
      </c>
      <c r="F26" s="2">
        <f>IF('Modell einstellen'!$B$2="Ja",creep_res80!O26,creep_res80!C26)</f>
        <v>-2.2840043428571429E-2</v>
      </c>
      <c r="G26" s="2">
        <f>IF('Modell einstellen'!$B$2="Ja",creep_res125!O26,creep_res125!C26)</f>
        <v>-3.6507982285714287E-2</v>
      </c>
      <c r="H26" s="2">
        <f>IF('Modell einstellen'!$B$2="Ja",creep_res160!O26,creep_res160!C26)</f>
        <v>-3.7248799999999999E-2</v>
      </c>
      <c r="M26" s="9">
        <f t="shared" si="26"/>
        <v>-10</v>
      </c>
      <c r="N26" s="2">
        <f t="shared" si="4"/>
        <v>100000000</v>
      </c>
      <c r="O26" s="2">
        <f t="shared" si="5"/>
        <v>12048.152956189884</v>
      </c>
      <c r="P26" s="2">
        <f t="shared" si="6"/>
        <v>9599.4226742642168</v>
      </c>
      <c r="Q26" s="2">
        <f t="shared" si="7"/>
        <v>8090.5512994118853</v>
      </c>
      <c r="R26" s="2">
        <f t="shared" si="27"/>
        <v>5348.8138806549405</v>
      </c>
      <c r="S26" s="2">
        <f t="shared" si="8"/>
        <v>437.8275387817626</v>
      </c>
      <c r="T26" s="2">
        <f t="shared" si="9"/>
        <v>273.91270001555353</v>
      </c>
      <c r="U26" s="2">
        <f t="shared" si="10"/>
        <v>268.46502437662423</v>
      </c>
      <c r="Z26" s="2">
        <v>100000000</v>
      </c>
      <c r="AA26" s="3">
        <f>IF('Modell einstellen'!$B$2="Ja",'creep_res-40'!P26,'creep_res-40'!L26)</f>
        <v>0.38501778445069501</v>
      </c>
      <c r="AB26" s="2">
        <f>IF('Modell einstellen'!$B$2="Ja",creep_res0!P26,creep_res0!L26)</f>
        <v>0.38287226574844252</v>
      </c>
      <c r="AC26" s="2">
        <f>IF('Modell einstellen'!$B$2="Ja",creep_res25!P26,creep_res25!L26)</f>
        <v>0.38376154232722165</v>
      </c>
      <c r="AD26" s="2">
        <f>IF('Modell einstellen'!$B$2="Ja",creep_res50!P26,creep_res50!L26)</f>
        <v>0.39071492979880451</v>
      </c>
      <c r="AE26" s="2">
        <f>IF('Modell einstellen'!$B$2="Ja",creep_res80!P26,creep_res80!L26)</f>
        <v>0.43590995423676454</v>
      </c>
      <c r="AF26" s="2">
        <f>IF('Modell einstellen'!$B$2="Ja",creep_res125!P26,creep_res125!L26)</f>
        <v>0.42423484717682641</v>
      </c>
      <c r="AG26" s="2">
        <f>IF('Modell einstellen'!$B$2="Ja",creep_res160!P26,creep_res160!L26)</f>
        <v>0.41725697778950505</v>
      </c>
      <c r="AL26" s="2">
        <f t="shared" si="11"/>
        <v>100000000</v>
      </c>
      <c r="AM26" s="2">
        <f t="shared" si="12"/>
        <v>4349.4578522571974</v>
      </c>
      <c r="AN26" s="2">
        <f t="shared" si="13"/>
        <v>3470.8276794707381</v>
      </c>
      <c r="AO26" s="2">
        <f t="shared" si="14"/>
        <v>2923.3907186801598</v>
      </c>
      <c r="AP26" s="2">
        <f t="shared" si="15"/>
        <v>1923.0446750969861</v>
      </c>
      <c r="AQ26" s="2">
        <f t="shared" si="16"/>
        <v>152.45647454769647</v>
      </c>
      <c r="AR26" s="2">
        <f t="shared" si="17"/>
        <v>96.16135307969536</v>
      </c>
      <c r="AS26" s="2">
        <f t="shared" si="18"/>
        <v>94.712895608864457</v>
      </c>
      <c r="AX26" s="2">
        <f t="shared" si="28"/>
        <v>100000000</v>
      </c>
      <c r="AY26" s="37">
        <f t="shared" si="19"/>
        <v>17463.791970831018</v>
      </c>
      <c r="AZ26" s="37">
        <f t="shared" si="20"/>
        <v>13659.478596315132</v>
      </c>
      <c r="BA26" s="37">
        <f t="shared" si="21"/>
        <v>11600.508502655679</v>
      </c>
      <c r="BB26" s="37">
        <f t="shared" si="22"/>
        <v>8157.2805733477471</v>
      </c>
      <c r="BC26" s="37">
        <f t="shared" si="23"/>
        <v>1138.5739484911751</v>
      </c>
      <c r="BD26" s="37">
        <f t="shared" si="24"/>
        <v>602.54767486320873</v>
      </c>
      <c r="BE26" s="37">
        <f t="shared" si="25"/>
        <v>540.76065309301828</v>
      </c>
    </row>
    <row r="27" spans="1:57" x14ac:dyDescent="0.25">
      <c r="A27" s="2">
        <f>'creep_res-40'!A27</f>
        <v>1000000000</v>
      </c>
      <c r="B27" s="3">
        <f>'creep_res-40'!O27</f>
        <v>-9.6008531428571427E-4</v>
      </c>
      <c r="C27" s="2">
        <f>IF('Modell einstellen'!$B$2="Ja",creep_res0!O27,creep_res0!C27)</f>
        <v>-1.1608348571428573E-3</v>
      </c>
      <c r="D27" s="2">
        <f>IF('Modell einstellen'!$B$2="Ja",creep_res25!O27,creep_res25!C27)</f>
        <v>-1.3967930285714288E-3</v>
      </c>
      <c r="E27" s="2">
        <f>IF('Modell einstellen'!$B$2="Ja",creep_res50!O27,creep_res50!C27)</f>
        <v>-2.5137643428571428E-3</v>
      </c>
      <c r="F27" s="2">
        <f>IF('Modell einstellen'!$B$2="Ja",creep_res80!O27,creep_res80!C27)</f>
        <v>-3.0692317142857143E-2</v>
      </c>
      <c r="G27" s="2">
        <f>IF('Modell einstellen'!$B$2="Ja",creep_res125!O27,creep_res125!C27)</f>
        <v>-3.7692596571428573E-2</v>
      </c>
      <c r="H27" s="2">
        <f>IF('Modell einstellen'!$B$2="Ja",creep_res160!O27,creep_res160!C27)</f>
        <v>-3.8186862285714288E-2</v>
      </c>
      <c r="M27" s="9">
        <f t="shared" si="26"/>
        <v>-10</v>
      </c>
      <c r="N27" s="2">
        <f t="shared" si="4"/>
        <v>1000000000</v>
      </c>
      <c r="O27" s="2">
        <f t="shared" si="5"/>
        <v>10415.741029681112</v>
      </c>
      <c r="P27" s="2">
        <f t="shared" si="6"/>
        <v>8614.4897686935656</v>
      </c>
      <c r="Q27" s="2">
        <f t="shared" si="7"/>
        <v>7159.2568085964094</v>
      </c>
      <c r="R27" s="2">
        <f t="shared" si="27"/>
        <v>3978.0976400651807</v>
      </c>
      <c r="S27" s="2">
        <f t="shared" si="8"/>
        <v>325.81443601846939</v>
      </c>
      <c r="T27" s="2">
        <f t="shared" si="9"/>
        <v>265.30408912131344</v>
      </c>
      <c r="U27" s="2">
        <f t="shared" si="10"/>
        <v>261.87016689614222</v>
      </c>
      <c r="Z27" s="2">
        <v>1000000000</v>
      </c>
      <c r="AA27" s="3">
        <f>IF('Modell einstellen'!$B$2="Ja",'creep_res-40'!P27,'creep_res-40'!L27)</f>
        <v>0.38494618305647005</v>
      </c>
      <c r="AB27" s="2">
        <f>IF('Modell einstellen'!$B$2="Ja",creep_res0!P27,creep_res0!L27)</f>
        <v>0.380916911523283</v>
      </c>
      <c r="AC27" s="2">
        <f>IF('Modell einstellen'!$B$2="Ja",creep_res25!P27,creep_res25!L27)</f>
        <v>0.38110589489932811</v>
      </c>
      <c r="AD27" s="2">
        <f>IF('Modell einstellen'!$B$2="Ja",creep_res50!P27,creep_res50!L27)</f>
        <v>0.38800589013048981</v>
      </c>
      <c r="AE27" s="2">
        <f>IF('Modell einstellen'!$B$2="Ja",creep_res80!P27,creep_res80!L27)</f>
        <v>0.42295336636595238</v>
      </c>
      <c r="AF27" s="2">
        <f>IF('Modell einstellen'!$B$2="Ja",creep_res125!P27,creep_res125!L27)</f>
        <v>0.41325452255542594</v>
      </c>
      <c r="AG27" s="2">
        <f>IF('Modell einstellen'!$B$2="Ja",creep_res160!P27,creep_res160!L27)</f>
        <v>0.40897283013220004</v>
      </c>
      <c r="AL27" s="2">
        <f t="shared" si="11"/>
        <v>1000000000</v>
      </c>
      <c r="AM27" s="2">
        <f t="shared" si="12"/>
        <v>3760.3414331574859</v>
      </c>
      <c r="AN27" s="2">
        <f t="shared" si="13"/>
        <v>3119.1195128427248</v>
      </c>
      <c r="AO27" s="2">
        <f t="shared" si="14"/>
        <v>2591.8565821190209</v>
      </c>
      <c r="AP27" s="2">
        <f t="shared" si="15"/>
        <v>1433.0262098856042</v>
      </c>
      <c r="AQ27" s="2">
        <f t="shared" si="16"/>
        <v>114.48528241321054</v>
      </c>
      <c r="AR27" s="2">
        <f t="shared" si="17"/>
        <v>93.862812708921865</v>
      </c>
      <c r="AS27" s="2">
        <f t="shared" si="18"/>
        <v>92.92945942455529</v>
      </c>
      <c r="AX27" s="2">
        <f t="shared" si="28"/>
        <v>1000000000</v>
      </c>
      <c r="AY27" s="37">
        <f t="shared" si="19"/>
        <v>15088.2159705507</v>
      </c>
      <c r="AZ27" s="37">
        <f t="shared" si="20"/>
        <v>12056.693466284903</v>
      </c>
      <c r="BA27" s="37">
        <f t="shared" si="21"/>
        <v>10035.900998532001</v>
      </c>
      <c r="BB27" s="37">
        <f t="shared" si="22"/>
        <v>5920.0994955601627</v>
      </c>
      <c r="BC27" s="37">
        <f t="shared" si="23"/>
        <v>704.79920331109042</v>
      </c>
      <c r="BD27" s="37">
        <f t="shared" si="24"/>
        <v>509.73663975898</v>
      </c>
      <c r="BE27" s="37">
        <f t="shared" si="25"/>
        <v>479.47253418303558</v>
      </c>
    </row>
    <row r="28" spans="1:57" x14ac:dyDescent="0.25">
      <c r="A28" s="2">
        <f>'creep_res-40'!A28</f>
        <v>10000000000</v>
      </c>
      <c r="B28" s="3">
        <f>'creep_res-40'!O28</f>
        <v>-1.0833461714285714E-3</v>
      </c>
      <c r="C28" s="2">
        <f>IF('Modell einstellen'!$B$2="Ja",creep_res0!O28,creep_res0!C28)</f>
        <v>-1.286381542857143E-3</v>
      </c>
      <c r="D28" s="2">
        <f>IF('Modell einstellen'!$B$2="Ja",creep_res25!O28,creep_res25!C28)</f>
        <v>-1.6280200571428573E-3</v>
      </c>
      <c r="E28" s="2">
        <f>IF('Modell einstellen'!$B$2="Ja",creep_res50!O28,creep_res50!C28)</f>
        <v>-3.8843041714285717E-3</v>
      </c>
      <c r="F28" s="2">
        <f>IF('Modell einstellen'!$B$2="Ja",creep_res80!O28,creep_res80!C28)</f>
        <v>-3.5013912000000001E-2</v>
      </c>
      <c r="G28" s="2">
        <f>IF('Modell einstellen'!$B$2="Ja",creep_res125!O28,creep_res125!C28)</f>
        <v>-3.8479935999999999E-2</v>
      </c>
      <c r="H28" s="2">
        <f>IF('Modell einstellen'!$B$2="Ja",creep_res160!O28,creep_res160!C28)</f>
        <v>-3.8684196571428568E-2</v>
      </c>
      <c r="M28" s="9">
        <f t="shared" si="26"/>
        <v>-10</v>
      </c>
      <c r="N28" s="2">
        <f t="shared" si="4"/>
        <v>10000000000</v>
      </c>
      <c r="O28" s="2">
        <f t="shared" si="5"/>
        <v>9230.6598423783071</v>
      </c>
      <c r="P28" s="2">
        <f t="shared" si="6"/>
        <v>7773.7433777145961</v>
      </c>
      <c r="Q28" s="2">
        <f t="shared" si="7"/>
        <v>6142.4304670728689</v>
      </c>
      <c r="R28" s="2">
        <f t="shared" si="27"/>
        <v>2574.4636770611592</v>
      </c>
      <c r="S28" s="2">
        <f t="shared" si="8"/>
        <v>285.60076349080902</v>
      </c>
      <c r="T28" s="2">
        <f t="shared" si="9"/>
        <v>259.87569210094318</v>
      </c>
      <c r="U28" s="2">
        <f t="shared" si="10"/>
        <v>258.5034946127281</v>
      </c>
      <c r="Z28" s="2">
        <v>10000000000</v>
      </c>
      <c r="AA28" s="3">
        <f>IF('Modell einstellen'!$B$2="Ja",'creep_res-40'!P28,'creep_res-40'!L28)</f>
        <v>0.38331255995313573</v>
      </c>
      <c r="AB28" s="2">
        <f>IF('Modell einstellen'!$B$2="Ja",creep_res0!P28,creep_res0!L28)</f>
        <v>0.37858573574949567</v>
      </c>
      <c r="AC28" s="2">
        <f>IF('Modell einstellen'!$B$2="Ja",creep_res25!P28,creep_res25!L28)</f>
        <v>0.37899585722899659</v>
      </c>
      <c r="AD28" s="2">
        <f>IF('Modell einstellen'!$B$2="Ja",creep_res50!P28,creep_res50!L28)</f>
        <v>0.38654671784347389</v>
      </c>
      <c r="AE28" s="2">
        <f>IF('Modell einstellen'!$B$2="Ja",creep_res80!P28,creep_res80!L28)</f>
        <v>0.4129533589799555</v>
      </c>
      <c r="AF28" s="2">
        <f>IF('Modell einstellen'!$B$2="Ja",creep_res125!P28,creep_res125!L28)</f>
        <v>0.40654060784894686</v>
      </c>
      <c r="AG28" s="2">
        <f>IF('Modell einstellen'!$B$2="Ja",creep_res160!P28,creep_res160!L28)</f>
        <v>0.40481580784026033</v>
      </c>
      <c r="AL28" s="2">
        <f t="shared" si="11"/>
        <v>10000000000</v>
      </c>
      <c r="AM28" s="2">
        <f t="shared" si="12"/>
        <v>3336.4331784463179</v>
      </c>
      <c r="AN28" s="2">
        <f t="shared" si="13"/>
        <v>2819.4631556550398</v>
      </c>
      <c r="AO28" s="2">
        <f t="shared" si="14"/>
        <v>2227.1388397843657</v>
      </c>
      <c r="AP28" s="2">
        <f t="shared" si="15"/>
        <v>928.3724969127901</v>
      </c>
      <c r="AQ28" s="2">
        <f t="shared" si="16"/>
        <v>101.06517730245214</v>
      </c>
      <c r="AR28" s="2">
        <f t="shared" si="17"/>
        <v>92.381155101656375</v>
      </c>
      <c r="AS28" s="2">
        <f t="shared" si="18"/>
        <v>92.006187989209394</v>
      </c>
      <c r="AX28" s="2">
        <f t="shared" si="28"/>
        <v>10000000000</v>
      </c>
      <c r="AY28" s="37">
        <f t="shared" si="19"/>
        <v>13184.309351933493</v>
      </c>
      <c r="AZ28" s="37">
        <f t="shared" si="20"/>
        <v>10671.101161660947</v>
      </c>
      <c r="BA28" s="37">
        <f t="shared" si="21"/>
        <v>8460.358362409168</v>
      </c>
      <c r="BB28" s="37">
        <f t="shared" si="22"/>
        <v>3781.973261189708</v>
      </c>
      <c r="BC28" s="37">
        <f t="shared" si="23"/>
        <v>546.83473929231957</v>
      </c>
      <c r="BD28" s="37">
        <f t="shared" si="24"/>
        <v>463.43780280695023</v>
      </c>
      <c r="BE28" s="37">
        <f t="shared" si="25"/>
        <v>452.63730028284408</v>
      </c>
    </row>
    <row r="29" spans="1:57" x14ac:dyDescent="0.25">
      <c r="A29" s="2">
        <f>'creep_res-40'!A29</f>
        <v>100000000000</v>
      </c>
      <c r="B29" s="3">
        <f>'creep_res-40'!O29</f>
        <v>-1.2086622857142857E-3</v>
      </c>
      <c r="C29" s="2">
        <f>IF('Modell einstellen'!$B$2="Ja",creep_res0!O29,creep_res0!C29)</f>
        <v>-1.4380592571428571E-3</v>
      </c>
      <c r="D29" s="2">
        <f>IF('Modell einstellen'!$B$2="Ja",creep_res25!O29,creep_res25!C29)</f>
        <v>-1.9967447428571429E-3</v>
      </c>
      <c r="E29" s="2">
        <f>IF('Modell einstellen'!$B$2="Ja",creep_res50!O29,creep_res50!C29)</f>
        <v>-6.6688354285714289E-3</v>
      </c>
      <c r="F29" s="2">
        <f>IF('Modell einstellen'!$B$2="Ja",creep_res80!O29,creep_res80!C29)</f>
        <v>-3.8170907428571432E-2</v>
      </c>
      <c r="G29" s="2">
        <f>IF('Modell einstellen'!$B$2="Ja",creep_res125!O29,creep_res125!C29)</f>
        <v>-3.8618251999999999E-2</v>
      </c>
      <c r="H29" s="2">
        <f>IF('Modell einstellen'!$B$2="Ja",creep_res160!O29,creep_res160!C29)</f>
        <v>-3.8816426857142858E-2</v>
      </c>
      <c r="M29" s="9">
        <f t="shared" si="26"/>
        <v>-10</v>
      </c>
      <c r="N29" s="2">
        <f t="shared" si="4"/>
        <v>100000000000</v>
      </c>
      <c r="O29" s="2">
        <f t="shared" si="5"/>
        <v>8273.6096908081145</v>
      </c>
      <c r="P29" s="2">
        <f t="shared" si="6"/>
        <v>6953.8163676704444</v>
      </c>
      <c r="Q29" s="2">
        <f t="shared" si="7"/>
        <v>5008.1514103254858</v>
      </c>
      <c r="R29" s="2">
        <f t="shared" si="27"/>
        <v>1499.5121872638804</v>
      </c>
      <c r="S29" s="2">
        <f t="shared" si="8"/>
        <v>261.97962463200093</v>
      </c>
      <c r="T29" s="2">
        <f t="shared" si="9"/>
        <v>258.94491547675437</v>
      </c>
      <c r="U29" s="2">
        <f t="shared" si="10"/>
        <v>257.62288828910681</v>
      </c>
      <c r="Z29" s="2">
        <v>100000000000</v>
      </c>
      <c r="AA29" s="3">
        <f>IF('Modell einstellen'!$B$2="Ja",'creep_res-40'!P29,'creep_res-40'!L29)</f>
        <v>0.38109942562237648</v>
      </c>
      <c r="AB29" s="2">
        <f>IF('Modell einstellen'!$B$2="Ja",creep_res0!P29,creep_res0!L29)</f>
        <v>0.37649410592537874</v>
      </c>
      <c r="AC29" s="2">
        <f>IF('Modell einstellen'!$B$2="Ja",creep_res25!P29,creep_res25!L29)</f>
        <v>0.37730016166598934</v>
      </c>
      <c r="AD29" s="2">
        <f>IF('Modell einstellen'!$B$2="Ja",creep_res50!P29,creep_res50!L29)</f>
        <v>0.38644081099788508</v>
      </c>
      <c r="AE29" s="2">
        <f>IF('Modell einstellen'!$B$2="Ja",creep_res80!P29,creep_res80!L29)</f>
        <v>0.40758632812471929</v>
      </c>
      <c r="AF29" s="2">
        <f>IF('Modell einstellen'!$B$2="Ja",creep_res125!P29,creep_res125!L29)</f>
        <v>0.40537634158805835</v>
      </c>
      <c r="AG29" s="2">
        <f>IF('Modell einstellen'!$B$2="Ja",creep_res160!P29,creep_res160!L29)</f>
        <v>0.4037364622668515</v>
      </c>
      <c r="AL29" s="2">
        <f t="shared" si="11"/>
        <v>100000000000</v>
      </c>
      <c r="AM29" s="2">
        <f t="shared" si="12"/>
        <v>2995.2983606085086</v>
      </c>
      <c r="AN29" s="2">
        <f t="shared" si="13"/>
        <v>2525.9157804368465</v>
      </c>
      <c r="AO29" s="2">
        <f t="shared" si="14"/>
        <v>1818.1045605438685</v>
      </c>
      <c r="AP29" s="2">
        <f t="shared" si="15"/>
        <v>540.77757065756475</v>
      </c>
      <c r="AQ29" s="2">
        <f t="shared" si="16"/>
        <v>93.059878245985715</v>
      </c>
      <c r="AR29" s="2">
        <f t="shared" si="17"/>
        <v>92.126538569786135</v>
      </c>
      <c r="AS29" s="2">
        <f t="shared" si="18"/>
        <v>91.763267256404887</v>
      </c>
      <c r="AX29" s="2">
        <f t="shared" si="28"/>
        <v>100000000000</v>
      </c>
      <c r="AY29" s="37">
        <f t="shared" si="19"/>
        <v>11597.378361592906</v>
      </c>
      <c r="AZ29" s="37">
        <f t="shared" si="20"/>
        <v>9383.9197173173034</v>
      </c>
      <c r="BA29" s="37">
        <f t="shared" si="21"/>
        <v>6802.7139485606767</v>
      </c>
      <c r="BB29" s="37">
        <f t="shared" si="22"/>
        <v>2200.7791714033719</v>
      </c>
      <c r="BC29" s="37">
        <f t="shared" si="23"/>
        <v>472.47631098271978</v>
      </c>
      <c r="BD29" s="37">
        <f t="shared" si="24"/>
        <v>456.09614590156087</v>
      </c>
      <c r="BE29" s="37">
        <f t="shared" si="25"/>
        <v>446.0375034959784</v>
      </c>
    </row>
    <row r="30" spans="1:57" x14ac:dyDescent="0.25">
      <c r="A30" s="2">
        <f>'creep_res-40'!A30</f>
        <v>1000000000000</v>
      </c>
      <c r="B30" s="3">
        <f>'creep_res-40'!O30</f>
        <v>-1.3428904000000001E-3</v>
      </c>
      <c r="C30" s="2">
        <f>IF('Modell einstellen'!$B$2="Ja",creep_res0!O30,creep_res0!C30)</f>
        <v>-1.6660458857142859E-3</v>
      </c>
      <c r="D30" s="2">
        <f>IF('Modell einstellen'!$B$2="Ja",creep_res25!O30,creep_res25!C30)</f>
        <v>-2.665770742857143E-3</v>
      </c>
      <c r="E30" s="2">
        <f>IF('Modell einstellen'!$B$2="Ja",creep_res50!O30,creep_res50!C30)</f>
        <v>-1.1922857142857143E-2</v>
      </c>
      <c r="F30" s="2">
        <f>IF('Modell einstellen'!$B$2="Ja",creep_res80!O30,creep_res80!C30)</f>
        <v>-3.838269542857143E-2</v>
      </c>
      <c r="G30" s="2">
        <f>IF('Modell einstellen'!$B$2="Ja",creep_res125!O30,creep_res125!C30)</f>
        <v>-3.918260914285715E-2</v>
      </c>
      <c r="H30" s="2">
        <f>IF('Modell einstellen'!$B$2="Ja",creep_res160!O30,creep_res160!C30)</f>
        <v>-3.9329979428571429E-2</v>
      </c>
      <c r="M30" s="9">
        <f t="shared" si="26"/>
        <v>-10</v>
      </c>
      <c r="N30" s="2">
        <f t="shared" si="4"/>
        <v>1000000000000</v>
      </c>
      <c r="O30" s="2">
        <f t="shared" si="5"/>
        <v>7446.6240878630142</v>
      </c>
      <c r="P30" s="2">
        <f t="shared" si="6"/>
        <v>6002.2356441357479</v>
      </c>
      <c r="Q30" s="2">
        <f t="shared" si="7"/>
        <v>3751.2603162874061</v>
      </c>
      <c r="R30" s="2">
        <f t="shared" si="27"/>
        <v>838.72513779055839</v>
      </c>
      <c r="S30" s="2">
        <f t="shared" si="8"/>
        <v>260.53407371062764</v>
      </c>
      <c r="T30" s="2">
        <f t="shared" si="9"/>
        <v>255.21526561798564</v>
      </c>
      <c r="U30" s="2">
        <f t="shared" si="10"/>
        <v>254.25896848385986</v>
      </c>
      <c r="Z30" s="2">
        <v>1000000000000</v>
      </c>
      <c r="AA30" s="3">
        <f>IF('Modell einstellen'!$B$2="Ja",'creep_res-40'!P30,'creep_res-40'!L30)</f>
        <v>0.37857148814442121</v>
      </c>
      <c r="AB30" s="2">
        <f>IF('Modell einstellen'!$B$2="Ja",creep_res0!P30,creep_res0!L30)</f>
        <v>0.37497807897796537</v>
      </c>
      <c r="AC30" s="2">
        <f>IF('Modell einstellen'!$B$2="Ja",creep_res25!P30,creep_res25!L30)</f>
        <v>0.37638611212264145</v>
      </c>
      <c r="AD30" s="2">
        <f>IF('Modell einstellen'!$B$2="Ja",creep_res50!P30,creep_res50!L30)</f>
        <v>0.38812045530793199</v>
      </c>
      <c r="AE30" s="2">
        <f>IF('Modell einstellen'!$B$2="Ja",creep_res80!P30,creep_res80!L30)</f>
        <v>0.40628596068076334</v>
      </c>
      <c r="AF30" s="2">
        <f>IF('Modell einstellen'!$B$2="Ja",creep_res125!P30,creep_res125!L30)</f>
        <v>0.40095356590123371</v>
      </c>
      <c r="AG30" s="2">
        <f>IF('Modell einstellen'!$B$2="Ja",creep_res160!P30,creep_res160!L30)</f>
        <v>0.39995691254874655</v>
      </c>
      <c r="AL30" s="2">
        <f t="shared" si="11"/>
        <v>1000000000000</v>
      </c>
      <c r="AM30" s="2">
        <f t="shared" si="12"/>
        <v>2700.8479980556854</v>
      </c>
      <c r="AN30" s="2">
        <f t="shared" si="13"/>
        <v>2182.665940608038</v>
      </c>
      <c r="AO30" s="2">
        <f t="shared" si="14"/>
        <v>1362.7209266527218</v>
      </c>
      <c r="AP30" s="2">
        <f t="shared" si="15"/>
        <v>302.10819766520217</v>
      </c>
      <c r="AQ30" s="2">
        <f t="shared" si="16"/>
        <v>92.631968530961771</v>
      </c>
      <c r="AR30" s="2">
        <f t="shared" si="17"/>
        <v>91.086268606556416</v>
      </c>
      <c r="AS30" s="2">
        <f t="shared" si="18"/>
        <v>90.809569282014081</v>
      </c>
      <c r="AX30" s="2">
        <f t="shared" si="28"/>
        <v>1000000000000</v>
      </c>
      <c r="AY30" s="37">
        <f t="shared" si="19"/>
        <v>10220.861605550637</v>
      </c>
      <c r="AZ30" s="37">
        <f t="shared" si="20"/>
        <v>8001.5776367701637</v>
      </c>
      <c r="BA30" s="37">
        <f t="shared" si="21"/>
        <v>5057.7654618780325</v>
      </c>
      <c r="BB30" s="37">
        <f t="shared" si="22"/>
        <v>1249.4466557746339</v>
      </c>
      <c r="BC30" s="37">
        <f t="shared" si="23"/>
        <v>463.3494184422018</v>
      </c>
      <c r="BD30" s="37">
        <f t="shared" si="24"/>
        <v>429.45390200097501</v>
      </c>
      <c r="BE30" s="37">
        <f t="shared" si="25"/>
        <v>423.58243659721273</v>
      </c>
    </row>
    <row r="31" spans="1:57" x14ac:dyDescent="0.25">
      <c r="A31" s="2">
        <f>'creep_res-40'!A31</f>
        <v>10000000000000</v>
      </c>
      <c r="B31" s="3">
        <f>'creep_res-40'!O31</f>
        <v>-1.5254830857142857E-3</v>
      </c>
      <c r="C31" s="2">
        <f>IF('Modell einstellen'!$B$2="Ja",creep_res0!O31,creep_res0!C31)</f>
        <v>-2.0377010285714285E-3</v>
      </c>
      <c r="D31" s="2">
        <f>IF('Modell einstellen'!$B$2="Ja",creep_res25!O31,creep_res25!C31)</f>
        <v>-4.1149062285714289E-3</v>
      </c>
      <c r="E31" s="2">
        <f>IF('Modell einstellen'!$B$2="Ja",creep_res50!O31,creep_res50!C31)</f>
        <v>-2.1379386285714286E-2</v>
      </c>
      <c r="F31" s="2">
        <f>IF('Modell einstellen'!$B$2="Ja",creep_res80!O31,creep_res80!C31)</f>
        <v>-3.9121936000000003E-2</v>
      </c>
      <c r="G31" s="2">
        <f>IF('Modell einstellen'!$B$2="Ja",creep_res125!O31,creep_res125!C31)</f>
        <v>-3.9291900571428576E-2</v>
      </c>
      <c r="H31" s="2">
        <f>IF('Modell einstellen'!$B$2="Ja",creep_res160!O31,creep_res160!C31)</f>
        <v>-3.9338258857142858E-2</v>
      </c>
      <c r="M31" s="9">
        <f t="shared" si="26"/>
        <v>-10</v>
      </c>
      <c r="N31" s="2">
        <f t="shared" si="4"/>
        <v>10000000000000</v>
      </c>
      <c r="O31" s="2">
        <f t="shared" si="5"/>
        <v>6555.3004773682187</v>
      </c>
      <c r="P31" s="2">
        <f t="shared" si="6"/>
        <v>4907.4912657872592</v>
      </c>
      <c r="Q31" s="2">
        <f t="shared" si="7"/>
        <v>2430.1890357952816</v>
      </c>
      <c r="R31" s="2">
        <f t="shared" si="27"/>
        <v>467.74027403592981</v>
      </c>
      <c r="S31" s="2">
        <f t="shared" si="8"/>
        <v>255.61107200829733</v>
      </c>
      <c r="T31" s="2">
        <f t="shared" si="9"/>
        <v>254.50537781497852</v>
      </c>
      <c r="U31" s="2">
        <f t="shared" si="10"/>
        <v>254.20545521130117</v>
      </c>
      <c r="Z31" s="2">
        <v>10000000000000</v>
      </c>
      <c r="AA31" s="3">
        <f>IF('Modell einstellen'!$B$2="Ja",'creep_res-40'!P31,'creep_res-40'!L31)</f>
        <v>0.37664235561688492</v>
      </c>
      <c r="AB31" s="2">
        <f>IF('Modell einstellen'!$B$2="Ja",creep_res0!P31,creep_res0!L31)</f>
        <v>0.37395481653161627</v>
      </c>
      <c r="AC31" s="2">
        <f>IF('Modell einstellen'!$B$2="Ja",creep_res25!P31,creep_res25!L31)</f>
        <v>0.37671337874194777</v>
      </c>
      <c r="AD31" s="2">
        <f>IF('Modell einstellen'!$B$2="Ja",creep_res50!P31,creep_res50!L31)</f>
        <v>0.39244820230841321</v>
      </c>
      <c r="AE31" s="2">
        <f>IF('Modell einstellen'!$B$2="Ja",creep_res80!P31,creep_res80!L31)</f>
        <v>0.40089600882737497</v>
      </c>
      <c r="AF31" s="2">
        <f>IF('Modell einstellen'!$B$2="Ja",creep_res125!P31,creep_res125!L31)</f>
        <v>0.40012483270634358</v>
      </c>
      <c r="AG31" s="2">
        <f>IF('Modell einstellen'!$B$2="Ja",creep_res160!P31,creep_res160!L31)</f>
        <v>0.39989554044174197</v>
      </c>
      <c r="AL31" s="2">
        <f t="shared" si="11"/>
        <v>10000000000000</v>
      </c>
      <c r="AM31" s="2">
        <f t="shared" si="12"/>
        <v>2380.901782740345</v>
      </c>
      <c r="AN31" s="2">
        <f t="shared" si="13"/>
        <v>1785.8998006119411</v>
      </c>
      <c r="AO31" s="2">
        <f t="shared" si="14"/>
        <v>882.60529508909428</v>
      </c>
      <c r="AP31" s="2">
        <f t="shared" si="15"/>
        <v>167.95607666429018</v>
      </c>
      <c r="AQ31" s="2">
        <f t="shared" si="16"/>
        <v>91.23127997996707</v>
      </c>
      <c r="AR31" s="2">
        <f t="shared" si="17"/>
        <v>90.886673770022838</v>
      </c>
      <c r="AS31" s="2">
        <f t="shared" si="18"/>
        <v>90.794437108888047</v>
      </c>
      <c r="AX31" s="2">
        <f t="shared" si="28"/>
        <v>10000000000000</v>
      </c>
      <c r="AY31" s="37">
        <f t="shared" si="19"/>
        <v>8856.7683423672406</v>
      </c>
      <c r="AZ31" s="37">
        <f t="shared" si="20"/>
        <v>6489.0635917849504</v>
      </c>
      <c r="BA31" s="37">
        <f t="shared" si="21"/>
        <v>3285.2835273837663</v>
      </c>
      <c r="BB31" s="37">
        <f t="shared" si="22"/>
        <v>724.82946833551421</v>
      </c>
      <c r="BC31" s="37">
        <f t="shared" si="23"/>
        <v>429.87012763703814</v>
      </c>
      <c r="BD31" s="37">
        <f t="shared" si="24"/>
        <v>424.70580143756354</v>
      </c>
      <c r="BE31" s="37">
        <f t="shared" si="25"/>
        <v>423.23365068359851</v>
      </c>
    </row>
    <row r="32" spans="1:57" x14ac:dyDescent="0.25">
      <c r="A32" s="2">
        <f>'creep_res-40'!A32</f>
        <v>100000000000000</v>
      </c>
      <c r="B32" s="3">
        <f>'creep_res-40'!O32</f>
        <v>-1.8067370285714287E-3</v>
      </c>
      <c r="C32" s="2">
        <f>IF('Modell einstellen'!$B$2="Ja",creep_res0!O32,creep_res0!C32)</f>
        <v>-2.7212866285714287E-3</v>
      </c>
      <c r="D32" s="2">
        <f>IF('Modell einstellen'!$B$2="Ja",creep_res25!O32,creep_res25!C32)</f>
        <v>-7.0580468571428577E-3</v>
      </c>
      <c r="E32" s="2">
        <f>IF('Modell einstellen'!$B$2="Ja",creep_res50!O32,creep_res50!C32)</f>
        <v>-3.0989681714285715E-2</v>
      </c>
      <c r="F32" s="2">
        <f>IF('Modell einstellen'!$B$2="Ja",creep_res80!O32,creep_res80!C32)</f>
        <v>-3.9133293142857142E-2</v>
      </c>
      <c r="G32" s="2">
        <f>IF('Modell einstellen'!$B$2="Ja",creep_res125!O32,creep_res125!C32)</f>
        <v>-3.9614430857142863E-2</v>
      </c>
      <c r="H32" s="2">
        <f>IF('Modell einstellen'!$B$2="Ja",creep_res160!O32,creep_res160!C32)</f>
        <v>-3.9678557142857146E-2</v>
      </c>
      <c r="M32" s="9">
        <f t="shared" si="26"/>
        <v>-10</v>
      </c>
      <c r="N32" s="2">
        <f t="shared" si="4"/>
        <v>100000000000000</v>
      </c>
      <c r="O32" s="2">
        <f t="shared" si="5"/>
        <v>5534.8397923226894</v>
      </c>
      <c r="P32" s="2">
        <f t="shared" si="6"/>
        <v>3674.7323471947598</v>
      </c>
      <c r="Q32" s="2">
        <f t="shared" si="7"/>
        <v>1416.8225576286502</v>
      </c>
      <c r="R32" s="2">
        <f t="shared" si="27"/>
        <v>322.68805120996677</v>
      </c>
      <c r="S32" s="2">
        <f t="shared" si="8"/>
        <v>255.53688935645488</v>
      </c>
      <c r="T32" s="2">
        <f t="shared" si="9"/>
        <v>252.43326191058742</v>
      </c>
      <c r="U32" s="2">
        <f t="shared" si="10"/>
        <v>252.02529325843139</v>
      </c>
      <c r="Z32" s="2">
        <v>100000000000000</v>
      </c>
      <c r="AA32" s="3">
        <f>IF('Modell einstellen'!$B$2="Ja",'creep_res-40'!P32,'creep_res-40'!L32)</f>
        <v>0.37516292196274398</v>
      </c>
      <c r="AB32" s="2">
        <f>IF('Modell einstellen'!$B$2="Ja",creep_res0!P32,creep_res0!L32)</f>
        <v>0.3735185684015519</v>
      </c>
      <c r="AC32" s="2">
        <f>IF('Modell einstellen'!$B$2="Ja",creep_res25!P32,creep_res25!L32)</f>
        <v>0.37829150144491613</v>
      </c>
      <c r="AD32" s="2">
        <f>IF('Modell einstellen'!$B$2="Ja",creep_res50!P32,creep_res50!L32)</f>
        <v>0.39624241381135833</v>
      </c>
      <c r="AE32" s="2">
        <f>IF('Modell einstellen'!$B$2="Ja",creep_res80!P32,creep_res80!L32)</f>
        <v>0.40081755450233147</v>
      </c>
      <c r="AF32" s="2">
        <f>IF('Modell einstellen'!$B$2="Ja",creep_res125!P32,creep_res125!L32)</f>
        <v>0.39789798678559474</v>
      </c>
      <c r="AG32" s="2">
        <f>IF('Modell einstellen'!$B$2="Ja",creep_res160!P32,creep_res160!L32)</f>
        <v>0.39769419898981057</v>
      </c>
      <c r="AL32" s="2">
        <f t="shared" si="11"/>
        <v>100000000000000</v>
      </c>
      <c r="AM32" s="2">
        <f t="shared" si="12"/>
        <v>2012.430565108212</v>
      </c>
      <c r="AN32" s="2">
        <f t="shared" si="13"/>
        <v>1337.7075606161161</v>
      </c>
      <c r="AO32" s="2">
        <f t="shared" si="14"/>
        <v>513.97783275284667</v>
      </c>
      <c r="AP32" s="2">
        <f t="shared" si="15"/>
        <v>115.55588342611547</v>
      </c>
      <c r="AQ32" s="2">
        <f t="shared" si="16"/>
        <v>91.209911146223277</v>
      </c>
      <c r="AR32" s="2">
        <f t="shared" si="17"/>
        <v>90.290301687552557</v>
      </c>
      <c r="AS32" s="2">
        <f t="shared" si="18"/>
        <v>90.157522811707935</v>
      </c>
      <c r="AX32" s="2">
        <f t="shared" si="28"/>
        <v>100000000000000</v>
      </c>
      <c r="AY32" s="37">
        <f t="shared" si="19"/>
        <v>7389.4175770851343</v>
      </c>
      <c r="AZ32" s="37">
        <f t="shared" si="20"/>
        <v>4842.2553687053723</v>
      </c>
      <c r="BA32" s="37">
        <f t="shared" si="21"/>
        <v>1940.1857367522732</v>
      </c>
      <c r="BB32" s="37">
        <f t="shared" si="22"/>
        <v>518.33647874718224</v>
      </c>
      <c r="BC32" s="37">
        <f t="shared" si="23"/>
        <v>429.40543909466612</v>
      </c>
      <c r="BD32" s="37">
        <f t="shared" si="24"/>
        <v>412.06053626076198</v>
      </c>
      <c r="BE32" s="37">
        <f t="shared" si="25"/>
        <v>410.57511038781047</v>
      </c>
    </row>
    <row r="33" spans="1:60" x14ac:dyDescent="0.25">
      <c r="A33" s="2">
        <f>'creep_res-40'!A33</f>
        <v>1000000000000000</v>
      </c>
      <c r="B33" s="3">
        <f>'creep_res-40'!O33</f>
        <v>-2.2795963428571429E-3</v>
      </c>
      <c r="C33" s="2">
        <f>IF('Modell einstellen'!$B$2="Ja",creep_res0!O33,creep_res0!C33)</f>
        <v>-4.2085354857142859E-3</v>
      </c>
      <c r="D33" s="2">
        <f>IF('Modell einstellen'!$B$2="Ja",creep_res25!O33,creep_res25!C33)</f>
        <v>-1.2567767428571429E-2</v>
      </c>
      <c r="E33" s="2">
        <f>IF('Modell einstellen'!$B$2="Ja",creep_res50!O33,creep_res50!C33)</f>
        <v>-3.5601946857142859E-2</v>
      </c>
      <c r="F33" s="2">
        <f>IF('Modell einstellen'!$B$2="Ja",creep_res80!O33,creep_res80!C33)</f>
        <v>-3.961332E-2</v>
      </c>
      <c r="G33" s="2">
        <f>IF('Modell einstellen'!$B$2="Ja",creep_res125!O33,creep_res125!C33)</f>
        <v>-3.9740222857142862E-2</v>
      </c>
      <c r="H33" s="2">
        <f>IF('Modell einstellen'!$B$2="Ja",creep_res160!O33,creep_res160!C33)</f>
        <v>-3.9819933714285716E-2</v>
      </c>
      <c r="M33" s="9">
        <f>M31</f>
        <v>-10</v>
      </c>
      <c r="N33" s="2">
        <f t="shared" si="4"/>
        <v>1000000000000000</v>
      </c>
      <c r="O33" s="2">
        <f t="shared" si="5"/>
        <v>4386.7415524392591</v>
      </c>
      <c r="P33" s="2">
        <f t="shared" si="6"/>
        <v>2376.123483797302</v>
      </c>
      <c r="Q33" s="2">
        <f t="shared" si="7"/>
        <v>795.68627099719447</v>
      </c>
      <c r="R33" s="2">
        <f t="shared" si="27"/>
        <v>280.88351572812059</v>
      </c>
      <c r="S33" s="2">
        <f t="shared" si="8"/>
        <v>252.44034077426483</v>
      </c>
      <c r="T33" s="2">
        <f t="shared" si="9"/>
        <v>251.63422047097583</v>
      </c>
      <c r="U33" s="2">
        <f t="shared" si="10"/>
        <v>251.13050342453033</v>
      </c>
      <c r="Z33" s="2">
        <v>1000000000000000</v>
      </c>
      <c r="AA33" s="3">
        <f>IF('Modell einstellen'!$B$2="Ja",'creep_res-40'!P33,'creep_res-40'!L33)</f>
        <v>0.37421321910224914</v>
      </c>
      <c r="AB33" s="2">
        <f>IF('Modell einstellen'!$B$2="Ja",creep_res0!P33,creep_res0!L33)</f>
        <v>0.3742432369178007</v>
      </c>
      <c r="AC33" s="2">
        <f>IF('Modell einstellen'!$B$2="Ja",creep_res25!P33,creep_res25!L33)</f>
        <v>0.38163167791638225</v>
      </c>
      <c r="AD33" s="2">
        <f>IF('Modell einstellen'!$B$2="Ja",creep_res50!P33,creep_res50!L33)</f>
        <v>0.3969918210090822</v>
      </c>
      <c r="AE33" s="2">
        <f>IF('Modell einstellen'!$B$2="Ja",creep_res80!P33,creep_res80!L33)</f>
        <v>0.39776288812522081</v>
      </c>
      <c r="AF33" s="2">
        <f>IF('Modell einstellen'!$B$2="Ja",creep_res125!P33,creep_res125!L33)</f>
        <v>0.39709348096257707</v>
      </c>
      <c r="AG33" s="2">
        <f>IF('Modell einstellen'!$B$2="Ja",creep_res160!P33,creep_res160!L33)</f>
        <v>0.39651267841674243</v>
      </c>
      <c r="AL33" s="2">
        <f t="shared" si="11"/>
        <v>1000000000000000</v>
      </c>
      <c r="AM33" s="2">
        <f t="shared" si="12"/>
        <v>1596.0920370512245</v>
      </c>
      <c r="AN33" s="2">
        <f t="shared" si="13"/>
        <v>864.52071218722244</v>
      </c>
      <c r="AO33" s="2">
        <f t="shared" si="14"/>
        <v>287.95166024173568</v>
      </c>
      <c r="AP33" s="2">
        <f t="shared" si="15"/>
        <v>100.53155340781859</v>
      </c>
      <c r="AQ33" s="2">
        <f t="shared" si="16"/>
        <v>90.301560772176387</v>
      </c>
      <c r="AR33" s="2">
        <f t="shared" si="17"/>
        <v>90.056329050223439</v>
      </c>
      <c r="AS33" s="2">
        <f t="shared" si="18"/>
        <v>89.913434838716469</v>
      </c>
      <c r="AX33" s="2">
        <f>AL33</f>
        <v>1000000000000000</v>
      </c>
      <c r="AY33" s="37">
        <f t="shared" si="19"/>
        <v>5812.4040289060513</v>
      </c>
      <c r="AZ33" s="37">
        <f t="shared" si="20"/>
        <v>3149.0996661072604</v>
      </c>
      <c r="BA33" s="37">
        <f t="shared" si="21"/>
        <v>1120.3536230398786</v>
      </c>
      <c r="BB33" s="37">
        <f t="shared" si="22"/>
        <v>454.46798250989048</v>
      </c>
      <c r="BC33" s="37">
        <f t="shared" si="23"/>
        <v>411.52756917249343</v>
      </c>
      <c r="BD33" s="37">
        <f t="shared" si="24"/>
        <v>407.54499459758341</v>
      </c>
      <c r="BE33" s="37">
        <f t="shared" si="25"/>
        <v>404.44648932589445</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C72" sqref="C72"/>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160</v>
      </c>
      <c r="D2" s="11">
        <f>1</f>
        <v>1</v>
      </c>
      <c r="E2" s="11">
        <f>D2+1</f>
        <v>2</v>
      </c>
      <c r="F2" s="11">
        <f t="shared" ref="F2:J2" si="0">E2+1</f>
        <v>3</v>
      </c>
      <c r="G2" s="11">
        <f t="shared" si="0"/>
        <v>4</v>
      </c>
      <c r="H2" s="11">
        <f t="shared" si="0"/>
        <v>5</v>
      </c>
      <c r="I2" s="11">
        <f t="shared" si="0"/>
        <v>6</v>
      </c>
      <c r="J2" s="11">
        <f t="shared" si="0"/>
        <v>7</v>
      </c>
    </row>
    <row r="3" spans="1:36" x14ac:dyDescent="0.25">
      <c r="A3" s="11" t="s">
        <v>110</v>
      </c>
      <c r="B3" s="35">
        <v>7</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6</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6163.9172848230364</v>
      </c>
      <c r="G16" s="26">
        <f>INDEX(Comparison!$AM$3:$AS$33,G14,$B$3)</f>
        <v>5842.0148400129501</v>
      </c>
      <c r="H16" s="26">
        <f>INDEX(Comparison!$AM$3:$AS$33,H14,$B$3)</f>
        <v>5557.579467209528</v>
      </c>
      <c r="I16" s="26">
        <f>INDEX(Comparison!$AM$3:$AS$33,I14,$B$3)</f>
        <v>5275.4812921063285</v>
      </c>
      <c r="J16" s="26">
        <f>INDEX(Comparison!$AM$3:$AS$33,J14,$B$3)</f>
        <v>4966.4021193857116</v>
      </c>
      <c r="K16" s="26">
        <f>INDEX(Comparison!$AM$3:$AS$33,K14,$B$3)</f>
        <v>4621.0156652325422</v>
      </c>
      <c r="L16" s="26">
        <f>INDEX(Comparison!$AM$3:$AS$33,L14,$B$3)</f>
        <v>4155.4773315838347</v>
      </c>
      <c r="M16" s="26">
        <f>INDEX(Comparison!$AM$3:$AS$33,M14,$B$3)</f>
        <v>3566.7724920591822</v>
      </c>
      <c r="N16" s="26">
        <f>INDEX(Comparison!$AM$3:$AS$33,N14,$B$3)</f>
        <v>2850.9447868112361</v>
      </c>
      <c r="O16" s="26">
        <f>INDEX(Comparison!$AM$3:$AS$33,O14,$B$3)</f>
        <v>2002.5618143914935</v>
      </c>
      <c r="P16" s="26">
        <f>INDEX(Comparison!$AM$3:$AS$33,P14,$B$3)</f>
        <v>1246.5264827258</v>
      </c>
      <c r="Q16" s="26">
        <f>INDEX(Comparison!$AM$3:$AS$33,Q14,$B$3)</f>
        <v>721.62368462950201</v>
      </c>
      <c r="R16" s="26">
        <f>INDEX(Comparison!$AM$3:$AS$33,R14,$B$3)</f>
        <v>404.72633399765499</v>
      </c>
      <c r="S16" s="26">
        <f>INDEX(Comparison!$AM$3:$AS$33,S14,$B$3)</f>
        <v>265.07180083177406</v>
      </c>
      <c r="T16" s="26">
        <f>INDEX(Comparison!$AM$3:$AS$33,T14,$B$3)</f>
        <v>224.4007416662501</v>
      </c>
      <c r="U16" s="26">
        <f>INDEX(Comparison!$AM$3:$AS$33,U14,$B$3)</f>
        <v>202.49198438372559</v>
      </c>
      <c r="V16" s="26">
        <f>INDEX(Comparison!$AM$3:$AS$33,V14,$B$3)</f>
        <v>189.83771999127222</v>
      </c>
      <c r="W16" s="26">
        <f>INDEX(Comparison!$AM$3:$AS$33,W14,$B$3)</f>
        <v>169.86288435020435</v>
      </c>
      <c r="X16" s="26">
        <f>INDEX(Comparison!$AM$3:$AS$33,X14,$B$3)</f>
        <v>142.29365996368665</v>
      </c>
      <c r="Y16" s="26">
        <f>INDEX(Comparison!$AM$3:$AS$33,Y14,$B$3)</f>
        <v>121.71619952615258</v>
      </c>
      <c r="Z16" s="26">
        <f>INDEX(Comparison!$AM$3:$AS$33,Z14,$B$3)</f>
        <v>109.27679567564616</v>
      </c>
      <c r="AA16" s="26">
        <f>INDEX(Comparison!$AM$3:$AS$33,AA14,$B$3)</f>
        <v>101.92394551670053</v>
      </c>
      <c r="AB16" s="26">
        <f>INDEX(Comparison!$AM$3:$AS$33,AB14,$B$3)</f>
        <v>97.501289329192588</v>
      </c>
      <c r="AC16" s="26">
        <f>INDEX(Comparison!$AM$3:$AS$33,AC14,$B$3)</f>
        <v>94.712895608864457</v>
      </c>
      <c r="AD16" s="26">
        <f>INDEX(Comparison!$AM$3:$AS$33,AD14,$B$3)</f>
        <v>92.92945942455529</v>
      </c>
      <c r="AE16" s="26">
        <f>INDEX(Comparison!$AM$3:$AS$33,AE14,$B$3)</f>
        <v>92.006187989209394</v>
      </c>
      <c r="AF16" s="26">
        <f>INDEX(Comparison!$AM$3:$AS$33,AF14,$B$3)</f>
        <v>91.763267256404887</v>
      </c>
      <c r="AG16" s="26">
        <f>INDEX(Comparison!$AM$3:$AS$33,AG14,$B$3)</f>
        <v>90.809569282014081</v>
      </c>
      <c r="AH16" s="26">
        <f>INDEX(Comparison!$AM$3:$AS$33,AH14,$B$3)</f>
        <v>90.794437108888047</v>
      </c>
      <c r="AI16" s="26">
        <f>INDEX(Comparison!$AM$3:$AS$33,AI14,$B$3)</f>
        <v>90.157522811707935</v>
      </c>
      <c r="AJ16" s="26">
        <f>INDEX(Comparison!$AM$3:$AS$33,AJ14,$B$3)</f>
        <v>89.913434838716469</v>
      </c>
    </row>
    <row r="17" spans="1:36" x14ac:dyDescent="0.25">
      <c r="A17" s="14" t="s">
        <v>20</v>
      </c>
      <c r="B17" s="105">
        <v>4.9068281422726574E-3</v>
      </c>
      <c r="C17" s="18">
        <f t="shared" ref="C17:C48" si="3">ABS(B17/$B$49)</f>
        <v>1.1552459170330999E-2</v>
      </c>
      <c r="D17" s="66"/>
      <c r="E17" s="65" t="s">
        <v>22</v>
      </c>
      <c r="F17" s="27">
        <f>($C$17+SUM(F18:F48))*$B$51</f>
        <v>6074.2870333441651</v>
      </c>
      <c r="G17" s="27">
        <f t="shared" ref="G17:M17" si="4">($C$17+SUM(G18:G48))*$B$51</f>
        <v>5957.9484724674712</v>
      </c>
      <c r="H17" s="27">
        <f t="shared" si="4"/>
        <v>5526.8862864407483</v>
      </c>
      <c r="I17" s="27">
        <f t="shared" si="4"/>
        <v>5280.495722205379</v>
      </c>
      <c r="J17" s="27">
        <f t="shared" si="4"/>
        <v>4965.6957137065692</v>
      </c>
      <c r="K17" s="27">
        <f t="shared" si="4"/>
        <v>4621.1089039414765</v>
      </c>
      <c r="L17" s="27">
        <f t="shared" si="4"/>
        <v>4155.464659499411</v>
      </c>
      <c r="M17" s="27">
        <f t="shared" si="4"/>
        <v>3566.777736182109</v>
      </c>
      <c r="N17" s="27">
        <f t="shared" ref="N17" si="5">($C$17+SUM(N18:N48))*$B$51</f>
        <v>2850.9386919405069</v>
      </c>
      <c r="O17" s="27">
        <f t="shared" ref="O17" si="6">($C$17+SUM(O18:O48))*$B$51</f>
        <v>2002.5693119123268</v>
      </c>
      <c r="P17" s="27">
        <f t="shared" ref="P17" si="7">($C$17+SUM(P18:P48))*$B$51</f>
        <v>1246.5166398215954</v>
      </c>
      <c r="Q17" s="27">
        <f t="shared" ref="Q17" si="8">($C$17+SUM(Q18:Q48))*$B$51</f>
        <v>721.6324452637657</v>
      </c>
      <c r="R17" s="27">
        <f t="shared" ref="R17" si="9">($C$17+SUM(R18:R48))*$B$51</f>
        <v>404.71526706378677</v>
      </c>
      <c r="S17" s="27">
        <f t="shared" ref="S17:T17" si="10">($C$17+SUM(S18:S48))*$B$51</f>
        <v>265.07933881383821</v>
      </c>
      <c r="T17" s="27">
        <f t="shared" si="10"/>
        <v>224.39914253652398</v>
      </c>
      <c r="U17" s="27">
        <f t="shared" ref="U17" si="11">($C$17+SUM(U18:U48))*$B$51</f>
        <v>202.49199615816093</v>
      </c>
      <c r="V17" s="27">
        <f t="shared" ref="V17" si="12">($C$17+SUM(V18:V48))*$B$51</f>
        <v>189.84062712898782</v>
      </c>
      <c r="W17" s="27">
        <f t="shared" ref="W17" si="13">($C$17+SUM(W18:W48))*$B$51</f>
        <v>169.85571831394682</v>
      </c>
      <c r="X17" s="27">
        <f t="shared" ref="X17" si="14">($C$17+SUM(X18:X48))*$B$51</f>
        <v>142.30103772013257</v>
      </c>
      <c r="Y17" s="27">
        <f t="shared" ref="Y17" si="15">($C$17+SUM(Y18:Y48))*$B$51</f>
        <v>121.7113598748134</v>
      </c>
      <c r="Z17" s="27">
        <f t="shared" ref="Z17:AA17" si="16">($C$17+SUM(Z18:Z48))*$B$51</f>
        <v>109.27830213020289</v>
      </c>
      <c r="AA17" s="27">
        <f t="shared" si="16"/>
        <v>101.92266903167608</v>
      </c>
      <c r="AB17" s="27">
        <f t="shared" ref="AB17" si="17">($C$17+SUM(AB18:AB48))*$B$51</f>
        <v>97.500531653015301</v>
      </c>
      <c r="AC17" s="27">
        <f t="shared" ref="AC17" si="18">($C$17+SUM(AC18:AC48))*$B$51</f>
        <v>94.72027267218516</v>
      </c>
      <c r="AD17" s="27">
        <f t="shared" ref="AD17" si="19">($C$17+SUM(AD18:AD48))*$B$51</f>
        <v>92.913725801555998</v>
      </c>
      <c r="AE17" s="27">
        <f t="shared" ref="AE17" si="20">($C$17+SUM(AE18:AE48))*$B$51</f>
        <v>92.041523491636113</v>
      </c>
      <c r="AF17" s="27">
        <f t="shared" ref="AF17" si="21">($C$17+SUM(AF18:AF48))*$B$51</f>
        <v>91.697397967903811</v>
      </c>
      <c r="AG17" s="27">
        <f t="shared" ref="AG17:AH17" si="22">($C$17+SUM(AG18:AG48))*$B$51</f>
        <v>90.903738602267254</v>
      </c>
      <c r="AH17" s="27">
        <f t="shared" si="22"/>
        <v>90.470021952546219</v>
      </c>
      <c r="AI17" s="27">
        <f t="shared" ref="AI17" si="23">($C$17+SUM(AI18:AI48))*$B$51</f>
        <v>90.418190612083663</v>
      </c>
      <c r="AJ17" s="27">
        <f t="shared" ref="AJ17" si="24">($C$17+SUM(AJ18:AJ48))*$B$51</f>
        <v>89.925247730966291</v>
      </c>
    </row>
    <row r="18" spans="1:36" x14ac:dyDescent="0.25">
      <c r="A18" s="3">
        <f>0.000000000000001/10^15</f>
        <v>1.0000000000000001E-30</v>
      </c>
      <c r="B18" s="106">
        <v>7.1965008000704406E-2</v>
      </c>
      <c r="C18" s="18">
        <f t="shared" si="3"/>
        <v>0.16943181878703842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3.2190565848131097E-2</v>
      </c>
      <c r="C19" s="18">
        <f t="shared" si="3"/>
        <v>7.5788306997470078E-2</v>
      </c>
      <c r="D19" s="17"/>
      <c r="F19" s="3">
        <f t="shared" si="25"/>
        <v>7.3871609100432639E-2</v>
      </c>
      <c r="G19" s="3">
        <f t="shared" si="25"/>
        <v>5.8661847974291817E-2</v>
      </c>
      <c r="H19" s="3">
        <f t="shared" si="25"/>
        <v>5.8497532825550575E-3</v>
      </c>
      <c r="I19" s="3">
        <f t="shared" si="25"/>
        <v>5.6879483887210655E-13</v>
      </c>
      <c r="J19" s="3">
        <f t="shared" si="25"/>
        <v>4.2967157074268913E-113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1.1649068215717718E-2</v>
      </c>
      <c r="C20" s="18">
        <f t="shared" si="3"/>
        <v>2.742614598116927E-2</v>
      </c>
      <c r="D20" s="17"/>
      <c r="F20" s="3">
        <f t="shared" si="25"/>
        <v>2.7362844829181991E-2</v>
      </c>
      <c r="G20" s="3">
        <f t="shared" si="25"/>
        <v>2.6799668783198786E-2</v>
      </c>
      <c r="H20" s="3">
        <f t="shared" si="25"/>
        <v>2.1767633493769728E-2</v>
      </c>
      <c r="I20" s="3">
        <f t="shared" si="25"/>
        <v>2.7203771328692589E-3</v>
      </c>
      <c r="J20" s="3">
        <f t="shared" si="25"/>
        <v>2.5281806671849751E-12</v>
      </c>
      <c r="K20" s="3">
        <f t="shared" si="25"/>
        <v>1.2150608005194659E-102</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1.9879167869521104E-2</v>
      </c>
      <c r="C21" s="18">
        <f t="shared" si="3"/>
        <v>4.6802795715284964E-2</v>
      </c>
      <c r="D21" s="17"/>
      <c r="F21" s="3">
        <f t="shared" si="25"/>
        <v>4.6793040842151509E-2</v>
      </c>
      <c r="G21" s="3">
        <f t="shared" si="25"/>
        <v>4.6705338425296193E-2</v>
      </c>
      <c r="H21" s="3">
        <f t="shared" si="25"/>
        <v>4.5837304364332351E-2</v>
      </c>
      <c r="I21" s="3">
        <f t="shared" si="25"/>
        <v>3.7996581904855616E-2</v>
      </c>
      <c r="J21" s="3">
        <f t="shared" si="25"/>
        <v>5.8210206179337828E-3</v>
      </c>
      <c r="K21" s="3">
        <f t="shared" si="25"/>
        <v>4.1451973494172663E-11</v>
      </c>
      <c r="L21" s="3">
        <f t="shared" si="25"/>
        <v>1.3899716872803977E-92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1.9171442562165436E-2</v>
      </c>
      <c r="C22" s="18">
        <f t="shared" si="3"/>
        <v>4.5136552781973364E-2</v>
      </c>
      <c r="D22" s="17"/>
      <c r="F22" s="3">
        <f t="shared" si="25"/>
        <v>4.5135704058941496E-2</v>
      </c>
      <c r="G22" s="3">
        <f t="shared" si="25"/>
        <v>4.5128066269770194E-2</v>
      </c>
      <c r="H22" s="3">
        <f t="shared" si="25"/>
        <v>4.5051759426955433E-2</v>
      </c>
      <c r="I22" s="3">
        <f t="shared" si="25"/>
        <v>4.4295751601260425E-2</v>
      </c>
      <c r="J22" s="3">
        <f t="shared" si="25"/>
        <v>3.7399454064143932E-2</v>
      </c>
      <c r="K22" s="3">
        <f t="shared" si="25"/>
        <v>6.8848920982136387E-3</v>
      </c>
      <c r="L22" s="3">
        <f t="shared" si="25"/>
        <v>3.0776263691339163E-10</v>
      </c>
      <c r="M22" s="3">
        <f t="shared" si="25"/>
        <v>9.8040034447266798E-84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2.8577318104315321E-2</v>
      </c>
      <c r="C23" s="18">
        <f t="shared" si="3"/>
        <v>6.7281406852932088E-2</v>
      </c>
      <c r="D23" s="17"/>
      <c r="F23" s="3">
        <f t="shared" si="25"/>
        <v>6.7281292727359374E-2</v>
      </c>
      <c r="G23" s="3">
        <f t="shared" si="25"/>
        <v>6.7280265605916253E-2</v>
      </c>
      <c r="H23" s="3">
        <f t="shared" si="25"/>
        <v>6.7269995253851897E-2</v>
      </c>
      <c r="I23" s="3">
        <f t="shared" si="25"/>
        <v>6.7167377921204557E-2</v>
      </c>
      <c r="J23" s="3">
        <f t="shared" si="25"/>
        <v>6.6149774909306569E-2</v>
      </c>
      <c r="K23" s="3">
        <f t="shared" si="25"/>
        <v>5.6784281056171899E-2</v>
      </c>
      <c r="L23" s="3">
        <f t="shared" si="25"/>
        <v>1.2337459496600462E-2</v>
      </c>
      <c r="M23" s="3">
        <f t="shared" si="25"/>
        <v>2.8920235378779659E-9</v>
      </c>
      <c r="N23" s="3">
        <f t="shared" si="25"/>
        <v>1.4486472868784808E-75</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3.6028290907915789E-2</v>
      </c>
      <c r="C24" s="18">
        <f t="shared" si="3"/>
        <v>8.4823708436980116E-2</v>
      </c>
      <c r="D24" s="17"/>
      <c r="F24" s="3">
        <f t="shared" si="25"/>
        <v>8.482369545765571E-2</v>
      </c>
      <c r="G24" s="3">
        <f t="shared" si="25"/>
        <v>8.4823578643825351E-2</v>
      </c>
      <c r="H24" s="3">
        <f t="shared" si="25"/>
        <v>8.4822410514369548E-2</v>
      </c>
      <c r="I24" s="3">
        <f t="shared" si="25"/>
        <v>8.4810730104540211E-2</v>
      </c>
      <c r="J24" s="3">
        <f t="shared" si="25"/>
        <v>8.4694014434051126E-2</v>
      </c>
      <c r="K24" s="3">
        <f t="shared" si="25"/>
        <v>8.3535655617494611E-2</v>
      </c>
      <c r="L24" s="3">
        <f t="shared" si="25"/>
        <v>7.2788631466365064E-2</v>
      </c>
      <c r="M24" s="3">
        <f t="shared" si="25"/>
        <v>1.8364547857838649E-2</v>
      </c>
      <c r="N24" s="3">
        <f t="shared" si="25"/>
        <v>1.9193187354429788E-8</v>
      </c>
      <c r="O24" s="3">
        <f t="shared" si="25"/>
        <v>2.9841161732183466E-68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4.4043677975712119E-2</v>
      </c>
      <c r="C25" s="18">
        <f t="shared" si="3"/>
        <v>0.10369484660409525</v>
      </c>
      <c r="D25" s="17"/>
      <c r="F25" s="3">
        <f t="shared" si="25"/>
        <v>0.10369484517276903</v>
      </c>
      <c r="G25" s="3">
        <f t="shared" si="25"/>
        <v>0.10369483229083395</v>
      </c>
      <c r="H25" s="3">
        <f t="shared" si="25"/>
        <v>0.10369470347157118</v>
      </c>
      <c r="I25" s="3">
        <f t="shared" si="25"/>
        <v>0.10369341528774512</v>
      </c>
      <c r="J25" s="3">
        <f t="shared" si="25"/>
        <v>0.10368053432961213</v>
      </c>
      <c r="K25" s="3">
        <f t="shared" si="25"/>
        <v>0.10355181272059535</v>
      </c>
      <c r="L25" s="3">
        <f t="shared" si="25"/>
        <v>0.10227335355944159</v>
      </c>
      <c r="M25" s="3">
        <f t="shared" si="25"/>
        <v>9.0325506653841967E-2</v>
      </c>
      <c r="N25" s="3">
        <f t="shared" si="25"/>
        <v>2.6078913961421223E-2</v>
      </c>
      <c r="O25" s="3">
        <f t="shared" si="25"/>
        <v>1.0497368767213392E-7</v>
      </c>
      <c r="P25" s="3">
        <f t="shared" si="25"/>
        <v>1.1721683177539018E-61</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5.6513409976053634E-2</v>
      </c>
      <c r="C26" s="18">
        <f t="shared" si="3"/>
        <v>0.13305313379533851</v>
      </c>
      <c r="D26" s="17"/>
      <c r="F26" s="3">
        <f t="shared" si="25"/>
        <v>0.13305313362966495</v>
      </c>
      <c r="G26" s="3">
        <f t="shared" si="25"/>
        <v>0.13305313213860309</v>
      </c>
      <c r="H26" s="3">
        <f t="shared" si="25"/>
        <v>0.13305311722798543</v>
      </c>
      <c r="I26" s="3">
        <f t="shared" si="25"/>
        <v>0.13305296812190051</v>
      </c>
      <c r="J26" s="3">
        <f t="shared" si="25"/>
        <v>0.13305147707024173</v>
      </c>
      <c r="K26" s="3">
        <f t="shared" si="25"/>
        <v>0.13303656747263981</v>
      </c>
      <c r="L26" s="3">
        <f t="shared" si="25"/>
        <v>0.13288756335712848</v>
      </c>
      <c r="M26" s="3">
        <f t="shared" si="25"/>
        <v>0.13140667027758171</v>
      </c>
      <c r="N26" s="3">
        <f t="shared" si="25"/>
        <v>0.11747572577970536</v>
      </c>
      <c r="O26" s="3">
        <f t="shared" si="25"/>
        <v>3.8304993848084883E-2</v>
      </c>
      <c r="P26" s="3">
        <f t="shared" si="25"/>
        <v>5.2038886825095001E-7</v>
      </c>
      <c r="Q26" s="3">
        <f t="shared" si="25"/>
        <v>1.1144331128193681E-55</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4.4038137420944673E-2</v>
      </c>
      <c r="C27" s="18">
        <f t="shared" si="3"/>
        <v>0.10368180212181953</v>
      </c>
      <c r="D27" s="17"/>
      <c r="F27" s="3">
        <f t="shared" si="25"/>
        <v>0.10368180211017353</v>
      </c>
      <c r="G27" s="3">
        <f t="shared" si="25"/>
        <v>0.10368180200535942</v>
      </c>
      <c r="H27" s="3">
        <f t="shared" si="25"/>
        <v>0.10368180095721849</v>
      </c>
      <c r="I27" s="3">
        <f t="shared" si="25"/>
        <v>0.10368179047580975</v>
      </c>
      <c r="J27" s="3">
        <f t="shared" si="25"/>
        <v>0.1036816856617805</v>
      </c>
      <c r="K27" s="3">
        <f t="shared" si="25"/>
        <v>0.10368063752731588</v>
      </c>
      <c r="L27" s="3">
        <f t="shared" si="25"/>
        <v>0.10367015676541849</v>
      </c>
      <c r="M27" s="3">
        <f t="shared" si="25"/>
        <v>0.10356540739954465</v>
      </c>
      <c r="N27" s="3">
        <f t="shared" si="25"/>
        <v>0.10252371732057601</v>
      </c>
      <c r="O27" s="3">
        <f t="shared" si="25"/>
        <v>9.2666041333035437E-2</v>
      </c>
      <c r="P27" s="3">
        <f t="shared" si="25"/>
        <v>3.3719666462141279E-2</v>
      </c>
      <c r="Q27" s="3">
        <f t="shared" si="25"/>
        <v>1.3724921427486546E-6</v>
      </c>
      <c r="R27" s="3">
        <f t="shared" si="25"/>
        <v>1.7130728578608771E-50</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2.7403117890818136E-2</v>
      </c>
      <c r="C28" s="18">
        <f t="shared" si="3"/>
        <v>6.4516912228113732E-2</v>
      </c>
      <c r="D28" s="17"/>
      <c r="F28" s="3">
        <f t="shared" si="25"/>
        <v>6.4516912227460005E-2</v>
      </c>
      <c r="G28" s="3">
        <f t="shared" si="25"/>
        <v>6.4516912221576489E-2</v>
      </c>
      <c r="H28" s="3">
        <f t="shared" si="25"/>
        <v>6.4516912162741274E-2</v>
      </c>
      <c r="I28" s="3">
        <f t="shared" si="25"/>
        <v>6.4516911574389171E-2</v>
      </c>
      <c r="J28" s="3">
        <f t="shared" si="25"/>
        <v>6.4516905690868445E-2</v>
      </c>
      <c r="K28" s="3">
        <f t="shared" si="25"/>
        <v>6.4516846855690632E-2</v>
      </c>
      <c r="L28" s="3">
        <f t="shared" si="25"/>
        <v>6.4516258506863502E-2</v>
      </c>
      <c r="M28" s="3">
        <f t="shared" si="25"/>
        <v>6.4510375313677468E-2</v>
      </c>
      <c r="N28" s="3">
        <f t="shared" si="25"/>
        <v>6.4451572880384944E-2</v>
      </c>
      <c r="O28" s="3">
        <f t="shared" si="25"/>
        <v>6.3866488475193425E-2</v>
      </c>
      <c r="P28" s="3">
        <f t="shared" si="25"/>
        <v>5.8299954763658228E-2</v>
      </c>
      <c r="Q28" s="3">
        <f t="shared" si="25"/>
        <v>2.3421786205781329E-2</v>
      </c>
      <c r="R28" s="3">
        <f t="shared" si="25"/>
        <v>2.5652988046047114E-6</v>
      </c>
      <c r="S28" s="3">
        <f t="shared" si="25"/>
        <v>6.3726111985180164E-46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1.5967004649656797E-2</v>
      </c>
      <c r="C29" s="18">
        <f t="shared" si="3"/>
        <v>3.7592139756949243E-2</v>
      </c>
      <c r="D29" s="17"/>
      <c r="F29" s="3">
        <f t="shared" si="25"/>
        <v>3.7592139756914882E-2</v>
      </c>
      <c r="G29" s="3">
        <f t="shared" si="25"/>
        <v>3.7592139756605636E-2</v>
      </c>
      <c r="H29" s="3">
        <f t="shared" si="25"/>
        <v>3.7592139753513151E-2</v>
      </c>
      <c r="I29" s="3">
        <f t="shared" si="25"/>
        <v>3.7592139722588319E-2</v>
      </c>
      <c r="J29" s="3">
        <f t="shared" si="25"/>
        <v>3.7592139413339977E-2</v>
      </c>
      <c r="K29" s="3">
        <f t="shared" si="25"/>
        <v>3.7592136320856742E-2</v>
      </c>
      <c r="L29" s="3">
        <f t="shared" si="25"/>
        <v>3.7592105396038376E-2</v>
      </c>
      <c r="M29" s="3">
        <f t="shared" si="25"/>
        <v>3.7591796149253863E-2</v>
      </c>
      <c r="N29" s="3">
        <f t="shared" si="25"/>
        <v>3.7588703821324239E-2</v>
      </c>
      <c r="O29" s="3">
        <f t="shared" si="25"/>
        <v>3.7557794529316284E-2</v>
      </c>
      <c r="P29" s="3">
        <f t="shared" si="25"/>
        <v>3.7250096090008955E-2</v>
      </c>
      <c r="Q29" s="3">
        <f t="shared" si="25"/>
        <v>3.4308407078741589E-2</v>
      </c>
      <c r="R29" s="3">
        <f t="shared" si="25"/>
        <v>1.5070654902043313E-2</v>
      </c>
      <c r="S29" s="3">
        <f t="shared" si="25"/>
        <v>4.0313251915451287E-6</v>
      </c>
      <c r="T29" s="3">
        <f t="shared" si="25"/>
        <v>7.5614468697400671E-42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3.2295908779208138E-3</v>
      </c>
      <c r="C30" s="18">
        <f t="shared" si="3"/>
        <v>7.6036322594280207E-3</v>
      </c>
      <c r="D30" s="17"/>
      <c r="F30" s="3">
        <f t="shared" si="25"/>
        <v>7.6036322594273936E-3</v>
      </c>
      <c r="G30" s="3">
        <f t="shared" si="25"/>
        <v>7.6036322594217514E-3</v>
      </c>
      <c r="H30" s="3">
        <f t="shared" si="25"/>
        <v>7.603632259365326E-3</v>
      </c>
      <c r="I30" s="3">
        <f t="shared" si="25"/>
        <v>7.6036322588010673E-3</v>
      </c>
      <c r="J30" s="3">
        <f t="shared" si="25"/>
        <v>7.6036322531584828E-3</v>
      </c>
      <c r="K30" s="3">
        <f t="shared" si="25"/>
        <v>7.603632196732644E-3</v>
      </c>
      <c r="L30" s="3">
        <f t="shared" si="25"/>
        <v>7.6036316324742809E-3</v>
      </c>
      <c r="M30" s="3">
        <f t="shared" si="25"/>
        <v>7.6036259898929464E-3</v>
      </c>
      <c r="N30" s="3">
        <f t="shared" si="25"/>
        <v>7.6035695643099071E-3</v>
      </c>
      <c r="O30" s="3">
        <f t="shared" si="25"/>
        <v>7.6030053315090107E-3</v>
      </c>
      <c r="P30" s="3">
        <f t="shared" si="25"/>
        <v>7.5973653058171858E-3</v>
      </c>
      <c r="Q30" s="3">
        <f t="shared" si="25"/>
        <v>7.5411946497104887E-3</v>
      </c>
      <c r="R30" s="3">
        <f t="shared" si="25"/>
        <v>7.0018300655350814E-3</v>
      </c>
      <c r="S30" s="3">
        <f t="shared" si="25"/>
        <v>3.3336939059628911E-3</v>
      </c>
      <c r="T30" s="3">
        <f t="shared" si="25"/>
        <v>1.995571396649701E-6</v>
      </c>
      <c r="U30" s="3">
        <f t="shared" si="25"/>
        <v>1.1789157309428529E-38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1.9793859684497459E-3</v>
      </c>
      <c r="C31" s="18">
        <f t="shared" si="3"/>
        <v>4.6601949201853935E-3</v>
      </c>
      <c r="D31" s="17"/>
      <c r="F31" s="3">
        <f t="shared" si="25"/>
        <v>4.6601949201853588E-3</v>
      </c>
      <c r="G31" s="3">
        <f t="shared" si="25"/>
        <v>4.6601949201850465E-3</v>
      </c>
      <c r="H31" s="3">
        <f t="shared" si="25"/>
        <v>4.6601949201819266E-3</v>
      </c>
      <c r="I31" s="3">
        <f t="shared" si="25"/>
        <v>4.6601949201507311E-3</v>
      </c>
      <c r="J31" s="3">
        <f t="shared" si="25"/>
        <v>4.6601949198387645E-3</v>
      </c>
      <c r="K31" s="3">
        <f t="shared" si="25"/>
        <v>4.660194916719102E-3</v>
      </c>
      <c r="L31" s="3">
        <f t="shared" si="25"/>
        <v>4.6601948855224786E-3</v>
      </c>
      <c r="M31" s="3">
        <f t="shared" si="25"/>
        <v>4.6601945735562549E-3</v>
      </c>
      <c r="N31" s="3">
        <f t="shared" si="25"/>
        <v>4.660191453895169E-3</v>
      </c>
      <c r="O31" s="3">
        <f t="shared" si="25"/>
        <v>4.6601602573991714E-3</v>
      </c>
      <c r="P31" s="3">
        <f t="shared" si="25"/>
        <v>4.6598483039250113E-3</v>
      </c>
      <c r="Q31" s="3">
        <f t="shared" si="25"/>
        <v>4.6567299174805335E-3</v>
      </c>
      <c r="R31" s="3">
        <f t="shared" si="25"/>
        <v>4.625660598837439E-3</v>
      </c>
      <c r="S31" s="3">
        <f t="shared" si="25"/>
        <v>4.3261432849852361E-3</v>
      </c>
      <c r="T31" s="3">
        <f t="shared" si="25"/>
        <v>2.2149924775385259E-3</v>
      </c>
      <c r="U31" s="3">
        <f t="shared" si="25"/>
        <v>2.7421159634016215E-6</v>
      </c>
      <c r="V31" s="3">
        <f t="shared" si="26"/>
        <v>2.318576507901621E-35</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6.5781164850256643E-4</v>
      </c>
      <c r="C32" s="18">
        <f t="shared" si="3"/>
        <v>1.548728015482176E-3</v>
      </c>
      <c r="D32" s="17"/>
      <c r="F32" s="3">
        <f t="shared" si="25"/>
        <v>1.5487280154821749E-3</v>
      </c>
      <c r="G32" s="3">
        <f t="shared" si="25"/>
        <v>1.5487280154821655E-3</v>
      </c>
      <c r="H32" s="3">
        <f t="shared" si="25"/>
        <v>1.5487280154820721E-3</v>
      </c>
      <c r="I32" s="3">
        <f t="shared" si="25"/>
        <v>1.5487280154811366E-3</v>
      </c>
      <c r="J32" s="3">
        <f t="shared" si="25"/>
        <v>1.5487280154717843E-3</v>
      </c>
      <c r="K32" s="3">
        <f t="shared" si="25"/>
        <v>1.5487280153782599E-3</v>
      </c>
      <c r="L32" s="3">
        <f t="shared" si="25"/>
        <v>1.5487280144430152E-3</v>
      </c>
      <c r="M32" s="3">
        <f t="shared" si="25"/>
        <v>1.5487280050905682E-3</v>
      </c>
      <c r="N32" s="3">
        <f t="shared" si="25"/>
        <v>1.5487279115661014E-3</v>
      </c>
      <c r="O32" s="3">
        <f t="shared" si="25"/>
        <v>1.5487269763217446E-3</v>
      </c>
      <c r="P32" s="3">
        <f t="shared" si="25"/>
        <v>1.5487176239092396E-3</v>
      </c>
      <c r="Q32" s="3">
        <f t="shared" si="25"/>
        <v>1.5486241028903739E-3</v>
      </c>
      <c r="R32" s="3">
        <f t="shared" si="25"/>
        <v>1.5476892032507889E-3</v>
      </c>
      <c r="S32" s="3">
        <f t="shared" si="25"/>
        <v>1.5383711924863567E-3</v>
      </c>
      <c r="T32" s="3">
        <f t="shared" si="25"/>
        <v>1.4482215192426226E-3</v>
      </c>
      <c r="U32" s="3">
        <f t="shared" si="25"/>
        <v>7.91723568293763E-4</v>
      </c>
      <c r="V32" s="3">
        <f t="shared" si="26"/>
        <v>1.8878146100182011E-6</v>
      </c>
      <c r="W32" s="3">
        <f t="shared" si="26"/>
        <v>1.1215458623337665E-32</v>
      </c>
      <c r="X32" s="3">
        <f t="shared" si="26"/>
        <v>6.1431905157413488E-295</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7.6375519606480368E-4</v>
      </c>
      <c r="C33" s="18">
        <f t="shared" si="3"/>
        <v>1.7981576820785483E-3</v>
      </c>
      <c r="D33" s="17"/>
      <c r="F33" s="3">
        <f t="shared" si="25"/>
        <v>1.798157682078548E-3</v>
      </c>
      <c r="G33" s="3">
        <f t="shared" si="25"/>
        <v>1.7981576820785472E-3</v>
      </c>
      <c r="H33" s="3">
        <f t="shared" si="25"/>
        <v>1.7981576820785372E-3</v>
      </c>
      <c r="I33" s="3">
        <f t="shared" si="25"/>
        <v>1.7981576820784394E-3</v>
      </c>
      <c r="J33" s="3">
        <f t="shared" si="25"/>
        <v>1.7981576820774599E-3</v>
      </c>
      <c r="K33" s="3">
        <f t="shared" si="25"/>
        <v>1.7981576820676644E-3</v>
      </c>
      <c r="L33" s="3">
        <f t="shared" si="25"/>
        <v>1.79815768196971E-3</v>
      </c>
      <c r="M33" s="3">
        <f t="shared" si="25"/>
        <v>1.7981576809901647E-3</v>
      </c>
      <c r="N33" s="3">
        <f t="shared" si="25"/>
        <v>1.798157671194713E-3</v>
      </c>
      <c r="O33" s="3">
        <f t="shared" si="25"/>
        <v>1.7981575732401998E-3</v>
      </c>
      <c r="P33" s="3">
        <f t="shared" si="25"/>
        <v>1.7981565936953598E-3</v>
      </c>
      <c r="Q33" s="3">
        <f t="shared" si="25"/>
        <v>1.7981467982763084E-3</v>
      </c>
      <c r="R33" s="3">
        <f t="shared" si="25"/>
        <v>1.7980488470205648E-3</v>
      </c>
      <c r="S33" s="3">
        <f t="shared" si="25"/>
        <v>1.7970696278810196E-3</v>
      </c>
      <c r="T33" s="3">
        <f t="shared" si="25"/>
        <v>1.7873067192202281E-3</v>
      </c>
      <c r="U33" s="3">
        <f t="shared" ref="P33:AE48" si="27">$C33*EXP(-U$15/$A33)</f>
        <v>1.6925477347595431E-3</v>
      </c>
      <c r="V33" s="3">
        <f t="shared" si="27"/>
        <v>9.8165595222459595E-4</v>
      </c>
      <c r="W33" s="3">
        <f t="shared" si="27"/>
        <v>4.2280789463628798E-6</v>
      </c>
      <c r="X33" s="3">
        <f t="shared" si="27"/>
        <v>9.2892558267240484E-30</v>
      </c>
      <c r="Y33" s="3">
        <f t="shared" si="27"/>
        <v>2.4342169417977684E-266</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1.8348376962709519E-3</v>
      </c>
      <c r="C34" s="18">
        <f t="shared" si="3"/>
        <v>4.3198756825701184E-3</v>
      </c>
      <c r="D34" s="17"/>
      <c r="F34" s="3">
        <f t="shared" ref="F34:O48" si="28">$C34*EXP(-F$15/$A34)</f>
        <v>4.3198756825701184E-3</v>
      </c>
      <c r="G34" s="3">
        <f t="shared" si="28"/>
        <v>4.3198756825701184E-3</v>
      </c>
      <c r="H34" s="3">
        <f t="shared" si="28"/>
        <v>4.3198756825701158E-3</v>
      </c>
      <c r="I34" s="3">
        <f t="shared" si="28"/>
        <v>4.319875682570095E-3</v>
      </c>
      <c r="J34" s="3">
        <f t="shared" si="28"/>
        <v>4.3198756825698825E-3</v>
      </c>
      <c r="K34" s="3">
        <f t="shared" si="28"/>
        <v>4.3198756825677601E-3</v>
      </c>
      <c r="L34" s="3">
        <f t="shared" si="28"/>
        <v>4.3198756825465314E-3</v>
      </c>
      <c r="M34" s="3">
        <f t="shared" si="28"/>
        <v>4.3198756823342489E-3</v>
      </c>
      <c r="N34" s="3">
        <f t="shared" si="28"/>
        <v>4.3198756802114218E-3</v>
      </c>
      <c r="O34" s="3">
        <f t="shared" si="28"/>
        <v>4.3198756589831553E-3</v>
      </c>
      <c r="P34" s="3">
        <f t="shared" si="27"/>
        <v>4.319875446700496E-3</v>
      </c>
      <c r="Q34" s="3">
        <f t="shared" si="27"/>
        <v>4.3198733238744751E-3</v>
      </c>
      <c r="R34" s="3">
        <f t="shared" si="27"/>
        <v>4.3198520956716424E-3</v>
      </c>
      <c r="S34" s="3">
        <f t="shared" si="27"/>
        <v>4.3196398193806685E-3</v>
      </c>
      <c r="T34" s="3">
        <f t="shared" si="27"/>
        <v>4.3175176301021379E-3</v>
      </c>
      <c r="U34" s="3">
        <f t="shared" si="27"/>
        <v>4.2963529962762722E-3</v>
      </c>
      <c r="V34" s="3">
        <f t="shared" si="27"/>
        <v>4.0903297992156192E-3</v>
      </c>
      <c r="W34" s="3">
        <f t="shared" si="27"/>
        <v>2.5023152446169493E-3</v>
      </c>
      <c r="X34" s="3">
        <f t="shared" si="27"/>
        <v>1.8372953571149187E-5</v>
      </c>
      <c r="Y34" s="3">
        <f t="shared" si="27"/>
        <v>8.3665909388527911E-27</v>
      </c>
      <c r="Z34" s="3">
        <f t="shared" si="27"/>
        <v>3.2080720911045513E-240</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1.4781127165862155E-3</v>
      </c>
      <c r="C35" s="18">
        <f t="shared" si="3"/>
        <v>3.4800152588185828E-3</v>
      </c>
      <c r="D35" s="17"/>
      <c r="F35" s="3">
        <f t="shared" si="28"/>
        <v>3.4800152588185828E-3</v>
      </c>
      <c r="G35" s="3">
        <f t="shared" si="28"/>
        <v>3.4800152588185828E-3</v>
      </c>
      <c r="H35" s="3">
        <f t="shared" si="28"/>
        <v>3.4800152588185828E-3</v>
      </c>
      <c r="I35" s="3">
        <f t="shared" si="28"/>
        <v>3.4800152588185811E-3</v>
      </c>
      <c r="J35" s="3">
        <f t="shared" si="28"/>
        <v>3.4800152588185659E-3</v>
      </c>
      <c r="K35" s="3">
        <f t="shared" si="28"/>
        <v>3.4800152588184111E-3</v>
      </c>
      <c r="L35" s="3">
        <f t="shared" si="28"/>
        <v>3.4800152588168689E-3</v>
      </c>
      <c r="M35" s="3">
        <f t="shared" si="28"/>
        <v>3.480015258801442E-3</v>
      </c>
      <c r="N35" s="3">
        <f t="shared" si="28"/>
        <v>3.4800152586471757E-3</v>
      </c>
      <c r="O35" s="3">
        <f t="shared" si="28"/>
        <v>3.480015257104513E-3</v>
      </c>
      <c r="P35" s="3">
        <f t="shared" si="27"/>
        <v>3.4800152416778842E-3</v>
      </c>
      <c r="Q35" s="3">
        <f t="shared" si="27"/>
        <v>3.4800150874116026E-3</v>
      </c>
      <c r="R35" s="3">
        <f t="shared" si="27"/>
        <v>3.4800135447491634E-3</v>
      </c>
      <c r="S35" s="3">
        <f t="shared" si="27"/>
        <v>3.4799981181623833E-3</v>
      </c>
      <c r="T35" s="3">
        <f t="shared" si="27"/>
        <v>3.4798438560556871E-3</v>
      </c>
      <c r="U35" s="3">
        <f t="shared" si="27"/>
        <v>3.4783016110377274E-3</v>
      </c>
      <c r="V35" s="3">
        <f t="shared" si="27"/>
        <v>3.462916704152828E-3</v>
      </c>
      <c r="W35" s="3">
        <f t="shared" si="27"/>
        <v>3.3127611103353355E-3</v>
      </c>
      <c r="X35" s="3">
        <f t="shared" si="27"/>
        <v>2.1265267887722776E-3</v>
      </c>
      <c r="Y35" s="3">
        <f t="shared" si="27"/>
        <v>2.5262611711229101E-5</v>
      </c>
      <c r="Z35" s="3">
        <f t="shared" si="27"/>
        <v>1.4143345021786337E-24</v>
      </c>
      <c r="AA35" s="3">
        <f t="shared" si="27"/>
        <v>4.2784949704090708E-217</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8.6510336488871515E-4</v>
      </c>
      <c r="C36" s="18">
        <f t="shared" si="3"/>
        <v>2.0367681547460849E-3</v>
      </c>
      <c r="D36" s="17"/>
      <c r="F36" s="3">
        <f t="shared" si="28"/>
        <v>2.0367681547460849E-3</v>
      </c>
      <c r="G36" s="3">
        <f t="shared" si="28"/>
        <v>2.0367681547460849E-3</v>
      </c>
      <c r="H36" s="3">
        <f t="shared" si="28"/>
        <v>2.0367681547460849E-3</v>
      </c>
      <c r="I36" s="3">
        <f t="shared" si="28"/>
        <v>2.0367681547460849E-3</v>
      </c>
      <c r="J36" s="3">
        <f t="shared" si="28"/>
        <v>2.036768154746084E-3</v>
      </c>
      <c r="K36" s="3">
        <f t="shared" si="28"/>
        <v>2.0367681547460758E-3</v>
      </c>
      <c r="L36" s="3">
        <f t="shared" si="28"/>
        <v>2.0367681547459942E-3</v>
      </c>
      <c r="M36" s="3">
        <f t="shared" si="28"/>
        <v>2.0367681547451798E-3</v>
      </c>
      <c r="N36" s="3">
        <f t="shared" si="28"/>
        <v>2.0367681547370352E-3</v>
      </c>
      <c r="O36" s="3">
        <f t="shared" si="28"/>
        <v>2.0367681546555878E-3</v>
      </c>
      <c r="P36" s="3">
        <f t="shared" si="27"/>
        <v>2.0367681538411122E-3</v>
      </c>
      <c r="Q36" s="3">
        <f t="shared" si="27"/>
        <v>2.0367681456963565E-3</v>
      </c>
      <c r="R36" s="3">
        <f t="shared" si="27"/>
        <v>2.0367680642488016E-3</v>
      </c>
      <c r="S36" s="3">
        <f t="shared" si="27"/>
        <v>2.0367672497734312E-3</v>
      </c>
      <c r="T36" s="3">
        <f t="shared" si="27"/>
        <v>2.0367591050376422E-3</v>
      </c>
      <c r="U36" s="3">
        <f t="shared" si="27"/>
        <v>2.0366776594710578E-3</v>
      </c>
      <c r="V36" s="3">
        <f t="shared" si="27"/>
        <v>2.0358633829094396E-3</v>
      </c>
      <c r="W36" s="3">
        <f t="shared" si="27"/>
        <v>2.0277385012438423E-3</v>
      </c>
      <c r="X36" s="3">
        <f t="shared" si="27"/>
        <v>1.9482518995762104E-3</v>
      </c>
      <c r="Y36" s="3">
        <f t="shared" si="27"/>
        <v>1.3061008701015727E-3</v>
      </c>
      <c r="Z36" s="3">
        <f t="shared" si="27"/>
        <v>2.3949299931923652E-5</v>
      </c>
      <c r="AA36" s="3">
        <f t="shared" si="27"/>
        <v>1.0290912009352948E-22</v>
      </c>
      <c r="AB36" s="3">
        <f t="shared" si="27"/>
        <v>2.2083315836600563E-196</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5.4290023330324979E-4</v>
      </c>
      <c r="C37" s="18">
        <f t="shared" si="3"/>
        <v>1.2781847248259422E-3</v>
      </c>
      <c r="D37" s="17"/>
      <c r="F37" s="3">
        <f t="shared" si="28"/>
        <v>1.2781847248259422E-3</v>
      </c>
      <c r="G37" s="3">
        <f t="shared" si="28"/>
        <v>1.2781847248259422E-3</v>
      </c>
      <c r="H37" s="3">
        <f t="shared" si="28"/>
        <v>1.2781847248259422E-3</v>
      </c>
      <c r="I37" s="3">
        <f t="shared" si="28"/>
        <v>1.2781847248259422E-3</v>
      </c>
      <c r="J37" s="3">
        <f t="shared" si="28"/>
        <v>1.2781847248259422E-3</v>
      </c>
      <c r="K37" s="3">
        <f t="shared" si="28"/>
        <v>1.2781847248259416E-3</v>
      </c>
      <c r="L37" s="3">
        <f t="shared" si="28"/>
        <v>1.278184724825937E-3</v>
      </c>
      <c r="M37" s="3">
        <f t="shared" si="28"/>
        <v>1.2781847248258911E-3</v>
      </c>
      <c r="N37" s="3">
        <f t="shared" si="28"/>
        <v>1.2781847248254301E-3</v>
      </c>
      <c r="O37" s="3">
        <f t="shared" si="28"/>
        <v>1.2781847248208192E-3</v>
      </c>
      <c r="P37" s="3">
        <f t="shared" si="27"/>
        <v>1.2781847247747111E-3</v>
      </c>
      <c r="Q37" s="3">
        <f t="shared" si="27"/>
        <v>1.2781847243136307E-3</v>
      </c>
      <c r="R37" s="3">
        <f t="shared" si="27"/>
        <v>1.2781847197028265E-3</v>
      </c>
      <c r="S37" s="3">
        <f t="shared" si="27"/>
        <v>1.2781846735947856E-3</v>
      </c>
      <c r="T37" s="3">
        <f t="shared" si="27"/>
        <v>1.2781842125144673E-3</v>
      </c>
      <c r="U37" s="3">
        <f t="shared" si="27"/>
        <v>1.2781796017204341E-3</v>
      </c>
      <c r="V37" s="3">
        <f t="shared" si="27"/>
        <v>1.2781334946948793E-3</v>
      </c>
      <c r="W37" s="3">
        <f t="shared" si="27"/>
        <v>1.2776725159049805E-3</v>
      </c>
      <c r="X37" s="3">
        <f t="shared" si="27"/>
        <v>1.2730718623747445E-3</v>
      </c>
      <c r="Y37" s="3">
        <f t="shared" si="27"/>
        <v>1.227966689017773E-3</v>
      </c>
      <c r="Z37" s="3">
        <f t="shared" si="27"/>
        <v>8.560975430706284E-4</v>
      </c>
      <c r="AA37" s="3">
        <f t="shared" si="27"/>
        <v>2.3221480150202668E-5</v>
      </c>
      <c r="AB37" s="3">
        <f t="shared" si="27"/>
        <v>5.0067554175903083E-21</v>
      </c>
      <c r="AC37" s="3">
        <f t="shared" si="27"/>
        <v>1.0869790057221474E-177</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1.463009863253553E-4</v>
      </c>
      <c r="C38" s="18">
        <f t="shared" si="3"/>
        <v>3.444457645749161E-4</v>
      </c>
      <c r="D38" s="17"/>
      <c r="F38" s="3">
        <f t="shared" si="28"/>
        <v>3.444457645749161E-4</v>
      </c>
      <c r="G38" s="3">
        <f t="shared" si="28"/>
        <v>3.444457645749161E-4</v>
      </c>
      <c r="H38" s="3">
        <f t="shared" si="28"/>
        <v>3.444457645749161E-4</v>
      </c>
      <c r="I38" s="3">
        <f t="shared" si="28"/>
        <v>3.444457645749161E-4</v>
      </c>
      <c r="J38" s="3">
        <f t="shared" si="28"/>
        <v>3.444457645749161E-4</v>
      </c>
      <c r="K38" s="3">
        <f t="shared" si="28"/>
        <v>3.444457645749161E-4</v>
      </c>
      <c r="L38" s="3">
        <f t="shared" si="28"/>
        <v>3.4444576457491599E-4</v>
      </c>
      <c r="M38" s="3">
        <f t="shared" si="28"/>
        <v>3.4444576457491485E-4</v>
      </c>
      <c r="N38" s="3">
        <f t="shared" si="28"/>
        <v>3.4444576457490363E-4</v>
      </c>
      <c r="O38" s="3">
        <f t="shared" si="28"/>
        <v>3.4444576457479153E-4</v>
      </c>
      <c r="P38" s="3">
        <f t="shared" si="27"/>
        <v>3.4444576457367068E-4</v>
      </c>
      <c r="Q38" s="3">
        <f t="shared" si="27"/>
        <v>3.4444576456246214E-4</v>
      </c>
      <c r="R38" s="3">
        <f t="shared" si="27"/>
        <v>3.4444576445037635E-4</v>
      </c>
      <c r="S38" s="3">
        <f t="shared" si="27"/>
        <v>3.444457633295186E-4</v>
      </c>
      <c r="T38" s="3">
        <f t="shared" si="27"/>
        <v>3.444457521209414E-4</v>
      </c>
      <c r="U38" s="3">
        <f t="shared" si="27"/>
        <v>3.4444564003518932E-4</v>
      </c>
      <c r="V38" s="3">
        <f t="shared" si="27"/>
        <v>3.4444451917967469E-4</v>
      </c>
      <c r="W38" s="3">
        <f t="shared" si="27"/>
        <v>3.4443331082513077E-4</v>
      </c>
      <c r="X38" s="3">
        <f t="shared" si="27"/>
        <v>3.4432124733755845E-4</v>
      </c>
      <c r="Y38" s="3">
        <f t="shared" si="27"/>
        <v>3.4320261583558757E-4</v>
      </c>
      <c r="Z38" s="3">
        <f t="shared" si="27"/>
        <v>3.3221424695341155E-4</v>
      </c>
      <c r="AA38" s="3">
        <f t="shared" si="27"/>
        <v>2.3993571119712337E-4</v>
      </c>
      <c r="AB38" s="3">
        <f t="shared" si="27"/>
        <v>9.2653382048758517E-6</v>
      </c>
      <c r="AC38" s="3">
        <f t="shared" si="27"/>
        <v>6.8316424169220693E-20</v>
      </c>
      <c r="AD38" s="3">
        <f t="shared" si="27"/>
        <v>3.2446183766486411E-161</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2.5915422886228849E-4</v>
      </c>
      <c r="C39" s="18">
        <f t="shared" si="3"/>
        <v>6.1014336776090067E-4</v>
      </c>
      <c r="D39" s="17"/>
      <c r="F39" s="3">
        <f t="shared" si="28"/>
        <v>6.1014336776090067E-4</v>
      </c>
      <c r="G39" s="3">
        <f t="shared" si="28"/>
        <v>6.1014336776090067E-4</v>
      </c>
      <c r="H39" s="3">
        <f t="shared" si="28"/>
        <v>6.1014336776090067E-4</v>
      </c>
      <c r="I39" s="3">
        <f t="shared" si="28"/>
        <v>6.1014336776090067E-4</v>
      </c>
      <c r="J39" s="3">
        <f t="shared" si="28"/>
        <v>6.1014336776090067E-4</v>
      </c>
      <c r="K39" s="3">
        <f t="shared" si="28"/>
        <v>6.1014336776090067E-4</v>
      </c>
      <c r="L39" s="3">
        <f t="shared" si="28"/>
        <v>6.1014336776090057E-4</v>
      </c>
      <c r="M39" s="3">
        <f t="shared" si="28"/>
        <v>6.1014336776090002E-4</v>
      </c>
      <c r="N39" s="3">
        <f t="shared" si="28"/>
        <v>6.101433677608946E-4</v>
      </c>
      <c r="O39" s="3">
        <f t="shared" si="28"/>
        <v>6.1014336776083963E-4</v>
      </c>
      <c r="P39" s="3">
        <f t="shared" si="27"/>
        <v>6.1014336776029059E-4</v>
      </c>
      <c r="Q39" s="3">
        <f t="shared" si="27"/>
        <v>6.1014336775479922E-4</v>
      </c>
      <c r="R39" s="3">
        <f t="shared" si="27"/>
        <v>6.1014336769988633E-4</v>
      </c>
      <c r="S39" s="3">
        <f t="shared" si="27"/>
        <v>6.1014336715075734E-4</v>
      </c>
      <c r="T39" s="3">
        <f t="shared" si="27"/>
        <v>6.1014336165946708E-4</v>
      </c>
      <c r="U39" s="3">
        <f t="shared" si="27"/>
        <v>6.1014330674656701E-4</v>
      </c>
      <c r="V39" s="3">
        <f t="shared" si="27"/>
        <v>6.1014275761783797E-4</v>
      </c>
      <c r="W39" s="3">
        <f t="shared" si="27"/>
        <v>6.1013726635773011E-4</v>
      </c>
      <c r="X39" s="3">
        <f t="shared" si="27"/>
        <v>6.1008235647473977E-4</v>
      </c>
      <c r="Y39" s="3">
        <f t="shared" si="27"/>
        <v>6.0953352936315855E-4</v>
      </c>
      <c r="Z39" s="3">
        <f t="shared" si="27"/>
        <v>6.0407233981483728E-4</v>
      </c>
      <c r="AA39" s="3">
        <f t="shared" si="27"/>
        <v>5.5208054951653822E-4</v>
      </c>
      <c r="AB39" s="3">
        <f t="shared" si="27"/>
        <v>2.2445920116634195E-4</v>
      </c>
      <c r="AC39" s="3">
        <f t="shared" si="27"/>
        <v>2.7700466041390857E-8</v>
      </c>
      <c r="AD39" s="3">
        <f t="shared" si="27"/>
        <v>2.2697796843357727E-47</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9.4509320410603905E-5</v>
      </c>
      <c r="C40" s="18">
        <f t="shared" si="3"/>
        <v>2.2250933466635417E-4</v>
      </c>
      <c r="D40" s="17"/>
      <c r="F40" s="3">
        <f t="shared" si="28"/>
        <v>2.2250933466635417E-4</v>
      </c>
      <c r="G40" s="3">
        <f t="shared" si="28"/>
        <v>2.2250933466635417E-4</v>
      </c>
      <c r="H40" s="3">
        <f t="shared" si="28"/>
        <v>2.2250933466635417E-4</v>
      </c>
      <c r="I40" s="3">
        <f t="shared" si="28"/>
        <v>2.2250933466635417E-4</v>
      </c>
      <c r="J40" s="3">
        <f t="shared" si="28"/>
        <v>2.2250933466635417E-4</v>
      </c>
      <c r="K40" s="3">
        <f t="shared" si="28"/>
        <v>2.2250933466635417E-4</v>
      </c>
      <c r="L40" s="3">
        <f t="shared" si="28"/>
        <v>2.2250933466635417E-4</v>
      </c>
      <c r="M40" s="3">
        <f t="shared" si="28"/>
        <v>2.2250933466635414E-4</v>
      </c>
      <c r="N40" s="3">
        <f t="shared" si="28"/>
        <v>2.2250933466635395E-4</v>
      </c>
      <c r="O40" s="3">
        <f t="shared" si="28"/>
        <v>2.2250933466635194E-4</v>
      </c>
      <c r="P40" s="3">
        <f t="shared" si="27"/>
        <v>2.2250933466633191E-4</v>
      </c>
      <c r="Q40" s="3">
        <f t="shared" si="27"/>
        <v>2.2250933466613166E-4</v>
      </c>
      <c r="R40" s="3">
        <f t="shared" si="27"/>
        <v>2.2250933466412908E-4</v>
      </c>
      <c r="S40" s="3">
        <f t="shared" si="27"/>
        <v>2.2250933464410322E-4</v>
      </c>
      <c r="T40" s="3">
        <f t="shared" si="27"/>
        <v>2.2250933444384484E-4</v>
      </c>
      <c r="U40" s="3">
        <f t="shared" si="27"/>
        <v>2.2250933244126082E-4</v>
      </c>
      <c r="V40" s="3">
        <f t="shared" si="27"/>
        <v>2.2250931241542181E-4</v>
      </c>
      <c r="W40" s="3">
        <f t="shared" si="27"/>
        <v>2.2250911215713074E-4</v>
      </c>
      <c r="X40" s="3">
        <f t="shared" si="27"/>
        <v>2.2250710958413294E-4</v>
      </c>
      <c r="Y40" s="3">
        <f t="shared" si="27"/>
        <v>2.2248708484539712E-4</v>
      </c>
      <c r="Z40" s="3">
        <f t="shared" si="27"/>
        <v>2.2228693654927954E-4</v>
      </c>
      <c r="AA40" s="3">
        <f t="shared" si="27"/>
        <v>2.2029532979406195E-4</v>
      </c>
      <c r="AB40" s="3">
        <f t="shared" si="27"/>
        <v>2.0133477186840313E-4</v>
      </c>
      <c r="AC40" s="3">
        <f t="shared" si="27"/>
        <v>8.1856609692487818E-5</v>
      </c>
      <c r="AD40" s="3">
        <f t="shared" si="27"/>
        <v>1.0101908165349716E-8</v>
      </c>
      <c r="AE40" s="3">
        <f t="shared" si="27"/>
        <v>8.2775163033268438E-48</v>
      </c>
      <c r="AF40" s="3">
        <f t="shared" si="29"/>
        <v>0</v>
      </c>
      <c r="AG40" s="3">
        <f t="shared" si="29"/>
        <v>0</v>
      </c>
      <c r="AH40" s="3">
        <f t="shared" si="29"/>
        <v>0</v>
      </c>
      <c r="AI40" s="3">
        <f t="shared" si="29"/>
        <v>0</v>
      </c>
      <c r="AJ40" s="3">
        <f t="shared" si="29"/>
        <v>0</v>
      </c>
    </row>
    <row r="41" spans="1:36" x14ac:dyDescent="0.25">
      <c r="A41" s="3">
        <f t="shared" si="30"/>
        <v>1000000000</v>
      </c>
      <c r="B41" s="106">
        <v>1.2961032452467265E-4</v>
      </c>
      <c r="C41" s="18">
        <f t="shared" si="3"/>
        <v>3.0514987252664002E-4</v>
      </c>
      <c r="D41" s="17"/>
      <c r="F41" s="3">
        <f t="shared" si="28"/>
        <v>3.0514987252664002E-4</v>
      </c>
      <c r="G41" s="3">
        <f t="shared" si="28"/>
        <v>3.0514987252664002E-4</v>
      </c>
      <c r="H41" s="3">
        <f t="shared" si="28"/>
        <v>3.0514987252664002E-4</v>
      </c>
      <c r="I41" s="3">
        <f t="shared" si="28"/>
        <v>3.0514987252664002E-4</v>
      </c>
      <c r="J41" s="3">
        <f t="shared" si="28"/>
        <v>3.0514987252664002E-4</v>
      </c>
      <c r="K41" s="3">
        <f t="shared" si="28"/>
        <v>3.0514987252664002E-4</v>
      </c>
      <c r="L41" s="3">
        <f t="shared" si="28"/>
        <v>3.0514987252664002E-4</v>
      </c>
      <c r="M41" s="3">
        <f t="shared" si="28"/>
        <v>3.0514987252664002E-4</v>
      </c>
      <c r="N41" s="3">
        <f t="shared" si="28"/>
        <v>3.0514987252663997E-4</v>
      </c>
      <c r="O41" s="3">
        <f t="shared" si="28"/>
        <v>3.051498725266397E-4</v>
      </c>
      <c r="P41" s="3">
        <f t="shared" si="27"/>
        <v>3.0514987252663699E-4</v>
      </c>
      <c r="Q41" s="3">
        <f t="shared" si="27"/>
        <v>3.051498725266095E-4</v>
      </c>
      <c r="R41" s="3">
        <f t="shared" si="27"/>
        <v>3.0514987252633488E-4</v>
      </c>
      <c r="S41" s="3">
        <f t="shared" si="27"/>
        <v>3.0514987252358854E-4</v>
      </c>
      <c r="T41" s="3">
        <f t="shared" si="27"/>
        <v>3.0514987249612505E-4</v>
      </c>
      <c r="U41" s="3">
        <f t="shared" si="27"/>
        <v>3.0514987222149019E-4</v>
      </c>
      <c r="V41" s="3">
        <f t="shared" si="27"/>
        <v>3.051498694751413E-4</v>
      </c>
      <c r="W41" s="3">
        <f t="shared" si="27"/>
        <v>3.051498420116543E-4</v>
      </c>
      <c r="X41" s="3">
        <f t="shared" si="27"/>
        <v>3.0514956737692008E-4</v>
      </c>
      <c r="Y41" s="3">
        <f t="shared" si="27"/>
        <v>3.0514682104317221E-4</v>
      </c>
      <c r="Z41" s="3">
        <f t="shared" si="27"/>
        <v>3.0511935906508584E-4</v>
      </c>
      <c r="AA41" s="3">
        <f t="shared" si="27"/>
        <v>3.0484487517820407E-4</v>
      </c>
      <c r="AB41" s="3">
        <f t="shared" si="27"/>
        <v>3.0211358056357981E-4</v>
      </c>
      <c r="AC41" s="3">
        <f t="shared" si="27"/>
        <v>2.7611102277100714E-4</v>
      </c>
      <c r="AD41" s="3">
        <f t="shared" si="27"/>
        <v>1.122583645786372E-4</v>
      </c>
      <c r="AE41" s="3">
        <f t="shared" si="27"/>
        <v>1.3853782779740664E-8</v>
      </c>
      <c r="AF41" s="3">
        <f t="shared" si="29"/>
        <v>1.1351807098721742E-47</v>
      </c>
      <c r="AG41" s="3">
        <f t="shared" si="29"/>
        <v>0</v>
      </c>
      <c r="AH41" s="3">
        <f t="shared" si="29"/>
        <v>0</v>
      </c>
      <c r="AI41" s="3">
        <f t="shared" si="29"/>
        <v>0</v>
      </c>
      <c r="AJ41" s="3">
        <f t="shared" si="29"/>
        <v>0</v>
      </c>
    </row>
    <row r="42" spans="1:36" x14ac:dyDescent="0.25">
      <c r="A42" s="3">
        <f t="shared" si="30"/>
        <v>10000000000</v>
      </c>
      <c r="B42" s="106">
        <v>0</v>
      </c>
      <c r="C42" s="18">
        <f t="shared" si="3"/>
        <v>0</v>
      </c>
      <c r="D42" s="17"/>
      <c r="F42" s="3">
        <f t="shared" si="28"/>
        <v>0</v>
      </c>
      <c r="G42" s="3">
        <f t="shared" si="28"/>
        <v>0</v>
      </c>
      <c r="H42" s="3">
        <f t="shared" si="28"/>
        <v>0</v>
      </c>
      <c r="I42" s="3">
        <f t="shared" si="28"/>
        <v>0</v>
      </c>
      <c r="J42" s="3">
        <f t="shared" si="28"/>
        <v>0</v>
      </c>
      <c r="K42" s="3">
        <f t="shared" si="28"/>
        <v>0</v>
      </c>
      <c r="L42" s="3">
        <f t="shared" si="28"/>
        <v>0</v>
      </c>
      <c r="M42" s="3">
        <f t="shared" si="28"/>
        <v>0</v>
      </c>
      <c r="N42" s="3">
        <f t="shared" si="28"/>
        <v>0</v>
      </c>
      <c r="O42" s="3">
        <f t="shared" si="28"/>
        <v>0</v>
      </c>
      <c r="P42" s="3">
        <f t="shared" si="27"/>
        <v>0</v>
      </c>
      <c r="Q42" s="3">
        <f t="shared" si="27"/>
        <v>0</v>
      </c>
      <c r="R42" s="3">
        <f t="shared" si="27"/>
        <v>0</v>
      </c>
      <c r="S42" s="3">
        <f t="shared" si="27"/>
        <v>0</v>
      </c>
      <c r="T42" s="3">
        <f t="shared" si="27"/>
        <v>0</v>
      </c>
      <c r="U42" s="3">
        <f t="shared" si="27"/>
        <v>0</v>
      </c>
      <c r="V42" s="3">
        <f t="shared" si="27"/>
        <v>0</v>
      </c>
      <c r="W42" s="3">
        <f t="shared" si="27"/>
        <v>0</v>
      </c>
      <c r="X42" s="3">
        <f t="shared" si="27"/>
        <v>0</v>
      </c>
      <c r="Y42" s="3">
        <f t="shared" si="27"/>
        <v>0</v>
      </c>
      <c r="Z42" s="3">
        <f t="shared" si="27"/>
        <v>0</v>
      </c>
      <c r="AA42" s="3">
        <f t="shared" si="27"/>
        <v>0</v>
      </c>
      <c r="AB42" s="3">
        <f t="shared" si="27"/>
        <v>0</v>
      </c>
      <c r="AC42" s="3">
        <f t="shared" si="27"/>
        <v>0</v>
      </c>
      <c r="AD42" s="3">
        <f t="shared" si="27"/>
        <v>0</v>
      </c>
      <c r="AE42" s="3">
        <f t="shared" si="27"/>
        <v>0</v>
      </c>
      <c r="AF42" s="3">
        <f t="shared" si="29"/>
        <v>0</v>
      </c>
      <c r="AG42" s="3">
        <f t="shared" si="29"/>
        <v>0</v>
      </c>
      <c r="AH42" s="3">
        <f t="shared" si="29"/>
        <v>0</v>
      </c>
      <c r="AI42" s="3">
        <f t="shared" si="29"/>
        <v>0</v>
      </c>
      <c r="AJ42" s="3">
        <f t="shared" si="29"/>
        <v>0</v>
      </c>
    </row>
    <row r="43" spans="1:36" x14ac:dyDescent="0.25">
      <c r="A43" s="3">
        <f t="shared" si="30"/>
        <v>100000000000</v>
      </c>
      <c r="B43" s="106">
        <v>2.6404073952628479E-5</v>
      </c>
      <c r="C43" s="18">
        <f t="shared" si="3"/>
        <v>6.2164799219330605E-5</v>
      </c>
      <c r="D43" s="17"/>
      <c r="F43" s="3">
        <f t="shared" si="28"/>
        <v>6.2164799219330605E-5</v>
      </c>
      <c r="G43" s="3">
        <f t="shared" si="28"/>
        <v>6.2164799219330605E-5</v>
      </c>
      <c r="H43" s="3">
        <f t="shared" si="28"/>
        <v>6.2164799219330605E-5</v>
      </c>
      <c r="I43" s="3">
        <f t="shared" si="28"/>
        <v>6.2164799219330605E-5</v>
      </c>
      <c r="J43" s="3">
        <f t="shared" si="28"/>
        <v>6.2164799219330605E-5</v>
      </c>
      <c r="K43" s="3">
        <f t="shared" si="28"/>
        <v>6.2164799219330605E-5</v>
      </c>
      <c r="L43" s="3">
        <f t="shared" si="28"/>
        <v>6.2164799219330605E-5</v>
      </c>
      <c r="M43" s="3">
        <f t="shared" si="28"/>
        <v>6.2164799219330605E-5</v>
      </c>
      <c r="N43" s="3">
        <f t="shared" si="28"/>
        <v>6.2164799219330605E-5</v>
      </c>
      <c r="O43" s="3">
        <f t="shared" si="28"/>
        <v>6.2164799219330605E-5</v>
      </c>
      <c r="P43" s="3">
        <f t="shared" si="27"/>
        <v>6.2164799219330592E-5</v>
      </c>
      <c r="Q43" s="3">
        <f t="shared" si="27"/>
        <v>6.2164799219330537E-5</v>
      </c>
      <c r="R43" s="3">
        <f t="shared" si="27"/>
        <v>6.2164799219329982E-5</v>
      </c>
      <c r="S43" s="3">
        <f t="shared" si="27"/>
        <v>6.2164799219324384E-5</v>
      </c>
      <c r="T43" s="3">
        <f t="shared" si="27"/>
        <v>6.216479921926844E-5</v>
      </c>
      <c r="U43" s="3">
        <f t="shared" si="27"/>
        <v>6.2164799218708951E-5</v>
      </c>
      <c r="V43" s="3">
        <f t="shared" si="27"/>
        <v>6.2164799213114129E-5</v>
      </c>
      <c r="W43" s="3">
        <f t="shared" si="27"/>
        <v>6.2164799157165814E-5</v>
      </c>
      <c r="X43" s="3">
        <f t="shared" si="27"/>
        <v>6.2164798597682622E-5</v>
      </c>
      <c r="Y43" s="3">
        <f t="shared" si="27"/>
        <v>6.2164793002851003E-5</v>
      </c>
      <c r="Z43" s="3">
        <f t="shared" si="27"/>
        <v>6.2164737054562467E-5</v>
      </c>
      <c r="AA43" s="3">
        <f t="shared" si="27"/>
        <v>6.2164177574446639E-5</v>
      </c>
      <c r="AB43" s="3">
        <f t="shared" si="27"/>
        <v>6.2158583050222303E-5</v>
      </c>
      <c r="AC43" s="3">
        <f t="shared" si="27"/>
        <v>6.2102665492152673E-5</v>
      </c>
      <c r="AD43" s="3">
        <f t="shared" si="27"/>
        <v>6.1546249132148677E-5</v>
      </c>
      <c r="AE43" s="3">
        <f t="shared" si="27"/>
        <v>5.6249036418342933E-5</v>
      </c>
      <c r="AF43" s="3">
        <f t="shared" si="29"/>
        <v>2.2869151597342258E-5</v>
      </c>
      <c r="AG43" s="3">
        <f t="shared" si="29"/>
        <v>2.8222775182565829E-9</v>
      </c>
      <c r="AH43" s="3">
        <f t="shared" si="29"/>
        <v>2.312577761299906E-48</v>
      </c>
      <c r="AI43" s="3">
        <f t="shared" si="29"/>
        <v>0</v>
      </c>
      <c r="AJ43" s="3">
        <f t="shared" si="29"/>
        <v>0</v>
      </c>
    </row>
    <row r="44" spans="1:36" x14ac:dyDescent="0.25">
      <c r="A44" s="3">
        <f t="shared" si="30"/>
        <v>1000000000000</v>
      </c>
      <c r="B44" s="106">
        <v>6.7492489511972268E-5</v>
      </c>
      <c r="C44" s="18">
        <f t="shared" si="3"/>
        <v>1.589018825978126E-4</v>
      </c>
      <c r="D44" s="17"/>
      <c r="F44" s="3">
        <f t="shared" si="28"/>
        <v>1.589018825978126E-4</v>
      </c>
      <c r="G44" s="3">
        <f t="shared" si="28"/>
        <v>1.589018825978126E-4</v>
      </c>
      <c r="H44" s="3">
        <f t="shared" si="28"/>
        <v>1.589018825978126E-4</v>
      </c>
      <c r="I44" s="3">
        <f t="shared" si="28"/>
        <v>1.589018825978126E-4</v>
      </c>
      <c r="J44" s="3">
        <f t="shared" si="28"/>
        <v>1.589018825978126E-4</v>
      </c>
      <c r="K44" s="3">
        <f t="shared" si="28"/>
        <v>1.589018825978126E-4</v>
      </c>
      <c r="L44" s="3">
        <f t="shared" si="28"/>
        <v>1.589018825978126E-4</v>
      </c>
      <c r="M44" s="3">
        <f t="shared" si="28"/>
        <v>1.589018825978126E-4</v>
      </c>
      <c r="N44" s="3">
        <f t="shared" si="28"/>
        <v>1.589018825978126E-4</v>
      </c>
      <c r="O44" s="3">
        <f t="shared" si="28"/>
        <v>1.589018825978126E-4</v>
      </c>
      <c r="P44" s="3">
        <f t="shared" si="27"/>
        <v>1.589018825978126E-4</v>
      </c>
      <c r="Q44" s="3">
        <f t="shared" si="27"/>
        <v>1.5890188259781257E-4</v>
      </c>
      <c r="R44" s="3">
        <f t="shared" si="27"/>
        <v>1.5890188259781244E-4</v>
      </c>
      <c r="S44" s="3">
        <f t="shared" si="27"/>
        <v>1.58901882597811E-4</v>
      </c>
      <c r="T44" s="3">
        <f t="shared" si="27"/>
        <v>1.5890188259779672E-4</v>
      </c>
      <c r="U44" s="3">
        <f t="shared" si="27"/>
        <v>1.5890188259765371E-4</v>
      </c>
      <c r="V44" s="3">
        <f t="shared" si="27"/>
        <v>1.5890188259622359E-4</v>
      </c>
      <c r="W44" s="3">
        <f t="shared" si="27"/>
        <v>1.589018825819224E-4</v>
      </c>
      <c r="X44" s="3">
        <f t="shared" si="27"/>
        <v>1.5890188243891071E-4</v>
      </c>
      <c r="Y44" s="3">
        <f t="shared" si="27"/>
        <v>1.5890188100879378E-4</v>
      </c>
      <c r="Z44" s="3">
        <f t="shared" si="27"/>
        <v>1.5890186670762513E-4</v>
      </c>
      <c r="AA44" s="3">
        <f t="shared" si="27"/>
        <v>1.5890172369600945E-4</v>
      </c>
      <c r="AB44" s="3">
        <f t="shared" si="27"/>
        <v>1.5890029358693169E-4</v>
      </c>
      <c r="AC44" s="3">
        <f t="shared" si="27"/>
        <v>1.5888599320403575E-4</v>
      </c>
      <c r="AD44" s="3">
        <f t="shared" si="27"/>
        <v>1.5874306013967905E-4</v>
      </c>
      <c r="AE44" s="3">
        <f t="shared" si="27"/>
        <v>1.5732078244839418E-4</v>
      </c>
      <c r="AF44" s="3">
        <f t="shared" si="29"/>
        <v>1.4378036917085793E-4</v>
      </c>
      <c r="AG44" s="3">
        <f t="shared" si="29"/>
        <v>5.8456735771173437E-5</v>
      </c>
      <c r="AH44" s="3">
        <f t="shared" si="29"/>
        <v>7.2141343090673065E-9</v>
      </c>
      <c r="AI44" s="3">
        <f t="shared" si="29"/>
        <v>5.9112707599660607E-48</v>
      </c>
      <c r="AJ44" s="3">
        <f t="shared" si="29"/>
        <v>0</v>
      </c>
    </row>
    <row r="45" spans="1:36" x14ac:dyDescent="0.25">
      <c r="A45" s="3">
        <f t="shared" si="30"/>
        <v>10000000000000</v>
      </c>
      <c r="B45" s="106">
        <v>0</v>
      </c>
      <c r="C45" s="18">
        <f t="shared" si="3"/>
        <v>0</v>
      </c>
      <c r="D45" s="17"/>
      <c r="F45" s="3">
        <f t="shared" si="28"/>
        <v>0</v>
      </c>
      <c r="G45" s="3">
        <f t="shared" si="28"/>
        <v>0</v>
      </c>
      <c r="H45" s="3">
        <f t="shared" si="28"/>
        <v>0</v>
      </c>
      <c r="I45" s="3">
        <f t="shared" si="28"/>
        <v>0</v>
      </c>
      <c r="J45" s="3">
        <f t="shared" si="28"/>
        <v>0</v>
      </c>
      <c r="K45" s="3">
        <f t="shared" si="28"/>
        <v>0</v>
      </c>
      <c r="L45" s="3">
        <f t="shared" si="28"/>
        <v>0</v>
      </c>
      <c r="M45" s="3">
        <f t="shared" si="28"/>
        <v>0</v>
      </c>
      <c r="N45" s="3">
        <f t="shared" si="28"/>
        <v>0</v>
      </c>
      <c r="O45" s="3">
        <f t="shared" si="28"/>
        <v>0</v>
      </c>
      <c r="P45" s="3">
        <f t="shared" si="27"/>
        <v>0</v>
      </c>
      <c r="Q45" s="3">
        <f t="shared" si="27"/>
        <v>0</v>
      </c>
      <c r="R45" s="3">
        <f t="shared" si="27"/>
        <v>0</v>
      </c>
      <c r="S45" s="3">
        <f t="shared" si="27"/>
        <v>0</v>
      </c>
      <c r="T45" s="3">
        <f t="shared" si="27"/>
        <v>0</v>
      </c>
      <c r="U45" s="3">
        <f t="shared" si="27"/>
        <v>0</v>
      </c>
      <c r="V45" s="3">
        <f t="shared" si="27"/>
        <v>0</v>
      </c>
      <c r="W45" s="3">
        <f t="shared" si="27"/>
        <v>0</v>
      </c>
      <c r="X45" s="3">
        <f t="shared" si="27"/>
        <v>0</v>
      </c>
      <c r="Y45" s="3">
        <f t="shared" si="27"/>
        <v>0</v>
      </c>
      <c r="Z45" s="3">
        <f t="shared" si="27"/>
        <v>0</v>
      </c>
      <c r="AA45" s="3">
        <f t="shared" si="27"/>
        <v>0</v>
      </c>
      <c r="AB45" s="3">
        <f t="shared" si="27"/>
        <v>0</v>
      </c>
      <c r="AC45" s="3">
        <f t="shared" si="27"/>
        <v>0</v>
      </c>
      <c r="AD45" s="3">
        <f t="shared" si="27"/>
        <v>0</v>
      </c>
      <c r="AE45" s="3">
        <f t="shared" si="27"/>
        <v>0</v>
      </c>
      <c r="AF45" s="3">
        <f t="shared" si="29"/>
        <v>0</v>
      </c>
      <c r="AG45" s="3">
        <f t="shared" si="29"/>
        <v>0</v>
      </c>
      <c r="AH45" s="3">
        <f t="shared" si="29"/>
        <v>0</v>
      </c>
      <c r="AI45" s="3">
        <f t="shared" si="29"/>
        <v>0</v>
      </c>
      <c r="AJ45" s="3">
        <f t="shared" si="29"/>
        <v>0</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3.3516443326179796E-4</v>
      </c>
      <c r="C48" s="18">
        <f t="shared" si="3"/>
        <v>7.8909905102376337E-4</v>
      </c>
      <c r="D48" s="17"/>
      <c r="F48" s="3">
        <f t="shared" si="28"/>
        <v>7.8909905102376337E-4</v>
      </c>
      <c r="G48" s="3">
        <f t="shared" si="28"/>
        <v>7.8909905102376337E-4</v>
      </c>
      <c r="H48" s="3">
        <f t="shared" si="28"/>
        <v>7.8909905102376337E-4</v>
      </c>
      <c r="I48" s="3">
        <f t="shared" si="28"/>
        <v>7.8909905102376337E-4</v>
      </c>
      <c r="J48" s="3">
        <f t="shared" si="28"/>
        <v>7.8909905102376337E-4</v>
      </c>
      <c r="K48" s="3">
        <f t="shared" si="28"/>
        <v>7.8909905102376337E-4</v>
      </c>
      <c r="L48" s="3">
        <f t="shared" si="28"/>
        <v>7.8909905102376337E-4</v>
      </c>
      <c r="M48" s="3">
        <f t="shared" si="28"/>
        <v>7.8909905102376337E-4</v>
      </c>
      <c r="N48" s="3">
        <f t="shared" si="28"/>
        <v>7.8909905102376337E-4</v>
      </c>
      <c r="O48" s="3">
        <f t="shared" si="28"/>
        <v>7.8909905102376337E-4</v>
      </c>
      <c r="P48" s="3">
        <f t="shared" si="27"/>
        <v>7.8909905102376337E-4</v>
      </c>
      <c r="Q48" s="3">
        <f t="shared" si="27"/>
        <v>7.8909905102376337E-4</v>
      </c>
      <c r="R48" s="3">
        <f t="shared" si="27"/>
        <v>7.8909905102376337E-4</v>
      </c>
      <c r="S48" s="3">
        <f t="shared" si="27"/>
        <v>7.8909905102376337E-4</v>
      </c>
      <c r="T48" s="3">
        <f t="shared" si="27"/>
        <v>7.8909905102376337E-4</v>
      </c>
      <c r="U48" s="3">
        <f t="shared" si="27"/>
        <v>7.8909905102376326E-4</v>
      </c>
      <c r="V48" s="3">
        <f t="shared" si="27"/>
        <v>7.8909905102376261E-4</v>
      </c>
      <c r="W48" s="3">
        <f t="shared" si="27"/>
        <v>7.8909905102375545E-4</v>
      </c>
      <c r="X48" s="3">
        <f t="shared" si="27"/>
        <v>7.8909905102368444E-4</v>
      </c>
      <c r="Y48" s="3">
        <f t="shared" si="27"/>
        <v>7.8909905102297429E-4</v>
      </c>
      <c r="Z48" s="3">
        <f t="shared" si="27"/>
        <v>7.8909905101587233E-4</v>
      </c>
      <c r="AA48" s="3">
        <f t="shared" si="27"/>
        <v>7.8909905094485351E-4</v>
      </c>
      <c r="AB48" s="3">
        <f t="shared" si="27"/>
        <v>7.8909905023466433E-4</v>
      </c>
      <c r="AC48" s="3">
        <f t="shared" si="27"/>
        <v>7.8909904313277288E-4</v>
      </c>
      <c r="AD48" s="3">
        <f t="shared" si="27"/>
        <v>7.8909897211386229E-4</v>
      </c>
      <c r="AE48" s="3">
        <f t="shared" si="27"/>
        <v>7.8909826192510694E-4</v>
      </c>
      <c r="AF48" s="3">
        <f t="shared" si="29"/>
        <v>7.8909116007270792E-4</v>
      </c>
      <c r="AG48" s="3">
        <f t="shared" si="29"/>
        <v>7.8902014506402468E-4</v>
      </c>
      <c r="AH48" s="3">
        <f t="shared" si="29"/>
        <v>7.8831034639078148E-4</v>
      </c>
      <c r="AI48" s="3">
        <f t="shared" si="29"/>
        <v>7.812473842777033E-4</v>
      </c>
      <c r="AJ48" s="3">
        <f t="shared" si="29"/>
        <v>7.1400634790296793E-4</v>
      </c>
    </row>
    <row r="49" spans="1:36" x14ac:dyDescent="0.25">
      <c r="B49" s="16">
        <f>SUM(B17:B48)</f>
        <v>0.42474317112276522</v>
      </c>
      <c r="C49" s="18">
        <f>SUM(C17:C48)</f>
        <v>1.0000000000000002</v>
      </c>
      <c r="F49" s="3">
        <f t="shared" ref="F49:AJ49" si="31">F16-F17</f>
        <v>89.630251478871287</v>
      </c>
      <c r="G49" s="3">
        <f t="shared" si="31"/>
        <v>-115.9336324545211</v>
      </c>
      <c r="H49" s="3">
        <f t="shared" si="31"/>
        <v>30.693180768779712</v>
      </c>
      <c r="I49" s="3">
        <f t="shared" si="31"/>
        <v>-5.0144300990505144</v>
      </c>
      <c r="J49" s="3">
        <f t="shared" si="31"/>
        <v>0.70640567914233543</v>
      </c>
      <c r="K49" s="3">
        <f t="shared" si="31"/>
        <v>-9.3238708934222814E-2</v>
      </c>
      <c r="L49" s="3">
        <f t="shared" si="31"/>
        <v>1.2672084423684282E-2</v>
      </c>
      <c r="M49" s="3">
        <f t="shared" si="31"/>
        <v>-5.2441229267969902E-3</v>
      </c>
      <c r="N49" s="3">
        <f t="shared" si="31"/>
        <v>6.0948707291572646E-3</v>
      </c>
      <c r="O49" s="3">
        <f t="shared" si="31"/>
        <v>-7.4975208333398768E-3</v>
      </c>
      <c r="P49" s="3">
        <f t="shared" si="31"/>
        <v>9.8429042045609094E-3</v>
      </c>
      <c r="Q49" s="3">
        <f t="shared" si="31"/>
        <v>-8.7606342636945556E-3</v>
      </c>
      <c r="R49" s="3">
        <f t="shared" si="31"/>
        <v>1.106693386822144E-2</v>
      </c>
      <c r="S49" s="3">
        <f t="shared" si="31"/>
        <v>-7.5379820641501283E-3</v>
      </c>
      <c r="T49" s="3">
        <f t="shared" si="31"/>
        <v>1.5991297261166437E-3</v>
      </c>
      <c r="U49" s="3">
        <f t="shared" si="31"/>
        <v>-1.1774435336064926E-5</v>
      </c>
      <c r="V49" s="3">
        <f t="shared" si="31"/>
        <v>-2.9071377155958089E-3</v>
      </c>
      <c r="W49" s="3">
        <f t="shared" si="31"/>
        <v>7.1660362575300951E-3</v>
      </c>
      <c r="X49" s="3">
        <f t="shared" si="31"/>
        <v>-7.3777564459192035E-3</v>
      </c>
      <c r="Y49" s="3">
        <f t="shared" si="31"/>
        <v>4.8396513391821827E-3</v>
      </c>
      <c r="Z49" s="3">
        <f t="shared" si="31"/>
        <v>-1.5064545567327059E-3</v>
      </c>
      <c r="AA49" s="3">
        <f t="shared" si="31"/>
        <v>1.2764850244479931E-3</v>
      </c>
      <c r="AB49" s="3">
        <f t="shared" si="31"/>
        <v>7.5767617728672576E-4</v>
      </c>
      <c r="AC49" s="3">
        <f t="shared" si="31"/>
        <v>-7.3770633207033143E-3</v>
      </c>
      <c r="AD49" s="3">
        <f t="shared" si="31"/>
        <v>1.5733622999292152E-2</v>
      </c>
      <c r="AE49" s="3">
        <f t="shared" si="31"/>
        <v>-3.533550242671879E-2</v>
      </c>
      <c r="AF49" s="3">
        <f t="shared" si="31"/>
        <v>6.5869288501076539E-2</v>
      </c>
      <c r="AG49" s="3">
        <f t="shared" si="31"/>
        <v>-9.4169320253172373E-2</v>
      </c>
      <c r="AH49" s="3">
        <f t="shared" si="31"/>
        <v>0.32441515634182849</v>
      </c>
      <c r="AI49" s="3">
        <f t="shared" si="31"/>
        <v>-0.26066780037572812</v>
      </c>
      <c r="AJ49" s="3">
        <f t="shared" si="31"/>
        <v>-1.1812892249821516E-2</v>
      </c>
    </row>
    <row r="50" spans="1:36" x14ac:dyDescent="0.25">
      <c r="F50" s="57">
        <f t="shared" ref="F50:AJ50" si="32">F49/F17</f>
        <v>1.4755682598938009E-2</v>
      </c>
      <c r="G50" s="57">
        <f t="shared" si="32"/>
        <v>-1.9458649733254146E-2</v>
      </c>
      <c r="H50" s="57">
        <f t="shared" si="32"/>
        <v>5.5534308429829793E-3</v>
      </c>
      <c r="I50" s="57">
        <f t="shared" si="32"/>
        <v>-9.4961351411837838E-4</v>
      </c>
      <c r="J50" s="57">
        <f t="shared" si="32"/>
        <v>1.422571417721948E-4</v>
      </c>
      <c r="K50" s="57">
        <f t="shared" si="32"/>
        <v>-2.0176695869404167E-5</v>
      </c>
      <c r="L50" s="57">
        <f t="shared" si="32"/>
        <v>3.049498783419043E-6</v>
      </c>
      <c r="M50" s="57">
        <f t="shared" si="32"/>
        <v>-1.4702690536613917E-6</v>
      </c>
      <c r="N50" s="57">
        <f t="shared" si="32"/>
        <v>2.1378469997924641E-6</v>
      </c>
      <c r="O50" s="57">
        <f t="shared" si="32"/>
        <v>-3.7439507280675442E-6</v>
      </c>
      <c r="P50" s="57">
        <f t="shared" si="32"/>
        <v>7.8963279671658868E-6</v>
      </c>
      <c r="Q50" s="57">
        <f t="shared" si="32"/>
        <v>-1.2140022696031128E-5</v>
      </c>
      <c r="R50" s="57">
        <f t="shared" si="32"/>
        <v>2.7344987374734228E-5</v>
      </c>
      <c r="S50" s="57">
        <f t="shared" si="32"/>
        <v>-2.8436701622543112E-5</v>
      </c>
      <c r="T50" s="57">
        <f t="shared" si="32"/>
        <v>7.1262737818009437E-6</v>
      </c>
      <c r="U50" s="57">
        <f t="shared" si="32"/>
        <v>-5.8147657978877535E-8</v>
      </c>
      <c r="V50" s="57">
        <f t="shared" si="32"/>
        <v>-1.5313569911568744E-5</v>
      </c>
      <c r="W50" s="57">
        <f t="shared" si="32"/>
        <v>4.2188960893768704E-5</v>
      </c>
      <c r="X50" s="57">
        <f t="shared" si="32"/>
        <v>-5.1846118370754568E-5</v>
      </c>
      <c r="Y50" s="57">
        <f t="shared" si="32"/>
        <v>3.9763349486523046E-5</v>
      </c>
      <c r="Z50" s="57">
        <f t="shared" si="32"/>
        <v>-1.3785486481459016E-5</v>
      </c>
      <c r="AA50" s="57">
        <f t="shared" si="32"/>
        <v>1.2524054134132616E-5</v>
      </c>
      <c r="AB50" s="57">
        <f t="shared" si="32"/>
        <v>7.770995341678158E-6</v>
      </c>
      <c r="AC50" s="57">
        <f t="shared" si="32"/>
        <v>-7.7882623355977809E-5</v>
      </c>
      <c r="AD50" s="57">
        <f t="shared" si="32"/>
        <v>1.6933583131620221E-4</v>
      </c>
      <c r="AE50" s="57">
        <f t="shared" si="32"/>
        <v>-3.8390827407294877E-4</v>
      </c>
      <c r="AF50" s="57">
        <f t="shared" si="32"/>
        <v>7.1833323475691533E-4</v>
      </c>
      <c r="AG50" s="57">
        <f t="shared" si="32"/>
        <v>-1.0359235131702678E-3</v>
      </c>
      <c r="AH50" s="57">
        <f t="shared" si="32"/>
        <v>3.585885681690144E-3</v>
      </c>
      <c r="AI50" s="57">
        <f t="shared" si="32"/>
        <v>-2.8829132568473667E-3</v>
      </c>
      <c r="AJ50" s="57">
        <f t="shared" si="32"/>
        <v>-1.3136346629995078E-4</v>
      </c>
    </row>
    <row r="51" spans="1:36" x14ac:dyDescent="0.25">
      <c r="A51" s="13" t="s">
        <v>21</v>
      </c>
      <c r="B51" s="3">
        <f>STUTT!D8</f>
        <v>7330.9827999999998</v>
      </c>
      <c r="E51" s="11" t="s">
        <v>24</v>
      </c>
      <c r="F51" s="20">
        <f t="shared" ref="F51:AJ51" si="33">(F16-F17)^2</f>
        <v>8033.581980165709</v>
      </c>
      <c r="G51" s="20">
        <f t="shared" si="33"/>
        <v>13440.607134099988</v>
      </c>
      <c r="H51" s="20">
        <f t="shared" si="33"/>
        <v>942.07134570498874</v>
      </c>
      <c r="I51" s="20">
        <f t="shared" si="33"/>
        <v>25.144509218263753</v>
      </c>
      <c r="J51" s="20">
        <f t="shared" si="33"/>
        <v>0.49900898352454415</v>
      </c>
      <c r="K51" s="20">
        <f t="shared" si="33"/>
        <v>8.6934568437207205E-3</v>
      </c>
      <c r="L51" s="20">
        <f t="shared" si="33"/>
        <v>1.605817236409818E-4</v>
      </c>
      <c r="M51" s="20">
        <f t="shared" si="33"/>
        <v>2.7500825271357831E-5</v>
      </c>
      <c r="N51" s="20">
        <f t="shared" si="33"/>
        <v>3.7147449205138007E-5</v>
      </c>
      <c r="O51" s="20">
        <f t="shared" si="33"/>
        <v>5.6212818646365483E-5</v>
      </c>
      <c r="P51" s="20">
        <f t="shared" si="33"/>
        <v>9.6882763180162823E-5</v>
      </c>
      <c r="Q51" s="20">
        <f t="shared" si="33"/>
        <v>7.674871270221905E-5</v>
      </c>
      <c r="R51" s="20">
        <f t="shared" si="33"/>
        <v>1.2247702524358678E-4</v>
      </c>
      <c r="S51" s="20">
        <f t="shared" si="33"/>
        <v>5.6821173599449029E-5</v>
      </c>
      <c r="T51" s="20">
        <f t="shared" si="33"/>
        <v>2.5572158809498918E-6</v>
      </c>
      <c r="U51" s="20">
        <f t="shared" si="33"/>
        <v>1.3863732748317436E-10</v>
      </c>
      <c r="V51" s="20">
        <f t="shared" si="33"/>
        <v>8.451449697439618E-6</v>
      </c>
      <c r="W51" s="20">
        <f t="shared" si="33"/>
        <v>5.135207564423593E-5</v>
      </c>
      <c r="X51" s="20">
        <f t="shared" si="33"/>
        <v>5.443129017530236E-5</v>
      </c>
      <c r="Y51" s="20">
        <f t="shared" si="33"/>
        <v>2.3422225084847896E-5</v>
      </c>
      <c r="Z51" s="20">
        <f t="shared" si="33"/>
        <v>2.2694053315007335E-6</v>
      </c>
      <c r="AA51" s="20">
        <f t="shared" si="33"/>
        <v>1.6294140176399935E-6</v>
      </c>
      <c r="AB51" s="20">
        <f t="shared" si="33"/>
        <v>5.7407318962782588E-7</v>
      </c>
      <c r="AC51" s="20">
        <f t="shared" si="33"/>
        <v>5.4421063237666208E-5</v>
      </c>
      <c r="AD51" s="20">
        <f t="shared" si="33"/>
        <v>2.4754689268385497E-4</v>
      </c>
      <c r="AE51" s="20">
        <f t="shared" si="33"/>
        <v>1.2485977317486495E-3</v>
      </c>
      <c r="AF51" s="20">
        <f t="shared" si="33"/>
        <v>4.3387631676380543E-3</v>
      </c>
      <c r="AG51" s="20">
        <f t="shared" si="33"/>
        <v>8.8678608769445413E-3</v>
      </c>
      <c r="AH51" s="20">
        <f t="shared" si="33"/>
        <v>0.10524519366429302</v>
      </c>
      <c r="AI51" s="20">
        <f t="shared" si="33"/>
        <v>6.7947702152720446E-2</v>
      </c>
      <c r="AJ51" s="20">
        <f t="shared" si="33"/>
        <v>1.3954442330589323E-4</v>
      </c>
    </row>
    <row r="52" spans="1:36" x14ac:dyDescent="0.25">
      <c r="A52" s="13"/>
    </row>
    <row r="53" spans="1:36" x14ac:dyDescent="0.25">
      <c r="E53" s="119" t="s">
        <v>25</v>
      </c>
      <c r="F53" s="119"/>
      <c r="G53" s="104">
        <f>SUM(F51:AJ51)</f>
        <v>22442.101540319058</v>
      </c>
      <c r="I53" s="3">
        <f>G53+C123</f>
        <v>22442.101540319058</v>
      </c>
      <c r="K53" s="3">
        <f>SUM(Z51:AJ51)</f>
        <v>0.18809410286511088</v>
      </c>
    </row>
    <row r="55" spans="1:36" x14ac:dyDescent="0.25">
      <c r="E55" s="30" t="s">
        <v>30</v>
      </c>
      <c r="F55" s="31">
        <f t="shared" ref="F55:AJ55" si="34">ABS(F17-F16)/F16</f>
        <v>1.4541118470158793E-2</v>
      </c>
      <c r="G55" s="31">
        <f t="shared" si="34"/>
        <v>1.9844802799964149E-2</v>
      </c>
      <c r="H55" s="31">
        <f t="shared" si="34"/>
        <v>5.5227605740725142E-3</v>
      </c>
      <c r="I55" s="31">
        <f t="shared" si="34"/>
        <v>9.5051613708754432E-4</v>
      </c>
      <c r="J55" s="31">
        <f t="shared" si="34"/>
        <v>1.4223690755627133E-4</v>
      </c>
      <c r="K55" s="31">
        <f t="shared" si="34"/>
        <v>2.0177102976674456E-5</v>
      </c>
      <c r="L55" s="31">
        <f t="shared" si="34"/>
        <v>3.0494894840045716E-6</v>
      </c>
      <c r="M55" s="31">
        <f t="shared" si="34"/>
        <v>1.47027121535566E-6</v>
      </c>
      <c r="N55" s="31">
        <f t="shared" si="34"/>
        <v>2.1378424294124404E-6</v>
      </c>
      <c r="O55" s="31">
        <f t="shared" si="34"/>
        <v>3.7439647452870781E-6</v>
      </c>
      <c r="P55" s="31">
        <f t="shared" si="34"/>
        <v>7.8962656156628689E-6</v>
      </c>
      <c r="Q55" s="31">
        <f t="shared" si="34"/>
        <v>1.2140170077971408E-5</v>
      </c>
      <c r="R55" s="31">
        <f t="shared" si="34"/>
        <v>2.7344239646846314E-5</v>
      </c>
      <c r="S55" s="31">
        <f t="shared" si="34"/>
        <v>2.843751029153816E-5</v>
      </c>
      <c r="T55" s="31">
        <f t="shared" si="34"/>
        <v>7.1262229983848268E-6</v>
      </c>
      <c r="U55" s="31">
        <f t="shared" si="34"/>
        <v>5.814766136002786E-8</v>
      </c>
      <c r="V55" s="31">
        <f t="shared" si="34"/>
        <v>1.5313804420583351E-5</v>
      </c>
      <c r="W55" s="31">
        <f t="shared" si="34"/>
        <v>4.2187181060436725E-5</v>
      </c>
      <c r="X55" s="31">
        <f t="shared" si="34"/>
        <v>5.1848806530115306E-5</v>
      </c>
      <c r="Y55" s="31">
        <f t="shared" si="34"/>
        <v>3.976176842542894E-5</v>
      </c>
      <c r="Z55" s="31">
        <f t="shared" si="34"/>
        <v>1.3785676523716372E-5</v>
      </c>
      <c r="AA55" s="31">
        <f t="shared" si="34"/>
        <v>1.2523897284165058E-5</v>
      </c>
      <c r="AB55" s="31">
        <f t="shared" si="34"/>
        <v>7.7709349537788329E-6</v>
      </c>
      <c r="AC55" s="31">
        <f t="shared" si="34"/>
        <v>7.788868953144828E-5</v>
      </c>
      <c r="AD55" s="31">
        <f t="shared" si="34"/>
        <v>1.6930716154725382E-4</v>
      </c>
      <c r="AE55" s="31">
        <f t="shared" si="34"/>
        <v>3.8405571624011838E-4</v>
      </c>
      <c r="AF55" s="31">
        <f t="shared" si="34"/>
        <v>7.1781760251653421E-4</v>
      </c>
      <c r="AG55" s="31">
        <f t="shared" si="34"/>
        <v>1.0369977635366202E-3</v>
      </c>
      <c r="AH55" s="31">
        <f t="shared" si="34"/>
        <v>3.5730730501997996E-3</v>
      </c>
      <c r="AI55" s="31">
        <f t="shared" si="34"/>
        <v>2.8912484754059545E-3</v>
      </c>
      <c r="AJ55" s="31">
        <f t="shared" si="34"/>
        <v>1.3138072492738223E-4</v>
      </c>
    </row>
    <row r="56" spans="1:36" x14ac:dyDescent="0.25">
      <c r="E56" s="13" t="s">
        <v>31</v>
      </c>
      <c r="F56" s="32">
        <f>AVERAGE(F55:AJ55)</f>
        <v>1.6219347538414543E-3</v>
      </c>
    </row>
    <row r="57" spans="1:36" x14ac:dyDescent="0.25">
      <c r="A57" s="42"/>
      <c r="B57" s="15"/>
      <c r="C57" s="15"/>
      <c r="D57" s="15"/>
      <c r="F57" s="60">
        <f>AVERAGE(S55:X55)</f>
        <v>2.4161945493736402E-5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20"/>
      <c r="D63" s="120"/>
      <c r="E63" s="120"/>
      <c r="F63" s="120"/>
      <c r="G63" s="120"/>
      <c r="H63" s="120"/>
      <c r="I63" s="120"/>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-44.26089696904954</v>
      </c>
    </row>
    <row r="119" spans="1:14" x14ac:dyDescent="0.25">
      <c r="L119" s="11">
        <f>L118+1</f>
        <v>2</v>
      </c>
      <c r="M119" s="11">
        <f t="shared" ref="M119:M124" si="35">INDEX($B$125:$K$126,1,L119)</f>
        <v>0</v>
      </c>
      <c r="N119" s="11">
        <f t="shared" ref="N119:N124" si="36">IF(L119=$B$3,0,INDEX($B$125:$K$126,2,L119))</f>
        <v>-41.268748195236732</v>
      </c>
    </row>
    <row r="120" spans="1:14" x14ac:dyDescent="0.25">
      <c r="L120" s="11">
        <f t="shared" ref="L120:L124" si="37">L119+1</f>
        <v>3</v>
      </c>
      <c r="M120" s="11">
        <f t="shared" si="35"/>
        <v>25</v>
      </c>
      <c r="N120" s="11">
        <f t="shared" si="36"/>
        <v>-37.103682773973375</v>
      </c>
    </row>
    <row r="121" spans="1:14" x14ac:dyDescent="0.25">
      <c r="A121" s="103">
        <f>(A165+A204+A243+A282+A321+A360+A399)*10^9</f>
        <v>6.1445678803799496E+16</v>
      </c>
      <c r="L121" s="11">
        <f t="shared" si="37"/>
        <v>4</v>
      </c>
      <c r="M121" s="11">
        <f t="shared" si="35"/>
        <v>50</v>
      </c>
      <c r="N121" s="11">
        <f t="shared" si="36"/>
        <v>-31.380796825884964</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-22.619462830515431</v>
      </c>
    </row>
    <row r="123" spans="1:14" x14ac:dyDescent="0.25">
      <c r="A123" s="119"/>
      <c r="B123" s="119"/>
      <c r="C123" s="3"/>
      <c r="D123" s="3"/>
      <c r="E123" s="3"/>
      <c r="F123" s="3"/>
      <c r="G123" s="3"/>
      <c r="H123" s="3"/>
      <c r="I123" s="3"/>
      <c r="J123" s="3"/>
      <c r="K123" s="3"/>
      <c r="L123" s="11">
        <f t="shared" si="37"/>
        <v>6</v>
      </c>
      <c r="M123" s="11">
        <f t="shared" si="35"/>
        <v>125</v>
      </c>
      <c r="N123" s="11">
        <f t="shared" si="36"/>
        <v>-4.183678981864384</v>
      </c>
    </row>
    <row r="124" spans="1:14" x14ac:dyDescent="0.25">
      <c r="B124" s="3"/>
      <c r="C124" s="3"/>
      <c r="D124" s="3"/>
      <c r="E124" s="3"/>
      <c r="F124" s="3"/>
      <c r="G124" s="3"/>
      <c r="H124" s="3"/>
      <c r="I124" s="3"/>
      <c r="J124" s="3"/>
      <c r="K124" s="3"/>
      <c r="L124" s="11">
        <f t="shared" si="37"/>
        <v>7</v>
      </c>
      <c r="M124" s="11">
        <f t="shared" si="35"/>
        <v>160</v>
      </c>
      <c r="N124" s="11">
        <f t="shared" si="36"/>
        <v>0</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-44.26089696904954</v>
      </c>
      <c r="C126" s="107">
        <v>-41.268748195236732</v>
      </c>
      <c r="D126" s="107">
        <v>-37.103682773973375</v>
      </c>
      <c r="E126" s="107">
        <v>-31.380796825884964</v>
      </c>
      <c r="F126" s="107">
        <v>-22.619462830515431</v>
      </c>
      <c r="G126" s="107">
        <v>-4.183678981864384</v>
      </c>
      <c r="H126" s="107">
        <v>-1.6232008131628779E-5</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7439.7100142178388</v>
      </c>
      <c r="C130" s="26">
        <f>INDEX(Comparison!$AM$3:$AS$33,G14,$B$122)</f>
        <v>7439.7868081900597</v>
      </c>
      <c r="D130" s="26">
        <f>INDEX(Comparison!$AM$3:$AS$33,H14,$B$122)</f>
        <v>7439.7470193525078</v>
      </c>
      <c r="E130" s="26">
        <f>INDEX(Comparison!$AM$3:$AS$33,I14,$B$122)</f>
        <v>7439.7367084831149</v>
      </c>
      <c r="F130" s="26">
        <f>INDEX(Comparison!$AM$3:$AS$33,J14,$B$122)</f>
        <v>7439.7336721589263</v>
      </c>
      <c r="G130" s="26">
        <f>INDEX(Comparison!$AM$3:$AS$33,K14,$B$122)</f>
        <v>7439.732723308126</v>
      </c>
      <c r="H130" s="26">
        <f>INDEX(Comparison!$AM$3:$AS$33,L14,$B$122)</f>
        <v>7439.7324702812866</v>
      </c>
      <c r="I130" s="26">
        <f>INDEX(Comparison!$AM$3:$AS$33,M14,$B$122)</f>
        <v>7439.7324070245795</v>
      </c>
      <c r="J130" s="26">
        <f>INDEX(Comparison!$AM$3:$AS$33,N14,$B$122)</f>
        <v>7439.7323437678724</v>
      </c>
      <c r="K130" s="26">
        <f>INDEX(Comparison!$AM$3:$AS$33,O14,$B$122)</f>
        <v>7439.7323437678724</v>
      </c>
      <c r="L130" s="26">
        <f>INDEX(Comparison!$AM$3:$AS$33,P14,$B$122)</f>
        <v>7439.7323437678724</v>
      </c>
      <c r="M130" s="26">
        <f>INDEX(Comparison!$AM$3:$AS$33,Q14,$B$122)</f>
        <v>7439.7322172544646</v>
      </c>
      <c r="N130" s="26">
        <f>INDEX(Comparison!$AM$3:$AS$33,R14,$B$122)</f>
        <v>7439.7315214307937</v>
      </c>
      <c r="O130" s="26">
        <f>INDEX(Comparison!$AM$3:$AS$33,S14,$B$122)</f>
        <v>7439.7241836618095</v>
      </c>
      <c r="P130" s="26">
        <f>INDEX(Comparison!$AM$3:$AS$33,T14,$B$122)</f>
        <v>7439.6508067680606</v>
      </c>
      <c r="Q130" s="26">
        <f>INDEX(Comparison!$AM$3:$AS$33,U14,$B$122)</f>
        <v>7438.9188882303606</v>
      </c>
      <c r="R130" s="26">
        <f>INDEX(Comparison!$AM$3:$AS$33,V14,$B$122)</f>
        <v>7431.7642795214106</v>
      </c>
      <c r="S130" s="26">
        <f>INDEX(Comparison!$AM$3:$AS$33,W14,$B$122)</f>
        <v>7374.1954046997607</v>
      </c>
      <c r="T130" s="26">
        <f>INDEX(Comparison!$AM$3:$AS$33,X14,$B$122)</f>
        <v>7229.1163160436472</v>
      </c>
      <c r="U130" s="26">
        <f>INDEX(Comparison!$AM$3:$AS$33,Y14,$B$122)</f>
        <v>7065.0007195804155</v>
      </c>
      <c r="V130" s="26">
        <f>INDEX(Comparison!$AM$3:$AS$33,Z14,$B$122)</f>
        <v>6763.2909836921517</v>
      </c>
      <c r="W130" s="26">
        <f>INDEX(Comparison!$AM$3:$AS$33,AA14,$B$122)</f>
        <v>6076.274832146727</v>
      </c>
      <c r="X130" s="26">
        <f>INDEX(Comparison!$AM$3:$AS$33,AB14,$B$122)</f>
        <v>5152.9727387836929</v>
      </c>
      <c r="Y130" s="26">
        <f>INDEX(Comparison!$AM$3:$AS$33,AC14,$B$122)</f>
        <v>4349.4578522571974</v>
      </c>
      <c r="Z130" s="26">
        <f>INDEX(Comparison!$AM$3:$AS$33,AD14,$B$122)</f>
        <v>3760.3414331574859</v>
      </c>
      <c r="AA130" s="26">
        <f>INDEX(Comparison!$AM$3:$AS$33,AE14,$B$122)</f>
        <v>3336.4331784463179</v>
      </c>
      <c r="AB130" s="26">
        <f>INDEX(Comparison!$AM$3:$AS$33,AF14,$B$122)</f>
        <v>2995.2983606085086</v>
      </c>
      <c r="AC130" s="26">
        <f>INDEX(Comparison!$AM$3:$AS$33,AG14,$B$122)</f>
        <v>2700.8479980556854</v>
      </c>
      <c r="AD130" s="26">
        <f>INDEX(Comparison!$AM$3:$AS$33,AH14,$B$122)</f>
        <v>2380.901782740345</v>
      </c>
      <c r="AE130" s="26">
        <f>INDEX(Comparison!$AM$3:$AS$33,AI14,$B$122)</f>
        <v>2012.430565108212</v>
      </c>
      <c r="AF130" s="26">
        <f>INDEX(Comparison!$AM$3:$AS$33,AJ14,$B$122)</f>
        <v>1596.0920370512245</v>
      </c>
    </row>
    <row r="131" spans="1:33" x14ac:dyDescent="0.25">
      <c r="A131" s="68" t="s">
        <v>22</v>
      </c>
      <c r="B131" s="27">
        <f>($C$17+SUM(B132:B162))*$B$51</f>
        <v>7330.9083472335833</v>
      </c>
      <c r="C131" s="27">
        <f t="shared" ref="C131:AF131" si="40">($C$17+SUM(C132:C162))*$B$51</f>
        <v>7330.2384731283728</v>
      </c>
      <c r="D131" s="27">
        <f t="shared" si="40"/>
        <v>7323.5595708773189</v>
      </c>
      <c r="E131" s="27">
        <f t="shared" si="40"/>
        <v>7258.7153933231284</v>
      </c>
      <c r="F131" s="27">
        <f t="shared" si="40"/>
        <v>6770.9512995027735</v>
      </c>
      <c r="G131" s="27">
        <f t="shared" si="40"/>
        <v>6091.9775893412316</v>
      </c>
      <c r="H131" s="27">
        <f t="shared" si="40"/>
        <v>6088.8810506995042</v>
      </c>
      <c r="I131" s="27">
        <f t="shared" si="40"/>
        <v>6088.881050699496</v>
      </c>
      <c r="J131" s="27">
        <f t="shared" si="40"/>
        <v>6088.8810506994187</v>
      </c>
      <c r="K131" s="27">
        <f t="shared" si="40"/>
        <v>6088.881050698621</v>
      </c>
      <c r="L131" s="27">
        <f t="shared" si="40"/>
        <v>6088.8810506906493</v>
      </c>
      <c r="M131" s="27">
        <f t="shared" si="40"/>
        <v>6088.8810506109385</v>
      </c>
      <c r="N131" s="27">
        <f t="shared" si="40"/>
        <v>6088.8810498138337</v>
      </c>
      <c r="O131" s="27">
        <f t="shared" si="40"/>
        <v>6088.8810418427875</v>
      </c>
      <c r="P131" s="27">
        <f t="shared" si="40"/>
        <v>6088.8809621323298</v>
      </c>
      <c r="Q131" s="27">
        <f t="shared" si="40"/>
        <v>6088.8801650283449</v>
      </c>
      <c r="R131" s="27">
        <f t="shared" si="40"/>
        <v>6088.8721940470086</v>
      </c>
      <c r="S131" s="27">
        <f t="shared" si="40"/>
        <v>6088.7924900864109</v>
      </c>
      <c r="T131" s="27">
        <f t="shared" si="40"/>
        <v>6087.996035456531</v>
      </c>
      <c r="U131" s="27">
        <f t="shared" si="40"/>
        <v>6080.0896895780015</v>
      </c>
      <c r="V131" s="27">
        <f t="shared" si="40"/>
        <v>6006.560152472538</v>
      </c>
      <c r="W131" s="27">
        <f t="shared" si="40"/>
        <v>5622.2347004457906</v>
      </c>
      <c r="X131" s="27">
        <f t="shared" si="40"/>
        <v>5337.9672660584883</v>
      </c>
      <c r="Y131" s="27">
        <f t="shared" si="40"/>
        <v>5046.5586242946229</v>
      </c>
      <c r="Z131" s="27">
        <f t="shared" si="40"/>
        <v>4711.3389376071837</v>
      </c>
      <c r="AA131" s="27">
        <f t="shared" si="40"/>
        <v>4281.8666509539871</v>
      </c>
      <c r="AB131" s="27">
        <f t="shared" si="40"/>
        <v>3723.4958932437621</v>
      </c>
      <c r="AC131" s="27">
        <f t="shared" si="40"/>
        <v>3039.7949278593119</v>
      </c>
      <c r="AD131" s="27">
        <f t="shared" si="40"/>
        <v>2217.638602332539</v>
      </c>
      <c r="AE131" s="27">
        <f t="shared" si="40"/>
        <v>1406.2604890210132</v>
      </c>
      <c r="AF131" s="27">
        <f t="shared" si="40"/>
        <v>818.06100856528894</v>
      </c>
    </row>
    <row r="132" spans="1:33" x14ac:dyDescent="0.25">
      <c r="B132" s="3">
        <f t="shared" ref="B132:Z133" si="41">$C18*EXP(-B$129/$A18/EXP(-$B$126))</f>
        <v>0.16942166288182772</v>
      </c>
      <c r="C132" s="3">
        <f t="shared" ref="C132:AF132" si="42">$C18*EXP(-C$129/$A18/EXP(-$B$126))</f>
        <v>0.16933028712451317</v>
      </c>
      <c r="D132" s="3">
        <f t="shared" si="42"/>
        <v>0.16841923570981701</v>
      </c>
      <c r="E132" s="3">
        <f t="shared" si="42"/>
        <v>0.1595740127263186</v>
      </c>
      <c r="F132" s="3">
        <f t="shared" si="42"/>
        <v>9.3039401047737696E-2</v>
      </c>
      <c r="G132" s="3">
        <f t="shared" si="42"/>
        <v>4.2239065705153463E-4</v>
      </c>
      <c r="H132" s="3">
        <f t="shared" si="42"/>
        <v>1.5710437456317363E-27</v>
      </c>
      <c r="I132" s="3">
        <f t="shared" si="42"/>
        <v>7.9602741586682942E-262</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7.5788306997470078E-2</v>
      </c>
      <c r="C133" s="3">
        <f t="shared" si="41"/>
        <v>7.5788306997470078E-2</v>
      </c>
      <c r="D133" s="3">
        <f t="shared" si="41"/>
        <v>7.5788306997470078E-2</v>
      </c>
      <c r="E133" s="3">
        <f t="shared" si="41"/>
        <v>7.5788306997470078E-2</v>
      </c>
      <c r="F133" s="3">
        <f t="shared" si="41"/>
        <v>7.5788306997470078E-2</v>
      </c>
      <c r="G133" s="3">
        <f t="shared" si="41"/>
        <v>7.5788306997470065E-2</v>
      </c>
      <c r="H133" s="3">
        <f t="shared" si="41"/>
        <v>7.5788306997469967E-2</v>
      </c>
      <c r="I133" s="3">
        <f t="shared" si="41"/>
        <v>7.5788306997468913E-2</v>
      </c>
      <c r="J133" s="3">
        <f t="shared" si="41"/>
        <v>7.5788306997458435E-2</v>
      </c>
      <c r="K133" s="3">
        <f t="shared" si="41"/>
        <v>7.5788306997353713E-2</v>
      </c>
      <c r="L133" s="3">
        <f t="shared" si="41"/>
        <v>7.5788306996306384E-2</v>
      </c>
      <c r="M133" s="3">
        <f t="shared" si="41"/>
        <v>7.5788306985833082E-2</v>
      </c>
      <c r="N133" s="3">
        <f t="shared" si="41"/>
        <v>7.5788306881100137E-2</v>
      </c>
      <c r="O133" s="3">
        <f t="shared" si="41"/>
        <v>7.5788305833770719E-2</v>
      </c>
      <c r="P133" s="3">
        <f t="shared" si="41"/>
        <v>7.5788295360477292E-2</v>
      </c>
      <c r="Q133" s="3">
        <f t="shared" si="41"/>
        <v>7.5788190627622612E-2</v>
      </c>
      <c r="R133" s="3">
        <f t="shared" si="41"/>
        <v>7.5787143307035981E-2</v>
      </c>
      <c r="S133" s="3">
        <f t="shared" si="41"/>
        <v>7.5776670897150233E-2</v>
      </c>
      <c r="T133" s="3">
        <f t="shared" si="41"/>
        <v>7.5672026355658367E-2</v>
      </c>
      <c r="U133" s="3">
        <f t="shared" si="41"/>
        <v>7.4633496148888992E-2</v>
      </c>
      <c r="V133" s="3">
        <f t="shared" si="41"/>
        <v>6.5000696759839813E-2</v>
      </c>
      <c r="W133" s="3">
        <f t="shared" si="41"/>
        <v>1.6321507501537179E-2</v>
      </c>
      <c r="X133" s="3">
        <f t="shared" si="41"/>
        <v>1.6262332586344569E-8</v>
      </c>
      <c r="Y133" s="3">
        <f t="shared" si="41"/>
        <v>1.5682255899339548E-68</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2.742614598116927E-2</v>
      </c>
      <c r="C134" s="3">
        <f t="shared" si="44"/>
        <v>2.742614598116927E-2</v>
      </c>
      <c r="D134" s="3">
        <f t="shared" si="44"/>
        <v>2.742614598116927E-2</v>
      </c>
      <c r="E134" s="3">
        <f t="shared" si="44"/>
        <v>2.742614598116927E-2</v>
      </c>
      <c r="F134" s="3">
        <f t="shared" si="44"/>
        <v>2.742614598116927E-2</v>
      </c>
      <c r="G134" s="3">
        <f t="shared" si="44"/>
        <v>2.742614598116927E-2</v>
      </c>
      <c r="H134" s="3">
        <f t="shared" si="44"/>
        <v>2.7426145981169266E-2</v>
      </c>
      <c r="I134" s="3">
        <f t="shared" si="44"/>
        <v>2.7426145981169232E-2</v>
      </c>
      <c r="J134" s="3">
        <f t="shared" si="44"/>
        <v>2.7426145981168888E-2</v>
      </c>
      <c r="K134" s="3">
        <f t="shared" si="44"/>
        <v>2.7426145981165471E-2</v>
      </c>
      <c r="L134" s="3">
        <f t="shared" si="44"/>
        <v>2.7426145981131283E-2</v>
      </c>
      <c r="M134" s="3">
        <f t="shared" si="44"/>
        <v>2.7426145980789386E-2</v>
      </c>
      <c r="N134" s="3">
        <f t="shared" si="44"/>
        <v>2.7426145977370437E-2</v>
      </c>
      <c r="O134" s="3">
        <f t="shared" si="44"/>
        <v>2.7426145943180959E-2</v>
      </c>
      <c r="P134" s="3">
        <f t="shared" si="44"/>
        <v>2.7426145601286176E-2</v>
      </c>
      <c r="Q134" s="3">
        <f t="shared" si="44"/>
        <v>2.7426142182338586E-2</v>
      </c>
      <c r="R134" s="3">
        <f t="shared" si="44"/>
        <v>2.7426107992886129E-2</v>
      </c>
      <c r="S134" s="3">
        <f t="shared" si="44"/>
        <v>2.7425766100705667E-2</v>
      </c>
      <c r="T134" s="3">
        <f t="shared" si="44"/>
        <v>2.7422347413302659E-2</v>
      </c>
      <c r="U134" s="3">
        <f t="shared" si="44"/>
        <v>2.7388183968626214E-2</v>
      </c>
      <c r="V134" s="3">
        <f t="shared" si="44"/>
        <v>2.7048881686550612E-2</v>
      </c>
      <c r="W134" s="3">
        <f t="shared" si="44"/>
        <v>2.3878667763729305E-2</v>
      </c>
      <c r="X134" s="3">
        <f t="shared" si="44"/>
        <v>6.8646418001143449E-3</v>
      </c>
      <c r="Y134" s="3">
        <f t="shared" si="44"/>
        <v>2.6466453832331584E-8</v>
      </c>
      <c r="Z134" s="3">
        <f t="shared" si="44"/>
        <v>1.9207661922549081E-62</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4.6802795715284964E-2</v>
      </c>
      <c r="C135" s="3">
        <f t="shared" si="47"/>
        <v>4.6802795715284964E-2</v>
      </c>
      <c r="D135" s="3">
        <f t="shared" si="47"/>
        <v>4.6802795715284964E-2</v>
      </c>
      <c r="E135" s="3">
        <f t="shared" si="47"/>
        <v>4.6802795715284964E-2</v>
      </c>
      <c r="F135" s="3">
        <f t="shared" si="47"/>
        <v>4.6802795715284964E-2</v>
      </c>
      <c r="G135" s="3">
        <f t="shared" si="47"/>
        <v>4.6802795715284964E-2</v>
      </c>
      <c r="H135" s="3">
        <f t="shared" si="47"/>
        <v>4.6802795715284964E-2</v>
      </c>
      <c r="I135" s="3">
        <f t="shared" si="47"/>
        <v>4.6802795715284957E-2</v>
      </c>
      <c r="J135" s="3">
        <f t="shared" si="47"/>
        <v>4.6802795715284909E-2</v>
      </c>
      <c r="K135" s="3">
        <f t="shared" si="47"/>
        <v>4.6802795715284375E-2</v>
      </c>
      <c r="L135" s="3">
        <f t="shared" si="47"/>
        <v>4.6802795715279122E-2</v>
      </c>
      <c r="M135" s="3">
        <f t="shared" si="47"/>
        <v>4.680279571522649E-2</v>
      </c>
      <c r="N135" s="3">
        <f t="shared" si="47"/>
        <v>4.6802795714700168E-2</v>
      </c>
      <c r="O135" s="3">
        <f t="shared" si="47"/>
        <v>4.6802795709437017E-2</v>
      </c>
      <c r="P135" s="3">
        <f t="shared" si="47"/>
        <v>4.6802795656805479E-2</v>
      </c>
      <c r="Q135" s="3">
        <f t="shared" si="47"/>
        <v>4.6802795130490071E-2</v>
      </c>
      <c r="R135" s="3">
        <f t="shared" si="47"/>
        <v>4.6802789867336408E-2</v>
      </c>
      <c r="S135" s="3">
        <f t="shared" si="47"/>
        <v>4.6802737235832281E-2</v>
      </c>
      <c r="T135" s="3">
        <f t="shared" si="47"/>
        <v>4.6802210924046246E-2</v>
      </c>
      <c r="U135" s="3">
        <f t="shared" si="47"/>
        <v>4.6796948131694827E-2</v>
      </c>
      <c r="V135" s="3">
        <f t="shared" si="47"/>
        <v>4.6744352745539133E-2</v>
      </c>
      <c r="W135" s="3">
        <f t="shared" si="47"/>
        <v>4.6221639122336941E-2</v>
      </c>
      <c r="X135" s="3">
        <f t="shared" si="47"/>
        <v>4.1305440776824576E-2</v>
      </c>
      <c r="Y135" s="3">
        <f t="shared" si="47"/>
        <v>1.3416104912849822E-2</v>
      </c>
      <c r="Z135" s="3">
        <f t="shared" si="47"/>
        <v>1.7531468425657168E-7</v>
      </c>
      <c r="AA135" s="3">
        <f t="shared" ref="AA135" si="48">$C21*EXP(-AA$129/$A21/EXP(-$B$126))</f>
        <v>2.5452870916803966E-56</v>
      </c>
      <c r="AB135" s="3">
        <f t="shared" si="46"/>
        <v>0</v>
      </c>
      <c r="AC135" s="3">
        <f t="shared" si="46"/>
        <v>0</v>
      </c>
      <c r="AD135" s="3">
        <f t="shared" si="46"/>
        <v>0</v>
      </c>
      <c r="AE135" s="3">
        <f t="shared" si="46"/>
        <v>0</v>
      </c>
      <c r="AF135" s="3">
        <f t="shared" si="46"/>
        <v>0</v>
      </c>
    </row>
    <row r="136" spans="1:33" x14ac:dyDescent="0.25">
      <c r="B136" s="3">
        <f t="shared" ref="B136:Z136" si="49">$C22*EXP(-B$129/$A22/EXP(-$B$126))</f>
        <v>4.5136552781973364E-2</v>
      </c>
      <c r="C136" s="3">
        <f t="shared" si="49"/>
        <v>4.5136552781973364E-2</v>
      </c>
      <c r="D136" s="3">
        <f t="shared" si="49"/>
        <v>4.5136552781973364E-2</v>
      </c>
      <c r="E136" s="3">
        <f t="shared" si="49"/>
        <v>4.5136552781973364E-2</v>
      </c>
      <c r="F136" s="3">
        <f t="shared" si="49"/>
        <v>4.5136552781973364E-2</v>
      </c>
      <c r="G136" s="3">
        <f t="shared" si="49"/>
        <v>4.5136552781973364E-2</v>
      </c>
      <c r="H136" s="3">
        <f t="shared" si="49"/>
        <v>4.5136552781973364E-2</v>
      </c>
      <c r="I136" s="3">
        <f t="shared" si="49"/>
        <v>4.5136552781973364E-2</v>
      </c>
      <c r="J136" s="3">
        <f t="shared" si="49"/>
        <v>4.5136552781973358E-2</v>
      </c>
      <c r="K136" s="3">
        <f t="shared" si="49"/>
        <v>4.5136552781973316E-2</v>
      </c>
      <c r="L136" s="3">
        <f t="shared" si="49"/>
        <v>4.5136552781972851E-2</v>
      </c>
      <c r="M136" s="3">
        <f t="shared" si="49"/>
        <v>4.5136552781968278E-2</v>
      </c>
      <c r="N136" s="3">
        <f t="shared" si="49"/>
        <v>4.5136552781922488E-2</v>
      </c>
      <c r="O136" s="3">
        <f t="shared" si="49"/>
        <v>4.5136552781464612E-2</v>
      </c>
      <c r="P136" s="3">
        <f t="shared" si="49"/>
        <v>4.5136552776885837E-2</v>
      </c>
      <c r="Q136" s="3">
        <f t="shared" si="49"/>
        <v>4.5136552731098095E-2</v>
      </c>
      <c r="R136" s="3">
        <f t="shared" si="49"/>
        <v>4.5136552273220637E-2</v>
      </c>
      <c r="S136" s="3">
        <f t="shared" si="49"/>
        <v>4.5136547694446347E-2</v>
      </c>
      <c r="T136" s="3">
        <f t="shared" si="49"/>
        <v>4.5136501906728972E-2</v>
      </c>
      <c r="U136" s="3">
        <f t="shared" si="49"/>
        <v>4.5136044032109905E-2</v>
      </c>
      <c r="V136" s="3">
        <f t="shared" si="49"/>
        <v>4.5131465541374434E-2</v>
      </c>
      <c r="W136" s="3">
        <f t="shared" si="49"/>
        <v>4.5085706169952167E-2</v>
      </c>
      <c r="X136" s="3">
        <f t="shared" si="49"/>
        <v>4.4630656490325743E-2</v>
      </c>
      <c r="Y136" s="3">
        <f t="shared" si="49"/>
        <v>4.032526802415156E-2</v>
      </c>
      <c r="Z136" s="3">
        <f t="shared" si="49"/>
        <v>1.4622348754725218E-2</v>
      </c>
      <c r="AA136" s="3">
        <f t="shared" ref="AA136" si="50">$C22*EXP(-AA$129/$A22/EXP(-$B$126))</f>
        <v>5.746665138246636E-7</v>
      </c>
      <c r="AB136" s="3">
        <f t="shared" si="46"/>
        <v>5.0513030465611201E-51</v>
      </c>
      <c r="AC136" s="3">
        <f t="shared" si="46"/>
        <v>0</v>
      </c>
      <c r="AD136" s="3">
        <f t="shared" si="46"/>
        <v>0</v>
      </c>
      <c r="AE136" s="3">
        <f t="shared" si="46"/>
        <v>0</v>
      </c>
      <c r="AF136" s="3">
        <f t="shared" si="46"/>
        <v>0</v>
      </c>
    </row>
    <row r="137" spans="1:33" x14ac:dyDescent="0.25">
      <c r="B137" s="3">
        <f t="shared" ref="B137:Z137" si="51">$C23*EXP(-B$129/$A23/EXP(-$B$126))</f>
        <v>6.7281406852932088E-2</v>
      </c>
      <c r="C137" s="3">
        <f t="shared" si="51"/>
        <v>6.7281406852932088E-2</v>
      </c>
      <c r="D137" s="3">
        <f t="shared" si="51"/>
        <v>6.7281406852932088E-2</v>
      </c>
      <c r="E137" s="3">
        <f t="shared" si="51"/>
        <v>6.7281406852932088E-2</v>
      </c>
      <c r="F137" s="3">
        <f t="shared" si="51"/>
        <v>6.7281406852932088E-2</v>
      </c>
      <c r="G137" s="3">
        <f t="shared" si="51"/>
        <v>6.7281406852932088E-2</v>
      </c>
      <c r="H137" s="3">
        <f t="shared" si="51"/>
        <v>6.7281406852932088E-2</v>
      </c>
      <c r="I137" s="3">
        <f t="shared" si="51"/>
        <v>6.7281406852932088E-2</v>
      </c>
      <c r="J137" s="3">
        <f t="shared" si="51"/>
        <v>6.7281406852932088E-2</v>
      </c>
      <c r="K137" s="3">
        <f t="shared" si="51"/>
        <v>6.7281406852932074E-2</v>
      </c>
      <c r="L137" s="3">
        <f t="shared" si="51"/>
        <v>6.7281406852932019E-2</v>
      </c>
      <c r="M137" s="3">
        <f t="shared" si="51"/>
        <v>6.7281406852931394E-2</v>
      </c>
      <c r="N137" s="3">
        <f t="shared" si="51"/>
        <v>6.7281406852925246E-2</v>
      </c>
      <c r="O137" s="3">
        <f t="shared" si="51"/>
        <v>6.7281406852863684E-2</v>
      </c>
      <c r="P137" s="3">
        <f t="shared" si="51"/>
        <v>6.7281406852247982E-2</v>
      </c>
      <c r="Q137" s="3">
        <f t="shared" si="51"/>
        <v>6.7281406846091074E-2</v>
      </c>
      <c r="R137" s="3">
        <f t="shared" si="51"/>
        <v>6.7281406784522019E-2</v>
      </c>
      <c r="S137" s="3">
        <f t="shared" si="51"/>
        <v>6.7281406168831409E-2</v>
      </c>
      <c r="T137" s="3">
        <f t="shared" si="51"/>
        <v>6.728140001192566E-2</v>
      </c>
      <c r="U137" s="3">
        <f t="shared" si="51"/>
        <v>6.7281338442899116E-2</v>
      </c>
      <c r="V137" s="3">
        <f t="shared" si="51"/>
        <v>6.728072275573245E-2</v>
      </c>
      <c r="W137" s="3">
        <f t="shared" si="51"/>
        <v>6.7274566193933544E-2</v>
      </c>
      <c r="X137" s="3">
        <f t="shared" si="51"/>
        <v>6.7213031552228131E-2</v>
      </c>
      <c r="Y137" s="3">
        <f t="shared" si="51"/>
        <v>6.6600772301019448E-2</v>
      </c>
      <c r="Z137" s="3">
        <f t="shared" si="51"/>
        <v>6.0776694608396339E-2</v>
      </c>
      <c r="AA137" s="3">
        <f t="shared" ref="AA137" si="52">$C23*EXP(-AA$129/$A23/EXP(-$B$126))</f>
        <v>2.4339698452033723E-2</v>
      </c>
      <c r="AB137" s="3">
        <f t="shared" si="46"/>
        <v>2.5828331875948237E-6</v>
      </c>
      <c r="AC137" s="3">
        <f t="shared" si="46"/>
        <v>4.6763607394829144E-46</v>
      </c>
      <c r="AD137" s="3">
        <f t="shared" si="46"/>
        <v>0</v>
      </c>
      <c r="AE137" s="3">
        <f t="shared" si="46"/>
        <v>0</v>
      </c>
      <c r="AF137" s="3">
        <f t="shared" si="46"/>
        <v>0</v>
      </c>
    </row>
    <row r="138" spans="1:33" x14ac:dyDescent="0.25">
      <c r="B138" s="3">
        <f t="shared" ref="B138:Z138" si="53">$C24*EXP(-B$129/$A24/EXP(-$B$126))</f>
        <v>8.4823708436980116E-2</v>
      </c>
      <c r="C138" s="3">
        <f t="shared" si="53"/>
        <v>8.4823708436980116E-2</v>
      </c>
      <c r="D138" s="3">
        <f t="shared" si="53"/>
        <v>8.4823708436980116E-2</v>
      </c>
      <c r="E138" s="3">
        <f t="shared" si="53"/>
        <v>8.4823708436980116E-2</v>
      </c>
      <c r="F138" s="3">
        <f t="shared" si="53"/>
        <v>8.4823708436980116E-2</v>
      </c>
      <c r="G138" s="3">
        <f t="shared" si="53"/>
        <v>8.4823708436980116E-2</v>
      </c>
      <c r="H138" s="3">
        <f t="shared" si="53"/>
        <v>8.4823708436980116E-2</v>
      </c>
      <c r="I138" s="3">
        <f t="shared" si="53"/>
        <v>8.4823708436980116E-2</v>
      </c>
      <c r="J138" s="3">
        <f t="shared" si="53"/>
        <v>8.4823708436980116E-2</v>
      </c>
      <c r="K138" s="3">
        <f t="shared" si="53"/>
        <v>8.4823708436980116E-2</v>
      </c>
      <c r="L138" s="3">
        <f t="shared" si="53"/>
        <v>8.4823708436980103E-2</v>
      </c>
      <c r="M138" s="3">
        <f t="shared" si="53"/>
        <v>8.4823708436980047E-2</v>
      </c>
      <c r="N138" s="3">
        <f t="shared" si="53"/>
        <v>8.4823708436979339E-2</v>
      </c>
      <c r="O138" s="3">
        <f t="shared" si="53"/>
        <v>8.4823708436972331E-2</v>
      </c>
      <c r="P138" s="3">
        <f t="shared" si="53"/>
        <v>8.4823708436902304E-2</v>
      </c>
      <c r="Q138" s="3">
        <f t="shared" si="53"/>
        <v>8.48237084362021E-2</v>
      </c>
      <c r="R138" s="3">
        <f t="shared" si="53"/>
        <v>8.4823708429199951E-2</v>
      </c>
      <c r="S138" s="3">
        <f t="shared" si="53"/>
        <v>8.4823708359178462E-2</v>
      </c>
      <c r="T138" s="3">
        <f t="shared" si="53"/>
        <v>8.4823707658963632E-2</v>
      </c>
      <c r="U138" s="3">
        <f t="shared" si="53"/>
        <v>8.4823700656815548E-2</v>
      </c>
      <c r="V138" s="3">
        <f t="shared" si="53"/>
        <v>8.482363063536659E-2</v>
      </c>
      <c r="W138" s="3">
        <f t="shared" si="53"/>
        <v>8.4822930424056045E-2</v>
      </c>
      <c r="X138" s="3">
        <f t="shared" si="53"/>
        <v>8.481592862885276E-2</v>
      </c>
      <c r="Y138" s="3">
        <f t="shared" si="53"/>
        <v>8.4745942457316661E-2</v>
      </c>
      <c r="Z138" s="3">
        <f t="shared" si="53"/>
        <v>8.4049249106221691E-2</v>
      </c>
      <c r="AA138" s="3">
        <f t="shared" ref="AA138" si="54">$C24*EXP(-AA$129/$A24/EXP(-$B$126))</f>
        <v>7.7389684775778372E-2</v>
      </c>
      <c r="AB138" s="3">
        <f t="shared" si="46"/>
        <v>3.389810935897293E-2</v>
      </c>
      <c r="AC138" s="3">
        <f t="shared" si="46"/>
        <v>8.8125067751629018E-6</v>
      </c>
      <c r="AD138" s="3">
        <f t="shared" si="46"/>
        <v>1.2426228586930852E-41</v>
      </c>
      <c r="AE138" s="3">
        <f t="shared" si="46"/>
        <v>0</v>
      </c>
      <c r="AF138" s="3">
        <f t="shared" si="46"/>
        <v>0</v>
      </c>
    </row>
    <row r="139" spans="1:33" x14ac:dyDescent="0.25">
      <c r="B139" s="3">
        <f t="shared" ref="B139:Z139" si="55">$C25*EXP(-B$129/$A25/EXP(-$B$126))</f>
        <v>0.10369484660409525</v>
      </c>
      <c r="C139" s="3">
        <f t="shared" si="55"/>
        <v>0.10369484660409525</v>
      </c>
      <c r="D139" s="3">
        <f t="shared" si="55"/>
        <v>0.10369484660409525</v>
      </c>
      <c r="E139" s="3">
        <f t="shared" si="55"/>
        <v>0.10369484660409525</v>
      </c>
      <c r="F139" s="3">
        <f t="shared" si="55"/>
        <v>0.10369484660409525</v>
      </c>
      <c r="G139" s="3">
        <f t="shared" si="55"/>
        <v>0.10369484660409525</v>
      </c>
      <c r="H139" s="3">
        <f t="shared" si="55"/>
        <v>0.10369484660409525</v>
      </c>
      <c r="I139" s="3">
        <f t="shared" si="55"/>
        <v>0.10369484660409525</v>
      </c>
      <c r="J139" s="3">
        <f t="shared" si="55"/>
        <v>0.10369484660409525</v>
      </c>
      <c r="K139" s="3">
        <f t="shared" si="55"/>
        <v>0.10369484660409525</v>
      </c>
      <c r="L139" s="3">
        <f t="shared" si="55"/>
        <v>0.10369484660409525</v>
      </c>
      <c r="M139" s="3">
        <f t="shared" si="55"/>
        <v>0.10369484660409524</v>
      </c>
      <c r="N139" s="3">
        <f t="shared" si="55"/>
        <v>0.10369484660409517</v>
      </c>
      <c r="O139" s="3">
        <f t="shared" si="55"/>
        <v>0.10369484660409439</v>
      </c>
      <c r="P139" s="3">
        <f t="shared" si="55"/>
        <v>0.10369484660408668</v>
      </c>
      <c r="Q139" s="3">
        <f t="shared" si="55"/>
        <v>0.10369484660400945</v>
      </c>
      <c r="R139" s="3">
        <f t="shared" si="55"/>
        <v>0.10369484660323727</v>
      </c>
      <c r="S139" s="3">
        <f t="shared" si="55"/>
        <v>0.10369484659551549</v>
      </c>
      <c r="T139" s="3">
        <f t="shared" si="55"/>
        <v>0.10369484651829762</v>
      </c>
      <c r="U139" s="3">
        <f t="shared" si="55"/>
        <v>0.10369484574611892</v>
      </c>
      <c r="V139" s="3">
        <f t="shared" si="55"/>
        <v>0.1036948380243322</v>
      </c>
      <c r="W139" s="3">
        <f t="shared" si="55"/>
        <v>0.1036947608064967</v>
      </c>
      <c r="X139" s="3">
        <f t="shared" si="55"/>
        <v>0.10369398863130429</v>
      </c>
      <c r="Y139" s="3">
        <f t="shared" si="55"/>
        <v>0.10368626719562812</v>
      </c>
      <c r="Z139" s="3">
        <f t="shared" si="55"/>
        <v>0.10360908445496034</v>
      </c>
      <c r="AA139" s="3">
        <f t="shared" ref="AA139" si="56">$C25*EXP(-AA$129/$A25/EXP(-$B$126))</f>
        <v>0.10284040996393468</v>
      </c>
      <c r="AB139" s="3">
        <f t="shared" si="46"/>
        <v>9.5460439850227063E-2</v>
      </c>
      <c r="AC139" s="3">
        <f t="shared" si="46"/>
        <v>4.5333552141106438E-2</v>
      </c>
      <c r="AD139" s="3">
        <f t="shared" si="46"/>
        <v>2.6447397151140611E-5</v>
      </c>
      <c r="AE139" s="3">
        <f t="shared" si="46"/>
        <v>1.2078550177227456E-37</v>
      </c>
      <c r="AF139" s="3">
        <f t="shared" si="46"/>
        <v>0</v>
      </c>
    </row>
    <row r="140" spans="1:33" x14ac:dyDescent="0.25">
      <c r="B140" s="3">
        <f t="shared" ref="B140:Z140" si="57">$C26*EXP(-B$129/$A26/EXP(-$B$126))</f>
        <v>0.13305313379533851</v>
      </c>
      <c r="C140" s="3">
        <f t="shared" si="57"/>
        <v>0.13305313379533851</v>
      </c>
      <c r="D140" s="3">
        <f t="shared" si="57"/>
        <v>0.13305313379533851</v>
      </c>
      <c r="E140" s="3">
        <f t="shared" si="57"/>
        <v>0.13305313379533851</v>
      </c>
      <c r="F140" s="3">
        <f t="shared" si="57"/>
        <v>0.13305313379533851</v>
      </c>
      <c r="G140" s="3">
        <f t="shared" si="57"/>
        <v>0.13305313379533851</v>
      </c>
      <c r="H140" s="3">
        <f t="shared" si="57"/>
        <v>0.13305313379533851</v>
      </c>
      <c r="I140" s="3">
        <f t="shared" si="57"/>
        <v>0.13305313379533851</v>
      </c>
      <c r="J140" s="3">
        <f t="shared" si="57"/>
        <v>0.13305313379533851</v>
      </c>
      <c r="K140" s="3">
        <f t="shared" si="57"/>
        <v>0.13305313379533851</v>
      </c>
      <c r="L140" s="3">
        <f t="shared" si="57"/>
        <v>0.13305313379533851</v>
      </c>
      <c r="M140" s="3">
        <f t="shared" si="57"/>
        <v>0.13305313379533851</v>
      </c>
      <c r="N140" s="3">
        <f t="shared" si="57"/>
        <v>0.13305313379533848</v>
      </c>
      <c r="O140" s="3">
        <f t="shared" si="57"/>
        <v>0.1330531337953384</v>
      </c>
      <c r="P140" s="3">
        <f t="shared" si="57"/>
        <v>0.13305313379533751</v>
      </c>
      <c r="Q140" s="3">
        <f t="shared" si="57"/>
        <v>0.13305313379532857</v>
      </c>
      <c r="R140" s="3">
        <f t="shared" si="57"/>
        <v>0.1330531337952392</v>
      </c>
      <c r="S140" s="3">
        <f t="shared" si="57"/>
        <v>0.13305313379434541</v>
      </c>
      <c r="T140" s="3">
        <f t="shared" si="57"/>
        <v>0.13305313378540756</v>
      </c>
      <c r="U140" s="3">
        <f t="shared" si="57"/>
        <v>0.13305313369602922</v>
      </c>
      <c r="V140" s="3">
        <f t="shared" si="57"/>
        <v>0.1330531328022457</v>
      </c>
      <c r="W140" s="3">
        <f t="shared" si="57"/>
        <v>0.13305312386441079</v>
      </c>
      <c r="X140" s="3">
        <f t="shared" si="57"/>
        <v>0.13305303448609465</v>
      </c>
      <c r="Y140" s="3">
        <f t="shared" si="57"/>
        <v>0.13305214070623542</v>
      </c>
      <c r="Z140" s="3">
        <f t="shared" si="57"/>
        <v>0.13304320323785326</v>
      </c>
      <c r="AA140" s="3">
        <f t="shared" ref="AA140" si="58">$C26*EXP(-AA$129/$A26/EXP(-$B$126))</f>
        <v>0.13295386156683048</v>
      </c>
      <c r="AB140" s="3">
        <f t="shared" si="46"/>
        <v>0.13206373794596271</v>
      </c>
      <c r="AC140" s="3">
        <f t="shared" si="46"/>
        <v>0.12348377078202839</v>
      </c>
      <c r="AD140" s="3">
        <f t="shared" si="46"/>
        <v>6.3077265513044628E-2</v>
      </c>
      <c r="AE140" s="3">
        <f t="shared" si="46"/>
        <v>7.6296147039012669E-5</v>
      </c>
      <c r="AF140" s="3">
        <f t="shared" si="46"/>
        <v>5.1144636311340839E-34</v>
      </c>
    </row>
    <row r="141" spans="1:33" x14ac:dyDescent="0.25">
      <c r="B141" s="3">
        <f t="shared" ref="B141:Z141" si="59">$C27*EXP(-B$129/$A27/EXP(-$B$126))</f>
        <v>0.10368180212181953</v>
      </c>
      <c r="C141" s="3">
        <f t="shared" si="59"/>
        <v>0.10368180212181953</v>
      </c>
      <c r="D141" s="3">
        <f t="shared" si="59"/>
        <v>0.10368180212181953</v>
      </c>
      <c r="E141" s="3">
        <f t="shared" si="59"/>
        <v>0.10368180212181953</v>
      </c>
      <c r="F141" s="3">
        <f t="shared" si="59"/>
        <v>0.10368180212181953</v>
      </c>
      <c r="G141" s="3">
        <f t="shared" si="59"/>
        <v>0.10368180212181953</v>
      </c>
      <c r="H141" s="3">
        <f t="shared" si="59"/>
        <v>0.10368180212181953</v>
      </c>
      <c r="I141" s="3">
        <f t="shared" si="59"/>
        <v>0.10368180212181953</v>
      </c>
      <c r="J141" s="3">
        <f t="shared" si="59"/>
        <v>0.10368180212181953</v>
      </c>
      <c r="K141" s="3">
        <f t="shared" si="59"/>
        <v>0.10368180212181953</v>
      </c>
      <c r="L141" s="3">
        <f t="shared" si="59"/>
        <v>0.10368180212181953</v>
      </c>
      <c r="M141" s="3">
        <f t="shared" si="59"/>
        <v>0.10368180212181953</v>
      </c>
      <c r="N141" s="3">
        <f t="shared" si="59"/>
        <v>0.10368180212181953</v>
      </c>
      <c r="O141" s="3">
        <f t="shared" si="59"/>
        <v>0.10368180212181952</v>
      </c>
      <c r="P141" s="3">
        <f t="shared" si="59"/>
        <v>0.10368180212181946</v>
      </c>
      <c r="Q141" s="3">
        <f t="shared" si="59"/>
        <v>0.10368180212181882</v>
      </c>
      <c r="R141" s="3">
        <f t="shared" si="59"/>
        <v>0.10368180212181255</v>
      </c>
      <c r="S141" s="3">
        <f t="shared" si="59"/>
        <v>0.10368180212174971</v>
      </c>
      <c r="T141" s="3">
        <f t="shared" si="59"/>
        <v>0.10368180212112144</v>
      </c>
      <c r="U141" s="3">
        <f t="shared" si="59"/>
        <v>0.10368180211483859</v>
      </c>
      <c r="V141" s="3">
        <f t="shared" si="59"/>
        <v>0.10368180205201014</v>
      </c>
      <c r="W141" s="3">
        <f t="shared" si="59"/>
        <v>0.10368180142372561</v>
      </c>
      <c r="X141" s="3">
        <f t="shared" si="59"/>
        <v>0.10368179514088054</v>
      </c>
      <c r="Y141" s="3">
        <f t="shared" si="59"/>
        <v>0.10368173231245073</v>
      </c>
      <c r="Z141" s="3">
        <f t="shared" si="59"/>
        <v>0.10368110403024663</v>
      </c>
      <c r="AA141" s="3">
        <f t="shared" ref="AA141" si="60">$C27*EXP(-AA$129/$A27/EXP(-$B$126))</f>
        <v>0.10367482141759866</v>
      </c>
      <c r="AB141" s="3">
        <f t="shared" si="46"/>
        <v>0.10361201622572044</v>
      </c>
      <c r="AC141" s="3">
        <f t="shared" si="46"/>
        <v>0.10298605308093449</v>
      </c>
      <c r="AD141" s="3">
        <f t="shared" si="46"/>
        <v>9.6930690728960281E-2</v>
      </c>
      <c r="AE141" s="3">
        <f t="shared" si="46"/>
        <v>5.2879853183235008E-2</v>
      </c>
      <c r="AF141" s="3">
        <f t="shared" si="46"/>
        <v>1.2347515280666915E-4</v>
      </c>
    </row>
    <row r="142" spans="1:33" x14ac:dyDescent="0.25">
      <c r="B142" s="3">
        <f t="shared" ref="B142:Z142" si="61">$C28*EXP(-B$129/$A28/EXP(-$B$126))</f>
        <v>6.4516912228113732E-2</v>
      </c>
      <c r="C142" s="3">
        <f t="shared" si="61"/>
        <v>6.4516912228113732E-2</v>
      </c>
      <c r="D142" s="3">
        <f t="shared" si="61"/>
        <v>6.4516912228113732E-2</v>
      </c>
      <c r="E142" s="3">
        <f t="shared" si="61"/>
        <v>6.4516912228113732E-2</v>
      </c>
      <c r="F142" s="3">
        <f t="shared" si="61"/>
        <v>6.4516912228113732E-2</v>
      </c>
      <c r="G142" s="3">
        <f t="shared" si="61"/>
        <v>6.4516912228113732E-2</v>
      </c>
      <c r="H142" s="3">
        <f t="shared" si="61"/>
        <v>6.4516912228113732E-2</v>
      </c>
      <c r="I142" s="3">
        <f t="shared" si="61"/>
        <v>6.4516912228113732E-2</v>
      </c>
      <c r="J142" s="3">
        <f t="shared" si="61"/>
        <v>6.4516912228113732E-2</v>
      </c>
      <c r="K142" s="3">
        <f t="shared" si="61"/>
        <v>6.4516912228113732E-2</v>
      </c>
      <c r="L142" s="3">
        <f t="shared" si="61"/>
        <v>6.4516912228113732E-2</v>
      </c>
      <c r="M142" s="3">
        <f t="shared" si="61"/>
        <v>6.4516912228113732E-2</v>
      </c>
      <c r="N142" s="3">
        <f t="shared" si="61"/>
        <v>6.4516912228113732E-2</v>
      </c>
      <c r="O142" s="3">
        <f t="shared" si="61"/>
        <v>6.4516912228113732E-2</v>
      </c>
      <c r="P142" s="3">
        <f t="shared" si="61"/>
        <v>6.4516912228113718E-2</v>
      </c>
      <c r="Q142" s="3">
        <f t="shared" si="61"/>
        <v>6.451691222811369E-2</v>
      </c>
      <c r="R142" s="3">
        <f t="shared" si="61"/>
        <v>6.4516912228113343E-2</v>
      </c>
      <c r="S142" s="3">
        <f t="shared" si="61"/>
        <v>6.4516912228109818E-2</v>
      </c>
      <c r="T142" s="3">
        <f t="shared" si="61"/>
        <v>6.4516912228074541E-2</v>
      </c>
      <c r="U142" s="3">
        <f t="shared" si="61"/>
        <v>6.4516912227721865E-2</v>
      </c>
      <c r="V142" s="3">
        <f t="shared" si="61"/>
        <v>6.451691222419513E-2</v>
      </c>
      <c r="W142" s="3">
        <f t="shared" si="61"/>
        <v>6.4516912188927689E-2</v>
      </c>
      <c r="X142" s="3">
        <f t="shared" si="61"/>
        <v>6.4516911836253243E-2</v>
      </c>
      <c r="Y142" s="3">
        <f t="shared" si="61"/>
        <v>6.4516908309508875E-2</v>
      </c>
      <c r="Z142" s="3">
        <f t="shared" si="61"/>
        <v>6.4516873042075915E-2</v>
      </c>
      <c r="AA142" s="3">
        <f t="shared" ref="AA142" si="62">$C28*EXP(-AA$129/$A28/EXP(-$B$126))</f>
        <v>6.4516520368806618E-2</v>
      </c>
      <c r="AB142" s="3">
        <f t="shared" si="46"/>
        <v>6.4512993742143226E-2</v>
      </c>
      <c r="AC142" s="3">
        <f t="shared" si="46"/>
        <v>6.4477738076330546E-2</v>
      </c>
      <c r="AD142" s="3">
        <f t="shared" si="46"/>
        <v>6.4126239359373366E-2</v>
      </c>
      <c r="AE142" s="3">
        <f t="shared" si="46"/>
        <v>6.0714937480681207E-2</v>
      </c>
      <c r="AF142" s="3">
        <f t="shared" si="46"/>
        <v>3.5147412315217161E-2</v>
      </c>
    </row>
    <row r="143" spans="1:33" x14ac:dyDescent="0.25">
      <c r="B143" s="3">
        <f t="shared" ref="B143:Z143" si="63">$C29*EXP(-B$129/$A29/EXP(-$B$126))</f>
        <v>3.7592139756949243E-2</v>
      </c>
      <c r="C143" s="3">
        <f t="shared" si="63"/>
        <v>3.7592139756949243E-2</v>
      </c>
      <c r="D143" s="3">
        <f t="shared" si="63"/>
        <v>3.7592139756949243E-2</v>
      </c>
      <c r="E143" s="3">
        <f t="shared" si="63"/>
        <v>3.7592139756949243E-2</v>
      </c>
      <c r="F143" s="3">
        <f t="shared" si="63"/>
        <v>3.7592139756949243E-2</v>
      </c>
      <c r="G143" s="3">
        <f t="shared" si="63"/>
        <v>3.7592139756949243E-2</v>
      </c>
      <c r="H143" s="3">
        <f t="shared" si="63"/>
        <v>3.7592139756949243E-2</v>
      </c>
      <c r="I143" s="3">
        <f t="shared" si="63"/>
        <v>3.7592139756949243E-2</v>
      </c>
      <c r="J143" s="3">
        <f t="shared" si="63"/>
        <v>3.7592139756949243E-2</v>
      </c>
      <c r="K143" s="3">
        <f t="shared" si="63"/>
        <v>3.7592139756949243E-2</v>
      </c>
      <c r="L143" s="3">
        <f t="shared" si="63"/>
        <v>3.7592139756949243E-2</v>
      </c>
      <c r="M143" s="3">
        <f t="shared" si="63"/>
        <v>3.7592139756949243E-2</v>
      </c>
      <c r="N143" s="3">
        <f t="shared" si="63"/>
        <v>3.7592139756949243E-2</v>
      </c>
      <c r="O143" s="3">
        <f t="shared" si="63"/>
        <v>3.7592139756949243E-2</v>
      </c>
      <c r="P143" s="3">
        <f t="shared" si="63"/>
        <v>3.7592139756949243E-2</v>
      </c>
      <c r="Q143" s="3">
        <f t="shared" si="63"/>
        <v>3.7592139756949243E-2</v>
      </c>
      <c r="R143" s="3">
        <f t="shared" si="63"/>
        <v>3.7592139756949222E-2</v>
      </c>
      <c r="S143" s="3">
        <f t="shared" si="63"/>
        <v>3.7592139756949042E-2</v>
      </c>
      <c r="T143" s="3">
        <f t="shared" si="63"/>
        <v>3.7592139756947182E-2</v>
      </c>
      <c r="U143" s="3">
        <f t="shared" si="63"/>
        <v>3.7592139756928648E-2</v>
      </c>
      <c r="V143" s="3">
        <f t="shared" si="63"/>
        <v>3.7592139756743276E-2</v>
      </c>
      <c r="W143" s="3">
        <f t="shared" si="63"/>
        <v>3.7592139754889557E-2</v>
      </c>
      <c r="X143" s="3">
        <f t="shared" si="63"/>
        <v>3.7592139736352358E-2</v>
      </c>
      <c r="Y143" s="3">
        <f t="shared" si="63"/>
        <v>3.759213955098039E-2</v>
      </c>
      <c r="Z143" s="3">
        <f t="shared" si="63"/>
        <v>3.7592137697260775E-2</v>
      </c>
      <c r="AA143" s="3">
        <f t="shared" ref="AA143" si="64">$C29*EXP(-AA$129/$A29/EXP(-$B$126))</f>
        <v>3.7592119160069666E-2</v>
      </c>
      <c r="AB143" s="3">
        <f t="shared" si="46"/>
        <v>3.7591933788661339E-2</v>
      </c>
      <c r="AC143" s="3">
        <f t="shared" si="46"/>
        <v>3.7590080124852189E-2</v>
      </c>
      <c r="AD143" s="3">
        <f t="shared" si="46"/>
        <v>3.757154851326111E-2</v>
      </c>
      <c r="AE143" s="3">
        <f t="shared" si="46"/>
        <v>3.7386734131502196E-2</v>
      </c>
      <c r="AF143" s="3">
        <f t="shared" si="46"/>
        <v>3.5587860254007869E-2</v>
      </c>
    </row>
    <row r="144" spans="1:33" x14ac:dyDescent="0.25">
      <c r="B144" s="3">
        <f t="shared" ref="B144:Z144" si="65">$C30*EXP(-B$129/$A30/EXP(-$B$126))</f>
        <v>7.6036322594280207E-3</v>
      </c>
      <c r="C144" s="3">
        <f t="shared" si="65"/>
        <v>7.6036322594280207E-3</v>
      </c>
      <c r="D144" s="3">
        <f t="shared" si="65"/>
        <v>7.6036322594280207E-3</v>
      </c>
      <c r="E144" s="3">
        <f t="shared" si="65"/>
        <v>7.6036322594280207E-3</v>
      </c>
      <c r="F144" s="3">
        <f t="shared" si="65"/>
        <v>7.6036322594280207E-3</v>
      </c>
      <c r="G144" s="3">
        <f t="shared" si="65"/>
        <v>7.6036322594280207E-3</v>
      </c>
      <c r="H144" s="3">
        <f t="shared" si="65"/>
        <v>7.6036322594280207E-3</v>
      </c>
      <c r="I144" s="3">
        <f t="shared" si="65"/>
        <v>7.6036322594280207E-3</v>
      </c>
      <c r="J144" s="3">
        <f t="shared" si="65"/>
        <v>7.6036322594280207E-3</v>
      </c>
      <c r="K144" s="3">
        <f t="shared" si="65"/>
        <v>7.6036322594280207E-3</v>
      </c>
      <c r="L144" s="3">
        <f t="shared" si="65"/>
        <v>7.6036322594280207E-3</v>
      </c>
      <c r="M144" s="3">
        <f t="shared" si="65"/>
        <v>7.6036322594280207E-3</v>
      </c>
      <c r="N144" s="3">
        <f t="shared" si="65"/>
        <v>7.6036322594280207E-3</v>
      </c>
      <c r="O144" s="3">
        <f t="shared" si="65"/>
        <v>7.6036322594280207E-3</v>
      </c>
      <c r="P144" s="3">
        <f t="shared" si="65"/>
        <v>7.6036322594280207E-3</v>
      </c>
      <c r="Q144" s="3">
        <f t="shared" si="65"/>
        <v>7.6036322594280207E-3</v>
      </c>
      <c r="R144" s="3">
        <f t="shared" si="65"/>
        <v>7.6036322594280207E-3</v>
      </c>
      <c r="S144" s="3">
        <f t="shared" si="65"/>
        <v>7.6036322594280172E-3</v>
      </c>
      <c r="T144" s="3">
        <f t="shared" si="65"/>
        <v>7.6036322594279825E-3</v>
      </c>
      <c r="U144" s="3">
        <f t="shared" si="65"/>
        <v>7.6036322594276451E-3</v>
      </c>
      <c r="V144" s="3">
        <f t="shared" si="65"/>
        <v>7.6036322594242624E-3</v>
      </c>
      <c r="W144" s="3">
        <f t="shared" si="65"/>
        <v>7.6036322593904387E-3</v>
      </c>
      <c r="X144" s="3">
        <f t="shared" si="65"/>
        <v>7.6036322590522076E-3</v>
      </c>
      <c r="Y144" s="3">
        <f t="shared" si="65"/>
        <v>7.603632255669888E-3</v>
      </c>
      <c r="Z144" s="3">
        <f t="shared" si="65"/>
        <v>7.6036322218466859E-3</v>
      </c>
      <c r="AA144" s="3">
        <f t="shared" ref="AA144" si="66">$C30*EXP(-AA$129/$A30/EXP(-$B$126))</f>
        <v>7.6036318836146853E-3</v>
      </c>
      <c r="AB144" s="3">
        <f t="shared" ref="AB144:AF153" si="67">$C30*EXP(-AB$129/$A30/EXP(-$B$126))</f>
        <v>7.6036285012955002E-3</v>
      </c>
      <c r="AC144" s="3">
        <f t="shared" si="67"/>
        <v>7.6035946781863994E-3</v>
      </c>
      <c r="AD144" s="3">
        <f t="shared" si="67"/>
        <v>7.6032564553702997E-3</v>
      </c>
      <c r="AE144" s="3">
        <f t="shared" si="67"/>
        <v>7.5998750545636998E-3</v>
      </c>
      <c r="AF144" s="3">
        <f t="shared" si="67"/>
        <v>7.5661436459277653E-3</v>
      </c>
    </row>
    <row r="145" spans="1:32" x14ac:dyDescent="0.25">
      <c r="B145" s="3">
        <f t="shared" ref="B145:Z145" si="68">$C31*EXP(-B$129/$A31/EXP(-$B$126))</f>
        <v>4.6601949201853935E-3</v>
      </c>
      <c r="C145" s="3">
        <f t="shared" si="68"/>
        <v>4.6601949201853935E-3</v>
      </c>
      <c r="D145" s="3">
        <f t="shared" si="68"/>
        <v>4.6601949201853935E-3</v>
      </c>
      <c r="E145" s="3">
        <f t="shared" si="68"/>
        <v>4.6601949201853935E-3</v>
      </c>
      <c r="F145" s="3">
        <f t="shared" si="68"/>
        <v>4.6601949201853935E-3</v>
      </c>
      <c r="G145" s="3">
        <f t="shared" si="68"/>
        <v>4.6601949201853935E-3</v>
      </c>
      <c r="H145" s="3">
        <f t="shared" si="68"/>
        <v>4.6601949201853935E-3</v>
      </c>
      <c r="I145" s="3">
        <f t="shared" si="68"/>
        <v>4.6601949201853935E-3</v>
      </c>
      <c r="J145" s="3">
        <f t="shared" si="68"/>
        <v>4.6601949201853935E-3</v>
      </c>
      <c r="K145" s="3">
        <f t="shared" si="68"/>
        <v>4.6601949201853935E-3</v>
      </c>
      <c r="L145" s="3">
        <f t="shared" si="68"/>
        <v>4.6601949201853935E-3</v>
      </c>
      <c r="M145" s="3">
        <f t="shared" si="68"/>
        <v>4.6601949201853935E-3</v>
      </c>
      <c r="N145" s="3">
        <f t="shared" si="68"/>
        <v>4.6601949201853935E-3</v>
      </c>
      <c r="O145" s="3">
        <f t="shared" si="68"/>
        <v>4.6601949201853935E-3</v>
      </c>
      <c r="P145" s="3">
        <f t="shared" si="68"/>
        <v>4.6601949201853935E-3</v>
      </c>
      <c r="Q145" s="3">
        <f t="shared" si="68"/>
        <v>4.6601949201853935E-3</v>
      </c>
      <c r="R145" s="3">
        <f t="shared" si="68"/>
        <v>4.6601949201853935E-3</v>
      </c>
      <c r="S145" s="3">
        <f t="shared" si="68"/>
        <v>4.6601949201853935E-3</v>
      </c>
      <c r="T145" s="3">
        <f t="shared" si="68"/>
        <v>4.6601949201853917E-3</v>
      </c>
      <c r="U145" s="3">
        <f t="shared" si="68"/>
        <v>4.6601949201853727E-3</v>
      </c>
      <c r="V145" s="3">
        <f t="shared" si="68"/>
        <v>4.6601949201851853E-3</v>
      </c>
      <c r="W145" s="3">
        <f t="shared" si="68"/>
        <v>4.6601949201833153E-3</v>
      </c>
      <c r="X145" s="3">
        <f t="shared" si="68"/>
        <v>4.6601949201646158E-3</v>
      </c>
      <c r="Y145" s="3">
        <f t="shared" si="68"/>
        <v>4.6601949199776144E-3</v>
      </c>
      <c r="Z145" s="3">
        <f t="shared" si="68"/>
        <v>4.6601949181076033E-3</v>
      </c>
      <c r="AA145" s="3">
        <f t="shared" ref="AA145" si="69">$C31*EXP(-AA$129/$A31/EXP(-$B$126))</f>
        <v>4.660194899407488E-3</v>
      </c>
      <c r="AB145" s="3">
        <f t="shared" si="67"/>
        <v>4.6601947124063434E-3</v>
      </c>
      <c r="AC145" s="3">
        <f t="shared" si="67"/>
        <v>4.6601928423953094E-3</v>
      </c>
      <c r="AD145" s="3">
        <f t="shared" si="67"/>
        <v>4.6601741423262424E-3</v>
      </c>
      <c r="AE145" s="3">
        <f t="shared" si="67"/>
        <v>4.6599871457626207E-3</v>
      </c>
      <c r="AF145" s="3">
        <f t="shared" si="67"/>
        <v>4.6581175927703916E-3</v>
      </c>
    </row>
    <row r="146" spans="1:32" x14ac:dyDescent="0.25">
      <c r="B146" s="3">
        <f t="shared" ref="B146:Z146" si="70">$C32*EXP(-B$129/$A32/EXP(-$B$126))</f>
        <v>1.548728015482176E-3</v>
      </c>
      <c r="C146" s="3">
        <f t="shared" si="70"/>
        <v>1.548728015482176E-3</v>
      </c>
      <c r="D146" s="3">
        <f t="shared" si="70"/>
        <v>1.548728015482176E-3</v>
      </c>
      <c r="E146" s="3">
        <f t="shared" si="70"/>
        <v>1.548728015482176E-3</v>
      </c>
      <c r="F146" s="3">
        <f t="shared" si="70"/>
        <v>1.548728015482176E-3</v>
      </c>
      <c r="G146" s="3">
        <f t="shared" si="70"/>
        <v>1.548728015482176E-3</v>
      </c>
      <c r="H146" s="3">
        <f t="shared" si="70"/>
        <v>1.548728015482176E-3</v>
      </c>
      <c r="I146" s="3">
        <f t="shared" si="70"/>
        <v>1.548728015482176E-3</v>
      </c>
      <c r="J146" s="3">
        <f t="shared" si="70"/>
        <v>1.548728015482176E-3</v>
      </c>
      <c r="K146" s="3">
        <f t="shared" si="70"/>
        <v>1.548728015482176E-3</v>
      </c>
      <c r="L146" s="3">
        <f t="shared" si="70"/>
        <v>1.548728015482176E-3</v>
      </c>
      <c r="M146" s="3">
        <f t="shared" si="70"/>
        <v>1.548728015482176E-3</v>
      </c>
      <c r="N146" s="3">
        <f t="shared" si="70"/>
        <v>1.548728015482176E-3</v>
      </c>
      <c r="O146" s="3">
        <f t="shared" si="70"/>
        <v>1.548728015482176E-3</v>
      </c>
      <c r="P146" s="3">
        <f t="shared" si="70"/>
        <v>1.548728015482176E-3</v>
      </c>
      <c r="Q146" s="3">
        <f t="shared" si="70"/>
        <v>1.548728015482176E-3</v>
      </c>
      <c r="R146" s="3">
        <f t="shared" si="70"/>
        <v>1.548728015482176E-3</v>
      </c>
      <c r="S146" s="3">
        <f t="shared" si="70"/>
        <v>1.548728015482176E-3</v>
      </c>
      <c r="T146" s="3">
        <f t="shared" si="70"/>
        <v>1.548728015482176E-3</v>
      </c>
      <c r="U146" s="3">
        <f t="shared" si="70"/>
        <v>1.5487280154821753E-3</v>
      </c>
      <c r="V146" s="3">
        <f t="shared" si="70"/>
        <v>1.5487280154821697E-3</v>
      </c>
      <c r="W146" s="3">
        <f t="shared" si="70"/>
        <v>1.5487280154821137E-3</v>
      </c>
      <c r="X146" s="3">
        <f t="shared" si="70"/>
        <v>1.548728015481553E-3</v>
      </c>
      <c r="Y146" s="3">
        <f t="shared" si="70"/>
        <v>1.548728015475947E-3</v>
      </c>
      <c r="Z146" s="3">
        <f t="shared" si="70"/>
        <v>1.5487280154198859E-3</v>
      </c>
      <c r="AA146" s="3">
        <f t="shared" ref="AA146" si="71">$C32*EXP(-AA$129/$A32/EXP(-$B$126))</f>
        <v>1.5487280148592743E-3</v>
      </c>
      <c r="AB146" s="3">
        <f t="shared" si="67"/>
        <v>1.5487280092531602E-3</v>
      </c>
      <c r="AC146" s="3">
        <f t="shared" si="67"/>
        <v>1.5487279531920196E-3</v>
      </c>
      <c r="AD146" s="3">
        <f t="shared" si="67"/>
        <v>1.5487273925807257E-3</v>
      </c>
      <c r="AE146" s="3">
        <f t="shared" si="67"/>
        <v>1.5487217864789461E-3</v>
      </c>
      <c r="AF146" s="3">
        <f t="shared" si="67"/>
        <v>1.5486657265772552E-3</v>
      </c>
    </row>
    <row r="147" spans="1:32" x14ac:dyDescent="0.25">
      <c r="B147" s="3">
        <f t="shared" ref="B147:Z147" si="72">$C33*EXP(-B$129/$A33/EXP(-$B$126))</f>
        <v>1.7981576820785483E-3</v>
      </c>
      <c r="C147" s="3">
        <f t="shared" si="72"/>
        <v>1.7981576820785483E-3</v>
      </c>
      <c r="D147" s="3">
        <f t="shared" si="72"/>
        <v>1.7981576820785483E-3</v>
      </c>
      <c r="E147" s="3">
        <f t="shared" si="72"/>
        <v>1.7981576820785483E-3</v>
      </c>
      <c r="F147" s="3">
        <f t="shared" si="72"/>
        <v>1.7981576820785483E-3</v>
      </c>
      <c r="G147" s="3">
        <f t="shared" si="72"/>
        <v>1.7981576820785483E-3</v>
      </c>
      <c r="H147" s="3">
        <f t="shared" si="72"/>
        <v>1.7981576820785483E-3</v>
      </c>
      <c r="I147" s="3">
        <f t="shared" si="72"/>
        <v>1.7981576820785483E-3</v>
      </c>
      <c r="J147" s="3">
        <f t="shared" si="72"/>
        <v>1.7981576820785483E-3</v>
      </c>
      <c r="K147" s="3">
        <f t="shared" si="72"/>
        <v>1.7981576820785483E-3</v>
      </c>
      <c r="L147" s="3">
        <f t="shared" si="72"/>
        <v>1.7981576820785483E-3</v>
      </c>
      <c r="M147" s="3">
        <f t="shared" si="72"/>
        <v>1.7981576820785483E-3</v>
      </c>
      <c r="N147" s="3">
        <f t="shared" si="72"/>
        <v>1.7981576820785483E-3</v>
      </c>
      <c r="O147" s="3">
        <f t="shared" si="72"/>
        <v>1.7981576820785483E-3</v>
      </c>
      <c r="P147" s="3">
        <f t="shared" si="72"/>
        <v>1.7981576820785483E-3</v>
      </c>
      <c r="Q147" s="3">
        <f t="shared" si="72"/>
        <v>1.7981576820785483E-3</v>
      </c>
      <c r="R147" s="3">
        <f t="shared" si="72"/>
        <v>1.7981576820785483E-3</v>
      </c>
      <c r="S147" s="3">
        <f t="shared" si="72"/>
        <v>1.7981576820785483E-3</v>
      </c>
      <c r="T147" s="3">
        <f t="shared" si="72"/>
        <v>1.7981576820785483E-3</v>
      </c>
      <c r="U147" s="3">
        <f t="shared" si="72"/>
        <v>1.7981576820785483E-3</v>
      </c>
      <c r="V147" s="3">
        <f t="shared" si="72"/>
        <v>1.7981576820785476E-3</v>
      </c>
      <c r="W147" s="3">
        <f t="shared" si="72"/>
        <v>1.7981576820785417E-3</v>
      </c>
      <c r="X147" s="3">
        <f t="shared" si="72"/>
        <v>1.798157682078483E-3</v>
      </c>
      <c r="Y147" s="3">
        <f t="shared" si="72"/>
        <v>1.7981576820778958E-3</v>
      </c>
      <c r="Z147" s="3">
        <f t="shared" si="72"/>
        <v>1.7981576820720242E-3</v>
      </c>
      <c r="AA147" s="3">
        <f t="shared" ref="AA147" si="73">$C33*EXP(-AA$129/$A33/EXP(-$B$126))</f>
        <v>1.7981576820133075E-3</v>
      </c>
      <c r="AB147" s="3">
        <f t="shared" si="67"/>
        <v>1.7981576814261413E-3</v>
      </c>
      <c r="AC147" s="3">
        <f t="shared" si="67"/>
        <v>1.7981576755544779E-3</v>
      </c>
      <c r="AD147" s="3">
        <f t="shared" si="67"/>
        <v>1.7981576168378454E-3</v>
      </c>
      <c r="AE147" s="3">
        <f t="shared" si="67"/>
        <v>1.798157029671627E-3</v>
      </c>
      <c r="AF147" s="3">
        <f t="shared" si="67"/>
        <v>1.7981511580199864E-3</v>
      </c>
    </row>
    <row r="148" spans="1:32" x14ac:dyDescent="0.25">
      <c r="B148" s="3">
        <f t="shared" ref="B148:Z148" si="74">$C34*EXP(-B$129/$A34/EXP(-$B$126))</f>
        <v>4.3198756825701184E-3</v>
      </c>
      <c r="C148" s="3">
        <f t="shared" si="74"/>
        <v>4.3198756825701184E-3</v>
      </c>
      <c r="D148" s="3">
        <f t="shared" si="74"/>
        <v>4.3198756825701184E-3</v>
      </c>
      <c r="E148" s="3">
        <f t="shared" si="74"/>
        <v>4.3198756825701184E-3</v>
      </c>
      <c r="F148" s="3">
        <f t="shared" si="74"/>
        <v>4.3198756825701184E-3</v>
      </c>
      <c r="G148" s="3">
        <f t="shared" si="74"/>
        <v>4.3198756825701184E-3</v>
      </c>
      <c r="H148" s="3">
        <f t="shared" si="74"/>
        <v>4.3198756825701184E-3</v>
      </c>
      <c r="I148" s="3">
        <f t="shared" si="74"/>
        <v>4.3198756825701184E-3</v>
      </c>
      <c r="J148" s="3">
        <f t="shared" si="74"/>
        <v>4.3198756825701184E-3</v>
      </c>
      <c r="K148" s="3">
        <f t="shared" si="74"/>
        <v>4.3198756825701184E-3</v>
      </c>
      <c r="L148" s="3">
        <f t="shared" si="74"/>
        <v>4.3198756825701184E-3</v>
      </c>
      <c r="M148" s="3">
        <f t="shared" si="74"/>
        <v>4.3198756825701184E-3</v>
      </c>
      <c r="N148" s="3">
        <f t="shared" si="74"/>
        <v>4.3198756825701184E-3</v>
      </c>
      <c r="O148" s="3">
        <f t="shared" si="74"/>
        <v>4.3198756825701184E-3</v>
      </c>
      <c r="P148" s="3">
        <f t="shared" si="74"/>
        <v>4.3198756825701184E-3</v>
      </c>
      <c r="Q148" s="3">
        <f t="shared" si="74"/>
        <v>4.3198756825701184E-3</v>
      </c>
      <c r="R148" s="3">
        <f t="shared" si="74"/>
        <v>4.3198756825701184E-3</v>
      </c>
      <c r="S148" s="3">
        <f t="shared" si="74"/>
        <v>4.3198756825701184E-3</v>
      </c>
      <c r="T148" s="3">
        <f t="shared" si="74"/>
        <v>4.3198756825701184E-3</v>
      </c>
      <c r="U148" s="3">
        <f t="shared" si="74"/>
        <v>4.3198756825701184E-3</v>
      </c>
      <c r="V148" s="3">
        <f t="shared" si="74"/>
        <v>4.3198756825701184E-3</v>
      </c>
      <c r="W148" s="3">
        <f t="shared" si="74"/>
        <v>4.3198756825701167E-3</v>
      </c>
      <c r="X148" s="3">
        <f t="shared" si="74"/>
        <v>4.3198756825701045E-3</v>
      </c>
      <c r="Y148" s="3">
        <f t="shared" si="74"/>
        <v>4.319875682569977E-3</v>
      </c>
      <c r="Z148" s="3">
        <f t="shared" si="74"/>
        <v>4.3198756825687046E-3</v>
      </c>
      <c r="AA148" s="3">
        <f>$C34*EXP(-AA$129/$A34/EXP(-$B$126))</f>
        <v>4.3198756825559795E-3</v>
      </c>
      <c r="AB148" s="3">
        <f t="shared" si="67"/>
        <v>4.3198756824287315E-3</v>
      </c>
      <c r="AC148" s="3">
        <f t="shared" si="67"/>
        <v>4.3198756811562511E-3</v>
      </c>
      <c r="AD148" s="3">
        <f t="shared" si="67"/>
        <v>4.3198756684314438E-3</v>
      </c>
      <c r="AE148" s="3">
        <f t="shared" si="67"/>
        <v>4.3198755411833724E-3</v>
      </c>
      <c r="AF148" s="3">
        <f t="shared" si="67"/>
        <v>4.3198742687028694E-3</v>
      </c>
    </row>
    <row r="149" spans="1:32" x14ac:dyDescent="0.25">
      <c r="B149" s="3">
        <f t="shared" ref="B149:Z149" si="75">$C35*EXP(-B$129/$A35/EXP(-$B$126))</f>
        <v>3.4800152588185828E-3</v>
      </c>
      <c r="C149" s="3">
        <f t="shared" si="75"/>
        <v>3.4800152588185828E-3</v>
      </c>
      <c r="D149" s="3">
        <f t="shared" si="75"/>
        <v>3.4800152588185828E-3</v>
      </c>
      <c r="E149" s="3">
        <f t="shared" si="75"/>
        <v>3.4800152588185828E-3</v>
      </c>
      <c r="F149" s="3">
        <f t="shared" si="75"/>
        <v>3.4800152588185828E-3</v>
      </c>
      <c r="G149" s="3">
        <f t="shared" si="75"/>
        <v>3.4800152588185828E-3</v>
      </c>
      <c r="H149" s="3">
        <f t="shared" si="75"/>
        <v>3.4800152588185828E-3</v>
      </c>
      <c r="I149" s="3">
        <f t="shared" si="75"/>
        <v>3.4800152588185828E-3</v>
      </c>
      <c r="J149" s="3">
        <f t="shared" si="75"/>
        <v>3.4800152588185828E-3</v>
      </c>
      <c r="K149" s="3">
        <f t="shared" si="75"/>
        <v>3.4800152588185828E-3</v>
      </c>
      <c r="L149" s="3">
        <f t="shared" si="75"/>
        <v>3.4800152588185828E-3</v>
      </c>
      <c r="M149" s="3">
        <f t="shared" si="75"/>
        <v>3.4800152588185828E-3</v>
      </c>
      <c r="N149" s="3">
        <f t="shared" si="75"/>
        <v>3.4800152588185828E-3</v>
      </c>
      <c r="O149" s="3">
        <f t="shared" si="75"/>
        <v>3.4800152588185828E-3</v>
      </c>
      <c r="P149" s="3">
        <f t="shared" si="75"/>
        <v>3.4800152588185828E-3</v>
      </c>
      <c r="Q149" s="3">
        <f t="shared" si="75"/>
        <v>3.4800152588185828E-3</v>
      </c>
      <c r="R149" s="3">
        <f t="shared" si="75"/>
        <v>3.4800152588185828E-3</v>
      </c>
      <c r="S149" s="3">
        <f t="shared" si="75"/>
        <v>3.4800152588185828E-3</v>
      </c>
      <c r="T149" s="3">
        <f t="shared" si="75"/>
        <v>3.4800152588185828E-3</v>
      </c>
      <c r="U149" s="3">
        <f t="shared" si="75"/>
        <v>3.4800152588185828E-3</v>
      </c>
      <c r="V149" s="3">
        <f t="shared" si="75"/>
        <v>3.4800152588185828E-3</v>
      </c>
      <c r="W149" s="3">
        <f t="shared" si="75"/>
        <v>3.4800152588185828E-3</v>
      </c>
      <c r="X149" s="3">
        <f t="shared" si="75"/>
        <v>3.4800152588185815E-3</v>
      </c>
      <c r="Y149" s="3">
        <f t="shared" si="75"/>
        <v>3.4800152588185724E-3</v>
      </c>
      <c r="Z149" s="3">
        <f t="shared" si="75"/>
        <v>3.48001525881848E-3</v>
      </c>
      <c r="AA149" s="3">
        <f t="shared" ref="AA149" si="76">$C35*EXP(-AA$129/$A35/EXP(-$B$126))</f>
        <v>3.4800152588175554E-3</v>
      </c>
      <c r="AB149" s="3">
        <f t="shared" si="67"/>
        <v>3.4800152588083085E-3</v>
      </c>
      <c r="AC149" s="3">
        <f t="shared" si="67"/>
        <v>3.4800152587158369E-3</v>
      </c>
      <c r="AD149" s="3">
        <f t="shared" si="67"/>
        <v>3.4800152577911221E-3</v>
      </c>
      <c r="AE149" s="3">
        <f t="shared" si="67"/>
        <v>3.4800152485439766E-3</v>
      </c>
      <c r="AF149" s="3">
        <f t="shared" si="67"/>
        <v>3.4800151560725199E-3</v>
      </c>
    </row>
    <row r="150" spans="1:32" x14ac:dyDescent="0.25">
      <c r="B150" s="3">
        <f t="shared" ref="B150:Z150" si="77">$C36*EXP(-B$129/$A36/EXP(-$B$126))</f>
        <v>2.0367681547460849E-3</v>
      </c>
      <c r="C150" s="3">
        <f t="shared" si="77"/>
        <v>2.0367681547460849E-3</v>
      </c>
      <c r="D150" s="3">
        <f t="shared" si="77"/>
        <v>2.0367681547460849E-3</v>
      </c>
      <c r="E150" s="3">
        <f t="shared" si="77"/>
        <v>2.0367681547460849E-3</v>
      </c>
      <c r="F150" s="3">
        <f t="shared" si="77"/>
        <v>2.0367681547460849E-3</v>
      </c>
      <c r="G150" s="3">
        <f t="shared" si="77"/>
        <v>2.0367681547460849E-3</v>
      </c>
      <c r="H150" s="3">
        <f t="shared" si="77"/>
        <v>2.0367681547460849E-3</v>
      </c>
      <c r="I150" s="3">
        <f t="shared" si="77"/>
        <v>2.0367681547460849E-3</v>
      </c>
      <c r="J150" s="3">
        <f t="shared" si="77"/>
        <v>2.0367681547460849E-3</v>
      </c>
      <c r="K150" s="3">
        <f t="shared" si="77"/>
        <v>2.0367681547460849E-3</v>
      </c>
      <c r="L150" s="3">
        <f t="shared" si="77"/>
        <v>2.0367681547460849E-3</v>
      </c>
      <c r="M150" s="3">
        <f t="shared" si="77"/>
        <v>2.0367681547460849E-3</v>
      </c>
      <c r="N150" s="3">
        <f t="shared" si="77"/>
        <v>2.0367681547460849E-3</v>
      </c>
      <c r="O150" s="3">
        <f t="shared" si="77"/>
        <v>2.0367681547460849E-3</v>
      </c>
      <c r="P150" s="3">
        <f t="shared" si="77"/>
        <v>2.0367681547460849E-3</v>
      </c>
      <c r="Q150" s="3">
        <f t="shared" si="77"/>
        <v>2.0367681547460849E-3</v>
      </c>
      <c r="R150" s="3">
        <f t="shared" si="77"/>
        <v>2.0367681547460849E-3</v>
      </c>
      <c r="S150" s="3">
        <f t="shared" si="77"/>
        <v>2.0367681547460849E-3</v>
      </c>
      <c r="T150" s="3">
        <f t="shared" si="77"/>
        <v>2.0367681547460849E-3</v>
      </c>
      <c r="U150" s="3">
        <f t="shared" si="77"/>
        <v>2.0367681547460849E-3</v>
      </c>
      <c r="V150" s="3">
        <f t="shared" si="77"/>
        <v>2.0367681547460849E-3</v>
      </c>
      <c r="W150" s="3">
        <f t="shared" si="77"/>
        <v>2.0367681547460849E-3</v>
      </c>
      <c r="X150" s="3">
        <f t="shared" si="77"/>
        <v>2.0367681547460849E-3</v>
      </c>
      <c r="Y150" s="3">
        <f t="shared" si="77"/>
        <v>2.0367681547460844E-3</v>
      </c>
      <c r="Z150" s="3">
        <f t="shared" si="77"/>
        <v>2.0367681547460792E-3</v>
      </c>
      <c r="AA150" s="3">
        <f t="shared" ref="AA150" si="78">$C36*EXP(-AA$129/$A36/EXP(-$B$126))</f>
        <v>2.0367681547460307E-3</v>
      </c>
      <c r="AB150" s="3">
        <f t="shared" si="67"/>
        <v>2.0367681547455423E-3</v>
      </c>
      <c r="AC150" s="3">
        <f t="shared" si="67"/>
        <v>2.0367681547406604E-3</v>
      </c>
      <c r="AD150" s="3">
        <f t="shared" si="67"/>
        <v>2.0367681546918383E-3</v>
      </c>
      <c r="AE150" s="3">
        <f t="shared" si="67"/>
        <v>2.0367681542036191E-3</v>
      </c>
      <c r="AF150" s="3">
        <f t="shared" si="67"/>
        <v>2.0367681493214285E-3</v>
      </c>
    </row>
    <row r="151" spans="1:32" x14ac:dyDescent="0.25">
      <c r="B151" s="3">
        <f t="shared" ref="B151:Z151" si="79">$C37*EXP(-B$129/$A37/EXP(-$B$126))</f>
        <v>1.2781847248259422E-3</v>
      </c>
      <c r="C151" s="3">
        <f t="shared" si="79"/>
        <v>1.2781847248259422E-3</v>
      </c>
      <c r="D151" s="3">
        <f t="shared" si="79"/>
        <v>1.2781847248259422E-3</v>
      </c>
      <c r="E151" s="3">
        <f t="shared" si="79"/>
        <v>1.2781847248259422E-3</v>
      </c>
      <c r="F151" s="3">
        <f t="shared" si="79"/>
        <v>1.2781847248259422E-3</v>
      </c>
      <c r="G151" s="3">
        <f t="shared" si="79"/>
        <v>1.2781847248259422E-3</v>
      </c>
      <c r="H151" s="3">
        <f t="shared" si="79"/>
        <v>1.2781847248259422E-3</v>
      </c>
      <c r="I151" s="3">
        <f t="shared" si="79"/>
        <v>1.2781847248259422E-3</v>
      </c>
      <c r="J151" s="3">
        <f t="shared" si="79"/>
        <v>1.2781847248259422E-3</v>
      </c>
      <c r="K151" s="3">
        <f t="shared" si="79"/>
        <v>1.2781847248259422E-3</v>
      </c>
      <c r="L151" s="3">
        <f t="shared" si="79"/>
        <v>1.2781847248259422E-3</v>
      </c>
      <c r="M151" s="3">
        <f t="shared" si="79"/>
        <v>1.2781847248259422E-3</v>
      </c>
      <c r="N151" s="3">
        <f t="shared" si="79"/>
        <v>1.2781847248259422E-3</v>
      </c>
      <c r="O151" s="3">
        <f t="shared" si="79"/>
        <v>1.2781847248259422E-3</v>
      </c>
      <c r="P151" s="3">
        <f t="shared" si="79"/>
        <v>1.2781847248259422E-3</v>
      </c>
      <c r="Q151" s="3">
        <f t="shared" si="79"/>
        <v>1.2781847248259422E-3</v>
      </c>
      <c r="R151" s="3">
        <f t="shared" si="79"/>
        <v>1.2781847248259422E-3</v>
      </c>
      <c r="S151" s="3">
        <f t="shared" si="79"/>
        <v>1.2781847248259422E-3</v>
      </c>
      <c r="T151" s="3">
        <f t="shared" si="79"/>
        <v>1.2781847248259422E-3</v>
      </c>
      <c r="U151" s="3">
        <f t="shared" si="79"/>
        <v>1.2781847248259422E-3</v>
      </c>
      <c r="V151" s="3">
        <f t="shared" si="79"/>
        <v>1.2781847248259422E-3</v>
      </c>
      <c r="W151" s="3">
        <f t="shared" si="79"/>
        <v>1.2781847248259422E-3</v>
      </c>
      <c r="X151" s="3">
        <f t="shared" si="79"/>
        <v>1.2781847248259422E-3</v>
      </c>
      <c r="Y151" s="3">
        <f t="shared" si="79"/>
        <v>1.2781847248259422E-3</v>
      </c>
      <c r="Z151" s="3">
        <f t="shared" si="79"/>
        <v>1.278184724825942E-3</v>
      </c>
      <c r="AA151" s="3">
        <f t="shared" ref="AA151" si="80">$C37*EXP(-AA$129/$A37/EXP(-$B$126))</f>
        <v>1.2781847248259392E-3</v>
      </c>
      <c r="AB151" s="3">
        <f t="shared" si="67"/>
        <v>1.2781847248259117E-3</v>
      </c>
      <c r="AC151" s="3">
        <f t="shared" si="67"/>
        <v>1.2781847248256352E-3</v>
      </c>
      <c r="AD151" s="3">
        <f t="shared" si="67"/>
        <v>1.2781847248228713E-3</v>
      </c>
      <c r="AE151" s="3">
        <f t="shared" si="67"/>
        <v>1.2781847247952329E-3</v>
      </c>
      <c r="AF151" s="3">
        <f t="shared" si="67"/>
        <v>1.2781847245188485E-3</v>
      </c>
    </row>
    <row r="152" spans="1:32" x14ac:dyDescent="0.25">
      <c r="B152" s="3">
        <f t="shared" ref="B152:Z152" si="81">$C38*EXP(-B$129/$A38/EXP(-$B$126))</f>
        <v>3.444457645749161E-4</v>
      </c>
      <c r="C152" s="3">
        <f t="shared" si="81"/>
        <v>3.444457645749161E-4</v>
      </c>
      <c r="D152" s="3">
        <f t="shared" si="81"/>
        <v>3.444457645749161E-4</v>
      </c>
      <c r="E152" s="3">
        <f t="shared" si="81"/>
        <v>3.444457645749161E-4</v>
      </c>
      <c r="F152" s="3">
        <f t="shared" si="81"/>
        <v>3.444457645749161E-4</v>
      </c>
      <c r="G152" s="3">
        <f t="shared" si="81"/>
        <v>3.444457645749161E-4</v>
      </c>
      <c r="H152" s="3">
        <f t="shared" si="81"/>
        <v>3.444457645749161E-4</v>
      </c>
      <c r="I152" s="3">
        <f t="shared" si="81"/>
        <v>3.444457645749161E-4</v>
      </c>
      <c r="J152" s="3">
        <f t="shared" si="81"/>
        <v>3.444457645749161E-4</v>
      </c>
      <c r="K152" s="3">
        <f t="shared" si="81"/>
        <v>3.444457645749161E-4</v>
      </c>
      <c r="L152" s="3">
        <f t="shared" si="81"/>
        <v>3.444457645749161E-4</v>
      </c>
      <c r="M152" s="3">
        <f t="shared" si="81"/>
        <v>3.444457645749161E-4</v>
      </c>
      <c r="N152" s="3">
        <f t="shared" si="81"/>
        <v>3.444457645749161E-4</v>
      </c>
      <c r="O152" s="3">
        <f t="shared" si="81"/>
        <v>3.444457645749161E-4</v>
      </c>
      <c r="P152" s="3">
        <f t="shared" si="81"/>
        <v>3.444457645749161E-4</v>
      </c>
      <c r="Q152" s="3">
        <f t="shared" si="81"/>
        <v>3.444457645749161E-4</v>
      </c>
      <c r="R152" s="3">
        <f t="shared" si="81"/>
        <v>3.444457645749161E-4</v>
      </c>
      <c r="S152" s="3">
        <f t="shared" si="81"/>
        <v>3.444457645749161E-4</v>
      </c>
      <c r="T152" s="3">
        <f t="shared" si="81"/>
        <v>3.444457645749161E-4</v>
      </c>
      <c r="U152" s="3">
        <f t="shared" si="81"/>
        <v>3.444457645749161E-4</v>
      </c>
      <c r="V152" s="3">
        <f t="shared" si="81"/>
        <v>3.444457645749161E-4</v>
      </c>
      <c r="W152" s="3">
        <f t="shared" si="81"/>
        <v>3.444457645749161E-4</v>
      </c>
      <c r="X152" s="3">
        <f t="shared" si="81"/>
        <v>3.444457645749161E-4</v>
      </c>
      <c r="Y152" s="3">
        <f t="shared" si="81"/>
        <v>3.444457645749161E-4</v>
      </c>
      <c r="Z152" s="3">
        <f t="shared" si="81"/>
        <v>3.444457645749161E-4</v>
      </c>
      <c r="AA152" s="3">
        <f t="shared" ref="AA152" si="82">$C38*EXP(-AA$129/$A38/EXP(-$B$126))</f>
        <v>3.4444576457491605E-4</v>
      </c>
      <c r="AB152" s="3">
        <f t="shared" si="67"/>
        <v>3.4444576457491534E-4</v>
      </c>
      <c r="AC152" s="3">
        <f t="shared" si="67"/>
        <v>3.4444576457490862E-4</v>
      </c>
      <c r="AD152" s="3">
        <f t="shared" si="67"/>
        <v>3.4444576457484145E-4</v>
      </c>
      <c r="AE152" s="3">
        <f t="shared" si="67"/>
        <v>3.4444576457416957E-4</v>
      </c>
      <c r="AF152" s="3">
        <f t="shared" si="67"/>
        <v>3.4444576456745083E-4</v>
      </c>
    </row>
    <row r="153" spans="1:32" x14ac:dyDescent="0.25">
      <c r="B153" s="3">
        <f t="shared" ref="B153:Z153" si="83">$C39*EXP(-B$129/$A39/EXP(-$B$126))</f>
        <v>6.1014336776090067E-4</v>
      </c>
      <c r="C153" s="3">
        <f t="shared" si="83"/>
        <v>6.1014336776090067E-4</v>
      </c>
      <c r="D153" s="3">
        <f t="shared" si="83"/>
        <v>6.1014336776090067E-4</v>
      </c>
      <c r="E153" s="3">
        <f t="shared" si="83"/>
        <v>6.1014336776090067E-4</v>
      </c>
      <c r="F153" s="3">
        <f t="shared" si="83"/>
        <v>6.1014336776090067E-4</v>
      </c>
      <c r="G153" s="3">
        <f t="shared" si="83"/>
        <v>6.1014336776090067E-4</v>
      </c>
      <c r="H153" s="3">
        <f t="shared" si="83"/>
        <v>6.1014336776090067E-4</v>
      </c>
      <c r="I153" s="3">
        <f t="shared" si="83"/>
        <v>6.1014336776090067E-4</v>
      </c>
      <c r="J153" s="3">
        <f t="shared" si="83"/>
        <v>6.1014336776090067E-4</v>
      </c>
      <c r="K153" s="3">
        <f t="shared" si="83"/>
        <v>6.1014336776090067E-4</v>
      </c>
      <c r="L153" s="3">
        <f t="shared" si="83"/>
        <v>6.1014336776090067E-4</v>
      </c>
      <c r="M153" s="3">
        <f t="shared" si="83"/>
        <v>6.1014336776090067E-4</v>
      </c>
      <c r="N153" s="3">
        <f t="shared" si="83"/>
        <v>6.1014336776090067E-4</v>
      </c>
      <c r="O153" s="3">
        <f t="shared" si="83"/>
        <v>6.1014336776090067E-4</v>
      </c>
      <c r="P153" s="3">
        <f t="shared" si="83"/>
        <v>6.1014336776090067E-4</v>
      </c>
      <c r="Q153" s="3">
        <f t="shared" si="83"/>
        <v>6.1014336776090067E-4</v>
      </c>
      <c r="R153" s="3">
        <f t="shared" si="83"/>
        <v>6.1014336776090067E-4</v>
      </c>
      <c r="S153" s="3">
        <f t="shared" si="83"/>
        <v>6.1014336776090067E-4</v>
      </c>
      <c r="T153" s="3">
        <f t="shared" si="83"/>
        <v>6.1014336776090067E-4</v>
      </c>
      <c r="U153" s="3">
        <f t="shared" si="83"/>
        <v>6.1014336776090067E-4</v>
      </c>
      <c r="V153" s="3">
        <f t="shared" si="83"/>
        <v>6.1014336776090067E-4</v>
      </c>
      <c r="W153" s="3">
        <f t="shared" si="83"/>
        <v>6.1014336776090067E-4</v>
      </c>
      <c r="X153" s="3">
        <f t="shared" si="83"/>
        <v>6.1014336776090067E-4</v>
      </c>
      <c r="Y153" s="3">
        <f t="shared" si="83"/>
        <v>6.1014336776090067E-4</v>
      </c>
      <c r="Z153" s="3">
        <f t="shared" si="83"/>
        <v>6.1014336776090067E-4</v>
      </c>
      <c r="AA153" s="3">
        <f t="shared" ref="AA153" si="84">$C39*EXP(-AA$129/$A39/EXP(-$B$126))</f>
        <v>6.1014336776090057E-4</v>
      </c>
      <c r="AB153" s="3">
        <f t="shared" si="67"/>
        <v>6.1014336776090035E-4</v>
      </c>
      <c r="AC153" s="3">
        <f t="shared" si="67"/>
        <v>6.1014336776089699E-4</v>
      </c>
      <c r="AD153" s="3">
        <f t="shared" si="67"/>
        <v>6.1014336776086414E-4</v>
      </c>
      <c r="AE153" s="3">
        <f t="shared" si="67"/>
        <v>6.1014336776053497E-4</v>
      </c>
      <c r="AF153" s="3">
        <f t="shared" si="67"/>
        <v>6.1014336775724333E-4</v>
      </c>
    </row>
    <row r="154" spans="1:32" x14ac:dyDescent="0.25">
      <c r="B154" s="3">
        <f t="shared" ref="B154:Z154" si="85">$C40*EXP(-B$129/$A40/EXP(-$B$126))</f>
        <v>2.2250933466635417E-4</v>
      </c>
      <c r="C154" s="3">
        <f t="shared" si="85"/>
        <v>2.2250933466635417E-4</v>
      </c>
      <c r="D154" s="3">
        <f t="shared" si="85"/>
        <v>2.2250933466635417E-4</v>
      </c>
      <c r="E154" s="3">
        <f t="shared" si="85"/>
        <v>2.2250933466635417E-4</v>
      </c>
      <c r="F154" s="3">
        <f t="shared" si="85"/>
        <v>2.2250933466635417E-4</v>
      </c>
      <c r="G154" s="3">
        <f t="shared" si="85"/>
        <v>2.2250933466635417E-4</v>
      </c>
      <c r="H154" s="3">
        <f t="shared" si="85"/>
        <v>2.2250933466635417E-4</v>
      </c>
      <c r="I154" s="3">
        <f t="shared" si="85"/>
        <v>2.2250933466635417E-4</v>
      </c>
      <c r="J154" s="3">
        <f t="shared" si="85"/>
        <v>2.2250933466635417E-4</v>
      </c>
      <c r="K154" s="3">
        <f t="shared" si="85"/>
        <v>2.2250933466635417E-4</v>
      </c>
      <c r="L154" s="3">
        <f t="shared" si="85"/>
        <v>2.2250933466635417E-4</v>
      </c>
      <c r="M154" s="3">
        <f t="shared" si="85"/>
        <v>2.2250933466635417E-4</v>
      </c>
      <c r="N154" s="3">
        <f t="shared" si="85"/>
        <v>2.2250933466635417E-4</v>
      </c>
      <c r="O154" s="3">
        <f t="shared" si="85"/>
        <v>2.2250933466635417E-4</v>
      </c>
      <c r="P154" s="3">
        <f t="shared" si="85"/>
        <v>2.2250933466635417E-4</v>
      </c>
      <c r="Q154" s="3">
        <f t="shared" si="85"/>
        <v>2.2250933466635417E-4</v>
      </c>
      <c r="R154" s="3">
        <f t="shared" si="85"/>
        <v>2.2250933466635417E-4</v>
      </c>
      <c r="S154" s="3">
        <f t="shared" si="85"/>
        <v>2.2250933466635417E-4</v>
      </c>
      <c r="T154" s="3">
        <f t="shared" si="85"/>
        <v>2.2250933466635417E-4</v>
      </c>
      <c r="U154" s="3">
        <f t="shared" si="85"/>
        <v>2.2250933466635417E-4</v>
      </c>
      <c r="V154" s="3">
        <f t="shared" si="85"/>
        <v>2.2250933466635417E-4</v>
      </c>
      <c r="W154" s="3">
        <f t="shared" si="85"/>
        <v>2.2250933466635417E-4</v>
      </c>
      <c r="X154" s="3">
        <f t="shared" si="85"/>
        <v>2.2250933466635417E-4</v>
      </c>
      <c r="Y154" s="3">
        <f t="shared" si="85"/>
        <v>2.2250933466635417E-4</v>
      </c>
      <c r="Z154" s="3">
        <f t="shared" si="85"/>
        <v>2.2250933466635417E-4</v>
      </c>
      <c r="AA154" s="3">
        <f t="shared" ref="AA154:AF154" si="86">$C40*EXP(-AA$129/$A40/EXP(-$B$126))</f>
        <v>2.2250933466635417E-4</v>
      </c>
      <c r="AB154" s="3">
        <f t="shared" si="86"/>
        <v>2.2250933466635414E-4</v>
      </c>
      <c r="AC154" s="3">
        <f t="shared" si="86"/>
        <v>2.2250933466635403E-4</v>
      </c>
      <c r="AD154" s="3">
        <f t="shared" si="86"/>
        <v>2.2250933466635284E-4</v>
      </c>
      <c r="AE154" s="3">
        <f t="shared" si="86"/>
        <v>2.2250933466634083E-4</v>
      </c>
      <c r="AF154" s="3">
        <f t="shared" si="86"/>
        <v>2.2250933466622078E-4</v>
      </c>
    </row>
    <row r="155" spans="1:32" x14ac:dyDescent="0.25">
      <c r="B155" s="3">
        <f t="shared" ref="B155:Z155" si="87">$C41*EXP(-B$129/$A41/EXP(-$B$126))</f>
        <v>3.0514987252664002E-4</v>
      </c>
      <c r="C155" s="3">
        <f t="shared" si="87"/>
        <v>3.0514987252664002E-4</v>
      </c>
      <c r="D155" s="3">
        <f t="shared" si="87"/>
        <v>3.0514987252664002E-4</v>
      </c>
      <c r="E155" s="3">
        <f t="shared" si="87"/>
        <v>3.0514987252664002E-4</v>
      </c>
      <c r="F155" s="3">
        <f t="shared" si="87"/>
        <v>3.0514987252664002E-4</v>
      </c>
      <c r="G155" s="3">
        <f t="shared" si="87"/>
        <v>3.0514987252664002E-4</v>
      </c>
      <c r="H155" s="3">
        <f t="shared" si="87"/>
        <v>3.0514987252664002E-4</v>
      </c>
      <c r="I155" s="3">
        <f t="shared" si="87"/>
        <v>3.0514987252664002E-4</v>
      </c>
      <c r="J155" s="3">
        <f t="shared" si="87"/>
        <v>3.0514987252664002E-4</v>
      </c>
      <c r="K155" s="3">
        <f t="shared" si="87"/>
        <v>3.0514987252664002E-4</v>
      </c>
      <c r="L155" s="3">
        <f t="shared" si="87"/>
        <v>3.0514987252664002E-4</v>
      </c>
      <c r="M155" s="3">
        <f t="shared" si="87"/>
        <v>3.0514987252664002E-4</v>
      </c>
      <c r="N155" s="3">
        <f t="shared" si="87"/>
        <v>3.0514987252664002E-4</v>
      </c>
      <c r="O155" s="3">
        <f t="shared" si="87"/>
        <v>3.0514987252664002E-4</v>
      </c>
      <c r="P155" s="3">
        <f t="shared" si="87"/>
        <v>3.0514987252664002E-4</v>
      </c>
      <c r="Q155" s="3">
        <f t="shared" si="87"/>
        <v>3.0514987252664002E-4</v>
      </c>
      <c r="R155" s="3">
        <f t="shared" si="87"/>
        <v>3.0514987252664002E-4</v>
      </c>
      <c r="S155" s="3">
        <f t="shared" si="87"/>
        <v>3.0514987252664002E-4</v>
      </c>
      <c r="T155" s="3">
        <f t="shared" si="87"/>
        <v>3.0514987252664002E-4</v>
      </c>
      <c r="U155" s="3">
        <f t="shared" si="87"/>
        <v>3.0514987252664002E-4</v>
      </c>
      <c r="V155" s="3">
        <f t="shared" si="87"/>
        <v>3.0514987252664002E-4</v>
      </c>
      <c r="W155" s="3">
        <f t="shared" si="87"/>
        <v>3.0514987252664002E-4</v>
      </c>
      <c r="X155" s="3">
        <f t="shared" si="87"/>
        <v>3.0514987252664002E-4</v>
      </c>
      <c r="Y155" s="3">
        <f t="shared" si="87"/>
        <v>3.0514987252664002E-4</v>
      </c>
      <c r="Z155" s="3">
        <f t="shared" si="87"/>
        <v>3.0514987252664002E-4</v>
      </c>
      <c r="AA155" s="3">
        <f t="shared" ref="AA155:AF155" si="88">$C41*EXP(-AA$129/$A41/EXP(-$B$126))</f>
        <v>3.0514987252664002E-4</v>
      </c>
      <c r="AB155" s="3">
        <f t="shared" si="88"/>
        <v>3.0514987252664002E-4</v>
      </c>
      <c r="AC155" s="3">
        <f t="shared" si="88"/>
        <v>3.0514987252663997E-4</v>
      </c>
      <c r="AD155" s="3">
        <f t="shared" si="88"/>
        <v>3.0514987252663986E-4</v>
      </c>
      <c r="AE155" s="3">
        <f t="shared" si="88"/>
        <v>3.0514987252663818E-4</v>
      </c>
      <c r="AF155" s="3">
        <f t="shared" si="88"/>
        <v>3.0514987252662176E-4</v>
      </c>
    </row>
    <row r="156" spans="1:32" x14ac:dyDescent="0.25">
      <c r="B156" s="3">
        <f t="shared" ref="B156:Z156" si="89">$C42*EXP(-B$129/$A42/EXP(-$B$126))</f>
        <v>0</v>
      </c>
      <c r="C156" s="3">
        <f t="shared" si="89"/>
        <v>0</v>
      </c>
      <c r="D156" s="3">
        <f t="shared" si="89"/>
        <v>0</v>
      </c>
      <c r="E156" s="3">
        <f t="shared" si="89"/>
        <v>0</v>
      </c>
      <c r="F156" s="3">
        <f t="shared" si="89"/>
        <v>0</v>
      </c>
      <c r="G156" s="3">
        <f t="shared" si="89"/>
        <v>0</v>
      </c>
      <c r="H156" s="3">
        <f t="shared" si="89"/>
        <v>0</v>
      </c>
      <c r="I156" s="3">
        <f t="shared" si="89"/>
        <v>0</v>
      </c>
      <c r="J156" s="3">
        <f t="shared" si="89"/>
        <v>0</v>
      </c>
      <c r="K156" s="3">
        <f t="shared" si="89"/>
        <v>0</v>
      </c>
      <c r="L156" s="3">
        <f t="shared" si="89"/>
        <v>0</v>
      </c>
      <c r="M156" s="3">
        <f t="shared" si="89"/>
        <v>0</v>
      </c>
      <c r="N156" s="3">
        <f t="shared" si="89"/>
        <v>0</v>
      </c>
      <c r="O156" s="3">
        <f t="shared" si="89"/>
        <v>0</v>
      </c>
      <c r="P156" s="3">
        <f t="shared" si="89"/>
        <v>0</v>
      </c>
      <c r="Q156" s="3">
        <f t="shared" si="89"/>
        <v>0</v>
      </c>
      <c r="R156" s="3">
        <f t="shared" si="89"/>
        <v>0</v>
      </c>
      <c r="S156" s="3">
        <f t="shared" si="89"/>
        <v>0</v>
      </c>
      <c r="T156" s="3">
        <f t="shared" si="89"/>
        <v>0</v>
      </c>
      <c r="U156" s="3">
        <f t="shared" si="89"/>
        <v>0</v>
      </c>
      <c r="V156" s="3">
        <f t="shared" si="89"/>
        <v>0</v>
      </c>
      <c r="W156" s="3">
        <f t="shared" si="89"/>
        <v>0</v>
      </c>
      <c r="X156" s="3">
        <f t="shared" si="89"/>
        <v>0</v>
      </c>
      <c r="Y156" s="3">
        <f t="shared" si="89"/>
        <v>0</v>
      </c>
      <c r="Z156" s="3">
        <f t="shared" si="89"/>
        <v>0</v>
      </c>
      <c r="AA156" s="3">
        <f t="shared" ref="AA156:AF156" si="90">$C42*EXP(-AA$129/$A42/EXP(-$B$126))</f>
        <v>0</v>
      </c>
      <c r="AB156" s="3">
        <f t="shared" si="90"/>
        <v>0</v>
      </c>
      <c r="AC156" s="3">
        <f t="shared" si="90"/>
        <v>0</v>
      </c>
      <c r="AD156" s="3">
        <f t="shared" si="90"/>
        <v>0</v>
      </c>
      <c r="AE156" s="3">
        <f t="shared" si="90"/>
        <v>0</v>
      </c>
      <c r="AF156" s="3">
        <f t="shared" si="90"/>
        <v>0</v>
      </c>
    </row>
    <row r="157" spans="1:32" x14ac:dyDescent="0.25">
      <c r="B157" s="3">
        <f t="shared" ref="B157:Z157" si="91">$C43*EXP(-B$129/$A43/EXP(-$B$126))</f>
        <v>6.2164799219330605E-5</v>
      </c>
      <c r="C157" s="3">
        <f t="shared" si="91"/>
        <v>6.2164799219330605E-5</v>
      </c>
      <c r="D157" s="3">
        <f t="shared" si="91"/>
        <v>6.2164799219330605E-5</v>
      </c>
      <c r="E157" s="3">
        <f t="shared" si="91"/>
        <v>6.2164799219330605E-5</v>
      </c>
      <c r="F157" s="3">
        <f t="shared" si="91"/>
        <v>6.2164799219330605E-5</v>
      </c>
      <c r="G157" s="3">
        <f t="shared" si="91"/>
        <v>6.2164799219330605E-5</v>
      </c>
      <c r="H157" s="3">
        <f t="shared" si="91"/>
        <v>6.2164799219330605E-5</v>
      </c>
      <c r="I157" s="3">
        <f t="shared" si="91"/>
        <v>6.2164799219330605E-5</v>
      </c>
      <c r="J157" s="3">
        <f t="shared" si="91"/>
        <v>6.2164799219330605E-5</v>
      </c>
      <c r="K157" s="3">
        <f t="shared" si="91"/>
        <v>6.2164799219330605E-5</v>
      </c>
      <c r="L157" s="3">
        <f t="shared" si="91"/>
        <v>6.2164799219330605E-5</v>
      </c>
      <c r="M157" s="3">
        <f t="shared" si="91"/>
        <v>6.2164799219330605E-5</v>
      </c>
      <c r="N157" s="3">
        <f t="shared" si="91"/>
        <v>6.2164799219330605E-5</v>
      </c>
      <c r="O157" s="3">
        <f t="shared" si="91"/>
        <v>6.2164799219330605E-5</v>
      </c>
      <c r="P157" s="3">
        <f t="shared" si="91"/>
        <v>6.2164799219330605E-5</v>
      </c>
      <c r="Q157" s="3">
        <f t="shared" si="91"/>
        <v>6.2164799219330605E-5</v>
      </c>
      <c r="R157" s="3">
        <f t="shared" si="91"/>
        <v>6.2164799219330605E-5</v>
      </c>
      <c r="S157" s="3">
        <f t="shared" si="91"/>
        <v>6.2164799219330605E-5</v>
      </c>
      <c r="T157" s="3">
        <f t="shared" si="91"/>
        <v>6.2164799219330605E-5</v>
      </c>
      <c r="U157" s="3">
        <f t="shared" si="91"/>
        <v>6.2164799219330605E-5</v>
      </c>
      <c r="V157" s="3">
        <f t="shared" si="91"/>
        <v>6.2164799219330605E-5</v>
      </c>
      <c r="W157" s="3">
        <f t="shared" si="91"/>
        <v>6.2164799219330605E-5</v>
      </c>
      <c r="X157" s="3">
        <f t="shared" si="91"/>
        <v>6.2164799219330605E-5</v>
      </c>
      <c r="Y157" s="3">
        <f t="shared" si="91"/>
        <v>6.2164799219330605E-5</v>
      </c>
      <c r="Z157" s="3">
        <f t="shared" si="91"/>
        <v>6.2164799219330605E-5</v>
      </c>
      <c r="AA157" s="3">
        <f t="shared" ref="AA157:AF157" si="92">$C43*EXP(-AA$129/$A43/EXP(-$B$126))</f>
        <v>6.2164799219330605E-5</v>
      </c>
      <c r="AB157" s="3">
        <f t="shared" si="92"/>
        <v>6.2164799219330605E-5</v>
      </c>
      <c r="AC157" s="3">
        <f t="shared" si="92"/>
        <v>6.2164799219330605E-5</v>
      </c>
      <c r="AD157" s="3">
        <f t="shared" si="92"/>
        <v>6.2164799219330605E-5</v>
      </c>
      <c r="AE157" s="3">
        <f t="shared" si="92"/>
        <v>6.2164799219330592E-5</v>
      </c>
      <c r="AF157" s="3">
        <f t="shared" si="92"/>
        <v>6.2164799219330564E-5</v>
      </c>
    </row>
    <row r="158" spans="1:32" x14ac:dyDescent="0.25">
      <c r="B158" s="3">
        <f t="shared" ref="B158:Z158" si="93">$C44*EXP(-B$129/$A44/EXP(-$B$126))</f>
        <v>1.589018825978126E-4</v>
      </c>
      <c r="C158" s="3">
        <f t="shared" si="93"/>
        <v>1.589018825978126E-4</v>
      </c>
      <c r="D158" s="3">
        <f t="shared" si="93"/>
        <v>1.589018825978126E-4</v>
      </c>
      <c r="E158" s="3">
        <f t="shared" si="93"/>
        <v>1.589018825978126E-4</v>
      </c>
      <c r="F158" s="3">
        <f t="shared" si="93"/>
        <v>1.589018825978126E-4</v>
      </c>
      <c r="G158" s="3">
        <f t="shared" si="93"/>
        <v>1.589018825978126E-4</v>
      </c>
      <c r="H158" s="3">
        <f t="shared" si="93"/>
        <v>1.589018825978126E-4</v>
      </c>
      <c r="I158" s="3">
        <f t="shared" si="93"/>
        <v>1.589018825978126E-4</v>
      </c>
      <c r="J158" s="3">
        <f t="shared" si="93"/>
        <v>1.589018825978126E-4</v>
      </c>
      <c r="K158" s="3">
        <f t="shared" si="93"/>
        <v>1.589018825978126E-4</v>
      </c>
      <c r="L158" s="3">
        <f t="shared" si="93"/>
        <v>1.589018825978126E-4</v>
      </c>
      <c r="M158" s="3">
        <f t="shared" si="93"/>
        <v>1.589018825978126E-4</v>
      </c>
      <c r="N158" s="3">
        <f t="shared" si="93"/>
        <v>1.589018825978126E-4</v>
      </c>
      <c r="O158" s="3">
        <f t="shared" si="93"/>
        <v>1.589018825978126E-4</v>
      </c>
      <c r="P158" s="3">
        <f t="shared" si="93"/>
        <v>1.589018825978126E-4</v>
      </c>
      <c r="Q158" s="3">
        <f t="shared" si="93"/>
        <v>1.589018825978126E-4</v>
      </c>
      <c r="R158" s="3">
        <f t="shared" si="93"/>
        <v>1.589018825978126E-4</v>
      </c>
      <c r="S158" s="3">
        <f t="shared" si="93"/>
        <v>1.589018825978126E-4</v>
      </c>
      <c r="T158" s="3">
        <f t="shared" si="93"/>
        <v>1.589018825978126E-4</v>
      </c>
      <c r="U158" s="3">
        <f t="shared" si="93"/>
        <v>1.589018825978126E-4</v>
      </c>
      <c r="V158" s="3">
        <f t="shared" si="93"/>
        <v>1.589018825978126E-4</v>
      </c>
      <c r="W158" s="3">
        <f t="shared" si="93"/>
        <v>1.589018825978126E-4</v>
      </c>
      <c r="X158" s="3">
        <f t="shared" si="93"/>
        <v>1.589018825978126E-4</v>
      </c>
      <c r="Y158" s="3">
        <f t="shared" si="93"/>
        <v>1.589018825978126E-4</v>
      </c>
      <c r="Z158" s="3">
        <f t="shared" si="93"/>
        <v>1.589018825978126E-4</v>
      </c>
      <c r="AA158" s="3">
        <f t="shared" ref="AA158:AF158" si="94">$C44*EXP(-AA$129/$A44/EXP(-$B$126))</f>
        <v>1.589018825978126E-4</v>
      </c>
      <c r="AB158" s="3">
        <f t="shared" si="94"/>
        <v>1.589018825978126E-4</v>
      </c>
      <c r="AC158" s="3">
        <f t="shared" si="94"/>
        <v>1.589018825978126E-4</v>
      </c>
      <c r="AD158" s="3">
        <f t="shared" si="94"/>
        <v>1.589018825978126E-4</v>
      </c>
      <c r="AE158" s="3">
        <f t="shared" si="94"/>
        <v>1.589018825978126E-4</v>
      </c>
      <c r="AF158" s="3">
        <f t="shared" si="94"/>
        <v>1.5890188259781257E-4</v>
      </c>
    </row>
    <row r="159" spans="1:32" x14ac:dyDescent="0.25">
      <c r="A159" s="11" t="s">
        <v>75</v>
      </c>
      <c r="B159" s="3">
        <f t="shared" ref="B159:Z159" si="95">$C45*EXP(-B$129/$A45/EXP(-$B$126))</f>
        <v>0</v>
      </c>
      <c r="C159" s="3">
        <f t="shared" si="95"/>
        <v>0</v>
      </c>
      <c r="D159" s="3">
        <f t="shared" si="95"/>
        <v>0</v>
      </c>
      <c r="E159" s="3">
        <f t="shared" si="95"/>
        <v>0</v>
      </c>
      <c r="F159" s="3">
        <f t="shared" si="95"/>
        <v>0</v>
      </c>
      <c r="G159" s="3">
        <f t="shared" si="95"/>
        <v>0</v>
      </c>
      <c r="H159" s="3">
        <f t="shared" si="95"/>
        <v>0</v>
      </c>
      <c r="I159" s="3">
        <f t="shared" si="95"/>
        <v>0</v>
      </c>
      <c r="J159" s="3">
        <f t="shared" si="95"/>
        <v>0</v>
      </c>
      <c r="K159" s="3">
        <f t="shared" si="95"/>
        <v>0</v>
      </c>
      <c r="L159" s="3">
        <f t="shared" si="95"/>
        <v>0</v>
      </c>
      <c r="M159" s="3">
        <f t="shared" si="95"/>
        <v>0</v>
      </c>
      <c r="N159" s="3">
        <f t="shared" si="95"/>
        <v>0</v>
      </c>
      <c r="O159" s="3">
        <f t="shared" si="95"/>
        <v>0</v>
      </c>
      <c r="P159" s="3">
        <f t="shared" si="95"/>
        <v>0</v>
      </c>
      <c r="Q159" s="3">
        <f t="shared" si="95"/>
        <v>0</v>
      </c>
      <c r="R159" s="3">
        <f t="shared" si="95"/>
        <v>0</v>
      </c>
      <c r="S159" s="3">
        <f t="shared" si="95"/>
        <v>0</v>
      </c>
      <c r="T159" s="3">
        <f t="shared" si="95"/>
        <v>0</v>
      </c>
      <c r="U159" s="3">
        <f t="shared" si="95"/>
        <v>0</v>
      </c>
      <c r="V159" s="3">
        <f t="shared" si="95"/>
        <v>0</v>
      </c>
      <c r="W159" s="3">
        <f t="shared" si="95"/>
        <v>0</v>
      </c>
      <c r="X159" s="3">
        <f t="shared" si="95"/>
        <v>0</v>
      </c>
      <c r="Y159" s="3">
        <f t="shared" si="95"/>
        <v>0</v>
      </c>
      <c r="Z159" s="3">
        <f t="shared" si="95"/>
        <v>0</v>
      </c>
      <c r="AA159" s="3">
        <f t="shared" ref="AA159:AF159" si="96">$C45*EXP(-AA$129/$A45/EXP(-$B$126))</f>
        <v>0</v>
      </c>
      <c r="AB159" s="3">
        <f t="shared" si="96"/>
        <v>0</v>
      </c>
      <c r="AC159" s="3">
        <f t="shared" si="96"/>
        <v>0</v>
      </c>
      <c r="AD159" s="3">
        <f t="shared" si="96"/>
        <v>0</v>
      </c>
      <c r="AE159" s="3">
        <f t="shared" si="96"/>
        <v>0</v>
      </c>
      <c r="AF159" s="3">
        <f t="shared" si="96"/>
        <v>0</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7.8909905102376337E-4</v>
      </c>
      <c r="C162" s="3">
        <f t="shared" si="101"/>
        <v>7.8909905102376337E-4</v>
      </c>
      <c r="D162" s="3">
        <f t="shared" si="101"/>
        <v>7.8909905102376337E-4</v>
      </c>
      <c r="E162" s="3">
        <f t="shared" si="101"/>
        <v>7.8909905102376337E-4</v>
      </c>
      <c r="F162" s="3">
        <f t="shared" si="101"/>
        <v>7.8909905102376337E-4</v>
      </c>
      <c r="G162" s="3">
        <f t="shared" si="101"/>
        <v>7.8909905102376337E-4</v>
      </c>
      <c r="H162" s="3">
        <f t="shared" si="101"/>
        <v>7.8909905102376337E-4</v>
      </c>
      <c r="I162" s="3">
        <f t="shared" si="101"/>
        <v>7.8909905102376337E-4</v>
      </c>
      <c r="J162" s="3">
        <f t="shared" si="101"/>
        <v>7.8909905102376337E-4</v>
      </c>
      <c r="K162" s="3">
        <f t="shared" si="101"/>
        <v>7.8909905102376337E-4</v>
      </c>
      <c r="L162" s="3">
        <f t="shared" si="101"/>
        <v>7.8909905102376337E-4</v>
      </c>
      <c r="M162" s="3">
        <f t="shared" si="101"/>
        <v>7.8909905102376337E-4</v>
      </c>
      <c r="N162" s="3">
        <f t="shared" si="101"/>
        <v>7.8909905102376337E-4</v>
      </c>
      <c r="O162" s="3">
        <f t="shared" si="101"/>
        <v>7.8909905102376337E-4</v>
      </c>
      <c r="P162" s="3">
        <f t="shared" si="101"/>
        <v>7.8909905102376337E-4</v>
      </c>
      <c r="Q162" s="3">
        <f t="shared" si="101"/>
        <v>7.8909905102376337E-4</v>
      </c>
      <c r="R162" s="3">
        <f t="shared" si="101"/>
        <v>7.8909905102376337E-4</v>
      </c>
      <c r="S162" s="3">
        <f t="shared" si="101"/>
        <v>7.8909905102376337E-4</v>
      </c>
      <c r="T162" s="3">
        <f t="shared" si="101"/>
        <v>7.8909905102376337E-4</v>
      </c>
      <c r="U162" s="3">
        <f t="shared" si="101"/>
        <v>7.8909905102376337E-4</v>
      </c>
      <c r="V162" s="3">
        <f t="shared" si="101"/>
        <v>7.8909905102376337E-4</v>
      </c>
      <c r="W162" s="3">
        <f t="shared" si="101"/>
        <v>7.8909905102376337E-4</v>
      </c>
      <c r="X162" s="3">
        <f t="shared" si="101"/>
        <v>7.8909905102376337E-4</v>
      </c>
      <c r="Y162" s="3">
        <f t="shared" si="101"/>
        <v>7.8909905102376337E-4</v>
      </c>
      <c r="Z162" s="3">
        <f t="shared" si="101"/>
        <v>7.8909905102376337E-4</v>
      </c>
      <c r="AA162" s="3">
        <f t="shared" ref="AA162:AF162" si="102">$C48*EXP(-AA$129/$A48/EXP(-$B$126))</f>
        <v>7.8909905102376337E-4</v>
      </c>
      <c r="AB162" s="3">
        <f t="shared" si="102"/>
        <v>7.8909905102376337E-4</v>
      </c>
      <c r="AC162" s="3">
        <f t="shared" si="102"/>
        <v>7.8909905102376337E-4</v>
      </c>
      <c r="AD162" s="3">
        <f t="shared" si="102"/>
        <v>7.8909905102376337E-4</v>
      </c>
      <c r="AE162" s="3">
        <f t="shared" si="102"/>
        <v>7.8909905102376337E-4</v>
      </c>
      <c r="AF162" s="3">
        <f t="shared" si="102"/>
        <v>7.8909905102376337E-4</v>
      </c>
    </row>
    <row r="163" spans="1:34" x14ac:dyDescent="0.25">
      <c r="A163" s="79">
        <f>AVERAGE(B163:AF163)</f>
        <v>5.9789964087150045E-2</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0.18157256614329767</v>
      </c>
      <c r="M163" s="80">
        <f t="shared" si="103"/>
        <v>0.1815725522365696</v>
      </c>
      <c r="N163" s="80">
        <f t="shared" si="103"/>
        <v>0.18157247579777816</v>
      </c>
      <c r="O163" s="80">
        <f t="shared" si="103"/>
        <v>0.18157166965753577</v>
      </c>
      <c r="P163" s="80">
        <f t="shared" si="103"/>
        <v>0.18156360825522849</v>
      </c>
      <c r="Q163" s="80">
        <f t="shared" si="103"/>
        <v>0.18148318908786698</v>
      </c>
      <c r="R163" s="80">
        <f t="shared" si="103"/>
        <v>0.1806962700868765</v>
      </c>
      <c r="S163" s="80">
        <f t="shared" si="103"/>
        <v>0.17431093754230192</v>
      </c>
      <c r="T163" s="80">
        <f t="shared" si="103"/>
        <v>0.15785059068071944</v>
      </c>
      <c r="U163" s="80">
        <f t="shared" si="103"/>
        <v>0.1394070671886509</v>
      </c>
      <c r="V163" s="80">
        <f t="shared" si="103"/>
        <v>0.11188796002482602</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11837.802738552826</v>
      </c>
      <c r="C164" s="21">
        <f t="shared" ref="C164:AF164" si="104">(C131-C130)^2</f>
        <v>12000.837714787616</v>
      </c>
      <c r="D164" s="21">
        <f t="shared" si="104"/>
        <v>13499.523183174659</v>
      </c>
      <c r="E164" s="21">
        <f t="shared" si="104"/>
        <v>32768.716542251139</v>
      </c>
      <c r="F164" s="21">
        <f t="shared" si="104"/>
        <v>447269.86197559326</v>
      </c>
      <c r="G164" s="21">
        <f t="shared" si="104"/>
        <v>1816443.9011341215</v>
      </c>
      <c r="H164" s="21">
        <f t="shared" si="104"/>
        <v>1824799.5577861168</v>
      </c>
      <c r="I164" s="21">
        <f t="shared" si="104"/>
        <v>1824799.3868853177</v>
      </c>
      <c r="J164" s="21">
        <f t="shared" si="104"/>
        <v>1824799.2159847135</v>
      </c>
      <c r="K164" s="21">
        <f t="shared" si="104"/>
        <v>1824799.2159868684</v>
      </c>
      <c r="L164" s="21">
        <f t="shared" si="104"/>
        <v>1824799.2160084057</v>
      </c>
      <c r="M164" s="21">
        <f t="shared" si="104"/>
        <v>1824798.8744221756</v>
      </c>
      <c r="N164" s="21">
        <f t="shared" si="104"/>
        <v>1824796.9966677632</v>
      </c>
      <c r="O164" s="21">
        <f t="shared" si="104"/>
        <v>1824777.1937994866</v>
      </c>
      <c r="P164" s="21">
        <f t="shared" si="104"/>
        <v>1824579.1731772362</v>
      </c>
      <c r="Q164" s="21">
        <f t="shared" si="104"/>
        <v>1822604.5541449287</v>
      </c>
      <c r="R164" s="21">
        <f t="shared" si="104"/>
        <v>1803359.1532297884</v>
      </c>
      <c r="S164" s="21">
        <f t="shared" si="104"/>
        <v>1652260.6528964946</v>
      </c>
      <c r="T164" s="21">
        <f t="shared" si="104"/>
        <v>1302155.4947672188</v>
      </c>
      <c r="U164" s="21">
        <f t="shared" si="104"/>
        <v>970049.73702041607</v>
      </c>
      <c r="V164" s="21">
        <f t="shared" si="104"/>
        <v>572641.55091832753</v>
      </c>
      <c r="W164" s="21">
        <f t="shared" si="104"/>
        <v>206152.44119500366</v>
      </c>
      <c r="X164" s="21">
        <f t="shared" si="104"/>
        <v>34222.975121625044</v>
      </c>
      <c r="Y164" s="21">
        <f t="shared" si="104"/>
        <v>485949.48637517466</v>
      </c>
      <c r="Z164" s="21">
        <f t="shared" si="104"/>
        <v>904396.25346955296</v>
      </c>
      <c r="AA164" s="21">
        <f t="shared" si="104"/>
        <v>893844.45093790966</v>
      </c>
      <c r="AB164" s="21">
        <f t="shared" si="104"/>
        <v>530271.64653607109</v>
      </c>
      <c r="AC164" s="21">
        <f t="shared" si="104"/>
        <v>114885.02122330452</v>
      </c>
      <c r="AD164" s="21">
        <f t="shared" si="104"/>
        <v>26654.8660768718</v>
      </c>
      <c r="AE164" s="21">
        <f t="shared" si="104"/>
        <v>367442.16114356043</v>
      </c>
      <c r="AF164" s="21">
        <f t="shared" si="104"/>
        <v>605332.28128688259</v>
      </c>
    </row>
    <row r="165" spans="1:34" x14ac:dyDescent="0.25">
      <c r="A165" s="71">
        <f>SUM(B165:AF165)</f>
        <v>17246822.597052239</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1824799.2160084057</v>
      </c>
      <c r="M165" s="60">
        <f t="shared" si="105"/>
        <v>1824798.8744221756</v>
      </c>
      <c r="N165" s="60">
        <f t="shared" si="105"/>
        <v>1824796.9966677632</v>
      </c>
      <c r="O165" s="60">
        <f t="shared" si="105"/>
        <v>1824777.1937994866</v>
      </c>
      <c r="P165" s="60">
        <f t="shared" si="105"/>
        <v>1824579.1731772362</v>
      </c>
      <c r="Q165" s="60">
        <f t="shared" si="105"/>
        <v>1822604.5541449287</v>
      </c>
      <c r="R165" s="60">
        <f t="shared" si="105"/>
        <v>1803359.1532297884</v>
      </c>
      <c r="S165" s="60">
        <f t="shared" si="105"/>
        <v>1652260.6528964946</v>
      </c>
      <c r="T165" s="60">
        <f t="shared" si="105"/>
        <v>1302155.4947672188</v>
      </c>
      <c r="U165" s="60">
        <f t="shared" si="105"/>
        <v>970049.73702041607</v>
      </c>
      <c r="V165" s="60">
        <f t="shared" si="105"/>
        <v>572641.55091832753</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7373.6169222469052</v>
      </c>
      <c r="C169" s="26">
        <f>INDEX(Comparison!$AM$3:$AS$33,G$14,$C$122)</f>
        <v>7373.6918607149901</v>
      </c>
      <c r="D169" s="26">
        <f>INDEX(Comparison!$AM$3:$AS$33,H$14,$C$122)</f>
        <v>7373.6524650120191</v>
      </c>
      <c r="E169" s="26">
        <f>INDEX(Comparison!$AM$3:$AS$33,I$14,$C$122)</f>
        <v>7373.6422743939765</v>
      </c>
      <c r="F169" s="26">
        <f>INDEX(Comparison!$AM$3:$AS$33,J$14,$C$122)</f>
        <v>7373.6393539171686</v>
      </c>
      <c r="G169" s="26">
        <f>INDEX(Comparison!$AM$3:$AS$33,K$14,$C$122)</f>
        <v>7373.6384218505882</v>
      </c>
      <c r="H169" s="26">
        <f>INDEX(Comparison!$AM$3:$AS$33,L$14,$C$122)</f>
        <v>7373.6381732995414</v>
      </c>
      <c r="I169" s="26">
        <f>INDEX(Comparison!$AM$3:$AS$33,M$14,$C$122)</f>
        <v>7373.6380490240244</v>
      </c>
      <c r="J169" s="26">
        <f>INDEX(Comparison!$AM$3:$AS$33,N$14,$C$122)</f>
        <v>7373.6380490240244</v>
      </c>
      <c r="K169" s="26">
        <f>INDEX(Comparison!$AM$3:$AS$33,O$14,$C$122)</f>
        <v>7373.6379247485102</v>
      </c>
      <c r="L169" s="26">
        <f>INDEX(Comparison!$AM$3:$AS$33,P$14,$C$122)</f>
        <v>7373.6377383352474</v>
      </c>
      <c r="M169" s="26">
        <f>INDEX(Comparison!$AM$3:$AS$33,Q$14,$C$122)</f>
        <v>7373.6350664128558</v>
      </c>
      <c r="N169" s="26">
        <f>INDEX(Comparison!$AM$3:$AS$33,R$14,$C$122)</f>
        <v>7373.6085958444728</v>
      </c>
      <c r="O169" s="26">
        <f>INDEX(Comparison!$AM$3:$AS$33,S$14,$C$122)</f>
        <v>7373.3444598084343</v>
      </c>
      <c r="P169" s="26">
        <f>INDEX(Comparison!$AM$3:$AS$33,T$14,$C$122)</f>
        <v>7370.7250016112393</v>
      </c>
      <c r="Q169" s="26">
        <f>INDEX(Comparison!$AM$3:$AS$33,U$14,$C$122)</f>
        <v>7346.5860708392247</v>
      </c>
      <c r="R169" s="26">
        <f>INDEX(Comparison!$AM$3:$AS$33,V$14,$C$122)</f>
        <v>7225.4468313347925</v>
      </c>
      <c r="S169" s="26">
        <f>INDEX(Comparison!$AM$3:$AS$33,W$14,$C$122)</f>
        <v>7074.5614632967963</v>
      </c>
      <c r="T169" s="26">
        <f>INDEX(Comparison!$AM$3:$AS$33,X$14,$C$122)</f>
        <v>6837.385209483964</v>
      </c>
      <c r="U169" s="26">
        <f>INDEX(Comparison!$AM$3:$AS$33,Y$14,$C$122)</f>
        <v>6289.6718355453368</v>
      </c>
      <c r="V169" s="26">
        <f>INDEX(Comparison!$AM$3:$AS$33,Z$14,$C$122)</f>
        <v>5393.096219252795</v>
      </c>
      <c r="W169" s="26">
        <f>INDEX(Comparison!$AM$3:$AS$33,AA$14,$C$122)</f>
        <v>4558.7271908643725</v>
      </c>
      <c r="X169" s="26">
        <f>INDEX(Comparison!$AM$3:$AS$33,AB$14,$C$122)</f>
        <v>3927.5350129983676</v>
      </c>
      <c r="Y169" s="26">
        <f>INDEX(Comparison!$AM$3:$AS$33,AC$14,$C$122)</f>
        <v>3470.8276794707381</v>
      </c>
      <c r="Z169" s="26">
        <f>INDEX(Comparison!$AM$3:$AS$33,AD$14,$C$122)</f>
        <v>3119.1195128427248</v>
      </c>
      <c r="AA169" s="26">
        <f>INDEX(Comparison!$AM$3:$AS$33,AE$14,$C$122)</f>
        <v>2819.4631556550398</v>
      </c>
      <c r="AB169" s="26">
        <f>INDEX(Comparison!$AM$3:$AS$33,AF$14,$C$122)</f>
        <v>2525.9157804368465</v>
      </c>
      <c r="AC169" s="26">
        <f>INDEX(Comparison!$AM$3:$AS$33,AG$14,$C$122)</f>
        <v>2182.665940608038</v>
      </c>
      <c r="AD169" s="26">
        <f>INDEX(Comparison!$AM$3:$AS$33,AH$14,$C$122)</f>
        <v>1785.8998006119411</v>
      </c>
      <c r="AE169" s="26">
        <f>INDEX(Comparison!$AM$3:$AS$33,AI$14,$C$122)</f>
        <v>1337.7075606161161</v>
      </c>
      <c r="AF169" s="26">
        <f>INDEX(Comparison!$AM$3:$AS$33,AJ$14,$C$122)</f>
        <v>864.52071218722244</v>
      </c>
      <c r="AG169" s="26"/>
      <c r="AH169" s="26"/>
    </row>
    <row r="170" spans="1:34" x14ac:dyDescent="0.25">
      <c r="A170" s="70" t="s">
        <v>22</v>
      </c>
      <c r="B170" s="27">
        <f>($C$17+SUM(B171:B201))*$B$51</f>
        <v>7329.4999125620361</v>
      </c>
      <c r="C170" s="27">
        <f t="shared" ref="C170:AF170" si="106">($C$17+SUM(C171:C201))*$B$51</f>
        <v>7316.2333382864945</v>
      </c>
      <c r="D170" s="27">
        <f t="shared" si="106"/>
        <v>7191.1252024483501</v>
      </c>
      <c r="E170" s="27">
        <f t="shared" si="106"/>
        <v>6465.0331341354113</v>
      </c>
      <c r="F170" s="27">
        <f t="shared" si="106"/>
        <v>6088.8891085676341</v>
      </c>
      <c r="G170" s="27">
        <f t="shared" si="106"/>
        <v>6088.8810506995042</v>
      </c>
      <c r="H170" s="27">
        <f t="shared" si="106"/>
        <v>6088.8810506994878</v>
      </c>
      <c r="I170" s="27">
        <f t="shared" si="106"/>
        <v>6088.8810506993304</v>
      </c>
      <c r="J170" s="27">
        <f t="shared" si="106"/>
        <v>6088.8810506977416</v>
      </c>
      <c r="K170" s="27">
        <f t="shared" si="106"/>
        <v>6088.8810506818554</v>
      </c>
      <c r="L170" s="27">
        <f t="shared" si="106"/>
        <v>6088.8810505230049</v>
      </c>
      <c r="M170" s="27">
        <f t="shared" si="106"/>
        <v>6088.8810489344978</v>
      </c>
      <c r="N170" s="27">
        <f t="shared" si="106"/>
        <v>6088.8810330494325</v>
      </c>
      <c r="O170" s="27">
        <f t="shared" si="106"/>
        <v>6088.8808741987941</v>
      </c>
      <c r="P170" s="27">
        <f t="shared" si="106"/>
        <v>6088.8792856947266</v>
      </c>
      <c r="Q170" s="27">
        <f t="shared" si="106"/>
        <v>6088.8634008865138</v>
      </c>
      <c r="R170" s="27">
        <f t="shared" si="106"/>
        <v>6088.7045760468691</v>
      </c>
      <c r="S170" s="27">
        <f t="shared" si="106"/>
        <v>6087.1186495386983</v>
      </c>
      <c r="T170" s="27">
        <f t="shared" si="106"/>
        <v>6071.4892310759415</v>
      </c>
      <c r="U170" s="27">
        <f t="shared" si="106"/>
        <v>5936.0064617734324</v>
      </c>
      <c r="V170" s="27">
        <f t="shared" si="106"/>
        <v>5501.5396198205326</v>
      </c>
      <c r="W170" s="27">
        <f t="shared" si="106"/>
        <v>5260.8338106493375</v>
      </c>
      <c r="X170" s="27">
        <f t="shared" si="106"/>
        <v>4939.8130161998015</v>
      </c>
      <c r="Y170" s="27">
        <f t="shared" si="106"/>
        <v>4590.0798629006194</v>
      </c>
      <c r="Z170" s="27">
        <f t="shared" si="106"/>
        <v>4112.1235472256622</v>
      </c>
      <c r="AA170" s="27">
        <f t="shared" si="106"/>
        <v>3512.0582021883251</v>
      </c>
      <c r="AB170" s="27">
        <f t="shared" si="106"/>
        <v>2783.5573655959615</v>
      </c>
      <c r="AC170" s="27">
        <f t="shared" si="106"/>
        <v>1926.4928507507582</v>
      </c>
      <c r="AD170" s="27">
        <f t="shared" si="106"/>
        <v>1189.1466618271029</v>
      </c>
      <c r="AE170" s="27">
        <f t="shared" si="106"/>
        <v>686.37322428913797</v>
      </c>
      <c r="AF170" s="27">
        <f t="shared" si="106"/>
        <v>385.83094757943252</v>
      </c>
      <c r="AG170" s="27"/>
      <c r="AH170" s="27"/>
    </row>
    <row r="171" spans="1:34" x14ac:dyDescent="0.25">
      <c r="B171" s="3">
        <f t="shared" ref="B171:AF171" si="107">$C18*EXP(-B$168/$A18/EXP(-$C$126))</f>
        <v>0.16922954202846188</v>
      </c>
      <c r="C171" s="3">
        <f t="shared" si="107"/>
        <v>0.16741988367330349</v>
      </c>
      <c r="D171" s="3">
        <f t="shared" si="107"/>
        <v>0.15035421331896237</v>
      </c>
      <c r="E171" s="3">
        <f t="shared" si="107"/>
        <v>5.1309912149282953E-2</v>
      </c>
      <c r="F171" s="3">
        <f t="shared" si="107"/>
        <v>1.0991525076585537E-6</v>
      </c>
      <c r="G171" s="3">
        <f t="shared" si="107"/>
        <v>2.2367878494871848E-53</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7.5788306997470078E-2</v>
      </c>
      <c r="C172" s="3">
        <f t="shared" si="108"/>
        <v>7.5788306997470078E-2</v>
      </c>
      <c r="D172" s="3">
        <f t="shared" si="108"/>
        <v>7.5788306997470078E-2</v>
      </c>
      <c r="E172" s="3">
        <f t="shared" si="108"/>
        <v>7.5788306997470078E-2</v>
      </c>
      <c r="F172" s="3">
        <f t="shared" si="108"/>
        <v>7.5788306997470051E-2</v>
      </c>
      <c r="G172" s="3">
        <f t="shared" si="108"/>
        <v>7.5788306997469843E-2</v>
      </c>
      <c r="H172" s="3">
        <f t="shared" si="108"/>
        <v>7.5788306997467761E-2</v>
      </c>
      <c r="I172" s="3">
        <f t="shared" si="108"/>
        <v>7.5788306997446889E-2</v>
      </c>
      <c r="J172" s="3">
        <f t="shared" si="108"/>
        <v>7.5788306997238181E-2</v>
      </c>
      <c r="K172" s="3">
        <f t="shared" si="108"/>
        <v>7.5788306995151003E-2</v>
      </c>
      <c r="L172" s="3">
        <f t="shared" si="108"/>
        <v>7.5788306974279337E-2</v>
      </c>
      <c r="M172" s="3">
        <f t="shared" si="108"/>
        <v>7.5788306765562738E-2</v>
      </c>
      <c r="N172" s="3">
        <f t="shared" si="108"/>
        <v>7.5788304678396687E-2</v>
      </c>
      <c r="O172" s="3">
        <f t="shared" si="108"/>
        <v>7.5788283806739326E-2</v>
      </c>
      <c r="P172" s="3">
        <f t="shared" si="108"/>
        <v>7.5788075090481966E-2</v>
      </c>
      <c r="Q172" s="3">
        <f t="shared" si="108"/>
        <v>7.5785987959521545E-2</v>
      </c>
      <c r="R172" s="3">
        <f t="shared" si="108"/>
        <v>7.5765119810923445E-2</v>
      </c>
      <c r="S172" s="3">
        <f t="shared" si="108"/>
        <v>7.5556754103696194E-2</v>
      </c>
      <c r="T172" s="3">
        <f t="shared" si="108"/>
        <v>7.3504355497836904E-2</v>
      </c>
      <c r="U172" s="3">
        <f t="shared" si="108"/>
        <v>5.5809854283321261E-2</v>
      </c>
      <c r="V172" s="3">
        <f t="shared" si="108"/>
        <v>3.5537676943415111E-3</v>
      </c>
      <c r="W172" s="3">
        <f t="shared" si="108"/>
        <v>3.8946685161745012E-15</v>
      </c>
      <c r="X172" s="3">
        <f t="shared" si="108"/>
        <v>9.7338611590710621E-135</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2.742614598116927E-2</v>
      </c>
      <c r="C173" s="3">
        <f t="shared" si="109"/>
        <v>2.742614598116927E-2</v>
      </c>
      <c r="D173" s="3">
        <f t="shared" si="109"/>
        <v>2.742614598116927E-2</v>
      </c>
      <c r="E173" s="3">
        <f t="shared" si="109"/>
        <v>2.742614598116927E-2</v>
      </c>
      <c r="F173" s="3">
        <f t="shared" si="109"/>
        <v>2.742614598116927E-2</v>
      </c>
      <c r="G173" s="3">
        <f t="shared" si="109"/>
        <v>2.7426145981169263E-2</v>
      </c>
      <c r="H173" s="3">
        <f t="shared" si="109"/>
        <v>2.7426145981169193E-2</v>
      </c>
      <c r="I173" s="3">
        <f t="shared" si="109"/>
        <v>2.742614598116851E-2</v>
      </c>
      <c r="J173" s="3">
        <f t="shared" si="109"/>
        <v>2.7426145981161699E-2</v>
      </c>
      <c r="K173" s="3">
        <f t="shared" si="109"/>
        <v>2.7426145981093563E-2</v>
      </c>
      <c r="L173" s="3">
        <f t="shared" si="109"/>
        <v>2.7426145980412223E-2</v>
      </c>
      <c r="M173" s="3">
        <f t="shared" si="109"/>
        <v>2.7426145973598787E-2</v>
      </c>
      <c r="N173" s="3">
        <f t="shared" si="109"/>
        <v>2.7426145905464425E-2</v>
      </c>
      <c r="O173" s="3">
        <f t="shared" si="109"/>
        <v>2.7426145224120842E-2</v>
      </c>
      <c r="P173" s="3">
        <f t="shared" si="109"/>
        <v>2.7426138410685919E-2</v>
      </c>
      <c r="Q173" s="3">
        <f t="shared" si="109"/>
        <v>2.7426070276429806E-2</v>
      </c>
      <c r="R173" s="3">
        <f t="shared" si="109"/>
        <v>2.7425388943178156E-2</v>
      </c>
      <c r="S173" s="3">
        <f t="shared" si="109"/>
        <v>2.741857654152494E-2</v>
      </c>
      <c r="T173" s="3">
        <f t="shared" si="109"/>
        <v>2.735054552581594E-2</v>
      </c>
      <c r="U173" s="3">
        <f t="shared" si="109"/>
        <v>2.6679450531127889E-2</v>
      </c>
      <c r="V173" s="3">
        <f t="shared" si="109"/>
        <v>2.0810655493299517E-2</v>
      </c>
      <c r="W173" s="3">
        <f t="shared" si="109"/>
        <v>1.7352999269763091E-3</v>
      </c>
      <c r="X173" s="3">
        <f t="shared" si="109"/>
        <v>2.8200865377679908E-14</v>
      </c>
      <c r="Y173" s="3">
        <f t="shared" si="109"/>
        <v>3.6236087865493462E-122</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4.6802795715284964E-2</v>
      </c>
      <c r="C174" s="3">
        <f t="shared" si="110"/>
        <v>4.6802795715284964E-2</v>
      </c>
      <c r="D174" s="3">
        <f t="shared" si="110"/>
        <v>4.6802795715284964E-2</v>
      </c>
      <c r="E174" s="3">
        <f t="shared" si="110"/>
        <v>4.6802795715284964E-2</v>
      </c>
      <c r="F174" s="3">
        <f t="shared" si="110"/>
        <v>4.6802795715284964E-2</v>
      </c>
      <c r="G174" s="3">
        <f t="shared" si="110"/>
        <v>4.6802795715284964E-2</v>
      </c>
      <c r="H174" s="3">
        <f t="shared" si="110"/>
        <v>4.6802795715284957E-2</v>
      </c>
      <c r="I174" s="3">
        <f t="shared" si="110"/>
        <v>4.6802795715284853E-2</v>
      </c>
      <c r="J174" s="3">
        <f t="shared" si="110"/>
        <v>4.6802795715283799E-2</v>
      </c>
      <c r="K174" s="3">
        <f t="shared" si="110"/>
        <v>4.6802795715273307E-2</v>
      </c>
      <c r="L174" s="3">
        <f t="shared" si="110"/>
        <v>4.6802795715168426E-2</v>
      </c>
      <c r="M174" s="3">
        <f t="shared" si="110"/>
        <v>4.6802795714119563E-2</v>
      </c>
      <c r="N174" s="3">
        <f t="shared" si="110"/>
        <v>4.6802795703630905E-2</v>
      </c>
      <c r="O174" s="3">
        <f t="shared" si="110"/>
        <v>4.6802795598744354E-2</v>
      </c>
      <c r="P174" s="3">
        <f t="shared" si="110"/>
        <v>4.6802794549878915E-2</v>
      </c>
      <c r="Q174" s="3">
        <f t="shared" si="110"/>
        <v>4.6802784061225816E-2</v>
      </c>
      <c r="R174" s="3">
        <f t="shared" si="110"/>
        <v>4.6802679174824023E-2</v>
      </c>
      <c r="S174" s="3">
        <f t="shared" si="110"/>
        <v>4.6801630323734029E-2</v>
      </c>
      <c r="T174" s="3">
        <f t="shared" si="110"/>
        <v>4.6791143105512308E-2</v>
      </c>
      <c r="U174" s="3">
        <f t="shared" si="110"/>
        <v>4.6686400083998859E-2</v>
      </c>
      <c r="V174" s="3">
        <f t="shared" si="110"/>
        <v>4.565177948051706E-2</v>
      </c>
      <c r="W174" s="3">
        <f t="shared" si="110"/>
        <v>3.6486394020638552E-2</v>
      </c>
      <c r="X174" s="3">
        <f t="shared" si="110"/>
        <v>3.8802818686252665E-3</v>
      </c>
      <c r="Y174" s="3">
        <f t="shared" si="110"/>
        <v>7.1810273488727633E-13</v>
      </c>
      <c r="Z174" s="3">
        <f t="shared" si="110"/>
        <v>3.3839165436774556E-110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4.5136552781973364E-2</v>
      </c>
      <c r="C175" s="3">
        <f t="shared" si="111"/>
        <v>4.5136552781973364E-2</v>
      </c>
      <c r="D175" s="3">
        <f t="shared" si="111"/>
        <v>4.5136552781973364E-2</v>
      </c>
      <c r="E175" s="3">
        <f t="shared" si="111"/>
        <v>4.5136552781973364E-2</v>
      </c>
      <c r="F175" s="3">
        <f t="shared" si="111"/>
        <v>4.5136552781973364E-2</v>
      </c>
      <c r="G175" s="3">
        <f t="shared" si="111"/>
        <v>4.5136552781973364E-2</v>
      </c>
      <c r="H175" s="3">
        <f t="shared" si="111"/>
        <v>4.5136552781973364E-2</v>
      </c>
      <c r="I175" s="3">
        <f t="shared" si="111"/>
        <v>4.5136552781973358E-2</v>
      </c>
      <c r="J175" s="3">
        <f t="shared" si="111"/>
        <v>4.5136552781973267E-2</v>
      </c>
      <c r="K175" s="3">
        <f t="shared" si="111"/>
        <v>4.5136552781972351E-2</v>
      </c>
      <c r="L175" s="3">
        <f t="shared" si="111"/>
        <v>4.5136552781963227E-2</v>
      </c>
      <c r="M175" s="3">
        <f t="shared" si="111"/>
        <v>4.513655278187198E-2</v>
      </c>
      <c r="N175" s="3">
        <f t="shared" si="111"/>
        <v>4.5136552780959502E-2</v>
      </c>
      <c r="O175" s="3">
        <f t="shared" si="111"/>
        <v>4.5136552771834711E-2</v>
      </c>
      <c r="P175" s="3">
        <f t="shared" si="111"/>
        <v>4.5136552680586785E-2</v>
      </c>
      <c r="Q175" s="3">
        <f t="shared" si="111"/>
        <v>4.5136551768107623E-2</v>
      </c>
      <c r="R175" s="3">
        <f t="shared" si="111"/>
        <v>4.5136542643316943E-2</v>
      </c>
      <c r="S175" s="3">
        <f t="shared" si="111"/>
        <v>4.5136451395511631E-2</v>
      </c>
      <c r="T175" s="3">
        <f t="shared" si="111"/>
        <v>4.5135538927604066E-2</v>
      </c>
      <c r="U175" s="3">
        <f t="shared" si="111"/>
        <v>4.5126415263009964E-2</v>
      </c>
      <c r="V175" s="3">
        <f t="shared" si="111"/>
        <v>4.5035279989378785E-2</v>
      </c>
      <c r="W175" s="3">
        <f t="shared" si="111"/>
        <v>4.4133989066773273E-2</v>
      </c>
      <c r="X175" s="3">
        <f t="shared" si="111"/>
        <v>3.6055900161188335E-2</v>
      </c>
      <c r="Y175" s="3">
        <f t="shared" si="111"/>
        <v>4.7753800050607071E-3</v>
      </c>
      <c r="Z175" s="3">
        <f t="shared" si="111"/>
        <v>7.9309256447380649E-12</v>
      </c>
      <c r="AA175" s="3">
        <f t="shared" si="111"/>
        <v>1.2661445616305734E-99</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6.7281406852932088E-2</v>
      </c>
      <c r="C176" s="3">
        <f t="shared" si="112"/>
        <v>6.7281406852932088E-2</v>
      </c>
      <c r="D176" s="3">
        <f t="shared" si="112"/>
        <v>6.7281406852932088E-2</v>
      </c>
      <c r="E176" s="3">
        <f t="shared" si="112"/>
        <v>6.7281406852932088E-2</v>
      </c>
      <c r="F176" s="3">
        <f t="shared" si="112"/>
        <v>6.7281406852932088E-2</v>
      </c>
      <c r="G176" s="3">
        <f t="shared" si="112"/>
        <v>6.7281406852932088E-2</v>
      </c>
      <c r="H176" s="3">
        <f t="shared" si="112"/>
        <v>6.7281406852932088E-2</v>
      </c>
      <c r="I176" s="3">
        <f t="shared" si="112"/>
        <v>6.7281406852932088E-2</v>
      </c>
      <c r="J176" s="3">
        <f t="shared" si="112"/>
        <v>6.7281406852932074E-2</v>
      </c>
      <c r="K176" s="3">
        <f t="shared" si="112"/>
        <v>6.7281406852931949E-2</v>
      </c>
      <c r="L176" s="3">
        <f t="shared" si="112"/>
        <v>6.7281406852930714E-2</v>
      </c>
      <c r="M176" s="3">
        <f t="shared" si="112"/>
        <v>6.728140685291846E-2</v>
      </c>
      <c r="N176" s="3">
        <f t="shared" si="112"/>
        <v>6.7281406852795753E-2</v>
      </c>
      <c r="O176" s="3">
        <f t="shared" si="112"/>
        <v>6.7281406851568776E-2</v>
      </c>
      <c r="P176" s="3">
        <f t="shared" si="112"/>
        <v>6.7281406839299021E-2</v>
      </c>
      <c r="Q176" s="3">
        <f t="shared" si="112"/>
        <v>6.7281406716601377E-2</v>
      </c>
      <c r="R176" s="3">
        <f t="shared" si="112"/>
        <v>6.7281405489624926E-2</v>
      </c>
      <c r="S176" s="3">
        <f t="shared" si="112"/>
        <v>6.7281393219861665E-2</v>
      </c>
      <c r="T176" s="3">
        <f t="shared" si="112"/>
        <v>6.7281270522352193E-2</v>
      </c>
      <c r="U176" s="3">
        <f t="shared" si="112"/>
        <v>6.7280043559564004E-2</v>
      </c>
      <c r="V176" s="3">
        <f t="shared" si="112"/>
        <v>6.7267775162255433E-2</v>
      </c>
      <c r="W176" s="3">
        <f t="shared" si="112"/>
        <v>6.7145214163519068E-2</v>
      </c>
      <c r="X176" s="3">
        <f t="shared" si="112"/>
        <v>6.593181903734234E-2</v>
      </c>
      <c r="Y176" s="3">
        <f t="shared" si="112"/>
        <v>5.4940803137763998E-2</v>
      </c>
      <c r="Z176" s="3">
        <f t="shared" si="112"/>
        <v>8.8694044972867977E-3</v>
      </c>
      <c r="AA176" s="3">
        <f t="shared" si="112"/>
        <v>1.0663236503782511E-10</v>
      </c>
      <c r="AB176" s="3">
        <f t="shared" si="112"/>
        <v>6.727207770485531E-90</v>
      </c>
      <c r="AC176" s="3">
        <f t="shared" si="112"/>
        <v>0</v>
      </c>
      <c r="AD176" s="3">
        <f t="shared" si="112"/>
        <v>0</v>
      </c>
      <c r="AE176" s="3">
        <f t="shared" si="112"/>
        <v>0</v>
      </c>
      <c r="AF176" s="3">
        <f t="shared" si="112"/>
        <v>0</v>
      </c>
      <c r="AG176" s="3"/>
      <c r="AH176" s="3"/>
    </row>
    <row r="177" spans="2:34" x14ac:dyDescent="0.25">
      <c r="B177" s="3">
        <f t="shared" ref="B177:AF177" si="113">$C24*EXP(-B$168/$A24/EXP(-$C$126))</f>
        <v>8.4823708436980116E-2</v>
      </c>
      <c r="C177" s="3">
        <f t="shared" si="113"/>
        <v>8.4823708436980116E-2</v>
      </c>
      <c r="D177" s="3">
        <f t="shared" si="113"/>
        <v>8.4823708436980116E-2</v>
      </c>
      <c r="E177" s="3">
        <f t="shared" si="113"/>
        <v>8.4823708436980116E-2</v>
      </c>
      <c r="F177" s="3">
        <f t="shared" si="113"/>
        <v>8.4823708436980116E-2</v>
      </c>
      <c r="G177" s="3">
        <f t="shared" si="113"/>
        <v>8.4823708436980116E-2</v>
      </c>
      <c r="H177" s="3">
        <f t="shared" si="113"/>
        <v>8.4823708436980116E-2</v>
      </c>
      <c r="I177" s="3">
        <f t="shared" si="113"/>
        <v>8.4823708436980116E-2</v>
      </c>
      <c r="J177" s="3">
        <f t="shared" si="113"/>
        <v>8.4823708436980116E-2</v>
      </c>
      <c r="K177" s="3">
        <f t="shared" si="113"/>
        <v>8.4823708436980103E-2</v>
      </c>
      <c r="L177" s="3">
        <f t="shared" si="113"/>
        <v>8.4823708436979964E-2</v>
      </c>
      <c r="M177" s="3">
        <f t="shared" si="113"/>
        <v>8.4823708436978562E-2</v>
      </c>
      <c r="N177" s="3">
        <f t="shared" si="113"/>
        <v>8.4823708436964615E-2</v>
      </c>
      <c r="O177" s="3">
        <f t="shared" si="113"/>
        <v>8.4823708436825074E-2</v>
      </c>
      <c r="P177" s="3">
        <f t="shared" si="113"/>
        <v>8.4823708435429648E-2</v>
      </c>
      <c r="Q177" s="3">
        <f t="shared" si="113"/>
        <v>8.4823708421475449E-2</v>
      </c>
      <c r="R177" s="3">
        <f t="shared" si="113"/>
        <v>8.4823708281933433E-2</v>
      </c>
      <c r="S177" s="3">
        <f t="shared" si="113"/>
        <v>8.4823706886513209E-2</v>
      </c>
      <c r="T177" s="3">
        <f t="shared" si="113"/>
        <v>8.4823692932312345E-2</v>
      </c>
      <c r="U177" s="3">
        <f t="shared" si="113"/>
        <v>8.4823553390429893E-2</v>
      </c>
      <c r="V177" s="3">
        <f t="shared" si="113"/>
        <v>8.4822157984230942E-2</v>
      </c>
      <c r="W177" s="3">
        <f t="shared" si="113"/>
        <v>8.4808205184726079E-2</v>
      </c>
      <c r="X177" s="3">
        <f t="shared" si="113"/>
        <v>8.4668803361326705E-2</v>
      </c>
      <c r="Y177" s="3">
        <f t="shared" si="113"/>
        <v>8.3287325830785547E-2</v>
      </c>
      <c r="Z177" s="3">
        <f t="shared" si="113"/>
        <v>7.0653532503652583E-2</v>
      </c>
      <c r="AA177" s="3">
        <f t="shared" si="113"/>
        <v>1.3635890447751209E-2</v>
      </c>
      <c r="AB177" s="3">
        <f t="shared" si="113"/>
        <v>9.7764173598351477E-10</v>
      </c>
      <c r="AC177" s="3">
        <f t="shared" si="113"/>
        <v>3.5086660514272981E-81</v>
      </c>
      <c r="AD177" s="3">
        <f t="shared" si="113"/>
        <v>0</v>
      </c>
      <c r="AE177" s="3">
        <f t="shared" si="113"/>
        <v>0</v>
      </c>
      <c r="AF177" s="3">
        <f t="shared" si="113"/>
        <v>0</v>
      </c>
      <c r="AG177" s="3"/>
      <c r="AH177" s="3"/>
    </row>
    <row r="178" spans="2:34" x14ac:dyDescent="0.25">
      <c r="B178" s="3">
        <f t="shared" ref="B178:AF178" si="114">$C25*EXP(-B$168/$A25/EXP(-$C$126))</f>
        <v>0.10369484660409525</v>
      </c>
      <c r="C178" s="3">
        <f t="shared" si="114"/>
        <v>0.10369484660409525</v>
      </c>
      <c r="D178" s="3">
        <f t="shared" si="114"/>
        <v>0.10369484660409525</v>
      </c>
      <c r="E178" s="3">
        <f t="shared" si="114"/>
        <v>0.10369484660409525</v>
      </c>
      <c r="F178" s="3">
        <f t="shared" si="114"/>
        <v>0.10369484660409525</v>
      </c>
      <c r="G178" s="3">
        <f t="shared" si="114"/>
        <v>0.10369484660409525</v>
      </c>
      <c r="H178" s="3">
        <f t="shared" si="114"/>
        <v>0.10369484660409525</v>
      </c>
      <c r="I178" s="3">
        <f t="shared" si="114"/>
        <v>0.10369484660409525</v>
      </c>
      <c r="J178" s="3">
        <f t="shared" si="114"/>
        <v>0.10369484660409525</v>
      </c>
      <c r="K178" s="3">
        <f t="shared" si="114"/>
        <v>0.10369484660409525</v>
      </c>
      <c r="L178" s="3">
        <f t="shared" si="114"/>
        <v>0.10369484660409524</v>
      </c>
      <c r="M178" s="3">
        <f t="shared" si="114"/>
        <v>0.10369484660409509</v>
      </c>
      <c r="N178" s="3">
        <f t="shared" si="114"/>
        <v>0.10369484660409353</v>
      </c>
      <c r="O178" s="3">
        <f t="shared" si="114"/>
        <v>0.10369484660407816</v>
      </c>
      <c r="P178" s="3">
        <f t="shared" si="114"/>
        <v>0.10369484660392427</v>
      </c>
      <c r="Q178" s="3">
        <f t="shared" si="114"/>
        <v>0.10369484660238544</v>
      </c>
      <c r="R178" s="3">
        <f t="shared" si="114"/>
        <v>0.1036948465869971</v>
      </c>
      <c r="S178" s="3">
        <f t="shared" si="114"/>
        <v>0.1036948464331138</v>
      </c>
      <c r="T178" s="3">
        <f t="shared" si="114"/>
        <v>0.1036948448942807</v>
      </c>
      <c r="U178" s="3">
        <f t="shared" si="114"/>
        <v>0.10369482950595096</v>
      </c>
      <c r="V178" s="3">
        <f t="shared" si="114"/>
        <v>0.10369467562277929</v>
      </c>
      <c r="W178" s="3">
        <f t="shared" si="114"/>
        <v>0.10369313680362226</v>
      </c>
      <c r="X178" s="3">
        <f t="shared" si="114"/>
        <v>0.10367774986797236</v>
      </c>
      <c r="Y178" s="3">
        <f t="shared" si="114"/>
        <v>0.10352400603456648</v>
      </c>
      <c r="Z178" s="3">
        <f t="shared" si="114"/>
        <v>0.10199905136026903</v>
      </c>
      <c r="AA178" s="3">
        <f t="shared" si="114"/>
        <v>8.7931962288569476E-2</v>
      </c>
      <c r="AB178" s="3">
        <f t="shared" si="114"/>
        <v>1.993669148779157E-2</v>
      </c>
      <c r="AC178" s="3">
        <f t="shared" si="114"/>
        <v>7.1567578411574266E-9</v>
      </c>
      <c r="AD178" s="3">
        <f t="shared" si="114"/>
        <v>2.5430134881368364E-73</v>
      </c>
      <c r="AE178" s="3">
        <f t="shared" si="114"/>
        <v>0</v>
      </c>
      <c r="AF178" s="3">
        <f t="shared" si="114"/>
        <v>0</v>
      </c>
      <c r="AG178" s="3"/>
      <c r="AH178" s="3"/>
    </row>
    <row r="179" spans="2:34" x14ac:dyDescent="0.25">
      <c r="B179" s="3">
        <f t="shared" ref="B179:AF179" si="115">$C26*EXP(-B$168/$A26/EXP(-$C$126))</f>
        <v>0.13305313379533851</v>
      </c>
      <c r="C179" s="3">
        <f t="shared" si="115"/>
        <v>0.13305313379533851</v>
      </c>
      <c r="D179" s="3">
        <f t="shared" si="115"/>
        <v>0.13305313379533851</v>
      </c>
      <c r="E179" s="3">
        <f t="shared" si="115"/>
        <v>0.13305313379533851</v>
      </c>
      <c r="F179" s="3">
        <f t="shared" si="115"/>
        <v>0.13305313379533851</v>
      </c>
      <c r="G179" s="3">
        <f t="shared" si="115"/>
        <v>0.13305313379533851</v>
      </c>
      <c r="H179" s="3">
        <f t="shared" si="115"/>
        <v>0.13305313379533851</v>
      </c>
      <c r="I179" s="3">
        <f t="shared" si="115"/>
        <v>0.13305313379533851</v>
      </c>
      <c r="J179" s="3">
        <f t="shared" si="115"/>
        <v>0.13305313379533851</v>
      </c>
      <c r="K179" s="3">
        <f t="shared" si="115"/>
        <v>0.13305313379533851</v>
      </c>
      <c r="L179" s="3">
        <f t="shared" si="115"/>
        <v>0.13305313379533851</v>
      </c>
      <c r="M179" s="3">
        <f t="shared" si="115"/>
        <v>0.13305313379533848</v>
      </c>
      <c r="N179" s="3">
        <f t="shared" si="115"/>
        <v>0.13305313379533831</v>
      </c>
      <c r="O179" s="3">
        <f t="shared" si="115"/>
        <v>0.13305313379533654</v>
      </c>
      <c r="P179" s="3">
        <f t="shared" si="115"/>
        <v>0.13305313379531872</v>
      </c>
      <c r="Q179" s="3">
        <f t="shared" si="115"/>
        <v>0.13305313379514058</v>
      </c>
      <c r="R179" s="3">
        <f t="shared" si="115"/>
        <v>0.13305313379335942</v>
      </c>
      <c r="S179" s="3">
        <f t="shared" si="115"/>
        <v>0.1330531337755477</v>
      </c>
      <c r="T179" s="3">
        <f t="shared" si="115"/>
        <v>0.13305313359743043</v>
      </c>
      <c r="U179" s="3">
        <f t="shared" si="115"/>
        <v>0.13305313181625766</v>
      </c>
      <c r="V179" s="3">
        <f t="shared" si="115"/>
        <v>0.13305311400453138</v>
      </c>
      <c r="W179" s="3">
        <f t="shared" si="115"/>
        <v>0.13305293588739966</v>
      </c>
      <c r="X179" s="3">
        <f t="shared" si="115"/>
        <v>0.13305115472919685</v>
      </c>
      <c r="Y179" s="3">
        <f t="shared" si="115"/>
        <v>0.13303334445854031</v>
      </c>
      <c r="Z179" s="3">
        <f t="shared" si="115"/>
        <v>0.13285537282420476</v>
      </c>
      <c r="AA179" s="3">
        <f t="shared" si="115"/>
        <v>0.13108869901342418</v>
      </c>
      <c r="AB179" s="3">
        <f t="shared" si="115"/>
        <v>0.11466386117075726</v>
      </c>
      <c r="AC179" s="3">
        <f t="shared" si="115"/>
        <v>3.0063507558254141E-2</v>
      </c>
      <c r="AD179" s="3">
        <f t="shared" si="115"/>
        <v>4.6149873946454897E-8</v>
      </c>
      <c r="AE179" s="3">
        <f t="shared" si="115"/>
        <v>3.3533525902042072E-66</v>
      </c>
      <c r="AF179" s="3">
        <f t="shared" si="115"/>
        <v>0</v>
      </c>
      <c r="AG179" s="3"/>
      <c r="AH179" s="3"/>
    </row>
    <row r="180" spans="2:34" x14ac:dyDescent="0.25">
      <c r="B180" s="3">
        <f t="shared" ref="B180:AF180" si="116">$C27*EXP(-B$168/$A27/EXP(-$C$126))</f>
        <v>0.10368180212181953</v>
      </c>
      <c r="C180" s="3">
        <f t="shared" si="116"/>
        <v>0.10368180212181953</v>
      </c>
      <c r="D180" s="3">
        <f t="shared" si="116"/>
        <v>0.10368180212181953</v>
      </c>
      <c r="E180" s="3">
        <f t="shared" si="116"/>
        <v>0.10368180212181953</v>
      </c>
      <c r="F180" s="3">
        <f t="shared" si="116"/>
        <v>0.10368180212181953</v>
      </c>
      <c r="G180" s="3">
        <f t="shared" si="116"/>
        <v>0.10368180212181953</v>
      </c>
      <c r="H180" s="3">
        <f t="shared" si="116"/>
        <v>0.10368180212181953</v>
      </c>
      <c r="I180" s="3">
        <f t="shared" si="116"/>
        <v>0.10368180212181953</v>
      </c>
      <c r="J180" s="3">
        <f t="shared" si="116"/>
        <v>0.10368180212181953</v>
      </c>
      <c r="K180" s="3">
        <f t="shared" si="116"/>
        <v>0.10368180212181953</v>
      </c>
      <c r="L180" s="3">
        <f t="shared" si="116"/>
        <v>0.10368180212181953</v>
      </c>
      <c r="M180" s="3">
        <f t="shared" si="116"/>
        <v>0.10368180212181953</v>
      </c>
      <c r="N180" s="3">
        <f t="shared" si="116"/>
        <v>0.10368180212181952</v>
      </c>
      <c r="O180" s="3">
        <f t="shared" si="116"/>
        <v>0.10368180212181939</v>
      </c>
      <c r="P180" s="3">
        <f t="shared" si="116"/>
        <v>0.10368180212181814</v>
      </c>
      <c r="Q180" s="3">
        <f t="shared" si="116"/>
        <v>0.10368180212180561</v>
      </c>
      <c r="R180" s="3">
        <f t="shared" si="116"/>
        <v>0.10368180212168041</v>
      </c>
      <c r="S180" s="3">
        <f t="shared" si="116"/>
        <v>0.10368180212042834</v>
      </c>
      <c r="T180" s="3">
        <f t="shared" si="116"/>
        <v>0.1036818021079076</v>
      </c>
      <c r="U180" s="3">
        <f t="shared" si="116"/>
        <v>0.10368180198270018</v>
      </c>
      <c r="V180" s="3">
        <f t="shared" si="116"/>
        <v>0.10368180073062598</v>
      </c>
      <c r="W180" s="3">
        <f t="shared" si="116"/>
        <v>0.10368178820988486</v>
      </c>
      <c r="X180" s="3">
        <f t="shared" si="116"/>
        <v>0.10368166300255675</v>
      </c>
      <c r="Y180" s="3">
        <f t="shared" si="116"/>
        <v>0.10368041093759181</v>
      </c>
      <c r="Z180" s="3">
        <f t="shared" si="116"/>
        <v>0.10366789111951216</v>
      </c>
      <c r="AA180" s="3">
        <f t="shared" si="116"/>
        <v>0.10354277605855557</v>
      </c>
      <c r="AB180" s="3">
        <f t="shared" si="116"/>
        <v>0.10229990041331463</v>
      </c>
      <c r="AC180" s="3">
        <f t="shared" si="116"/>
        <v>9.0662830723876625E-2</v>
      </c>
      <c r="AD180" s="3">
        <f t="shared" si="116"/>
        <v>2.7100038787059858E-2</v>
      </c>
      <c r="AE180" s="3">
        <f t="shared" si="116"/>
        <v>1.5430368222022093E-7</v>
      </c>
      <c r="AF180" s="3">
        <f t="shared" si="116"/>
        <v>5.5263713564937334E-60</v>
      </c>
      <c r="AG180" s="3"/>
      <c r="AH180" s="3"/>
    </row>
    <row r="181" spans="2:34" x14ac:dyDescent="0.25">
      <c r="B181" s="3">
        <f t="shared" ref="B181:AF181" si="117">$C28*EXP(-B$168/$A28/EXP(-$C$126))</f>
        <v>6.4516912228113732E-2</v>
      </c>
      <c r="C181" s="3">
        <f t="shared" si="117"/>
        <v>6.4516912228113732E-2</v>
      </c>
      <c r="D181" s="3">
        <f t="shared" si="117"/>
        <v>6.4516912228113732E-2</v>
      </c>
      <c r="E181" s="3">
        <f t="shared" si="117"/>
        <v>6.4516912228113732E-2</v>
      </c>
      <c r="F181" s="3">
        <f t="shared" si="117"/>
        <v>6.4516912228113732E-2</v>
      </c>
      <c r="G181" s="3">
        <f t="shared" si="117"/>
        <v>6.4516912228113732E-2</v>
      </c>
      <c r="H181" s="3">
        <f t="shared" si="117"/>
        <v>6.4516912228113732E-2</v>
      </c>
      <c r="I181" s="3">
        <f t="shared" si="117"/>
        <v>6.4516912228113732E-2</v>
      </c>
      <c r="J181" s="3">
        <f t="shared" si="117"/>
        <v>6.4516912228113732E-2</v>
      </c>
      <c r="K181" s="3">
        <f t="shared" si="117"/>
        <v>6.4516912228113732E-2</v>
      </c>
      <c r="L181" s="3">
        <f t="shared" si="117"/>
        <v>6.4516912228113732E-2</v>
      </c>
      <c r="M181" s="3">
        <f t="shared" si="117"/>
        <v>6.4516912228113732E-2</v>
      </c>
      <c r="N181" s="3">
        <f t="shared" si="117"/>
        <v>6.4516912228113732E-2</v>
      </c>
      <c r="O181" s="3">
        <f t="shared" si="117"/>
        <v>6.4516912228113718E-2</v>
      </c>
      <c r="P181" s="3">
        <f t="shared" si="117"/>
        <v>6.4516912228113649E-2</v>
      </c>
      <c r="Q181" s="3">
        <f t="shared" si="117"/>
        <v>6.4516912228112955E-2</v>
      </c>
      <c r="R181" s="3">
        <f t="shared" si="117"/>
        <v>6.4516912228105919E-2</v>
      </c>
      <c r="S181" s="3">
        <f t="shared" si="117"/>
        <v>6.4516912228035642E-2</v>
      </c>
      <c r="T181" s="3">
        <f t="shared" si="117"/>
        <v>6.4516912227332815E-2</v>
      </c>
      <c r="U181" s="3">
        <f t="shared" si="117"/>
        <v>6.4516912220304562E-2</v>
      </c>
      <c r="V181" s="3">
        <f t="shared" si="117"/>
        <v>6.4516912150021977E-2</v>
      </c>
      <c r="W181" s="3">
        <f t="shared" si="117"/>
        <v>6.4516911447196179E-2</v>
      </c>
      <c r="X181" s="3">
        <f t="shared" si="117"/>
        <v>6.4516904418938634E-2</v>
      </c>
      <c r="Y181" s="3">
        <f t="shared" si="117"/>
        <v>6.4516834136405354E-2</v>
      </c>
      <c r="Z181" s="3">
        <f t="shared" si="117"/>
        <v>6.451613131528347E-2</v>
      </c>
      <c r="AA181" s="3">
        <f t="shared" si="117"/>
        <v>6.4509103525145092E-2</v>
      </c>
      <c r="AB181" s="3">
        <f t="shared" si="117"/>
        <v>6.4438867714836992E-2</v>
      </c>
      <c r="AC181" s="3">
        <f t="shared" si="117"/>
        <v>6.3740701803175967E-2</v>
      </c>
      <c r="AD181" s="3">
        <f t="shared" si="117"/>
        <v>5.7161845703156036E-2</v>
      </c>
      <c r="AE181" s="3">
        <f t="shared" si="117"/>
        <v>1.9230929145157654E-2</v>
      </c>
      <c r="AF181" s="3">
        <f t="shared" si="117"/>
        <v>3.5722390370724915E-7</v>
      </c>
      <c r="AG181" s="3"/>
      <c r="AH181" s="3"/>
    </row>
    <row r="182" spans="2:34" x14ac:dyDescent="0.25">
      <c r="B182" s="3">
        <f t="shared" ref="B182:AF182" si="118">$C29*EXP(-B$168/$A29/EXP(-$C$126))</f>
        <v>3.7592139756949243E-2</v>
      </c>
      <c r="C182" s="3">
        <f t="shared" si="118"/>
        <v>3.7592139756949243E-2</v>
      </c>
      <c r="D182" s="3">
        <f t="shared" si="118"/>
        <v>3.7592139756949243E-2</v>
      </c>
      <c r="E182" s="3">
        <f t="shared" si="118"/>
        <v>3.7592139756949243E-2</v>
      </c>
      <c r="F182" s="3">
        <f t="shared" si="118"/>
        <v>3.7592139756949243E-2</v>
      </c>
      <c r="G182" s="3">
        <f t="shared" si="118"/>
        <v>3.7592139756949243E-2</v>
      </c>
      <c r="H182" s="3">
        <f t="shared" si="118"/>
        <v>3.7592139756949243E-2</v>
      </c>
      <c r="I182" s="3">
        <f t="shared" si="118"/>
        <v>3.7592139756949243E-2</v>
      </c>
      <c r="J182" s="3">
        <f t="shared" si="118"/>
        <v>3.7592139756949243E-2</v>
      </c>
      <c r="K182" s="3">
        <f t="shared" si="118"/>
        <v>3.7592139756949243E-2</v>
      </c>
      <c r="L182" s="3">
        <f t="shared" si="118"/>
        <v>3.7592139756949243E-2</v>
      </c>
      <c r="M182" s="3">
        <f t="shared" si="118"/>
        <v>3.7592139756949243E-2</v>
      </c>
      <c r="N182" s="3">
        <f t="shared" si="118"/>
        <v>3.7592139756949243E-2</v>
      </c>
      <c r="O182" s="3">
        <f t="shared" si="118"/>
        <v>3.7592139756949243E-2</v>
      </c>
      <c r="P182" s="3">
        <f t="shared" si="118"/>
        <v>3.7592139756949236E-2</v>
      </c>
      <c r="Q182" s="3">
        <f t="shared" si="118"/>
        <v>3.7592139756949201E-2</v>
      </c>
      <c r="R182" s="3">
        <f t="shared" si="118"/>
        <v>3.7592139756948834E-2</v>
      </c>
      <c r="S182" s="3">
        <f t="shared" si="118"/>
        <v>3.7592139756945142E-2</v>
      </c>
      <c r="T182" s="3">
        <f t="shared" si="118"/>
        <v>3.7592139756908199E-2</v>
      </c>
      <c r="U182" s="3">
        <f t="shared" si="118"/>
        <v>3.759213975653878E-2</v>
      </c>
      <c r="V182" s="3">
        <f t="shared" si="118"/>
        <v>3.7592139752844603E-2</v>
      </c>
      <c r="W182" s="3">
        <f t="shared" si="118"/>
        <v>3.7592139715902827E-2</v>
      </c>
      <c r="X182" s="3">
        <f t="shared" si="118"/>
        <v>3.759213934648508E-2</v>
      </c>
      <c r="Y182" s="3">
        <f t="shared" si="118"/>
        <v>3.759213565230779E-2</v>
      </c>
      <c r="Z182" s="3">
        <f t="shared" si="118"/>
        <v>3.7592098710554911E-2</v>
      </c>
      <c r="AA182" s="3">
        <f t="shared" si="118"/>
        <v>3.7591729295022691E-2</v>
      </c>
      <c r="AB182" s="3">
        <f t="shared" si="118"/>
        <v>3.7588035339357083E-2</v>
      </c>
      <c r="AC182" s="3">
        <f t="shared" si="118"/>
        <v>3.7551115741101003E-2</v>
      </c>
      <c r="AD182" s="3">
        <f t="shared" si="118"/>
        <v>3.7183908360718866E-2</v>
      </c>
      <c r="AE182" s="3">
        <f t="shared" si="118"/>
        <v>3.3703650391884478E-2</v>
      </c>
      <c r="AF182" s="3">
        <f t="shared" si="118"/>
        <v>1.2615253809350252E-2</v>
      </c>
      <c r="AG182" s="3"/>
      <c r="AH182" s="3"/>
    </row>
    <row r="183" spans="2:34" x14ac:dyDescent="0.25">
      <c r="B183" s="3">
        <f t="shared" ref="B183:AF183" si="119">$C30*EXP(-B$168/$A30/EXP(-$C$126))</f>
        <v>7.6036322594280207E-3</v>
      </c>
      <c r="C183" s="3">
        <f t="shared" si="119"/>
        <v>7.6036322594280207E-3</v>
      </c>
      <c r="D183" s="3">
        <f t="shared" si="119"/>
        <v>7.6036322594280207E-3</v>
      </c>
      <c r="E183" s="3">
        <f t="shared" si="119"/>
        <v>7.6036322594280207E-3</v>
      </c>
      <c r="F183" s="3">
        <f t="shared" si="119"/>
        <v>7.6036322594280207E-3</v>
      </c>
      <c r="G183" s="3">
        <f t="shared" si="119"/>
        <v>7.6036322594280207E-3</v>
      </c>
      <c r="H183" s="3">
        <f t="shared" si="119"/>
        <v>7.6036322594280207E-3</v>
      </c>
      <c r="I183" s="3">
        <f t="shared" si="119"/>
        <v>7.6036322594280207E-3</v>
      </c>
      <c r="J183" s="3">
        <f t="shared" si="119"/>
        <v>7.6036322594280207E-3</v>
      </c>
      <c r="K183" s="3">
        <f t="shared" si="119"/>
        <v>7.6036322594280207E-3</v>
      </c>
      <c r="L183" s="3">
        <f t="shared" si="119"/>
        <v>7.6036322594280207E-3</v>
      </c>
      <c r="M183" s="3">
        <f t="shared" si="119"/>
        <v>7.6036322594280207E-3</v>
      </c>
      <c r="N183" s="3">
        <f t="shared" si="119"/>
        <v>7.6036322594280207E-3</v>
      </c>
      <c r="O183" s="3">
        <f t="shared" si="119"/>
        <v>7.6036322594280207E-3</v>
      </c>
      <c r="P183" s="3">
        <f t="shared" si="119"/>
        <v>7.6036322594280207E-3</v>
      </c>
      <c r="Q183" s="3">
        <f t="shared" si="119"/>
        <v>7.6036322594280198E-3</v>
      </c>
      <c r="R183" s="3">
        <f t="shared" si="119"/>
        <v>7.6036322594280129E-3</v>
      </c>
      <c r="S183" s="3">
        <f t="shared" si="119"/>
        <v>7.6036322594279452E-3</v>
      </c>
      <c r="T183" s="3">
        <f t="shared" si="119"/>
        <v>7.6036322594272721E-3</v>
      </c>
      <c r="U183" s="3">
        <f t="shared" si="119"/>
        <v>7.603632259420531E-3</v>
      </c>
      <c r="V183" s="3">
        <f t="shared" si="119"/>
        <v>7.6036322593531266E-3</v>
      </c>
      <c r="W183" s="3">
        <f t="shared" si="119"/>
        <v>7.6036322586790824E-3</v>
      </c>
      <c r="X183" s="3">
        <f t="shared" si="119"/>
        <v>7.60363225193864E-3</v>
      </c>
      <c r="Y183" s="3">
        <f t="shared" si="119"/>
        <v>7.6036321845342151E-3</v>
      </c>
      <c r="Z183" s="3">
        <f t="shared" si="119"/>
        <v>7.6036315104900014E-3</v>
      </c>
      <c r="AA183" s="3">
        <f t="shared" si="119"/>
        <v>7.6036247700511476E-3</v>
      </c>
      <c r="AB183" s="3">
        <f t="shared" si="119"/>
        <v>7.6035573659912524E-3</v>
      </c>
      <c r="AC183" s="3">
        <f t="shared" si="119"/>
        <v>7.6028833582549504E-3</v>
      </c>
      <c r="AD183" s="3">
        <f t="shared" si="119"/>
        <v>7.5961465660792432E-3</v>
      </c>
      <c r="AE183" s="3">
        <f t="shared" si="119"/>
        <v>7.5291060880751971E-3</v>
      </c>
      <c r="AF183" s="3">
        <f t="shared" si="119"/>
        <v>6.8903966732473485E-3</v>
      </c>
      <c r="AG183" s="3"/>
      <c r="AH183" s="3"/>
    </row>
    <row r="184" spans="2:34" x14ac:dyDescent="0.25">
      <c r="B184" s="3">
        <f t="shared" ref="B184:AF184" si="120">$C31*EXP(-B$168/$A31/EXP(-$C$126))</f>
        <v>4.6601949201853935E-3</v>
      </c>
      <c r="C184" s="3">
        <f t="shared" si="120"/>
        <v>4.6601949201853935E-3</v>
      </c>
      <c r="D184" s="3">
        <f t="shared" si="120"/>
        <v>4.6601949201853935E-3</v>
      </c>
      <c r="E184" s="3">
        <f t="shared" si="120"/>
        <v>4.6601949201853935E-3</v>
      </c>
      <c r="F184" s="3">
        <f t="shared" si="120"/>
        <v>4.6601949201853935E-3</v>
      </c>
      <c r="G184" s="3">
        <f t="shared" si="120"/>
        <v>4.6601949201853935E-3</v>
      </c>
      <c r="H184" s="3">
        <f t="shared" si="120"/>
        <v>4.6601949201853935E-3</v>
      </c>
      <c r="I184" s="3">
        <f t="shared" si="120"/>
        <v>4.6601949201853935E-3</v>
      </c>
      <c r="J184" s="3">
        <f t="shared" si="120"/>
        <v>4.6601949201853935E-3</v>
      </c>
      <c r="K184" s="3">
        <f t="shared" si="120"/>
        <v>4.6601949201853935E-3</v>
      </c>
      <c r="L184" s="3">
        <f t="shared" si="120"/>
        <v>4.6601949201853935E-3</v>
      </c>
      <c r="M184" s="3">
        <f t="shared" si="120"/>
        <v>4.6601949201853935E-3</v>
      </c>
      <c r="N184" s="3">
        <f t="shared" si="120"/>
        <v>4.6601949201853935E-3</v>
      </c>
      <c r="O184" s="3">
        <f t="shared" si="120"/>
        <v>4.6601949201853935E-3</v>
      </c>
      <c r="P184" s="3">
        <f t="shared" si="120"/>
        <v>4.6601949201853935E-3</v>
      </c>
      <c r="Q184" s="3">
        <f t="shared" si="120"/>
        <v>4.6601949201853935E-3</v>
      </c>
      <c r="R184" s="3">
        <f t="shared" si="120"/>
        <v>4.6601949201853926E-3</v>
      </c>
      <c r="S184" s="3">
        <f t="shared" si="120"/>
        <v>4.6601949201853891E-3</v>
      </c>
      <c r="T184" s="3">
        <f t="shared" si="120"/>
        <v>4.6601949201853518E-3</v>
      </c>
      <c r="U184" s="3">
        <f t="shared" si="120"/>
        <v>4.6601949201849797E-3</v>
      </c>
      <c r="V184" s="3">
        <f t="shared" si="120"/>
        <v>4.6601949201812527E-3</v>
      </c>
      <c r="W184" s="3">
        <f t="shared" si="120"/>
        <v>4.6601949201439865E-3</v>
      </c>
      <c r="X184" s="3">
        <f t="shared" si="120"/>
        <v>4.6601949197713219E-3</v>
      </c>
      <c r="Y184" s="3">
        <f t="shared" si="120"/>
        <v>4.6601949160446771E-3</v>
      </c>
      <c r="Z184" s="3">
        <f t="shared" si="120"/>
        <v>4.6601948787782319E-3</v>
      </c>
      <c r="AA184" s="3">
        <f t="shared" si="120"/>
        <v>4.6601945061137901E-3</v>
      </c>
      <c r="AB184" s="3">
        <f t="shared" si="120"/>
        <v>4.6601907794710127E-3</v>
      </c>
      <c r="AC184" s="3">
        <f t="shared" si="120"/>
        <v>4.6601535132071445E-3</v>
      </c>
      <c r="AD184" s="3">
        <f t="shared" si="120"/>
        <v>4.6597808669585185E-3</v>
      </c>
      <c r="AE184" s="3">
        <f t="shared" si="120"/>
        <v>4.6560560429924278E-3</v>
      </c>
      <c r="AF184" s="3">
        <f t="shared" si="120"/>
        <v>4.6189711715790022E-3</v>
      </c>
      <c r="AG184" s="3"/>
      <c r="AH184" s="3"/>
    </row>
    <row r="185" spans="2:34" x14ac:dyDescent="0.25">
      <c r="B185" s="3">
        <f t="shared" ref="B185:AF185" si="121">$C32*EXP(-B$168/$A32/EXP(-$C$126))</f>
        <v>1.548728015482176E-3</v>
      </c>
      <c r="C185" s="3">
        <f t="shared" si="121"/>
        <v>1.548728015482176E-3</v>
      </c>
      <c r="D185" s="3">
        <f t="shared" si="121"/>
        <v>1.548728015482176E-3</v>
      </c>
      <c r="E185" s="3">
        <f t="shared" si="121"/>
        <v>1.548728015482176E-3</v>
      </c>
      <c r="F185" s="3">
        <f t="shared" si="121"/>
        <v>1.548728015482176E-3</v>
      </c>
      <c r="G185" s="3">
        <f t="shared" si="121"/>
        <v>1.548728015482176E-3</v>
      </c>
      <c r="H185" s="3">
        <f t="shared" si="121"/>
        <v>1.548728015482176E-3</v>
      </c>
      <c r="I185" s="3">
        <f t="shared" si="121"/>
        <v>1.548728015482176E-3</v>
      </c>
      <c r="J185" s="3">
        <f t="shared" si="121"/>
        <v>1.548728015482176E-3</v>
      </c>
      <c r="K185" s="3">
        <f t="shared" si="121"/>
        <v>1.548728015482176E-3</v>
      </c>
      <c r="L185" s="3">
        <f t="shared" si="121"/>
        <v>1.548728015482176E-3</v>
      </c>
      <c r="M185" s="3">
        <f t="shared" si="121"/>
        <v>1.548728015482176E-3</v>
      </c>
      <c r="N185" s="3">
        <f t="shared" si="121"/>
        <v>1.548728015482176E-3</v>
      </c>
      <c r="O185" s="3">
        <f t="shared" si="121"/>
        <v>1.548728015482176E-3</v>
      </c>
      <c r="P185" s="3">
        <f t="shared" si="121"/>
        <v>1.548728015482176E-3</v>
      </c>
      <c r="Q185" s="3">
        <f t="shared" si="121"/>
        <v>1.548728015482176E-3</v>
      </c>
      <c r="R185" s="3">
        <f t="shared" si="121"/>
        <v>1.548728015482176E-3</v>
      </c>
      <c r="S185" s="3">
        <f t="shared" si="121"/>
        <v>1.5487280154821757E-3</v>
      </c>
      <c r="T185" s="3">
        <f t="shared" si="121"/>
        <v>1.5487280154821747E-3</v>
      </c>
      <c r="U185" s="3">
        <f t="shared" si="121"/>
        <v>1.5487280154821636E-3</v>
      </c>
      <c r="V185" s="3">
        <f t="shared" si="121"/>
        <v>1.5487280154820517E-3</v>
      </c>
      <c r="W185" s="3">
        <f t="shared" si="121"/>
        <v>1.5487280154809345E-3</v>
      </c>
      <c r="X185" s="3">
        <f t="shared" si="121"/>
        <v>1.5487280154697625E-3</v>
      </c>
      <c r="Y185" s="3">
        <f t="shared" si="121"/>
        <v>1.5487280153580413E-3</v>
      </c>
      <c r="Z185" s="3">
        <f t="shared" si="121"/>
        <v>1.5487280142408293E-3</v>
      </c>
      <c r="AA185" s="3">
        <f t="shared" si="121"/>
        <v>1.5487280030687079E-3</v>
      </c>
      <c r="AB185" s="3">
        <f t="shared" si="121"/>
        <v>1.5487278913475005E-3</v>
      </c>
      <c r="AC185" s="3">
        <f t="shared" si="121"/>
        <v>1.5487267741358679E-3</v>
      </c>
      <c r="AD185" s="3">
        <f t="shared" si="121"/>
        <v>1.5487156020638699E-3</v>
      </c>
      <c r="AE185" s="3">
        <f t="shared" si="121"/>
        <v>1.5486038857763598E-3</v>
      </c>
      <c r="AF185" s="3">
        <f t="shared" si="121"/>
        <v>1.5474871660301084E-3</v>
      </c>
      <c r="AG185" s="3"/>
      <c r="AH185" s="3"/>
    </row>
    <row r="186" spans="2:34" x14ac:dyDescent="0.25">
      <c r="B186" s="3">
        <f t="shared" ref="B186:AF186" si="122">$C33*EXP(-B$168/$A33/EXP(-$C$126))</f>
        <v>1.7981576820785483E-3</v>
      </c>
      <c r="C186" s="3">
        <f t="shared" si="122"/>
        <v>1.7981576820785483E-3</v>
      </c>
      <c r="D186" s="3">
        <f t="shared" si="122"/>
        <v>1.7981576820785483E-3</v>
      </c>
      <c r="E186" s="3">
        <f t="shared" si="122"/>
        <v>1.7981576820785483E-3</v>
      </c>
      <c r="F186" s="3">
        <f t="shared" si="122"/>
        <v>1.7981576820785483E-3</v>
      </c>
      <c r="G186" s="3">
        <f t="shared" si="122"/>
        <v>1.7981576820785483E-3</v>
      </c>
      <c r="H186" s="3">
        <f t="shared" si="122"/>
        <v>1.7981576820785483E-3</v>
      </c>
      <c r="I186" s="3">
        <f t="shared" si="122"/>
        <v>1.7981576820785483E-3</v>
      </c>
      <c r="J186" s="3">
        <f t="shared" si="122"/>
        <v>1.7981576820785483E-3</v>
      </c>
      <c r="K186" s="3">
        <f t="shared" si="122"/>
        <v>1.7981576820785483E-3</v>
      </c>
      <c r="L186" s="3">
        <f t="shared" si="122"/>
        <v>1.7981576820785483E-3</v>
      </c>
      <c r="M186" s="3">
        <f t="shared" si="122"/>
        <v>1.7981576820785483E-3</v>
      </c>
      <c r="N186" s="3">
        <f t="shared" si="122"/>
        <v>1.7981576820785483E-3</v>
      </c>
      <c r="O186" s="3">
        <f t="shared" si="122"/>
        <v>1.7981576820785483E-3</v>
      </c>
      <c r="P186" s="3">
        <f t="shared" si="122"/>
        <v>1.7981576820785483E-3</v>
      </c>
      <c r="Q186" s="3">
        <f t="shared" si="122"/>
        <v>1.7981576820785483E-3</v>
      </c>
      <c r="R186" s="3">
        <f t="shared" si="122"/>
        <v>1.7981576820785483E-3</v>
      </c>
      <c r="S186" s="3">
        <f t="shared" si="122"/>
        <v>1.7981576820785483E-3</v>
      </c>
      <c r="T186" s="3">
        <f t="shared" si="122"/>
        <v>1.798157682078548E-3</v>
      </c>
      <c r="U186" s="3">
        <f t="shared" si="122"/>
        <v>1.798157682078547E-3</v>
      </c>
      <c r="V186" s="3">
        <f t="shared" si="122"/>
        <v>1.7981576820785352E-3</v>
      </c>
      <c r="W186" s="3">
        <f t="shared" si="122"/>
        <v>1.7981576820784184E-3</v>
      </c>
      <c r="X186" s="3">
        <f t="shared" si="122"/>
        <v>1.7981576820772481E-3</v>
      </c>
      <c r="Y186" s="3">
        <f t="shared" si="122"/>
        <v>1.7981576820655467E-3</v>
      </c>
      <c r="Z186" s="3">
        <f t="shared" si="122"/>
        <v>1.7981576819485335E-3</v>
      </c>
      <c r="AA186" s="3">
        <f t="shared" si="122"/>
        <v>1.7981576807784016E-3</v>
      </c>
      <c r="AB186" s="3">
        <f t="shared" si="122"/>
        <v>1.7981576690770818E-3</v>
      </c>
      <c r="AC186" s="3">
        <f t="shared" si="122"/>
        <v>1.7981575520638884E-3</v>
      </c>
      <c r="AD186" s="3">
        <f t="shared" si="122"/>
        <v>1.7981563819323718E-3</v>
      </c>
      <c r="AE186" s="3">
        <f t="shared" si="122"/>
        <v>1.7981446806590877E-3</v>
      </c>
      <c r="AF186" s="3">
        <f t="shared" si="122"/>
        <v>1.7980276721141135E-3</v>
      </c>
      <c r="AG186" s="3"/>
      <c r="AH186" s="3"/>
    </row>
    <row r="187" spans="2:34" x14ac:dyDescent="0.25">
      <c r="B187" s="3">
        <f t="shared" ref="B187:AF187" si="123">$C34*EXP(-B$168/$A34/EXP(-$C$126))</f>
        <v>4.3198756825701184E-3</v>
      </c>
      <c r="C187" s="3">
        <f t="shared" si="123"/>
        <v>4.3198756825701184E-3</v>
      </c>
      <c r="D187" s="3">
        <f t="shared" si="123"/>
        <v>4.3198756825701184E-3</v>
      </c>
      <c r="E187" s="3">
        <f t="shared" si="123"/>
        <v>4.3198756825701184E-3</v>
      </c>
      <c r="F187" s="3">
        <f t="shared" si="123"/>
        <v>4.3198756825701184E-3</v>
      </c>
      <c r="G187" s="3">
        <f t="shared" si="123"/>
        <v>4.3198756825701184E-3</v>
      </c>
      <c r="H187" s="3">
        <f t="shared" si="123"/>
        <v>4.3198756825701184E-3</v>
      </c>
      <c r="I187" s="3">
        <f t="shared" si="123"/>
        <v>4.3198756825701184E-3</v>
      </c>
      <c r="J187" s="3">
        <f t="shared" si="123"/>
        <v>4.3198756825701184E-3</v>
      </c>
      <c r="K187" s="3">
        <f t="shared" si="123"/>
        <v>4.3198756825701184E-3</v>
      </c>
      <c r="L187" s="3">
        <f t="shared" si="123"/>
        <v>4.3198756825701184E-3</v>
      </c>
      <c r="M187" s="3">
        <f t="shared" si="123"/>
        <v>4.3198756825701184E-3</v>
      </c>
      <c r="N187" s="3">
        <f t="shared" si="123"/>
        <v>4.3198756825701184E-3</v>
      </c>
      <c r="O187" s="3">
        <f t="shared" si="123"/>
        <v>4.3198756825701184E-3</v>
      </c>
      <c r="P187" s="3">
        <f t="shared" si="123"/>
        <v>4.3198756825701184E-3</v>
      </c>
      <c r="Q187" s="3">
        <f t="shared" si="123"/>
        <v>4.3198756825701184E-3</v>
      </c>
      <c r="R187" s="3">
        <f t="shared" si="123"/>
        <v>4.3198756825701184E-3</v>
      </c>
      <c r="S187" s="3">
        <f t="shared" si="123"/>
        <v>4.3198756825701184E-3</v>
      </c>
      <c r="T187" s="3">
        <f t="shared" si="123"/>
        <v>4.3198756825701184E-3</v>
      </c>
      <c r="U187" s="3">
        <f t="shared" si="123"/>
        <v>4.3198756825701175E-3</v>
      </c>
      <c r="V187" s="3">
        <f t="shared" si="123"/>
        <v>4.3198756825701158E-3</v>
      </c>
      <c r="W187" s="3">
        <f t="shared" si="123"/>
        <v>4.3198756825700898E-3</v>
      </c>
      <c r="X187" s="3">
        <f t="shared" si="123"/>
        <v>4.3198756825698365E-3</v>
      </c>
      <c r="Y187" s="3">
        <f t="shared" si="123"/>
        <v>4.3198756825673004E-3</v>
      </c>
      <c r="Z187" s="3">
        <f t="shared" si="123"/>
        <v>4.3198756825419422E-3</v>
      </c>
      <c r="AA187" s="3">
        <f t="shared" si="123"/>
        <v>4.319875682288356E-3</v>
      </c>
      <c r="AB187" s="3">
        <f t="shared" si="123"/>
        <v>4.3198756797524981E-3</v>
      </c>
      <c r="AC187" s="3">
        <f t="shared" si="123"/>
        <v>4.3198756543939192E-3</v>
      </c>
      <c r="AD187" s="3">
        <f t="shared" si="123"/>
        <v>4.3198754008081366E-3</v>
      </c>
      <c r="AE187" s="3">
        <f t="shared" si="123"/>
        <v>4.3198728649511296E-3</v>
      </c>
      <c r="AF187" s="3">
        <f t="shared" si="123"/>
        <v>4.3198475064629288E-3</v>
      </c>
      <c r="AG187" s="3"/>
      <c r="AH187" s="3"/>
    </row>
    <row r="188" spans="2:34" x14ac:dyDescent="0.25">
      <c r="B188" s="3">
        <f t="shared" ref="B188:AF188" si="124">$C35*EXP(-B$168/$A35/EXP(-$C$126))</f>
        <v>3.4800152588185828E-3</v>
      </c>
      <c r="C188" s="3">
        <f t="shared" si="124"/>
        <v>3.4800152588185828E-3</v>
      </c>
      <c r="D188" s="3">
        <f t="shared" si="124"/>
        <v>3.4800152588185828E-3</v>
      </c>
      <c r="E188" s="3">
        <f t="shared" si="124"/>
        <v>3.4800152588185828E-3</v>
      </c>
      <c r="F188" s="3">
        <f t="shared" si="124"/>
        <v>3.4800152588185828E-3</v>
      </c>
      <c r="G188" s="3">
        <f t="shared" si="124"/>
        <v>3.4800152588185828E-3</v>
      </c>
      <c r="H188" s="3">
        <f t="shared" si="124"/>
        <v>3.4800152588185828E-3</v>
      </c>
      <c r="I188" s="3">
        <f t="shared" si="124"/>
        <v>3.4800152588185828E-3</v>
      </c>
      <c r="J188" s="3">
        <f t="shared" si="124"/>
        <v>3.4800152588185828E-3</v>
      </c>
      <c r="K188" s="3">
        <f t="shared" si="124"/>
        <v>3.4800152588185828E-3</v>
      </c>
      <c r="L188" s="3">
        <f t="shared" si="124"/>
        <v>3.4800152588185828E-3</v>
      </c>
      <c r="M188" s="3">
        <f t="shared" si="124"/>
        <v>3.4800152588185828E-3</v>
      </c>
      <c r="N188" s="3">
        <f t="shared" si="124"/>
        <v>3.4800152588185828E-3</v>
      </c>
      <c r="O188" s="3">
        <f t="shared" si="124"/>
        <v>3.4800152588185828E-3</v>
      </c>
      <c r="P188" s="3">
        <f t="shared" si="124"/>
        <v>3.4800152588185828E-3</v>
      </c>
      <c r="Q188" s="3">
        <f t="shared" si="124"/>
        <v>3.4800152588185828E-3</v>
      </c>
      <c r="R188" s="3">
        <f t="shared" si="124"/>
        <v>3.4800152588185828E-3</v>
      </c>
      <c r="S188" s="3">
        <f t="shared" si="124"/>
        <v>3.4800152588185828E-3</v>
      </c>
      <c r="T188" s="3">
        <f t="shared" si="124"/>
        <v>3.4800152588185828E-3</v>
      </c>
      <c r="U188" s="3">
        <f t="shared" si="124"/>
        <v>3.4800152588185828E-3</v>
      </c>
      <c r="V188" s="3">
        <f t="shared" si="124"/>
        <v>3.4800152588185824E-3</v>
      </c>
      <c r="W188" s="3">
        <f t="shared" si="124"/>
        <v>3.4800152588185811E-3</v>
      </c>
      <c r="X188" s="3">
        <f t="shared" si="124"/>
        <v>3.4800152588185624E-3</v>
      </c>
      <c r="Y188" s="3">
        <f t="shared" si="124"/>
        <v>3.4800152588183781E-3</v>
      </c>
      <c r="Z188" s="3">
        <f t="shared" si="124"/>
        <v>3.480015258816535E-3</v>
      </c>
      <c r="AA188" s="3">
        <f t="shared" si="124"/>
        <v>3.480015258798107E-3</v>
      </c>
      <c r="AB188" s="3">
        <f t="shared" si="124"/>
        <v>3.480015258613826E-3</v>
      </c>
      <c r="AC188" s="3">
        <f t="shared" si="124"/>
        <v>3.4800152567710124E-3</v>
      </c>
      <c r="AD188" s="3">
        <f t="shared" si="124"/>
        <v>3.4800152383428762E-3</v>
      </c>
      <c r="AE188" s="3">
        <f t="shared" si="124"/>
        <v>3.480015054061523E-3</v>
      </c>
      <c r="AF188" s="3">
        <f t="shared" si="124"/>
        <v>3.480013211248527E-3</v>
      </c>
      <c r="AG188" s="3"/>
      <c r="AH188" s="3"/>
    </row>
    <row r="189" spans="2:34" x14ac:dyDescent="0.25">
      <c r="B189" s="3">
        <f t="shared" ref="B189:AF189" si="125">$C36*EXP(-B$168/$A36/EXP(-$C$126))</f>
        <v>2.0367681547460849E-3</v>
      </c>
      <c r="C189" s="3">
        <f t="shared" si="125"/>
        <v>2.0367681547460849E-3</v>
      </c>
      <c r="D189" s="3">
        <f t="shared" si="125"/>
        <v>2.0367681547460849E-3</v>
      </c>
      <c r="E189" s="3">
        <f t="shared" si="125"/>
        <v>2.0367681547460849E-3</v>
      </c>
      <c r="F189" s="3">
        <f t="shared" si="125"/>
        <v>2.0367681547460849E-3</v>
      </c>
      <c r="G189" s="3">
        <f t="shared" si="125"/>
        <v>2.0367681547460849E-3</v>
      </c>
      <c r="H189" s="3">
        <f t="shared" si="125"/>
        <v>2.0367681547460849E-3</v>
      </c>
      <c r="I189" s="3">
        <f t="shared" si="125"/>
        <v>2.0367681547460849E-3</v>
      </c>
      <c r="J189" s="3">
        <f t="shared" si="125"/>
        <v>2.0367681547460849E-3</v>
      </c>
      <c r="K189" s="3">
        <f t="shared" si="125"/>
        <v>2.0367681547460849E-3</v>
      </c>
      <c r="L189" s="3">
        <f t="shared" si="125"/>
        <v>2.0367681547460849E-3</v>
      </c>
      <c r="M189" s="3">
        <f t="shared" si="125"/>
        <v>2.0367681547460849E-3</v>
      </c>
      <c r="N189" s="3">
        <f t="shared" si="125"/>
        <v>2.0367681547460849E-3</v>
      </c>
      <c r="O189" s="3">
        <f t="shared" si="125"/>
        <v>2.0367681547460849E-3</v>
      </c>
      <c r="P189" s="3">
        <f t="shared" si="125"/>
        <v>2.0367681547460849E-3</v>
      </c>
      <c r="Q189" s="3">
        <f t="shared" si="125"/>
        <v>2.0367681547460849E-3</v>
      </c>
      <c r="R189" s="3">
        <f t="shared" si="125"/>
        <v>2.0367681547460849E-3</v>
      </c>
      <c r="S189" s="3">
        <f t="shared" si="125"/>
        <v>2.0367681547460849E-3</v>
      </c>
      <c r="T189" s="3">
        <f t="shared" si="125"/>
        <v>2.0367681547460849E-3</v>
      </c>
      <c r="U189" s="3">
        <f t="shared" si="125"/>
        <v>2.0367681547460849E-3</v>
      </c>
      <c r="V189" s="3">
        <f t="shared" si="125"/>
        <v>2.0367681547460849E-3</v>
      </c>
      <c r="W189" s="3">
        <f t="shared" si="125"/>
        <v>2.0367681547460849E-3</v>
      </c>
      <c r="X189" s="3">
        <f t="shared" si="125"/>
        <v>2.0367681547460836E-3</v>
      </c>
      <c r="Y189" s="3">
        <f t="shared" si="125"/>
        <v>2.036768154746074E-3</v>
      </c>
      <c r="Z189" s="3">
        <f t="shared" si="125"/>
        <v>2.0367681547459769E-3</v>
      </c>
      <c r="AA189" s="3">
        <f t="shared" si="125"/>
        <v>2.0367681547450037E-3</v>
      </c>
      <c r="AB189" s="3">
        <f t="shared" si="125"/>
        <v>2.0367681547352745E-3</v>
      </c>
      <c r="AC189" s="3">
        <f t="shared" si="125"/>
        <v>2.0367681546379799E-3</v>
      </c>
      <c r="AD189" s="3">
        <f t="shared" si="125"/>
        <v>2.0367681536650343E-3</v>
      </c>
      <c r="AE189" s="3">
        <f t="shared" si="125"/>
        <v>2.0367681439355809E-3</v>
      </c>
      <c r="AF189" s="3">
        <f t="shared" si="125"/>
        <v>2.0367680466410491E-3</v>
      </c>
      <c r="AG189" s="3"/>
      <c r="AH189" s="3"/>
    </row>
    <row r="190" spans="2:34" x14ac:dyDescent="0.25">
      <c r="B190" s="3">
        <f t="shared" ref="B190:AF190" si="126">$C37*EXP(-B$168/$A37/EXP(-$C$126))</f>
        <v>1.2781847248259422E-3</v>
      </c>
      <c r="C190" s="3">
        <f t="shared" si="126"/>
        <v>1.2781847248259422E-3</v>
      </c>
      <c r="D190" s="3">
        <f t="shared" si="126"/>
        <v>1.2781847248259422E-3</v>
      </c>
      <c r="E190" s="3">
        <f t="shared" si="126"/>
        <v>1.2781847248259422E-3</v>
      </c>
      <c r="F190" s="3">
        <f t="shared" si="126"/>
        <v>1.2781847248259422E-3</v>
      </c>
      <c r="G190" s="3">
        <f t="shared" si="126"/>
        <v>1.2781847248259422E-3</v>
      </c>
      <c r="H190" s="3">
        <f t="shared" si="126"/>
        <v>1.2781847248259422E-3</v>
      </c>
      <c r="I190" s="3">
        <f t="shared" si="126"/>
        <v>1.2781847248259422E-3</v>
      </c>
      <c r="J190" s="3">
        <f t="shared" si="126"/>
        <v>1.2781847248259422E-3</v>
      </c>
      <c r="K190" s="3">
        <f t="shared" si="126"/>
        <v>1.2781847248259422E-3</v>
      </c>
      <c r="L190" s="3">
        <f t="shared" si="126"/>
        <v>1.2781847248259422E-3</v>
      </c>
      <c r="M190" s="3">
        <f t="shared" si="126"/>
        <v>1.2781847248259422E-3</v>
      </c>
      <c r="N190" s="3">
        <f t="shared" si="126"/>
        <v>1.2781847248259422E-3</v>
      </c>
      <c r="O190" s="3">
        <f t="shared" si="126"/>
        <v>1.2781847248259422E-3</v>
      </c>
      <c r="P190" s="3">
        <f t="shared" si="126"/>
        <v>1.2781847248259422E-3</v>
      </c>
      <c r="Q190" s="3">
        <f t="shared" si="126"/>
        <v>1.2781847248259422E-3</v>
      </c>
      <c r="R190" s="3">
        <f t="shared" si="126"/>
        <v>1.2781847248259422E-3</v>
      </c>
      <c r="S190" s="3">
        <f t="shared" si="126"/>
        <v>1.2781847248259422E-3</v>
      </c>
      <c r="T190" s="3">
        <f t="shared" si="126"/>
        <v>1.2781847248259422E-3</v>
      </c>
      <c r="U190" s="3">
        <f t="shared" si="126"/>
        <v>1.2781847248259422E-3</v>
      </c>
      <c r="V190" s="3">
        <f t="shared" si="126"/>
        <v>1.2781847248259422E-3</v>
      </c>
      <c r="W190" s="3">
        <f t="shared" si="126"/>
        <v>1.2781847248259422E-3</v>
      </c>
      <c r="X190" s="3">
        <f t="shared" si="126"/>
        <v>1.2781847248259422E-3</v>
      </c>
      <c r="Y190" s="3">
        <f t="shared" si="126"/>
        <v>1.2781847248259416E-3</v>
      </c>
      <c r="Z190" s="3">
        <f t="shared" si="126"/>
        <v>1.2781847248259362E-3</v>
      </c>
      <c r="AA190" s="3">
        <f t="shared" si="126"/>
        <v>1.2781847248258811E-3</v>
      </c>
      <c r="AB190" s="3">
        <f t="shared" si="126"/>
        <v>1.2781847248253301E-3</v>
      </c>
      <c r="AC190" s="3">
        <f t="shared" si="126"/>
        <v>1.2781847248198224E-3</v>
      </c>
      <c r="AD190" s="3">
        <f t="shared" si="126"/>
        <v>1.2781847247647431E-3</v>
      </c>
      <c r="AE190" s="3">
        <f t="shared" si="126"/>
        <v>1.278184724213952E-3</v>
      </c>
      <c r="AF190" s="3">
        <f t="shared" si="126"/>
        <v>1.278184718706039E-3</v>
      </c>
      <c r="AG190" s="3"/>
      <c r="AH190" s="3"/>
    </row>
    <row r="191" spans="2:34" x14ac:dyDescent="0.25">
      <c r="B191" s="3">
        <f t="shared" ref="B191:AF191" si="127">$C38*EXP(-B$168/$A38/EXP(-$C$126))</f>
        <v>3.444457645749161E-4</v>
      </c>
      <c r="C191" s="3">
        <f t="shared" si="127"/>
        <v>3.444457645749161E-4</v>
      </c>
      <c r="D191" s="3">
        <f t="shared" si="127"/>
        <v>3.444457645749161E-4</v>
      </c>
      <c r="E191" s="3">
        <f t="shared" si="127"/>
        <v>3.444457645749161E-4</v>
      </c>
      <c r="F191" s="3">
        <f t="shared" si="127"/>
        <v>3.444457645749161E-4</v>
      </c>
      <c r="G191" s="3">
        <f t="shared" si="127"/>
        <v>3.444457645749161E-4</v>
      </c>
      <c r="H191" s="3">
        <f t="shared" si="127"/>
        <v>3.444457645749161E-4</v>
      </c>
      <c r="I191" s="3">
        <f t="shared" si="127"/>
        <v>3.444457645749161E-4</v>
      </c>
      <c r="J191" s="3">
        <f t="shared" si="127"/>
        <v>3.444457645749161E-4</v>
      </c>
      <c r="K191" s="3">
        <f t="shared" si="127"/>
        <v>3.444457645749161E-4</v>
      </c>
      <c r="L191" s="3">
        <f t="shared" si="127"/>
        <v>3.444457645749161E-4</v>
      </c>
      <c r="M191" s="3">
        <f t="shared" si="127"/>
        <v>3.444457645749161E-4</v>
      </c>
      <c r="N191" s="3">
        <f t="shared" si="127"/>
        <v>3.444457645749161E-4</v>
      </c>
      <c r="O191" s="3">
        <f t="shared" si="127"/>
        <v>3.444457645749161E-4</v>
      </c>
      <c r="P191" s="3">
        <f t="shared" si="127"/>
        <v>3.444457645749161E-4</v>
      </c>
      <c r="Q191" s="3">
        <f t="shared" si="127"/>
        <v>3.444457645749161E-4</v>
      </c>
      <c r="R191" s="3">
        <f t="shared" si="127"/>
        <v>3.444457645749161E-4</v>
      </c>
      <c r="S191" s="3">
        <f t="shared" si="127"/>
        <v>3.444457645749161E-4</v>
      </c>
      <c r="T191" s="3">
        <f t="shared" si="127"/>
        <v>3.444457645749161E-4</v>
      </c>
      <c r="U191" s="3">
        <f t="shared" si="127"/>
        <v>3.444457645749161E-4</v>
      </c>
      <c r="V191" s="3">
        <f t="shared" si="127"/>
        <v>3.444457645749161E-4</v>
      </c>
      <c r="W191" s="3">
        <f t="shared" si="127"/>
        <v>3.444457645749161E-4</v>
      </c>
      <c r="X191" s="3">
        <f t="shared" si="127"/>
        <v>3.444457645749161E-4</v>
      </c>
      <c r="Y191" s="3">
        <f t="shared" si="127"/>
        <v>3.444457645749161E-4</v>
      </c>
      <c r="Z191" s="3">
        <f t="shared" si="127"/>
        <v>3.4444576457491594E-4</v>
      </c>
      <c r="AA191" s="3">
        <f t="shared" si="127"/>
        <v>3.4444576457491458E-4</v>
      </c>
      <c r="AB191" s="3">
        <f t="shared" si="127"/>
        <v>3.4444576457490125E-4</v>
      </c>
      <c r="AC191" s="3">
        <f t="shared" si="127"/>
        <v>3.4444576457476735E-4</v>
      </c>
      <c r="AD191" s="3">
        <f t="shared" si="127"/>
        <v>3.4444576457342841E-4</v>
      </c>
      <c r="AE191" s="3">
        <f t="shared" si="127"/>
        <v>3.44445764560039E-4</v>
      </c>
      <c r="AF191" s="3">
        <f t="shared" si="127"/>
        <v>3.4444576442614508E-4</v>
      </c>
      <c r="AG191" s="3"/>
      <c r="AH191" s="3"/>
    </row>
    <row r="192" spans="2:34" x14ac:dyDescent="0.25">
      <c r="B192" s="3">
        <f t="shared" ref="B192:AF192" si="128">$C39*EXP(-B$168/$A39/EXP(-$C$126))</f>
        <v>6.1014336776090067E-4</v>
      </c>
      <c r="C192" s="3">
        <f t="shared" si="128"/>
        <v>6.1014336776090067E-4</v>
      </c>
      <c r="D192" s="3">
        <f t="shared" si="128"/>
        <v>6.1014336776090067E-4</v>
      </c>
      <c r="E192" s="3">
        <f t="shared" si="128"/>
        <v>6.1014336776090067E-4</v>
      </c>
      <c r="F192" s="3">
        <f t="shared" si="128"/>
        <v>6.1014336776090067E-4</v>
      </c>
      <c r="G192" s="3">
        <f t="shared" si="128"/>
        <v>6.1014336776090067E-4</v>
      </c>
      <c r="H192" s="3">
        <f t="shared" si="128"/>
        <v>6.1014336776090067E-4</v>
      </c>
      <c r="I192" s="3">
        <f t="shared" si="128"/>
        <v>6.1014336776090067E-4</v>
      </c>
      <c r="J192" s="3">
        <f t="shared" si="128"/>
        <v>6.1014336776090067E-4</v>
      </c>
      <c r="K192" s="3">
        <f t="shared" si="128"/>
        <v>6.1014336776090067E-4</v>
      </c>
      <c r="L192" s="3">
        <f t="shared" si="128"/>
        <v>6.1014336776090067E-4</v>
      </c>
      <c r="M192" s="3">
        <f t="shared" si="128"/>
        <v>6.1014336776090067E-4</v>
      </c>
      <c r="N192" s="3">
        <f t="shared" si="128"/>
        <v>6.1014336776090067E-4</v>
      </c>
      <c r="O192" s="3">
        <f t="shared" si="128"/>
        <v>6.1014336776090067E-4</v>
      </c>
      <c r="P192" s="3">
        <f t="shared" si="128"/>
        <v>6.1014336776090067E-4</v>
      </c>
      <c r="Q192" s="3">
        <f t="shared" si="128"/>
        <v>6.1014336776090067E-4</v>
      </c>
      <c r="R192" s="3">
        <f t="shared" si="128"/>
        <v>6.1014336776090067E-4</v>
      </c>
      <c r="S192" s="3">
        <f t="shared" si="128"/>
        <v>6.1014336776090067E-4</v>
      </c>
      <c r="T192" s="3">
        <f t="shared" si="128"/>
        <v>6.1014336776090067E-4</v>
      </c>
      <c r="U192" s="3">
        <f t="shared" si="128"/>
        <v>6.1014336776090067E-4</v>
      </c>
      <c r="V192" s="3">
        <f t="shared" si="128"/>
        <v>6.1014336776090067E-4</v>
      </c>
      <c r="W192" s="3">
        <f t="shared" si="128"/>
        <v>6.1014336776090067E-4</v>
      </c>
      <c r="X192" s="3">
        <f t="shared" si="128"/>
        <v>6.1014336776090067E-4</v>
      </c>
      <c r="Y192" s="3">
        <f t="shared" si="128"/>
        <v>6.1014336776090067E-4</v>
      </c>
      <c r="Z192" s="3">
        <f t="shared" si="128"/>
        <v>6.1014336776090057E-4</v>
      </c>
      <c r="AA192" s="3">
        <f t="shared" si="128"/>
        <v>6.1014336776089991E-4</v>
      </c>
      <c r="AB192" s="3">
        <f t="shared" si="128"/>
        <v>6.1014336776089341E-4</v>
      </c>
      <c r="AC192" s="3">
        <f t="shared" si="128"/>
        <v>6.1014336776082782E-4</v>
      </c>
      <c r="AD192" s="3">
        <f t="shared" si="128"/>
        <v>6.1014336776017176E-4</v>
      </c>
      <c r="AE192" s="3">
        <f t="shared" si="128"/>
        <v>6.1014336775361212E-4</v>
      </c>
      <c r="AF192" s="3">
        <f t="shared" si="128"/>
        <v>6.1014336768801497E-4</v>
      </c>
      <c r="AG192" s="3"/>
      <c r="AH192" s="3"/>
    </row>
    <row r="193" spans="1:34" x14ac:dyDescent="0.25">
      <c r="B193" s="3">
        <f t="shared" ref="B193:AF193" si="129">$C40*EXP(-B$168/$A40/EXP(-$C$126))</f>
        <v>2.2250933466635417E-4</v>
      </c>
      <c r="C193" s="3">
        <f t="shared" si="129"/>
        <v>2.2250933466635417E-4</v>
      </c>
      <c r="D193" s="3">
        <f t="shared" si="129"/>
        <v>2.2250933466635417E-4</v>
      </c>
      <c r="E193" s="3">
        <f t="shared" si="129"/>
        <v>2.2250933466635417E-4</v>
      </c>
      <c r="F193" s="3">
        <f t="shared" si="129"/>
        <v>2.2250933466635417E-4</v>
      </c>
      <c r="G193" s="3">
        <f t="shared" si="129"/>
        <v>2.2250933466635417E-4</v>
      </c>
      <c r="H193" s="3">
        <f t="shared" si="129"/>
        <v>2.2250933466635417E-4</v>
      </c>
      <c r="I193" s="3">
        <f t="shared" si="129"/>
        <v>2.2250933466635417E-4</v>
      </c>
      <c r="J193" s="3">
        <f t="shared" si="129"/>
        <v>2.2250933466635417E-4</v>
      </c>
      <c r="K193" s="3">
        <f t="shared" si="129"/>
        <v>2.2250933466635417E-4</v>
      </c>
      <c r="L193" s="3">
        <f t="shared" si="129"/>
        <v>2.2250933466635417E-4</v>
      </c>
      <c r="M193" s="3">
        <f t="shared" si="129"/>
        <v>2.2250933466635417E-4</v>
      </c>
      <c r="N193" s="3">
        <f t="shared" si="129"/>
        <v>2.2250933466635417E-4</v>
      </c>
      <c r="O193" s="3">
        <f t="shared" si="129"/>
        <v>2.2250933466635417E-4</v>
      </c>
      <c r="P193" s="3">
        <f t="shared" si="129"/>
        <v>2.2250933466635417E-4</v>
      </c>
      <c r="Q193" s="3">
        <f t="shared" si="129"/>
        <v>2.2250933466635417E-4</v>
      </c>
      <c r="R193" s="3">
        <f t="shared" si="129"/>
        <v>2.2250933466635417E-4</v>
      </c>
      <c r="S193" s="3">
        <f t="shared" si="129"/>
        <v>2.2250933466635417E-4</v>
      </c>
      <c r="T193" s="3">
        <f t="shared" si="129"/>
        <v>2.2250933466635417E-4</v>
      </c>
      <c r="U193" s="3">
        <f t="shared" si="129"/>
        <v>2.2250933466635417E-4</v>
      </c>
      <c r="V193" s="3">
        <f t="shared" si="129"/>
        <v>2.2250933466635417E-4</v>
      </c>
      <c r="W193" s="3">
        <f t="shared" si="129"/>
        <v>2.2250933466635417E-4</v>
      </c>
      <c r="X193" s="3">
        <f t="shared" si="129"/>
        <v>2.2250933466635417E-4</v>
      </c>
      <c r="Y193" s="3">
        <f t="shared" si="129"/>
        <v>2.2250933466635417E-4</v>
      </c>
      <c r="Z193" s="3">
        <f t="shared" si="129"/>
        <v>2.2250933466635417E-4</v>
      </c>
      <c r="AA193" s="3">
        <f t="shared" si="129"/>
        <v>2.2250933466635414E-4</v>
      </c>
      <c r="AB193" s="3">
        <f t="shared" si="129"/>
        <v>2.2250933466635389E-4</v>
      </c>
      <c r="AC193" s="3">
        <f t="shared" si="129"/>
        <v>2.2250933466635151E-4</v>
      </c>
      <c r="AD193" s="3">
        <f t="shared" si="129"/>
        <v>2.2250933466632758E-4</v>
      </c>
      <c r="AE193" s="3">
        <f t="shared" si="129"/>
        <v>2.2250933466608835E-4</v>
      </c>
      <c r="AF193" s="3">
        <f t="shared" si="129"/>
        <v>2.2250933466369614E-4</v>
      </c>
      <c r="AG193" s="3"/>
      <c r="AH193" s="3"/>
    </row>
    <row r="194" spans="1:34" x14ac:dyDescent="0.25">
      <c r="B194" s="3">
        <f t="shared" ref="B194:AF194" si="130">$C41*EXP(-B$168/$A41/EXP(-$C$126))</f>
        <v>3.0514987252664002E-4</v>
      </c>
      <c r="C194" s="3">
        <f t="shared" si="130"/>
        <v>3.0514987252664002E-4</v>
      </c>
      <c r="D194" s="3">
        <f t="shared" si="130"/>
        <v>3.0514987252664002E-4</v>
      </c>
      <c r="E194" s="3">
        <f t="shared" si="130"/>
        <v>3.0514987252664002E-4</v>
      </c>
      <c r="F194" s="3">
        <f t="shared" si="130"/>
        <v>3.0514987252664002E-4</v>
      </c>
      <c r="G194" s="3">
        <f t="shared" si="130"/>
        <v>3.0514987252664002E-4</v>
      </c>
      <c r="H194" s="3">
        <f t="shared" si="130"/>
        <v>3.0514987252664002E-4</v>
      </c>
      <c r="I194" s="3">
        <f t="shared" si="130"/>
        <v>3.0514987252664002E-4</v>
      </c>
      <c r="J194" s="3">
        <f t="shared" si="130"/>
        <v>3.0514987252664002E-4</v>
      </c>
      <c r="K194" s="3">
        <f t="shared" si="130"/>
        <v>3.0514987252664002E-4</v>
      </c>
      <c r="L194" s="3">
        <f t="shared" si="130"/>
        <v>3.0514987252664002E-4</v>
      </c>
      <c r="M194" s="3">
        <f t="shared" si="130"/>
        <v>3.0514987252664002E-4</v>
      </c>
      <c r="N194" s="3">
        <f t="shared" si="130"/>
        <v>3.0514987252664002E-4</v>
      </c>
      <c r="O194" s="3">
        <f t="shared" si="130"/>
        <v>3.0514987252664002E-4</v>
      </c>
      <c r="P194" s="3">
        <f t="shared" si="130"/>
        <v>3.0514987252664002E-4</v>
      </c>
      <c r="Q194" s="3">
        <f t="shared" si="130"/>
        <v>3.0514987252664002E-4</v>
      </c>
      <c r="R194" s="3">
        <f t="shared" si="130"/>
        <v>3.0514987252664002E-4</v>
      </c>
      <c r="S194" s="3">
        <f t="shared" si="130"/>
        <v>3.0514987252664002E-4</v>
      </c>
      <c r="T194" s="3">
        <f t="shared" si="130"/>
        <v>3.0514987252664002E-4</v>
      </c>
      <c r="U194" s="3">
        <f t="shared" si="130"/>
        <v>3.0514987252664002E-4</v>
      </c>
      <c r="V194" s="3">
        <f t="shared" si="130"/>
        <v>3.0514987252664002E-4</v>
      </c>
      <c r="W194" s="3">
        <f t="shared" si="130"/>
        <v>3.0514987252664002E-4</v>
      </c>
      <c r="X194" s="3">
        <f t="shared" si="130"/>
        <v>3.0514987252664002E-4</v>
      </c>
      <c r="Y194" s="3">
        <f t="shared" si="130"/>
        <v>3.0514987252664002E-4</v>
      </c>
      <c r="Z194" s="3">
        <f t="shared" si="130"/>
        <v>3.0514987252664002E-4</v>
      </c>
      <c r="AA194" s="3">
        <f t="shared" si="130"/>
        <v>3.0514987252664002E-4</v>
      </c>
      <c r="AB194" s="3">
        <f t="shared" si="130"/>
        <v>3.0514987252663997E-4</v>
      </c>
      <c r="AC194" s="3">
        <f t="shared" si="130"/>
        <v>3.0514987252663965E-4</v>
      </c>
      <c r="AD194" s="3">
        <f t="shared" si="130"/>
        <v>3.0514987252663639E-4</v>
      </c>
      <c r="AE194" s="3">
        <f t="shared" si="130"/>
        <v>3.051498725266036E-4</v>
      </c>
      <c r="AF194" s="3">
        <f t="shared" si="130"/>
        <v>3.0514987252627552E-4</v>
      </c>
      <c r="AG194" s="3"/>
      <c r="AH194" s="3"/>
    </row>
    <row r="195" spans="1:34" x14ac:dyDescent="0.25">
      <c r="B195" s="3">
        <f t="shared" ref="B195:AF195" si="131">$C42*EXP(-B$168/$A42/EXP(-$C$126))</f>
        <v>0</v>
      </c>
      <c r="C195" s="3">
        <f t="shared" si="131"/>
        <v>0</v>
      </c>
      <c r="D195" s="3">
        <f t="shared" si="131"/>
        <v>0</v>
      </c>
      <c r="E195" s="3">
        <f t="shared" si="131"/>
        <v>0</v>
      </c>
      <c r="F195" s="3">
        <f t="shared" si="131"/>
        <v>0</v>
      </c>
      <c r="G195" s="3">
        <f t="shared" si="131"/>
        <v>0</v>
      </c>
      <c r="H195" s="3">
        <f t="shared" si="131"/>
        <v>0</v>
      </c>
      <c r="I195" s="3">
        <f t="shared" si="131"/>
        <v>0</v>
      </c>
      <c r="J195" s="3">
        <f t="shared" si="131"/>
        <v>0</v>
      </c>
      <c r="K195" s="3">
        <f t="shared" si="131"/>
        <v>0</v>
      </c>
      <c r="L195" s="3">
        <f t="shared" si="131"/>
        <v>0</v>
      </c>
      <c r="M195" s="3">
        <f t="shared" si="131"/>
        <v>0</v>
      </c>
      <c r="N195" s="3">
        <f t="shared" si="131"/>
        <v>0</v>
      </c>
      <c r="O195" s="3">
        <f t="shared" si="131"/>
        <v>0</v>
      </c>
      <c r="P195" s="3">
        <f t="shared" si="131"/>
        <v>0</v>
      </c>
      <c r="Q195" s="3">
        <f t="shared" si="131"/>
        <v>0</v>
      </c>
      <c r="R195" s="3">
        <f t="shared" si="131"/>
        <v>0</v>
      </c>
      <c r="S195" s="3">
        <f t="shared" si="131"/>
        <v>0</v>
      </c>
      <c r="T195" s="3">
        <f t="shared" si="131"/>
        <v>0</v>
      </c>
      <c r="U195" s="3">
        <f t="shared" si="131"/>
        <v>0</v>
      </c>
      <c r="V195" s="3">
        <f t="shared" si="131"/>
        <v>0</v>
      </c>
      <c r="W195" s="3">
        <f t="shared" si="131"/>
        <v>0</v>
      </c>
      <c r="X195" s="3">
        <f t="shared" si="131"/>
        <v>0</v>
      </c>
      <c r="Y195" s="3">
        <f t="shared" si="131"/>
        <v>0</v>
      </c>
      <c r="Z195" s="3">
        <f t="shared" si="131"/>
        <v>0</v>
      </c>
      <c r="AA195" s="3">
        <f t="shared" si="131"/>
        <v>0</v>
      </c>
      <c r="AB195" s="3">
        <f t="shared" si="131"/>
        <v>0</v>
      </c>
      <c r="AC195" s="3">
        <f t="shared" si="131"/>
        <v>0</v>
      </c>
      <c r="AD195" s="3">
        <f t="shared" si="131"/>
        <v>0</v>
      </c>
      <c r="AE195" s="3">
        <f t="shared" si="131"/>
        <v>0</v>
      </c>
      <c r="AF195" s="3">
        <f t="shared" si="131"/>
        <v>0</v>
      </c>
      <c r="AG195" s="3"/>
      <c r="AH195" s="3"/>
    </row>
    <row r="196" spans="1:34" x14ac:dyDescent="0.25">
      <c r="B196" s="3">
        <f t="shared" ref="B196:AF196" si="132">$C43*EXP(-B$168/$A43/EXP(-$C$126))</f>
        <v>6.2164799219330605E-5</v>
      </c>
      <c r="C196" s="3">
        <f t="shared" si="132"/>
        <v>6.2164799219330605E-5</v>
      </c>
      <c r="D196" s="3">
        <f t="shared" si="132"/>
        <v>6.2164799219330605E-5</v>
      </c>
      <c r="E196" s="3">
        <f t="shared" si="132"/>
        <v>6.2164799219330605E-5</v>
      </c>
      <c r="F196" s="3">
        <f t="shared" si="132"/>
        <v>6.2164799219330605E-5</v>
      </c>
      <c r="G196" s="3">
        <f t="shared" si="132"/>
        <v>6.2164799219330605E-5</v>
      </c>
      <c r="H196" s="3">
        <f t="shared" si="132"/>
        <v>6.2164799219330605E-5</v>
      </c>
      <c r="I196" s="3">
        <f t="shared" si="132"/>
        <v>6.2164799219330605E-5</v>
      </c>
      <c r="J196" s="3">
        <f t="shared" si="132"/>
        <v>6.2164799219330605E-5</v>
      </c>
      <c r="K196" s="3">
        <f t="shared" si="132"/>
        <v>6.2164799219330605E-5</v>
      </c>
      <c r="L196" s="3">
        <f t="shared" si="132"/>
        <v>6.2164799219330605E-5</v>
      </c>
      <c r="M196" s="3">
        <f t="shared" si="132"/>
        <v>6.2164799219330605E-5</v>
      </c>
      <c r="N196" s="3">
        <f t="shared" si="132"/>
        <v>6.2164799219330605E-5</v>
      </c>
      <c r="O196" s="3">
        <f t="shared" si="132"/>
        <v>6.2164799219330605E-5</v>
      </c>
      <c r="P196" s="3">
        <f t="shared" si="132"/>
        <v>6.2164799219330605E-5</v>
      </c>
      <c r="Q196" s="3">
        <f t="shared" si="132"/>
        <v>6.2164799219330605E-5</v>
      </c>
      <c r="R196" s="3">
        <f t="shared" si="132"/>
        <v>6.2164799219330605E-5</v>
      </c>
      <c r="S196" s="3">
        <f t="shared" si="132"/>
        <v>6.2164799219330605E-5</v>
      </c>
      <c r="T196" s="3">
        <f t="shared" si="132"/>
        <v>6.2164799219330605E-5</v>
      </c>
      <c r="U196" s="3">
        <f t="shared" si="132"/>
        <v>6.2164799219330605E-5</v>
      </c>
      <c r="V196" s="3">
        <f t="shared" si="132"/>
        <v>6.2164799219330605E-5</v>
      </c>
      <c r="W196" s="3">
        <f t="shared" si="132"/>
        <v>6.2164799219330605E-5</v>
      </c>
      <c r="X196" s="3">
        <f t="shared" si="132"/>
        <v>6.2164799219330605E-5</v>
      </c>
      <c r="Y196" s="3">
        <f t="shared" si="132"/>
        <v>6.2164799219330605E-5</v>
      </c>
      <c r="Z196" s="3">
        <f t="shared" si="132"/>
        <v>6.2164799219330605E-5</v>
      </c>
      <c r="AA196" s="3">
        <f t="shared" si="132"/>
        <v>6.2164799219330605E-5</v>
      </c>
      <c r="AB196" s="3">
        <f t="shared" si="132"/>
        <v>6.2164799219330605E-5</v>
      </c>
      <c r="AC196" s="3">
        <f t="shared" si="132"/>
        <v>6.2164799219330605E-5</v>
      </c>
      <c r="AD196" s="3">
        <f t="shared" si="132"/>
        <v>6.2164799219330592E-5</v>
      </c>
      <c r="AE196" s="3">
        <f t="shared" si="132"/>
        <v>6.2164799219330524E-5</v>
      </c>
      <c r="AF196" s="3">
        <f t="shared" si="132"/>
        <v>6.216479921932986E-5</v>
      </c>
      <c r="AG196" s="3"/>
      <c r="AH196" s="3"/>
    </row>
    <row r="197" spans="1:34" x14ac:dyDescent="0.25">
      <c r="B197" s="3">
        <f t="shared" ref="B197:AF197" si="133">$C44*EXP(-B$168/$A44/EXP(-$C$126))</f>
        <v>1.589018825978126E-4</v>
      </c>
      <c r="C197" s="3">
        <f t="shared" si="133"/>
        <v>1.589018825978126E-4</v>
      </c>
      <c r="D197" s="3">
        <f t="shared" si="133"/>
        <v>1.589018825978126E-4</v>
      </c>
      <c r="E197" s="3">
        <f t="shared" si="133"/>
        <v>1.589018825978126E-4</v>
      </c>
      <c r="F197" s="3">
        <f t="shared" si="133"/>
        <v>1.589018825978126E-4</v>
      </c>
      <c r="G197" s="3">
        <f t="shared" si="133"/>
        <v>1.589018825978126E-4</v>
      </c>
      <c r="H197" s="3">
        <f t="shared" si="133"/>
        <v>1.589018825978126E-4</v>
      </c>
      <c r="I197" s="3">
        <f t="shared" si="133"/>
        <v>1.589018825978126E-4</v>
      </c>
      <c r="J197" s="3">
        <f t="shared" si="133"/>
        <v>1.589018825978126E-4</v>
      </c>
      <c r="K197" s="3">
        <f t="shared" si="133"/>
        <v>1.589018825978126E-4</v>
      </c>
      <c r="L197" s="3">
        <f t="shared" si="133"/>
        <v>1.589018825978126E-4</v>
      </c>
      <c r="M197" s="3">
        <f t="shared" si="133"/>
        <v>1.589018825978126E-4</v>
      </c>
      <c r="N197" s="3">
        <f t="shared" si="133"/>
        <v>1.589018825978126E-4</v>
      </c>
      <c r="O197" s="3">
        <f t="shared" si="133"/>
        <v>1.589018825978126E-4</v>
      </c>
      <c r="P197" s="3">
        <f t="shared" si="133"/>
        <v>1.589018825978126E-4</v>
      </c>
      <c r="Q197" s="3">
        <f t="shared" si="133"/>
        <v>1.589018825978126E-4</v>
      </c>
      <c r="R197" s="3">
        <f t="shared" si="133"/>
        <v>1.589018825978126E-4</v>
      </c>
      <c r="S197" s="3">
        <f t="shared" si="133"/>
        <v>1.589018825978126E-4</v>
      </c>
      <c r="T197" s="3">
        <f t="shared" si="133"/>
        <v>1.589018825978126E-4</v>
      </c>
      <c r="U197" s="3">
        <f t="shared" si="133"/>
        <v>1.589018825978126E-4</v>
      </c>
      <c r="V197" s="3">
        <f t="shared" si="133"/>
        <v>1.589018825978126E-4</v>
      </c>
      <c r="W197" s="3">
        <f t="shared" si="133"/>
        <v>1.589018825978126E-4</v>
      </c>
      <c r="X197" s="3">
        <f t="shared" si="133"/>
        <v>1.589018825978126E-4</v>
      </c>
      <c r="Y197" s="3">
        <f t="shared" si="133"/>
        <v>1.589018825978126E-4</v>
      </c>
      <c r="Z197" s="3">
        <f t="shared" si="133"/>
        <v>1.589018825978126E-4</v>
      </c>
      <c r="AA197" s="3">
        <f t="shared" si="133"/>
        <v>1.589018825978126E-4</v>
      </c>
      <c r="AB197" s="3">
        <f t="shared" si="133"/>
        <v>1.589018825978126E-4</v>
      </c>
      <c r="AC197" s="3">
        <f t="shared" si="133"/>
        <v>1.589018825978126E-4</v>
      </c>
      <c r="AD197" s="3">
        <f t="shared" si="133"/>
        <v>1.589018825978126E-4</v>
      </c>
      <c r="AE197" s="3">
        <f t="shared" si="133"/>
        <v>1.5890188259781257E-4</v>
      </c>
      <c r="AF197" s="3">
        <f t="shared" si="133"/>
        <v>1.5890188259781241E-4</v>
      </c>
      <c r="AG197" s="3"/>
      <c r="AH197" s="3"/>
    </row>
    <row r="198" spans="1:34" x14ac:dyDescent="0.25">
      <c r="B198" s="3">
        <f t="shared" ref="B198:AF198" si="134">$C45*EXP(-B$168/$A45/EXP(-$C$126))</f>
        <v>0</v>
      </c>
      <c r="C198" s="3">
        <f t="shared" si="134"/>
        <v>0</v>
      </c>
      <c r="D198" s="3">
        <f t="shared" si="134"/>
        <v>0</v>
      </c>
      <c r="E198" s="3">
        <f t="shared" si="134"/>
        <v>0</v>
      </c>
      <c r="F198" s="3">
        <f t="shared" si="134"/>
        <v>0</v>
      </c>
      <c r="G198" s="3">
        <f t="shared" si="134"/>
        <v>0</v>
      </c>
      <c r="H198" s="3">
        <f t="shared" si="134"/>
        <v>0</v>
      </c>
      <c r="I198" s="3">
        <f t="shared" si="134"/>
        <v>0</v>
      </c>
      <c r="J198" s="3">
        <f t="shared" si="134"/>
        <v>0</v>
      </c>
      <c r="K198" s="3">
        <f t="shared" si="134"/>
        <v>0</v>
      </c>
      <c r="L198" s="3">
        <f t="shared" si="134"/>
        <v>0</v>
      </c>
      <c r="M198" s="3">
        <f t="shared" si="134"/>
        <v>0</v>
      </c>
      <c r="N198" s="3">
        <f t="shared" si="134"/>
        <v>0</v>
      </c>
      <c r="O198" s="3">
        <f t="shared" si="134"/>
        <v>0</v>
      </c>
      <c r="P198" s="3">
        <f t="shared" si="134"/>
        <v>0</v>
      </c>
      <c r="Q198" s="3">
        <f t="shared" si="134"/>
        <v>0</v>
      </c>
      <c r="R198" s="3">
        <f t="shared" si="134"/>
        <v>0</v>
      </c>
      <c r="S198" s="3">
        <f t="shared" si="134"/>
        <v>0</v>
      </c>
      <c r="T198" s="3">
        <f t="shared" si="134"/>
        <v>0</v>
      </c>
      <c r="U198" s="3">
        <f t="shared" si="134"/>
        <v>0</v>
      </c>
      <c r="V198" s="3">
        <f t="shared" si="134"/>
        <v>0</v>
      </c>
      <c r="W198" s="3">
        <f t="shared" si="134"/>
        <v>0</v>
      </c>
      <c r="X198" s="3">
        <f t="shared" si="134"/>
        <v>0</v>
      </c>
      <c r="Y198" s="3">
        <f t="shared" si="134"/>
        <v>0</v>
      </c>
      <c r="Z198" s="3">
        <f t="shared" si="134"/>
        <v>0</v>
      </c>
      <c r="AA198" s="3">
        <f t="shared" si="134"/>
        <v>0</v>
      </c>
      <c r="AB198" s="3">
        <f t="shared" si="134"/>
        <v>0</v>
      </c>
      <c r="AC198" s="3">
        <f t="shared" si="134"/>
        <v>0</v>
      </c>
      <c r="AD198" s="3">
        <f t="shared" si="134"/>
        <v>0</v>
      </c>
      <c r="AE198" s="3">
        <f t="shared" si="134"/>
        <v>0</v>
      </c>
      <c r="AF198" s="3">
        <f t="shared" si="134"/>
        <v>0</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7.8909905102376337E-4</v>
      </c>
      <c r="C201" s="3">
        <f t="shared" si="137"/>
        <v>7.8909905102376337E-4</v>
      </c>
      <c r="D201" s="3">
        <f t="shared" si="137"/>
        <v>7.8909905102376337E-4</v>
      </c>
      <c r="E201" s="3">
        <f t="shared" si="137"/>
        <v>7.8909905102376337E-4</v>
      </c>
      <c r="F201" s="3">
        <f t="shared" si="137"/>
        <v>7.8909905102376337E-4</v>
      </c>
      <c r="G201" s="3">
        <f t="shared" si="137"/>
        <v>7.8909905102376337E-4</v>
      </c>
      <c r="H201" s="3">
        <f t="shared" si="137"/>
        <v>7.8909905102376337E-4</v>
      </c>
      <c r="I201" s="3">
        <f t="shared" si="137"/>
        <v>7.8909905102376337E-4</v>
      </c>
      <c r="J201" s="3">
        <f t="shared" si="137"/>
        <v>7.8909905102376337E-4</v>
      </c>
      <c r="K201" s="3">
        <f t="shared" si="137"/>
        <v>7.8909905102376337E-4</v>
      </c>
      <c r="L201" s="3">
        <f t="shared" si="137"/>
        <v>7.8909905102376337E-4</v>
      </c>
      <c r="M201" s="3">
        <f t="shared" si="137"/>
        <v>7.8909905102376337E-4</v>
      </c>
      <c r="N201" s="3">
        <f t="shared" si="137"/>
        <v>7.8909905102376337E-4</v>
      </c>
      <c r="O201" s="3">
        <f t="shared" si="137"/>
        <v>7.8909905102376337E-4</v>
      </c>
      <c r="P201" s="3">
        <f t="shared" si="137"/>
        <v>7.8909905102376337E-4</v>
      </c>
      <c r="Q201" s="3">
        <f t="shared" si="137"/>
        <v>7.8909905102376337E-4</v>
      </c>
      <c r="R201" s="3">
        <f t="shared" si="137"/>
        <v>7.8909905102376337E-4</v>
      </c>
      <c r="S201" s="3">
        <f t="shared" si="137"/>
        <v>7.8909905102376337E-4</v>
      </c>
      <c r="T201" s="3">
        <f t="shared" si="137"/>
        <v>7.8909905102376337E-4</v>
      </c>
      <c r="U201" s="3">
        <f t="shared" si="137"/>
        <v>7.8909905102376337E-4</v>
      </c>
      <c r="V201" s="3">
        <f t="shared" si="137"/>
        <v>7.8909905102376337E-4</v>
      </c>
      <c r="W201" s="3">
        <f t="shared" si="137"/>
        <v>7.8909905102376337E-4</v>
      </c>
      <c r="X201" s="3">
        <f t="shared" si="137"/>
        <v>7.8909905102376337E-4</v>
      </c>
      <c r="Y201" s="3">
        <f t="shared" si="137"/>
        <v>7.8909905102376337E-4</v>
      </c>
      <c r="Z201" s="3">
        <f t="shared" si="137"/>
        <v>7.8909905102376337E-4</v>
      </c>
      <c r="AA201" s="3">
        <f t="shared" si="137"/>
        <v>7.8909905102376337E-4</v>
      </c>
      <c r="AB201" s="3">
        <f t="shared" si="137"/>
        <v>7.8909905102376337E-4</v>
      </c>
      <c r="AC201" s="3">
        <f t="shared" si="137"/>
        <v>7.8909905102376337E-4</v>
      </c>
      <c r="AD201" s="3">
        <f t="shared" si="137"/>
        <v>7.8909905102376337E-4</v>
      </c>
      <c r="AE201" s="3">
        <f t="shared" si="137"/>
        <v>7.8909905102376337E-4</v>
      </c>
      <c r="AF201" s="3">
        <f t="shared" si="137"/>
        <v>7.8909905102376337E-4</v>
      </c>
      <c r="AG201" s="3"/>
      <c r="AH201" s="3"/>
    </row>
    <row r="202" spans="1:34" x14ac:dyDescent="0.25">
      <c r="A202" s="79">
        <f>AVERAGE(B202:AF202)</f>
        <v>4.9266865967130855E-2</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0.17423648047324647</v>
      </c>
      <c r="M202" s="80">
        <f t="shared" si="138"/>
        <v>0.17423618146366557</v>
      </c>
      <c r="N202" s="80">
        <f t="shared" si="138"/>
        <v>0.17423321920274845</v>
      </c>
      <c r="O202" s="80">
        <f t="shared" si="138"/>
        <v>0.17420365922291547</v>
      </c>
      <c r="P202" s="80">
        <f t="shared" si="138"/>
        <v>0.17391039763880778</v>
      </c>
      <c r="Q202" s="80">
        <f t="shared" si="138"/>
        <v>0.17119824879544862</v>
      </c>
      <c r="R202" s="80">
        <f t="shared" si="138"/>
        <v>0.15732483842496525</v>
      </c>
      <c r="S202" s="80">
        <f t="shared" si="138"/>
        <v>0.13957654038077191</v>
      </c>
      <c r="T202" s="80">
        <f t="shared" si="138"/>
        <v>0.1120159176267658</v>
      </c>
      <c r="U202" s="80">
        <f t="shared" si="138"/>
        <v>5.6229543133428088E-2</v>
      </c>
      <c r="V202" s="80">
        <f t="shared" si="138"/>
        <v>2.0107818618293128E-2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1946.3105435348355</v>
      </c>
      <c r="C203" s="21">
        <f t="shared" ref="C203:AF203" si="139">(C170-C169)^2</f>
        <v>3301.4817996659317</v>
      </c>
      <c r="D203" s="21">
        <f t="shared" si="139"/>
        <v>33316.201578986547</v>
      </c>
      <c r="E203" s="21">
        <f t="shared" si="139"/>
        <v>825570.56976140919</v>
      </c>
      <c r="F203" s="21">
        <f t="shared" si="139"/>
        <v>1650583.192925689</v>
      </c>
      <c r="G203" s="21">
        <f t="shared" si="139"/>
        <v>1650601.5027270443</v>
      </c>
      <c r="H203" s="21">
        <f t="shared" si="139"/>
        <v>1650600.8640715694</v>
      </c>
      <c r="I203" s="21">
        <f t="shared" si="139"/>
        <v>1650600.5447442778</v>
      </c>
      <c r="J203" s="21">
        <f t="shared" si="139"/>
        <v>1650600.5447483605</v>
      </c>
      <c r="K203" s="21">
        <f t="shared" si="139"/>
        <v>1650600.2254615221</v>
      </c>
      <c r="L203" s="21">
        <f t="shared" si="139"/>
        <v>1650599.7468782838</v>
      </c>
      <c r="M203" s="21">
        <f t="shared" si="139"/>
        <v>1650592.8854267811</v>
      </c>
      <c r="N203" s="21">
        <f t="shared" si="139"/>
        <v>1650524.9106052842</v>
      </c>
      <c r="O203" s="21">
        <f t="shared" si="139"/>
        <v>1649846.7027571735</v>
      </c>
      <c r="P203" s="21">
        <f t="shared" si="139"/>
        <v>1643128.439413517</v>
      </c>
      <c r="Q203" s="21">
        <f t="shared" si="139"/>
        <v>1581866.3145129757</v>
      </c>
      <c r="R203" s="21">
        <f t="shared" si="139"/>
        <v>1292182.9549570745</v>
      </c>
      <c r="S203" s="21">
        <f t="shared" si="139"/>
        <v>975043.31044250994</v>
      </c>
      <c r="T203" s="21">
        <f t="shared" si="139"/>
        <v>586596.64974158211</v>
      </c>
      <c r="U203" s="21">
        <f t="shared" si="139"/>
        <v>125079.1966052208</v>
      </c>
      <c r="V203" s="21">
        <f t="shared" si="139"/>
        <v>11759.971126694798</v>
      </c>
      <c r="W203" s="21">
        <f t="shared" si="139"/>
        <v>492953.70554586942</v>
      </c>
      <c r="X203" s="21">
        <f t="shared" si="139"/>
        <v>1024706.7557654822</v>
      </c>
      <c r="Y203" s="21">
        <f t="shared" si="139"/>
        <v>1252725.4501125568</v>
      </c>
      <c r="Z203" s="21">
        <f t="shared" si="139"/>
        <v>986057.01230078982</v>
      </c>
      <c r="AA203" s="21">
        <f t="shared" si="139"/>
        <v>479687.89848244365</v>
      </c>
      <c r="AB203" s="21">
        <f t="shared" si="139"/>
        <v>66379.18640330153</v>
      </c>
      <c r="AC203" s="21">
        <f t="shared" si="139"/>
        <v>65624.651967025959</v>
      </c>
      <c r="AD203" s="21">
        <f t="shared" si="139"/>
        <v>356114.30864955642</v>
      </c>
      <c r="AE203" s="21">
        <f t="shared" si="139"/>
        <v>424236.41767850507</v>
      </c>
      <c r="AF203" s="21">
        <f t="shared" si="139"/>
        <v>229143.89074026133</v>
      </c>
      <c r="AG203" s="3"/>
      <c r="AH203" s="3"/>
    </row>
    <row r="204" spans="1:34" x14ac:dyDescent="0.25">
      <c r="A204" s="71">
        <f>SUM(B204:AF204)</f>
        <v>12817221.082467096</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1650599.7468782838</v>
      </c>
      <c r="M204" s="60">
        <f t="shared" ref="M204" si="150">IF($A$64&lt;=M168,IF($B$64&gt;=M168,ABS(M203),0),0)</f>
        <v>1650592.8854267811</v>
      </c>
      <c r="N204" s="60">
        <f t="shared" ref="N204" si="151">IF($A$64&lt;=N168,IF($B$64&gt;=N168,ABS(N203),0),0)</f>
        <v>1650524.9106052842</v>
      </c>
      <c r="O204" s="60">
        <f t="shared" ref="O204" si="152">IF($A$64&lt;=O168,IF($B$64&gt;=O168,ABS(O203),0),0)</f>
        <v>1649846.7027571735</v>
      </c>
      <c r="P204" s="60">
        <f t="shared" ref="P204" si="153">IF($A$64&lt;=P168,IF($B$64&gt;=P168,ABS(P203),0),0)</f>
        <v>1643128.439413517</v>
      </c>
      <c r="Q204" s="60">
        <f t="shared" ref="Q204" si="154">IF($A$64&lt;=Q168,IF($B$64&gt;=Q168,ABS(Q203),0),0)</f>
        <v>1581866.3145129757</v>
      </c>
      <c r="R204" s="60">
        <f t="shared" ref="R204" si="155">IF($A$64&lt;=R168,IF($B$64&gt;=R168,ABS(R203),0),0)</f>
        <v>1292182.9549570745</v>
      </c>
      <c r="S204" s="60">
        <f t="shared" ref="S204" si="156">IF($A$64&lt;=S168,IF($B$64&gt;=S168,ABS(S203),0),0)</f>
        <v>975043.31044250994</v>
      </c>
      <c r="T204" s="60">
        <f t="shared" ref="T204" si="157">IF($A$64&lt;=T168,IF($B$64&gt;=T168,ABS(T203),0),0)</f>
        <v>586596.64974158211</v>
      </c>
      <c r="U204" s="60">
        <f t="shared" ref="U204" si="158">IF($A$64&lt;=U168,IF($B$64&gt;=U168,ABS(U203),0),0)</f>
        <v>125079.1966052208</v>
      </c>
      <c r="V204" s="60">
        <f t="shared" ref="V204" si="159">IF($A$64&lt;=V168,IF($B$64&gt;=V168,ABS(V203),0),0)</f>
        <v>11759.971126694798</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7330.9698900812818</v>
      </c>
      <c r="C208" s="26">
        <f>INDEX(Comparison!$AM$3:$AS$33,G$14,$D$122)</f>
        <v>7331.0435342500059</v>
      </c>
      <c r="D208" s="26">
        <f>INDEX(Comparison!$AM$3:$AS$33,H$14,$D$122)</f>
        <v>7331.0044701030138</v>
      </c>
      <c r="E208" s="26">
        <f>INDEX(Comparison!$AM$3:$AS$33,I$14,$D$122)</f>
        <v>7330.9943970257091</v>
      </c>
      <c r="F208" s="26">
        <f>INDEX(Comparison!$AM$3:$AS$33,J$14,$D$122)</f>
        <v>7330.991448813199</v>
      </c>
      <c r="G208" s="26">
        <f>INDEX(Comparison!$AM$3:$AS$33,K$14,$D$122)</f>
        <v>7330.990588918331</v>
      </c>
      <c r="H208" s="26">
        <f>INDEX(Comparison!$AM$3:$AS$33,L$14,$D$122)</f>
        <v>7330.9902818130686</v>
      </c>
      <c r="I208" s="26">
        <f>INDEX(Comparison!$AM$3:$AS$33,M$14,$D$122)</f>
        <v>7330.9901589709716</v>
      </c>
      <c r="J208" s="26">
        <f>INDEX(Comparison!$AM$3:$AS$33,N$14,$D$122)</f>
        <v>7330.9898518657455</v>
      </c>
      <c r="K208" s="26">
        <f>INDEX(Comparison!$AM$3:$AS$33,O$14,$D$122)</f>
        <v>7330.9873950248675</v>
      </c>
      <c r="L208" s="26">
        <f>INDEX(Comparison!$AM$3:$AS$33,P$14,$D$122)</f>
        <v>7330.962888127252</v>
      </c>
      <c r="M208" s="26">
        <f>INDEX(Comparison!$AM$3:$AS$33,Q$14,$D$122)</f>
        <v>7330.7179509954649</v>
      </c>
      <c r="N208" s="26">
        <f>INDEX(Comparison!$AM$3:$AS$33,R$14,$D$122)</f>
        <v>7328.2878922672335</v>
      </c>
      <c r="O208" s="26">
        <f>INDEX(Comparison!$AM$3:$AS$33,S$14,$D$122)</f>
        <v>7305.7841813741479</v>
      </c>
      <c r="P208" s="26">
        <f>INDEX(Comparison!$AM$3:$AS$33,T$14,$D$122)</f>
        <v>7188.9840707641179</v>
      </c>
      <c r="Q208" s="26">
        <f>INDEX(Comparison!$AM$3:$AS$33,U$14,$D$122)</f>
        <v>7045.3278356909095</v>
      </c>
      <c r="R208" s="26">
        <f>INDEX(Comparison!$AM$3:$AS$33,V$14,$D$122)</f>
        <v>6881.2247214769232</v>
      </c>
      <c r="S208" s="26">
        <f>INDEX(Comparison!$AM$3:$AS$33,W$14,$D$122)</f>
        <v>6633.2763958157147</v>
      </c>
      <c r="T208" s="26">
        <f>INDEX(Comparison!$AM$3:$AS$33,X$14,$D$122)</f>
        <v>6142.0459094556854</v>
      </c>
      <c r="U208" s="26">
        <f>INDEX(Comparison!$AM$3:$AS$33,Y$14,$D$122)</f>
        <v>5263.2654078154883</v>
      </c>
      <c r="V208" s="26">
        <f>INDEX(Comparison!$AM$3:$AS$33,Z$14,$D$122)</f>
        <v>4399.1328288595505</v>
      </c>
      <c r="W208" s="26">
        <f>INDEX(Comparison!$AM$3:$AS$33,AA$14,$D$122)</f>
        <v>3757.2475587809995</v>
      </c>
      <c r="X208" s="26">
        <f>INDEX(Comparison!$AM$3:$AS$33,AB$14,$D$122)</f>
        <v>3291.1531992809396</v>
      </c>
      <c r="Y208" s="26">
        <f>INDEX(Comparison!$AM$3:$AS$33,AC$14,$D$122)</f>
        <v>2923.3907186801598</v>
      </c>
      <c r="Z208" s="26">
        <f>INDEX(Comparison!$AM$3:$AS$33,AD$14,$D$122)</f>
        <v>2591.8565821190209</v>
      </c>
      <c r="AA208" s="26">
        <f>INDEX(Comparison!$AM$3:$AS$33,AE$14,$D$122)</f>
        <v>2227.1388397843657</v>
      </c>
      <c r="AB208" s="26">
        <f>INDEX(Comparison!$AM$3:$AS$33,AF$14,$D$122)</f>
        <v>1818.1045605438685</v>
      </c>
      <c r="AC208" s="26">
        <f>INDEX(Comparison!$AM$3:$AS$33,AG$14,$D$122)</f>
        <v>1362.7209266527218</v>
      </c>
      <c r="AD208" s="26">
        <f>INDEX(Comparison!$AM$3:$AS$33,AH$14,$D$122)</f>
        <v>882.60529508909428</v>
      </c>
      <c r="AE208" s="26">
        <f>INDEX(Comparison!$AM$3:$AS$33,AI$14,$D$122)</f>
        <v>513.97783275284667</v>
      </c>
      <c r="AF208" s="26">
        <f>INDEX(Comparison!$AM$3:$AS$33,AJ$14,$D$122)</f>
        <v>287.95166024173568</v>
      </c>
      <c r="AG208" s="26"/>
      <c r="AH208" s="26"/>
    </row>
    <row r="209" spans="1:34" x14ac:dyDescent="0.25">
      <c r="A209" s="70" t="s">
        <v>22</v>
      </c>
      <c r="B209" s="27">
        <f>($C$17+SUM(B210:B240))*$B$51</f>
        <v>7239.0151237987711</v>
      </c>
      <c r="C209" s="27">
        <f t="shared" ref="C209:AF209" si="170">($C$17+SUM(C210:C240))*$B$51</f>
        <v>6664.4139267769287</v>
      </c>
      <c r="D209" s="27">
        <f t="shared" si="170"/>
        <v>6089.4476640555558</v>
      </c>
      <c r="E209" s="27">
        <f t="shared" si="170"/>
        <v>6088.8810506995042</v>
      </c>
      <c r="F209" s="27">
        <f t="shared" si="170"/>
        <v>6088.8810506994951</v>
      </c>
      <c r="G209" s="27">
        <f t="shared" si="170"/>
        <v>6088.8810506993923</v>
      </c>
      <c r="H209" s="27">
        <f t="shared" si="170"/>
        <v>6088.88105069837</v>
      </c>
      <c r="I209" s="27">
        <f t="shared" si="170"/>
        <v>6088.8810506881391</v>
      </c>
      <c r="J209" s="27">
        <f t="shared" si="170"/>
        <v>6088.8810505858446</v>
      </c>
      <c r="K209" s="27">
        <f t="shared" si="170"/>
        <v>6088.8810495628959</v>
      </c>
      <c r="L209" s="27">
        <f t="shared" si="170"/>
        <v>6088.8810393334061</v>
      </c>
      <c r="M209" s="27">
        <f t="shared" si="170"/>
        <v>6088.8809370385206</v>
      </c>
      <c r="N209" s="27">
        <f t="shared" si="170"/>
        <v>6088.8799140906294</v>
      </c>
      <c r="O209" s="27">
        <f t="shared" si="170"/>
        <v>6088.8696847081119</v>
      </c>
      <c r="P209" s="27">
        <f t="shared" si="170"/>
        <v>6088.7674005218842</v>
      </c>
      <c r="Q209" s="27">
        <f t="shared" si="170"/>
        <v>6087.7455219244357</v>
      </c>
      <c r="R209" s="27">
        <f t="shared" si="170"/>
        <v>6077.6224350536395</v>
      </c>
      <c r="S209" s="27">
        <f t="shared" si="170"/>
        <v>5985.3638461895762</v>
      </c>
      <c r="T209" s="27">
        <f t="shared" si="170"/>
        <v>5571.9697303892717</v>
      </c>
      <c r="U209" s="27">
        <f t="shared" si="170"/>
        <v>5309.8961804822266</v>
      </c>
      <c r="V209" s="27">
        <f t="shared" si="170"/>
        <v>5006.3578987252449</v>
      </c>
      <c r="W209" s="27">
        <f t="shared" si="170"/>
        <v>4667.5803057348976</v>
      </c>
      <c r="X209" s="27">
        <f t="shared" si="170"/>
        <v>4220.6596746007508</v>
      </c>
      <c r="Y209" s="27">
        <f t="shared" si="170"/>
        <v>3648.1930018238731</v>
      </c>
      <c r="Z209" s="27">
        <f t="shared" si="170"/>
        <v>2949.816016637742</v>
      </c>
      <c r="AA209" s="27">
        <f t="shared" si="170"/>
        <v>2115.0422978314123</v>
      </c>
      <c r="AB209" s="27">
        <f t="shared" si="170"/>
        <v>1330.4138205650968</v>
      </c>
      <c r="AC209" s="27">
        <f t="shared" si="170"/>
        <v>772.45365260724634</v>
      </c>
      <c r="AD209" s="27">
        <f t="shared" si="170"/>
        <v>431.87801591102868</v>
      </c>
      <c r="AE209" s="27">
        <f t="shared" si="170"/>
        <v>270.98342067664129</v>
      </c>
      <c r="AF209" s="27">
        <f t="shared" si="170"/>
        <v>227.71109150238925</v>
      </c>
      <c r="AG209" s="27"/>
      <c r="AH209" s="27"/>
    </row>
    <row r="210" spans="1:34" x14ac:dyDescent="0.25">
      <c r="B210" s="3">
        <f t="shared" ref="B210:AF210" si="171">$C18*EXP(-B$207/$A18/EXP(-$D$126))</f>
        <v>0.15688675099595994</v>
      </c>
      <c r="C210" s="3">
        <f t="shared" si="171"/>
        <v>7.850691943751692E-2</v>
      </c>
      <c r="D210" s="3">
        <f t="shared" si="171"/>
        <v>7.7290231270247243E-5</v>
      </c>
      <c r="E210" s="3">
        <f t="shared" si="171"/>
        <v>6.6113677107949008E-35</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7.5788306997470078E-2</v>
      </c>
      <c r="C211" s="3">
        <f t="shared" si="172"/>
        <v>7.5788306997470078E-2</v>
      </c>
      <c r="D211" s="3">
        <f t="shared" si="172"/>
        <v>7.5788306997470065E-2</v>
      </c>
      <c r="E211" s="3">
        <f t="shared" si="172"/>
        <v>7.5788306997469926E-2</v>
      </c>
      <c r="F211" s="3">
        <f t="shared" si="172"/>
        <v>7.5788306997468594E-2</v>
      </c>
      <c r="G211" s="3">
        <f t="shared" si="172"/>
        <v>7.5788306997455146E-2</v>
      </c>
      <c r="H211" s="3">
        <f t="shared" si="172"/>
        <v>7.578830699732074E-2</v>
      </c>
      <c r="I211" s="3">
        <f t="shared" si="172"/>
        <v>7.5788306995976662E-2</v>
      </c>
      <c r="J211" s="3">
        <f t="shared" si="172"/>
        <v>7.5788306982535969E-2</v>
      </c>
      <c r="K211" s="3">
        <f t="shared" si="172"/>
        <v>7.5788306848128956E-2</v>
      </c>
      <c r="L211" s="3">
        <f t="shared" si="172"/>
        <v>7.5788305504058809E-2</v>
      </c>
      <c r="M211" s="3">
        <f t="shared" si="172"/>
        <v>7.5788292063358687E-2</v>
      </c>
      <c r="N211" s="3">
        <f t="shared" si="172"/>
        <v>7.5788157656488553E-2</v>
      </c>
      <c r="O211" s="3">
        <f t="shared" si="172"/>
        <v>7.5786813600897257E-2</v>
      </c>
      <c r="P211" s="3">
        <f t="shared" si="172"/>
        <v>7.5773374355893722E-2</v>
      </c>
      <c r="Q211" s="3">
        <f t="shared" si="172"/>
        <v>7.5639112910826214E-2</v>
      </c>
      <c r="R211" s="3">
        <f t="shared" si="172"/>
        <v>7.4309513400672142E-2</v>
      </c>
      <c r="S211" s="3">
        <f t="shared" si="172"/>
        <v>6.2233513918310078E-2</v>
      </c>
      <c r="T211" s="3">
        <f t="shared" si="172"/>
        <v>1.0563878157712337E-2</v>
      </c>
      <c r="U211" s="3">
        <f t="shared" si="172"/>
        <v>2.0980410622195212E-10</v>
      </c>
      <c r="V211" s="3">
        <f t="shared" si="172"/>
        <v>2.0031800544021155E-87</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2.742614598116927E-2</v>
      </c>
      <c r="C212" s="3">
        <f t="shared" si="173"/>
        <v>2.742614598116927E-2</v>
      </c>
      <c r="D212" s="3">
        <f t="shared" si="173"/>
        <v>2.742614598116927E-2</v>
      </c>
      <c r="E212" s="3">
        <f t="shared" si="173"/>
        <v>2.7426145981169263E-2</v>
      </c>
      <c r="F212" s="3">
        <f t="shared" si="173"/>
        <v>2.7426145981169221E-2</v>
      </c>
      <c r="G212" s="3">
        <f t="shared" si="173"/>
        <v>2.7426145981168784E-2</v>
      </c>
      <c r="H212" s="3">
        <f t="shared" si="173"/>
        <v>2.7426145981164395E-2</v>
      </c>
      <c r="I212" s="3">
        <f t="shared" si="173"/>
        <v>2.7426145981120517E-2</v>
      </c>
      <c r="J212" s="3">
        <f t="shared" si="173"/>
        <v>2.7426145980681754E-2</v>
      </c>
      <c r="K212" s="3">
        <f t="shared" si="173"/>
        <v>2.7426145976294114E-2</v>
      </c>
      <c r="L212" s="3">
        <f t="shared" si="173"/>
        <v>2.7426145932417701E-2</v>
      </c>
      <c r="M212" s="3">
        <f t="shared" si="173"/>
        <v>2.7426145493653586E-2</v>
      </c>
      <c r="N212" s="3">
        <f t="shared" si="173"/>
        <v>2.74261411060128E-2</v>
      </c>
      <c r="O212" s="3">
        <f t="shared" si="173"/>
        <v>2.7426097229643554E-2</v>
      </c>
      <c r="P212" s="3">
        <f t="shared" si="173"/>
        <v>2.7425658469811751E-2</v>
      </c>
      <c r="Q212" s="3">
        <f t="shared" si="173"/>
        <v>2.7421271257533037E-2</v>
      </c>
      <c r="R212" s="3">
        <f t="shared" si="173"/>
        <v>2.7377437715838344E-2</v>
      </c>
      <c r="S212" s="3">
        <f t="shared" si="173"/>
        <v>2.694293766835084E-2</v>
      </c>
      <c r="T212" s="3">
        <f t="shared" si="173"/>
        <v>2.2959710839485656E-2</v>
      </c>
      <c r="U212" s="3">
        <f t="shared" si="173"/>
        <v>4.6364020774038476E-3</v>
      </c>
      <c r="V212" s="3">
        <f t="shared" si="173"/>
        <v>5.2279071752060171E-10</v>
      </c>
      <c r="W212" s="3">
        <f t="shared" si="173"/>
        <v>1.7369832414204461E-79</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4.6802795715284964E-2</v>
      </c>
      <c r="C213" s="3">
        <f t="shared" si="174"/>
        <v>4.6802795715284964E-2</v>
      </c>
      <c r="D213" s="3">
        <f t="shared" si="174"/>
        <v>4.6802795715284964E-2</v>
      </c>
      <c r="E213" s="3">
        <f t="shared" si="174"/>
        <v>4.6802795715284964E-2</v>
      </c>
      <c r="F213" s="3">
        <f t="shared" si="174"/>
        <v>4.6802795715284957E-2</v>
      </c>
      <c r="G213" s="3">
        <f t="shared" si="174"/>
        <v>4.6802795715284895E-2</v>
      </c>
      <c r="H213" s="3">
        <f t="shared" si="174"/>
        <v>4.6802795715284215E-2</v>
      </c>
      <c r="I213" s="3">
        <f t="shared" si="174"/>
        <v>4.6802795715277463E-2</v>
      </c>
      <c r="J213" s="3">
        <f t="shared" si="174"/>
        <v>4.6802795715209913E-2</v>
      </c>
      <c r="K213" s="3">
        <f t="shared" si="174"/>
        <v>4.6802795714534481E-2</v>
      </c>
      <c r="L213" s="3">
        <f t="shared" si="174"/>
        <v>4.6802795707780113E-2</v>
      </c>
      <c r="M213" s="3">
        <f t="shared" si="174"/>
        <v>4.6802795640236435E-2</v>
      </c>
      <c r="N213" s="3">
        <f t="shared" si="174"/>
        <v>4.6802794964799652E-2</v>
      </c>
      <c r="O213" s="3">
        <f t="shared" si="174"/>
        <v>4.6802788210432371E-2</v>
      </c>
      <c r="P213" s="3">
        <f t="shared" si="174"/>
        <v>4.6802720666813166E-2</v>
      </c>
      <c r="Q213" s="3">
        <f t="shared" si="174"/>
        <v>4.6802045235982276E-2</v>
      </c>
      <c r="R213" s="3">
        <f t="shared" si="174"/>
        <v>4.6795291463759464E-2</v>
      </c>
      <c r="S213" s="3">
        <f t="shared" si="174"/>
        <v>4.6727807321527433E-2</v>
      </c>
      <c r="T213" s="3">
        <f t="shared" si="174"/>
        <v>4.6058295398958012E-2</v>
      </c>
      <c r="U213" s="3">
        <f t="shared" si="174"/>
        <v>3.9868733954124588E-2</v>
      </c>
      <c r="V213" s="3">
        <f t="shared" si="174"/>
        <v>9.4162565672585349E-3</v>
      </c>
      <c r="W213" s="3">
        <f t="shared" si="174"/>
        <v>5.0855352580726276E-9</v>
      </c>
      <c r="X213" s="3">
        <f t="shared" si="174"/>
        <v>1.0737929111433366E-71</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4.5136552781973364E-2</v>
      </c>
      <c r="C214" s="3">
        <f t="shared" si="175"/>
        <v>4.5136552781973364E-2</v>
      </c>
      <c r="D214" s="3">
        <f t="shared" si="175"/>
        <v>4.5136552781973364E-2</v>
      </c>
      <c r="E214" s="3">
        <f t="shared" si="175"/>
        <v>4.5136552781973364E-2</v>
      </c>
      <c r="F214" s="3">
        <f t="shared" si="175"/>
        <v>4.5136552781973364E-2</v>
      </c>
      <c r="G214" s="3">
        <f t="shared" si="175"/>
        <v>4.5136552781973358E-2</v>
      </c>
      <c r="H214" s="3">
        <f t="shared" si="175"/>
        <v>4.5136552781973302E-2</v>
      </c>
      <c r="I214" s="3">
        <f t="shared" si="175"/>
        <v>4.5136552781972712E-2</v>
      </c>
      <c r="J214" s="3">
        <f t="shared" si="175"/>
        <v>4.5136552781966835E-2</v>
      </c>
      <c r="K214" s="3">
        <f t="shared" si="175"/>
        <v>4.5136552781908076E-2</v>
      </c>
      <c r="L214" s="3">
        <f t="shared" si="175"/>
        <v>4.5136552781320463E-2</v>
      </c>
      <c r="M214" s="3">
        <f t="shared" si="175"/>
        <v>4.5136552775444386E-2</v>
      </c>
      <c r="N214" s="3">
        <f t="shared" si="175"/>
        <v>4.5136552716683563E-2</v>
      </c>
      <c r="O214" s="3">
        <f t="shared" si="175"/>
        <v>4.5136552129075302E-2</v>
      </c>
      <c r="P214" s="3">
        <f t="shared" si="175"/>
        <v>4.5136546252993147E-2</v>
      </c>
      <c r="Q214" s="3">
        <f t="shared" si="175"/>
        <v>4.513648749221371E-2</v>
      </c>
      <c r="R214" s="3">
        <f t="shared" si="175"/>
        <v>4.5135899888626707E-2</v>
      </c>
      <c r="S214" s="3">
        <f t="shared" si="175"/>
        <v>4.5130024273470508E-2</v>
      </c>
      <c r="T214" s="3">
        <f t="shared" si="175"/>
        <v>4.5071310173039003E-2</v>
      </c>
      <c r="U214" s="3">
        <f t="shared" si="175"/>
        <v>4.4488354096803004E-2</v>
      </c>
      <c r="V214" s="3">
        <f t="shared" si="175"/>
        <v>3.9057810979922454E-2</v>
      </c>
      <c r="W214" s="3">
        <f t="shared" si="175"/>
        <v>1.0624867061109442E-2</v>
      </c>
      <c r="X214" s="3">
        <f t="shared" si="175"/>
        <v>2.3576512311052862E-8</v>
      </c>
      <c r="Y214" s="3">
        <f t="shared" si="175"/>
        <v>6.8240171882721452E-65</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6.7281406852932088E-2</v>
      </c>
      <c r="C215" s="3">
        <f t="shared" si="176"/>
        <v>6.7281406852932088E-2</v>
      </c>
      <c r="D215" s="3">
        <f t="shared" si="176"/>
        <v>6.7281406852932088E-2</v>
      </c>
      <c r="E215" s="3">
        <f t="shared" si="176"/>
        <v>6.7281406852932088E-2</v>
      </c>
      <c r="F215" s="3">
        <f t="shared" si="176"/>
        <v>6.7281406852932088E-2</v>
      </c>
      <c r="G215" s="3">
        <f t="shared" si="176"/>
        <v>6.7281406852932088E-2</v>
      </c>
      <c r="H215" s="3">
        <f t="shared" si="176"/>
        <v>6.7281406852932074E-2</v>
      </c>
      <c r="I215" s="3">
        <f t="shared" si="176"/>
        <v>6.7281406852932005E-2</v>
      </c>
      <c r="J215" s="3">
        <f t="shared" si="176"/>
        <v>6.72814068529312E-2</v>
      </c>
      <c r="K215" s="3">
        <f t="shared" si="176"/>
        <v>6.7281406852923317E-2</v>
      </c>
      <c r="L215" s="3">
        <f t="shared" si="176"/>
        <v>6.7281406852844297E-2</v>
      </c>
      <c r="M215" s="3">
        <f t="shared" si="176"/>
        <v>6.7281406852054165E-2</v>
      </c>
      <c r="N215" s="3">
        <f t="shared" si="176"/>
        <v>6.7281406844152805E-2</v>
      </c>
      <c r="O215" s="3">
        <f t="shared" si="176"/>
        <v>6.7281406765139343E-2</v>
      </c>
      <c r="P215" s="3">
        <f t="shared" si="176"/>
        <v>6.7281405975004593E-2</v>
      </c>
      <c r="Q215" s="3">
        <f t="shared" si="176"/>
        <v>6.7281398073657697E-2</v>
      </c>
      <c r="R215" s="3">
        <f t="shared" si="176"/>
        <v>6.7281319060239722E-2</v>
      </c>
      <c r="S215" s="3">
        <f t="shared" si="176"/>
        <v>6.7280528931163402E-2</v>
      </c>
      <c r="T215" s="3">
        <f t="shared" si="176"/>
        <v>6.7272628150727848E-2</v>
      </c>
      <c r="U215" s="3">
        <f t="shared" si="176"/>
        <v>6.7193671356955434E-2</v>
      </c>
      <c r="V215" s="3">
        <f t="shared" si="176"/>
        <v>6.6409182381989659E-2</v>
      </c>
      <c r="W215" s="3">
        <f t="shared" si="176"/>
        <v>5.9050796155627867E-2</v>
      </c>
      <c r="X215" s="3">
        <f t="shared" si="176"/>
        <v>1.8247442260889122E-2</v>
      </c>
      <c r="Y215" s="3">
        <f t="shared" si="176"/>
        <v>1.4486531176623099E-7</v>
      </c>
      <c r="Z215" s="3">
        <f t="shared" si="176"/>
        <v>1.4407495023801828E-58</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8.4823708436980116E-2</v>
      </c>
      <c r="C216" s="3">
        <f t="shared" si="177"/>
        <v>8.4823708436980116E-2</v>
      </c>
      <c r="D216" s="3">
        <f t="shared" si="177"/>
        <v>8.4823708436980116E-2</v>
      </c>
      <c r="E216" s="3">
        <f t="shared" si="177"/>
        <v>8.4823708436980116E-2</v>
      </c>
      <c r="F216" s="3">
        <f t="shared" si="177"/>
        <v>8.4823708436980116E-2</v>
      </c>
      <c r="G216" s="3">
        <f t="shared" si="177"/>
        <v>8.4823708436980116E-2</v>
      </c>
      <c r="H216" s="3">
        <f t="shared" si="177"/>
        <v>8.4823708436980116E-2</v>
      </c>
      <c r="I216" s="3">
        <f t="shared" si="177"/>
        <v>8.4823708436980103E-2</v>
      </c>
      <c r="J216" s="3">
        <f t="shared" si="177"/>
        <v>8.4823708436980019E-2</v>
      </c>
      <c r="K216" s="3">
        <f t="shared" si="177"/>
        <v>8.4823708436979117E-2</v>
      </c>
      <c r="L216" s="3">
        <f t="shared" si="177"/>
        <v>8.4823708436970138E-2</v>
      </c>
      <c r="M216" s="3">
        <f t="shared" si="177"/>
        <v>8.482370843688028E-2</v>
      </c>
      <c r="N216" s="3">
        <f t="shared" si="177"/>
        <v>8.4823708435981665E-2</v>
      </c>
      <c r="O216" s="3">
        <f t="shared" si="177"/>
        <v>8.4823708426995589E-2</v>
      </c>
      <c r="P216" s="3">
        <f t="shared" si="177"/>
        <v>8.4823708337134859E-2</v>
      </c>
      <c r="Q216" s="3">
        <f t="shared" si="177"/>
        <v>8.482370743852756E-2</v>
      </c>
      <c r="R216" s="3">
        <f t="shared" si="177"/>
        <v>8.4823698452455132E-2</v>
      </c>
      <c r="S216" s="3">
        <f t="shared" si="177"/>
        <v>8.4823608591783117E-2</v>
      </c>
      <c r="T216" s="3">
        <f t="shared" si="177"/>
        <v>8.4822709990298784E-2</v>
      </c>
      <c r="U216" s="3">
        <f t="shared" si="177"/>
        <v>8.4813724499015419E-2</v>
      </c>
      <c r="V216" s="3">
        <f t="shared" si="177"/>
        <v>8.4723921921659118E-2</v>
      </c>
      <c r="W216" s="3">
        <f t="shared" si="177"/>
        <v>8.3831109239823218E-2</v>
      </c>
      <c r="X216" s="3">
        <f t="shared" si="177"/>
        <v>7.5404423970970122E-2</v>
      </c>
      <c r="Y216" s="3">
        <f t="shared" si="177"/>
        <v>2.6140444361717759E-2</v>
      </c>
      <c r="Z216" s="3">
        <f t="shared" si="177"/>
        <v>6.553515913853578E-7</v>
      </c>
      <c r="AA216" s="3">
        <f t="shared" si="177"/>
        <v>6.4281837577360065E-53</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0.10369484660409525</v>
      </c>
      <c r="C217" s="3">
        <f t="shared" si="178"/>
        <v>0.10369484660409525</v>
      </c>
      <c r="D217" s="3">
        <f t="shared" si="178"/>
        <v>0.10369484660409525</v>
      </c>
      <c r="E217" s="3">
        <f t="shared" si="178"/>
        <v>0.10369484660409525</v>
      </c>
      <c r="F217" s="3">
        <f t="shared" si="178"/>
        <v>0.10369484660409525</v>
      </c>
      <c r="G217" s="3">
        <f t="shared" si="178"/>
        <v>0.10369484660409525</v>
      </c>
      <c r="H217" s="3">
        <f t="shared" si="178"/>
        <v>0.10369484660409525</v>
      </c>
      <c r="I217" s="3">
        <f t="shared" si="178"/>
        <v>0.10369484660409525</v>
      </c>
      <c r="J217" s="3">
        <f t="shared" si="178"/>
        <v>0.10369484660409524</v>
      </c>
      <c r="K217" s="3">
        <f t="shared" si="178"/>
        <v>0.10369484660409514</v>
      </c>
      <c r="L217" s="3">
        <f t="shared" si="178"/>
        <v>0.10369484660409414</v>
      </c>
      <c r="M217" s="3">
        <f t="shared" si="178"/>
        <v>0.10369484660408425</v>
      </c>
      <c r="N217" s="3">
        <f t="shared" si="178"/>
        <v>0.10369484660398515</v>
      </c>
      <c r="O217" s="3">
        <f t="shared" si="178"/>
        <v>0.10369484660299418</v>
      </c>
      <c r="P217" s="3">
        <f t="shared" si="178"/>
        <v>0.10369484659308459</v>
      </c>
      <c r="Q217" s="3">
        <f t="shared" si="178"/>
        <v>0.1036948464939885</v>
      </c>
      <c r="R217" s="3">
        <f t="shared" si="178"/>
        <v>0.10369484550302777</v>
      </c>
      <c r="S217" s="3">
        <f t="shared" si="178"/>
        <v>0.10369483559342087</v>
      </c>
      <c r="T217" s="3">
        <f t="shared" si="178"/>
        <v>0.10369473649740402</v>
      </c>
      <c r="U217" s="3">
        <f t="shared" si="178"/>
        <v>0.10369374554244407</v>
      </c>
      <c r="V217" s="3">
        <f t="shared" si="178"/>
        <v>0.10368383651368104</v>
      </c>
      <c r="W217" s="3">
        <f t="shared" si="178"/>
        <v>0.10358479829128268</v>
      </c>
      <c r="X217" s="3">
        <f t="shared" si="178"/>
        <v>0.10259960422766903</v>
      </c>
      <c r="Y217" s="3">
        <f t="shared" si="178"/>
        <v>9.3248594320880507E-2</v>
      </c>
      <c r="Z217" s="3">
        <f t="shared" si="178"/>
        <v>3.5859842358686653E-2</v>
      </c>
      <c r="AA217" s="3">
        <f t="shared" si="178"/>
        <v>2.5367005272126909E-6</v>
      </c>
      <c r="AB217" s="3">
        <f t="shared" si="178"/>
        <v>7.9593468430765724E-48</v>
      </c>
      <c r="AC217" s="3">
        <f t="shared" si="178"/>
        <v>0</v>
      </c>
      <c r="AD217" s="3">
        <f t="shared" si="178"/>
        <v>0</v>
      </c>
      <c r="AE217" s="3">
        <f t="shared" si="178"/>
        <v>0</v>
      </c>
      <c r="AF217" s="3">
        <f t="shared" si="178"/>
        <v>0</v>
      </c>
      <c r="AG217" s="3"/>
      <c r="AH217" s="3"/>
    </row>
    <row r="218" spans="1:34" x14ac:dyDescent="0.25">
      <c r="B218" s="3">
        <f t="shared" ref="B218:AF218" si="179">$C26*EXP(-B$207/$A26/EXP(-$D$126))</f>
        <v>0.13305313379533851</v>
      </c>
      <c r="C218" s="3">
        <f t="shared" si="179"/>
        <v>0.13305313379533851</v>
      </c>
      <c r="D218" s="3">
        <f t="shared" si="179"/>
        <v>0.13305313379533851</v>
      </c>
      <c r="E218" s="3">
        <f t="shared" si="179"/>
        <v>0.13305313379533851</v>
      </c>
      <c r="F218" s="3">
        <f t="shared" si="179"/>
        <v>0.13305313379533851</v>
      </c>
      <c r="G218" s="3">
        <f t="shared" si="179"/>
        <v>0.13305313379533851</v>
      </c>
      <c r="H218" s="3">
        <f t="shared" si="179"/>
        <v>0.13305313379533851</v>
      </c>
      <c r="I218" s="3">
        <f t="shared" si="179"/>
        <v>0.13305313379533851</v>
      </c>
      <c r="J218" s="3">
        <f t="shared" si="179"/>
        <v>0.13305313379533851</v>
      </c>
      <c r="K218" s="3">
        <f t="shared" si="179"/>
        <v>0.13305313379533848</v>
      </c>
      <c r="L218" s="3">
        <f t="shared" si="179"/>
        <v>0.13305313379533837</v>
      </c>
      <c r="M218" s="3">
        <f t="shared" si="179"/>
        <v>0.13305313379533723</v>
      </c>
      <c r="N218" s="3">
        <f t="shared" si="179"/>
        <v>0.13305313379532577</v>
      </c>
      <c r="O218" s="3">
        <f t="shared" si="179"/>
        <v>0.13305313379521105</v>
      </c>
      <c r="P218" s="3">
        <f t="shared" si="179"/>
        <v>0.13305313379406403</v>
      </c>
      <c r="Q218" s="3">
        <f t="shared" si="179"/>
        <v>0.13305313378259384</v>
      </c>
      <c r="R218" s="3">
        <f t="shared" si="179"/>
        <v>0.13305313366789184</v>
      </c>
      <c r="S218" s="3">
        <f t="shared" si="179"/>
        <v>0.13305313252087189</v>
      </c>
      <c r="T218" s="3">
        <f t="shared" si="179"/>
        <v>0.13305312105067282</v>
      </c>
      <c r="U218" s="3">
        <f t="shared" si="179"/>
        <v>0.13305300634873674</v>
      </c>
      <c r="V218" s="3">
        <f t="shared" si="179"/>
        <v>0.13305185933481409</v>
      </c>
      <c r="W218" s="3">
        <f t="shared" si="179"/>
        <v>0.13304038973941909</v>
      </c>
      <c r="X218" s="3">
        <f t="shared" si="179"/>
        <v>0.13292574815124944</v>
      </c>
      <c r="Y218" s="3">
        <f t="shared" si="179"/>
        <v>0.13178475154656866</v>
      </c>
      <c r="Z218" s="3">
        <f t="shared" si="179"/>
        <v>0.1208998188152831</v>
      </c>
      <c r="AA218" s="3">
        <f t="shared" si="179"/>
        <v>5.1054088722157859E-2</v>
      </c>
      <c r="AB218" s="3">
        <f t="shared" si="179"/>
        <v>9.2061769103152576E-6</v>
      </c>
      <c r="AC218" s="3">
        <f t="shared" si="179"/>
        <v>3.3463178583633878E-43</v>
      </c>
      <c r="AD218" s="3">
        <f t="shared" si="179"/>
        <v>0</v>
      </c>
      <c r="AE218" s="3">
        <f t="shared" si="179"/>
        <v>0</v>
      </c>
      <c r="AF218" s="3">
        <f t="shared" si="179"/>
        <v>0</v>
      </c>
      <c r="AG218" s="3"/>
      <c r="AH218" s="3"/>
    </row>
    <row r="219" spans="1:34" x14ac:dyDescent="0.25">
      <c r="B219" s="3">
        <f t="shared" ref="B219:AF219" si="180">$C27*EXP(-B$207/$A27/EXP(-$D$126))</f>
        <v>0.10368180212181953</v>
      </c>
      <c r="C219" s="3">
        <f t="shared" si="180"/>
        <v>0.10368180212181953</v>
      </c>
      <c r="D219" s="3">
        <f t="shared" si="180"/>
        <v>0.10368180212181953</v>
      </c>
      <c r="E219" s="3">
        <f t="shared" si="180"/>
        <v>0.10368180212181953</v>
      </c>
      <c r="F219" s="3">
        <f t="shared" si="180"/>
        <v>0.10368180212181953</v>
      </c>
      <c r="G219" s="3">
        <f t="shared" si="180"/>
        <v>0.10368180212181953</v>
      </c>
      <c r="H219" s="3">
        <f t="shared" si="180"/>
        <v>0.10368180212181953</v>
      </c>
      <c r="I219" s="3">
        <f t="shared" si="180"/>
        <v>0.10368180212181953</v>
      </c>
      <c r="J219" s="3">
        <f t="shared" si="180"/>
        <v>0.10368180212181953</v>
      </c>
      <c r="K219" s="3">
        <f t="shared" si="180"/>
        <v>0.10368180212181953</v>
      </c>
      <c r="L219" s="3">
        <f t="shared" si="180"/>
        <v>0.10368180212181952</v>
      </c>
      <c r="M219" s="3">
        <f t="shared" si="180"/>
        <v>0.10368180212181943</v>
      </c>
      <c r="N219" s="3">
        <f t="shared" si="180"/>
        <v>0.10368180212181863</v>
      </c>
      <c r="O219" s="3">
        <f t="shared" si="180"/>
        <v>0.10368180212181058</v>
      </c>
      <c r="P219" s="3">
        <f t="shared" si="180"/>
        <v>0.10368180212172994</v>
      </c>
      <c r="Q219" s="3">
        <f t="shared" si="180"/>
        <v>0.10368180212092364</v>
      </c>
      <c r="R219" s="3">
        <f t="shared" si="180"/>
        <v>0.10368180211286067</v>
      </c>
      <c r="S219" s="3">
        <f t="shared" si="180"/>
        <v>0.10368180203223099</v>
      </c>
      <c r="T219" s="3">
        <f t="shared" si="180"/>
        <v>0.10368180122593407</v>
      </c>
      <c r="U219" s="3">
        <f t="shared" si="180"/>
        <v>0.10368179316296532</v>
      </c>
      <c r="V219" s="3">
        <f t="shared" si="180"/>
        <v>0.10368171253331224</v>
      </c>
      <c r="W219" s="3">
        <f t="shared" si="180"/>
        <v>0.10368090624023002</v>
      </c>
      <c r="X219" s="3">
        <f t="shared" si="180"/>
        <v>0.10367284365426274</v>
      </c>
      <c r="Y219" s="3">
        <f t="shared" si="180"/>
        <v>0.10359225227014827</v>
      </c>
      <c r="Z219" s="3">
        <f t="shared" si="180"/>
        <v>0.10278977608558353</v>
      </c>
      <c r="AA219" s="3">
        <f t="shared" si="180"/>
        <v>9.5099090918176518E-2</v>
      </c>
      <c r="AB219" s="3">
        <f t="shared" si="180"/>
        <v>4.3695913126459054E-2</v>
      </c>
      <c r="AC219" s="3">
        <f t="shared" si="180"/>
        <v>1.8326745922274184E-5</v>
      </c>
      <c r="AD219" s="3">
        <f t="shared" si="180"/>
        <v>3.0869582419270272E-39</v>
      </c>
      <c r="AE219" s="3">
        <f t="shared" si="180"/>
        <v>0</v>
      </c>
      <c r="AF219" s="3">
        <f t="shared" si="180"/>
        <v>0</v>
      </c>
      <c r="AG219" s="3"/>
      <c r="AH219" s="3"/>
    </row>
    <row r="220" spans="1:34" x14ac:dyDescent="0.25">
      <c r="B220" s="3">
        <f t="shared" ref="B220:AF220" si="181">$C28*EXP(-B$207/$A28/EXP(-$D$126))</f>
        <v>6.4516912228113732E-2</v>
      </c>
      <c r="C220" s="3">
        <f t="shared" si="181"/>
        <v>6.4516912228113732E-2</v>
      </c>
      <c r="D220" s="3">
        <f t="shared" si="181"/>
        <v>6.4516912228113732E-2</v>
      </c>
      <c r="E220" s="3">
        <f t="shared" si="181"/>
        <v>6.4516912228113732E-2</v>
      </c>
      <c r="F220" s="3">
        <f t="shared" si="181"/>
        <v>6.4516912228113732E-2</v>
      </c>
      <c r="G220" s="3">
        <f t="shared" si="181"/>
        <v>6.4516912228113732E-2</v>
      </c>
      <c r="H220" s="3">
        <f t="shared" si="181"/>
        <v>6.4516912228113732E-2</v>
      </c>
      <c r="I220" s="3">
        <f t="shared" si="181"/>
        <v>6.4516912228113732E-2</v>
      </c>
      <c r="J220" s="3">
        <f t="shared" si="181"/>
        <v>6.4516912228113732E-2</v>
      </c>
      <c r="K220" s="3">
        <f t="shared" si="181"/>
        <v>6.4516912228113732E-2</v>
      </c>
      <c r="L220" s="3">
        <f t="shared" si="181"/>
        <v>6.4516912228113732E-2</v>
      </c>
      <c r="M220" s="3">
        <f t="shared" si="181"/>
        <v>6.4516912228113718E-2</v>
      </c>
      <c r="N220" s="3">
        <f t="shared" si="181"/>
        <v>6.4516912228113676E-2</v>
      </c>
      <c r="O220" s="3">
        <f t="shared" si="181"/>
        <v>6.4516912228113232E-2</v>
      </c>
      <c r="P220" s="3">
        <f t="shared" si="181"/>
        <v>6.4516912228108708E-2</v>
      </c>
      <c r="Q220" s="3">
        <f t="shared" si="181"/>
        <v>6.4516912228063439E-2</v>
      </c>
      <c r="R220" s="3">
        <f t="shared" si="181"/>
        <v>6.4516912227610843E-2</v>
      </c>
      <c r="S220" s="3">
        <f t="shared" si="181"/>
        <v>6.4516912223084866E-2</v>
      </c>
      <c r="T220" s="3">
        <f t="shared" si="181"/>
        <v>6.451691217782507E-2</v>
      </c>
      <c r="U220" s="3">
        <f t="shared" si="181"/>
        <v>6.4516911725227069E-2</v>
      </c>
      <c r="V220" s="3">
        <f t="shared" si="181"/>
        <v>6.4516907199247325E-2</v>
      </c>
      <c r="W220" s="3">
        <f t="shared" si="181"/>
        <v>6.4516861939467263E-2</v>
      </c>
      <c r="X220" s="3">
        <f t="shared" si="181"/>
        <v>6.4516409343413003E-2</v>
      </c>
      <c r="Y220" s="3">
        <f t="shared" si="181"/>
        <v>6.4511883557493585E-2</v>
      </c>
      <c r="Z220" s="3">
        <f t="shared" si="181"/>
        <v>6.4466643156083511E-2</v>
      </c>
      <c r="AA220" s="3">
        <f t="shared" si="181"/>
        <v>6.4015980397521988E-2</v>
      </c>
      <c r="AB220" s="3">
        <f t="shared" si="181"/>
        <v>5.9679042290498453E-2</v>
      </c>
      <c r="AC220" s="3">
        <f t="shared" si="181"/>
        <v>2.9590771316959093E-2</v>
      </c>
      <c r="AD220" s="3">
        <f t="shared" si="181"/>
        <v>2.6576677810420886E-5</v>
      </c>
      <c r="AE220" s="3">
        <f t="shared" si="181"/>
        <v>9.0770504527202342E-36</v>
      </c>
      <c r="AF220" s="3">
        <f t="shared" si="181"/>
        <v>0</v>
      </c>
      <c r="AG220" s="3"/>
      <c r="AH220" s="3"/>
    </row>
    <row r="221" spans="1:34" x14ac:dyDescent="0.25">
      <c r="B221" s="3">
        <f t="shared" ref="B221:AF221" si="182">$C29*EXP(-B$207/$A29/EXP(-$D$126))</f>
        <v>3.7592139756949243E-2</v>
      </c>
      <c r="C221" s="3">
        <f t="shared" si="182"/>
        <v>3.7592139756949243E-2</v>
      </c>
      <c r="D221" s="3">
        <f t="shared" si="182"/>
        <v>3.7592139756949243E-2</v>
      </c>
      <c r="E221" s="3">
        <f t="shared" si="182"/>
        <v>3.7592139756949243E-2</v>
      </c>
      <c r="F221" s="3">
        <f t="shared" si="182"/>
        <v>3.7592139756949243E-2</v>
      </c>
      <c r="G221" s="3">
        <f t="shared" si="182"/>
        <v>3.7592139756949243E-2</v>
      </c>
      <c r="H221" s="3">
        <f t="shared" si="182"/>
        <v>3.7592139756949243E-2</v>
      </c>
      <c r="I221" s="3">
        <f t="shared" si="182"/>
        <v>3.7592139756949243E-2</v>
      </c>
      <c r="J221" s="3">
        <f t="shared" si="182"/>
        <v>3.7592139756949243E-2</v>
      </c>
      <c r="K221" s="3">
        <f t="shared" si="182"/>
        <v>3.7592139756949243E-2</v>
      </c>
      <c r="L221" s="3">
        <f t="shared" si="182"/>
        <v>3.7592139756949243E-2</v>
      </c>
      <c r="M221" s="3">
        <f t="shared" si="182"/>
        <v>3.7592139756949243E-2</v>
      </c>
      <c r="N221" s="3">
        <f t="shared" si="182"/>
        <v>3.7592139756949236E-2</v>
      </c>
      <c r="O221" s="3">
        <f t="shared" si="182"/>
        <v>3.7592139756949215E-2</v>
      </c>
      <c r="P221" s="3">
        <f t="shared" si="182"/>
        <v>3.7592139756948979E-2</v>
      </c>
      <c r="Q221" s="3">
        <f t="shared" si="182"/>
        <v>3.7592139756946599E-2</v>
      </c>
      <c r="R221" s="3">
        <f t="shared" si="182"/>
        <v>3.7592139756922813E-2</v>
      </c>
      <c r="S221" s="3">
        <f t="shared" si="182"/>
        <v>3.759213975668492E-2</v>
      </c>
      <c r="T221" s="3">
        <f t="shared" si="182"/>
        <v>3.7592139754305982E-2</v>
      </c>
      <c r="U221" s="3">
        <f t="shared" si="182"/>
        <v>3.759213973051663E-2</v>
      </c>
      <c r="V221" s="3">
        <f t="shared" si="182"/>
        <v>3.7592139492623064E-2</v>
      </c>
      <c r="W221" s="3">
        <f t="shared" si="182"/>
        <v>3.7592137113687536E-2</v>
      </c>
      <c r="X221" s="3">
        <f t="shared" si="182"/>
        <v>3.7592113324340544E-2</v>
      </c>
      <c r="Y221" s="3">
        <f t="shared" si="182"/>
        <v>3.759187543169866E-2</v>
      </c>
      <c r="Z221" s="3">
        <f t="shared" si="182"/>
        <v>3.7589496588077732E-2</v>
      </c>
      <c r="AA221" s="3">
        <f t="shared" si="182"/>
        <v>3.7565716429727704E-2</v>
      </c>
      <c r="AB221" s="3">
        <f t="shared" si="182"/>
        <v>3.7328740697200796E-2</v>
      </c>
      <c r="AC221" s="3">
        <f t="shared" si="182"/>
        <v>3.5039667066011741E-2</v>
      </c>
      <c r="AD221" s="3">
        <f t="shared" si="182"/>
        <v>1.8609139464576308E-2</v>
      </c>
      <c r="AE221" s="3">
        <f t="shared" si="182"/>
        <v>3.3219224324572469E-5</v>
      </c>
      <c r="AF221" s="3">
        <f t="shared" si="182"/>
        <v>1.0914942553243692E-32</v>
      </c>
      <c r="AG221" s="3"/>
      <c r="AH221" s="3"/>
    </row>
    <row r="222" spans="1:34" x14ac:dyDescent="0.25">
      <c r="B222" s="3">
        <f t="shared" ref="B222:AF222" si="183">$C30*EXP(-B$207/$A30/EXP(-$D$126))</f>
        <v>7.6036322594280207E-3</v>
      </c>
      <c r="C222" s="3">
        <f t="shared" si="183"/>
        <v>7.6036322594280207E-3</v>
      </c>
      <c r="D222" s="3">
        <f t="shared" si="183"/>
        <v>7.6036322594280207E-3</v>
      </c>
      <c r="E222" s="3">
        <f t="shared" si="183"/>
        <v>7.6036322594280207E-3</v>
      </c>
      <c r="F222" s="3">
        <f t="shared" si="183"/>
        <v>7.6036322594280207E-3</v>
      </c>
      <c r="G222" s="3">
        <f t="shared" si="183"/>
        <v>7.6036322594280207E-3</v>
      </c>
      <c r="H222" s="3">
        <f t="shared" si="183"/>
        <v>7.6036322594280207E-3</v>
      </c>
      <c r="I222" s="3">
        <f t="shared" si="183"/>
        <v>7.6036322594280207E-3</v>
      </c>
      <c r="J222" s="3">
        <f t="shared" si="183"/>
        <v>7.6036322594280207E-3</v>
      </c>
      <c r="K222" s="3">
        <f t="shared" si="183"/>
        <v>7.6036322594280207E-3</v>
      </c>
      <c r="L222" s="3">
        <f t="shared" si="183"/>
        <v>7.6036322594280207E-3</v>
      </c>
      <c r="M222" s="3">
        <f t="shared" si="183"/>
        <v>7.6036322594280207E-3</v>
      </c>
      <c r="N222" s="3">
        <f t="shared" si="183"/>
        <v>7.6036322594280207E-3</v>
      </c>
      <c r="O222" s="3">
        <f t="shared" si="183"/>
        <v>7.6036322594280198E-3</v>
      </c>
      <c r="P222" s="3">
        <f t="shared" si="183"/>
        <v>7.6036322594280155E-3</v>
      </c>
      <c r="Q222" s="3">
        <f t="shared" si="183"/>
        <v>7.603632259427973E-3</v>
      </c>
      <c r="R222" s="3">
        <f t="shared" si="183"/>
        <v>7.6036322594275384E-3</v>
      </c>
      <c r="S222" s="3">
        <f t="shared" si="183"/>
        <v>7.6036322594231981E-3</v>
      </c>
      <c r="T222" s="3">
        <f t="shared" si="183"/>
        <v>7.603632259379791E-3</v>
      </c>
      <c r="U222" s="3">
        <f t="shared" si="183"/>
        <v>7.6036322589457276E-3</v>
      </c>
      <c r="V222" s="3">
        <f t="shared" si="183"/>
        <v>7.6036322546050921E-3</v>
      </c>
      <c r="W222" s="3">
        <f t="shared" si="183"/>
        <v>7.6036322111987346E-3</v>
      </c>
      <c r="X222" s="3">
        <f t="shared" si="183"/>
        <v>7.6036317771351804E-3</v>
      </c>
      <c r="Y222" s="3">
        <f t="shared" si="183"/>
        <v>7.6036274365009968E-3</v>
      </c>
      <c r="Z222" s="3">
        <f t="shared" si="183"/>
        <v>7.603584030295445E-3</v>
      </c>
      <c r="AA222" s="3">
        <f t="shared" si="183"/>
        <v>7.6031499818681085E-3</v>
      </c>
      <c r="AB222" s="3">
        <f t="shared" si="183"/>
        <v>7.5988108601255915E-3</v>
      </c>
      <c r="AC222" s="3">
        <f t="shared" si="183"/>
        <v>7.5555556084303064E-3</v>
      </c>
      <c r="AD222" s="3">
        <f t="shared" si="183"/>
        <v>7.1363168109480953E-3</v>
      </c>
      <c r="AE222" s="3">
        <f t="shared" si="183"/>
        <v>4.0322855392090767E-3</v>
      </c>
      <c r="AF222" s="3">
        <f t="shared" si="183"/>
        <v>1.3375894729726906E-5</v>
      </c>
      <c r="AG222" s="3"/>
      <c r="AH222" s="3"/>
    </row>
    <row r="223" spans="1:34" x14ac:dyDescent="0.25">
      <c r="B223" s="3">
        <f t="shared" ref="B223:AF223" si="184">$C31*EXP(-B$207/$A31/EXP(-$D$126))</f>
        <v>4.6601949201853935E-3</v>
      </c>
      <c r="C223" s="3">
        <f t="shared" si="184"/>
        <v>4.6601949201853935E-3</v>
      </c>
      <c r="D223" s="3">
        <f t="shared" si="184"/>
        <v>4.6601949201853935E-3</v>
      </c>
      <c r="E223" s="3">
        <f t="shared" si="184"/>
        <v>4.6601949201853935E-3</v>
      </c>
      <c r="F223" s="3">
        <f t="shared" si="184"/>
        <v>4.6601949201853935E-3</v>
      </c>
      <c r="G223" s="3">
        <f t="shared" si="184"/>
        <v>4.6601949201853935E-3</v>
      </c>
      <c r="H223" s="3">
        <f t="shared" si="184"/>
        <v>4.6601949201853935E-3</v>
      </c>
      <c r="I223" s="3">
        <f t="shared" si="184"/>
        <v>4.6601949201853935E-3</v>
      </c>
      <c r="J223" s="3">
        <f t="shared" si="184"/>
        <v>4.6601949201853935E-3</v>
      </c>
      <c r="K223" s="3">
        <f t="shared" si="184"/>
        <v>4.6601949201853935E-3</v>
      </c>
      <c r="L223" s="3">
        <f t="shared" si="184"/>
        <v>4.6601949201853935E-3</v>
      </c>
      <c r="M223" s="3">
        <f t="shared" si="184"/>
        <v>4.6601949201853935E-3</v>
      </c>
      <c r="N223" s="3">
        <f t="shared" si="184"/>
        <v>4.6601949201853935E-3</v>
      </c>
      <c r="O223" s="3">
        <f t="shared" si="184"/>
        <v>4.6601949201853935E-3</v>
      </c>
      <c r="P223" s="3">
        <f t="shared" si="184"/>
        <v>4.6601949201853926E-3</v>
      </c>
      <c r="Q223" s="3">
        <f t="shared" si="184"/>
        <v>4.6601949201853909E-3</v>
      </c>
      <c r="R223" s="3">
        <f t="shared" si="184"/>
        <v>4.6601949201853666E-3</v>
      </c>
      <c r="S223" s="3">
        <f t="shared" si="184"/>
        <v>4.6601949201851272E-3</v>
      </c>
      <c r="T223" s="3">
        <f t="shared" si="184"/>
        <v>4.6601949201827272E-3</v>
      </c>
      <c r="U223" s="3">
        <f t="shared" si="184"/>
        <v>4.6601949201587282E-3</v>
      </c>
      <c r="V223" s="3">
        <f t="shared" si="184"/>
        <v>4.6601949199187439E-3</v>
      </c>
      <c r="W223" s="3">
        <f t="shared" si="184"/>
        <v>4.6601949175189014E-3</v>
      </c>
      <c r="X223" s="3">
        <f t="shared" si="184"/>
        <v>4.6601948935204663E-3</v>
      </c>
      <c r="Y223" s="3">
        <f t="shared" si="184"/>
        <v>4.6601946535361326E-3</v>
      </c>
      <c r="Z223" s="3">
        <f t="shared" si="184"/>
        <v>4.6601922536934695E-3</v>
      </c>
      <c r="AA223" s="3">
        <f t="shared" si="184"/>
        <v>4.6601682553348159E-3</v>
      </c>
      <c r="AB223" s="3">
        <f t="shared" si="184"/>
        <v>4.6599282785452422E-3</v>
      </c>
      <c r="AC223" s="3">
        <f t="shared" si="184"/>
        <v>4.6575291902168168E-3</v>
      </c>
      <c r="AD223" s="3">
        <f t="shared" si="184"/>
        <v>4.6336061343587075E-3</v>
      </c>
      <c r="AE223" s="3">
        <f t="shared" si="184"/>
        <v>4.4010308425663364E-3</v>
      </c>
      <c r="AF223" s="3">
        <f t="shared" si="184"/>
        <v>2.6297071184951185E-3</v>
      </c>
      <c r="AG223" s="3"/>
      <c r="AH223" s="3"/>
    </row>
    <row r="224" spans="1:34" x14ac:dyDescent="0.25">
      <c r="B224" s="3">
        <f t="shared" ref="B224:AF224" si="185">$C32*EXP(-B$207/$A32/EXP(-$D$126))</f>
        <v>1.548728015482176E-3</v>
      </c>
      <c r="C224" s="3">
        <f t="shared" si="185"/>
        <v>1.548728015482176E-3</v>
      </c>
      <c r="D224" s="3">
        <f t="shared" si="185"/>
        <v>1.548728015482176E-3</v>
      </c>
      <c r="E224" s="3">
        <f t="shared" si="185"/>
        <v>1.548728015482176E-3</v>
      </c>
      <c r="F224" s="3">
        <f t="shared" si="185"/>
        <v>1.548728015482176E-3</v>
      </c>
      <c r="G224" s="3">
        <f t="shared" si="185"/>
        <v>1.548728015482176E-3</v>
      </c>
      <c r="H224" s="3">
        <f t="shared" si="185"/>
        <v>1.548728015482176E-3</v>
      </c>
      <c r="I224" s="3">
        <f t="shared" si="185"/>
        <v>1.548728015482176E-3</v>
      </c>
      <c r="J224" s="3">
        <f t="shared" si="185"/>
        <v>1.548728015482176E-3</v>
      </c>
      <c r="K224" s="3">
        <f t="shared" si="185"/>
        <v>1.548728015482176E-3</v>
      </c>
      <c r="L224" s="3">
        <f t="shared" si="185"/>
        <v>1.548728015482176E-3</v>
      </c>
      <c r="M224" s="3">
        <f t="shared" si="185"/>
        <v>1.548728015482176E-3</v>
      </c>
      <c r="N224" s="3">
        <f t="shared" si="185"/>
        <v>1.548728015482176E-3</v>
      </c>
      <c r="O224" s="3">
        <f t="shared" si="185"/>
        <v>1.548728015482176E-3</v>
      </c>
      <c r="P224" s="3">
        <f t="shared" si="185"/>
        <v>1.548728015482176E-3</v>
      </c>
      <c r="Q224" s="3">
        <f t="shared" si="185"/>
        <v>1.548728015482176E-3</v>
      </c>
      <c r="R224" s="3">
        <f t="shared" si="185"/>
        <v>1.5487280154821751E-3</v>
      </c>
      <c r="S224" s="3">
        <f t="shared" si="185"/>
        <v>1.5487280154821681E-3</v>
      </c>
      <c r="T224" s="3">
        <f t="shared" si="185"/>
        <v>1.5487280154820959E-3</v>
      </c>
      <c r="U224" s="3">
        <f t="shared" si="185"/>
        <v>1.5487280154813767E-3</v>
      </c>
      <c r="V224" s="3">
        <f t="shared" si="185"/>
        <v>1.5487280154741821E-3</v>
      </c>
      <c r="W224" s="3">
        <f t="shared" si="185"/>
        <v>1.5487280154022371E-3</v>
      </c>
      <c r="X224" s="3">
        <f t="shared" si="185"/>
        <v>1.548728014682787E-3</v>
      </c>
      <c r="Y224" s="3">
        <f t="shared" si="185"/>
        <v>1.5487280074882881E-3</v>
      </c>
      <c r="Z224" s="3">
        <f t="shared" si="185"/>
        <v>1.548727935543298E-3</v>
      </c>
      <c r="AA224" s="3">
        <f t="shared" si="185"/>
        <v>1.5487272160935805E-3</v>
      </c>
      <c r="AB224" s="3">
        <f t="shared" si="185"/>
        <v>1.5487200216147887E-3</v>
      </c>
      <c r="AC224" s="3">
        <f t="shared" si="185"/>
        <v>1.5486480786650184E-3</v>
      </c>
      <c r="AD224" s="3">
        <f t="shared" si="185"/>
        <v>1.5479288329504849E-3</v>
      </c>
      <c r="AE224" s="3">
        <f t="shared" si="185"/>
        <v>1.5407547225724939E-3</v>
      </c>
      <c r="AF224" s="3">
        <f t="shared" si="185"/>
        <v>1.4708171489821913E-3</v>
      </c>
      <c r="AG224" s="3"/>
      <c r="AH224" s="3"/>
    </row>
    <row r="225" spans="2:34" x14ac:dyDescent="0.25">
      <c r="B225" s="3">
        <f t="shared" ref="B225:AF225" si="186">$C33*EXP(-B$207/$A33/EXP(-$D$126))</f>
        <v>1.7981576820785483E-3</v>
      </c>
      <c r="C225" s="3">
        <f t="shared" si="186"/>
        <v>1.7981576820785483E-3</v>
      </c>
      <c r="D225" s="3">
        <f t="shared" si="186"/>
        <v>1.7981576820785483E-3</v>
      </c>
      <c r="E225" s="3">
        <f t="shared" si="186"/>
        <v>1.7981576820785483E-3</v>
      </c>
      <c r="F225" s="3">
        <f t="shared" si="186"/>
        <v>1.7981576820785483E-3</v>
      </c>
      <c r="G225" s="3">
        <f t="shared" si="186"/>
        <v>1.7981576820785483E-3</v>
      </c>
      <c r="H225" s="3">
        <f t="shared" si="186"/>
        <v>1.7981576820785483E-3</v>
      </c>
      <c r="I225" s="3">
        <f t="shared" si="186"/>
        <v>1.7981576820785483E-3</v>
      </c>
      <c r="J225" s="3">
        <f t="shared" si="186"/>
        <v>1.7981576820785483E-3</v>
      </c>
      <c r="K225" s="3">
        <f t="shared" si="186"/>
        <v>1.7981576820785483E-3</v>
      </c>
      <c r="L225" s="3">
        <f t="shared" si="186"/>
        <v>1.7981576820785483E-3</v>
      </c>
      <c r="M225" s="3">
        <f t="shared" si="186"/>
        <v>1.7981576820785483E-3</v>
      </c>
      <c r="N225" s="3">
        <f t="shared" si="186"/>
        <v>1.7981576820785483E-3</v>
      </c>
      <c r="O225" s="3">
        <f t="shared" si="186"/>
        <v>1.7981576820785483E-3</v>
      </c>
      <c r="P225" s="3">
        <f t="shared" si="186"/>
        <v>1.7981576820785483E-3</v>
      </c>
      <c r="Q225" s="3">
        <f t="shared" si="186"/>
        <v>1.7981576820785483E-3</v>
      </c>
      <c r="R225" s="3">
        <f t="shared" si="186"/>
        <v>1.7981576820785483E-3</v>
      </c>
      <c r="S225" s="3">
        <f t="shared" si="186"/>
        <v>1.7981576820785474E-3</v>
      </c>
      <c r="T225" s="3">
        <f t="shared" si="186"/>
        <v>1.7981576820785398E-3</v>
      </c>
      <c r="U225" s="3">
        <f t="shared" si="186"/>
        <v>1.7981576820784646E-3</v>
      </c>
      <c r="V225" s="3">
        <f t="shared" si="186"/>
        <v>1.798157682077711E-3</v>
      </c>
      <c r="W225" s="3">
        <f t="shared" si="186"/>
        <v>1.7981576820701758E-3</v>
      </c>
      <c r="X225" s="3">
        <f t="shared" si="186"/>
        <v>1.7981576819948229E-3</v>
      </c>
      <c r="Y225" s="3">
        <f t="shared" si="186"/>
        <v>1.7981576812412942E-3</v>
      </c>
      <c r="Z225" s="3">
        <f t="shared" si="186"/>
        <v>1.7981576737060075E-3</v>
      </c>
      <c r="AA225" s="3">
        <f t="shared" si="186"/>
        <v>1.798157598353143E-3</v>
      </c>
      <c r="AB225" s="3">
        <f t="shared" si="186"/>
        <v>1.7981568448246694E-3</v>
      </c>
      <c r="AC225" s="3">
        <f t="shared" si="186"/>
        <v>1.7981493095573029E-3</v>
      </c>
      <c r="AD225" s="3">
        <f t="shared" si="186"/>
        <v>1.7980739586203479E-3</v>
      </c>
      <c r="AE225" s="3">
        <f t="shared" si="186"/>
        <v>1.7973206228947467E-3</v>
      </c>
      <c r="AF225" s="3">
        <f t="shared" si="186"/>
        <v>1.7898046031402908E-3</v>
      </c>
      <c r="AG225" s="3"/>
      <c r="AH225" s="3"/>
    </row>
    <row r="226" spans="2:34" x14ac:dyDescent="0.25">
      <c r="B226" s="3">
        <f t="shared" ref="B226:AF226" si="187">$C34*EXP(-B$207/$A34/EXP(-$D$126))</f>
        <v>4.3198756825701184E-3</v>
      </c>
      <c r="C226" s="3">
        <f t="shared" si="187"/>
        <v>4.3198756825701184E-3</v>
      </c>
      <c r="D226" s="3">
        <f t="shared" si="187"/>
        <v>4.3198756825701184E-3</v>
      </c>
      <c r="E226" s="3">
        <f t="shared" si="187"/>
        <v>4.3198756825701184E-3</v>
      </c>
      <c r="F226" s="3">
        <f t="shared" si="187"/>
        <v>4.3198756825701184E-3</v>
      </c>
      <c r="G226" s="3">
        <f t="shared" si="187"/>
        <v>4.3198756825701184E-3</v>
      </c>
      <c r="H226" s="3">
        <f t="shared" si="187"/>
        <v>4.3198756825701184E-3</v>
      </c>
      <c r="I226" s="3">
        <f t="shared" si="187"/>
        <v>4.3198756825701184E-3</v>
      </c>
      <c r="J226" s="3">
        <f t="shared" si="187"/>
        <v>4.3198756825701184E-3</v>
      </c>
      <c r="K226" s="3">
        <f t="shared" si="187"/>
        <v>4.3198756825701184E-3</v>
      </c>
      <c r="L226" s="3">
        <f t="shared" si="187"/>
        <v>4.3198756825701184E-3</v>
      </c>
      <c r="M226" s="3">
        <f t="shared" si="187"/>
        <v>4.3198756825701184E-3</v>
      </c>
      <c r="N226" s="3">
        <f t="shared" si="187"/>
        <v>4.3198756825701184E-3</v>
      </c>
      <c r="O226" s="3">
        <f t="shared" si="187"/>
        <v>4.3198756825701184E-3</v>
      </c>
      <c r="P226" s="3">
        <f t="shared" si="187"/>
        <v>4.3198756825701184E-3</v>
      </c>
      <c r="Q226" s="3">
        <f t="shared" si="187"/>
        <v>4.3198756825701184E-3</v>
      </c>
      <c r="R226" s="3">
        <f t="shared" si="187"/>
        <v>4.3198756825701184E-3</v>
      </c>
      <c r="S226" s="3">
        <f t="shared" si="187"/>
        <v>4.3198756825701184E-3</v>
      </c>
      <c r="T226" s="3">
        <f t="shared" si="187"/>
        <v>4.3198756825701167E-3</v>
      </c>
      <c r="U226" s="3">
        <f t="shared" si="187"/>
        <v>4.3198756825701002E-3</v>
      </c>
      <c r="V226" s="3">
        <f t="shared" si="187"/>
        <v>4.3198756825699371E-3</v>
      </c>
      <c r="W226" s="3">
        <f t="shared" si="187"/>
        <v>4.3198756825683039E-3</v>
      </c>
      <c r="X226" s="3">
        <f t="shared" si="187"/>
        <v>4.3198756825519732E-3</v>
      </c>
      <c r="Y226" s="3">
        <f t="shared" si="187"/>
        <v>4.3198756823886724E-3</v>
      </c>
      <c r="Z226" s="3">
        <f t="shared" si="187"/>
        <v>4.3198756807556584E-3</v>
      </c>
      <c r="AA226" s="3">
        <f t="shared" si="187"/>
        <v>4.3198756644255215E-3</v>
      </c>
      <c r="AB226" s="3">
        <f t="shared" si="187"/>
        <v>4.3198755011241482E-3</v>
      </c>
      <c r="AC226" s="3">
        <f t="shared" si="187"/>
        <v>4.3198738681107596E-3</v>
      </c>
      <c r="AD226" s="3">
        <f t="shared" si="187"/>
        <v>4.3198575380108233E-3</v>
      </c>
      <c r="AE226" s="3">
        <f t="shared" si="187"/>
        <v>4.319694240406657E-3</v>
      </c>
      <c r="AF226" s="3">
        <f t="shared" si="187"/>
        <v>4.3180616038367451E-3</v>
      </c>
      <c r="AG226" s="3"/>
      <c r="AH226" s="3"/>
    </row>
    <row r="227" spans="2:34" x14ac:dyDescent="0.25">
      <c r="B227" s="3">
        <f t="shared" ref="B227:AF227" si="188">$C35*EXP(-B$207/$A35/EXP(-$D$126))</f>
        <v>3.4800152588185828E-3</v>
      </c>
      <c r="C227" s="3">
        <f t="shared" si="188"/>
        <v>3.4800152588185828E-3</v>
      </c>
      <c r="D227" s="3">
        <f t="shared" si="188"/>
        <v>3.4800152588185828E-3</v>
      </c>
      <c r="E227" s="3">
        <f t="shared" si="188"/>
        <v>3.4800152588185828E-3</v>
      </c>
      <c r="F227" s="3">
        <f t="shared" si="188"/>
        <v>3.4800152588185828E-3</v>
      </c>
      <c r="G227" s="3">
        <f t="shared" si="188"/>
        <v>3.4800152588185828E-3</v>
      </c>
      <c r="H227" s="3">
        <f t="shared" si="188"/>
        <v>3.4800152588185828E-3</v>
      </c>
      <c r="I227" s="3">
        <f t="shared" si="188"/>
        <v>3.4800152588185828E-3</v>
      </c>
      <c r="J227" s="3">
        <f t="shared" si="188"/>
        <v>3.4800152588185828E-3</v>
      </c>
      <c r="K227" s="3">
        <f t="shared" si="188"/>
        <v>3.4800152588185828E-3</v>
      </c>
      <c r="L227" s="3">
        <f t="shared" si="188"/>
        <v>3.4800152588185828E-3</v>
      </c>
      <c r="M227" s="3">
        <f t="shared" si="188"/>
        <v>3.4800152588185828E-3</v>
      </c>
      <c r="N227" s="3">
        <f t="shared" si="188"/>
        <v>3.4800152588185828E-3</v>
      </c>
      <c r="O227" s="3">
        <f t="shared" si="188"/>
        <v>3.4800152588185828E-3</v>
      </c>
      <c r="P227" s="3">
        <f t="shared" si="188"/>
        <v>3.4800152588185828E-3</v>
      </c>
      <c r="Q227" s="3">
        <f t="shared" si="188"/>
        <v>3.4800152588185828E-3</v>
      </c>
      <c r="R227" s="3">
        <f t="shared" si="188"/>
        <v>3.4800152588185828E-3</v>
      </c>
      <c r="S227" s="3">
        <f t="shared" si="188"/>
        <v>3.4800152588185828E-3</v>
      </c>
      <c r="T227" s="3">
        <f t="shared" si="188"/>
        <v>3.4800152588185828E-3</v>
      </c>
      <c r="U227" s="3">
        <f t="shared" si="188"/>
        <v>3.4800152588185815E-3</v>
      </c>
      <c r="V227" s="3">
        <f t="shared" si="188"/>
        <v>3.4800152588185698E-3</v>
      </c>
      <c r="W227" s="3">
        <f t="shared" si="188"/>
        <v>3.480015258818451E-3</v>
      </c>
      <c r="X227" s="3">
        <f t="shared" si="188"/>
        <v>3.480015258817264E-3</v>
      </c>
      <c r="Y227" s="3">
        <f t="shared" si="188"/>
        <v>3.4800152588053972E-3</v>
      </c>
      <c r="Z227" s="3">
        <f t="shared" si="188"/>
        <v>3.4800152586867256E-3</v>
      </c>
      <c r="AA227" s="3">
        <f t="shared" si="188"/>
        <v>3.4800152575000108E-3</v>
      </c>
      <c r="AB227" s="3">
        <f t="shared" si="188"/>
        <v>3.4800152456328638E-3</v>
      </c>
      <c r="AC227" s="3">
        <f t="shared" si="188"/>
        <v>3.4800151269613923E-3</v>
      </c>
      <c r="AD227" s="3">
        <f t="shared" si="188"/>
        <v>3.4800139402469013E-3</v>
      </c>
      <c r="AE227" s="3">
        <f t="shared" si="188"/>
        <v>3.4800020731242491E-3</v>
      </c>
      <c r="AF227" s="3">
        <f t="shared" si="188"/>
        <v>3.4798834041234366E-3</v>
      </c>
      <c r="AG227" s="3"/>
      <c r="AH227" s="3"/>
    </row>
    <row r="228" spans="2:34" x14ac:dyDescent="0.25">
      <c r="B228" s="3">
        <f t="shared" ref="B228:AF228" si="189">$C36*EXP(-B$207/$A36/EXP(-$D$126))</f>
        <v>2.0367681547460849E-3</v>
      </c>
      <c r="C228" s="3">
        <f t="shared" si="189"/>
        <v>2.0367681547460849E-3</v>
      </c>
      <c r="D228" s="3">
        <f t="shared" si="189"/>
        <v>2.0367681547460849E-3</v>
      </c>
      <c r="E228" s="3">
        <f t="shared" si="189"/>
        <v>2.0367681547460849E-3</v>
      </c>
      <c r="F228" s="3">
        <f t="shared" si="189"/>
        <v>2.0367681547460849E-3</v>
      </c>
      <c r="G228" s="3">
        <f t="shared" si="189"/>
        <v>2.0367681547460849E-3</v>
      </c>
      <c r="H228" s="3">
        <f t="shared" si="189"/>
        <v>2.0367681547460849E-3</v>
      </c>
      <c r="I228" s="3">
        <f t="shared" si="189"/>
        <v>2.0367681547460849E-3</v>
      </c>
      <c r="J228" s="3">
        <f t="shared" si="189"/>
        <v>2.0367681547460849E-3</v>
      </c>
      <c r="K228" s="3">
        <f t="shared" si="189"/>
        <v>2.0367681547460849E-3</v>
      </c>
      <c r="L228" s="3">
        <f t="shared" si="189"/>
        <v>2.0367681547460849E-3</v>
      </c>
      <c r="M228" s="3">
        <f t="shared" si="189"/>
        <v>2.0367681547460849E-3</v>
      </c>
      <c r="N228" s="3">
        <f t="shared" si="189"/>
        <v>2.0367681547460849E-3</v>
      </c>
      <c r="O228" s="3">
        <f t="shared" si="189"/>
        <v>2.0367681547460849E-3</v>
      </c>
      <c r="P228" s="3">
        <f t="shared" si="189"/>
        <v>2.0367681547460849E-3</v>
      </c>
      <c r="Q228" s="3">
        <f t="shared" si="189"/>
        <v>2.0367681547460849E-3</v>
      </c>
      <c r="R228" s="3">
        <f t="shared" si="189"/>
        <v>2.0367681547460849E-3</v>
      </c>
      <c r="S228" s="3">
        <f t="shared" si="189"/>
        <v>2.0367681547460849E-3</v>
      </c>
      <c r="T228" s="3">
        <f t="shared" si="189"/>
        <v>2.0367681547460849E-3</v>
      </c>
      <c r="U228" s="3">
        <f t="shared" si="189"/>
        <v>2.0367681547460849E-3</v>
      </c>
      <c r="V228" s="3">
        <f t="shared" si="189"/>
        <v>2.036768154746084E-3</v>
      </c>
      <c r="W228" s="3">
        <f t="shared" si="189"/>
        <v>2.0367681547460779E-3</v>
      </c>
      <c r="X228" s="3">
        <f t="shared" si="189"/>
        <v>2.036768154746015E-3</v>
      </c>
      <c r="Y228" s="3">
        <f t="shared" si="189"/>
        <v>2.0367681547453888E-3</v>
      </c>
      <c r="Z228" s="3">
        <f t="shared" si="189"/>
        <v>2.0367681547391234E-3</v>
      </c>
      <c r="AA228" s="3">
        <f t="shared" si="189"/>
        <v>2.0367681546764687E-3</v>
      </c>
      <c r="AB228" s="3">
        <f t="shared" si="189"/>
        <v>2.0367681540499221E-3</v>
      </c>
      <c r="AC228" s="3">
        <f t="shared" si="189"/>
        <v>2.0367681477844561E-3</v>
      </c>
      <c r="AD228" s="3">
        <f t="shared" si="189"/>
        <v>2.0367680851297977E-3</v>
      </c>
      <c r="AE228" s="3">
        <f t="shared" si="189"/>
        <v>2.0367674585833194E-3</v>
      </c>
      <c r="AF228" s="3">
        <f t="shared" si="189"/>
        <v>2.036761193129137E-3</v>
      </c>
      <c r="AG228" s="3"/>
      <c r="AH228" s="3"/>
    </row>
    <row r="229" spans="2:34" x14ac:dyDescent="0.25">
      <c r="B229" s="3">
        <f t="shared" ref="B229:AF229" si="190">$C37*EXP(-B$207/$A37/EXP(-$D$126))</f>
        <v>1.2781847248259422E-3</v>
      </c>
      <c r="C229" s="3">
        <f t="shared" si="190"/>
        <v>1.2781847248259422E-3</v>
      </c>
      <c r="D229" s="3">
        <f t="shared" si="190"/>
        <v>1.2781847248259422E-3</v>
      </c>
      <c r="E229" s="3">
        <f t="shared" si="190"/>
        <v>1.2781847248259422E-3</v>
      </c>
      <c r="F229" s="3">
        <f t="shared" si="190"/>
        <v>1.2781847248259422E-3</v>
      </c>
      <c r="G229" s="3">
        <f t="shared" si="190"/>
        <v>1.2781847248259422E-3</v>
      </c>
      <c r="H229" s="3">
        <f t="shared" si="190"/>
        <v>1.2781847248259422E-3</v>
      </c>
      <c r="I229" s="3">
        <f t="shared" si="190"/>
        <v>1.2781847248259422E-3</v>
      </c>
      <c r="J229" s="3">
        <f t="shared" si="190"/>
        <v>1.2781847248259422E-3</v>
      </c>
      <c r="K229" s="3">
        <f t="shared" si="190"/>
        <v>1.2781847248259422E-3</v>
      </c>
      <c r="L229" s="3">
        <f t="shared" si="190"/>
        <v>1.2781847248259422E-3</v>
      </c>
      <c r="M229" s="3">
        <f t="shared" si="190"/>
        <v>1.2781847248259422E-3</v>
      </c>
      <c r="N229" s="3">
        <f t="shared" si="190"/>
        <v>1.2781847248259422E-3</v>
      </c>
      <c r="O229" s="3">
        <f t="shared" si="190"/>
        <v>1.2781847248259422E-3</v>
      </c>
      <c r="P229" s="3">
        <f t="shared" si="190"/>
        <v>1.2781847248259422E-3</v>
      </c>
      <c r="Q229" s="3">
        <f t="shared" si="190"/>
        <v>1.2781847248259422E-3</v>
      </c>
      <c r="R229" s="3">
        <f t="shared" si="190"/>
        <v>1.2781847248259422E-3</v>
      </c>
      <c r="S229" s="3">
        <f t="shared" si="190"/>
        <v>1.2781847248259422E-3</v>
      </c>
      <c r="T229" s="3">
        <f t="shared" si="190"/>
        <v>1.2781847248259422E-3</v>
      </c>
      <c r="U229" s="3">
        <f t="shared" si="190"/>
        <v>1.2781847248259422E-3</v>
      </c>
      <c r="V229" s="3">
        <f t="shared" si="190"/>
        <v>1.2781847248259422E-3</v>
      </c>
      <c r="W229" s="3">
        <f t="shared" si="190"/>
        <v>1.2781847248259418E-3</v>
      </c>
      <c r="X229" s="3">
        <f t="shared" si="190"/>
        <v>1.2781847248259383E-3</v>
      </c>
      <c r="Y229" s="3">
        <f t="shared" si="190"/>
        <v>1.2781847248259028E-3</v>
      </c>
      <c r="Z229" s="3">
        <f t="shared" si="190"/>
        <v>1.2781847248255482E-3</v>
      </c>
      <c r="AA229" s="3">
        <f t="shared" si="190"/>
        <v>1.2781847248220012E-3</v>
      </c>
      <c r="AB229" s="3">
        <f t="shared" si="190"/>
        <v>1.2781847247865319E-3</v>
      </c>
      <c r="AC229" s="3">
        <f t="shared" si="190"/>
        <v>1.2781847244318395E-3</v>
      </c>
      <c r="AD229" s="3">
        <f t="shared" si="190"/>
        <v>1.2781847208849146E-3</v>
      </c>
      <c r="AE229" s="3">
        <f t="shared" si="190"/>
        <v>1.2781846854156662E-3</v>
      </c>
      <c r="AF229" s="3">
        <f t="shared" si="190"/>
        <v>1.2781843307232365E-3</v>
      </c>
      <c r="AG229" s="3"/>
      <c r="AH229" s="3"/>
    </row>
    <row r="230" spans="2:34" x14ac:dyDescent="0.25">
      <c r="B230" s="3">
        <f t="shared" ref="B230:AF230" si="191">$C38*EXP(-B$207/$A38/EXP(-$D$126))</f>
        <v>3.444457645749161E-4</v>
      </c>
      <c r="C230" s="3">
        <f t="shared" si="191"/>
        <v>3.444457645749161E-4</v>
      </c>
      <c r="D230" s="3">
        <f t="shared" si="191"/>
        <v>3.444457645749161E-4</v>
      </c>
      <c r="E230" s="3">
        <f t="shared" si="191"/>
        <v>3.444457645749161E-4</v>
      </c>
      <c r="F230" s="3">
        <f t="shared" si="191"/>
        <v>3.444457645749161E-4</v>
      </c>
      <c r="G230" s="3">
        <f t="shared" si="191"/>
        <v>3.444457645749161E-4</v>
      </c>
      <c r="H230" s="3">
        <f t="shared" si="191"/>
        <v>3.444457645749161E-4</v>
      </c>
      <c r="I230" s="3">
        <f t="shared" si="191"/>
        <v>3.444457645749161E-4</v>
      </c>
      <c r="J230" s="3">
        <f t="shared" si="191"/>
        <v>3.444457645749161E-4</v>
      </c>
      <c r="K230" s="3">
        <f t="shared" si="191"/>
        <v>3.444457645749161E-4</v>
      </c>
      <c r="L230" s="3">
        <f t="shared" si="191"/>
        <v>3.444457645749161E-4</v>
      </c>
      <c r="M230" s="3">
        <f t="shared" si="191"/>
        <v>3.444457645749161E-4</v>
      </c>
      <c r="N230" s="3">
        <f t="shared" si="191"/>
        <v>3.444457645749161E-4</v>
      </c>
      <c r="O230" s="3">
        <f t="shared" si="191"/>
        <v>3.444457645749161E-4</v>
      </c>
      <c r="P230" s="3">
        <f t="shared" si="191"/>
        <v>3.444457645749161E-4</v>
      </c>
      <c r="Q230" s="3">
        <f t="shared" si="191"/>
        <v>3.444457645749161E-4</v>
      </c>
      <c r="R230" s="3">
        <f t="shared" si="191"/>
        <v>3.444457645749161E-4</v>
      </c>
      <c r="S230" s="3">
        <f t="shared" si="191"/>
        <v>3.444457645749161E-4</v>
      </c>
      <c r="T230" s="3">
        <f t="shared" si="191"/>
        <v>3.444457645749161E-4</v>
      </c>
      <c r="U230" s="3">
        <f t="shared" si="191"/>
        <v>3.444457645749161E-4</v>
      </c>
      <c r="V230" s="3">
        <f t="shared" si="191"/>
        <v>3.444457645749161E-4</v>
      </c>
      <c r="W230" s="3">
        <f t="shared" si="191"/>
        <v>3.444457645749161E-4</v>
      </c>
      <c r="X230" s="3">
        <f t="shared" si="191"/>
        <v>3.4444576457491599E-4</v>
      </c>
      <c r="Y230" s="3">
        <f t="shared" si="191"/>
        <v>3.4444576457491513E-4</v>
      </c>
      <c r="Z230" s="3">
        <f t="shared" si="191"/>
        <v>3.4444576457490651E-4</v>
      </c>
      <c r="AA230" s="3">
        <f t="shared" si="191"/>
        <v>3.4444576457482031E-4</v>
      </c>
      <c r="AB230" s="3">
        <f t="shared" si="191"/>
        <v>3.4444576457395805E-4</v>
      </c>
      <c r="AC230" s="3">
        <f t="shared" si="191"/>
        <v>3.4444576456533571E-4</v>
      </c>
      <c r="AD230" s="3">
        <f t="shared" si="191"/>
        <v>3.4444576447911215E-4</v>
      </c>
      <c r="AE230" s="3">
        <f t="shared" si="191"/>
        <v>3.4444576361687684E-4</v>
      </c>
      <c r="AF230" s="3">
        <f t="shared" si="191"/>
        <v>3.4444575499452379E-4</v>
      </c>
      <c r="AG230" s="3"/>
      <c r="AH230" s="3"/>
    </row>
    <row r="231" spans="2:34" x14ac:dyDescent="0.25">
      <c r="B231" s="3">
        <f t="shared" ref="B231:AF231" si="192">$C39*EXP(-B$207/$A39/EXP(-$D$126))</f>
        <v>6.1014336776090067E-4</v>
      </c>
      <c r="C231" s="3">
        <f t="shared" si="192"/>
        <v>6.1014336776090067E-4</v>
      </c>
      <c r="D231" s="3">
        <f t="shared" si="192"/>
        <v>6.1014336776090067E-4</v>
      </c>
      <c r="E231" s="3">
        <f t="shared" si="192"/>
        <v>6.1014336776090067E-4</v>
      </c>
      <c r="F231" s="3">
        <f t="shared" si="192"/>
        <v>6.1014336776090067E-4</v>
      </c>
      <c r="G231" s="3">
        <f t="shared" si="192"/>
        <v>6.1014336776090067E-4</v>
      </c>
      <c r="H231" s="3">
        <f t="shared" si="192"/>
        <v>6.1014336776090067E-4</v>
      </c>
      <c r="I231" s="3">
        <f t="shared" si="192"/>
        <v>6.1014336776090067E-4</v>
      </c>
      <c r="J231" s="3">
        <f t="shared" si="192"/>
        <v>6.1014336776090067E-4</v>
      </c>
      <c r="K231" s="3">
        <f t="shared" si="192"/>
        <v>6.1014336776090067E-4</v>
      </c>
      <c r="L231" s="3">
        <f t="shared" si="192"/>
        <v>6.1014336776090067E-4</v>
      </c>
      <c r="M231" s="3">
        <f t="shared" si="192"/>
        <v>6.1014336776090067E-4</v>
      </c>
      <c r="N231" s="3">
        <f t="shared" si="192"/>
        <v>6.1014336776090067E-4</v>
      </c>
      <c r="O231" s="3">
        <f t="shared" si="192"/>
        <v>6.1014336776090067E-4</v>
      </c>
      <c r="P231" s="3">
        <f t="shared" si="192"/>
        <v>6.1014336776090067E-4</v>
      </c>
      <c r="Q231" s="3">
        <f t="shared" si="192"/>
        <v>6.1014336776090067E-4</v>
      </c>
      <c r="R231" s="3">
        <f t="shared" si="192"/>
        <v>6.1014336776090067E-4</v>
      </c>
      <c r="S231" s="3">
        <f t="shared" si="192"/>
        <v>6.1014336776090067E-4</v>
      </c>
      <c r="T231" s="3">
        <f t="shared" si="192"/>
        <v>6.1014336776090067E-4</v>
      </c>
      <c r="U231" s="3">
        <f t="shared" si="192"/>
        <v>6.1014336776090067E-4</v>
      </c>
      <c r="V231" s="3">
        <f t="shared" si="192"/>
        <v>6.1014336776090067E-4</v>
      </c>
      <c r="W231" s="3">
        <f t="shared" si="192"/>
        <v>6.1014336776090067E-4</v>
      </c>
      <c r="X231" s="3">
        <f t="shared" si="192"/>
        <v>6.1014336776090057E-4</v>
      </c>
      <c r="Y231" s="3">
        <f t="shared" si="192"/>
        <v>6.1014336776090024E-4</v>
      </c>
      <c r="Z231" s="3">
        <f t="shared" si="192"/>
        <v>6.1014336776089601E-4</v>
      </c>
      <c r="AA231" s="3">
        <f t="shared" si="192"/>
        <v>6.1014336776085373E-4</v>
      </c>
      <c r="AB231" s="3">
        <f t="shared" si="192"/>
        <v>6.1014336776043132E-4</v>
      </c>
      <c r="AC231" s="3">
        <f t="shared" si="192"/>
        <v>6.1014336775620705E-4</v>
      </c>
      <c r="AD231" s="3">
        <f t="shared" si="192"/>
        <v>6.1014336771396459E-4</v>
      </c>
      <c r="AE231" s="3">
        <f t="shared" si="192"/>
        <v>6.1014336729153947E-4</v>
      </c>
      <c r="AF231" s="3">
        <f t="shared" si="192"/>
        <v>6.1014336306728842E-4</v>
      </c>
      <c r="AG231" s="3"/>
      <c r="AH231" s="3"/>
    </row>
    <row r="232" spans="2:34" x14ac:dyDescent="0.25">
      <c r="B232" s="3">
        <f t="shared" ref="B232:AF232" si="193">$C40*EXP(-B$207/$A40/EXP(-$D$126))</f>
        <v>2.2250933466635417E-4</v>
      </c>
      <c r="C232" s="3">
        <f t="shared" si="193"/>
        <v>2.2250933466635417E-4</v>
      </c>
      <c r="D232" s="3">
        <f t="shared" si="193"/>
        <v>2.2250933466635417E-4</v>
      </c>
      <c r="E232" s="3">
        <f t="shared" si="193"/>
        <v>2.2250933466635417E-4</v>
      </c>
      <c r="F232" s="3">
        <f t="shared" si="193"/>
        <v>2.2250933466635417E-4</v>
      </c>
      <c r="G232" s="3">
        <f t="shared" si="193"/>
        <v>2.2250933466635417E-4</v>
      </c>
      <c r="H232" s="3">
        <f t="shared" si="193"/>
        <v>2.2250933466635417E-4</v>
      </c>
      <c r="I232" s="3">
        <f t="shared" si="193"/>
        <v>2.2250933466635417E-4</v>
      </c>
      <c r="J232" s="3">
        <f t="shared" si="193"/>
        <v>2.2250933466635417E-4</v>
      </c>
      <c r="K232" s="3">
        <f t="shared" si="193"/>
        <v>2.2250933466635417E-4</v>
      </c>
      <c r="L232" s="3">
        <f t="shared" si="193"/>
        <v>2.2250933466635417E-4</v>
      </c>
      <c r="M232" s="3">
        <f t="shared" si="193"/>
        <v>2.2250933466635417E-4</v>
      </c>
      <c r="N232" s="3">
        <f t="shared" si="193"/>
        <v>2.2250933466635417E-4</v>
      </c>
      <c r="O232" s="3">
        <f t="shared" si="193"/>
        <v>2.2250933466635417E-4</v>
      </c>
      <c r="P232" s="3">
        <f t="shared" si="193"/>
        <v>2.2250933466635417E-4</v>
      </c>
      <c r="Q232" s="3">
        <f t="shared" si="193"/>
        <v>2.2250933466635417E-4</v>
      </c>
      <c r="R232" s="3">
        <f t="shared" si="193"/>
        <v>2.2250933466635417E-4</v>
      </c>
      <c r="S232" s="3">
        <f t="shared" si="193"/>
        <v>2.2250933466635417E-4</v>
      </c>
      <c r="T232" s="3">
        <f t="shared" si="193"/>
        <v>2.2250933466635417E-4</v>
      </c>
      <c r="U232" s="3">
        <f t="shared" si="193"/>
        <v>2.2250933466635417E-4</v>
      </c>
      <c r="V232" s="3">
        <f t="shared" si="193"/>
        <v>2.2250933466635417E-4</v>
      </c>
      <c r="W232" s="3">
        <f t="shared" si="193"/>
        <v>2.2250933466635417E-4</v>
      </c>
      <c r="X232" s="3">
        <f t="shared" si="193"/>
        <v>2.2250933466635417E-4</v>
      </c>
      <c r="Y232" s="3">
        <f t="shared" si="193"/>
        <v>2.2250933466635414E-4</v>
      </c>
      <c r="Z232" s="3">
        <f t="shared" si="193"/>
        <v>2.22509334666354E-4</v>
      </c>
      <c r="AA232" s="3">
        <f t="shared" si="193"/>
        <v>2.2250933466635246E-4</v>
      </c>
      <c r="AB232" s="3">
        <f t="shared" si="193"/>
        <v>2.2250933466633704E-4</v>
      </c>
      <c r="AC232" s="3">
        <f t="shared" si="193"/>
        <v>2.22509334666183E-4</v>
      </c>
      <c r="AD232" s="3">
        <f t="shared" si="193"/>
        <v>2.2250933466464248E-4</v>
      </c>
      <c r="AE232" s="3">
        <f t="shared" si="193"/>
        <v>2.2250933464923732E-4</v>
      </c>
      <c r="AF232" s="3">
        <f t="shared" si="193"/>
        <v>2.2250933449518578E-4</v>
      </c>
      <c r="AG232" s="3"/>
      <c r="AH232" s="3"/>
    </row>
    <row r="233" spans="2:34" x14ac:dyDescent="0.25">
      <c r="B233" s="3">
        <f t="shared" ref="B233:AF233" si="194">$C41*EXP(-B$207/$A41/EXP(-$D$126))</f>
        <v>3.0514987252664002E-4</v>
      </c>
      <c r="C233" s="3">
        <f t="shared" si="194"/>
        <v>3.0514987252664002E-4</v>
      </c>
      <c r="D233" s="3">
        <f t="shared" si="194"/>
        <v>3.0514987252664002E-4</v>
      </c>
      <c r="E233" s="3">
        <f t="shared" si="194"/>
        <v>3.0514987252664002E-4</v>
      </c>
      <c r="F233" s="3">
        <f t="shared" si="194"/>
        <v>3.0514987252664002E-4</v>
      </c>
      <c r="G233" s="3">
        <f t="shared" si="194"/>
        <v>3.0514987252664002E-4</v>
      </c>
      <c r="H233" s="3">
        <f t="shared" si="194"/>
        <v>3.0514987252664002E-4</v>
      </c>
      <c r="I233" s="3">
        <f t="shared" si="194"/>
        <v>3.0514987252664002E-4</v>
      </c>
      <c r="J233" s="3">
        <f t="shared" si="194"/>
        <v>3.0514987252664002E-4</v>
      </c>
      <c r="K233" s="3">
        <f t="shared" si="194"/>
        <v>3.0514987252664002E-4</v>
      </c>
      <c r="L233" s="3">
        <f t="shared" si="194"/>
        <v>3.0514987252664002E-4</v>
      </c>
      <c r="M233" s="3">
        <f t="shared" si="194"/>
        <v>3.0514987252664002E-4</v>
      </c>
      <c r="N233" s="3">
        <f t="shared" si="194"/>
        <v>3.0514987252664002E-4</v>
      </c>
      <c r="O233" s="3">
        <f t="shared" si="194"/>
        <v>3.0514987252664002E-4</v>
      </c>
      <c r="P233" s="3">
        <f t="shared" si="194"/>
        <v>3.0514987252664002E-4</v>
      </c>
      <c r="Q233" s="3">
        <f t="shared" si="194"/>
        <v>3.0514987252664002E-4</v>
      </c>
      <c r="R233" s="3">
        <f t="shared" si="194"/>
        <v>3.0514987252664002E-4</v>
      </c>
      <c r="S233" s="3">
        <f t="shared" si="194"/>
        <v>3.0514987252664002E-4</v>
      </c>
      <c r="T233" s="3">
        <f t="shared" si="194"/>
        <v>3.0514987252664002E-4</v>
      </c>
      <c r="U233" s="3">
        <f t="shared" si="194"/>
        <v>3.0514987252664002E-4</v>
      </c>
      <c r="V233" s="3">
        <f t="shared" si="194"/>
        <v>3.0514987252664002E-4</v>
      </c>
      <c r="W233" s="3">
        <f t="shared" si="194"/>
        <v>3.0514987252664002E-4</v>
      </c>
      <c r="X233" s="3">
        <f t="shared" si="194"/>
        <v>3.0514987252664002E-4</v>
      </c>
      <c r="Y233" s="3">
        <f t="shared" si="194"/>
        <v>3.0514987252664002E-4</v>
      </c>
      <c r="Z233" s="3">
        <f t="shared" si="194"/>
        <v>3.0514987252663997E-4</v>
      </c>
      <c r="AA233" s="3">
        <f t="shared" si="194"/>
        <v>3.0514987252663981E-4</v>
      </c>
      <c r="AB233" s="3">
        <f t="shared" si="194"/>
        <v>3.0514987252663769E-4</v>
      </c>
      <c r="AC233" s="3">
        <f t="shared" si="194"/>
        <v>3.0514987252661655E-4</v>
      </c>
      <c r="AD233" s="3">
        <f t="shared" si="194"/>
        <v>3.051498725264053E-4</v>
      </c>
      <c r="AE233" s="3">
        <f t="shared" si="194"/>
        <v>3.0514987252429262E-4</v>
      </c>
      <c r="AF233" s="3">
        <f t="shared" si="194"/>
        <v>3.0514987250316596E-4</v>
      </c>
      <c r="AG233" s="3"/>
      <c r="AH233" s="3"/>
    </row>
    <row r="234" spans="2:34" x14ac:dyDescent="0.25">
      <c r="B234" s="3">
        <f t="shared" ref="B234:AF234" si="195">$C42*EXP(-B$207/$A42/EXP(-$D$126))</f>
        <v>0</v>
      </c>
      <c r="C234" s="3">
        <f t="shared" si="195"/>
        <v>0</v>
      </c>
      <c r="D234" s="3">
        <f t="shared" si="195"/>
        <v>0</v>
      </c>
      <c r="E234" s="3">
        <f t="shared" si="195"/>
        <v>0</v>
      </c>
      <c r="F234" s="3">
        <f t="shared" si="195"/>
        <v>0</v>
      </c>
      <c r="G234" s="3">
        <f t="shared" si="195"/>
        <v>0</v>
      </c>
      <c r="H234" s="3">
        <f t="shared" si="195"/>
        <v>0</v>
      </c>
      <c r="I234" s="3">
        <f t="shared" si="195"/>
        <v>0</v>
      </c>
      <c r="J234" s="3">
        <f t="shared" si="195"/>
        <v>0</v>
      </c>
      <c r="K234" s="3">
        <f t="shared" si="195"/>
        <v>0</v>
      </c>
      <c r="L234" s="3">
        <f t="shared" si="195"/>
        <v>0</v>
      </c>
      <c r="M234" s="3">
        <f t="shared" si="195"/>
        <v>0</v>
      </c>
      <c r="N234" s="3">
        <f t="shared" si="195"/>
        <v>0</v>
      </c>
      <c r="O234" s="3">
        <f t="shared" si="195"/>
        <v>0</v>
      </c>
      <c r="P234" s="3">
        <f t="shared" si="195"/>
        <v>0</v>
      </c>
      <c r="Q234" s="3">
        <f t="shared" si="195"/>
        <v>0</v>
      </c>
      <c r="R234" s="3">
        <f t="shared" si="195"/>
        <v>0</v>
      </c>
      <c r="S234" s="3">
        <f t="shared" si="195"/>
        <v>0</v>
      </c>
      <c r="T234" s="3">
        <f t="shared" si="195"/>
        <v>0</v>
      </c>
      <c r="U234" s="3">
        <f t="shared" si="195"/>
        <v>0</v>
      </c>
      <c r="V234" s="3">
        <f t="shared" si="195"/>
        <v>0</v>
      </c>
      <c r="W234" s="3">
        <f t="shared" si="195"/>
        <v>0</v>
      </c>
      <c r="X234" s="3">
        <f t="shared" si="195"/>
        <v>0</v>
      </c>
      <c r="Y234" s="3">
        <f t="shared" si="195"/>
        <v>0</v>
      </c>
      <c r="Z234" s="3">
        <f t="shared" si="195"/>
        <v>0</v>
      </c>
      <c r="AA234" s="3">
        <f t="shared" si="195"/>
        <v>0</v>
      </c>
      <c r="AB234" s="3">
        <f t="shared" si="195"/>
        <v>0</v>
      </c>
      <c r="AC234" s="3">
        <f t="shared" si="195"/>
        <v>0</v>
      </c>
      <c r="AD234" s="3">
        <f t="shared" si="195"/>
        <v>0</v>
      </c>
      <c r="AE234" s="3">
        <f t="shared" si="195"/>
        <v>0</v>
      </c>
      <c r="AF234" s="3">
        <f t="shared" si="195"/>
        <v>0</v>
      </c>
      <c r="AG234" s="3"/>
      <c r="AH234" s="3"/>
    </row>
    <row r="235" spans="2:34" x14ac:dyDescent="0.25">
      <c r="B235" s="3">
        <f t="shared" ref="B235:AF235" si="196">$C43*EXP(-B$207/$A43/EXP(-$D$126))</f>
        <v>6.2164799219330605E-5</v>
      </c>
      <c r="C235" s="3">
        <f t="shared" si="196"/>
        <v>6.2164799219330605E-5</v>
      </c>
      <c r="D235" s="3">
        <f t="shared" si="196"/>
        <v>6.2164799219330605E-5</v>
      </c>
      <c r="E235" s="3">
        <f t="shared" si="196"/>
        <v>6.2164799219330605E-5</v>
      </c>
      <c r="F235" s="3">
        <f t="shared" si="196"/>
        <v>6.2164799219330605E-5</v>
      </c>
      <c r="G235" s="3">
        <f t="shared" si="196"/>
        <v>6.2164799219330605E-5</v>
      </c>
      <c r="H235" s="3">
        <f t="shared" si="196"/>
        <v>6.2164799219330605E-5</v>
      </c>
      <c r="I235" s="3">
        <f t="shared" si="196"/>
        <v>6.2164799219330605E-5</v>
      </c>
      <c r="J235" s="3">
        <f t="shared" si="196"/>
        <v>6.2164799219330605E-5</v>
      </c>
      <c r="K235" s="3">
        <f t="shared" si="196"/>
        <v>6.2164799219330605E-5</v>
      </c>
      <c r="L235" s="3">
        <f t="shared" si="196"/>
        <v>6.2164799219330605E-5</v>
      </c>
      <c r="M235" s="3">
        <f t="shared" si="196"/>
        <v>6.2164799219330605E-5</v>
      </c>
      <c r="N235" s="3">
        <f t="shared" si="196"/>
        <v>6.2164799219330605E-5</v>
      </c>
      <c r="O235" s="3">
        <f t="shared" si="196"/>
        <v>6.2164799219330605E-5</v>
      </c>
      <c r="P235" s="3">
        <f t="shared" si="196"/>
        <v>6.2164799219330605E-5</v>
      </c>
      <c r="Q235" s="3">
        <f t="shared" si="196"/>
        <v>6.2164799219330605E-5</v>
      </c>
      <c r="R235" s="3">
        <f t="shared" si="196"/>
        <v>6.2164799219330605E-5</v>
      </c>
      <c r="S235" s="3">
        <f t="shared" si="196"/>
        <v>6.2164799219330605E-5</v>
      </c>
      <c r="T235" s="3">
        <f t="shared" si="196"/>
        <v>6.2164799219330605E-5</v>
      </c>
      <c r="U235" s="3">
        <f t="shared" si="196"/>
        <v>6.2164799219330605E-5</v>
      </c>
      <c r="V235" s="3">
        <f t="shared" si="196"/>
        <v>6.2164799219330605E-5</v>
      </c>
      <c r="W235" s="3">
        <f t="shared" si="196"/>
        <v>6.2164799219330605E-5</v>
      </c>
      <c r="X235" s="3">
        <f t="shared" si="196"/>
        <v>6.2164799219330605E-5</v>
      </c>
      <c r="Y235" s="3">
        <f t="shared" si="196"/>
        <v>6.2164799219330605E-5</v>
      </c>
      <c r="Z235" s="3">
        <f t="shared" si="196"/>
        <v>6.2164799219330605E-5</v>
      </c>
      <c r="AA235" s="3">
        <f t="shared" si="196"/>
        <v>6.2164799219330605E-5</v>
      </c>
      <c r="AB235" s="3">
        <f t="shared" si="196"/>
        <v>6.2164799219330592E-5</v>
      </c>
      <c r="AC235" s="3">
        <f t="shared" si="196"/>
        <v>6.2164799219330551E-5</v>
      </c>
      <c r="AD235" s="3">
        <f t="shared" si="196"/>
        <v>6.2164799219330131E-5</v>
      </c>
      <c r="AE235" s="3">
        <f t="shared" si="196"/>
        <v>6.2164799219325821E-5</v>
      </c>
      <c r="AF235" s="3">
        <f t="shared" si="196"/>
        <v>6.2164799219282778E-5</v>
      </c>
      <c r="AG235" s="3"/>
      <c r="AH235" s="3"/>
    </row>
    <row r="236" spans="2:34" x14ac:dyDescent="0.25">
      <c r="B236" s="3">
        <f t="shared" ref="B236:AF236" si="197">$C44*EXP(-B$207/$A44/EXP(-$D$126))</f>
        <v>1.589018825978126E-4</v>
      </c>
      <c r="C236" s="3">
        <f t="shared" si="197"/>
        <v>1.589018825978126E-4</v>
      </c>
      <c r="D236" s="3">
        <f t="shared" si="197"/>
        <v>1.589018825978126E-4</v>
      </c>
      <c r="E236" s="3">
        <f t="shared" si="197"/>
        <v>1.589018825978126E-4</v>
      </c>
      <c r="F236" s="3">
        <f t="shared" si="197"/>
        <v>1.589018825978126E-4</v>
      </c>
      <c r="G236" s="3">
        <f t="shared" si="197"/>
        <v>1.589018825978126E-4</v>
      </c>
      <c r="H236" s="3">
        <f t="shared" si="197"/>
        <v>1.589018825978126E-4</v>
      </c>
      <c r="I236" s="3">
        <f t="shared" si="197"/>
        <v>1.589018825978126E-4</v>
      </c>
      <c r="J236" s="3">
        <f t="shared" si="197"/>
        <v>1.589018825978126E-4</v>
      </c>
      <c r="K236" s="3">
        <f t="shared" si="197"/>
        <v>1.589018825978126E-4</v>
      </c>
      <c r="L236" s="3">
        <f t="shared" si="197"/>
        <v>1.589018825978126E-4</v>
      </c>
      <c r="M236" s="3">
        <f t="shared" si="197"/>
        <v>1.589018825978126E-4</v>
      </c>
      <c r="N236" s="3">
        <f t="shared" si="197"/>
        <v>1.589018825978126E-4</v>
      </c>
      <c r="O236" s="3">
        <f t="shared" si="197"/>
        <v>1.589018825978126E-4</v>
      </c>
      <c r="P236" s="3">
        <f t="shared" si="197"/>
        <v>1.589018825978126E-4</v>
      </c>
      <c r="Q236" s="3">
        <f t="shared" si="197"/>
        <v>1.589018825978126E-4</v>
      </c>
      <c r="R236" s="3">
        <f t="shared" si="197"/>
        <v>1.589018825978126E-4</v>
      </c>
      <c r="S236" s="3">
        <f t="shared" si="197"/>
        <v>1.589018825978126E-4</v>
      </c>
      <c r="T236" s="3">
        <f t="shared" si="197"/>
        <v>1.589018825978126E-4</v>
      </c>
      <c r="U236" s="3">
        <f t="shared" si="197"/>
        <v>1.589018825978126E-4</v>
      </c>
      <c r="V236" s="3">
        <f t="shared" si="197"/>
        <v>1.589018825978126E-4</v>
      </c>
      <c r="W236" s="3">
        <f t="shared" si="197"/>
        <v>1.589018825978126E-4</v>
      </c>
      <c r="X236" s="3">
        <f t="shared" si="197"/>
        <v>1.589018825978126E-4</v>
      </c>
      <c r="Y236" s="3">
        <f t="shared" si="197"/>
        <v>1.589018825978126E-4</v>
      </c>
      <c r="Z236" s="3">
        <f t="shared" si="197"/>
        <v>1.589018825978126E-4</v>
      </c>
      <c r="AA236" s="3">
        <f t="shared" si="197"/>
        <v>1.589018825978126E-4</v>
      </c>
      <c r="AB236" s="3">
        <f t="shared" si="197"/>
        <v>1.589018825978126E-4</v>
      </c>
      <c r="AC236" s="3">
        <f t="shared" si="197"/>
        <v>1.5890188259781257E-4</v>
      </c>
      <c r="AD236" s="3">
        <f t="shared" si="197"/>
        <v>1.5890188259781246E-4</v>
      </c>
      <c r="AE236" s="3">
        <f t="shared" si="197"/>
        <v>1.5890188259781138E-4</v>
      </c>
      <c r="AF236" s="3">
        <f t="shared" si="197"/>
        <v>1.5890188259780038E-4</v>
      </c>
      <c r="AG236" s="3"/>
      <c r="AH236" s="3"/>
    </row>
    <row r="237" spans="2:34" x14ac:dyDescent="0.25">
      <c r="B237" s="3">
        <f t="shared" ref="B237:AF237" si="198">$C45*EXP(-B$207/$A45/EXP(-$D$126))</f>
        <v>0</v>
      </c>
      <c r="C237" s="3">
        <f t="shared" si="198"/>
        <v>0</v>
      </c>
      <c r="D237" s="3">
        <f t="shared" si="198"/>
        <v>0</v>
      </c>
      <c r="E237" s="3">
        <f t="shared" si="198"/>
        <v>0</v>
      </c>
      <c r="F237" s="3">
        <f t="shared" si="198"/>
        <v>0</v>
      </c>
      <c r="G237" s="3">
        <f t="shared" si="198"/>
        <v>0</v>
      </c>
      <c r="H237" s="3">
        <f t="shared" si="198"/>
        <v>0</v>
      </c>
      <c r="I237" s="3">
        <f t="shared" si="198"/>
        <v>0</v>
      </c>
      <c r="J237" s="3">
        <f t="shared" si="198"/>
        <v>0</v>
      </c>
      <c r="K237" s="3">
        <f t="shared" si="198"/>
        <v>0</v>
      </c>
      <c r="L237" s="3">
        <f t="shared" si="198"/>
        <v>0</v>
      </c>
      <c r="M237" s="3">
        <f t="shared" si="198"/>
        <v>0</v>
      </c>
      <c r="N237" s="3">
        <f t="shared" si="198"/>
        <v>0</v>
      </c>
      <c r="O237" s="3">
        <f t="shared" si="198"/>
        <v>0</v>
      </c>
      <c r="P237" s="3">
        <f t="shared" si="198"/>
        <v>0</v>
      </c>
      <c r="Q237" s="3">
        <f t="shared" si="198"/>
        <v>0</v>
      </c>
      <c r="R237" s="3">
        <f t="shared" si="198"/>
        <v>0</v>
      </c>
      <c r="S237" s="3">
        <f t="shared" si="198"/>
        <v>0</v>
      </c>
      <c r="T237" s="3">
        <f t="shared" si="198"/>
        <v>0</v>
      </c>
      <c r="U237" s="3">
        <f t="shared" si="198"/>
        <v>0</v>
      </c>
      <c r="V237" s="3">
        <f t="shared" si="198"/>
        <v>0</v>
      </c>
      <c r="W237" s="3">
        <f t="shared" si="198"/>
        <v>0</v>
      </c>
      <c r="X237" s="3">
        <f t="shared" si="198"/>
        <v>0</v>
      </c>
      <c r="Y237" s="3">
        <f t="shared" si="198"/>
        <v>0</v>
      </c>
      <c r="Z237" s="3">
        <f t="shared" si="198"/>
        <v>0</v>
      </c>
      <c r="AA237" s="3">
        <f t="shared" si="198"/>
        <v>0</v>
      </c>
      <c r="AB237" s="3">
        <f t="shared" si="198"/>
        <v>0</v>
      </c>
      <c r="AC237" s="3">
        <f t="shared" si="198"/>
        <v>0</v>
      </c>
      <c r="AD237" s="3">
        <f t="shared" si="198"/>
        <v>0</v>
      </c>
      <c r="AE237" s="3">
        <f t="shared" si="198"/>
        <v>0</v>
      </c>
      <c r="AF237" s="3">
        <f t="shared" si="198"/>
        <v>0</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7.8909905102376337E-4</v>
      </c>
      <c r="C240" s="3">
        <f t="shared" si="201"/>
        <v>7.8909905102376337E-4</v>
      </c>
      <c r="D240" s="3">
        <f t="shared" si="201"/>
        <v>7.8909905102376337E-4</v>
      </c>
      <c r="E240" s="3">
        <f t="shared" si="201"/>
        <v>7.8909905102376337E-4</v>
      </c>
      <c r="F240" s="3">
        <f t="shared" si="201"/>
        <v>7.8909905102376337E-4</v>
      </c>
      <c r="G240" s="3">
        <f t="shared" si="201"/>
        <v>7.8909905102376337E-4</v>
      </c>
      <c r="H240" s="3">
        <f t="shared" si="201"/>
        <v>7.8909905102376337E-4</v>
      </c>
      <c r="I240" s="3">
        <f t="shared" si="201"/>
        <v>7.8909905102376337E-4</v>
      </c>
      <c r="J240" s="3">
        <f t="shared" si="201"/>
        <v>7.8909905102376337E-4</v>
      </c>
      <c r="K240" s="3">
        <f t="shared" si="201"/>
        <v>7.8909905102376337E-4</v>
      </c>
      <c r="L240" s="3">
        <f t="shared" si="201"/>
        <v>7.8909905102376337E-4</v>
      </c>
      <c r="M240" s="3">
        <f t="shared" si="201"/>
        <v>7.8909905102376337E-4</v>
      </c>
      <c r="N240" s="3">
        <f t="shared" si="201"/>
        <v>7.8909905102376337E-4</v>
      </c>
      <c r="O240" s="3">
        <f t="shared" si="201"/>
        <v>7.8909905102376337E-4</v>
      </c>
      <c r="P240" s="3">
        <f t="shared" si="201"/>
        <v>7.8909905102376337E-4</v>
      </c>
      <c r="Q240" s="3">
        <f t="shared" si="201"/>
        <v>7.8909905102376337E-4</v>
      </c>
      <c r="R240" s="3">
        <f t="shared" si="201"/>
        <v>7.8909905102376337E-4</v>
      </c>
      <c r="S240" s="3">
        <f t="shared" si="201"/>
        <v>7.8909905102376337E-4</v>
      </c>
      <c r="T240" s="3">
        <f t="shared" si="201"/>
        <v>7.8909905102376337E-4</v>
      </c>
      <c r="U240" s="3">
        <f t="shared" si="201"/>
        <v>7.8909905102376337E-4</v>
      </c>
      <c r="V240" s="3">
        <f t="shared" si="201"/>
        <v>7.8909905102376337E-4</v>
      </c>
      <c r="W240" s="3">
        <f t="shared" si="201"/>
        <v>7.8909905102376337E-4</v>
      </c>
      <c r="X240" s="3">
        <f t="shared" si="201"/>
        <v>7.8909905102376337E-4</v>
      </c>
      <c r="Y240" s="3">
        <f t="shared" si="201"/>
        <v>7.8909905102376337E-4</v>
      </c>
      <c r="Z240" s="3">
        <f t="shared" si="201"/>
        <v>7.8909905102376337E-4</v>
      </c>
      <c r="AA240" s="3">
        <f t="shared" si="201"/>
        <v>7.8909905102376337E-4</v>
      </c>
      <c r="AB240" s="3">
        <f t="shared" si="201"/>
        <v>7.8909905102376337E-4</v>
      </c>
      <c r="AC240" s="3">
        <f t="shared" si="201"/>
        <v>7.8909905102376337E-4</v>
      </c>
      <c r="AD240" s="3">
        <f t="shared" si="201"/>
        <v>7.8909905102376337E-4</v>
      </c>
      <c r="AE240" s="3">
        <f t="shared" si="201"/>
        <v>7.8909905102376337E-4</v>
      </c>
      <c r="AF240" s="3">
        <f t="shared" si="201"/>
        <v>7.8909905102376337E-4</v>
      </c>
      <c r="AG240" s="3"/>
      <c r="AH240" s="3"/>
    </row>
    <row r="241" spans="1:34" x14ac:dyDescent="0.25">
      <c r="A241" s="79">
        <f>AVERAGE(B241:AF241)</f>
        <v>4.5730704322496887E-2</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0.16942956440353019</v>
      </c>
      <c r="M241" s="80">
        <f t="shared" si="202"/>
        <v>0.16940182697771242</v>
      </c>
      <c r="N241" s="80">
        <f t="shared" si="202"/>
        <v>0.16912654038665978</v>
      </c>
      <c r="O241" s="80">
        <f t="shared" si="202"/>
        <v>0.16656863472213138</v>
      </c>
      <c r="P241" s="80">
        <f t="shared" si="202"/>
        <v>0.1530420236590247</v>
      </c>
      <c r="Q241" s="80">
        <f t="shared" si="202"/>
        <v>0.13591735347153894</v>
      </c>
      <c r="R241" s="80">
        <f t="shared" si="202"/>
        <v>0.11678186935461771</v>
      </c>
      <c r="S241" s="80">
        <f t="shared" si="202"/>
        <v>9.7676097144820201E-2</v>
      </c>
      <c r="T241" s="80">
        <f t="shared" si="202"/>
        <v>9.2815356229881144E-2</v>
      </c>
      <c r="U241" s="80">
        <f t="shared" si="202"/>
        <v>8.8596658259900117E-3</v>
      </c>
      <c r="V241" s="80">
        <f t="shared" si="202"/>
        <v>0.13803290182149694</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8455.6790420711695</v>
      </c>
      <c r="C242" s="21">
        <f t="shared" ref="C242:AF242" si="203">(C209-C208)^2</f>
        <v>444395.03355970891</v>
      </c>
      <c r="D242" s="21">
        <f t="shared" si="203"/>
        <v>1541463.302642765</v>
      </c>
      <c r="E242" s="21">
        <f t="shared" si="203"/>
        <v>1542845.5651216826</v>
      </c>
      <c r="F242" s="21">
        <f t="shared" si="203"/>
        <v>1542838.2411021842</v>
      </c>
      <c r="G242" s="21">
        <f t="shared" si="203"/>
        <v>1542836.1049344651</v>
      </c>
      <c r="H242" s="21">
        <f t="shared" si="203"/>
        <v>1542835.3420203477</v>
      </c>
      <c r="I242" s="21">
        <f t="shared" si="203"/>
        <v>1542835.0368791732</v>
      </c>
      <c r="J242" s="21">
        <f t="shared" si="203"/>
        <v>1542834.2742169925</v>
      </c>
      <c r="K242" s="21">
        <f t="shared" si="203"/>
        <v>1542828.1734368948</v>
      </c>
      <c r="L242" s="21">
        <f t="shared" si="203"/>
        <v>1542767.3191031383</v>
      </c>
      <c r="M242" s="21">
        <f t="shared" si="203"/>
        <v>1542159.1692334998</v>
      </c>
      <c r="N242" s="21">
        <f t="shared" si="203"/>
        <v>1536132.1363678174</v>
      </c>
      <c r="O242" s="21">
        <f t="shared" si="203"/>
        <v>1480880.8921959519</v>
      </c>
      <c r="P242" s="21">
        <f t="shared" si="203"/>
        <v>1210476.7214789081</v>
      </c>
      <c r="Q242" s="21">
        <f t="shared" si="203"/>
        <v>916963.88763835351</v>
      </c>
      <c r="R242" s="21">
        <f t="shared" si="203"/>
        <v>645776.63474472926</v>
      </c>
      <c r="S242" s="21">
        <f t="shared" si="203"/>
        <v>419790.67196304345</v>
      </c>
      <c r="T242" s="21">
        <f t="shared" si="203"/>
        <v>324986.84993896179</v>
      </c>
      <c r="U242" s="21">
        <f t="shared" si="203"/>
        <v>2174.4289594970246</v>
      </c>
      <c r="V242" s="21">
        <f t="shared" si="203"/>
        <v>368722.28547339747</v>
      </c>
      <c r="W242" s="21">
        <f t="shared" si="203"/>
        <v>828705.71017662983</v>
      </c>
      <c r="X242" s="21">
        <f t="shared" si="203"/>
        <v>863982.28766145883</v>
      </c>
      <c r="Y242" s="21">
        <f t="shared" si="203"/>
        <v>525338.34965033957</v>
      </c>
      <c r="Z242" s="21">
        <f t="shared" si="203"/>
        <v>128134.95676096257</v>
      </c>
      <c r="AA242" s="21">
        <f t="shared" si="203"/>
        <v>12565.634717810248</v>
      </c>
      <c r="AB242" s="21">
        <f t="shared" si="203"/>
        <v>237842.25786104193</v>
      </c>
      <c r="AC242" s="21">
        <f t="shared" si="203"/>
        <v>348415.45480907644</v>
      </c>
      <c r="AD242" s="21">
        <f t="shared" si="203"/>
        <v>203155.08019526189</v>
      </c>
      <c r="AE242" s="21">
        <f t="shared" si="203"/>
        <v>59046.284300260704</v>
      </c>
      <c r="AF242" s="21">
        <f t="shared" si="203"/>
        <v>3628.9261220399221</v>
      </c>
      <c r="AG242" s="3"/>
      <c r="AH242" s="3"/>
    </row>
    <row r="243" spans="1:34" x14ac:dyDescent="0.25">
      <c r="A243" s="71">
        <f>SUM(B243:AF243)</f>
        <v>9990830.9970972985</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1542767.3191031383</v>
      </c>
      <c r="M243" s="60">
        <f t="shared" ref="M243" si="214">IF($A$64&lt;=M207,IF($B$64&gt;=M207,ABS(M242),0),0)</f>
        <v>1542159.1692334998</v>
      </c>
      <c r="N243" s="60">
        <f t="shared" ref="N243" si="215">IF($A$64&lt;=N207,IF($B$64&gt;=N207,ABS(N242),0),0)</f>
        <v>1536132.1363678174</v>
      </c>
      <c r="O243" s="60">
        <f t="shared" ref="O243" si="216">IF($A$64&lt;=O207,IF($B$64&gt;=O207,ABS(O242),0),0)</f>
        <v>1480880.8921959519</v>
      </c>
      <c r="P243" s="60">
        <f t="shared" ref="P243" si="217">IF($A$64&lt;=P207,IF($B$64&gt;=P207,ABS(P242),0),0)</f>
        <v>1210476.7214789081</v>
      </c>
      <c r="Q243" s="60">
        <f t="shared" ref="Q243" si="218">IF($A$64&lt;=Q207,IF($B$64&gt;=Q207,ABS(Q242),0),0)</f>
        <v>916963.88763835351</v>
      </c>
      <c r="R243" s="60">
        <f t="shared" ref="R243" si="219">IF($A$64&lt;=R207,IF($B$64&gt;=R207,ABS(R242),0),0)</f>
        <v>645776.63474472926</v>
      </c>
      <c r="S243" s="60">
        <f t="shared" ref="S243" si="220">IF($A$64&lt;=S207,IF($B$64&gt;=S207,ABS(S242),0),0)</f>
        <v>419790.67196304345</v>
      </c>
      <c r="T243" s="60">
        <f t="shared" ref="T243" si="221">IF($A$64&lt;=T207,IF($B$64&gt;=T207,ABS(T242),0),0)</f>
        <v>324986.84993896179</v>
      </c>
      <c r="U243" s="60">
        <f t="shared" ref="U243" si="222">IF($A$64&lt;=U207,IF($B$64&gt;=U207,ABS(U242),0),0)</f>
        <v>2174.4289594970246</v>
      </c>
      <c r="V243" s="60">
        <f t="shared" ref="V243" si="223">IF($A$64&lt;=V207,IF($B$64&gt;=V207,ABS(V242),0),0)</f>
        <v>368722.28547339747</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7287.2421568641066</v>
      </c>
      <c r="C247" s="26">
        <f>INDEX(Comparison!$AM$3:$AS$33,G$14,$E$122)</f>
        <v>7287.3146216469959</v>
      </c>
      <c r="D247" s="26">
        <f>INDEX(Comparison!$AM$3:$AS$33,H$14,$E$122)</f>
        <v>7287.2757793731034</v>
      </c>
      <c r="E247" s="26">
        <f>INDEX(Comparison!$AM$3:$AS$33,I$14,$E$122)</f>
        <v>7287.2657654165014</v>
      </c>
      <c r="F247" s="26">
        <f>INDEX(Comparison!$AM$3:$AS$33,J$14,$E$122)</f>
        <v>7287.2629129611732</v>
      </c>
      <c r="G247" s="26">
        <f>INDEX(Comparison!$AM$3:$AS$33,K$14,$E$122)</f>
        <v>7287.2618205320641</v>
      </c>
      <c r="H247" s="26">
        <f>INDEX(Comparison!$AM$3:$AS$33,L$14,$E$122)</f>
        <v>7287.2593322225375</v>
      </c>
      <c r="I247" s="26">
        <f>INDEX(Comparison!$AM$3:$AS$33,M$14,$E$122)</f>
        <v>7287.2374230339683</v>
      </c>
      <c r="J247" s="26">
        <f>INDEX(Comparison!$AM$3:$AS$33,N$14,$E$122)</f>
        <v>7287.0191880040384</v>
      </c>
      <c r="K247" s="26">
        <f>INDEX(Comparison!$AM$3:$AS$33,O$14,$E$122)</f>
        <v>7284.8522944162632</v>
      </c>
      <c r="L247" s="26">
        <f>INDEX(Comparison!$AM$3:$AS$33,P$14,$E$122)</f>
        <v>7264.6309792458533</v>
      </c>
      <c r="M247" s="26">
        <f>INDEX(Comparison!$AM$3:$AS$33,Q$14,$E$122)</f>
        <v>7153.647880511483</v>
      </c>
      <c r="N247" s="26">
        <f>INDEX(Comparison!$AM$3:$AS$33,R$14,$E$122)</f>
        <v>7011.9974153857656</v>
      </c>
      <c r="O247" s="26">
        <f>INDEX(Comparison!$AM$3:$AS$33,S$14,$E$122)</f>
        <v>6854.7708758756735</v>
      </c>
      <c r="P247" s="26">
        <f>INDEX(Comparison!$AM$3:$AS$33,T$14,$E$122)</f>
        <v>6667.3368038637464</v>
      </c>
      <c r="Q247" s="26">
        <f>INDEX(Comparison!$AM$3:$AS$33,U$14,$E$122)</f>
        <v>6457.8733144157241</v>
      </c>
      <c r="R247" s="26">
        <f>INDEX(Comparison!$AM$3:$AS$33,V$14,$E$122)</f>
        <v>6197.1395066404111</v>
      </c>
      <c r="S247" s="26">
        <f>INDEX(Comparison!$AM$3:$AS$33,W$14,$E$122)</f>
        <v>5728.6851502202007</v>
      </c>
      <c r="T247" s="26">
        <f>INDEX(Comparison!$AM$3:$AS$33,X$14,$E$122)</f>
        <v>4909.4106843846976</v>
      </c>
      <c r="U247" s="26">
        <f>INDEX(Comparison!$AM$3:$AS$33,Y$14,$E$122)</f>
        <v>4054.6855956010618</v>
      </c>
      <c r="V247" s="26">
        <f>INDEX(Comparison!$AM$3:$AS$33,Z$14,$E$122)</f>
        <v>3384.7376862720757</v>
      </c>
      <c r="W247" s="26">
        <f>INDEX(Comparison!$AM$3:$AS$33,AA$14,$E$122)</f>
        <v>2867.8130883318549</v>
      </c>
      <c r="X247" s="26">
        <f>INDEX(Comparison!$AM$3:$AS$33,AB$14,$E$122)</f>
        <v>2393.9219661874804</v>
      </c>
      <c r="Y247" s="26">
        <f>INDEX(Comparison!$AM$3:$AS$33,AC$14,$E$122)</f>
        <v>1923.0446750969861</v>
      </c>
      <c r="Z247" s="26">
        <f>INDEX(Comparison!$AM$3:$AS$33,AD$14,$E$122)</f>
        <v>1433.0262098856042</v>
      </c>
      <c r="AA247" s="26">
        <f>INDEX(Comparison!$AM$3:$AS$33,AE$14,$E$122)</f>
        <v>928.3724969127901</v>
      </c>
      <c r="AB247" s="26">
        <f>INDEX(Comparison!$AM$3:$AS$33,AF$14,$E$122)</f>
        <v>540.77757065756475</v>
      </c>
      <c r="AC247" s="26">
        <f>INDEX(Comparison!$AM$3:$AS$33,AG$14,$E$122)</f>
        <v>302.10819766520217</v>
      </c>
      <c r="AD247" s="26">
        <f>INDEX(Comparison!$AM$3:$AS$33,AH$14,$E$122)</f>
        <v>167.95607666429018</v>
      </c>
      <c r="AE247" s="26">
        <f>INDEX(Comparison!$AM$3:$AS$33,AI$14,$E$122)</f>
        <v>115.55588342611547</v>
      </c>
      <c r="AF247" s="26">
        <f>INDEX(Comparison!$AM$3:$AS$33,AJ$14,$E$122)</f>
        <v>100.53155340781859</v>
      </c>
      <c r="AG247" s="26"/>
      <c r="AH247" s="26"/>
    </row>
    <row r="248" spans="1:34" x14ac:dyDescent="0.25">
      <c r="A248" s="70" t="s">
        <v>22</v>
      </c>
      <c r="B248" s="27">
        <f>($C$17+SUM(B249:B279))*$B$51</f>
        <v>6088.8810507750559</v>
      </c>
      <c r="C248" s="27">
        <f t="shared" ref="C248:AF248" si="234">($C$17+SUM(C249:C279))*$B$51</f>
        <v>6088.8810506995032</v>
      </c>
      <c r="D248" s="27">
        <f t="shared" si="234"/>
        <v>6088.8810506994723</v>
      </c>
      <c r="E248" s="27">
        <f t="shared" si="234"/>
        <v>6088.8810506991576</v>
      </c>
      <c r="F248" s="27">
        <f t="shared" si="234"/>
        <v>6088.8810506960308</v>
      </c>
      <c r="G248" s="27">
        <f t="shared" si="234"/>
        <v>6088.8810506647496</v>
      </c>
      <c r="H248" s="27">
        <f t="shared" si="234"/>
        <v>6088.8810503519471</v>
      </c>
      <c r="I248" s="27">
        <f t="shared" si="234"/>
        <v>6088.8810472239102</v>
      </c>
      <c r="J248" s="27">
        <f t="shared" si="234"/>
        <v>6088.8810159435507</v>
      </c>
      <c r="K248" s="27">
        <f t="shared" si="234"/>
        <v>6088.880703140042</v>
      </c>
      <c r="L248" s="27">
        <f t="shared" si="234"/>
        <v>6088.8775751139756</v>
      </c>
      <c r="M248" s="27">
        <f t="shared" si="234"/>
        <v>6088.8462957546444</v>
      </c>
      <c r="N248" s="27">
        <f t="shared" si="234"/>
        <v>6088.5335922770309</v>
      </c>
      <c r="O248" s="27">
        <f t="shared" si="234"/>
        <v>6085.4155510643186</v>
      </c>
      <c r="P248" s="27">
        <f t="shared" si="234"/>
        <v>6055.1167567382954</v>
      </c>
      <c r="Q248" s="27">
        <f t="shared" si="234"/>
        <v>5824.9384001730523</v>
      </c>
      <c r="R248" s="27">
        <f t="shared" si="234"/>
        <v>5432.2121340190824</v>
      </c>
      <c r="S248" s="27">
        <f t="shared" si="234"/>
        <v>5183.5800389813776</v>
      </c>
      <c r="T248" s="27">
        <f t="shared" si="234"/>
        <v>4851.568795439769</v>
      </c>
      <c r="U248" s="27">
        <f t="shared" si="234"/>
        <v>4475.1429512104496</v>
      </c>
      <c r="V248" s="27">
        <f t="shared" si="234"/>
        <v>3958.774774825165</v>
      </c>
      <c r="W248" s="27">
        <f t="shared" si="234"/>
        <v>3319.0908587037006</v>
      </c>
      <c r="X248" s="27">
        <f t="shared" si="234"/>
        <v>2543.8453518554829</v>
      </c>
      <c r="Y248" s="27">
        <f t="shared" si="234"/>
        <v>1671.4387006847962</v>
      </c>
      <c r="Z248" s="27">
        <f t="shared" si="234"/>
        <v>995.28716199407665</v>
      </c>
      <c r="AA248" s="27">
        <f t="shared" si="234"/>
        <v>563.64608381378491</v>
      </c>
      <c r="AB248" s="27">
        <f t="shared" si="234"/>
        <v>320.54479049824408</v>
      </c>
      <c r="AC248" s="27">
        <f t="shared" si="234"/>
        <v>245.47423704023947</v>
      </c>
      <c r="AD248" s="27">
        <f t="shared" si="234"/>
        <v>213.03233802114133</v>
      </c>
      <c r="AE248" s="27">
        <f t="shared" si="234"/>
        <v>197.78544750594676</v>
      </c>
      <c r="AF248" s="27">
        <f t="shared" si="234"/>
        <v>183.49221110439225</v>
      </c>
      <c r="AG248" s="27"/>
      <c r="AH248" s="27"/>
    </row>
    <row r="249" spans="1:34" x14ac:dyDescent="0.25">
      <c r="B249" s="3">
        <f t="shared" ref="B249:AF249" si="235">$C18*EXP(-B$246/$A18/EXP(-$E$126))</f>
        <v>1.0305679901172794E-11</v>
      </c>
      <c r="C249" s="3">
        <f t="shared" si="235"/>
        <v>1.174388348828226E-103</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7.5788306997470037E-2</v>
      </c>
      <c r="C250" s="3">
        <f t="shared" si="236"/>
        <v>7.5788306997469621E-2</v>
      </c>
      <c r="D250" s="3">
        <f t="shared" si="236"/>
        <v>7.5788306997465513E-2</v>
      </c>
      <c r="E250" s="3">
        <f t="shared" si="236"/>
        <v>7.5788306997424421E-2</v>
      </c>
      <c r="F250" s="3">
        <f t="shared" si="236"/>
        <v>7.5788306997013416E-2</v>
      </c>
      <c r="G250" s="3">
        <f t="shared" si="236"/>
        <v>7.578830699290344E-2</v>
      </c>
      <c r="H250" s="3">
        <f t="shared" si="236"/>
        <v>7.5788306951803636E-2</v>
      </c>
      <c r="I250" s="3">
        <f t="shared" si="236"/>
        <v>7.5788306540805622E-2</v>
      </c>
      <c r="J250" s="3">
        <f t="shared" si="236"/>
        <v>7.5788302430825585E-2</v>
      </c>
      <c r="K250" s="3">
        <f t="shared" si="236"/>
        <v>7.5788261331037499E-2</v>
      </c>
      <c r="L250" s="3">
        <f t="shared" si="236"/>
        <v>7.5787850334382567E-2</v>
      </c>
      <c r="M250" s="3">
        <f t="shared" si="236"/>
        <v>7.5783740490416182E-2</v>
      </c>
      <c r="N250" s="3">
        <f t="shared" si="236"/>
        <v>7.5742654306593368E-2</v>
      </c>
      <c r="O250" s="3">
        <f t="shared" si="236"/>
        <v>7.533301559689097E-2</v>
      </c>
      <c r="P250" s="3">
        <f t="shared" si="236"/>
        <v>7.1356522338127407E-2</v>
      </c>
      <c r="Q250" s="3">
        <f t="shared" si="236"/>
        <v>4.1487465887801507E-2</v>
      </c>
      <c r="R250" s="3">
        <f t="shared" si="236"/>
        <v>1.8312567241228979E-4</v>
      </c>
      <c r="S250" s="3">
        <f t="shared" si="236"/>
        <v>5.141294396722809E-28</v>
      </c>
      <c r="T250" s="3">
        <f t="shared" si="236"/>
        <v>1.5642453662715676E-263</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2.742614598116927E-2</v>
      </c>
      <c r="C251" s="3">
        <f t="shared" si="237"/>
        <v>2.7426145981169256E-2</v>
      </c>
      <c r="D251" s="3">
        <f t="shared" si="237"/>
        <v>2.7426145981169121E-2</v>
      </c>
      <c r="E251" s="3">
        <f t="shared" si="237"/>
        <v>2.7426145981167778E-2</v>
      </c>
      <c r="F251" s="3">
        <f t="shared" si="237"/>
        <v>2.7426145981154362E-2</v>
      </c>
      <c r="G251" s="3">
        <f t="shared" si="237"/>
        <v>2.7426145981020195E-2</v>
      </c>
      <c r="H251" s="3">
        <f t="shared" si="237"/>
        <v>2.7426145979678514E-2</v>
      </c>
      <c r="I251" s="3">
        <f t="shared" si="237"/>
        <v>2.7426145966261715E-2</v>
      </c>
      <c r="J251" s="3">
        <f t="shared" si="237"/>
        <v>2.7426145832093733E-2</v>
      </c>
      <c r="K251" s="3">
        <f t="shared" si="237"/>
        <v>2.7426144490413931E-2</v>
      </c>
      <c r="L251" s="3">
        <f t="shared" si="237"/>
        <v>2.7426131073619513E-2</v>
      </c>
      <c r="M251" s="3">
        <f t="shared" si="237"/>
        <v>2.742599690603633E-2</v>
      </c>
      <c r="N251" s="3">
        <f t="shared" si="237"/>
        <v>2.7424655266302844E-2</v>
      </c>
      <c r="O251" s="3">
        <f t="shared" si="237"/>
        <v>2.74112424781464E-2</v>
      </c>
      <c r="P251" s="3">
        <f t="shared" si="237"/>
        <v>2.7277474862009578E-2</v>
      </c>
      <c r="Q251" s="3">
        <f t="shared" si="237"/>
        <v>2.5975181596990523E-2</v>
      </c>
      <c r="R251" s="3">
        <f t="shared" si="237"/>
        <v>1.5925859316058423E-2</v>
      </c>
      <c r="S251" s="3">
        <f t="shared" si="237"/>
        <v>1.1954893187201619E-4</v>
      </c>
      <c r="T251" s="3">
        <f t="shared" si="237"/>
        <v>6.7916289722174583E-26</v>
      </c>
      <c r="U251" s="3">
        <f t="shared" si="237"/>
        <v>2.3782443484207101E-238</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4.6802795715284964E-2</v>
      </c>
      <c r="C252" s="3">
        <f t="shared" si="238"/>
        <v>4.6802795715284964E-2</v>
      </c>
      <c r="D252" s="3">
        <f t="shared" si="238"/>
        <v>4.6802795715284944E-2</v>
      </c>
      <c r="E252" s="3">
        <f t="shared" si="238"/>
        <v>4.6802795715284735E-2</v>
      </c>
      <c r="F252" s="3">
        <f t="shared" si="238"/>
        <v>4.6802795715282668E-2</v>
      </c>
      <c r="G252" s="3">
        <f t="shared" si="238"/>
        <v>4.6802795715262017E-2</v>
      </c>
      <c r="H252" s="3">
        <f t="shared" si="238"/>
        <v>4.6802795715055474E-2</v>
      </c>
      <c r="I252" s="3">
        <f t="shared" si="238"/>
        <v>4.6802795712990085E-2</v>
      </c>
      <c r="J252" s="3">
        <f t="shared" si="238"/>
        <v>4.6802795692336162E-2</v>
      </c>
      <c r="K252" s="3">
        <f t="shared" si="238"/>
        <v>4.6802795485796959E-2</v>
      </c>
      <c r="L252" s="3">
        <f t="shared" si="238"/>
        <v>4.6802793420404977E-2</v>
      </c>
      <c r="M252" s="3">
        <f t="shared" si="238"/>
        <v>4.6802772766490162E-2</v>
      </c>
      <c r="N252" s="3">
        <f t="shared" si="238"/>
        <v>4.680256622784329E-2</v>
      </c>
      <c r="O252" s="3">
        <f t="shared" si="238"/>
        <v>4.6800500891503435E-2</v>
      </c>
      <c r="P252" s="3">
        <f t="shared" si="238"/>
        <v>4.6779852540174659E-2</v>
      </c>
      <c r="Q252" s="3">
        <f t="shared" si="238"/>
        <v>4.6573869416453528E-2</v>
      </c>
      <c r="R252" s="3">
        <f t="shared" si="238"/>
        <v>4.456326965554884E-2</v>
      </c>
      <c r="S252" s="3">
        <f t="shared" si="238"/>
        <v>2.8663176385311771E-2</v>
      </c>
      <c r="T252" s="3">
        <f t="shared" si="238"/>
        <v>3.4737375113021954E-4</v>
      </c>
      <c r="U252" s="3">
        <f t="shared" si="238"/>
        <v>2.3742356430496456E-23</v>
      </c>
      <c r="V252" s="3">
        <f t="shared" si="238"/>
        <v>5.2819227040830183E-215</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4.5136552781973364E-2</v>
      </c>
      <c r="C253" s="3">
        <f t="shared" si="239"/>
        <v>4.5136552781973364E-2</v>
      </c>
      <c r="D253" s="3">
        <f t="shared" si="239"/>
        <v>4.5136552781973364E-2</v>
      </c>
      <c r="E253" s="3">
        <f t="shared" si="239"/>
        <v>4.5136552781973344E-2</v>
      </c>
      <c r="F253" s="3">
        <f t="shared" si="239"/>
        <v>4.5136552781973163E-2</v>
      </c>
      <c r="G253" s="3">
        <f t="shared" si="239"/>
        <v>4.5136552781971373E-2</v>
      </c>
      <c r="H253" s="3">
        <f t="shared" si="239"/>
        <v>4.5136552781953401E-2</v>
      </c>
      <c r="I253" s="3">
        <f t="shared" si="239"/>
        <v>4.5136552781773719E-2</v>
      </c>
      <c r="J253" s="3">
        <f t="shared" si="239"/>
        <v>4.5136552779976892E-2</v>
      </c>
      <c r="K253" s="3">
        <f t="shared" si="239"/>
        <v>4.5136552762008647E-2</v>
      </c>
      <c r="L253" s="3">
        <f t="shared" si="239"/>
        <v>4.5136552582326191E-2</v>
      </c>
      <c r="M253" s="3">
        <f t="shared" si="239"/>
        <v>4.5136550785501647E-2</v>
      </c>
      <c r="N253" s="3">
        <f t="shared" si="239"/>
        <v>4.5136532817260169E-2</v>
      </c>
      <c r="O253" s="3">
        <f t="shared" si="239"/>
        <v>4.5136353135238783E-2</v>
      </c>
      <c r="P253" s="3">
        <f t="shared" si="239"/>
        <v>4.5134556354365279E-2</v>
      </c>
      <c r="Q253" s="3">
        <f t="shared" si="239"/>
        <v>4.5116592479088925E-2</v>
      </c>
      <c r="R253" s="3">
        <f t="shared" si="239"/>
        <v>4.4937346493441575E-2</v>
      </c>
      <c r="S253" s="3">
        <f t="shared" si="239"/>
        <v>4.3183590942723907E-2</v>
      </c>
      <c r="T253" s="3">
        <f t="shared" si="239"/>
        <v>2.9002273605507459E-2</v>
      </c>
      <c r="U253" s="3">
        <f t="shared" si="239"/>
        <v>5.4145823714313757E-4</v>
      </c>
      <c r="V253" s="3">
        <f t="shared" si="239"/>
        <v>2.7854422667361359E-21</v>
      </c>
      <c r="W253" s="3">
        <f t="shared" si="239"/>
        <v>3.6156478496635443E-194</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6.7281406852932088E-2</v>
      </c>
      <c r="C254" s="3">
        <f t="shared" si="240"/>
        <v>6.7281406852932088E-2</v>
      </c>
      <c r="D254" s="3">
        <f t="shared" si="240"/>
        <v>6.7281406852932088E-2</v>
      </c>
      <c r="E254" s="3">
        <f t="shared" si="240"/>
        <v>6.7281406852932088E-2</v>
      </c>
      <c r="F254" s="3">
        <f t="shared" si="240"/>
        <v>6.728140685293206E-2</v>
      </c>
      <c r="G254" s="3">
        <f t="shared" si="240"/>
        <v>6.7281406852931824E-2</v>
      </c>
      <c r="H254" s="3">
        <f t="shared" si="240"/>
        <v>6.728140685292941E-2</v>
      </c>
      <c r="I254" s="3">
        <f t="shared" si="240"/>
        <v>6.7281406852905248E-2</v>
      </c>
      <c r="J254" s="3">
        <f t="shared" si="240"/>
        <v>6.7281406852663636E-2</v>
      </c>
      <c r="K254" s="3">
        <f t="shared" si="240"/>
        <v>6.7281406850247513E-2</v>
      </c>
      <c r="L254" s="3">
        <f t="shared" si="240"/>
        <v>6.7281406826086285E-2</v>
      </c>
      <c r="M254" s="3">
        <f t="shared" si="240"/>
        <v>6.7281406584474027E-2</v>
      </c>
      <c r="N254" s="3">
        <f t="shared" si="240"/>
        <v>6.72814041683516E-2</v>
      </c>
      <c r="O254" s="3">
        <f t="shared" si="240"/>
        <v>6.7281380007131963E-2</v>
      </c>
      <c r="P254" s="3">
        <f t="shared" si="240"/>
        <v>6.7281138395412846E-2</v>
      </c>
      <c r="Q254" s="3">
        <f t="shared" si="240"/>
        <v>6.727872232594162E-2</v>
      </c>
      <c r="R254" s="3">
        <f t="shared" si="240"/>
        <v>6.7254566402580776E-2</v>
      </c>
      <c r="S254" s="3">
        <f t="shared" si="240"/>
        <v>6.7013483670759363E-2</v>
      </c>
      <c r="T254" s="3">
        <f t="shared" si="240"/>
        <v>6.464967944079722E-2</v>
      </c>
      <c r="U254" s="3">
        <f t="shared" si="240"/>
        <v>4.5144846675577298E-2</v>
      </c>
      <c r="V254" s="3">
        <f t="shared" si="240"/>
        <v>1.2445898303492411E-3</v>
      </c>
      <c r="W254" s="3">
        <f t="shared" si="240"/>
        <v>3.1565080721378166E-19</v>
      </c>
      <c r="X254" s="3">
        <f t="shared" si="240"/>
        <v>3.4754693840369182E-175</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8.4823708436980116E-2</v>
      </c>
      <c r="C255" s="3">
        <f t="shared" si="241"/>
        <v>8.4823708436980116E-2</v>
      </c>
      <c r="D255" s="3">
        <f t="shared" si="241"/>
        <v>8.4823708436980116E-2</v>
      </c>
      <c r="E255" s="3">
        <f t="shared" si="241"/>
        <v>8.4823708436980116E-2</v>
      </c>
      <c r="F255" s="3">
        <f t="shared" si="241"/>
        <v>8.4823708436980116E-2</v>
      </c>
      <c r="G255" s="3">
        <f t="shared" si="241"/>
        <v>8.4823708436980089E-2</v>
      </c>
      <c r="H255" s="3">
        <f t="shared" si="241"/>
        <v>8.4823708436979811E-2</v>
      </c>
      <c r="I255" s="3">
        <f t="shared" si="241"/>
        <v>8.4823708436977063E-2</v>
      </c>
      <c r="J255" s="3">
        <f t="shared" si="241"/>
        <v>8.4823708436949585E-2</v>
      </c>
      <c r="K255" s="3">
        <f t="shared" si="241"/>
        <v>8.4823708436674805E-2</v>
      </c>
      <c r="L255" s="3">
        <f t="shared" si="241"/>
        <v>8.4823708433926989E-2</v>
      </c>
      <c r="M255" s="3">
        <f t="shared" si="241"/>
        <v>8.4823708406448831E-2</v>
      </c>
      <c r="N255" s="3">
        <f t="shared" si="241"/>
        <v>8.4823708131667161E-2</v>
      </c>
      <c r="O255" s="3">
        <f t="shared" si="241"/>
        <v>8.48237053838507E-2</v>
      </c>
      <c r="P255" s="3">
        <f t="shared" si="241"/>
        <v>8.4823677905690884E-2</v>
      </c>
      <c r="Q255" s="3">
        <f t="shared" si="241"/>
        <v>8.4823403124582308E-2</v>
      </c>
      <c r="R255" s="3">
        <f t="shared" si="241"/>
        <v>8.4820655362453562E-2</v>
      </c>
      <c r="S255" s="3">
        <f t="shared" si="241"/>
        <v>8.4793182636283035E-2</v>
      </c>
      <c r="T255" s="3">
        <f t="shared" si="241"/>
        <v>8.4518944300040449E-2</v>
      </c>
      <c r="U255" s="3">
        <f t="shared" si="241"/>
        <v>8.1824872503902246E-2</v>
      </c>
      <c r="V255" s="3">
        <f t="shared" si="241"/>
        <v>5.9183149418818574E-2</v>
      </c>
      <c r="W255" s="3">
        <f t="shared" si="241"/>
        <v>2.3191317562744639E-3</v>
      </c>
      <c r="X255" s="3">
        <f t="shared" si="241"/>
        <v>1.9796979236580991E-17</v>
      </c>
      <c r="Y255" s="3">
        <f t="shared" si="241"/>
        <v>4.0675600703331981E-158</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0.10369484660409525</v>
      </c>
      <c r="C256" s="3">
        <f t="shared" si="242"/>
        <v>0.10369484660409525</v>
      </c>
      <c r="D256" s="3">
        <f t="shared" si="242"/>
        <v>0.10369484660409525</v>
      </c>
      <c r="E256" s="3">
        <f t="shared" si="242"/>
        <v>0.10369484660409525</v>
      </c>
      <c r="F256" s="3">
        <f t="shared" si="242"/>
        <v>0.10369484660409525</v>
      </c>
      <c r="G256" s="3">
        <f t="shared" si="242"/>
        <v>0.10369484660409525</v>
      </c>
      <c r="H256" s="3">
        <f t="shared" si="242"/>
        <v>0.10369484660409523</v>
      </c>
      <c r="I256" s="3">
        <f t="shared" si="242"/>
        <v>0.10369484660409492</v>
      </c>
      <c r="J256" s="3">
        <f t="shared" si="242"/>
        <v>0.10369484660409189</v>
      </c>
      <c r="K256" s="3">
        <f t="shared" si="242"/>
        <v>0.10369484660406159</v>
      </c>
      <c r="L256" s="3">
        <f t="shared" si="242"/>
        <v>0.10369484660375856</v>
      </c>
      <c r="M256" s="3">
        <f t="shared" si="242"/>
        <v>0.10369484660072834</v>
      </c>
      <c r="N256" s="3">
        <f t="shared" si="242"/>
        <v>0.10369484657042613</v>
      </c>
      <c r="O256" s="3">
        <f t="shared" si="242"/>
        <v>0.10369484626740408</v>
      </c>
      <c r="P256" s="3">
        <f t="shared" si="242"/>
        <v>0.10369484323718359</v>
      </c>
      <c r="Q256" s="3">
        <f t="shared" si="242"/>
        <v>0.10369481293498344</v>
      </c>
      <c r="R256" s="3">
        <f t="shared" si="242"/>
        <v>0.10369450991346904</v>
      </c>
      <c r="S256" s="3">
        <f t="shared" si="242"/>
        <v>0.10369147974702737</v>
      </c>
      <c r="T256" s="3">
        <f t="shared" si="242"/>
        <v>0.10366118295230631</v>
      </c>
      <c r="U256" s="3">
        <f t="shared" si="242"/>
        <v>0.10335870144854832</v>
      </c>
      <c r="V256" s="3">
        <f t="shared" si="242"/>
        <v>0.10038200888402794</v>
      </c>
      <c r="W256" s="3">
        <f t="shared" si="242"/>
        <v>7.4945276406053155E-2</v>
      </c>
      <c r="X256" s="3">
        <f t="shared" si="242"/>
        <v>4.0329988230309874E-3</v>
      </c>
      <c r="Y256" s="3">
        <f t="shared" si="242"/>
        <v>8.212329976647385E-16</v>
      </c>
      <c r="Z256" s="3">
        <f t="shared" si="242"/>
        <v>1.006582443745922E-142</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0.13305313379533851</v>
      </c>
      <c r="C257" s="3">
        <f t="shared" si="243"/>
        <v>0.13305313379533851</v>
      </c>
      <c r="D257" s="3">
        <f t="shared" si="243"/>
        <v>0.13305313379533851</v>
      </c>
      <c r="E257" s="3">
        <f t="shared" si="243"/>
        <v>0.13305313379533851</v>
      </c>
      <c r="F257" s="3">
        <f t="shared" si="243"/>
        <v>0.13305313379533851</v>
      </c>
      <c r="G257" s="3">
        <f t="shared" si="243"/>
        <v>0.13305313379533851</v>
      </c>
      <c r="H257" s="3">
        <f t="shared" si="243"/>
        <v>0.13305313379533851</v>
      </c>
      <c r="I257" s="3">
        <f t="shared" si="243"/>
        <v>0.13305313379533845</v>
      </c>
      <c r="J257" s="3">
        <f t="shared" si="243"/>
        <v>0.13305313379533812</v>
      </c>
      <c r="K257" s="3">
        <f t="shared" si="243"/>
        <v>0.13305313379533459</v>
      </c>
      <c r="L257" s="3">
        <f t="shared" si="243"/>
        <v>0.13305313379529954</v>
      </c>
      <c r="M257" s="3">
        <f t="shared" si="243"/>
        <v>0.13305313379494879</v>
      </c>
      <c r="N257" s="3">
        <f t="shared" si="243"/>
        <v>0.13305313379144137</v>
      </c>
      <c r="O257" s="3">
        <f t="shared" si="243"/>
        <v>0.1330531337563671</v>
      </c>
      <c r="P257" s="3">
        <f t="shared" si="243"/>
        <v>0.1330531334056243</v>
      </c>
      <c r="Q257" s="3">
        <f t="shared" si="243"/>
        <v>0.13305312989819634</v>
      </c>
      <c r="R257" s="3">
        <f t="shared" si="243"/>
        <v>0.13305309482392194</v>
      </c>
      <c r="S257" s="3">
        <f t="shared" si="243"/>
        <v>0.13305274408168649</v>
      </c>
      <c r="T257" s="3">
        <f t="shared" si="243"/>
        <v>0.13304923671018426</v>
      </c>
      <c r="U257" s="3">
        <f t="shared" si="243"/>
        <v>0.13301416807989383</v>
      </c>
      <c r="V257" s="3">
        <f t="shared" si="243"/>
        <v>0.13266398975456989</v>
      </c>
      <c r="W257" s="3">
        <f t="shared" si="243"/>
        <v>0.12921251227208763</v>
      </c>
      <c r="X257" s="3">
        <f t="shared" si="243"/>
        <v>9.9270391337131975E-2</v>
      </c>
      <c r="Y257" s="3">
        <f t="shared" si="243"/>
        <v>7.1116662648120733E-3</v>
      </c>
      <c r="Z257" s="3">
        <f t="shared" si="243"/>
        <v>2.5321399661034531E-14</v>
      </c>
      <c r="AA257" s="3">
        <f t="shared" si="243"/>
        <v>8.2918437273503613E-129</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0.10368180212181953</v>
      </c>
      <c r="C258" s="3">
        <f t="shared" si="244"/>
        <v>0.10368180212181953</v>
      </c>
      <c r="D258" s="3">
        <f t="shared" si="244"/>
        <v>0.10368180212181953</v>
      </c>
      <c r="E258" s="3">
        <f t="shared" si="244"/>
        <v>0.10368180212181953</v>
      </c>
      <c r="F258" s="3">
        <f t="shared" si="244"/>
        <v>0.10368180212181953</v>
      </c>
      <c r="G258" s="3">
        <f t="shared" si="244"/>
        <v>0.10368180212181953</v>
      </c>
      <c r="H258" s="3">
        <f t="shared" si="244"/>
        <v>0.10368180212181953</v>
      </c>
      <c r="I258" s="3">
        <f t="shared" si="244"/>
        <v>0.10368180212181953</v>
      </c>
      <c r="J258" s="3">
        <f t="shared" si="244"/>
        <v>0.1036818021218195</v>
      </c>
      <c r="K258" s="3">
        <f t="shared" si="244"/>
        <v>0.10368180212181925</v>
      </c>
      <c r="L258" s="3">
        <f t="shared" si="244"/>
        <v>0.1036818021218168</v>
      </c>
      <c r="M258" s="3">
        <f t="shared" si="244"/>
        <v>0.10368180212179214</v>
      </c>
      <c r="N258" s="3">
        <f t="shared" si="244"/>
        <v>0.10368180212154558</v>
      </c>
      <c r="O258" s="3">
        <f t="shared" si="244"/>
        <v>0.10368180211908004</v>
      </c>
      <c r="P258" s="3">
        <f t="shared" si="244"/>
        <v>0.1036818020944246</v>
      </c>
      <c r="Q258" s="3">
        <f t="shared" si="244"/>
        <v>0.10368180184787018</v>
      </c>
      <c r="R258" s="3">
        <f t="shared" si="244"/>
        <v>0.10368179938232606</v>
      </c>
      <c r="S258" s="3">
        <f t="shared" si="244"/>
        <v>0.10368177472688804</v>
      </c>
      <c r="T258" s="3">
        <f t="shared" si="244"/>
        <v>0.10368152817283038</v>
      </c>
      <c r="U258" s="3">
        <f t="shared" si="244"/>
        <v>0.10367906266450028</v>
      </c>
      <c r="V258" s="3">
        <f t="shared" si="244"/>
        <v>0.10365441080555729</v>
      </c>
      <c r="W258" s="3">
        <f t="shared" si="244"/>
        <v>0.10340821436841856</v>
      </c>
      <c r="X258" s="3">
        <f t="shared" si="244"/>
        <v>0.10097818357221632</v>
      </c>
      <c r="Y258" s="3">
        <f t="shared" si="244"/>
        <v>7.9607265711954117E-2</v>
      </c>
      <c r="Z258" s="3">
        <f t="shared" si="244"/>
        <v>7.3825133168135175E-3</v>
      </c>
      <c r="AA258" s="3">
        <f t="shared" si="244"/>
        <v>3.4731181347565685E-13</v>
      </c>
      <c r="AB258" s="3">
        <f t="shared" si="244"/>
        <v>1.8444747828053653E-116</v>
      </c>
      <c r="AC258" s="3">
        <f t="shared" si="244"/>
        <v>0</v>
      </c>
      <c r="AD258" s="3">
        <f t="shared" si="244"/>
        <v>0</v>
      </c>
      <c r="AE258" s="3">
        <f t="shared" si="244"/>
        <v>0</v>
      </c>
      <c r="AF258" s="3">
        <f t="shared" si="244"/>
        <v>0</v>
      </c>
      <c r="AG258" s="3"/>
      <c r="AH258" s="3"/>
    </row>
    <row r="259" spans="2:34" x14ac:dyDescent="0.25">
      <c r="B259" s="3">
        <f t="shared" ref="B259:AF259" si="245">$C28*EXP(-B$246/$A28/EXP(-$E$126))</f>
        <v>6.4516912228113732E-2</v>
      </c>
      <c r="C259" s="3">
        <f t="shared" si="245"/>
        <v>6.4516912228113732E-2</v>
      </c>
      <c r="D259" s="3">
        <f t="shared" si="245"/>
        <v>6.4516912228113732E-2</v>
      </c>
      <c r="E259" s="3">
        <f t="shared" si="245"/>
        <v>6.4516912228113732E-2</v>
      </c>
      <c r="F259" s="3">
        <f t="shared" si="245"/>
        <v>6.4516912228113732E-2</v>
      </c>
      <c r="G259" s="3">
        <f t="shared" si="245"/>
        <v>6.4516912228113732E-2</v>
      </c>
      <c r="H259" s="3">
        <f t="shared" si="245"/>
        <v>6.4516912228113732E-2</v>
      </c>
      <c r="I259" s="3">
        <f t="shared" si="245"/>
        <v>6.4516912228113732E-2</v>
      </c>
      <c r="J259" s="3">
        <f t="shared" si="245"/>
        <v>6.4516912228113732E-2</v>
      </c>
      <c r="K259" s="3">
        <f t="shared" si="245"/>
        <v>6.4516912228113718E-2</v>
      </c>
      <c r="L259" s="3">
        <f t="shared" si="245"/>
        <v>6.4516912228113579E-2</v>
      </c>
      <c r="M259" s="3">
        <f t="shared" si="245"/>
        <v>6.4516912228112192E-2</v>
      </c>
      <c r="N259" s="3">
        <f t="shared" si="245"/>
        <v>6.4516912228098355E-2</v>
      </c>
      <c r="O259" s="3">
        <f t="shared" si="245"/>
        <v>6.4516912227959952E-2</v>
      </c>
      <c r="P259" s="3">
        <f t="shared" si="245"/>
        <v>6.4516912226575976E-2</v>
      </c>
      <c r="Q259" s="3">
        <f t="shared" si="245"/>
        <v>6.4516912212736158E-2</v>
      </c>
      <c r="R259" s="3">
        <f t="shared" si="245"/>
        <v>6.4516912074337962E-2</v>
      </c>
      <c r="S259" s="3">
        <f t="shared" si="245"/>
        <v>6.4516910690356075E-2</v>
      </c>
      <c r="T259" s="3">
        <f t="shared" si="245"/>
        <v>6.4516896850538796E-2</v>
      </c>
      <c r="U259" s="3">
        <f t="shared" si="245"/>
        <v>6.4516758452529355E-2</v>
      </c>
      <c r="V259" s="3">
        <f t="shared" si="245"/>
        <v>6.4515374488763405E-2</v>
      </c>
      <c r="W259" s="3">
        <f t="shared" si="245"/>
        <v>6.4501536483823577E-2</v>
      </c>
      <c r="X259" s="3">
        <f t="shared" si="245"/>
        <v>6.4363319576883585E-2</v>
      </c>
      <c r="Y259" s="3">
        <f t="shared" si="245"/>
        <v>6.2997336006126656E-2</v>
      </c>
      <c r="Z259" s="3">
        <f t="shared" si="245"/>
        <v>5.0834631671567057E-2</v>
      </c>
      <c r="AA259" s="3">
        <f t="shared" si="245"/>
        <v>5.9502422359953774E-3</v>
      </c>
      <c r="AB259" s="3">
        <f t="shared" si="245"/>
        <v>2.872660468487098E-12</v>
      </c>
      <c r="AC259" s="3">
        <f t="shared" si="245"/>
        <v>1.9759721282563349E-105</v>
      </c>
      <c r="AD259" s="3">
        <f t="shared" si="245"/>
        <v>0</v>
      </c>
      <c r="AE259" s="3">
        <f t="shared" si="245"/>
        <v>0</v>
      </c>
      <c r="AF259" s="3">
        <f t="shared" si="245"/>
        <v>0</v>
      </c>
      <c r="AG259" s="3"/>
      <c r="AH259" s="3"/>
    </row>
    <row r="260" spans="2:34" x14ac:dyDescent="0.25">
      <c r="B260" s="3">
        <f t="shared" ref="B260:AF260" si="246">$C29*EXP(-B$246/$A29/EXP(-$E$126))</f>
        <v>3.7592139756949243E-2</v>
      </c>
      <c r="C260" s="3">
        <f t="shared" si="246"/>
        <v>3.7592139756949243E-2</v>
      </c>
      <c r="D260" s="3">
        <f t="shared" si="246"/>
        <v>3.7592139756949243E-2</v>
      </c>
      <c r="E260" s="3">
        <f t="shared" si="246"/>
        <v>3.7592139756949243E-2</v>
      </c>
      <c r="F260" s="3">
        <f t="shared" si="246"/>
        <v>3.7592139756949243E-2</v>
      </c>
      <c r="G260" s="3">
        <f t="shared" si="246"/>
        <v>3.7592139756949243E-2</v>
      </c>
      <c r="H260" s="3">
        <f t="shared" si="246"/>
        <v>3.7592139756949243E-2</v>
      </c>
      <c r="I260" s="3">
        <f t="shared" si="246"/>
        <v>3.7592139756949243E-2</v>
      </c>
      <c r="J260" s="3">
        <f t="shared" si="246"/>
        <v>3.7592139756949243E-2</v>
      </c>
      <c r="K260" s="3">
        <f t="shared" si="246"/>
        <v>3.7592139756949243E-2</v>
      </c>
      <c r="L260" s="3">
        <f t="shared" si="246"/>
        <v>3.7592139756949236E-2</v>
      </c>
      <c r="M260" s="3">
        <f t="shared" si="246"/>
        <v>3.7592139756949167E-2</v>
      </c>
      <c r="N260" s="3">
        <f t="shared" si="246"/>
        <v>3.7592139756948431E-2</v>
      </c>
      <c r="O260" s="3">
        <f t="shared" si="246"/>
        <v>3.7592139756941159E-2</v>
      </c>
      <c r="P260" s="3">
        <f t="shared" si="246"/>
        <v>3.7592139756868419E-2</v>
      </c>
      <c r="Q260" s="3">
        <f t="shared" si="246"/>
        <v>3.7592139756140966E-2</v>
      </c>
      <c r="R260" s="3">
        <f t="shared" si="246"/>
        <v>3.7592139748866514E-2</v>
      </c>
      <c r="S260" s="3">
        <f t="shared" si="246"/>
        <v>3.7592139676121961E-2</v>
      </c>
      <c r="T260" s="3">
        <f t="shared" si="246"/>
        <v>3.7592138948676447E-2</v>
      </c>
      <c r="U260" s="3">
        <f t="shared" si="246"/>
        <v>3.7592131674222054E-2</v>
      </c>
      <c r="V260" s="3">
        <f t="shared" si="246"/>
        <v>3.7592058929755562E-2</v>
      </c>
      <c r="W260" s="3">
        <f t="shared" si="246"/>
        <v>3.7591331492832787E-2</v>
      </c>
      <c r="X260" s="3">
        <f t="shared" si="246"/>
        <v>3.7584057897767413E-2</v>
      </c>
      <c r="Y260" s="3">
        <f t="shared" si="246"/>
        <v>3.7511399307948459E-2</v>
      </c>
      <c r="Z260" s="3">
        <f t="shared" si="246"/>
        <v>3.6792494389416577E-2</v>
      </c>
      <c r="AA260" s="3">
        <f t="shared" si="246"/>
        <v>3.0319281398392833E-2</v>
      </c>
      <c r="AB260" s="3">
        <f t="shared" si="246"/>
        <v>4.3784018501180147E-3</v>
      </c>
      <c r="AC260" s="3">
        <f t="shared" si="246"/>
        <v>1.7269619426882261E-11</v>
      </c>
      <c r="AD260" s="3">
        <f t="shared" si="246"/>
        <v>1.5738170690624625E-95</v>
      </c>
      <c r="AE260" s="3">
        <f t="shared" si="246"/>
        <v>0</v>
      </c>
      <c r="AF260" s="3">
        <f t="shared" si="246"/>
        <v>0</v>
      </c>
      <c r="AG260" s="3"/>
      <c r="AH260" s="3"/>
    </row>
    <row r="261" spans="2:34" x14ac:dyDescent="0.25">
      <c r="B261" s="3">
        <f t="shared" ref="B261:AF261" si="247">$C30*EXP(-B$246/$A30/EXP(-$E$126))</f>
        <v>7.6036322594280207E-3</v>
      </c>
      <c r="C261" s="3">
        <f t="shared" si="247"/>
        <v>7.6036322594280207E-3</v>
      </c>
      <c r="D261" s="3">
        <f t="shared" si="247"/>
        <v>7.6036322594280207E-3</v>
      </c>
      <c r="E261" s="3">
        <f t="shared" si="247"/>
        <v>7.6036322594280207E-3</v>
      </c>
      <c r="F261" s="3">
        <f t="shared" si="247"/>
        <v>7.6036322594280207E-3</v>
      </c>
      <c r="G261" s="3">
        <f t="shared" si="247"/>
        <v>7.6036322594280207E-3</v>
      </c>
      <c r="H261" s="3">
        <f t="shared" si="247"/>
        <v>7.6036322594280207E-3</v>
      </c>
      <c r="I261" s="3">
        <f t="shared" si="247"/>
        <v>7.6036322594280207E-3</v>
      </c>
      <c r="J261" s="3">
        <f t="shared" si="247"/>
        <v>7.6036322594280207E-3</v>
      </c>
      <c r="K261" s="3">
        <f t="shared" si="247"/>
        <v>7.6036322594280207E-3</v>
      </c>
      <c r="L261" s="3">
        <f t="shared" si="247"/>
        <v>7.6036322594280207E-3</v>
      </c>
      <c r="M261" s="3">
        <f t="shared" si="247"/>
        <v>7.6036322594280189E-3</v>
      </c>
      <c r="N261" s="3">
        <f t="shared" si="247"/>
        <v>7.6036322594280059E-3</v>
      </c>
      <c r="O261" s="3">
        <f t="shared" si="247"/>
        <v>7.6036322594278732E-3</v>
      </c>
      <c r="P261" s="3">
        <f t="shared" si="247"/>
        <v>7.6036322594265461E-3</v>
      </c>
      <c r="Q261" s="3">
        <f t="shared" si="247"/>
        <v>7.6036322594132729E-3</v>
      </c>
      <c r="R261" s="3">
        <f t="shared" si="247"/>
        <v>7.6036322592805423E-3</v>
      </c>
      <c r="S261" s="3">
        <f t="shared" si="247"/>
        <v>7.603632257953236E-3</v>
      </c>
      <c r="T261" s="3">
        <f t="shared" si="247"/>
        <v>7.6036322446801736E-3</v>
      </c>
      <c r="U261" s="3">
        <f t="shared" si="247"/>
        <v>7.6036321119495546E-3</v>
      </c>
      <c r="V261" s="3">
        <f t="shared" si="247"/>
        <v>7.6036307846434883E-3</v>
      </c>
      <c r="W261" s="3">
        <f t="shared" si="247"/>
        <v>7.6036175115955697E-3</v>
      </c>
      <c r="X261" s="3">
        <f t="shared" si="247"/>
        <v>7.6034847823907049E-3</v>
      </c>
      <c r="Y261" s="3">
        <f t="shared" si="247"/>
        <v>7.6021576177664829E-3</v>
      </c>
      <c r="Z261" s="3">
        <f t="shared" si="247"/>
        <v>7.5888987057401332E-3</v>
      </c>
      <c r="AA261" s="3">
        <f t="shared" si="247"/>
        <v>7.4575748205538903E-3</v>
      </c>
      <c r="AB261" s="3">
        <f t="shared" si="247"/>
        <v>6.2630553736653036E-3</v>
      </c>
      <c r="AC261" s="3">
        <f t="shared" si="247"/>
        <v>1.0931319132501389E-3</v>
      </c>
      <c r="AD261" s="3">
        <f t="shared" si="247"/>
        <v>2.8677137132777258E-11</v>
      </c>
      <c r="AE261" s="3">
        <f t="shared" si="247"/>
        <v>4.4275960361153239E-87</v>
      </c>
      <c r="AF261" s="3">
        <f t="shared" si="247"/>
        <v>0</v>
      </c>
      <c r="AG261" s="3"/>
      <c r="AH261" s="3"/>
    </row>
    <row r="262" spans="2:34" x14ac:dyDescent="0.25">
      <c r="B262" s="3">
        <f t="shared" ref="B262:AF262" si="248">$C31*EXP(-B$246/$A31/EXP(-$E$126))</f>
        <v>4.6601949201853935E-3</v>
      </c>
      <c r="C262" s="3">
        <f t="shared" si="248"/>
        <v>4.6601949201853935E-3</v>
      </c>
      <c r="D262" s="3">
        <f t="shared" si="248"/>
        <v>4.6601949201853935E-3</v>
      </c>
      <c r="E262" s="3">
        <f t="shared" si="248"/>
        <v>4.6601949201853935E-3</v>
      </c>
      <c r="F262" s="3">
        <f t="shared" si="248"/>
        <v>4.6601949201853935E-3</v>
      </c>
      <c r="G262" s="3">
        <f t="shared" si="248"/>
        <v>4.6601949201853935E-3</v>
      </c>
      <c r="H262" s="3">
        <f t="shared" si="248"/>
        <v>4.6601949201853935E-3</v>
      </c>
      <c r="I262" s="3">
        <f t="shared" si="248"/>
        <v>4.6601949201853935E-3</v>
      </c>
      <c r="J262" s="3">
        <f t="shared" si="248"/>
        <v>4.6601949201853935E-3</v>
      </c>
      <c r="K262" s="3">
        <f t="shared" si="248"/>
        <v>4.6601949201853935E-3</v>
      </c>
      <c r="L262" s="3">
        <f t="shared" si="248"/>
        <v>4.6601949201853935E-3</v>
      </c>
      <c r="M262" s="3">
        <f t="shared" si="248"/>
        <v>4.6601949201853935E-3</v>
      </c>
      <c r="N262" s="3">
        <f t="shared" si="248"/>
        <v>4.6601949201853926E-3</v>
      </c>
      <c r="O262" s="3">
        <f t="shared" si="248"/>
        <v>4.6601949201853848E-3</v>
      </c>
      <c r="P262" s="3">
        <f t="shared" si="248"/>
        <v>4.6601949201853119E-3</v>
      </c>
      <c r="Q262" s="3">
        <f t="shared" si="248"/>
        <v>4.6601949201845782E-3</v>
      </c>
      <c r="R262" s="3">
        <f t="shared" si="248"/>
        <v>4.6601949201772394E-3</v>
      </c>
      <c r="S262" s="3">
        <f t="shared" si="248"/>
        <v>4.6601949201038554E-3</v>
      </c>
      <c r="T262" s="3">
        <f t="shared" si="248"/>
        <v>4.6601949193700171E-3</v>
      </c>
      <c r="U262" s="3">
        <f t="shared" si="248"/>
        <v>4.6601949120316285E-3</v>
      </c>
      <c r="V262" s="3">
        <f t="shared" si="248"/>
        <v>4.6601948386477453E-3</v>
      </c>
      <c r="W262" s="3">
        <f t="shared" si="248"/>
        <v>4.660194104808976E-3</v>
      </c>
      <c r="X262" s="3">
        <f t="shared" si="248"/>
        <v>4.660186766427636E-3</v>
      </c>
      <c r="Y262" s="3">
        <f t="shared" si="248"/>
        <v>4.6601133832497978E-3</v>
      </c>
      <c r="Z262" s="3">
        <f t="shared" si="248"/>
        <v>4.659379615023807E-3</v>
      </c>
      <c r="AA262" s="3">
        <f t="shared" si="248"/>
        <v>4.6520482843015534E-3</v>
      </c>
      <c r="AB262" s="3">
        <f t="shared" si="248"/>
        <v>4.5793664457377467E-3</v>
      </c>
      <c r="AC262" s="3">
        <f t="shared" si="248"/>
        <v>3.9121656629946188E-3</v>
      </c>
      <c r="AD262" s="3">
        <f t="shared" si="248"/>
        <v>8.100944007370665E-4</v>
      </c>
      <c r="AE262" s="3">
        <f t="shared" si="248"/>
        <v>1.1741391378435177E-10</v>
      </c>
      <c r="AF262" s="3">
        <f t="shared" si="248"/>
        <v>4.8035123103260538E-79</v>
      </c>
      <c r="AG262" s="3"/>
      <c r="AH262" s="3"/>
    </row>
    <row r="263" spans="2:34" x14ac:dyDescent="0.25">
      <c r="B263" s="3">
        <f t="shared" ref="B263:AF263" si="249">$C32*EXP(-B$246/$A32/EXP(-$E$126))</f>
        <v>1.548728015482176E-3</v>
      </c>
      <c r="C263" s="3">
        <f t="shared" si="249"/>
        <v>1.548728015482176E-3</v>
      </c>
      <c r="D263" s="3">
        <f t="shared" si="249"/>
        <v>1.548728015482176E-3</v>
      </c>
      <c r="E263" s="3">
        <f t="shared" si="249"/>
        <v>1.548728015482176E-3</v>
      </c>
      <c r="F263" s="3">
        <f t="shared" si="249"/>
        <v>1.548728015482176E-3</v>
      </c>
      <c r="G263" s="3">
        <f t="shared" si="249"/>
        <v>1.548728015482176E-3</v>
      </c>
      <c r="H263" s="3">
        <f t="shared" si="249"/>
        <v>1.548728015482176E-3</v>
      </c>
      <c r="I263" s="3">
        <f t="shared" si="249"/>
        <v>1.548728015482176E-3</v>
      </c>
      <c r="J263" s="3">
        <f t="shared" si="249"/>
        <v>1.548728015482176E-3</v>
      </c>
      <c r="K263" s="3">
        <f t="shared" si="249"/>
        <v>1.548728015482176E-3</v>
      </c>
      <c r="L263" s="3">
        <f t="shared" si="249"/>
        <v>1.548728015482176E-3</v>
      </c>
      <c r="M263" s="3">
        <f t="shared" si="249"/>
        <v>1.548728015482176E-3</v>
      </c>
      <c r="N263" s="3">
        <f t="shared" si="249"/>
        <v>1.548728015482176E-3</v>
      </c>
      <c r="O263" s="3">
        <f t="shared" si="249"/>
        <v>1.5487280154821757E-3</v>
      </c>
      <c r="P263" s="3">
        <f t="shared" si="249"/>
        <v>1.5487280154821736E-3</v>
      </c>
      <c r="Q263" s="3">
        <f t="shared" si="249"/>
        <v>1.5487280154821515E-3</v>
      </c>
      <c r="R263" s="3">
        <f t="shared" si="249"/>
        <v>1.5487280154819314E-3</v>
      </c>
      <c r="S263" s="3">
        <f t="shared" si="249"/>
        <v>1.5487280154797315E-3</v>
      </c>
      <c r="T263" s="3">
        <f t="shared" si="249"/>
        <v>1.5487280154577317E-3</v>
      </c>
      <c r="U263" s="3">
        <f t="shared" si="249"/>
        <v>1.5487280152377339E-3</v>
      </c>
      <c r="V263" s="3">
        <f t="shared" si="249"/>
        <v>1.5487280130377559E-3</v>
      </c>
      <c r="W263" s="3">
        <f t="shared" si="249"/>
        <v>1.5487279910379752E-3</v>
      </c>
      <c r="X263" s="3">
        <f t="shared" si="249"/>
        <v>1.5487277710401841E-3</v>
      </c>
      <c r="Y263" s="3">
        <f t="shared" si="249"/>
        <v>1.5487255710639951E-3</v>
      </c>
      <c r="Z263" s="3">
        <f t="shared" si="249"/>
        <v>1.5487035714739803E-3</v>
      </c>
      <c r="AA263" s="3">
        <f t="shared" si="249"/>
        <v>1.5484835927607871E-3</v>
      </c>
      <c r="AB263" s="3">
        <f t="shared" si="249"/>
        <v>1.546285523421167E-3</v>
      </c>
      <c r="AC263" s="3">
        <f t="shared" si="249"/>
        <v>1.5244757098266128E-3</v>
      </c>
      <c r="AD263" s="3">
        <f t="shared" si="249"/>
        <v>1.3226005491324066E-3</v>
      </c>
      <c r="AE263" s="3">
        <f t="shared" si="249"/>
        <v>3.1952923238805561E-4</v>
      </c>
      <c r="AF263" s="3">
        <f t="shared" si="249"/>
        <v>2.1643603544407297E-10</v>
      </c>
      <c r="AG263" s="3"/>
      <c r="AH263" s="3"/>
    </row>
    <row r="264" spans="2:34" x14ac:dyDescent="0.25">
      <c r="B264" s="3">
        <f t="shared" ref="B264:AF264" si="250">$C33*EXP(-B$246/$A33/EXP(-$E$126))</f>
        <v>1.7981576820785483E-3</v>
      </c>
      <c r="C264" s="3">
        <f t="shared" si="250"/>
        <v>1.7981576820785483E-3</v>
      </c>
      <c r="D264" s="3">
        <f t="shared" si="250"/>
        <v>1.7981576820785483E-3</v>
      </c>
      <c r="E264" s="3">
        <f t="shared" si="250"/>
        <v>1.7981576820785483E-3</v>
      </c>
      <c r="F264" s="3">
        <f t="shared" si="250"/>
        <v>1.7981576820785483E-3</v>
      </c>
      <c r="G264" s="3">
        <f t="shared" si="250"/>
        <v>1.7981576820785483E-3</v>
      </c>
      <c r="H264" s="3">
        <f t="shared" si="250"/>
        <v>1.7981576820785483E-3</v>
      </c>
      <c r="I264" s="3">
        <f t="shared" si="250"/>
        <v>1.7981576820785483E-3</v>
      </c>
      <c r="J264" s="3">
        <f t="shared" si="250"/>
        <v>1.7981576820785483E-3</v>
      </c>
      <c r="K264" s="3">
        <f t="shared" si="250"/>
        <v>1.7981576820785483E-3</v>
      </c>
      <c r="L264" s="3">
        <f t="shared" si="250"/>
        <v>1.7981576820785483E-3</v>
      </c>
      <c r="M264" s="3">
        <f t="shared" si="250"/>
        <v>1.7981576820785483E-3</v>
      </c>
      <c r="N264" s="3">
        <f t="shared" si="250"/>
        <v>1.7981576820785483E-3</v>
      </c>
      <c r="O264" s="3">
        <f t="shared" si="250"/>
        <v>1.7981576820785483E-3</v>
      </c>
      <c r="P264" s="3">
        <f t="shared" si="250"/>
        <v>1.798157682078548E-3</v>
      </c>
      <c r="Q264" s="3">
        <f t="shared" si="250"/>
        <v>1.7981576820785457E-3</v>
      </c>
      <c r="R264" s="3">
        <f t="shared" si="250"/>
        <v>1.7981576820785227E-3</v>
      </c>
      <c r="S264" s="3">
        <f t="shared" si="250"/>
        <v>1.7981576820782924E-3</v>
      </c>
      <c r="T264" s="3">
        <f t="shared" si="250"/>
        <v>1.798157682075988E-3</v>
      </c>
      <c r="U264" s="3">
        <f t="shared" si="250"/>
        <v>1.7981576820529461E-3</v>
      </c>
      <c r="V264" s="3">
        <f t="shared" si="250"/>
        <v>1.7981576818225276E-3</v>
      </c>
      <c r="W264" s="3">
        <f t="shared" si="250"/>
        <v>1.7981576795183414E-3</v>
      </c>
      <c r="X264" s="3">
        <f t="shared" si="250"/>
        <v>1.7981576564764798E-3</v>
      </c>
      <c r="Y264" s="3">
        <f t="shared" si="250"/>
        <v>1.7981574260578805E-3</v>
      </c>
      <c r="Z264" s="3">
        <f t="shared" si="250"/>
        <v>1.7981551218735096E-3</v>
      </c>
      <c r="AA264" s="3">
        <f t="shared" si="250"/>
        <v>1.798132080192196E-3</v>
      </c>
      <c r="AB264" s="3">
        <f t="shared" si="250"/>
        <v>1.797901679617607E-3</v>
      </c>
      <c r="AC264" s="3">
        <f t="shared" si="250"/>
        <v>1.7955992969567894E-3</v>
      </c>
      <c r="AD264" s="3">
        <f t="shared" si="250"/>
        <v>1.7727370119437454E-3</v>
      </c>
      <c r="AE264" s="3">
        <f t="shared" si="250"/>
        <v>1.559527965907482E-3</v>
      </c>
      <c r="AF264" s="3">
        <f t="shared" si="250"/>
        <v>4.3299383798928339E-4</v>
      </c>
      <c r="AG264" s="3"/>
      <c r="AH264" s="3"/>
    </row>
    <row r="265" spans="2:34" x14ac:dyDescent="0.25">
      <c r="B265" s="3">
        <f t="shared" ref="B265:AF265" si="251">$C34*EXP(-B$246/$A34/EXP(-$E$126))</f>
        <v>4.3198756825701184E-3</v>
      </c>
      <c r="C265" s="3">
        <f t="shared" si="251"/>
        <v>4.3198756825701184E-3</v>
      </c>
      <c r="D265" s="3">
        <f t="shared" si="251"/>
        <v>4.3198756825701184E-3</v>
      </c>
      <c r="E265" s="3">
        <f t="shared" si="251"/>
        <v>4.3198756825701184E-3</v>
      </c>
      <c r="F265" s="3">
        <f t="shared" si="251"/>
        <v>4.3198756825701184E-3</v>
      </c>
      <c r="G265" s="3">
        <f t="shared" si="251"/>
        <v>4.3198756825701184E-3</v>
      </c>
      <c r="H265" s="3">
        <f t="shared" si="251"/>
        <v>4.3198756825701184E-3</v>
      </c>
      <c r="I265" s="3">
        <f t="shared" si="251"/>
        <v>4.3198756825701184E-3</v>
      </c>
      <c r="J265" s="3">
        <f t="shared" si="251"/>
        <v>4.3198756825701184E-3</v>
      </c>
      <c r="K265" s="3">
        <f t="shared" si="251"/>
        <v>4.3198756825701184E-3</v>
      </c>
      <c r="L265" s="3">
        <f t="shared" si="251"/>
        <v>4.3198756825701184E-3</v>
      </c>
      <c r="M265" s="3">
        <f t="shared" si="251"/>
        <v>4.3198756825701184E-3</v>
      </c>
      <c r="N265" s="3">
        <f t="shared" si="251"/>
        <v>4.3198756825701184E-3</v>
      </c>
      <c r="O265" s="3">
        <f t="shared" si="251"/>
        <v>4.3198756825701184E-3</v>
      </c>
      <c r="P265" s="3">
        <f t="shared" si="251"/>
        <v>4.3198756825701184E-3</v>
      </c>
      <c r="Q265" s="3">
        <f t="shared" si="251"/>
        <v>4.3198756825701175E-3</v>
      </c>
      <c r="R265" s="3">
        <f t="shared" si="251"/>
        <v>4.3198756825701123E-3</v>
      </c>
      <c r="S265" s="3">
        <f t="shared" si="251"/>
        <v>4.3198756825700629E-3</v>
      </c>
      <c r="T265" s="3">
        <f t="shared" si="251"/>
        <v>4.3198756825695633E-3</v>
      </c>
      <c r="U265" s="3">
        <f t="shared" si="251"/>
        <v>4.3198756825645699E-3</v>
      </c>
      <c r="V265" s="3">
        <f t="shared" si="251"/>
        <v>4.319875682514635E-3</v>
      </c>
      <c r="W265" s="3">
        <f t="shared" si="251"/>
        <v>4.3198756820152819E-3</v>
      </c>
      <c r="X265" s="3">
        <f t="shared" si="251"/>
        <v>4.319875677021752E-3</v>
      </c>
      <c r="Y265" s="3">
        <f t="shared" si="251"/>
        <v>4.3198756270864556E-3</v>
      </c>
      <c r="Z265" s="3">
        <f t="shared" si="251"/>
        <v>4.3198751277335251E-3</v>
      </c>
      <c r="AA265" s="3">
        <f t="shared" si="251"/>
        <v>4.3198701342073952E-3</v>
      </c>
      <c r="AB265" s="3">
        <f t="shared" si="251"/>
        <v>4.3198201992635616E-3</v>
      </c>
      <c r="AC265" s="3">
        <f t="shared" si="251"/>
        <v>4.3193208815710199E-3</v>
      </c>
      <c r="AD265" s="3">
        <f t="shared" si="251"/>
        <v>4.3143308778667393E-3</v>
      </c>
      <c r="AE265" s="3">
        <f t="shared" si="251"/>
        <v>4.264746809941827E-3</v>
      </c>
      <c r="AF265" s="3">
        <f t="shared" si="251"/>
        <v>3.799192422648953E-3</v>
      </c>
      <c r="AG265" s="3"/>
      <c r="AH265" s="3"/>
    </row>
    <row r="266" spans="2:34" x14ac:dyDescent="0.25">
      <c r="B266" s="3">
        <f t="shared" ref="B266:AF266" si="252">$C35*EXP(-B$246/$A35/EXP(-$E$126))</f>
        <v>3.4800152588185828E-3</v>
      </c>
      <c r="C266" s="3">
        <f t="shared" si="252"/>
        <v>3.4800152588185828E-3</v>
      </c>
      <c r="D266" s="3">
        <f t="shared" si="252"/>
        <v>3.4800152588185828E-3</v>
      </c>
      <c r="E266" s="3">
        <f t="shared" si="252"/>
        <v>3.4800152588185828E-3</v>
      </c>
      <c r="F266" s="3">
        <f t="shared" si="252"/>
        <v>3.4800152588185828E-3</v>
      </c>
      <c r="G266" s="3">
        <f t="shared" si="252"/>
        <v>3.4800152588185828E-3</v>
      </c>
      <c r="H266" s="3">
        <f t="shared" si="252"/>
        <v>3.4800152588185828E-3</v>
      </c>
      <c r="I266" s="3">
        <f t="shared" si="252"/>
        <v>3.4800152588185828E-3</v>
      </c>
      <c r="J266" s="3">
        <f t="shared" si="252"/>
        <v>3.4800152588185828E-3</v>
      </c>
      <c r="K266" s="3">
        <f t="shared" si="252"/>
        <v>3.4800152588185828E-3</v>
      </c>
      <c r="L266" s="3">
        <f t="shared" si="252"/>
        <v>3.4800152588185828E-3</v>
      </c>
      <c r="M266" s="3">
        <f t="shared" si="252"/>
        <v>3.4800152588185828E-3</v>
      </c>
      <c r="N266" s="3">
        <f t="shared" si="252"/>
        <v>3.4800152588185828E-3</v>
      </c>
      <c r="O266" s="3">
        <f t="shared" si="252"/>
        <v>3.4800152588185828E-3</v>
      </c>
      <c r="P266" s="3">
        <f t="shared" si="252"/>
        <v>3.4800152588185828E-3</v>
      </c>
      <c r="Q266" s="3">
        <f t="shared" si="252"/>
        <v>3.4800152588185828E-3</v>
      </c>
      <c r="R266" s="3">
        <f t="shared" si="252"/>
        <v>3.4800152588185824E-3</v>
      </c>
      <c r="S266" s="3">
        <f t="shared" si="252"/>
        <v>3.4800152588185789E-3</v>
      </c>
      <c r="T266" s="3">
        <f t="shared" si="252"/>
        <v>3.4800152588185425E-3</v>
      </c>
      <c r="U266" s="3">
        <f t="shared" si="252"/>
        <v>3.4800152588181795E-3</v>
      </c>
      <c r="V266" s="3">
        <f t="shared" si="252"/>
        <v>3.4800152588145509E-3</v>
      </c>
      <c r="W266" s="3">
        <f t="shared" si="252"/>
        <v>3.4800152587782626E-3</v>
      </c>
      <c r="X266" s="3">
        <f t="shared" si="252"/>
        <v>3.4800152584153819E-3</v>
      </c>
      <c r="Y266" s="3">
        <f t="shared" si="252"/>
        <v>3.4800152547865728E-3</v>
      </c>
      <c r="Z266" s="3">
        <f t="shared" si="252"/>
        <v>3.4800152184984818E-3</v>
      </c>
      <c r="AA266" s="3">
        <f t="shared" si="252"/>
        <v>3.4800148556175933E-3</v>
      </c>
      <c r="AB266" s="3">
        <f t="shared" si="252"/>
        <v>3.4800112268107896E-3</v>
      </c>
      <c r="AC266" s="3">
        <f t="shared" si="252"/>
        <v>3.4799749389508713E-3</v>
      </c>
      <c r="AD266" s="3">
        <f t="shared" si="252"/>
        <v>3.4796120811626014E-3</v>
      </c>
      <c r="AE266" s="3">
        <f t="shared" si="252"/>
        <v>3.4759855835686804E-3</v>
      </c>
      <c r="AF266" s="3">
        <f t="shared" si="252"/>
        <v>3.4399278361241939E-3</v>
      </c>
      <c r="AG266" s="3"/>
      <c r="AH266" s="3"/>
    </row>
    <row r="267" spans="2:34" x14ac:dyDescent="0.25">
      <c r="B267" s="3">
        <f t="shared" ref="B267:AF267" si="253">$C36*EXP(-B$246/$A36/EXP(-$E$126))</f>
        <v>2.0367681547460849E-3</v>
      </c>
      <c r="C267" s="3">
        <f t="shared" si="253"/>
        <v>2.0367681547460849E-3</v>
      </c>
      <c r="D267" s="3">
        <f t="shared" si="253"/>
        <v>2.0367681547460849E-3</v>
      </c>
      <c r="E267" s="3">
        <f t="shared" si="253"/>
        <v>2.0367681547460849E-3</v>
      </c>
      <c r="F267" s="3">
        <f t="shared" si="253"/>
        <v>2.0367681547460849E-3</v>
      </c>
      <c r="G267" s="3">
        <f t="shared" si="253"/>
        <v>2.0367681547460849E-3</v>
      </c>
      <c r="H267" s="3">
        <f t="shared" si="253"/>
        <v>2.0367681547460849E-3</v>
      </c>
      <c r="I267" s="3">
        <f t="shared" si="253"/>
        <v>2.0367681547460849E-3</v>
      </c>
      <c r="J267" s="3">
        <f t="shared" si="253"/>
        <v>2.0367681547460849E-3</v>
      </c>
      <c r="K267" s="3">
        <f t="shared" si="253"/>
        <v>2.0367681547460849E-3</v>
      </c>
      <c r="L267" s="3">
        <f t="shared" si="253"/>
        <v>2.0367681547460849E-3</v>
      </c>
      <c r="M267" s="3">
        <f t="shared" si="253"/>
        <v>2.0367681547460849E-3</v>
      </c>
      <c r="N267" s="3">
        <f t="shared" si="253"/>
        <v>2.0367681547460849E-3</v>
      </c>
      <c r="O267" s="3">
        <f t="shared" si="253"/>
        <v>2.0367681547460849E-3</v>
      </c>
      <c r="P267" s="3">
        <f t="shared" si="253"/>
        <v>2.0367681547460849E-3</v>
      </c>
      <c r="Q267" s="3">
        <f t="shared" si="253"/>
        <v>2.0367681547460849E-3</v>
      </c>
      <c r="R267" s="3">
        <f t="shared" si="253"/>
        <v>2.0367681547460849E-3</v>
      </c>
      <c r="S267" s="3">
        <f t="shared" si="253"/>
        <v>2.0367681547460844E-3</v>
      </c>
      <c r="T267" s="3">
        <f t="shared" si="253"/>
        <v>2.0367681547460827E-3</v>
      </c>
      <c r="U267" s="3">
        <f t="shared" si="253"/>
        <v>2.0367681547460636E-3</v>
      </c>
      <c r="V267" s="3">
        <f t="shared" si="253"/>
        <v>2.0367681547458719E-3</v>
      </c>
      <c r="W267" s="3">
        <f t="shared" si="253"/>
        <v>2.0367681547439559E-3</v>
      </c>
      <c r="X267" s="3">
        <f t="shared" si="253"/>
        <v>2.0367681547247972E-3</v>
      </c>
      <c r="Y267" s="3">
        <f t="shared" si="253"/>
        <v>2.0367681545332078E-3</v>
      </c>
      <c r="Z267" s="3">
        <f t="shared" si="253"/>
        <v>2.0367681526173155E-3</v>
      </c>
      <c r="AA267" s="3">
        <f t="shared" si="253"/>
        <v>2.0367681334583893E-3</v>
      </c>
      <c r="AB267" s="3">
        <f t="shared" si="253"/>
        <v>2.0367679418691392E-3</v>
      </c>
      <c r="AC267" s="3">
        <f t="shared" si="253"/>
        <v>2.0367660259776287E-3</v>
      </c>
      <c r="AD267" s="3">
        <f t="shared" si="253"/>
        <v>2.0367468671616431E-3</v>
      </c>
      <c r="AE267" s="3">
        <f t="shared" si="253"/>
        <v>2.036555288913455E-3</v>
      </c>
      <c r="AF267" s="3">
        <f t="shared" si="253"/>
        <v>2.034640497253212E-3</v>
      </c>
      <c r="AG267" s="3"/>
      <c r="AH267" s="3"/>
    </row>
    <row r="268" spans="2:34" x14ac:dyDescent="0.25">
      <c r="B268" s="3">
        <f t="shared" ref="B268:AF268" si="254">$C37*EXP(-B$246/$A37/EXP(-$E$126))</f>
        <v>1.2781847248259422E-3</v>
      </c>
      <c r="C268" s="3">
        <f t="shared" si="254"/>
        <v>1.2781847248259422E-3</v>
      </c>
      <c r="D268" s="3">
        <f t="shared" si="254"/>
        <v>1.2781847248259422E-3</v>
      </c>
      <c r="E268" s="3">
        <f t="shared" si="254"/>
        <v>1.2781847248259422E-3</v>
      </c>
      <c r="F268" s="3">
        <f t="shared" si="254"/>
        <v>1.2781847248259422E-3</v>
      </c>
      <c r="G268" s="3">
        <f t="shared" si="254"/>
        <v>1.2781847248259422E-3</v>
      </c>
      <c r="H268" s="3">
        <f t="shared" si="254"/>
        <v>1.2781847248259422E-3</v>
      </c>
      <c r="I268" s="3">
        <f t="shared" si="254"/>
        <v>1.2781847248259422E-3</v>
      </c>
      <c r="J268" s="3">
        <f t="shared" si="254"/>
        <v>1.2781847248259422E-3</v>
      </c>
      <c r="K268" s="3">
        <f t="shared" si="254"/>
        <v>1.2781847248259422E-3</v>
      </c>
      <c r="L268" s="3">
        <f t="shared" si="254"/>
        <v>1.2781847248259422E-3</v>
      </c>
      <c r="M268" s="3">
        <f t="shared" si="254"/>
        <v>1.2781847248259422E-3</v>
      </c>
      <c r="N268" s="3">
        <f t="shared" si="254"/>
        <v>1.2781847248259422E-3</v>
      </c>
      <c r="O268" s="3">
        <f t="shared" si="254"/>
        <v>1.2781847248259422E-3</v>
      </c>
      <c r="P268" s="3">
        <f t="shared" si="254"/>
        <v>1.2781847248259422E-3</v>
      </c>
      <c r="Q268" s="3">
        <f t="shared" si="254"/>
        <v>1.2781847248259422E-3</v>
      </c>
      <c r="R268" s="3">
        <f t="shared" si="254"/>
        <v>1.2781847248259422E-3</v>
      </c>
      <c r="S268" s="3">
        <f t="shared" si="254"/>
        <v>1.2781847248259422E-3</v>
      </c>
      <c r="T268" s="3">
        <f t="shared" si="254"/>
        <v>1.278184724825942E-3</v>
      </c>
      <c r="U268" s="3">
        <f t="shared" si="254"/>
        <v>1.2781847248259412E-3</v>
      </c>
      <c r="V268" s="3">
        <f t="shared" si="254"/>
        <v>1.2781847248259301E-3</v>
      </c>
      <c r="W268" s="3">
        <f t="shared" si="254"/>
        <v>1.2781847248258217E-3</v>
      </c>
      <c r="X268" s="3">
        <f t="shared" si="254"/>
        <v>1.2781847248247373E-3</v>
      </c>
      <c r="Y268" s="3">
        <f t="shared" si="254"/>
        <v>1.2781847248138911E-3</v>
      </c>
      <c r="Z268" s="3">
        <f t="shared" si="254"/>
        <v>1.2781847247054312E-3</v>
      </c>
      <c r="AA268" s="3">
        <f t="shared" si="254"/>
        <v>1.2781847236208305E-3</v>
      </c>
      <c r="AB268" s="3">
        <f t="shared" si="254"/>
        <v>1.2781847127748263E-3</v>
      </c>
      <c r="AC268" s="3">
        <f t="shared" si="254"/>
        <v>1.2781846043147867E-3</v>
      </c>
      <c r="AD268" s="3">
        <f t="shared" si="254"/>
        <v>1.2781835197148983E-3</v>
      </c>
      <c r="AE268" s="3">
        <f t="shared" si="254"/>
        <v>1.2781726737666314E-3</v>
      </c>
      <c r="AF268" s="3">
        <f t="shared" si="254"/>
        <v>1.2780642193456293E-3</v>
      </c>
      <c r="AG268" s="3"/>
      <c r="AH268" s="3"/>
    </row>
    <row r="269" spans="2:34" x14ac:dyDescent="0.25">
      <c r="B269" s="3">
        <f t="shared" ref="B269:AF269" si="255">$C38*EXP(-B$246/$A38/EXP(-$E$126))</f>
        <v>3.444457645749161E-4</v>
      </c>
      <c r="C269" s="3">
        <f t="shared" si="255"/>
        <v>3.444457645749161E-4</v>
      </c>
      <c r="D269" s="3">
        <f t="shared" si="255"/>
        <v>3.444457645749161E-4</v>
      </c>
      <c r="E269" s="3">
        <f t="shared" si="255"/>
        <v>3.444457645749161E-4</v>
      </c>
      <c r="F269" s="3">
        <f t="shared" si="255"/>
        <v>3.444457645749161E-4</v>
      </c>
      <c r="G269" s="3">
        <f t="shared" si="255"/>
        <v>3.444457645749161E-4</v>
      </c>
      <c r="H269" s="3">
        <f t="shared" si="255"/>
        <v>3.444457645749161E-4</v>
      </c>
      <c r="I269" s="3">
        <f t="shared" si="255"/>
        <v>3.444457645749161E-4</v>
      </c>
      <c r="J269" s="3">
        <f t="shared" si="255"/>
        <v>3.444457645749161E-4</v>
      </c>
      <c r="K269" s="3">
        <f t="shared" si="255"/>
        <v>3.444457645749161E-4</v>
      </c>
      <c r="L269" s="3">
        <f t="shared" si="255"/>
        <v>3.444457645749161E-4</v>
      </c>
      <c r="M269" s="3">
        <f t="shared" si="255"/>
        <v>3.444457645749161E-4</v>
      </c>
      <c r="N269" s="3">
        <f t="shared" si="255"/>
        <v>3.444457645749161E-4</v>
      </c>
      <c r="O269" s="3">
        <f t="shared" si="255"/>
        <v>3.444457645749161E-4</v>
      </c>
      <c r="P269" s="3">
        <f t="shared" si="255"/>
        <v>3.444457645749161E-4</v>
      </c>
      <c r="Q269" s="3">
        <f t="shared" si="255"/>
        <v>3.444457645749161E-4</v>
      </c>
      <c r="R269" s="3">
        <f t="shared" si="255"/>
        <v>3.444457645749161E-4</v>
      </c>
      <c r="S269" s="3">
        <f t="shared" si="255"/>
        <v>3.444457645749161E-4</v>
      </c>
      <c r="T269" s="3">
        <f t="shared" si="255"/>
        <v>3.444457645749161E-4</v>
      </c>
      <c r="U269" s="3">
        <f t="shared" si="255"/>
        <v>3.4444576457491605E-4</v>
      </c>
      <c r="V269" s="3">
        <f t="shared" si="255"/>
        <v>3.4444576457491578E-4</v>
      </c>
      <c r="W269" s="3">
        <f t="shared" si="255"/>
        <v>3.4444576457491317E-4</v>
      </c>
      <c r="X269" s="3">
        <f t="shared" si="255"/>
        <v>3.4444576457488683E-4</v>
      </c>
      <c r="Y269" s="3">
        <f t="shared" si="255"/>
        <v>3.4444576457462315E-4</v>
      </c>
      <c r="Z269" s="3">
        <f t="shared" si="255"/>
        <v>3.4444576457198659E-4</v>
      </c>
      <c r="AA269" s="3">
        <f t="shared" si="255"/>
        <v>3.4444576454562058E-4</v>
      </c>
      <c r="AB269" s="3">
        <f t="shared" si="255"/>
        <v>3.4444576428196099E-4</v>
      </c>
      <c r="AC269" s="3">
        <f t="shared" si="255"/>
        <v>3.4444576164536491E-4</v>
      </c>
      <c r="AD269" s="3">
        <f t="shared" si="255"/>
        <v>3.4444573527940569E-4</v>
      </c>
      <c r="AE269" s="3">
        <f t="shared" si="255"/>
        <v>3.4444547161992386E-4</v>
      </c>
      <c r="AF269" s="3">
        <f t="shared" si="255"/>
        <v>3.4444283503620585E-4</v>
      </c>
      <c r="AG269" s="3"/>
      <c r="AH269" s="3"/>
    </row>
    <row r="270" spans="2:34" x14ac:dyDescent="0.25">
      <c r="B270" s="3">
        <f t="shared" ref="B270:AF270" si="256">$C39*EXP(-B$246/$A39/EXP(-$E$126))</f>
        <v>6.1014336776090067E-4</v>
      </c>
      <c r="C270" s="3">
        <f t="shared" si="256"/>
        <v>6.1014336776090067E-4</v>
      </c>
      <c r="D270" s="3">
        <f t="shared" si="256"/>
        <v>6.1014336776090067E-4</v>
      </c>
      <c r="E270" s="3">
        <f t="shared" si="256"/>
        <v>6.1014336776090067E-4</v>
      </c>
      <c r="F270" s="3">
        <f t="shared" si="256"/>
        <v>6.1014336776090067E-4</v>
      </c>
      <c r="G270" s="3">
        <f t="shared" si="256"/>
        <v>6.1014336776090067E-4</v>
      </c>
      <c r="H270" s="3">
        <f t="shared" si="256"/>
        <v>6.1014336776090067E-4</v>
      </c>
      <c r="I270" s="3">
        <f t="shared" si="256"/>
        <v>6.1014336776090067E-4</v>
      </c>
      <c r="J270" s="3">
        <f t="shared" si="256"/>
        <v>6.1014336776090067E-4</v>
      </c>
      <c r="K270" s="3">
        <f t="shared" si="256"/>
        <v>6.1014336776090067E-4</v>
      </c>
      <c r="L270" s="3">
        <f t="shared" si="256"/>
        <v>6.1014336776090067E-4</v>
      </c>
      <c r="M270" s="3">
        <f t="shared" si="256"/>
        <v>6.1014336776090067E-4</v>
      </c>
      <c r="N270" s="3">
        <f t="shared" si="256"/>
        <v>6.1014336776090067E-4</v>
      </c>
      <c r="O270" s="3">
        <f t="shared" si="256"/>
        <v>6.1014336776090067E-4</v>
      </c>
      <c r="P270" s="3">
        <f t="shared" si="256"/>
        <v>6.1014336776090067E-4</v>
      </c>
      <c r="Q270" s="3">
        <f t="shared" si="256"/>
        <v>6.1014336776090067E-4</v>
      </c>
      <c r="R270" s="3">
        <f t="shared" si="256"/>
        <v>6.1014336776090067E-4</v>
      </c>
      <c r="S270" s="3">
        <f t="shared" si="256"/>
        <v>6.1014336776090067E-4</v>
      </c>
      <c r="T270" s="3">
        <f t="shared" si="256"/>
        <v>6.1014336776090067E-4</v>
      </c>
      <c r="U270" s="3">
        <f t="shared" si="256"/>
        <v>6.1014336776090067E-4</v>
      </c>
      <c r="V270" s="3">
        <f t="shared" si="256"/>
        <v>6.1014336776090057E-4</v>
      </c>
      <c r="W270" s="3">
        <f t="shared" si="256"/>
        <v>6.1014336776089926E-4</v>
      </c>
      <c r="X270" s="3">
        <f t="shared" si="256"/>
        <v>6.1014336776088636E-4</v>
      </c>
      <c r="Y270" s="3">
        <f t="shared" si="256"/>
        <v>6.1014336776075713E-4</v>
      </c>
      <c r="Z270" s="3">
        <f t="shared" si="256"/>
        <v>6.1014336775946541E-4</v>
      </c>
      <c r="AA270" s="3">
        <f t="shared" si="256"/>
        <v>6.1014336774654822E-4</v>
      </c>
      <c r="AB270" s="3">
        <f t="shared" si="256"/>
        <v>6.1014336761737659E-4</v>
      </c>
      <c r="AC270" s="3">
        <f t="shared" si="256"/>
        <v>6.101433663256591E-4</v>
      </c>
      <c r="AD270" s="3">
        <f t="shared" si="256"/>
        <v>6.1014335340848548E-4</v>
      </c>
      <c r="AE270" s="3">
        <f t="shared" si="256"/>
        <v>6.1014322423676355E-4</v>
      </c>
      <c r="AF270" s="3">
        <f t="shared" si="256"/>
        <v>6.1014193252104858E-4</v>
      </c>
      <c r="AG270" s="3"/>
      <c r="AH270" s="3"/>
    </row>
    <row r="271" spans="2:34" x14ac:dyDescent="0.25">
      <c r="B271" s="3">
        <f t="shared" ref="B271:AF271" si="257">$C40*EXP(-B$246/$A40/EXP(-$E$126))</f>
        <v>2.2250933466635417E-4</v>
      </c>
      <c r="C271" s="3">
        <f t="shared" si="257"/>
        <v>2.2250933466635417E-4</v>
      </c>
      <c r="D271" s="3">
        <f t="shared" si="257"/>
        <v>2.2250933466635417E-4</v>
      </c>
      <c r="E271" s="3">
        <f t="shared" si="257"/>
        <v>2.2250933466635417E-4</v>
      </c>
      <c r="F271" s="3">
        <f t="shared" si="257"/>
        <v>2.2250933466635417E-4</v>
      </c>
      <c r="G271" s="3">
        <f t="shared" si="257"/>
        <v>2.2250933466635417E-4</v>
      </c>
      <c r="H271" s="3">
        <f t="shared" si="257"/>
        <v>2.2250933466635417E-4</v>
      </c>
      <c r="I271" s="3">
        <f t="shared" si="257"/>
        <v>2.2250933466635417E-4</v>
      </c>
      <c r="J271" s="3">
        <f t="shared" si="257"/>
        <v>2.2250933466635417E-4</v>
      </c>
      <c r="K271" s="3">
        <f t="shared" si="257"/>
        <v>2.2250933466635417E-4</v>
      </c>
      <c r="L271" s="3">
        <f t="shared" si="257"/>
        <v>2.2250933466635417E-4</v>
      </c>
      <c r="M271" s="3">
        <f t="shared" si="257"/>
        <v>2.2250933466635417E-4</v>
      </c>
      <c r="N271" s="3">
        <f t="shared" si="257"/>
        <v>2.2250933466635417E-4</v>
      </c>
      <c r="O271" s="3">
        <f t="shared" si="257"/>
        <v>2.2250933466635417E-4</v>
      </c>
      <c r="P271" s="3">
        <f t="shared" si="257"/>
        <v>2.2250933466635417E-4</v>
      </c>
      <c r="Q271" s="3">
        <f t="shared" si="257"/>
        <v>2.2250933466635417E-4</v>
      </c>
      <c r="R271" s="3">
        <f t="shared" si="257"/>
        <v>2.2250933466635417E-4</v>
      </c>
      <c r="S271" s="3">
        <f t="shared" si="257"/>
        <v>2.2250933466635417E-4</v>
      </c>
      <c r="T271" s="3">
        <f t="shared" si="257"/>
        <v>2.2250933466635417E-4</v>
      </c>
      <c r="U271" s="3">
        <f t="shared" si="257"/>
        <v>2.2250933466635417E-4</v>
      </c>
      <c r="V271" s="3">
        <f t="shared" si="257"/>
        <v>2.2250933466635417E-4</v>
      </c>
      <c r="W271" s="3">
        <f t="shared" si="257"/>
        <v>2.2250933466635411E-4</v>
      </c>
      <c r="X271" s="3">
        <f t="shared" si="257"/>
        <v>2.2250933466635365E-4</v>
      </c>
      <c r="Y271" s="3">
        <f t="shared" si="257"/>
        <v>2.2250933466634893E-4</v>
      </c>
      <c r="Z271" s="3">
        <f t="shared" si="257"/>
        <v>2.2250933466630183E-4</v>
      </c>
      <c r="AA271" s="3">
        <f t="shared" si="257"/>
        <v>2.2250933466583074E-4</v>
      </c>
      <c r="AB271" s="3">
        <f t="shared" si="257"/>
        <v>2.2250933466112007E-4</v>
      </c>
      <c r="AC271" s="3">
        <f t="shared" si="257"/>
        <v>2.2250933461401325E-4</v>
      </c>
      <c r="AD271" s="3">
        <f t="shared" si="257"/>
        <v>2.22509334142945E-4</v>
      </c>
      <c r="AE271" s="3">
        <f t="shared" si="257"/>
        <v>2.2250932943226241E-4</v>
      </c>
      <c r="AF271" s="3">
        <f t="shared" si="257"/>
        <v>2.2250928232544226E-4</v>
      </c>
      <c r="AG271" s="3"/>
      <c r="AH271" s="3"/>
    </row>
    <row r="272" spans="2:34" x14ac:dyDescent="0.25">
      <c r="B272" s="3">
        <f t="shared" ref="B272:AF272" si="258">$C41*EXP(-B$246/$A41/EXP(-$E$126))</f>
        <v>3.0514987252664002E-4</v>
      </c>
      <c r="C272" s="3">
        <f t="shared" si="258"/>
        <v>3.0514987252664002E-4</v>
      </c>
      <c r="D272" s="3">
        <f t="shared" si="258"/>
        <v>3.0514987252664002E-4</v>
      </c>
      <c r="E272" s="3">
        <f t="shared" si="258"/>
        <v>3.0514987252664002E-4</v>
      </c>
      <c r="F272" s="3">
        <f t="shared" si="258"/>
        <v>3.0514987252664002E-4</v>
      </c>
      <c r="G272" s="3">
        <f t="shared" si="258"/>
        <v>3.0514987252664002E-4</v>
      </c>
      <c r="H272" s="3">
        <f t="shared" si="258"/>
        <v>3.0514987252664002E-4</v>
      </c>
      <c r="I272" s="3">
        <f t="shared" si="258"/>
        <v>3.0514987252664002E-4</v>
      </c>
      <c r="J272" s="3">
        <f t="shared" si="258"/>
        <v>3.0514987252664002E-4</v>
      </c>
      <c r="K272" s="3">
        <f t="shared" si="258"/>
        <v>3.0514987252664002E-4</v>
      </c>
      <c r="L272" s="3">
        <f t="shared" si="258"/>
        <v>3.0514987252664002E-4</v>
      </c>
      <c r="M272" s="3">
        <f t="shared" si="258"/>
        <v>3.0514987252664002E-4</v>
      </c>
      <c r="N272" s="3">
        <f t="shared" si="258"/>
        <v>3.0514987252664002E-4</v>
      </c>
      <c r="O272" s="3">
        <f t="shared" si="258"/>
        <v>3.0514987252664002E-4</v>
      </c>
      <c r="P272" s="3">
        <f t="shared" si="258"/>
        <v>3.0514987252664002E-4</v>
      </c>
      <c r="Q272" s="3">
        <f t="shared" si="258"/>
        <v>3.0514987252664002E-4</v>
      </c>
      <c r="R272" s="3">
        <f t="shared" si="258"/>
        <v>3.0514987252664002E-4</v>
      </c>
      <c r="S272" s="3">
        <f t="shared" si="258"/>
        <v>3.0514987252664002E-4</v>
      </c>
      <c r="T272" s="3">
        <f t="shared" si="258"/>
        <v>3.0514987252664002E-4</v>
      </c>
      <c r="U272" s="3">
        <f t="shared" si="258"/>
        <v>3.0514987252664002E-4</v>
      </c>
      <c r="V272" s="3">
        <f t="shared" si="258"/>
        <v>3.0514987252664002E-4</v>
      </c>
      <c r="W272" s="3">
        <f t="shared" si="258"/>
        <v>3.0514987252664002E-4</v>
      </c>
      <c r="X272" s="3">
        <f t="shared" si="258"/>
        <v>3.0514987252663997E-4</v>
      </c>
      <c r="Y272" s="3">
        <f t="shared" si="258"/>
        <v>3.0514987252663932E-4</v>
      </c>
      <c r="Z272" s="3">
        <f t="shared" si="258"/>
        <v>3.0514987252663287E-4</v>
      </c>
      <c r="AA272" s="3">
        <f t="shared" si="258"/>
        <v>3.0514987252656825E-4</v>
      </c>
      <c r="AB272" s="3">
        <f t="shared" si="258"/>
        <v>3.0514987252592223E-4</v>
      </c>
      <c r="AC272" s="3">
        <f t="shared" si="258"/>
        <v>3.0514987251946196E-4</v>
      </c>
      <c r="AD272" s="3">
        <f t="shared" si="258"/>
        <v>3.0514987245485955E-4</v>
      </c>
      <c r="AE272" s="3">
        <f t="shared" si="258"/>
        <v>3.051498718088353E-4</v>
      </c>
      <c r="AF272" s="3">
        <f t="shared" si="258"/>
        <v>3.0514986534859319E-4</v>
      </c>
      <c r="AG272" s="3"/>
      <c r="AH272" s="3"/>
    </row>
    <row r="273" spans="1:34" x14ac:dyDescent="0.25">
      <c r="B273" s="3">
        <f t="shared" ref="B273:AF273" si="259">$C42*EXP(-B$246/$A42/EXP(-$E$126))</f>
        <v>0</v>
      </c>
      <c r="C273" s="3">
        <f t="shared" si="259"/>
        <v>0</v>
      </c>
      <c r="D273" s="3">
        <f t="shared" si="259"/>
        <v>0</v>
      </c>
      <c r="E273" s="3">
        <f t="shared" si="259"/>
        <v>0</v>
      </c>
      <c r="F273" s="3">
        <f t="shared" si="259"/>
        <v>0</v>
      </c>
      <c r="G273" s="3">
        <f t="shared" si="259"/>
        <v>0</v>
      </c>
      <c r="H273" s="3">
        <f t="shared" si="259"/>
        <v>0</v>
      </c>
      <c r="I273" s="3">
        <f t="shared" si="259"/>
        <v>0</v>
      </c>
      <c r="J273" s="3">
        <f t="shared" si="259"/>
        <v>0</v>
      </c>
      <c r="K273" s="3">
        <f t="shared" si="259"/>
        <v>0</v>
      </c>
      <c r="L273" s="3">
        <f t="shared" si="259"/>
        <v>0</v>
      </c>
      <c r="M273" s="3">
        <f t="shared" si="259"/>
        <v>0</v>
      </c>
      <c r="N273" s="3">
        <f t="shared" si="259"/>
        <v>0</v>
      </c>
      <c r="O273" s="3">
        <f t="shared" si="259"/>
        <v>0</v>
      </c>
      <c r="P273" s="3">
        <f t="shared" si="259"/>
        <v>0</v>
      </c>
      <c r="Q273" s="3">
        <f t="shared" si="259"/>
        <v>0</v>
      </c>
      <c r="R273" s="3">
        <f t="shared" si="259"/>
        <v>0</v>
      </c>
      <c r="S273" s="3">
        <f t="shared" si="259"/>
        <v>0</v>
      </c>
      <c r="T273" s="3">
        <f t="shared" si="259"/>
        <v>0</v>
      </c>
      <c r="U273" s="3">
        <f t="shared" si="259"/>
        <v>0</v>
      </c>
      <c r="V273" s="3">
        <f t="shared" si="259"/>
        <v>0</v>
      </c>
      <c r="W273" s="3">
        <f t="shared" si="259"/>
        <v>0</v>
      </c>
      <c r="X273" s="3">
        <f t="shared" si="259"/>
        <v>0</v>
      </c>
      <c r="Y273" s="3">
        <f t="shared" si="259"/>
        <v>0</v>
      </c>
      <c r="Z273" s="3">
        <f t="shared" si="259"/>
        <v>0</v>
      </c>
      <c r="AA273" s="3">
        <f t="shared" si="259"/>
        <v>0</v>
      </c>
      <c r="AB273" s="3">
        <f t="shared" si="259"/>
        <v>0</v>
      </c>
      <c r="AC273" s="3">
        <f t="shared" si="259"/>
        <v>0</v>
      </c>
      <c r="AD273" s="3">
        <f t="shared" si="259"/>
        <v>0</v>
      </c>
      <c r="AE273" s="3">
        <f t="shared" si="259"/>
        <v>0</v>
      </c>
      <c r="AF273" s="3">
        <f t="shared" si="259"/>
        <v>0</v>
      </c>
      <c r="AG273" s="3"/>
      <c r="AH273" s="3"/>
    </row>
    <row r="274" spans="1:34" x14ac:dyDescent="0.25">
      <c r="B274" s="3">
        <f t="shared" ref="B274:AF274" si="260">$C43*EXP(-B$246/$A43/EXP(-$E$126))</f>
        <v>6.2164799219330605E-5</v>
      </c>
      <c r="C274" s="3">
        <f t="shared" si="260"/>
        <v>6.2164799219330605E-5</v>
      </c>
      <c r="D274" s="3">
        <f t="shared" si="260"/>
        <v>6.2164799219330605E-5</v>
      </c>
      <c r="E274" s="3">
        <f t="shared" si="260"/>
        <v>6.2164799219330605E-5</v>
      </c>
      <c r="F274" s="3">
        <f t="shared" si="260"/>
        <v>6.2164799219330605E-5</v>
      </c>
      <c r="G274" s="3">
        <f t="shared" si="260"/>
        <v>6.2164799219330605E-5</v>
      </c>
      <c r="H274" s="3">
        <f t="shared" si="260"/>
        <v>6.2164799219330605E-5</v>
      </c>
      <c r="I274" s="3">
        <f t="shared" si="260"/>
        <v>6.2164799219330605E-5</v>
      </c>
      <c r="J274" s="3">
        <f t="shared" si="260"/>
        <v>6.2164799219330605E-5</v>
      </c>
      <c r="K274" s="3">
        <f t="shared" si="260"/>
        <v>6.2164799219330605E-5</v>
      </c>
      <c r="L274" s="3">
        <f t="shared" si="260"/>
        <v>6.2164799219330605E-5</v>
      </c>
      <c r="M274" s="3">
        <f t="shared" si="260"/>
        <v>6.2164799219330605E-5</v>
      </c>
      <c r="N274" s="3">
        <f t="shared" si="260"/>
        <v>6.2164799219330605E-5</v>
      </c>
      <c r="O274" s="3">
        <f t="shared" si="260"/>
        <v>6.2164799219330605E-5</v>
      </c>
      <c r="P274" s="3">
        <f t="shared" si="260"/>
        <v>6.2164799219330605E-5</v>
      </c>
      <c r="Q274" s="3">
        <f t="shared" si="260"/>
        <v>6.2164799219330605E-5</v>
      </c>
      <c r="R274" s="3">
        <f t="shared" si="260"/>
        <v>6.2164799219330605E-5</v>
      </c>
      <c r="S274" s="3">
        <f t="shared" si="260"/>
        <v>6.2164799219330605E-5</v>
      </c>
      <c r="T274" s="3">
        <f t="shared" si="260"/>
        <v>6.2164799219330605E-5</v>
      </c>
      <c r="U274" s="3">
        <f t="shared" si="260"/>
        <v>6.2164799219330605E-5</v>
      </c>
      <c r="V274" s="3">
        <f t="shared" si="260"/>
        <v>6.2164799219330605E-5</v>
      </c>
      <c r="W274" s="3">
        <f t="shared" si="260"/>
        <v>6.2164799219330605E-5</v>
      </c>
      <c r="X274" s="3">
        <f t="shared" si="260"/>
        <v>6.2164799219330605E-5</v>
      </c>
      <c r="Y274" s="3">
        <f t="shared" si="260"/>
        <v>6.2164799219330605E-5</v>
      </c>
      <c r="Z274" s="3">
        <f t="shared" si="260"/>
        <v>6.2164799219330592E-5</v>
      </c>
      <c r="AA274" s="3">
        <f t="shared" si="260"/>
        <v>6.2164799219330456E-5</v>
      </c>
      <c r="AB274" s="3">
        <f t="shared" si="260"/>
        <v>6.2164799219329141E-5</v>
      </c>
      <c r="AC274" s="3">
        <f t="shared" si="260"/>
        <v>6.2164799219315982E-5</v>
      </c>
      <c r="AD274" s="3">
        <f t="shared" si="260"/>
        <v>6.2164799219184373E-5</v>
      </c>
      <c r="AE274" s="3">
        <f t="shared" si="260"/>
        <v>6.2164799217868301E-5</v>
      </c>
      <c r="AF274" s="3">
        <f t="shared" si="260"/>
        <v>6.2164799204707564E-5</v>
      </c>
      <c r="AG274" s="3"/>
      <c r="AH274" s="3"/>
    </row>
    <row r="275" spans="1:34" x14ac:dyDescent="0.25">
      <c r="B275" s="3">
        <f t="shared" ref="B275:AF275" si="261">$C44*EXP(-B$246/$A44/EXP(-$E$126))</f>
        <v>1.589018825978126E-4</v>
      </c>
      <c r="C275" s="3">
        <f t="shared" si="261"/>
        <v>1.589018825978126E-4</v>
      </c>
      <c r="D275" s="3">
        <f t="shared" si="261"/>
        <v>1.589018825978126E-4</v>
      </c>
      <c r="E275" s="3">
        <f t="shared" si="261"/>
        <v>1.589018825978126E-4</v>
      </c>
      <c r="F275" s="3">
        <f t="shared" si="261"/>
        <v>1.589018825978126E-4</v>
      </c>
      <c r="G275" s="3">
        <f t="shared" si="261"/>
        <v>1.589018825978126E-4</v>
      </c>
      <c r="H275" s="3">
        <f t="shared" si="261"/>
        <v>1.589018825978126E-4</v>
      </c>
      <c r="I275" s="3">
        <f t="shared" si="261"/>
        <v>1.589018825978126E-4</v>
      </c>
      <c r="J275" s="3">
        <f t="shared" si="261"/>
        <v>1.589018825978126E-4</v>
      </c>
      <c r="K275" s="3">
        <f t="shared" si="261"/>
        <v>1.589018825978126E-4</v>
      </c>
      <c r="L275" s="3">
        <f t="shared" si="261"/>
        <v>1.589018825978126E-4</v>
      </c>
      <c r="M275" s="3">
        <f t="shared" si="261"/>
        <v>1.589018825978126E-4</v>
      </c>
      <c r="N275" s="3">
        <f t="shared" si="261"/>
        <v>1.589018825978126E-4</v>
      </c>
      <c r="O275" s="3">
        <f t="shared" si="261"/>
        <v>1.589018825978126E-4</v>
      </c>
      <c r="P275" s="3">
        <f t="shared" si="261"/>
        <v>1.589018825978126E-4</v>
      </c>
      <c r="Q275" s="3">
        <f t="shared" si="261"/>
        <v>1.589018825978126E-4</v>
      </c>
      <c r="R275" s="3">
        <f t="shared" si="261"/>
        <v>1.589018825978126E-4</v>
      </c>
      <c r="S275" s="3">
        <f t="shared" si="261"/>
        <v>1.589018825978126E-4</v>
      </c>
      <c r="T275" s="3">
        <f t="shared" si="261"/>
        <v>1.589018825978126E-4</v>
      </c>
      <c r="U275" s="3">
        <f t="shared" si="261"/>
        <v>1.589018825978126E-4</v>
      </c>
      <c r="V275" s="3">
        <f t="shared" si="261"/>
        <v>1.589018825978126E-4</v>
      </c>
      <c r="W275" s="3">
        <f t="shared" si="261"/>
        <v>1.589018825978126E-4</v>
      </c>
      <c r="X275" s="3">
        <f t="shared" si="261"/>
        <v>1.589018825978126E-4</v>
      </c>
      <c r="Y275" s="3">
        <f t="shared" si="261"/>
        <v>1.589018825978126E-4</v>
      </c>
      <c r="Z275" s="3">
        <f t="shared" si="261"/>
        <v>1.589018825978126E-4</v>
      </c>
      <c r="AA275" s="3">
        <f t="shared" si="261"/>
        <v>1.5890188259781257E-4</v>
      </c>
      <c r="AB275" s="3">
        <f t="shared" si="261"/>
        <v>1.5890188259781222E-4</v>
      </c>
      <c r="AC275" s="3">
        <f t="shared" si="261"/>
        <v>1.5890188259780886E-4</v>
      </c>
      <c r="AD275" s="3">
        <f t="shared" si="261"/>
        <v>1.5890188259777522E-4</v>
      </c>
      <c r="AE275" s="3">
        <f t="shared" si="261"/>
        <v>1.5890188259743882E-4</v>
      </c>
      <c r="AF275" s="3">
        <f t="shared" si="261"/>
        <v>1.5890188259407473E-4</v>
      </c>
      <c r="AG275" s="3"/>
      <c r="AH275" s="3"/>
    </row>
    <row r="276" spans="1:34" x14ac:dyDescent="0.25">
      <c r="B276" s="3">
        <f t="shared" ref="B276:AF276" si="262">$C45*EXP(-B$246/$A45/EXP(-$E$126))</f>
        <v>0</v>
      </c>
      <c r="C276" s="3">
        <f t="shared" si="262"/>
        <v>0</v>
      </c>
      <c r="D276" s="3">
        <f t="shared" si="262"/>
        <v>0</v>
      </c>
      <c r="E276" s="3">
        <f t="shared" si="262"/>
        <v>0</v>
      </c>
      <c r="F276" s="3">
        <f t="shared" si="262"/>
        <v>0</v>
      </c>
      <c r="G276" s="3">
        <f t="shared" si="262"/>
        <v>0</v>
      </c>
      <c r="H276" s="3">
        <f t="shared" si="262"/>
        <v>0</v>
      </c>
      <c r="I276" s="3">
        <f t="shared" si="262"/>
        <v>0</v>
      </c>
      <c r="J276" s="3">
        <f t="shared" si="262"/>
        <v>0</v>
      </c>
      <c r="K276" s="3">
        <f t="shared" si="262"/>
        <v>0</v>
      </c>
      <c r="L276" s="3">
        <f t="shared" si="262"/>
        <v>0</v>
      </c>
      <c r="M276" s="3">
        <f t="shared" si="262"/>
        <v>0</v>
      </c>
      <c r="N276" s="3">
        <f t="shared" si="262"/>
        <v>0</v>
      </c>
      <c r="O276" s="3">
        <f t="shared" si="262"/>
        <v>0</v>
      </c>
      <c r="P276" s="3">
        <f t="shared" si="262"/>
        <v>0</v>
      </c>
      <c r="Q276" s="3">
        <f t="shared" si="262"/>
        <v>0</v>
      </c>
      <c r="R276" s="3">
        <f t="shared" si="262"/>
        <v>0</v>
      </c>
      <c r="S276" s="3">
        <f t="shared" si="262"/>
        <v>0</v>
      </c>
      <c r="T276" s="3">
        <f t="shared" si="262"/>
        <v>0</v>
      </c>
      <c r="U276" s="3">
        <f t="shared" si="262"/>
        <v>0</v>
      </c>
      <c r="V276" s="3">
        <f t="shared" si="262"/>
        <v>0</v>
      </c>
      <c r="W276" s="3">
        <f t="shared" si="262"/>
        <v>0</v>
      </c>
      <c r="X276" s="3">
        <f t="shared" si="262"/>
        <v>0</v>
      </c>
      <c r="Y276" s="3">
        <f t="shared" si="262"/>
        <v>0</v>
      </c>
      <c r="Z276" s="3">
        <f t="shared" si="262"/>
        <v>0</v>
      </c>
      <c r="AA276" s="3">
        <f t="shared" si="262"/>
        <v>0</v>
      </c>
      <c r="AB276" s="3">
        <f t="shared" si="262"/>
        <v>0</v>
      </c>
      <c r="AC276" s="3">
        <f t="shared" si="262"/>
        <v>0</v>
      </c>
      <c r="AD276" s="3">
        <f t="shared" si="262"/>
        <v>0</v>
      </c>
      <c r="AE276" s="3">
        <f t="shared" si="262"/>
        <v>0</v>
      </c>
      <c r="AF276" s="3">
        <f t="shared" si="262"/>
        <v>0</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7.8909905102376337E-4</v>
      </c>
      <c r="C279" s="3">
        <f t="shared" si="265"/>
        <v>7.8909905102376337E-4</v>
      </c>
      <c r="D279" s="3">
        <f t="shared" si="265"/>
        <v>7.8909905102376337E-4</v>
      </c>
      <c r="E279" s="3">
        <f t="shared" si="265"/>
        <v>7.8909905102376337E-4</v>
      </c>
      <c r="F279" s="3">
        <f t="shared" si="265"/>
        <v>7.8909905102376337E-4</v>
      </c>
      <c r="G279" s="3">
        <f t="shared" si="265"/>
        <v>7.8909905102376337E-4</v>
      </c>
      <c r="H279" s="3">
        <f t="shared" si="265"/>
        <v>7.8909905102376337E-4</v>
      </c>
      <c r="I279" s="3">
        <f t="shared" si="265"/>
        <v>7.8909905102376337E-4</v>
      </c>
      <c r="J279" s="3">
        <f t="shared" si="265"/>
        <v>7.8909905102376337E-4</v>
      </c>
      <c r="K279" s="3">
        <f t="shared" si="265"/>
        <v>7.8909905102376337E-4</v>
      </c>
      <c r="L279" s="3">
        <f t="shared" si="265"/>
        <v>7.8909905102376337E-4</v>
      </c>
      <c r="M279" s="3">
        <f t="shared" si="265"/>
        <v>7.8909905102376337E-4</v>
      </c>
      <c r="N279" s="3">
        <f t="shared" si="265"/>
        <v>7.8909905102376337E-4</v>
      </c>
      <c r="O279" s="3">
        <f t="shared" si="265"/>
        <v>7.8909905102376337E-4</v>
      </c>
      <c r="P279" s="3">
        <f t="shared" si="265"/>
        <v>7.8909905102376337E-4</v>
      </c>
      <c r="Q279" s="3">
        <f t="shared" si="265"/>
        <v>7.8909905102376337E-4</v>
      </c>
      <c r="R279" s="3">
        <f t="shared" si="265"/>
        <v>7.8909905102376337E-4</v>
      </c>
      <c r="S279" s="3">
        <f t="shared" si="265"/>
        <v>7.8909905102376337E-4</v>
      </c>
      <c r="T279" s="3">
        <f t="shared" si="265"/>
        <v>7.8909905102376337E-4</v>
      </c>
      <c r="U279" s="3">
        <f t="shared" si="265"/>
        <v>7.8909905102376337E-4</v>
      </c>
      <c r="V279" s="3">
        <f t="shared" si="265"/>
        <v>7.8909905102376337E-4</v>
      </c>
      <c r="W279" s="3">
        <f t="shared" si="265"/>
        <v>7.8909905102376337E-4</v>
      </c>
      <c r="X279" s="3">
        <f t="shared" si="265"/>
        <v>7.8909905102376337E-4</v>
      </c>
      <c r="Y279" s="3">
        <f t="shared" si="265"/>
        <v>7.8909905102376337E-4</v>
      </c>
      <c r="Z279" s="3">
        <f t="shared" si="265"/>
        <v>7.8909905102376337E-4</v>
      </c>
      <c r="AA279" s="3">
        <f t="shared" si="265"/>
        <v>7.8909905102376337E-4</v>
      </c>
      <c r="AB279" s="3">
        <f t="shared" si="265"/>
        <v>7.8909905102376337E-4</v>
      </c>
      <c r="AC279" s="3">
        <f t="shared" si="265"/>
        <v>7.8909905102376337E-4</v>
      </c>
      <c r="AD279" s="3">
        <f t="shared" si="265"/>
        <v>7.8909905102376337E-4</v>
      </c>
      <c r="AE279" s="3">
        <f t="shared" si="265"/>
        <v>7.8909905102376315E-4</v>
      </c>
      <c r="AF279" s="3">
        <f t="shared" si="265"/>
        <v>7.8909905102376152E-4</v>
      </c>
      <c r="AG279" s="3"/>
      <c r="AH279" s="3"/>
    </row>
    <row r="280" spans="1:34" x14ac:dyDescent="0.25">
      <c r="A280" s="79">
        <f>AVERAGE(B280:AF280)</f>
        <v>0.10461712564218989</v>
      </c>
      <c r="B280" s="80">
        <f>IF($D$61&lt;=B246,IF($E$61&gt;=B246,ABS((B248-B247)/B247),0),0)</f>
        <v>0.16444645042573106</v>
      </c>
      <c r="C280" s="80">
        <f t="shared" ref="C280:AF280" si="266">IF($D$61&lt;=C246,IF($E$61&gt;=C246,ABS((C248-C247)/C247),0),0)</f>
        <v>0.16445475914921268</v>
      </c>
      <c r="D280" s="80">
        <f t="shared" si="266"/>
        <v>0.16445030556764856</v>
      </c>
      <c r="E280" s="80">
        <f t="shared" si="266"/>
        <v>0.16444915737869353</v>
      </c>
      <c r="F280" s="80">
        <f t="shared" si="266"/>
        <v>0.16444883031922625</v>
      </c>
      <c r="G280" s="80">
        <f t="shared" si="266"/>
        <v>0.16444870506653722</v>
      </c>
      <c r="H280" s="80">
        <f t="shared" si="266"/>
        <v>0.16444841980189245</v>
      </c>
      <c r="I280" s="80">
        <f t="shared" si="266"/>
        <v>0.16444590813278792</v>
      </c>
      <c r="J280" s="80">
        <f t="shared" si="266"/>
        <v>0.16442088886397807</v>
      </c>
      <c r="K280" s="80">
        <f t="shared" si="266"/>
        <v>0.16417238715916266</v>
      </c>
      <c r="L280" s="80">
        <f t="shared" si="266"/>
        <v>0.16184626686350054</v>
      </c>
      <c r="M280" s="80">
        <f t="shared" si="266"/>
        <v>0.1488473576757465</v>
      </c>
      <c r="N280" s="80">
        <f t="shared" si="266"/>
        <v>0.13169768446897384</v>
      </c>
      <c r="O280" s="80">
        <f t="shared" si="266"/>
        <v>0.11223647569592504</v>
      </c>
      <c r="P280" s="80">
        <f t="shared" si="266"/>
        <v>9.182377688954714E-2</v>
      </c>
      <c r="Q280" s="80">
        <f t="shared" si="266"/>
        <v>9.8009806545722944E-2</v>
      </c>
      <c r="R280" s="80">
        <f t="shared" si="266"/>
        <v>0.12343233064249841</v>
      </c>
      <c r="S280" s="80">
        <f t="shared" si="266"/>
        <v>9.5153616745348668E-2</v>
      </c>
      <c r="T280" s="80">
        <f t="shared" si="266"/>
        <v>1.1781839545203569E-2</v>
      </c>
      <c r="U280" s="80">
        <f t="shared" si="266"/>
        <v>0.10369666049213361</v>
      </c>
      <c r="V280" s="80">
        <f t="shared" si="266"/>
        <v>0.16959573880164677</v>
      </c>
      <c r="W280" s="80">
        <f t="shared" si="266"/>
        <v>0.15735954766645696</v>
      </c>
      <c r="X280" s="80">
        <f t="shared" si="266"/>
        <v>6.2626680311876654E-2</v>
      </c>
      <c r="Y280" s="80">
        <f t="shared" si="266"/>
        <v>0.13083730069843566</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1436069.3405869731</v>
      </c>
      <c r="C281" s="21">
        <f t="shared" ref="C281:AF281" si="267">(C248-C247)^2</f>
        <v>1436243.0239739588</v>
      </c>
      <c r="D281" s="21">
        <f t="shared" si="267"/>
        <v>1436149.9257127459</v>
      </c>
      <c r="E281" s="21">
        <f t="shared" si="267"/>
        <v>1436125.9244681695</v>
      </c>
      <c r="F281" s="21">
        <f t="shared" si="267"/>
        <v>1436119.0878060709</v>
      </c>
      <c r="G281" s="21">
        <f t="shared" si="267"/>
        <v>1436116.4695877773</v>
      </c>
      <c r="H281" s="21">
        <f t="shared" si="267"/>
        <v>1436110.5064591083</v>
      </c>
      <c r="I281" s="21">
        <f t="shared" si="267"/>
        <v>1436058.0034446171</v>
      </c>
      <c r="J281" s="21">
        <f t="shared" si="267"/>
        <v>1435535.0793484468</v>
      </c>
      <c r="K281" s="21">
        <f t="shared" si="267"/>
        <v>1430348.0471397769</v>
      </c>
      <c r="L281" s="21">
        <f t="shared" si="267"/>
        <v>1382396.0673276985</v>
      </c>
      <c r="M281" s="21">
        <f t="shared" si="267"/>
        <v>1133802.414900675</v>
      </c>
      <c r="N281" s="21">
        <f t="shared" si="267"/>
        <v>852785.43259060045</v>
      </c>
      <c r="O281" s="21">
        <f t="shared" si="267"/>
        <v>591907.61581558536</v>
      </c>
      <c r="P281" s="21">
        <f t="shared" si="267"/>
        <v>374813.38610228937</v>
      </c>
      <c r="Q281" s="21">
        <f t="shared" si="267"/>
        <v>400606.60566737829</v>
      </c>
      <c r="R281" s="21">
        <f t="shared" si="267"/>
        <v>585113.88538536907</v>
      </c>
      <c r="S281" s="21">
        <f t="shared" si="267"/>
        <v>297139.58229868975</v>
      </c>
      <c r="T281" s="21">
        <f t="shared" si="267"/>
        <v>3345.6841167174466</v>
      </c>
      <c r="U281" s="21">
        <f t="shared" si="267"/>
        <v>176784.38788603921</v>
      </c>
      <c r="V281" s="21">
        <f t="shared" si="267"/>
        <v>329518.57903450722</v>
      </c>
      <c r="W281" s="21">
        <f t="shared" si="267"/>
        <v>203651.62603178428</v>
      </c>
      <c r="X281" s="21">
        <f t="shared" si="267"/>
        <v>22477.02157015663</v>
      </c>
      <c r="Y281" s="21">
        <f t="shared" si="267"/>
        <v>63305.566359907549</v>
      </c>
      <c r="Z281" s="21">
        <f t="shared" si="267"/>
        <v>191615.47404898104</v>
      </c>
      <c r="AA281" s="21">
        <f t="shared" si="267"/>
        <v>133025.35641206618</v>
      </c>
      <c r="AB281" s="21">
        <f t="shared" si="267"/>
        <v>48502.477456703666</v>
      </c>
      <c r="AC281" s="21">
        <f t="shared" si="267"/>
        <v>3207.4054960698249</v>
      </c>
      <c r="AD281" s="21">
        <f t="shared" si="267"/>
        <v>2031.8693379111521</v>
      </c>
      <c r="AE281" s="21">
        <f t="shared" si="267"/>
        <v>6761.7012087590811</v>
      </c>
      <c r="AF281" s="21">
        <f t="shared" si="267"/>
        <v>6882.4707254480672</v>
      </c>
      <c r="AG281" s="3"/>
      <c r="AH281" s="3"/>
    </row>
    <row r="282" spans="1:34" s="3" customFormat="1" x14ac:dyDescent="0.25">
      <c r="A282" s="71">
        <f>SUM(B282:AF282)</f>
        <v>20772523.263615038</v>
      </c>
      <c r="B282" s="21">
        <f>IF($D$61&lt;=B246,IF($E$61&gt;=B246,ABS(B281),0),0)</f>
        <v>1436069.3405869731</v>
      </c>
      <c r="C282" s="21">
        <f t="shared" ref="C282:AF282" si="268">IF($D$61&lt;=C246,IF($E$61&gt;=C246,ABS(C281),0),0)</f>
        <v>1436243.0239739588</v>
      </c>
      <c r="D282" s="21">
        <f t="shared" si="268"/>
        <v>1436149.9257127459</v>
      </c>
      <c r="E282" s="21">
        <f t="shared" si="268"/>
        <v>1436125.9244681695</v>
      </c>
      <c r="F282" s="21">
        <f t="shared" si="268"/>
        <v>1436119.0878060709</v>
      </c>
      <c r="G282" s="21">
        <f t="shared" si="268"/>
        <v>1436116.4695877773</v>
      </c>
      <c r="H282" s="21">
        <f t="shared" si="268"/>
        <v>1436110.5064591083</v>
      </c>
      <c r="I282" s="21">
        <f t="shared" si="268"/>
        <v>1436058.0034446171</v>
      </c>
      <c r="J282" s="21">
        <f t="shared" si="268"/>
        <v>1435535.0793484468</v>
      </c>
      <c r="K282" s="21">
        <f t="shared" si="268"/>
        <v>1430348.0471397769</v>
      </c>
      <c r="L282" s="21">
        <f t="shared" si="268"/>
        <v>1382396.0673276985</v>
      </c>
      <c r="M282" s="21">
        <f t="shared" si="268"/>
        <v>1133802.414900675</v>
      </c>
      <c r="N282" s="21">
        <f t="shared" si="268"/>
        <v>852785.43259060045</v>
      </c>
      <c r="O282" s="21">
        <f t="shared" si="268"/>
        <v>591907.61581558536</v>
      </c>
      <c r="P282" s="21">
        <f t="shared" si="268"/>
        <v>374813.38610228937</v>
      </c>
      <c r="Q282" s="21">
        <f t="shared" si="268"/>
        <v>400606.60566737829</v>
      </c>
      <c r="R282" s="21">
        <f t="shared" si="268"/>
        <v>585113.88538536907</v>
      </c>
      <c r="S282" s="21">
        <f t="shared" si="268"/>
        <v>297139.58229868975</v>
      </c>
      <c r="T282" s="21">
        <f t="shared" si="268"/>
        <v>3345.6841167174466</v>
      </c>
      <c r="U282" s="21">
        <f t="shared" si="268"/>
        <v>176784.38788603921</v>
      </c>
      <c r="V282" s="21">
        <f t="shared" si="268"/>
        <v>329518.57903450722</v>
      </c>
      <c r="W282" s="21">
        <f t="shared" si="268"/>
        <v>203651.62603178428</v>
      </c>
      <c r="X282" s="21">
        <f t="shared" si="268"/>
        <v>22477.02157015663</v>
      </c>
      <c r="Y282" s="21">
        <f t="shared" si="268"/>
        <v>63305.566359907549</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7233.2784973668249</v>
      </c>
      <c r="C286" s="26">
        <f>INDEX(Comparison!$AM$3:$AS$33,G$14,$F$122)</f>
        <v>7233.3436741214491</v>
      </c>
      <c r="D286" s="26">
        <f>INDEX(Comparison!$AM$3:$AS$33,H$14,$F$122)</f>
        <v>7233.2477630478616</v>
      </c>
      <c r="E286" s="26">
        <f>INDEX(Comparison!$AM$3:$AS$33,I$14,$F$122)</f>
        <v>7232.6642193149437</v>
      </c>
      <c r="F286" s="26">
        <f>INDEX(Comparison!$AM$3:$AS$33,J$14,$F$122)</f>
        <v>7227.030574444283</v>
      </c>
      <c r="G286" s="26">
        <f>INDEX(Comparison!$AM$3:$AS$33,K$14,$F$122)</f>
        <v>7179.9574188317292</v>
      </c>
      <c r="H286" s="26">
        <f>INDEX(Comparison!$AM$3:$AS$33,L$14,$F$122)</f>
        <v>7042.6684859234238</v>
      </c>
      <c r="I286" s="26">
        <f>INDEX(Comparison!$AM$3:$AS$33,M$14,$F$122)</f>
        <v>6896.670224560311</v>
      </c>
      <c r="J286" s="26">
        <f>INDEX(Comparison!$AM$3:$AS$33,N$14,$F$122)</f>
        <v>6728.3118442587265</v>
      </c>
      <c r="K286" s="26">
        <f>INDEX(Comparison!$AM$3:$AS$33,O$14,$F$122)</f>
        <v>6522.7483495061197</v>
      </c>
      <c r="L286" s="26">
        <f>INDEX(Comparison!$AM$3:$AS$33,P$14,$F$122)</f>
        <v>6323.7668304163335</v>
      </c>
      <c r="M286" s="26">
        <f>INDEX(Comparison!$AM$3:$AS$33,Q$14,$F$122)</f>
        <v>6060.8557573682765</v>
      </c>
      <c r="N286" s="26">
        <f>INDEX(Comparison!$AM$3:$AS$33,R$14,$F$122)</f>
        <v>5776.7475493188331</v>
      </c>
      <c r="O286" s="26">
        <f>INDEX(Comparison!$AM$3:$AS$33,S$14,$F$122)</f>
        <v>5495.7675366958674</v>
      </c>
      <c r="P286" s="26">
        <f>INDEX(Comparison!$AM$3:$AS$33,T$14,$F$122)</f>
        <v>5188.5996988750203</v>
      </c>
      <c r="Q286" s="26">
        <f>INDEX(Comparison!$AM$3:$AS$33,U$14,$F$122)</f>
        <v>4846.1759775211867</v>
      </c>
      <c r="R286" s="26">
        <f>INDEX(Comparison!$AM$3:$AS$33,V$14,$F$122)</f>
        <v>4307.5308640863095</v>
      </c>
      <c r="S286" s="26">
        <f>INDEX(Comparison!$AM$3:$AS$33,W$14,$F$122)</f>
        <v>3424.2409160347711</v>
      </c>
      <c r="T286" s="26">
        <f>INDEX(Comparison!$AM$3:$AS$33,X$14,$F$122)</f>
        <v>2457.6306581082695</v>
      </c>
      <c r="U286" s="26">
        <f>INDEX(Comparison!$AM$3:$AS$33,Y$14,$F$122)</f>
        <v>1610.938712030013</v>
      </c>
      <c r="V286" s="26">
        <f>INDEX(Comparison!$AM$3:$AS$33,Z$14,$F$122)</f>
        <v>942.69111378955085</v>
      </c>
      <c r="W286" s="26">
        <f>INDEX(Comparison!$AM$3:$AS$33,AA$14,$F$122)</f>
        <v>510.32470275306576</v>
      </c>
      <c r="X286" s="26">
        <f>INDEX(Comparison!$AM$3:$AS$33,AB$14,$F$122)</f>
        <v>271.36767023207187</v>
      </c>
      <c r="Y286" s="26">
        <f>INDEX(Comparison!$AM$3:$AS$33,AC$14,$F$122)</f>
        <v>152.45647454769647</v>
      </c>
      <c r="Z286" s="26">
        <f>INDEX(Comparison!$AM$3:$AS$33,AD$14,$F$122)</f>
        <v>114.48528241321054</v>
      </c>
      <c r="AA286" s="26">
        <f>INDEX(Comparison!$AM$3:$AS$33,AE$14,$F$122)</f>
        <v>101.06517730245214</v>
      </c>
      <c r="AB286" s="26">
        <f>INDEX(Comparison!$AM$3:$AS$33,AF$14,$F$122)</f>
        <v>93.059878245985715</v>
      </c>
      <c r="AC286" s="26">
        <f>INDEX(Comparison!$AM$3:$AS$33,AG$14,$F$122)</f>
        <v>92.631968530961771</v>
      </c>
      <c r="AD286" s="26">
        <f>INDEX(Comparison!$AM$3:$AS$33,AH$14,$F$122)</f>
        <v>91.23127997996707</v>
      </c>
      <c r="AE286" s="26">
        <f>INDEX(Comparison!$AM$3:$AS$33,AI$14,$F$122)</f>
        <v>91.209911146223277</v>
      </c>
      <c r="AF286" s="26">
        <f>INDEX(Comparison!$AM$3:$AS$33,AJ$14,$F$122)</f>
        <v>90.301560772176387</v>
      </c>
      <c r="AG286" s="26"/>
      <c r="AH286" s="26"/>
    </row>
    <row r="287" spans="1:34" x14ac:dyDescent="0.25">
      <c r="A287" s="70" t="s">
        <v>22</v>
      </c>
      <c r="B287" s="27">
        <f>($C$17+SUM(B288:B318))*$B$51</f>
        <v>6088.8810506972877</v>
      </c>
      <c r="C287" s="27">
        <f t="shared" ref="C287:AF287" si="269">($C$17+SUM(C288:C318))*$B$51</f>
        <v>6088.8810506773225</v>
      </c>
      <c r="D287" s="27">
        <f t="shared" si="269"/>
        <v>6088.881050477672</v>
      </c>
      <c r="E287" s="27">
        <f t="shared" si="269"/>
        <v>6088.8810484811647</v>
      </c>
      <c r="F287" s="27">
        <f t="shared" si="269"/>
        <v>6088.8810285160989</v>
      </c>
      <c r="G287" s="27">
        <f t="shared" si="269"/>
        <v>6088.8808288654745</v>
      </c>
      <c r="H287" s="27">
        <f t="shared" si="269"/>
        <v>6088.8788323628987</v>
      </c>
      <c r="I287" s="27">
        <f t="shared" si="269"/>
        <v>6088.8588677043299</v>
      </c>
      <c r="J287" s="27">
        <f t="shared" si="269"/>
        <v>6088.65925783279</v>
      </c>
      <c r="K287" s="27">
        <f t="shared" si="269"/>
        <v>6086.6668258469526</v>
      </c>
      <c r="L287" s="27">
        <f t="shared" si="269"/>
        <v>6067.1045388480125</v>
      </c>
      <c r="M287" s="27">
        <f t="shared" si="269"/>
        <v>5903.4594516650886</v>
      </c>
      <c r="N287" s="27">
        <f t="shared" si="269"/>
        <v>5474.5643768912241</v>
      </c>
      <c r="O287" s="27">
        <f t="shared" si="269"/>
        <v>5235.651749736674</v>
      </c>
      <c r="P287" s="27">
        <f t="shared" si="269"/>
        <v>4908.7182817299536</v>
      </c>
      <c r="Q287" s="27">
        <f t="shared" si="269"/>
        <v>4551.086151996662</v>
      </c>
      <c r="R287" s="27">
        <f t="shared" si="269"/>
        <v>4058.4267020091779</v>
      </c>
      <c r="S287" s="27">
        <f t="shared" si="269"/>
        <v>3443.9322514688697</v>
      </c>
      <c r="T287" s="27">
        <f t="shared" si="269"/>
        <v>2698.8529874166693</v>
      </c>
      <c r="U287" s="27">
        <f t="shared" si="269"/>
        <v>1832.4653150828258</v>
      </c>
      <c r="V287" s="27">
        <f t="shared" si="269"/>
        <v>1117.6245395103306</v>
      </c>
      <c r="W287" s="27">
        <f t="shared" si="269"/>
        <v>641.72082376489391</v>
      </c>
      <c r="X287" s="27">
        <f t="shared" si="269"/>
        <v>361.86990302592875</v>
      </c>
      <c r="Y287" s="27">
        <f t="shared" si="269"/>
        <v>255.57088107305358</v>
      </c>
      <c r="Z287" s="27">
        <f t="shared" si="269"/>
        <v>218.92974226488812</v>
      </c>
      <c r="AA287" s="27">
        <f t="shared" si="269"/>
        <v>200.35062941154948</v>
      </c>
      <c r="AB287" s="27">
        <f t="shared" si="269"/>
        <v>187.06765380311856</v>
      </c>
      <c r="AC287" s="27">
        <f t="shared" si="269"/>
        <v>164.80553289011425</v>
      </c>
      <c r="AD287" s="27">
        <f t="shared" si="269"/>
        <v>138.42960130458101</v>
      </c>
      <c r="AE287" s="27">
        <f t="shared" si="269"/>
        <v>119.44366585172727</v>
      </c>
      <c r="AF287" s="27">
        <f t="shared" si="269"/>
        <v>107.91223299238122</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7.5788306997178617E-2</v>
      </c>
      <c r="C289" s="3">
        <f t="shared" si="271"/>
        <v>7.5788306994555354E-2</v>
      </c>
      <c r="D289" s="3">
        <f t="shared" si="271"/>
        <v>7.5788306968322922E-2</v>
      </c>
      <c r="E289" s="3">
        <f t="shared" si="271"/>
        <v>7.5788306705998496E-2</v>
      </c>
      <c r="F289" s="3">
        <f t="shared" si="271"/>
        <v>7.5788304082754263E-2</v>
      </c>
      <c r="G289" s="3">
        <f t="shared" si="271"/>
        <v>7.5788277850316998E-2</v>
      </c>
      <c r="H289" s="3">
        <f t="shared" si="271"/>
        <v>7.5788015526443736E-2</v>
      </c>
      <c r="I289" s="3">
        <f t="shared" si="271"/>
        <v>7.5785392337649207E-2</v>
      </c>
      <c r="J289" s="3">
        <f t="shared" si="271"/>
        <v>7.5759165442871548E-2</v>
      </c>
      <c r="K289" s="3">
        <f t="shared" si="271"/>
        <v>7.549739517299936E-2</v>
      </c>
      <c r="L289" s="3">
        <f t="shared" si="271"/>
        <v>7.2928927491101164E-2</v>
      </c>
      <c r="M289" s="3">
        <f t="shared" si="271"/>
        <v>5.1591531114049273E-2</v>
      </c>
      <c r="N289" s="3">
        <f t="shared" si="271"/>
        <v>1.6194379711995102E-3</v>
      </c>
      <c r="O289" s="3">
        <f t="shared" si="271"/>
        <v>1.5039151328491031E-18</v>
      </c>
      <c r="P289" s="3">
        <f t="shared" si="271"/>
        <v>7.17486018808967E-169</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2.7426145981159753E-2</v>
      </c>
      <c r="C290" s="3">
        <f t="shared" si="272"/>
        <v>2.742614598107412E-2</v>
      </c>
      <c r="D290" s="3">
        <f t="shared" si="272"/>
        <v>2.7426145980217777E-2</v>
      </c>
      <c r="E290" s="3">
        <f t="shared" si="272"/>
        <v>2.7426145971654343E-2</v>
      </c>
      <c r="F290" s="3">
        <f t="shared" si="272"/>
        <v>2.7426145886020013E-2</v>
      </c>
      <c r="G290" s="3">
        <f t="shared" si="272"/>
        <v>2.7426145029676732E-2</v>
      </c>
      <c r="H290" s="3">
        <f t="shared" si="272"/>
        <v>2.7426136466245383E-2</v>
      </c>
      <c r="I290" s="3">
        <f t="shared" si="272"/>
        <v>2.7426050832078944E-2</v>
      </c>
      <c r="J290" s="3">
        <f t="shared" si="272"/>
        <v>2.7425194505120338E-2</v>
      </c>
      <c r="K290" s="3">
        <f t="shared" si="272"/>
        <v>2.7416632705942669E-2</v>
      </c>
      <c r="L290" s="3">
        <f t="shared" si="272"/>
        <v>2.7331161585272479E-2</v>
      </c>
      <c r="M290" s="3">
        <f t="shared" si="272"/>
        <v>2.6490969220705284E-2</v>
      </c>
      <c r="N290" s="3">
        <f t="shared" si="272"/>
        <v>1.9386322395220694E-2</v>
      </c>
      <c r="O290" s="3">
        <f t="shared" si="272"/>
        <v>8.5402632580738988E-4</v>
      </c>
      <c r="P290" s="3">
        <f t="shared" si="272"/>
        <v>2.3508749742331231E-17</v>
      </c>
      <c r="Q290" s="3">
        <f t="shared" si="272"/>
        <v>5.8723546806278159E-153</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4.68027957152835E-2</v>
      </c>
      <c r="C291" s="3">
        <f t="shared" si="273"/>
        <v>4.6802795715270316E-2</v>
      </c>
      <c r="D291" s="3">
        <f t="shared" si="273"/>
        <v>4.6802795715138491E-2</v>
      </c>
      <c r="E291" s="3">
        <f t="shared" si="273"/>
        <v>4.6802795713820233E-2</v>
      </c>
      <c r="F291" s="3">
        <f t="shared" si="273"/>
        <v>4.6802795700637619E-2</v>
      </c>
      <c r="G291" s="3">
        <f t="shared" si="273"/>
        <v>4.6802795568811485E-2</v>
      </c>
      <c r="H291" s="3">
        <f t="shared" si="273"/>
        <v>4.68027942505502E-2</v>
      </c>
      <c r="I291" s="3">
        <f t="shared" si="273"/>
        <v>4.6802781067939336E-2</v>
      </c>
      <c r="J291" s="3">
        <f t="shared" si="273"/>
        <v>4.680264924203497E-2</v>
      </c>
      <c r="K291" s="3">
        <f t="shared" si="273"/>
        <v>4.6801331003412862E-2</v>
      </c>
      <c r="L291" s="3">
        <f t="shared" si="273"/>
        <v>4.6788150659134803E-2</v>
      </c>
      <c r="M291" s="3">
        <f t="shared" si="273"/>
        <v>4.6656551198015005E-2</v>
      </c>
      <c r="N291" s="3">
        <f t="shared" si="273"/>
        <v>4.5360743764912705E-2</v>
      </c>
      <c r="O291" s="3">
        <f t="shared" si="273"/>
        <v>3.4225949524324895E-2</v>
      </c>
      <c r="P291" s="3">
        <f t="shared" si="273"/>
        <v>2.046957810323085E-3</v>
      </c>
      <c r="Q291" s="3">
        <f t="shared" si="273"/>
        <v>1.1985130073617394E-15</v>
      </c>
      <c r="R291" s="3">
        <f t="shared" si="273"/>
        <v>5.6752023877974234E-138</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4.513655278197324E-2</v>
      </c>
      <c r="C292" s="3">
        <f t="shared" si="274"/>
        <v>4.5136552781972095E-2</v>
      </c>
      <c r="D292" s="3">
        <f t="shared" si="274"/>
        <v>4.5136552781960618E-2</v>
      </c>
      <c r="E292" s="3">
        <f t="shared" si="274"/>
        <v>4.5136552781845939E-2</v>
      </c>
      <c r="F292" s="3">
        <f t="shared" si="274"/>
        <v>4.5136552780699092E-2</v>
      </c>
      <c r="G292" s="3">
        <f t="shared" si="274"/>
        <v>4.5136552769230641E-2</v>
      </c>
      <c r="H292" s="3">
        <f t="shared" si="274"/>
        <v>4.5136552654546157E-2</v>
      </c>
      <c r="I292" s="3">
        <f t="shared" si="274"/>
        <v>4.5136551507701267E-2</v>
      </c>
      <c r="J292" s="3">
        <f t="shared" si="274"/>
        <v>4.5136540039253999E-2</v>
      </c>
      <c r="K292" s="3">
        <f t="shared" si="274"/>
        <v>4.5136425354941577E-2</v>
      </c>
      <c r="L292" s="3">
        <f t="shared" si="274"/>
        <v>4.513527852784386E-2</v>
      </c>
      <c r="M292" s="3">
        <f t="shared" si="274"/>
        <v>4.5123811859367799E-2</v>
      </c>
      <c r="N292" s="3">
        <f t="shared" si="274"/>
        <v>4.5009305274159812E-2</v>
      </c>
      <c r="O292" s="3">
        <f t="shared" si="274"/>
        <v>4.3880099883838113E-2</v>
      </c>
      <c r="P292" s="3">
        <f t="shared" si="274"/>
        <v>3.4034594957330876E-2</v>
      </c>
      <c r="Q292" s="3">
        <f t="shared" si="274"/>
        <v>2.6819481435093394E-3</v>
      </c>
      <c r="R292" s="3">
        <f t="shared" si="274"/>
        <v>2.4759865153036736E-14</v>
      </c>
      <c r="S292" s="3">
        <f t="shared" si="274"/>
        <v>1.1135949752895675E-124</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6.7281406852932074E-2</v>
      </c>
      <c r="C293" s="3">
        <f t="shared" si="275"/>
        <v>6.7281406852931921E-2</v>
      </c>
      <c r="D293" s="3">
        <f t="shared" si="275"/>
        <v>6.7281406852930381E-2</v>
      </c>
      <c r="E293" s="3">
        <f t="shared" si="275"/>
        <v>6.7281406852914949E-2</v>
      </c>
      <c r="F293" s="3">
        <f t="shared" si="275"/>
        <v>6.7281406852760739E-2</v>
      </c>
      <c r="G293" s="3">
        <f t="shared" si="275"/>
        <v>6.7281406851218625E-2</v>
      </c>
      <c r="H293" s="3">
        <f t="shared" si="275"/>
        <v>6.7281406835797433E-2</v>
      </c>
      <c r="I293" s="3">
        <f t="shared" si="275"/>
        <v>6.7281406681585512E-2</v>
      </c>
      <c r="J293" s="3">
        <f t="shared" si="275"/>
        <v>6.7281405139466288E-2</v>
      </c>
      <c r="K293" s="3">
        <f t="shared" si="275"/>
        <v>6.7281389718276005E-2</v>
      </c>
      <c r="L293" s="3">
        <f t="shared" si="275"/>
        <v>6.7281235506567574E-2</v>
      </c>
      <c r="M293" s="3">
        <f t="shared" si="275"/>
        <v>6.7279693408923466E-2</v>
      </c>
      <c r="N293" s="3">
        <f t="shared" si="275"/>
        <v>6.7264274376331784E-2</v>
      </c>
      <c r="O293" s="3">
        <f t="shared" si="275"/>
        <v>6.7110278270607643E-2</v>
      </c>
      <c r="P293" s="3">
        <f t="shared" si="275"/>
        <v>6.5589575527942076E-2</v>
      </c>
      <c r="Q293" s="3">
        <f t="shared" si="275"/>
        <v>5.2154601014190748E-2</v>
      </c>
      <c r="R293" s="3">
        <f t="shared" si="275"/>
        <v>5.2707291319800537E-3</v>
      </c>
      <c r="S293" s="3">
        <f t="shared" si="275"/>
        <v>5.8566787642491973E-13</v>
      </c>
      <c r="T293" s="3">
        <f t="shared" si="275"/>
        <v>1.6805771827036942E-112</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8.4823708436980116E-2</v>
      </c>
      <c r="C294" s="3">
        <f t="shared" si="276"/>
        <v>8.4823708436980103E-2</v>
      </c>
      <c r="D294" s="3">
        <f t="shared" si="276"/>
        <v>8.4823708436979922E-2</v>
      </c>
      <c r="E294" s="3">
        <f t="shared" si="276"/>
        <v>8.4823708436978174E-2</v>
      </c>
      <c r="F294" s="3">
        <f t="shared" si="276"/>
        <v>8.4823708436960632E-2</v>
      </c>
      <c r="G294" s="3">
        <f t="shared" si="276"/>
        <v>8.4823708436785245E-2</v>
      </c>
      <c r="H294" s="3">
        <f t="shared" si="276"/>
        <v>8.4823708435031411E-2</v>
      </c>
      <c r="I294" s="3">
        <f t="shared" si="276"/>
        <v>8.4823708417493149E-2</v>
      </c>
      <c r="J294" s="3">
        <f t="shared" si="276"/>
        <v>8.4823708242110454E-2</v>
      </c>
      <c r="K294" s="3">
        <f t="shared" si="276"/>
        <v>8.4823706488283523E-2</v>
      </c>
      <c r="L294" s="3">
        <f t="shared" si="276"/>
        <v>8.4823688950016241E-2</v>
      </c>
      <c r="M294" s="3">
        <f t="shared" si="276"/>
        <v>8.4823513567542835E-2</v>
      </c>
      <c r="N294" s="3">
        <f t="shared" si="276"/>
        <v>8.482175976275283E-2</v>
      </c>
      <c r="O294" s="3">
        <f t="shared" si="276"/>
        <v>8.4804223709113905E-2</v>
      </c>
      <c r="P294" s="3">
        <f t="shared" si="276"/>
        <v>8.4629062446345091E-2</v>
      </c>
      <c r="Q294" s="3">
        <f t="shared" si="276"/>
        <v>8.2897225572411845E-2</v>
      </c>
      <c r="R294" s="3">
        <f t="shared" si="276"/>
        <v>6.7413155550695728E-2</v>
      </c>
      <c r="S294" s="3">
        <f t="shared" si="276"/>
        <v>8.5269018714652558E-3</v>
      </c>
      <c r="T294" s="3">
        <f t="shared" si="276"/>
        <v>8.9383498800267379E-12</v>
      </c>
      <c r="U294" s="3">
        <f t="shared" si="276"/>
        <v>1.4319181864436654E-101</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0.10369484660409525</v>
      </c>
      <c r="C295" s="3">
        <f t="shared" si="277"/>
        <v>0.10369484660409525</v>
      </c>
      <c r="D295" s="3">
        <f t="shared" si="277"/>
        <v>0.10369484660409523</v>
      </c>
      <c r="E295" s="3">
        <f t="shared" si="277"/>
        <v>0.10369484660409503</v>
      </c>
      <c r="F295" s="3">
        <f t="shared" si="277"/>
        <v>0.1036948466040931</v>
      </c>
      <c r="G295" s="3">
        <f t="shared" si="277"/>
        <v>0.10369484660407376</v>
      </c>
      <c r="H295" s="3">
        <f t="shared" si="277"/>
        <v>0.10369484660388036</v>
      </c>
      <c r="I295" s="3">
        <f t="shared" si="277"/>
        <v>0.10369484660194628</v>
      </c>
      <c r="J295" s="3">
        <f t="shared" si="277"/>
        <v>0.10369484658260553</v>
      </c>
      <c r="K295" s="3">
        <f t="shared" si="277"/>
        <v>0.10369484638919806</v>
      </c>
      <c r="L295" s="3">
        <f t="shared" si="277"/>
        <v>0.10369484445512336</v>
      </c>
      <c r="M295" s="3">
        <f t="shared" si="277"/>
        <v>0.10369482511437839</v>
      </c>
      <c r="N295" s="3">
        <f t="shared" si="277"/>
        <v>0.10369463170712691</v>
      </c>
      <c r="O295" s="3">
        <f t="shared" si="277"/>
        <v>0.10369269765445258</v>
      </c>
      <c r="P295" s="3">
        <f t="shared" si="277"/>
        <v>0.10367335911160439</v>
      </c>
      <c r="Q295" s="3">
        <f t="shared" si="277"/>
        <v>0.10348017193579338</v>
      </c>
      <c r="R295" s="3">
        <f t="shared" si="277"/>
        <v>0.1015679893087042</v>
      </c>
      <c r="S295" s="3">
        <f t="shared" si="277"/>
        <v>8.4285717630413259E-2</v>
      </c>
      <c r="T295" s="3">
        <f t="shared" si="277"/>
        <v>1.3053450518741336E-2</v>
      </c>
      <c r="U295" s="3">
        <f t="shared" si="277"/>
        <v>1.0361883640862558E-10</v>
      </c>
      <c r="V295" s="3">
        <f t="shared" si="277"/>
        <v>1.0293724701278597E-91</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0.13305313379533851</v>
      </c>
      <c r="C296" s="3">
        <f t="shared" si="278"/>
        <v>0.13305313379533851</v>
      </c>
      <c r="D296" s="3">
        <f t="shared" si="278"/>
        <v>0.13305313379533851</v>
      </c>
      <c r="E296" s="3">
        <f t="shared" si="278"/>
        <v>0.13305313379533848</v>
      </c>
      <c r="F296" s="3">
        <f t="shared" si="278"/>
        <v>0.13305313379533826</v>
      </c>
      <c r="G296" s="3">
        <f t="shared" si="278"/>
        <v>0.13305313379533604</v>
      </c>
      <c r="H296" s="3">
        <f t="shared" si="278"/>
        <v>0.13305313379531364</v>
      </c>
      <c r="I296" s="3">
        <f t="shared" si="278"/>
        <v>0.13305313379508976</v>
      </c>
      <c r="J296" s="3">
        <f t="shared" si="278"/>
        <v>0.13305313379285111</v>
      </c>
      <c r="K296" s="3">
        <f t="shared" si="278"/>
        <v>0.13305313377046454</v>
      </c>
      <c r="L296" s="3">
        <f t="shared" si="278"/>
        <v>0.13305313354659873</v>
      </c>
      <c r="M296" s="3">
        <f t="shared" si="278"/>
        <v>0.13305313130794064</v>
      </c>
      <c r="N296" s="3">
        <f t="shared" si="278"/>
        <v>0.1330531089213618</v>
      </c>
      <c r="O296" s="3">
        <f t="shared" si="278"/>
        <v>0.13305288505578056</v>
      </c>
      <c r="P296" s="3">
        <f t="shared" si="278"/>
        <v>0.13305064642068459</v>
      </c>
      <c r="Q296" s="3">
        <f t="shared" si="278"/>
        <v>0.13302826214121605</v>
      </c>
      <c r="R296" s="3">
        <f t="shared" si="278"/>
        <v>0.13280462636674883</v>
      </c>
      <c r="S296" s="3">
        <f t="shared" si="278"/>
        <v>0.13058884234436344</v>
      </c>
      <c r="T296" s="3">
        <f t="shared" si="278"/>
        <v>0.1103658590035268</v>
      </c>
      <c r="U296" s="3">
        <f t="shared" si="278"/>
        <v>2.0517361345453993E-2</v>
      </c>
      <c r="V296" s="3">
        <f t="shared" si="278"/>
        <v>1.0115540668174307E-9</v>
      </c>
      <c r="W296" s="3">
        <f t="shared" si="278"/>
        <v>8.5835122859247426E-83</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0.10368180212181953</v>
      </c>
      <c r="C297" s="3">
        <f t="shared" si="279"/>
        <v>0.10368180212181953</v>
      </c>
      <c r="D297" s="3">
        <f t="shared" si="279"/>
        <v>0.10368180212181953</v>
      </c>
      <c r="E297" s="3">
        <f t="shared" si="279"/>
        <v>0.10368180212181953</v>
      </c>
      <c r="F297" s="3">
        <f t="shared" si="279"/>
        <v>0.1036818021218195</v>
      </c>
      <c r="G297" s="3">
        <f t="shared" si="279"/>
        <v>0.10368180212181936</v>
      </c>
      <c r="H297" s="3">
        <f t="shared" si="279"/>
        <v>0.10368180212181778</v>
      </c>
      <c r="I297" s="3">
        <f t="shared" si="279"/>
        <v>0.10368180212180204</v>
      </c>
      <c r="J297" s="3">
        <f t="shared" si="279"/>
        <v>0.10368180212164468</v>
      </c>
      <c r="K297" s="3">
        <f t="shared" si="279"/>
        <v>0.10368180212007101</v>
      </c>
      <c r="L297" s="3">
        <f t="shared" si="279"/>
        <v>0.10368180210433438</v>
      </c>
      <c r="M297" s="3">
        <f t="shared" si="279"/>
        <v>0.10368180194696806</v>
      </c>
      <c r="N297" s="3">
        <f t="shared" si="279"/>
        <v>0.10368180037330486</v>
      </c>
      <c r="O297" s="3">
        <f t="shared" si="279"/>
        <v>0.10368178463667414</v>
      </c>
      <c r="P297" s="3">
        <f t="shared" si="279"/>
        <v>0.10368162727049839</v>
      </c>
      <c r="Q297" s="3">
        <f t="shared" si="279"/>
        <v>0.10368005362187739</v>
      </c>
      <c r="R297" s="3">
        <f t="shared" si="279"/>
        <v>0.10366431844924764</v>
      </c>
      <c r="S297" s="3">
        <f t="shared" si="279"/>
        <v>0.10350709800724664</v>
      </c>
      <c r="T297" s="3">
        <f t="shared" si="279"/>
        <v>0.10194794858871771</v>
      </c>
      <c r="U297" s="3">
        <f t="shared" si="279"/>
        <v>8.7591523059183524E-2</v>
      </c>
      <c r="V297" s="3">
        <f t="shared" si="279"/>
        <v>1.91998548484731E-2</v>
      </c>
      <c r="W297" s="3">
        <f t="shared" si="279"/>
        <v>4.9165065230312454E-9</v>
      </c>
      <c r="X297" s="3">
        <f t="shared" si="279"/>
        <v>5.9599602385485018E-75</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6.4516912228113732E-2</v>
      </c>
      <c r="C298" s="3">
        <f t="shared" si="280"/>
        <v>6.4516912228113732E-2</v>
      </c>
      <c r="D298" s="3">
        <f t="shared" si="280"/>
        <v>6.4516912228113732E-2</v>
      </c>
      <c r="E298" s="3">
        <f t="shared" si="280"/>
        <v>6.4516912228113732E-2</v>
      </c>
      <c r="F298" s="3">
        <f t="shared" si="280"/>
        <v>6.4516912228113732E-2</v>
      </c>
      <c r="G298" s="3">
        <f t="shared" si="280"/>
        <v>6.4516912228113718E-2</v>
      </c>
      <c r="H298" s="3">
        <f t="shared" si="280"/>
        <v>6.4516912228113635E-2</v>
      </c>
      <c r="I298" s="3">
        <f t="shared" si="280"/>
        <v>6.4516912228112747E-2</v>
      </c>
      <c r="J298" s="3">
        <f t="shared" si="280"/>
        <v>6.451691222810392E-2</v>
      </c>
      <c r="K298" s="3">
        <f t="shared" si="280"/>
        <v>6.4516912228015574E-2</v>
      </c>
      <c r="L298" s="3">
        <f t="shared" si="280"/>
        <v>6.4516912227132239E-2</v>
      </c>
      <c r="M298" s="3">
        <f t="shared" si="280"/>
        <v>6.4516912218298805E-2</v>
      </c>
      <c r="N298" s="3">
        <f t="shared" si="280"/>
        <v>6.4516912129964493E-2</v>
      </c>
      <c r="O298" s="3">
        <f t="shared" si="280"/>
        <v>6.4516911246621414E-2</v>
      </c>
      <c r="P298" s="3">
        <f t="shared" si="280"/>
        <v>6.4516902413191135E-2</v>
      </c>
      <c r="Q298" s="3">
        <f t="shared" si="280"/>
        <v>6.4516814078954973E-2</v>
      </c>
      <c r="R298" s="3">
        <f t="shared" si="280"/>
        <v>6.4515930743245159E-2</v>
      </c>
      <c r="S298" s="3">
        <f t="shared" si="280"/>
        <v>6.4507098051303113E-2</v>
      </c>
      <c r="T298" s="3">
        <f t="shared" si="280"/>
        <v>6.4418837613798782E-2</v>
      </c>
      <c r="U298" s="3">
        <f t="shared" si="280"/>
        <v>6.3542847874212674E-2</v>
      </c>
      <c r="V298" s="3">
        <f t="shared" si="280"/>
        <v>5.5412097120649186E-2</v>
      </c>
      <c r="W298" s="3">
        <f t="shared" si="280"/>
        <v>1.4092359122249893E-2</v>
      </c>
      <c r="X298" s="3">
        <f t="shared" si="280"/>
        <v>1.5950520310676138E-8</v>
      </c>
      <c r="Y298" s="3">
        <f t="shared" si="280"/>
        <v>5.5041008025329721E-68</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3.7592139756949243E-2</v>
      </c>
      <c r="C299" s="3">
        <f t="shared" si="281"/>
        <v>3.7592139756949243E-2</v>
      </c>
      <c r="D299" s="3">
        <f t="shared" si="281"/>
        <v>3.7592139756949243E-2</v>
      </c>
      <c r="E299" s="3">
        <f t="shared" si="281"/>
        <v>3.7592139756949243E-2</v>
      </c>
      <c r="F299" s="3">
        <f t="shared" si="281"/>
        <v>3.7592139756949243E-2</v>
      </c>
      <c r="G299" s="3">
        <f t="shared" si="281"/>
        <v>3.7592139756949243E-2</v>
      </c>
      <c r="H299" s="3">
        <f t="shared" si="281"/>
        <v>3.7592139756949236E-2</v>
      </c>
      <c r="I299" s="3">
        <f t="shared" si="281"/>
        <v>3.7592139756949194E-2</v>
      </c>
      <c r="J299" s="3">
        <f t="shared" si="281"/>
        <v>3.7592139756948723E-2</v>
      </c>
      <c r="K299" s="3">
        <f t="shared" si="281"/>
        <v>3.7592139756944087E-2</v>
      </c>
      <c r="L299" s="3">
        <f t="shared" si="281"/>
        <v>3.7592139756897652E-2</v>
      </c>
      <c r="M299" s="3">
        <f t="shared" si="281"/>
        <v>3.759213975643335E-2</v>
      </c>
      <c r="N299" s="3">
        <f t="shared" si="281"/>
        <v>3.7592139751790342E-2</v>
      </c>
      <c r="O299" s="3">
        <f t="shared" si="281"/>
        <v>3.759213970536026E-2</v>
      </c>
      <c r="P299" s="3">
        <f t="shared" si="281"/>
        <v>3.7592139241059405E-2</v>
      </c>
      <c r="Q299" s="3">
        <f t="shared" si="281"/>
        <v>3.7592134598051191E-2</v>
      </c>
      <c r="R299" s="3">
        <f t="shared" si="281"/>
        <v>3.7592088168000561E-2</v>
      </c>
      <c r="S299" s="3">
        <f t="shared" si="281"/>
        <v>3.7591623870648308E-2</v>
      </c>
      <c r="T299" s="3">
        <f t="shared" si="281"/>
        <v>3.7586981212511868E-2</v>
      </c>
      <c r="U299" s="3">
        <f t="shared" si="281"/>
        <v>3.7540586155350344E-2</v>
      </c>
      <c r="V299" s="3">
        <f t="shared" si="281"/>
        <v>3.7079773645336767E-2</v>
      </c>
      <c r="W299" s="3">
        <f t="shared" si="281"/>
        <v>3.2771575731222503E-2</v>
      </c>
      <c r="X299" s="3">
        <f t="shared" si="281"/>
        <v>9.5301517933000512E-3</v>
      </c>
      <c r="Y299" s="3">
        <f t="shared" si="281"/>
        <v>4.1221592013311612E-8</v>
      </c>
      <c r="Z299" s="3">
        <f t="shared" si="281"/>
        <v>9.448746261457847E-62</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7.6036322594280207E-3</v>
      </c>
      <c r="C300" s="3">
        <f t="shared" si="282"/>
        <v>7.6036322594280207E-3</v>
      </c>
      <c r="D300" s="3">
        <f t="shared" si="282"/>
        <v>7.6036322594280207E-3</v>
      </c>
      <c r="E300" s="3">
        <f t="shared" si="282"/>
        <v>7.6036322594280207E-3</v>
      </c>
      <c r="F300" s="3">
        <f t="shared" si="282"/>
        <v>7.6036322594280207E-3</v>
      </c>
      <c r="G300" s="3">
        <f t="shared" si="282"/>
        <v>7.6036322594280207E-3</v>
      </c>
      <c r="H300" s="3">
        <f t="shared" si="282"/>
        <v>7.6036322594280207E-3</v>
      </c>
      <c r="I300" s="3">
        <f t="shared" si="282"/>
        <v>7.6036322594280198E-3</v>
      </c>
      <c r="J300" s="3">
        <f t="shared" si="282"/>
        <v>7.6036322594280111E-3</v>
      </c>
      <c r="K300" s="3">
        <f t="shared" si="282"/>
        <v>7.6036322594279261E-3</v>
      </c>
      <c r="L300" s="3">
        <f t="shared" si="282"/>
        <v>7.6036322594270796E-3</v>
      </c>
      <c r="M300" s="3">
        <f t="shared" si="282"/>
        <v>7.6036322594186072E-3</v>
      </c>
      <c r="N300" s="3">
        <f t="shared" si="282"/>
        <v>7.6036322593338902E-3</v>
      </c>
      <c r="O300" s="3">
        <f t="shared" si="282"/>
        <v>7.6036322584867215E-3</v>
      </c>
      <c r="P300" s="3">
        <f t="shared" si="282"/>
        <v>7.6036322500150303E-3</v>
      </c>
      <c r="Q300" s="3">
        <f t="shared" si="282"/>
        <v>7.6036321652981154E-3</v>
      </c>
      <c r="R300" s="3">
        <f t="shared" si="282"/>
        <v>7.6036313181290201E-3</v>
      </c>
      <c r="S300" s="3">
        <f t="shared" si="282"/>
        <v>7.6036228464432592E-3</v>
      </c>
      <c r="T300" s="3">
        <f t="shared" si="282"/>
        <v>7.6035381301047776E-3</v>
      </c>
      <c r="U300" s="3">
        <f t="shared" si="282"/>
        <v>7.6026910186312814E-3</v>
      </c>
      <c r="V300" s="3">
        <f t="shared" si="282"/>
        <v>7.5942250928876217E-3</v>
      </c>
      <c r="W300" s="3">
        <f t="shared" si="282"/>
        <v>7.5100826018288337E-3</v>
      </c>
      <c r="X300" s="3">
        <f t="shared" si="282"/>
        <v>6.7182660189216894E-3</v>
      </c>
      <c r="Y300" s="3">
        <f t="shared" si="282"/>
        <v>2.2048650946619747E-3</v>
      </c>
      <c r="Z300" s="3">
        <f t="shared" si="282"/>
        <v>3.1961730163421996E-8</v>
      </c>
      <c r="AA300" s="3">
        <f t="shared" si="282"/>
        <v>1.309522200442321E-56</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4.6601949201853935E-3</v>
      </c>
      <c r="C301" s="3">
        <f t="shared" si="283"/>
        <v>4.6601949201853935E-3</v>
      </c>
      <c r="D301" s="3">
        <f t="shared" si="283"/>
        <v>4.6601949201853935E-3</v>
      </c>
      <c r="E301" s="3">
        <f t="shared" si="283"/>
        <v>4.6601949201853935E-3</v>
      </c>
      <c r="F301" s="3">
        <f t="shared" si="283"/>
        <v>4.6601949201853935E-3</v>
      </c>
      <c r="G301" s="3">
        <f t="shared" si="283"/>
        <v>4.6601949201853935E-3</v>
      </c>
      <c r="H301" s="3">
        <f t="shared" si="283"/>
        <v>4.6601949201853935E-3</v>
      </c>
      <c r="I301" s="3">
        <f t="shared" si="283"/>
        <v>4.6601949201853935E-3</v>
      </c>
      <c r="J301" s="3">
        <f t="shared" si="283"/>
        <v>4.6601949201853926E-3</v>
      </c>
      <c r="K301" s="3">
        <f t="shared" si="283"/>
        <v>4.6601949201853883E-3</v>
      </c>
      <c r="L301" s="3">
        <f t="shared" si="283"/>
        <v>4.6601949201853414E-3</v>
      </c>
      <c r="M301" s="3">
        <f t="shared" si="283"/>
        <v>4.6601949201848731E-3</v>
      </c>
      <c r="N301" s="3">
        <f t="shared" si="283"/>
        <v>4.6601949201801893E-3</v>
      </c>
      <c r="O301" s="3">
        <f t="shared" si="283"/>
        <v>4.6601949201333509E-3</v>
      </c>
      <c r="P301" s="3">
        <f t="shared" si="283"/>
        <v>4.6601949196649695E-3</v>
      </c>
      <c r="Q301" s="3">
        <f t="shared" si="283"/>
        <v>4.6601949149811545E-3</v>
      </c>
      <c r="R301" s="3">
        <f t="shared" si="283"/>
        <v>4.6601948681430083E-3</v>
      </c>
      <c r="S301" s="3">
        <f t="shared" si="283"/>
        <v>4.6601943997615705E-3</v>
      </c>
      <c r="T301" s="3">
        <f t="shared" si="283"/>
        <v>4.6601897159497781E-3</v>
      </c>
      <c r="U301" s="3">
        <f t="shared" si="283"/>
        <v>4.6601428780907719E-3</v>
      </c>
      <c r="V301" s="3">
        <f t="shared" si="283"/>
        <v>4.6596745253911845E-3</v>
      </c>
      <c r="W301" s="3">
        <f t="shared" si="283"/>
        <v>4.6549935864805625E-3</v>
      </c>
      <c r="X301" s="3">
        <f t="shared" si="283"/>
        <v>4.6084420460362849E-3</v>
      </c>
      <c r="Y301" s="3">
        <f t="shared" si="283"/>
        <v>4.1677778686507799E-3</v>
      </c>
      <c r="Z301" s="3">
        <f t="shared" si="283"/>
        <v>1.5254883753980785E-3</v>
      </c>
      <c r="AA301" s="3">
        <f t="shared" si="283"/>
        <v>6.5834309726228144E-8</v>
      </c>
      <c r="AB301" s="3">
        <f t="shared" si="283"/>
        <v>1.4753196407215441E-51</v>
      </c>
      <c r="AC301" s="3">
        <f t="shared" si="283"/>
        <v>0</v>
      </c>
      <c r="AD301" s="3">
        <f t="shared" si="283"/>
        <v>0</v>
      </c>
      <c r="AE301" s="3">
        <f t="shared" si="283"/>
        <v>0</v>
      </c>
      <c r="AF301" s="3">
        <f t="shared" si="283"/>
        <v>0</v>
      </c>
      <c r="AG301" s="3"/>
      <c r="AH301" s="3"/>
    </row>
    <row r="302" spans="2:34" x14ac:dyDescent="0.25">
      <c r="B302" s="3">
        <f t="shared" ref="B302:AF302" si="284">$C32*EXP(-B$285/$A32/EXP(-$F$126))</f>
        <v>1.548728015482176E-3</v>
      </c>
      <c r="C302" s="3">
        <f t="shared" si="284"/>
        <v>1.548728015482176E-3</v>
      </c>
      <c r="D302" s="3">
        <f t="shared" si="284"/>
        <v>1.548728015482176E-3</v>
      </c>
      <c r="E302" s="3">
        <f t="shared" si="284"/>
        <v>1.548728015482176E-3</v>
      </c>
      <c r="F302" s="3">
        <f t="shared" si="284"/>
        <v>1.548728015482176E-3</v>
      </c>
      <c r="G302" s="3">
        <f t="shared" si="284"/>
        <v>1.548728015482176E-3</v>
      </c>
      <c r="H302" s="3">
        <f t="shared" si="284"/>
        <v>1.548728015482176E-3</v>
      </c>
      <c r="I302" s="3">
        <f t="shared" si="284"/>
        <v>1.548728015482176E-3</v>
      </c>
      <c r="J302" s="3">
        <f t="shared" si="284"/>
        <v>1.548728015482176E-3</v>
      </c>
      <c r="K302" s="3">
        <f t="shared" si="284"/>
        <v>1.5487280154821757E-3</v>
      </c>
      <c r="L302" s="3">
        <f t="shared" si="284"/>
        <v>1.5487280154821744E-3</v>
      </c>
      <c r="M302" s="3">
        <f t="shared" si="284"/>
        <v>1.5487280154821603E-3</v>
      </c>
      <c r="N302" s="3">
        <f t="shared" si="284"/>
        <v>1.54872801548202E-3</v>
      </c>
      <c r="O302" s="3">
        <f t="shared" si="284"/>
        <v>1.5487280154806158E-3</v>
      </c>
      <c r="P302" s="3">
        <f t="shared" si="284"/>
        <v>1.5487280154665741E-3</v>
      </c>
      <c r="Q302" s="3">
        <f t="shared" si="284"/>
        <v>1.5487280153261577E-3</v>
      </c>
      <c r="R302" s="3">
        <f t="shared" si="284"/>
        <v>1.5487280139219954E-3</v>
      </c>
      <c r="S302" s="3">
        <f t="shared" si="284"/>
        <v>1.5487279998803705E-3</v>
      </c>
      <c r="T302" s="3">
        <f t="shared" si="284"/>
        <v>1.54872785946413E-3</v>
      </c>
      <c r="U302" s="3">
        <f t="shared" si="284"/>
        <v>1.5487264553024232E-3</v>
      </c>
      <c r="V302" s="3">
        <f t="shared" si="284"/>
        <v>1.5487124137553759E-3</v>
      </c>
      <c r="W302" s="3">
        <f t="shared" si="284"/>
        <v>1.5485720052866455E-3</v>
      </c>
      <c r="X302" s="3">
        <f t="shared" si="284"/>
        <v>1.5471686205386745E-3</v>
      </c>
      <c r="Y302" s="3">
        <f t="shared" si="284"/>
        <v>1.5332045327573979E-3</v>
      </c>
      <c r="Z302" s="3">
        <f t="shared" si="284"/>
        <v>1.4003111746829172E-3</v>
      </c>
      <c r="AA302" s="3">
        <f t="shared" si="284"/>
        <v>5.6554758842562703E-4</v>
      </c>
      <c r="AB302" s="3">
        <f t="shared" si="284"/>
        <v>6.5300297157694613E-8</v>
      </c>
      <c r="AC302" s="3">
        <f t="shared" si="284"/>
        <v>2.7502690731584516E-47</v>
      </c>
      <c r="AD302" s="3">
        <f t="shared" si="284"/>
        <v>0</v>
      </c>
      <c r="AE302" s="3">
        <f t="shared" si="284"/>
        <v>0</v>
      </c>
      <c r="AF302" s="3">
        <f t="shared" si="284"/>
        <v>0</v>
      </c>
      <c r="AG302" s="3"/>
      <c r="AH302" s="3"/>
    </row>
    <row r="303" spans="2:34" x14ac:dyDescent="0.25">
      <c r="B303" s="3">
        <f t="shared" ref="B303:AF303" si="285">$C33*EXP(-B$285/$A33/EXP(-$F$126))</f>
        <v>1.7981576820785483E-3</v>
      </c>
      <c r="C303" s="3">
        <f t="shared" si="285"/>
        <v>1.7981576820785483E-3</v>
      </c>
      <c r="D303" s="3">
        <f t="shared" si="285"/>
        <v>1.7981576820785483E-3</v>
      </c>
      <c r="E303" s="3">
        <f t="shared" si="285"/>
        <v>1.7981576820785483E-3</v>
      </c>
      <c r="F303" s="3">
        <f t="shared" si="285"/>
        <v>1.7981576820785483E-3</v>
      </c>
      <c r="G303" s="3">
        <f t="shared" si="285"/>
        <v>1.7981576820785483E-3</v>
      </c>
      <c r="H303" s="3">
        <f t="shared" si="285"/>
        <v>1.7981576820785483E-3</v>
      </c>
      <c r="I303" s="3">
        <f t="shared" si="285"/>
        <v>1.7981576820785483E-3</v>
      </c>
      <c r="J303" s="3">
        <f t="shared" si="285"/>
        <v>1.7981576820785483E-3</v>
      </c>
      <c r="K303" s="3">
        <f t="shared" si="285"/>
        <v>1.7981576820785483E-3</v>
      </c>
      <c r="L303" s="3">
        <f t="shared" si="285"/>
        <v>1.798157682078548E-3</v>
      </c>
      <c r="M303" s="3">
        <f t="shared" si="285"/>
        <v>1.7981576820785467E-3</v>
      </c>
      <c r="N303" s="3">
        <f t="shared" si="285"/>
        <v>1.798157682078532E-3</v>
      </c>
      <c r="O303" s="3">
        <f t="shared" si="285"/>
        <v>1.7981576820783848E-3</v>
      </c>
      <c r="P303" s="3">
        <f t="shared" si="285"/>
        <v>1.7981576820769141E-3</v>
      </c>
      <c r="Q303" s="3">
        <f t="shared" si="285"/>
        <v>1.7981576820622074E-3</v>
      </c>
      <c r="R303" s="3">
        <f t="shared" si="285"/>
        <v>1.7981576819151399E-3</v>
      </c>
      <c r="S303" s="3">
        <f t="shared" si="285"/>
        <v>1.7981576804444654E-3</v>
      </c>
      <c r="T303" s="3">
        <f t="shared" si="285"/>
        <v>1.79815766573772E-3</v>
      </c>
      <c r="U303" s="3">
        <f t="shared" si="285"/>
        <v>1.7981575186702733E-3</v>
      </c>
      <c r="V303" s="3">
        <f t="shared" si="285"/>
        <v>1.7981560479964655E-3</v>
      </c>
      <c r="W303" s="3">
        <f t="shared" si="285"/>
        <v>1.7981413413245451E-3</v>
      </c>
      <c r="X303" s="3">
        <f t="shared" si="285"/>
        <v>1.7979942812206997E-3</v>
      </c>
      <c r="Y303" s="3">
        <f t="shared" si="285"/>
        <v>1.7965243415180704E-3</v>
      </c>
      <c r="Z303" s="3">
        <f t="shared" si="285"/>
        <v>1.7818908783810896E-3</v>
      </c>
      <c r="AA303" s="3">
        <f t="shared" si="285"/>
        <v>1.6419544002021804E-3</v>
      </c>
      <c r="AB303" s="3">
        <f t="shared" si="285"/>
        <v>7.2470450998074693E-4</v>
      </c>
      <c r="AC303" s="3">
        <f t="shared" si="285"/>
        <v>2.0331044249491939E-7</v>
      </c>
      <c r="AD303" s="3">
        <f t="shared" si="285"/>
        <v>6.1396964669296239E-43</v>
      </c>
      <c r="AE303" s="3">
        <f t="shared" si="285"/>
        <v>0</v>
      </c>
      <c r="AF303" s="3">
        <f t="shared" si="285"/>
        <v>0</v>
      </c>
      <c r="AG303" s="3"/>
      <c r="AH303" s="3"/>
    </row>
    <row r="304" spans="2:34" x14ac:dyDescent="0.25">
      <c r="B304" s="3">
        <f t="shared" ref="B304:AF304" si="286">$C34*EXP(-B$285/$A34/EXP(-$F$126))</f>
        <v>4.3198756825701184E-3</v>
      </c>
      <c r="C304" s="3">
        <f t="shared" si="286"/>
        <v>4.3198756825701184E-3</v>
      </c>
      <c r="D304" s="3">
        <f t="shared" si="286"/>
        <v>4.3198756825701184E-3</v>
      </c>
      <c r="E304" s="3">
        <f t="shared" si="286"/>
        <v>4.3198756825701184E-3</v>
      </c>
      <c r="F304" s="3">
        <f t="shared" si="286"/>
        <v>4.3198756825701184E-3</v>
      </c>
      <c r="G304" s="3">
        <f t="shared" si="286"/>
        <v>4.3198756825701184E-3</v>
      </c>
      <c r="H304" s="3">
        <f t="shared" si="286"/>
        <v>4.3198756825701184E-3</v>
      </c>
      <c r="I304" s="3">
        <f t="shared" si="286"/>
        <v>4.3198756825701184E-3</v>
      </c>
      <c r="J304" s="3">
        <f t="shared" si="286"/>
        <v>4.3198756825701184E-3</v>
      </c>
      <c r="K304" s="3">
        <f t="shared" si="286"/>
        <v>4.3198756825701184E-3</v>
      </c>
      <c r="L304" s="3">
        <f t="shared" si="286"/>
        <v>4.3198756825701184E-3</v>
      </c>
      <c r="M304" s="3">
        <f t="shared" si="286"/>
        <v>4.3198756825701175E-3</v>
      </c>
      <c r="N304" s="3">
        <f t="shared" si="286"/>
        <v>4.3198756825701149E-3</v>
      </c>
      <c r="O304" s="3">
        <f t="shared" si="286"/>
        <v>4.3198756825700829E-3</v>
      </c>
      <c r="P304" s="3">
        <f t="shared" si="286"/>
        <v>4.3198756825697645E-3</v>
      </c>
      <c r="Q304" s="3">
        <f t="shared" si="286"/>
        <v>4.319875682566577E-3</v>
      </c>
      <c r="R304" s="3">
        <f t="shared" si="286"/>
        <v>4.3198756825347058E-3</v>
      </c>
      <c r="S304" s="3">
        <f t="shared" si="286"/>
        <v>4.3198756822159868E-3</v>
      </c>
      <c r="T304" s="3">
        <f t="shared" si="286"/>
        <v>4.3198756790288071E-3</v>
      </c>
      <c r="U304" s="3">
        <f t="shared" si="286"/>
        <v>4.3198756471570033E-3</v>
      </c>
      <c r="V304" s="3">
        <f t="shared" si="286"/>
        <v>4.3198753284389808E-3</v>
      </c>
      <c r="W304" s="3">
        <f t="shared" si="286"/>
        <v>4.3198721412600477E-3</v>
      </c>
      <c r="X304" s="3">
        <f t="shared" si="286"/>
        <v>4.319840269600049E-3</v>
      </c>
      <c r="Y304" s="3">
        <f t="shared" si="286"/>
        <v>4.3195215659328334E-3</v>
      </c>
      <c r="Z304" s="3">
        <f t="shared" si="286"/>
        <v>4.3163358221846963E-3</v>
      </c>
      <c r="AA304" s="3">
        <f t="shared" si="286"/>
        <v>4.2846073248531871E-3</v>
      </c>
      <c r="AB304" s="3">
        <f t="shared" si="286"/>
        <v>3.9798712193764834E-3</v>
      </c>
      <c r="AC304" s="3">
        <f t="shared" si="286"/>
        <v>1.9030445460913572E-3</v>
      </c>
      <c r="AD304" s="3">
        <f t="shared" si="286"/>
        <v>1.1891819347808095E-6</v>
      </c>
      <c r="AE304" s="3">
        <f t="shared" si="286"/>
        <v>1.0795475871795659E-38</v>
      </c>
      <c r="AF304" s="3">
        <f t="shared" si="286"/>
        <v>0</v>
      </c>
      <c r="AG304" s="3"/>
      <c r="AH304" s="3"/>
    </row>
    <row r="305" spans="1:34" x14ac:dyDescent="0.25">
      <c r="B305" s="3">
        <f t="shared" ref="B305:AF305" si="287">$C35*EXP(-B$285/$A35/EXP(-$F$126))</f>
        <v>3.4800152588185828E-3</v>
      </c>
      <c r="C305" s="3">
        <f t="shared" si="287"/>
        <v>3.4800152588185828E-3</v>
      </c>
      <c r="D305" s="3">
        <f t="shared" si="287"/>
        <v>3.4800152588185828E-3</v>
      </c>
      <c r="E305" s="3">
        <f t="shared" si="287"/>
        <v>3.4800152588185828E-3</v>
      </c>
      <c r="F305" s="3">
        <f t="shared" si="287"/>
        <v>3.4800152588185828E-3</v>
      </c>
      <c r="G305" s="3">
        <f t="shared" si="287"/>
        <v>3.4800152588185828E-3</v>
      </c>
      <c r="H305" s="3">
        <f t="shared" si="287"/>
        <v>3.4800152588185828E-3</v>
      </c>
      <c r="I305" s="3">
        <f t="shared" si="287"/>
        <v>3.4800152588185828E-3</v>
      </c>
      <c r="J305" s="3">
        <f t="shared" si="287"/>
        <v>3.4800152588185828E-3</v>
      </c>
      <c r="K305" s="3">
        <f t="shared" si="287"/>
        <v>3.4800152588185828E-3</v>
      </c>
      <c r="L305" s="3">
        <f t="shared" si="287"/>
        <v>3.4800152588185828E-3</v>
      </c>
      <c r="M305" s="3">
        <f t="shared" si="287"/>
        <v>3.4800152588185828E-3</v>
      </c>
      <c r="N305" s="3">
        <f t="shared" si="287"/>
        <v>3.4800152588185824E-3</v>
      </c>
      <c r="O305" s="3">
        <f t="shared" si="287"/>
        <v>3.4800152588185802E-3</v>
      </c>
      <c r="P305" s="3">
        <f t="shared" si="287"/>
        <v>3.4800152588185568E-3</v>
      </c>
      <c r="Q305" s="3">
        <f t="shared" si="287"/>
        <v>3.4800152588183256E-3</v>
      </c>
      <c r="R305" s="3">
        <f t="shared" si="287"/>
        <v>3.4800152588160094E-3</v>
      </c>
      <c r="S305" s="3">
        <f t="shared" si="287"/>
        <v>3.4800152587928482E-3</v>
      </c>
      <c r="T305" s="3">
        <f t="shared" si="287"/>
        <v>3.4800152585612349E-3</v>
      </c>
      <c r="U305" s="3">
        <f t="shared" si="287"/>
        <v>3.4800152562451036E-3</v>
      </c>
      <c r="V305" s="3">
        <f t="shared" si="287"/>
        <v>3.4800152330837931E-3</v>
      </c>
      <c r="W305" s="3">
        <f t="shared" si="287"/>
        <v>3.4800150014706959E-3</v>
      </c>
      <c r="X305" s="3">
        <f t="shared" si="287"/>
        <v>3.4800126853405697E-3</v>
      </c>
      <c r="Y305" s="3">
        <f t="shared" si="287"/>
        <v>3.4799895241240902E-3</v>
      </c>
      <c r="Z305" s="3">
        <f t="shared" si="287"/>
        <v>3.4797579204373418E-3</v>
      </c>
      <c r="AA305" s="3">
        <f t="shared" si="287"/>
        <v>3.4774427311660213E-3</v>
      </c>
      <c r="AB305" s="3">
        <f t="shared" si="287"/>
        <v>3.4543753897159904E-3</v>
      </c>
      <c r="AC305" s="3">
        <f t="shared" si="287"/>
        <v>3.2319525452902766E-3</v>
      </c>
      <c r="AD305" s="3">
        <f t="shared" si="287"/>
        <v>1.6611904291771677E-3</v>
      </c>
      <c r="AE305" s="3">
        <f t="shared" si="287"/>
        <v>2.1377842302337115E-6</v>
      </c>
      <c r="AF305" s="3">
        <f t="shared" si="287"/>
        <v>2.6632280549102283E-35</v>
      </c>
      <c r="AG305" s="3"/>
      <c r="AH305" s="3"/>
    </row>
    <row r="306" spans="1:34" x14ac:dyDescent="0.25">
      <c r="B306" s="3">
        <f t="shared" ref="B306:AF306" si="288">$C36*EXP(-B$285/$A36/EXP(-$F$126))</f>
        <v>2.0367681547460849E-3</v>
      </c>
      <c r="C306" s="3">
        <f t="shared" si="288"/>
        <v>2.0367681547460849E-3</v>
      </c>
      <c r="D306" s="3">
        <f t="shared" si="288"/>
        <v>2.0367681547460849E-3</v>
      </c>
      <c r="E306" s="3">
        <f t="shared" si="288"/>
        <v>2.0367681547460849E-3</v>
      </c>
      <c r="F306" s="3">
        <f t="shared" si="288"/>
        <v>2.0367681547460849E-3</v>
      </c>
      <c r="G306" s="3">
        <f t="shared" si="288"/>
        <v>2.0367681547460849E-3</v>
      </c>
      <c r="H306" s="3">
        <f t="shared" si="288"/>
        <v>2.0367681547460849E-3</v>
      </c>
      <c r="I306" s="3">
        <f t="shared" si="288"/>
        <v>2.0367681547460849E-3</v>
      </c>
      <c r="J306" s="3">
        <f t="shared" si="288"/>
        <v>2.0367681547460849E-3</v>
      </c>
      <c r="K306" s="3">
        <f t="shared" si="288"/>
        <v>2.0367681547460849E-3</v>
      </c>
      <c r="L306" s="3">
        <f t="shared" si="288"/>
        <v>2.0367681547460849E-3</v>
      </c>
      <c r="M306" s="3">
        <f t="shared" si="288"/>
        <v>2.0367681547460849E-3</v>
      </c>
      <c r="N306" s="3">
        <f t="shared" si="288"/>
        <v>2.0367681547460849E-3</v>
      </c>
      <c r="O306" s="3">
        <f t="shared" si="288"/>
        <v>2.0367681547460844E-3</v>
      </c>
      <c r="P306" s="3">
        <f t="shared" si="288"/>
        <v>2.0367681547460836E-3</v>
      </c>
      <c r="Q306" s="3">
        <f t="shared" si="288"/>
        <v>2.0367681547460714E-3</v>
      </c>
      <c r="R306" s="3">
        <f t="shared" si="288"/>
        <v>2.0367681547459491E-3</v>
      </c>
      <c r="S306" s="3">
        <f t="shared" si="288"/>
        <v>2.0367681547447261E-3</v>
      </c>
      <c r="T306" s="3">
        <f t="shared" si="288"/>
        <v>2.0367681547324976E-3</v>
      </c>
      <c r="U306" s="3">
        <f t="shared" si="288"/>
        <v>2.0367681546102135E-3</v>
      </c>
      <c r="V306" s="3">
        <f t="shared" si="288"/>
        <v>2.0367681533873722E-3</v>
      </c>
      <c r="W306" s="3">
        <f t="shared" si="288"/>
        <v>2.0367681411589569E-3</v>
      </c>
      <c r="X306" s="3">
        <f t="shared" si="288"/>
        <v>2.036768018874811E-3</v>
      </c>
      <c r="Y306" s="3">
        <f t="shared" si="288"/>
        <v>2.0367667960337543E-3</v>
      </c>
      <c r="Z306" s="3">
        <f t="shared" si="288"/>
        <v>2.0367545676635676E-3</v>
      </c>
      <c r="AA306" s="3">
        <f t="shared" si="288"/>
        <v>2.0366322879995531E-3</v>
      </c>
      <c r="AB306" s="3">
        <f t="shared" si="288"/>
        <v>2.0354098950552237E-3</v>
      </c>
      <c r="AC306" s="3">
        <f t="shared" si="288"/>
        <v>2.0232262456594194E-3</v>
      </c>
      <c r="AD306" s="3">
        <f t="shared" si="288"/>
        <v>1.9053296964491242E-3</v>
      </c>
      <c r="AE306" s="3">
        <f t="shared" si="288"/>
        <v>1.0452664220658907E-3</v>
      </c>
      <c r="AF306" s="3">
        <f t="shared" si="288"/>
        <v>2.5810453153585407E-6</v>
      </c>
      <c r="AG306" s="3"/>
      <c r="AH306" s="3"/>
    </row>
    <row r="307" spans="1:34" x14ac:dyDescent="0.25">
      <c r="B307" s="3">
        <f t="shared" ref="B307:AF307" si="289">$C37*EXP(-B$285/$A37/EXP(-$F$126))</f>
        <v>1.2781847248259422E-3</v>
      </c>
      <c r="C307" s="3">
        <f t="shared" si="289"/>
        <v>1.2781847248259422E-3</v>
      </c>
      <c r="D307" s="3">
        <f t="shared" si="289"/>
        <v>1.2781847248259422E-3</v>
      </c>
      <c r="E307" s="3">
        <f t="shared" si="289"/>
        <v>1.2781847248259422E-3</v>
      </c>
      <c r="F307" s="3">
        <f t="shared" si="289"/>
        <v>1.2781847248259422E-3</v>
      </c>
      <c r="G307" s="3">
        <f t="shared" si="289"/>
        <v>1.2781847248259422E-3</v>
      </c>
      <c r="H307" s="3">
        <f t="shared" si="289"/>
        <v>1.2781847248259422E-3</v>
      </c>
      <c r="I307" s="3">
        <f t="shared" si="289"/>
        <v>1.2781847248259422E-3</v>
      </c>
      <c r="J307" s="3">
        <f t="shared" si="289"/>
        <v>1.2781847248259422E-3</v>
      </c>
      <c r="K307" s="3">
        <f t="shared" si="289"/>
        <v>1.2781847248259422E-3</v>
      </c>
      <c r="L307" s="3">
        <f t="shared" si="289"/>
        <v>1.2781847248259422E-3</v>
      </c>
      <c r="M307" s="3">
        <f t="shared" si="289"/>
        <v>1.2781847248259422E-3</v>
      </c>
      <c r="N307" s="3">
        <f t="shared" si="289"/>
        <v>1.2781847248259422E-3</v>
      </c>
      <c r="O307" s="3">
        <f t="shared" si="289"/>
        <v>1.2781847248259422E-3</v>
      </c>
      <c r="P307" s="3">
        <f t="shared" si="289"/>
        <v>1.278184724825942E-3</v>
      </c>
      <c r="Q307" s="3">
        <f t="shared" si="289"/>
        <v>1.2781847248259416E-3</v>
      </c>
      <c r="R307" s="3">
        <f t="shared" si="289"/>
        <v>1.2781847248259347E-3</v>
      </c>
      <c r="S307" s="3">
        <f t="shared" si="289"/>
        <v>1.2781847248258653E-3</v>
      </c>
      <c r="T307" s="3">
        <f t="shared" si="289"/>
        <v>1.2781847248251731E-3</v>
      </c>
      <c r="U307" s="3">
        <f t="shared" si="289"/>
        <v>1.2781847248182505E-3</v>
      </c>
      <c r="V307" s="3">
        <f t="shared" si="289"/>
        <v>1.2781847247490246E-3</v>
      </c>
      <c r="W307" s="3">
        <f t="shared" si="289"/>
        <v>1.2781847240567652E-3</v>
      </c>
      <c r="X307" s="3">
        <f t="shared" si="289"/>
        <v>1.2781847171341725E-3</v>
      </c>
      <c r="Y307" s="3">
        <f t="shared" si="289"/>
        <v>1.2781846479082463E-3</v>
      </c>
      <c r="Z307" s="3">
        <f t="shared" si="289"/>
        <v>1.2781839556491913E-3</v>
      </c>
      <c r="AA307" s="3">
        <f t="shared" si="289"/>
        <v>1.2781770330792615E-3</v>
      </c>
      <c r="AB307" s="3">
        <f t="shared" si="289"/>
        <v>1.2781078094420031E-3</v>
      </c>
      <c r="AC307" s="3">
        <f t="shared" si="289"/>
        <v>1.2774157792320522E-3</v>
      </c>
      <c r="AD307" s="3">
        <f t="shared" si="289"/>
        <v>1.2705160521425116E-3</v>
      </c>
      <c r="AE307" s="3">
        <f t="shared" si="289"/>
        <v>1.203535642391223E-3</v>
      </c>
      <c r="AF307" s="3">
        <f t="shared" si="289"/>
        <v>7.0024006377328676E-4</v>
      </c>
      <c r="AG307" s="3"/>
      <c r="AH307" s="3"/>
    </row>
    <row r="308" spans="1:34" x14ac:dyDescent="0.25">
      <c r="B308" s="3">
        <f t="shared" ref="B308:AF308" si="290">$C38*EXP(-B$285/$A38/EXP(-$F$126))</f>
        <v>3.444457645749161E-4</v>
      </c>
      <c r="C308" s="3">
        <f t="shared" si="290"/>
        <v>3.444457645749161E-4</v>
      </c>
      <c r="D308" s="3">
        <f t="shared" si="290"/>
        <v>3.444457645749161E-4</v>
      </c>
      <c r="E308" s="3">
        <f t="shared" si="290"/>
        <v>3.444457645749161E-4</v>
      </c>
      <c r="F308" s="3">
        <f t="shared" si="290"/>
        <v>3.444457645749161E-4</v>
      </c>
      <c r="G308" s="3">
        <f t="shared" si="290"/>
        <v>3.444457645749161E-4</v>
      </c>
      <c r="H308" s="3">
        <f t="shared" si="290"/>
        <v>3.444457645749161E-4</v>
      </c>
      <c r="I308" s="3">
        <f t="shared" si="290"/>
        <v>3.444457645749161E-4</v>
      </c>
      <c r="J308" s="3">
        <f t="shared" si="290"/>
        <v>3.444457645749161E-4</v>
      </c>
      <c r="K308" s="3">
        <f t="shared" si="290"/>
        <v>3.444457645749161E-4</v>
      </c>
      <c r="L308" s="3">
        <f t="shared" si="290"/>
        <v>3.444457645749161E-4</v>
      </c>
      <c r="M308" s="3">
        <f t="shared" si="290"/>
        <v>3.444457645749161E-4</v>
      </c>
      <c r="N308" s="3">
        <f t="shared" si="290"/>
        <v>3.444457645749161E-4</v>
      </c>
      <c r="O308" s="3">
        <f t="shared" si="290"/>
        <v>3.444457645749161E-4</v>
      </c>
      <c r="P308" s="3">
        <f t="shared" si="290"/>
        <v>3.444457645749161E-4</v>
      </c>
      <c r="Q308" s="3">
        <f t="shared" si="290"/>
        <v>3.444457645749161E-4</v>
      </c>
      <c r="R308" s="3">
        <f t="shared" si="290"/>
        <v>3.4444576457491588E-4</v>
      </c>
      <c r="S308" s="3">
        <f t="shared" si="290"/>
        <v>3.444457645749142E-4</v>
      </c>
      <c r="T308" s="3">
        <f t="shared" si="290"/>
        <v>3.444457645748974E-4</v>
      </c>
      <c r="U308" s="3">
        <f t="shared" si="290"/>
        <v>3.4444576457472908E-4</v>
      </c>
      <c r="V308" s="3">
        <f t="shared" si="290"/>
        <v>3.4444576457304629E-4</v>
      </c>
      <c r="W308" s="3">
        <f t="shared" si="290"/>
        <v>3.444457645562179E-4</v>
      </c>
      <c r="X308" s="3">
        <f t="shared" si="290"/>
        <v>3.44445764387934E-4</v>
      </c>
      <c r="Y308" s="3">
        <f t="shared" si="290"/>
        <v>3.4444576270509485E-4</v>
      </c>
      <c r="Z308" s="3">
        <f t="shared" si="290"/>
        <v>3.4444574587670385E-4</v>
      </c>
      <c r="AA308" s="3">
        <f t="shared" si="290"/>
        <v>3.4444557759283969E-4</v>
      </c>
      <c r="AB308" s="3">
        <f t="shared" si="290"/>
        <v>3.4444389475871931E-4</v>
      </c>
      <c r="AC308" s="3">
        <f t="shared" si="290"/>
        <v>3.4442706686970304E-4</v>
      </c>
      <c r="AD308" s="3">
        <f t="shared" si="290"/>
        <v>3.4425883319009408E-4</v>
      </c>
      <c r="AE308" s="3">
        <f t="shared" si="290"/>
        <v>3.4258100928737909E-4</v>
      </c>
      <c r="AF308" s="3">
        <f t="shared" si="290"/>
        <v>3.2624600720809971E-4</v>
      </c>
      <c r="AG308" s="3"/>
      <c r="AH308" s="3"/>
    </row>
    <row r="309" spans="1:34" x14ac:dyDescent="0.25">
      <c r="B309" s="3">
        <f t="shared" ref="B309:AF309" si="291">$C39*EXP(-B$285/$A39/EXP(-$F$126))</f>
        <v>6.1014336776090067E-4</v>
      </c>
      <c r="C309" s="3">
        <f t="shared" si="291"/>
        <v>6.1014336776090067E-4</v>
      </c>
      <c r="D309" s="3">
        <f t="shared" si="291"/>
        <v>6.1014336776090067E-4</v>
      </c>
      <c r="E309" s="3">
        <f t="shared" si="291"/>
        <v>6.1014336776090067E-4</v>
      </c>
      <c r="F309" s="3">
        <f t="shared" si="291"/>
        <v>6.1014336776090067E-4</v>
      </c>
      <c r="G309" s="3">
        <f t="shared" si="291"/>
        <v>6.1014336776090067E-4</v>
      </c>
      <c r="H309" s="3">
        <f t="shared" si="291"/>
        <v>6.1014336776090067E-4</v>
      </c>
      <c r="I309" s="3">
        <f t="shared" si="291"/>
        <v>6.1014336776090067E-4</v>
      </c>
      <c r="J309" s="3">
        <f t="shared" si="291"/>
        <v>6.1014336776090067E-4</v>
      </c>
      <c r="K309" s="3">
        <f t="shared" si="291"/>
        <v>6.1014336776090067E-4</v>
      </c>
      <c r="L309" s="3">
        <f t="shared" si="291"/>
        <v>6.1014336776090067E-4</v>
      </c>
      <c r="M309" s="3">
        <f t="shared" si="291"/>
        <v>6.1014336776090067E-4</v>
      </c>
      <c r="N309" s="3">
        <f t="shared" si="291"/>
        <v>6.1014336776090067E-4</v>
      </c>
      <c r="O309" s="3">
        <f t="shared" si="291"/>
        <v>6.1014336776090067E-4</v>
      </c>
      <c r="P309" s="3">
        <f t="shared" si="291"/>
        <v>6.1014336776090067E-4</v>
      </c>
      <c r="Q309" s="3">
        <f t="shared" si="291"/>
        <v>6.1014336776090067E-4</v>
      </c>
      <c r="R309" s="3">
        <f t="shared" si="291"/>
        <v>6.1014336776090057E-4</v>
      </c>
      <c r="S309" s="3">
        <f t="shared" si="291"/>
        <v>6.101433677608997E-4</v>
      </c>
      <c r="T309" s="3">
        <f t="shared" si="291"/>
        <v>6.1014336776089157E-4</v>
      </c>
      <c r="U309" s="3">
        <f t="shared" si="291"/>
        <v>6.1014336776080906E-4</v>
      </c>
      <c r="V309" s="3">
        <f t="shared" si="291"/>
        <v>6.1014336775998463E-4</v>
      </c>
      <c r="W309" s="3">
        <f t="shared" si="291"/>
        <v>6.1014336775174003E-4</v>
      </c>
      <c r="X309" s="3">
        <f t="shared" si="291"/>
        <v>6.101433676692947E-4</v>
      </c>
      <c r="Y309" s="3">
        <f t="shared" si="291"/>
        <v>6.1014336684484048E-4</v>
      </c>
      <c r="Z309" s="3">
        <f t="shared" si="291"/>
        <v>6.1014335860029893E-4</v>
      </c>
      <c r="AA309" s="3">
        <f t="shared" si="291"/>
        <v>6.1014327615488981E-4</v>
      </c>
      <c r="AB309" s="3">
        <f t="shared" si="291"/>
        <v>6.1014245170141123E-4</v>
      </c>
      <c r="AC309" s="3">
        <f t="shared" si="291"/>
        <v>6.1013420722789687E-4</v>
      </c>
      <c r="AD309" s="3">
        <f t="shared" si="291"/>
        <v>6.1005176861963736E-4</v>
      </c>
      <c r="AE309" s="3">
        <f t="shared" si="291"/>
        <v>6.0922799491928601E-4</v>
      </c>
      <c r="AF309" s="3">
        <f t="shared" si="291"/>
        <v>6.0105119107626539E-4</v>
      </c>
      <c r="AG309" s="3"/>
      <c r="AH309" s="3"/>
    </row>
    <row r="310" spans="1:34" x14ac:dyDescent="0.25">
      <c r="B310" s="3">
        <f t="shared" ref="B310:AF310" si="292">$C40*EXP(-B$285/$A40/EXP(-$F$126))</f>
        <v>2.2250933466635417E-4</v>
      </c>
      <c r="C310" s="3">
        <f t="shared" si="292"/>
        <v>2.2250933466635417E-4</v>
      </c>
      <c r="D310" s="3">
        <f t="shared" si="292"/>
        <v>2.2250933466635417E-4</v>
      </c>
      <c r="E310" s="3">
        <f t="shared" si="292"/>
        <v>2.2250933466635417E-4</v>
      </c>
      <c r="F310" s="3">
        <f t="shared" si="292"/>
        <v>2.2250933466635417E-4</v>
      </c>
      <c r="G310" s="3">
        <f t="shared" si="292"/>
        <v>2.2250933466635417E-4</v>
      </c>
      <c r="H310" s="3">
        <f t="shared" si="292"/>
        <v>2.2250933466635417E-4</v>
      </c>
      <c r="I310" s="3">
        <f t="shared" si="292"/>
        <v>2.2250933466635417E-4</v>
      </c>
      <c r="J310" s="3">
        <f t="shared" si="292"/>
        <v>2.2250933466635417E-4</v>
      </c>
      <c r="K310" s="3">
        <f t="shared" si="292"/>
        <v>2.2250933466635417E-4</v>
      </c>
      <c r="L310" s="3">
        <f t="shared" si="292"/>
        <v>2.2250933466635417E-4</v>
      </c>
      <c r="M310" s="3">
        <f t="shared" si="292"/>
        <v>2.2250933466635417E-4</v>
      </c>
      <c r="N310" s="3">
        <f t="shared" si="292"/>
        <v>2.2250933466635417E-4</v>
      </c>
      <c r="O310" s="3">
        <f t="shared" si="292"/>
        <v>2.2250933466635417E-4</v>
      </c>
      <c r="P310" s="3">
        <f t="shared" si="292"/>
        <v>2.2250933466635417E-4</v>
      </c>
      <c r="Q310" s="3">
        <f t="shared" si="292"/>
        <v>2.2250933466635417E-4</v>
      </c>
      <c r="R310" s="3">
        <f t="shared" si="292"/>
        <v>2.2250933466635417E-4</v>
      </c>
      <c r="S310" s="3">
        <f t="shared" si="292"/>
        <v>2.2250933466635414E-4</v>
      </c>
      <c r="T310" s="3">
        <f t="shared" si="292"/>
        <v>2.2250933466635381E-4</v>
      </c>
      <c r="U310" s="3">
        <f t="shared" si="292"/>
        <v>2.2250933466635083E-4</v>
      </c>
      <c r="V310" s="3">
        <f t="shared" si="292"/>
        <v>2.2250933466632077E-4</v>
      </c>
      <c r="W310" s="3">
        <f t="shared" si="292"/>
        <v>2.225093346660201E-4</v>
      </c>
      <c r="X310" s="3">
        <f t="shared" si="292"/>
        <v>2.2250933466301344E-4</v>
      </c>
      <c r="Y310" s="3">
        <f t="shared" si="292"/>
        <v>2.2250933463294697E-4</v>
      </c>
      <c r="Z310" s="3">
        <f t="shared" si="292"/>
        <v>2.2250933433228196E-4</v>
      </c>
      <c r="AA310" s="3">
        <f t="shared" si="292"/>
        <v>2.2250933132563213E-4</v>
      </c>
      <c r="AB310" s="3">
        <f t="shared" si="292"/>
        <v>2.2250930125913615E-4</v>
      </c>
      <c r="AC310" s="3">
        <f t="shared" si="292"/>
        <v>2.2250900059439947E-4</v>
      </c>
      <c r="AD310" s="3">
        <f t="shared" si="292"/>
        <v>2.2250599396937771E-4</v>
      </c>
      <c r="AE310" s="3">
        <f t="shared" si="292"/>
        <v>2.2247592995353508E-4</v>
      </c>
      <c r="AF310" s="3">
        <f t="shared" si="292"/>
        <v>2.2217551312092495E-4</v>
      </c>
      <c r="AG310" s="3"/>
      <c r="AH310" s="3"/>
    </row>
    <row r="311" spans="1:34" x14ac:dyDescent="0.25">
      <c r="B311" s="3">
        <f t="shared" ref="B311:AF311" si="293">$C41*EXP(-B$285/$A41/EXP(-$F$126))</f>
        <v>3.0514987252664002E-4</v>
      </c>
      <c r="C311" s="3">
        <f t="shared" si="293"/>
        <v>3.0514987252664002E-4</v>
      </c>
      <c r="D311" s="3">
        <f t="shared" si="293"/>
        <v>3.0514987252664002E-4</v>
      </c>
      <c r="E311" s="3">
        <f t="shared" si="293"/>
        <v>3.0514987252664002E-4</v>
      </c>
      <c r="F311" s="3">
        <f t="shared" si="293"/>
        <v>3.0514987252664002E-4</v>
      </c>
      <c r="G311" s="3">
        <f t="shared" si="293"/>
        <v>3.0514987252664002E-4</v>
      </c>
      <c r="H311" s="3">
        <f t="shared" si="293"/>
        <v>3.0514987252664002E-4</v>
      </c>
      <c r="I311" s="3">
        <f t="shared" si="293"/>
        <v>3.0514987252664002E-4</v>
      </c>
      <c r="J311" s="3">
        <f t="shared" si="293"/>
        <v>3.0514987252664002E-4</v>
      </c>
      <c r="K311" s="3">
        <f t="shared" si="293"/>
        <v>3.0514987252664002E-4</v>
      </c>
      <c r="L311" s="3">
        <f t="shared" si="293"/>
        <v>3.0514987252664002E-4</v>
      </c>
      <c r="M311" s="3">
        <f t="shared" si="293"/>
        <v>3.0514987252664002E-4</v>
      </c>
      <c r="N311" s="3">
        <f t="shared" si="293"/>
        <v>3.0514987252664002E-4</v>
      </c>
      <c r="O311" s="3">
        <f t="shared" si="293"/>
        <v>3.0514987252664002E-4</v>
      </c>
      <c r="P311" s="3">
        <f t="shared" si="293"/>
        <v>3.0514987252664002E-4</v>
      </c>
      <c r="Q311" s="3">
        <f t="shared" si="293"/>
        <v>3.0514987252664002E-4</v>
      </c>
      <c r="R311" s="3">
        <f t="shared" si="293"/>
        <v>3.0514987252664002E-4</v>
      </c>
      <c r="S311" s="3">
        <f t="shared" si="293"/>
        <v>3.0514987252664002E-4</v>
      </c>
      <c r="T311" s="3">
        <f t="shared" si="293"/>
        <v>3.0514987252663997E-4</v>
      </c>
      <c r="U311" s="3">
        <f t="shared" si="293"/>
        <v>3.0514987252663954E-4</v>
      </c>
      <c r="V311" s="3">
        <f t="shared" si="293"/>
        <v>3.0514987252663547E-4</v>
      </c>
      <c r="W311" s="3">
        <f t="shared" si="293"/>
        <v>3.0514987252659422E-4</v>
      </c>
      <c r="X311" s="3">
        <f t="shared" si="293"/>
        <v>3.051498725261819E-4</v>
      </c>
      <c r="Y311" s="3">
        <f t="shared" si="293"/>
        <v>3.0514987252205857E-4</v>
      </c>
      <c r="Z311" s="3">
        <f t="shared" si="293"/>
        <v>3.0514987248082527E-4</v>
      </c>
      <c r="AA311" s="3">
        <f t="shared" si="293"/>
        <v>3.0514987206849256E-4</v>
      </c>
      <c r="AB311" s="3">
        <f t="shared" si="293"/>
        <v>3.0514986794516523E-4</v>
      </c>
      <c r="AC311" s="3">
        <f t="shared" si="293"/>
        <v>3.051498267118955E-4</v>
      </c>
      <c r="AD311" s="3">
        <f t="shared" si="293"/>
        <v>3.0514941437950413E-4</v>
      </c>
      <c r="AE311" s="3">
        <f t="shared" si="293"/>
        <v>3.0514529108623421E-4</v>
      </c>
      <c r="AF311" s="3">
        <f t="shared" si="293"/>
        <v>3.0510406121776252E-4</v>
      </c>
      <c r="AG311" s="3"/>
      <c r="AH311" s="3"/>
    </row>
    <row r="312" spans="1:34" x14ac:dyDescent="0.25">
      <c r="B312" s="3">
        <f t="shared" ref="B312:AF312" si="294">$C42*EXP(-B$285/$A42/EXP(-$F$126))</f>
        <v>0</v>
      </c>
      <c r="C312" s="3">
        <f t="shared" si="294"/>
        <v>0</v>
      </c>
      <c r="D312" s="3">
        <f t="shared" si="294"/>
        <v>0</v>
      </c>
      <c r="E312" s="3">
        <f t="shared" si="294"/>
        <v>0</v>
      </c>
      <c r="F312" s="3">
        <f t="shared" si="294"/>
        <v>0</v>
      </c>
      <c r="G312" s="3">
        <f t="shared" si="294"/>
        <v>0</v>
      </c>
      <c r="H312" s="3">
        <f t="shared" si="294"/>
        <v>0</v>
      </c>
      <c r="I312" s="3">
        <f t="shared" si="294"/>
        <v>0</v>
      </c>
      <c r="J312" s="3">
        <f t="shared" si="294"/>
        <v>0</v>
      </c>
      <c r="K312" s="3">
        <f t="shared" si="294"/>
        <v>0</v>
      </c>
      <c r="L312" s="3">
        <f t="shared" si="294"/>
        <v>0</v>
      </c>
      <c r="M312" s="3">
        <f t="shared" si="294"/>
        <v>0</v>
      </c>
      <c r="N312" s="3">
        <f t="shared" si="294"/>
        <v>0</v>
      </c>
      <c r="O312" s="3">
        <f t="shared" si="294"/>
        <v>0</v>
      </c>
      <c r="P312" s="3">
        <f t="shared" si="294"/>
        <v>0</v>
      </c>
      <c r="Q312" s="3">
        <f t="shared" si="294"/>
        <v>0</v>
      </c>
      <c r="R312" s="3">
        <f t="shared" si="294"/>
        <v>0</v>
      </c>
      <c r="S312" s="3">
        <f t="shared" si="294"/>
        <v>0</v>
      </c>
      <c r="T312" s="3">
        <f t="shared" si="294"/>
        <v>0</v>
      </c>
      <c r="U312" s="3">
        <f t="shared" si="294"/>
        <v>0</v>
      </c>
      <c r="V312" s="3">
        <f t="shared" si="294"/>
        <v>0</v>
      </c>
      <c r="W312" s="3">
        <f t="shared" si="294"/>
        <v>0</v>
      </c>
      <c r="X312" s="3">
        <f t="shared" si="294"/>
        <v>0</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6.2164799219330605E-5</v>
      </c>
      <c r="C313" s="3">
        <f t="shared" si="295"/>
        <v>6.2164799219330605E-5</v>
      </c>
      <c r="D313" s="3">
        <f t="shared" si="295"/>
        <v>6.2164799219330605E-5</v>
      </c>
      <c r="E313" s="3">
        <f t="shared" si="295"/>
        <v>6.2164799219330605E-5</v>
      </c>
      <c r="F313" s="3">
        <f t="shared" si="295"/>
        <v>6.2164799219330605E-5</v>
      </c>
      <c r="G313" s="3">
        <f t="shared" si="295"/>
        <v>6.2164799219330605E-5</v>
      </c>
      <c r="H313" s="3">
        <f t="shared" si="295"/>
        <v>6.2164799219330605E-5</v>
      </c>
      <c r="I313" s="3">
        <f t="shared" si="295"/>
        <v>6.2164799219330605E-5</v>
      </c>
      <c r="J313" s="3">
        <f t="shared" si="295"/>
        <v>6.2164799219330605E-5</v>
      </c>
      <c r="K313" s="3">
        <f t="shared" si="295"/>
        <v>6.2164799219330605E-5</v>
      </c>
      <c r="L313" s="3">
        <f t="shared" si="295"/>
        <v>6.2164799219330605E-5</v>
      </c>
      <c r="M313" s="3">
        <f t="shared" si="295"/>
        <v>6.2164799219330605E-5</v>
      </c>
      <c r="N313" s="3">
        <f t="shared" si="295"/>
        <v>6.2164799219330605E-5</v>
      </c>
      <c r="O313" s="3">
        <f t="shared" si="295"/>
        <v>6.2164799219330605E-5</v>
      </c>
      <c r="P313" s="3">
        <f t="shared" si="295"/>
        <v>6.2164799219330605E-5</v>
      </c>
      <c r="Q313" s="3">
        <f t="shared" si="295"/>
        <v>6.2164799219330605E-5</v>
      </c>
      <c r="R313" s="3">
        <f t="shared" si="295"/>
        <v>6.2164799219330605E-5</v>
      </c>
      <c r="S313" s="3">
        <f t="shared" si="295"/>
        <v>6.2164799219330605E-5</v>
      </c>
      <c r="T313" s="3">
        <f t="shared" si="295"/>
        <v>6.2164799219330605E-5</v>
      </c>
      <c r="U313" s="3">
        <f t="shared" si="295"/>
        <v>6.2164799219330605E-5</v>
      </c>
      <c r="V313" s="3">
        <f t="shared" si="295"/>
        <v>6.2164799219330592E-5</v>
      </c>
      <c r="W313" s="3">
        <f t="shared" si="295"/>
        <v>6.216479921933051E-5</v>
      </c>
      <c r="X313" s="3">
        <f t="shared" si="295"/>
        <v>6.216479921932967E-5</v>
      </c>
      <c r="Y313" s="3">
        <f t="shared" si="295"/>
        <v>6.2164799219321267E-5</v>
      </c>
      <c r="Z313" s="3">
        <f t="shared" si="295"/>
        <v>6.2164799219237269E-5</v>
      </c>
      <c r="AA313" s="3">
        <f t="shared" si="295"/>
        <v>6.216479921839727E-5</v>
      </c>
      <c r="AB313" s="3">
        <f t="shared" si="295"/>
        <v>6.2164799209997278E-5</v>
      </c>
      <c r="AC313" s="3">
        <f t="shared" si="295"/>
        <v>6.2164799125997305E-5</v>
      </c>
      <c r="AD313" s="3">
        <f t="shared" si="295"/>
        <v>6.2164798285997564E-5</v>
      </c>
      <c r="AE313" s="3">
        <f t="shared" si="295"/>
        <v>6.2164789886000815E-5</v>
      </c>
      <c r="AF313" s="3">
        <f t="shared" si="295"/>
        <v>6.216470588609576E-5</v>
      </c>
      <c r="AG313" s="3"/>
      <c r="AH313" s="3"/>
    </row>
    <row r="314" spans="1:34" x14ac:dyDescent="0.25">
      <c r="B314" s="3">
        <f t="shared" ref="B314:AF314" si="296">$C44*EXP(-B$285/$A44/EXP(-$F$126))</f>
        <v>1.589018825978126E-4</v>
      </c>
      <c r="C314" s="3">
        <f t="shared" si="296"/>
        <v>1.589018825978126E-4</v>
      </c>
      <c r="D314" s="3">
        <f t="shared" si="296"/>
        <v>1.589018825978126E-4</v>
      </c>
      <c r="E314" s="3">
        <f t="shared" si="296"/>
        <v>1.589018825978126E-4</v>
      </c>
      <c r="F314" s="3">
        <f t="shared" si="296"/>
        <v>1.589018825978126E-4</v>
      </c>
      <c r="G314" s="3">
        <f t="shared" si="296"/>
        <v>1.589018825978126E-4</v>
      </c>
      <c r="H314" s="3">
        <f t="shared" si="296"/>
        <v>1.589018825978126E-4</v>
      </c>
      <c r="I314" s="3">
        <f t="shared" si="296"/>
        <v>1.589018825978126E-4</v>
      </c>
      <c r="J314" s="3">
        <f t="shared" si="296"/>
        <v>1.589018825978126E-4</v>
      </c>
      <c r="K314" s="3">
        <f t="shared" si="296"/>
        <v>1.589018825978126E-4</v>
      </c>
      <c r="L314" s="3">
        <f t="shared" si="296"/>
        <v>1.589018825978126E-4</v>
      </c>
      <c r="M314" s="3">
        <f t="shared" si="296"/>
        <v>1.589018825978126E-4</v>
      </c>
      <c r="N314" s="3">
        <f t="shared" si="296"/>
        <v>1.589018825978126E-4</v>
      </c>
      <c r="O314" s="3">
        <f t="shared" si="296"/>
        <v>1.589018825978126E-4</v>
      </c>
      <c r="P314" s="3">
        <f t="shared" si="296"/>
        <v>1.589018825978126E-4</v>
      </c>
      <c r="Q314" s="3">
        <f t="shared" si="296"/>
        <v>1.589018825978126E-4</v>
      </c>
      <c r="R314" s="3">
        <f t="shared" si="296"/>
        <v>1.589018825978126E-4</v>
      </c>
      <c r="S314" s="3">
        <f t="shared" si="296"/>
        <v>1.589018825978126E-4</v>
      </c>
      <c r="T314" s="3">
        <f t="shared" si="296"/>
        <v>1.589018825978126E-4</v>
      </c>
      <c r="U314" s="3">
        <f t="shared" si="296"/>
        <v>1.589018825978126E-4</v>
      </c>
      <c r="V314" s="3">
        <f t="shared" si="296"/>
        <v>1.589018825978126E-4</v>
      </c>
      <c r="W314" s="3">
        <f t="shared" si="296"/>
        <v>1.5890188259781257E-4</v>
      </c>
      <c r="X314" s="3">
        <f t="shared" si="296"/>
        <v>1.5890188259781236E-4</v>
      </c>
      <c r="Y314" s="3">
        <f t="shared" si="296"/>
        <v>1.5890188259781021E-4</v>
      </c>
      <c r="Z314" s="3">
        <f t="shared" si="296"/>
        <v>1.5890188259778875E-4</v>
      </c>
      <c r="AA314" s="3">
        <f t="shared" si="296"/>
        <v>1.5890188259757402E-4</v>
      </c>
      <c r="AB314" s="3">
        <f t="shared" si="296"/>
        <v>1.5890188259542687E-4</v>
      </c>
      <c r="AC314" s="3">
        <f t="shared" si="296"/>
        <v>1.5890188257395533E-4</v>
      </c>
      <c r="AD314" s="3">
        <f t="shared" si="296"/>
        <v>1.5890188235923968E-4</v>
      </c>
      <c r="AE314" s="3">
        <f t="shared" si="296"/>
        <v>1.5890188021208337E-4</v>
      </c>
      <c r="AF314" s="3">
        <f t="shared" si="296"/>
        <v>1.5890185874052208E-4</v>
      </c>
      <c r="AG314" s="3"/>
      <c r="AH314" s="3"/>
    </row>
    <row r="315" spans="1:34" x14ac:dyDescent="0.25">
      <c r="B315" s="3">
        <f t="shared" ref="B315:AF315" si="297">$C45*EXP(-B$285/$A45/EXP(-$F$126))</f>
        <v>0</v>
      </c>
      <c r="C315" s="3">
        <f t="shared" si="297"/>
        <v>0</v>
      </c>
      <c r="D315" s="3">
        <f t="shared" si="297"/>
        <v>0</v>
      </c>
      <c r="E315" s="3">
        <f t="shared" si="297"/>
        <v>0</v>
      </c>
      <c r="F315" s="3">
        <f t="shared" si="297"/>
        <v>0</v>
      </c>
      <c r="G315" s="3">
        <f t="shared" si="297"/>
        <v>0</v>
      </c>
      <c r="H315" s="3">
        <f t="shared" si="297"/>
        <v>0</v>
      </c>
      <c r="I315" s="3">
        <f t="shared" si="297"/>
        <v>0</v>
      </c>
      <c r="J315" s="3">
        <f t="shared" si="297"/>
        <v>0</v>
      </c>
      <c r="K315" s="3">
        <f t="shared" si="297"/>
        <v>0</v>
      </c>
      <c r="L315" s="3">
        <f t="shared" si="297"/>
        <v>0</v>
      </c>
      <c r="M315" s="3">
        <f t="shared" si="297"/>
        <v>0</v>
      </c>
      <c r="N315" s="3">
        <f t="shared" si="297"/>
        <v>0</v>
      </c>
      <c r="O315" s="3">
        <f t="shared" si="297"/>
        <v>0</v>
      </c>
      <c r="P315" s="3">
        <f t="shared" si="297"/>
        <v>0</v>
      </c>
      <c r="Q315" s="3">
        <f t="shared" si="297"/>
        <v>0</v>
      </c>
      <c r="R315" s="3">
        <f t="shared" si="297"/>
        <v>0</v>
      </c>
      <c r="S315" s="3">
        <f t="shared" si="297"/>
        <v>0</v>
      </c>
      <c r="T315" s="3">
        <f t="shared" si="297"/>
        <v>0</v>
      </c>
      <c r="U315" s="3">
        <f t="shared" si="297"/>
        <v>0</v>
      </c>
      <c r="V315" s="3">
        <f t="shared" si="297"/>
        <v>0</v>
      </c>
      <c r="W315" s="3">
        <f t="shared" si="297"/>
        <v>0</v>
      </c>
      <c r="X315" s="3">
        <f t="shared" si="297"/>
        <v>0</v>
      </c>
      <c r="Y315" s="3">
        <f t="shared" si="297"/>
        <v>0</v>
      </c>
      <c r="Z315" s="3">
        <f t="shared" si="297"/>
        <v>0</v>
      </c>
      <c r="AA315" s="3">
        <f t="shared" si="297"/>
        <v>0</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7.8909905102376337E-4</v>
      </c>
      <c r="C318" s="3">
        <f t="shared" si="300"/>
        <v>7.8909905102376337E-4</v>
      </c>
      <c r="D318" s="3">
        <f t="shared" si="300"/>
        <v>7.8909905102376337E-4</v>
      </c>
      <c r="E318" s="3">
        <f t="shared" si="300"/>
        <v>7.8909905102376337E-4</v>
      </c>
      <c r="F318" s="3">
        <f t="shared" si="300"/>
        <v>7.8909905102376337E-4</v>
      </c>
      <c r="G318" s="3">
        <f t="shared" si="300"/>
        <v>7.8909905102376337E-4</v>
      </c>
      <c r="H318" s="3">
        <f t="shared" si="300"/>
        <v>7.8909905102376337E-4</v>
      </c>
      <c r="I318" s="3">
        <f t="shared" si="300"/>
        <v>7.8909905102376337E-4</v>
      </c>
      <c r="J318" s="3">
        <f t="shared" si="300"/>
        <v>7.8909905102376337E-4</v>
      </c>
      <c r="K318" s="3">
        <f t="shared" si="300"/>
        <v>7.8909905102376337E-4</v>
      </c>
      <c r="L318" s="3">
        <f t="shared" si="300"/>
        <v>7.8909905102376337E-4</v>
      </c>
      <c r="M318" s="3">
        <f t="shared" si="300"/>
        <v>7.8909905102376337E-4</v>
      </c>
      <c r="N318" s="3">
        <f t="shared" si="300"/>
        <v>7.8909905102376337E-4</v>
      </c>
      <c r="O318" s="3">
        <f t="shared" si="300"/>
        <v>7.8909905102376337E-4</v>
      </c>
      <c r="P318" s="3">
        <f t="shared" si="300"/>
        <v>7.8909905102376337E-4</v>
      </c>
      <c r="Q318" s="3">
        <f t="shared" si="300"/>
        <v>7.8909905102376337E-4</v>
      </c>
      <c r="R318" s="3">
        <f t="shared" si="300"/>
        <v>7.8909905102376337E-4</v>
      </c>
      <c r="S318" s="3">
        <f t="shared" si="300"/>
        <v>7.8909905102376337E-4</v>
      </c>
      <c r="T318" s="3">
        <f t="shared" si="300"/>
        <v>7.8909905102376337E-4</v>
      </c>
      <c r="U318" s="3">
        <f t="shared" si="300"/>
        <v>7.8909905102376337E-4</v>
      </c>
      <c r="V318" s="3">
        <f t="shared" si="300"/>
        <v>7.8909905102376337E-4</v>
      </c>
      <c r="W318" s="3">
        <f t="shared" si="300"/>
        <v>7.8909905102376337E-4</v>
      </c>
      <c r="X318" s="3">
        <f t="shared" si="300"/>
        <v>7.8909905102376337E-4</v>
      </c>
      <c r="Y318" s="3">
        <f t="shared" si="300"/>
        <v>7.8909905102376337E-4</v>
      </c>
      <c r="Z318" s="3">
        <f t="shared" si="300"/>
        <v>7.8909905102376337E-4</v>
      </c>
      <c r="AA318" s="3">
        <f t="shared" si="300"/>
        <v>7.8909905102376326E-4</v>
      </c>
      <c r="AB318" s="3">
        <f t="shared" si="300"/>
        <v>7.8909905102376218E-4</v>
      </c>
      <c r="AC318" s="3">
        <f t="shared" si="300"/>
        <v>7.8909905102375155E-4</v>
      </c>
      <c r="AD318" s="3">
        <f t="shared" si="300"/>
        <v>7.8909905102364497E-4</v>
      </c>
      <c r="AE318" s="3">
        <f t="shared" si="300"/>
        <v>7.8909905102257866E-4</v>
      </c>
      <c r="AF318" s="3">
        <f t="shared" si="300"/>
        <v>7.8909905101191597E-4</v>
      </c>
      <c r="AG318" s="3"/>
      <c r="AH318" s="3"/>
    </row>
    <row r="319" spans="1:34" x14ac:dyDescent="0.25">
      <c r="A319" s="79">
        <f>AVERAGE(B319:AF319)</f>
        <v>2.4704664291307701E-2</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4.058693156329158E-2</v>
      </c>
      <c r="M319" s="80">
        <f t="shared" si="301"/>
        <v>2.5969320505910196E-2</v>
      </c>
      <c r="N319" s="80">
        <f t="shared" si="301"/>
        <v>5.2310261067794274E-2</v>
      </c>
      <c r="O319" s="80">
        <f t="shared" si="301"/>
        <v>4.7330201873054242E-2</v>
      </c>
      <c r="P319" s="80">
        <f t="shared" si="301"/>
        <v>5.3941609179399587E-2</v>
      </c>
      <c r="Q319" s="80">
        <f t="shared" si="301"/>
        <v>6.0891273221048571E-2</v>
      </c>
      <c r="R319" s="80">
        <f t="shared" si="301"/>
        <v>5.7829919259318005E-2</v>
      </c>
      <c r="S319" s="80">
        <f t="shared" si="301"/>
        <v>5.7505695180177169E-3</v>
      </c>
      <c r="T319" s="80">
        <f t="shared" si="301"/>
        <v>9.81523926357908E-2</v>
      </c>
      <c r="U319" s="80">
        <f t="shared" si="301"/>
        <v>0.13751398572678014</v>
      </c>
      <c r="V319" s="80">
        <f t="shared" si="301"/>
        <v>0.18556812848013371</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1309645.5159437563</v>
      </c>
      <c r="C320" s="21">
        <f t="shared" ref="C320:AF320" si="302">(C287-C286)^2</f>
        <v>1309794.6964606128</v>
      </c>
      <c r="D320" s="21">
        <f t="shared" si="302"/>
        <v>1309575.1728387028</v>
      </c>
      <c r="E320" s="21">
        <f t="shared" si="302"/>
        <v>1308239.9418825735</v>
      </c>
      <c r="F320" s="21">
        <f t="shared" si="302"/>
        <v>1295384.3888965317</v>
      </c>
      <c r="G320" s="21">
        <f t="shared" si="302"/>
        <v>1190448.1251723906</v>
      </c>
      <c r="H320" s="21">
        <f t="shared" si="302"/>
        <v>909714.70323910634</v>
      </c>
      <c r="I320" s="21">
        <f t="shared" si="302"/>
        <v>652559.18826550129</v>
      </c>
      <c r="J320" s="21">
        <f t="shared" si="302"/>
        <v>409155.43132139021</v>
      </c>
      <c r="K320" s="21">
        <f t="shared" si="302"/>
        <v>190167.09527690065</v>
      </c>
      <c r="L320" s="21">
        <f t="shared" si="302"/>
        <v>65875.531913101848</v>
      </c>
      <c r="M320" s="21">
        <f t="shared" si="302"/>
        <v>24773.597049011369</v>
      </c>
      <c r="N320" s="21">
        <f t="shared" si="302"/>
        <v>91314.669698414044</v>
      </c>
      <c r="O320" s="21">
        <f t="shared" si="302"/>
        <v>67660.222625400507</v>
      </c>
      <c r="P320" s="21">
        <f t="shared" si="302"/>
        <v>78333.607663130853</v>
      </c>
      <c r="Q320" s="21">
        <f t="shared" si="302"/>
        <v>87078.005128094432</v>
      </c>
      <c r="R320" s="21">
        <f t="shared" si="302"/>
        <v>62052.883564149852</v>
      </c>
      <c r="S320" s="21">
        <f t="shared" si="302"/>
        <v>387.74869117818787</v>
      </c>
      <c r="T320" s="21">
        <f t="shared" si="302"/>
        <v>58188.21215697009</v>
      </c>
      <c r="U320" s="21">
        <f t="shared" si="302"/>
        <v>49074.035860118485</v>
      </c>
      <c r="V320" s="21">
        <f t="shared" si="302"/>
        <v>30601.703434407558</v>
      </c>
      <c r="W320" s="21">
        <f t="shared" si="302"/>
        <v>17264.940616954984</v>
      </c>
      <c r="X320" s="21">
        <f t="shared" si="302"/>
        <v>8190.6541406734632</v>
      </c>
      <c r="Y320" s="21">
        <f t="shared" si="302"/>
        <v>10632.580833076609</v>
      </c>
      <c r="Z320" s="21">
        <f t="shared" si="302"/>
        <v>10908.645193708689</v>
      </c>
      <c r="AA320" s="21">
        <f t="shared" si="302"/>
        <v>9857.6010005078606</v>
      </c>
      <c r="AB320" s="21">
        <f t="shared" si="302"/>
        <v>8837.4618652002628</v>
      </c>
      <c r="AC320" s="21">
        <f t="shared" si="302"/>
        <v>5209.0233923047253</v>
      </c>
      <c r="AD320" s="21">
        <f t="shared" si="302"/>
        <v>2227.6815358615072</v>
      </c>
      <c r="AE320" s="21">
        <f t="shared" si="302"/>
        <v>797.14490477056916</v>
      </c>
      <c r="AF320" s="21">
        <f t="shared" si="302"/>
        <v>310.13577604749423</v>
      </c>
      <c r="AG320" s="3"/>
      <c r="AH320" s="3"/>
    </row>
    <row r="321" spans="1:34" x14ac:dyDescent="0.25">
      <c r="A321" s="71">
        <f>SUM(B321:AF321)</f>
        <v>615340.21778397716</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65875.531913101848</v>
      </c>
      <c r="M321" s="60">
        <f t="shared" ref="M321" si="313">IF($A$64&lt;=M285,IF($B$64&gt;=M285,ABS(M320),0),0)</f>
        <v>24773.597049011369</v>
      </c>
      <c r="N321" s="60">
        <f t="shared" ref="N321" si="314">IF($A$64&lt;=N285,IF($B$64&gt;=N285,ABS(N320),0),0)</f>
        <v>91314.669698414044</v>
      </c>
      <c r="O321" s="60">
        <f t="shared" ref="O321" si="315">IF($A$64&lt;=O285,IF($B$64&gt;=O285,ABS(O320),0),0)</f>
        <v>67660.222625400507</v>
      </c>
      <c r="P321" s="60">
        <f t="shared" ref="P321" si="316">IF($A$64&lt;=P285,IF($B$64&gt;=P285,ABS(P320),0),0)</f>
        <v>78333.607663130853</v>
      </c>
      <c r="Q321" s="60">
        <f t="shared" ref="Q321" si="317">IF($A$64&lt;=Q285,IF($B$64&gt;=Q285,ABS(Q320),0),0)</f>
        <v>87078.005128094432</v>
      </c>
      <c r="R321" s="60">
        <f t="shared" ref="R321" si="318">IF($A$64&lt;=R285,IF($B$64&gt;=R285,ABS(R320),0),0)</f>
        <v>62052.883564149852</v>
      </c>
      <c r="S321" s="60">
        <f t="shared" ref="S321" si="319">IF($A$64&lt;=S285,IF($B$64&gt;=S285,ABS(S320),0),0)</f>
        <v>387.74869117818787</v>
      </c>
      <c r="T321" s="60">
        <f t="shared" ref="T321" si="320">IF($A$64&lt;=T285,IF($B$64&gt;=T285,ABS(T320),0),0)</f>
        <v>58188.21215697009</v>
      </c>
      <c r="U321" s="60">
        <f t="shared" ref="U321" si="321">IF($A$64&lt;=U285,IF($B$64&gt;=U285,ABS(U320),0),0)</f>
        <v>49074.035860118485</v>
      </c>
      <c r="V321" s="60">
        <f t="shared" ref="V321" si="322">IF($A$64&lt;=V285,IF($B$64&gt;=V285,ABS(V320),0),0)</f>
        <v>30601.703434407558</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6585.7419229281086</v>
      </c>
      <c r="C325" s="26">
        <f>INDEX(Comparison!$AM$3:$AS$33,G$14,$G$122)</f>
        <v>6334.3824808152185</v>
      </c>
      <c r="D325" s="26">
        <f>INDEX(Comparison!$AM$3:$AS$33,H$14,$G$122)</f>
        <v>6097.7114849761656</v>
      </c>
      <c r="E325" s="26">
        <f>INDEX(Comparison!$AM$3:$AS$33,I$14,$G$122)</f>
        <v>5825.3419350887143</v>
      </c>
      <c r="F325" s="26">
        <f>INDEX(Comparison!$AM$3:$AS$33,J$14,$G$122)</f>
        <v>5546.9331561273084</v>
      </c>
      <c r="G325" s="26">
        <f>INDEX(Comparison!$AM$3:$AS$33,K$14,$G$122)</f>
        <v>5257.3325173232261</v>
      </c>
      <c r="H325" s="26">
        <f>INDEX(Comparison!$AM$3:$AS$33,L$14,$G$122)</f>
        <v>4943.4016945901922</v>
      </c>
      <c r="I325" s="26">
        <f>INDEX(Comparison!$AM$3:$AS$33,M$14,$G$122)</f>
        <v>4573.266252420035</v>
      </c>
      <c r="J325" s="26">
        <f>INDEX(Comparison!$AM$3:$AS$33,N$14,$G$122)</f>
        <v>4079.2740096930638</v>
      </c>
      <c r="K325" s="26">
        <f>INDEX(Comparison!$AM$3:$AS$33,O$14,$G$122)</f>
        <v>3459.2497747504567</v>
      </c>
      <c r="L325" s="26">
        <f>INDEX(Comparison!$AM$3:$AS$33,P$14,$G$122)</f>
        <v>2702.914511015118</v>
      </c>
      <c r="M325" s="26">
        <f>INDEX(Comparison!$AM$3:$AS$33,Q$14,$G$122)</f>
        <v>1832.1518571214692</v>
      </c>
      <c r="N325" s="26">
        <f>INDEX(Comparison!$AM$3:$AS$33,R$14,$G$122)</f>
        <v>1105.139847553852</v>
      </c>
      <c r="O325" s="26">
        <f>INDEX(Comparison!$AM$3:$AS$33,S$14,$G$122)</f>
        <v>630.91869332772831</v>
      </c>
      <c r="P325" s="26">
        <f>INDEX(Comparison!$AM$3:$AS$33,T$14,$G$122)</f>
        <v>354.28738756335468</v>
      </c>
      <c r="Q325" s="26">
        <f>INDEX(Comparison!$AM$3:$AS$33,U$14,$G$122)</f>
        <v>248.22351395532451</v>
      </c>
      <c r="R325" s="26">
        <f>INDEX(Comparison!$AM$3:$AS$33,V$14,$G$122)</f>
        <v>214.57476664013214</v>
      </c>
      <c r="S325" s="26">
        <f>INDEX(Comparison!$AM$3:$AS$33,W$14,$G$122)</f>
        <v>185.72591291449908</v>
      </c>
      <c r="T325" s="26">
        <f>INDEX(Comparison!$AM$3:$AS$33,X$14,$G$122)</f>
        <v>158.09658219581334</v>
      </c>
      <c r="U325" s="26">
        <f>INDEX(Comparison!$AM$3:$AS$33,Y$14,$G$122)</f>
        <v>132.46407229952649</v>
      </c>
      <c r="V325" s="26">
        <f>INDEX(Comparison!$AM$3:$AS$33,Z$14,$G$122)</f>
        <v>115.64370251909122</v>
      </c>
      <c r="W325" s="26">
        <f>INDEX(Comparison!$AM$3:$AS$33,AA$14,$G$122)</f>
        <v>105.70344373363407</v>
      </c>
      <c r="X325" s="26">
        <f>INDEX(Comparison!$AM$3:$AS$33,AB$14,$G$122)</f>
        <v>99.769058005183027</v>
      </c>
      <c r="Y325" s="26">
        <f>INDEX(Comparison!$AM$3:$AS$33,AC$14,$G$122)</f>
        <v>96.16135307969536</v>
      </c>
      <c r="Z325" s="26">
        <f>INDEX(Comparison!$AM$3:$AS$33,AD$14,$G$122)</f>
        <v>93.862812708921865</v>
      </c>
      <c r="AA325" s="26">
        <f>INDEX(Comparison!$AM$3:$AS$33,AE$14,$G$122)</f>
        <v>92.381155101656375</v>
      </c>
      <c r="AB325" s="26">
        <f>INDEX(Comparison!$AM$3:$AS$33,AF$14,$G$122)</f>
        <v>92.126538569786135</v>
      </c>
      <c r="AC325" s="26">
        <f>INDEX(Comparison!$AM$3:$AS$33,AG$14,$G$122)</f>
        <v>91.086268606556416</v>
      </c>
      <c r="AD325" s="26">
        <f>INDEX(Comparison!$AM$3:$AS$33,AH$14,$G$122)</f>
        <v>90.886673770022838</v>
      </c>
      <c r="AE325" s="26">
        <f>INDEX(Comparison!$AM$3:$AS$33,AI$14,$G$122)</f>
        <v>90.290301687552557</v>
      </c>
      <c r="AF325" s="26">
        <f>INDEX(Comparison!$AM$3:$AS$33,AJ$14,$G$122)</f>
        <v>90.056329050223439</v>
      </c>
      <c r="AG325" s="26"/>
      <c r="AH325" s="26"/>
    </row>
    <row r="326" spans="1:34" x14ac:dyDescent="0.25">
      <c r="A326" s="77" t="s">
        <v>22</v>
      </c>
      <c r="B326" s="27">
        <f>($C$17+SUM(B327:B357))*$B$51</f>
        <v>6088.6558832846995</v>
      </c>
      <c r="C326" s="27">
        <f t="shared" ref="C326:AF326" si="333">($C$17+SUM(C327:C357))*$B$51</f>
        <v>6086.6331938694548</v>
      </c>
      <c r="D326" s="27">
        <f t="shared" si="333"/>
        <v>6066.7793549054268</v>
      </c>
      <c r="E326" s="27">
        <f t="shared" si="333"/>
        <v>5901.1319616769897</v>
      </c>
      <c r="F326" s="27">
        <f t="shared" si="333"/>
        <v>5472.966489722291</v>
      </c>
      <c r="G326" s="27">
        <f t="shared" si="333"/>
        <v>5233.9779787597809</v>
      </c>
      <c r="H326" s="27">
        <f t="shared" si="333"/>
        <v>4906.7400299538313</v>
      </c>
      <c r="I326" s="27">
        <f t="shared" si="333"/>
        <v>4548.5411053661992</v>
      </c>
      <c r="J326" s="27">
        <f t="shared" si="333"/>
        <v>4054.9685658928606</v>
      </c>
      <c r="K326" s="27">
        <f t="shared" si="333"/>
        <v>3439.5460622275295</v>
      </c>
      <c r="L326" s="27">
        <f t="shared" si="333"/>
        <v>2693.3803119047329</v>
      </c>
      <c r="M326" s="27">
        <f t="shared" si="333"/>
        <v>1826.4869821823984</v>
      </c>
      <c r="N326" s="27">
        <f t="shared" si="333"/>
        <v>1113.0610313564966</v>
      </c>
      <c r="O326" s="27">
        <f t="shared" si="333"/>
        <v>638.84439798908488</v>
      </c>
      <c r="P326" s="27">
        <f t="shared" si="333"/>
        <v>360.32731832172504</v>
      </c>
      <c r="Q326" s="27">
        <f t="shared" si="333"/>
        <v>255.21533736026177</v>
      </c>
      <c r="R326" s="27">
        <f t="shared" si="333"/>
        <v>218.72329816473822</v>
      </c>
      <c r="S326" s="27">
        <f t="shared" si="333"/>
        <v>200.26662309684238</v>
      </c>
      <c r="T326" s="27">
        <f t="shared" si="333"/>
        <v>186.95523479566074</v>
      </c>
      <c r="U326" s="27">
        <f t="shared" si="333"/>
        <v>164.60413649266596</v>
      </c>
      <c r="V326" s="27">
        <f t="shared" si="333"/>
        <v>138.27724266460231</v>
      </c>
      <c r="W326" s="27">
        <f t="shared" si="333"/>
        <v>119.35621116032932</v>
      </c>
      <c r="X326" s="27">
        <f t="shared" si="333"/>
        <v>107.86058694000732</v>
      </c>
      <c r="Y326" s="27">
        <f t="shared" si="333"/>
        <v>101.25321914881641</v>
      </c>
      <c r="Z326" s="27">
        <f t="shared" si="333"/>
        <v>96.684469148323757</v>
      </c>
      <c r="AA326" s="27">
        <f t="shared" si="333"/>
        <v>94.371560184613315</v>
      </c>
      <c r="AB326" s="27">
        <f t="shared" si="333"/>
        <v>92.574921148503691</v>
      </c>
      <c r="AC326" s="27">
        <f t="shared" si="333"/>
        <v>92.014328744075542</v>
      </c>
      <c r="AD326" s="27">
        <f t="shared" si="333"/>
        <v>91.575133202788109</v>
      </c>
      <c r="AE326" s="27">
        <f t="shared" si="333"/>
        <v>90.728572324194374</v>
      </c>
      <c r="AF326" s="27">
        <f t="shared" si="333"/>
        <v>90.466940551138435</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7.5758722061044226E-2</v>
      </c>
      <c r="C328" s="3">
        <f t="shared" si="335"/>
        <v>7.5492976791241728E-2</v>
      </c>
      <c r="D328" s="3">
        <f t="shared" si="335"/>
        <v>7.2886258072561924E-2</v>
      </c>
      <c r="E328" s="3">
        <f t="shared" si="335"/>
        <v>5.1290471740979574E-2</v>
      </c>
      <c r="F328" s="3">
        <f t="shared" si="335"/>
        <v>1.5273799451189477E-3</v>
      </c>
      <c r="G328" s="3">
        <f t="shared" si="335"/>
        <v>8.3762761771945717E-19</v>
      </c>
      <c r="H328" s="3">
        <f t="shared" si="335"/>
        <v>2.0610571342248301E-171</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2.7425180026066916E-2</v>
      </c>
      <c r="C329" s="3">
        <f t="shared" si="336"/>
        <v>2.741648796095408E-2</v>
      </c>
      <c r="D329" s="3">
        <f t="shared" si="336"/>
        <v>2.7329718682079566E-2</v>
      </c>
      <c r="E329" s="3">
        <f t="shared" si="336"/>
        <v>2.6476987076412724E-2</v>
      </c>
      <c r="F329" s="3">
        <f t="shared" si="336"/>
        <v>1.9284242531630302E-2</v>
      </c>
      <c r="G329" s="3">
        <f t="shared" si="336"/>
        <v>8.1010777171212878E-4</v>
      </c>
      <c r="H329" s="3">
        <f t="shared" si="336"/>
        <v>1.3865800137735398E-17</v>
      </c>
      <c r="I329" s="3">
        <f t="shared" si="336"/>
        <v>2.9920325233242421E-155</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4.6802647013047712E-2</v>
      </c>
      <c r="C330" s="3">
        <f t="shared" si="337"/>
        <v>4.6801308714172853E-2</v>
      </c>
      <c r="D330" s="3">
        <f t="shared" si="337"/>
        <v>4.6787927829983957E-2</v>
      </c>
      <c r="E330" s="3">
        <f t="shared" si="337"/>
        <v>4.665432922156755E-2</v>
      </c>
      <c r="F330" s="3">
        <f t="shared" si="337"/>
        <v>4.5339145746160416E-2</v>
      </c>
      <c r="G330" s="3">
        <f t="shared" si="337"/>
        <v>3.4063335159607099E-2</v>
      </c>
      <c r="H330" s="3">
        <f t="shared" si="337"/>
        <v>1.9517559565025387E-3</v>
      </c>
      <c r="I330" s="3">
        <f t="shared" si="337"/>
        <v>7.4440446734210625E-16</v>
      </c>
      <c r="J330" s="3">
        <f t="shared" si="337"/>
        <v>4.8489035315678298E-140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4.5136539845338726E-2</v>
      </c>
      <c r="C331" s="3">
        <f t="shared" si="338"/>
        <v>4.5136423415793818E-2</v>
      </c>
      <c r="D331" s="3">
        <f t="shared" si="338"/>
        <v>4.5135259136862713E-2</v>
      </c>
      <c r="E331" s="3">
        <f t="shared" si="338"/>
        <v>4.5123617999194073E-2</v>
      </c>
      <c r="F331" s="3">
        <f t="shared" si="338"/>
        <v>4.500737162921864E-2</v>
      </c>
      <c r="G331" s="3">
        <f t="shared" si="338"/>
        <v>4.3861252196405645E-2</v>
      </c>
      <c r="H331" s="3">
        <f t="shared" si="338"/>
        <v>3.3888689423206393E-2</v>
      </c>
      <c r="I331" s="3">
        <f t="shared" si="338"/>
        <v>2.5691664887914616E-3</v>
      </c>
      <c r="J331" s="3">
        <f t="shared" si="338"/>
        <v>1.6112650902013381E-14</v>
      </c>
      <c r="K331" s="3">
        <f t="shared" si="338"/>
        <v>1.5167516952178816E-126</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6.7281405113391216E-2</v>
      </c>
      <c r="C332" s="3">
        <f t="shared" si="339"/>
        <v>6.7281389457525417E-2</v>
      </c>
      <c r="D332" s="3">
        <f t="shared" si="339"/>
        <v>6.7281232899067733E-2</v>
      </c>
      <c r="E332" s="3">
        <f t="shared" si="339"/>
        <v>6.7279667334527213E-2</v>
      </c>
      <c r="F332" s="3">
        <f t="shared" si="339"/>
        <v>6.7264013692580713E-2</v>
      </c>
      <c r="G332" s="3">
        <f t="shared" si="339"/>
        <v>6.7107677446598277E-2</v>
      </c>
      <c r="H332" s="3">
        <f t="shared" si="339"/>
        <v>6.5564161060780238E-2</v>
      </c>
      <c r="I332" s="3">
        <f t="shared" si="339"/>
        <v>5.1952865814924865E-2</v>
      </c>
      <c r="J332" s="3">
        <f t="shared" si="339"/>
        <v>5.0703683921930328E-3</v>
      </c>
      <c r="K332" s="3">
        <f t="shared" si="339"/>
        <v>3.9750223018431324E-13</v>
      </c>
      <c r="L332" s="3">
        <f t="shared" si="339"/>
        <v>3.4861022431953711E-114</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8.4823708239144979E-2</v>
      </c>
      <c r="C333" s="3">
        <f t="shared" si="340"/>
        <v>8.4823706458628786E-2</v>
      </c>
      <c r="D333" s="3">
        <f t="shared" si="340"/>
        <v>8.4823688653468871E-2</v>
      </c>
      <c r="E333" s="3">
        <f t="shared" si="340"/>
        <v>8.4823510602075242E-2</v>
      </c>
      <c r="F333" s="3">
        <f t="shared" si="340"/>
        <v>8.4821730108694676E-2</v>
      </c>
      <c r="G333" s="3">
        <f t="shared" si="340"/>
        <v>8.4803927230305554E-2</v>
      </c>
      <c r="H333" s="3">
        <f t="shared" si="340"/>
        <v>8.4626103828512017E-2</v>
      </c>
      <c r="I333" s="3">
        <f t="shared" si="340"/>
        <v>8.2868249400150154E-2</v>
      </c>
      <c r="J333" s="3">
        <f t="shared" si="340"/>
        <v>6.7177887662661986E-2</v>
      </c>
      <c r="K333" s="3">
        <f t="shared" si="340"/>
        <v>8.2339483312486236E-3</v>
      </c>
      <c r="L333" s="3">
        <f t="shared" si="340"/>
        <v>6.301240763630152E-12</v>
      </c>
      <c r="M333" s="3">
        <f t="shared" si="340"/>
        <v>4.3411564552285273E-103</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0.10369484658227851</v>
      </c>
      <c r="C334" s="3">
        <f t="shared" si="341"/>
        <v>0.10369484638592781</v>
      </c>
      <c r="D334" s="3">
        <f t="shared" si="341"/>
        <v>0.10369484442242088</v>
      </c>
      <c r="E334" s="3">
        <f t="shared" si="341"/>
        <v>0.10369482478735365</v>
      </c>
      <c r="F334" s="3">
        <f t="shared" si="341"/>
        <v>0.10369462843688568</v>
      </c>
      <c r="G334" s="3">
        <f t="shared" si="341"/>
        <v>0.10369266495265483</v>
      </c>
      <c r="H334" s="3">
        <f t="shared" si="341"/>
        <v>0.10367303215507934</v>
      </c>
      <c r="I334" s="3">
        <f t="shared" si="341"/>
        <v>0.10347690850943536</v>
      </c>
      <c r="J334" s="3">
        <f t="shared" si="341"/>
        <v>0.10153596263035561</v>
      </c>
      <c r="K334" s="3">
        <f t="shared" si="341"/>
        <v>8.4020322548804413E-2</v>
      </c>
      <c r="L334" s="3">
        <f t="shared" si="341"/>
        <v>1.2648204621893361E-2</v>
      </c>
      <c r="M334" s="3">
        <f t="shared" si="341"/>
        <v>7.5591727140368623E-11</v>
      </c>
      <c r="N334" s="3">
        <f t="shared" si="341"/>
        <v>4.394688749868944E-93</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0.13305313379281325</v>
      </c>
      <c r="C335" s="3">
        <f t="shared" si="342"/>
        <v>0.13305313377008601</v>
      </c>
      <c r="D335" s="3">
        <f t="shared" si="342"/>
        <v>0.13305313354281345</v>
      </c>
      <c r="E335" s="3">
        <f t="shared" si="342"/>
        <v>0.13305313127008805</v>
      </c>
      <c r="F335" s="3">
        <f t="shared" si="342"/>
        <v>0.13305310854283628</v>
      </c>
      <c r="G335" s="3">
        <f t="shared" si="342"/>
        <v>0.133052881270532</v>
      </c>
      <c r="H335" s="3">
        <f t="shared" si="342"/>
        <v>0.1330506085688406</v>
      </c>
      <c r="I335" s="3">
        <f t="shared" si="342"/>
        <v>0.13302788368694204</v>
      </c>
      <c r="J335" s="3">
        <f t="shared" si="342"/>
        <v>0.1328008482346279</v>
      </c>
      <c r="K335" s="3">
        <f t="shared" si="342"/>
        <v>0.13055169614278647</v>
      </c>
      <c r="L335" s="3">
        <f t="shared" si="342"/>
        <v>0.1100523231272126</v>
      </c>
      <c r="M335" s="3">
        <f t="shared" si="342"/>
        <v>1.9941883510272009E-2</v>
      </c>
      <c r="N335" s="3">
        <f t="shared" si="342"/>
        <v>7.6108958467645225E-10</v>
      </c>
      <c r="O335" s="3">
        <f t="shared" si="342"/>
        <v>4.9903593101973897E-84</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0.10368180212164202</v>
      </c>
      <c r="C336" s="3">
        <f t="shared" si="343"/>
        <v>0.10368180212004441</v>
      </c>
      <c r="D336" s="3">
        <f t="shared" si="343"/>
        <v>0.1036818021040683</v>
      </c>
      <c r="E336" s="3">
        <f t="shared" si="343"/>
        <v>0.10368180194430722</v>
      </c>
      <c r="F336" s="3">
        <f t="shared" si="343"/>
        <v>0.10368180034669643</v>
      </c>
      <c r="G336" s="3">
        <f t="shared" si="343"/>
        <v>0.10368178437058991</v>
      </c>
      <c r="H336" s="3">
        <f t="shared" si="343"/>
        <v>0.10368162460965996</v>
      </c>
      <c r="I336" s="3">
        <f t="shared" si="343"/>
        <v>0.1036800270139</v>
      </c>
      <c r="J336" s="3">
        <f t="shared" si="343"/>
        <v>0.10366405241016306</v>
      </c>
      <c r="K336" s="3">
        <f t="shared" si="343"/>
        <v>0.10350444168190705</v>
      </c>
      <c r="L336" s="3">
        <f t="shared" si="343"/>
        <v>0.1019217884844822</v>
      </c>
      <c r="M336" s="3">
        <f t="shared" si="343"/>
        <v>8.736702032961062E-2</v>
      </c>
      <c r="N336" s="3">
        <f t="shared" si="343"/>
        <v>1.8713387383310014E-2</v>
      </c>
      <c r="O336" s="3">
        <f t="shared" si="343"/>
        <v>3.8036561064448777E-9</v>
      </c>
      <c r="P336" s="3">
        <f t="shared" si="343"/>
        <v>4.578145746007477E-76</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6.4516912228103768E-2</v>
      </c>
      <c r="C337" s="3">
        <f t="shared" si="344"/>
        <v>6.4516912228014089E-2</v>
      </c>
      <c r="D337" s="3">
        <f t="shared" si="344"/>
        <v>6.4516912227117307E-2</v>
      </c>
      <c r="E337" s="3">
        <f t="shared" si="344"/>
        <v>6.4516912218149439E-2</v>
      </c>
      <c r="F337" s="3">
        <f t="shared" si="344"/>
        <v>6.4516912128470882E-2</v>
      </c>
      <c r="G337" s="3">
        <f t="shared" si="344"/>
        <v>6.451691123168532E-2</v>
      </c>
      <c r="H337" s="3">
        <f t="shared" si="344"/>
        <v>6.4516902263830278E-2</v>
      </c>
      <c r="I337" s="3">
        <f t="shared" si="344"/>
        <v>6.4516812585348429E-2</v>
      </c>
      <c r="J337" s="3">
        <f t="shared" si="344"/>
        <v>6.4515915807385887E-2</v>
      </c>
      <c r="K337" s="3">
        <f t="shared" si="344"/>
        <v>6.4506948713314208E-2</v>
      </c>
      <c r="L337" s="3">
        <f t="shared" si="344"/>
        <v>6.4417346292730701E-2</v>
      </c>
      <c r="M337" s="3">
        <f t="shared" si="344"/>
        <v>6.3528138990941618E-2</v>
      </c>
      <c r="N337" s="3">
        <f t="shared" si="344"/>
        <v>5.5283962859237944E-2</v>
      </c>
      <c r="O337" s="3">
        <f t="shared" si="344"/>
        <v>1.3769859213874445E-2</v>
      </c>
      <c r="P337" s="3">
        <f t="shared" si="344"/>
        <v>1.2654145803472237E-8</v>
      </c>
      <c r="Q337" s="3">
        <f t="shared" si="344"/>
        <v>5.4358338828084988E-69</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3.7592139756948723E-2</v>
      </c>
      <c r="C338" s="3">
        <f t="shared" si="345"/>
        <v>3.7592139756944004E-2</v>
      </c>
      <c r="D338" s="3">
        <f t="shared" si="345"/>
        <v>3.7592139756896868E-2</v>
      </c>
      <c r="E338" s="3">
        <f t="shared" si="345"/>
        <v>3.7592139756425502E-2</v>
      </c>
      <c r="F338" s="3">
        <f t="shared" si="345"/>
        <v>3.7592139751711842E-2</v>
      </c>
      <c r="G338" s="3">
        <f t="shared" si="345"/>
        <v>3.7592139704575193E-2</v>
      </c>
      <c r="H338" s="3">
        <f t="shared" si="345"/>
        <v>3.7592139233208734E-2</v>
      </c>
      <c r="I338" s="3">
        <f t="shared" si="345"/>
        <v>3.7592134519544462E-2</v>
      </c>
      <c r="J338" s="3">
        <f t="shared" si="345"/>
        <v>3.7592087382934264E-2</v>
      </c>
      <c r="K338" s="3">
        <f t="shared" si="345"/>
        <v>3.7591616020083041E-2</v>
      </c>
      <c r="L338" s="3">
        <f t="shared" si="345"/>
        <v>3.7586902716628609E-2</v>
      </c>
      <c r="M338" s="3">
        <f t="shared" si="345"/>
        <v>3.753980217279039E-2</v>
      </c>
      <c r="N338" s="3">
        <f t="shared" si="345"/>
        <v>3.7072030781648224E-2</v>
      </c>
      <c r="O338" s="3">
        <f t="shared" si="345"/>
        <v>3.2703207585125078E-2</v>
      </c>
      <c r="P338" s="3">
        <f t="shared" si="345"/>
        <v>9.3331896625019825E-3</v>
      </c>
      <c r="Q338" s="3">
        <f t="shared" si="345"/>
        <v>3.3452416398864388E-8</v>
      </c>
      <c r="R338" s="3">
        <f t="shared" si="345"/>
        <v>1.1705811351711788E-62</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7.6036322594280111E-3</v>
      </c>
      <c r="C339" s="3">
        <f t="shared" si="346"/>
        <v>7.6036322594279252E-3</v>
      </c>
      <c r="D339" s="3">
        <f t="shared" si="346"/>
        <v>7.6036322594270648E-3</v>
      </c>
      <c r="E339" s="3">
        <f t="shared" si="346"/>
        <v>7.6036322594184649E-3</v>
      </c>
      <c r="F339" s="3">
        <f t="shared" si="346"/>
        <v>7.6036322593324582E-3</v>
      </c>
      <c r="G339" s="3">
        <f t="shared" si="346"/>
        <v>7.6036322584723971E-3</v>
      </c>
      <c r="H339" s="3">
        <f t="shared" si="346"/>
        <v>7.6036322498717855E-3</v>
      </c>
      <c r="I339" s="3">
        <f t="shared" si="346"/>
        <v>7.6036321638656718E-3</v>
      </c>
      <c r="J339" s="3">
        <f t="shared" si="346"/>
        <v>7.6036313038045835E-3</v>
      </c>
      <c r="K339" s="3">
        <f t="shared" si="346"/>
        <v>7.6036227031990606E-3</v>
      </c>
      <c r="L339" s="3">
        <f t="shared" si="346"/>
        <v>7.6035366976788766E-3</v>
      </c>
      <c r="M339" s="3">
        <f t="shared" si="346"/>
        <v>7.6026766959802787E-3</v>
      </c>
      <c r="N339" s="3">
        <f t="shared" si="346"/>
        <v>7.5940820270793572E-3</v>
      </c>
      <c r="O339" s="3">
        <f t="shared" si="346"/>
        <v>7.5086679150842411E-3</v>
      </c>
      <c r="P339" s="3">
        <f t="shared" si="346"/>
        <v>6.705621431706844E-3</v>
      </c>
      <c r="Q339" s="3">
        <f t="shared" si="346"/>
        <v>2.1637165861180634E-3</v>
      </c>
      <c r="R339" s="3">
        <f t="shared" si="346"/>
        <v>2.6473648661396141E-8</v>
      </c>
      <c r="S339" s="3">
        <f t="shared" si="346"/>
        <v>1.9904353135147519E-57</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4.6601949201853926E-3</v>
      </c>
      <c r="C340" s="3">
        <f t="shared" si="347"/>
        <v>4.6601949201853883E-3</v>
      </c>
      <c r="D340" s="3">
        <f t="shared" si="347"/>
        <v>4.6601949201853406E-3</v>
      </c>
      <c r="E340" s="3">
        <f t="shared" si="347"/>
        <v>4.6601949201848653E-3</v>
      </c>
      <c r="F340" s="3">
        <f t="shared" si="347"/>
        <v>4.6601949201801095E-3</v>
      </c>
      <c r="G340" s="3">
        <f t="shared" si="347"/>
        <v>4.660194920132559E-3</v>
      </c>
      <c r="H340" s="3">
        <f t="shared" si="347"/>
        <v>4.6601949196570505E-3</v>
      </c>
      <c r="I340" s="3">
        <f t="shared" si="347"/>
        <v>4.6601949149019583E-3</v>
      </c>
      <c r="J340" s="3">
        <f t="shared" si="347"/>
        <v>4.6601948673510411E-3</v>
      </c>
      <c r="K340" s="3">
        <f t="shared" si="347"/>
        <v>4.6601943918419004E-3</v>
      </c>
      <c r="L340" s="3">
        <f t="shared" si="347"/>
        <v>4.6601896367531558E-3</v>
      </c>
      <c r="M340" s="3">
        <f t="shared" si="347"/>
        <v>4.6601420861325637E-3</v>
      </c>
      <c r="N340" s="3">
        <f t="shared" si="347"/>
        <v>4.6596666066110919E-3</v>
      </c>
      <c r="O340" s="3">
        <f t="shared" si="347"/>
        <v>4.654914478833776E-3</v>
      </c>
      <c r="P340" s="3">
        <f t="shared" si="347"/>
        <v>4.6076589404946012E-3</v>
      </c>
      <c r="Q340" s="3">
        <f t="shared" si="347"/>
        <v>4.1607010403445577E-3</v>
      </c>
      <c r="R340" s="3">
        <f t="shared" si="347"/>
        <v>1.4997828234079593E-3</v>
      </c>
      <c r="S340" s="3">
        <f t="shared" si="347"/>
        <v>5.5545261427819844E-8</v>
      </c>
      <c r="T340" s="3">
        <f t="shared" si="347"/>
        <v>2.6967048252574987E-52</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1.548728015482176E-3</v>
      </c>
      <c r="C341" s="3">
        <f t="shared" si="348"/>
        <v>1.5487280154821757E-3</v>
      </c>
      <c r="D341" s="3">
        <f t="shared" si="348"/>
        <v>1.5487280154821744E-3</v>
      </c>
      <c r="E341" s="3">
        <f t="shared" si="348"/>
        <v>1.5487280154821601E-3</v>
      </c>
      <c r="F341" s="3">
        <f t="shared" si="348"/>
        <v>1.5487280154820177E-3</v>
      </c>
      <c r="G341" s="3">
        <f t="shared" si="348"/>
        <v>1.5487280154805919E-3</v>
      </c>
      <c r="H341" s="3">
        <f t="shared" si="348"/>
        <v>1.5487280154663366E-3</v>
      </c>
      <c r="I341" s="3">
        <f t="shared" si="348"/>
        <v>1.5487280153237836E-3</v>
      </c>
      <c r="J341" s="3">
        <f t="shared" si="348"/>
        <v>1.5487280138982531E-3</v>
      </c>
      <c r="K341" s="3">
        <f t="shared" si="348"/>
        <v>1.5487279996429465E-3</v>
      </c>
      <c r="L341" s="3">
        <f t="shared" si="348"/>
        <v>1.548727857089889E-3</v>
      </c>
      <c r="M341" s="3">
        <f t="shared" si="348"/>
        <v>1.5487264315600365E-3</v>
      </c>
      <c r="N341" s="3">
        <f t="shared" si="348"/>
        <v>1.5487121763336784E-3</v>
      </c>
      <c r="O341" s="3">
        <f t="shared" si="348"/>
        <v>1.5485696312865559E-3</v>
      </c>
      <c r="P341" s="3">
        <f t="shared" si="348"/>
        <v>1.5471449022156456E-3</v>
      </c>
      <c r="Q341" s="3">
        <f t="shared" si="348"/>
        <v>1.5329695064562521E-3</v>
      </c>
      <c r="R341" s="3">
        <f t="shared" si="348"/>
        <v>1.3981661051989413E-3</v>
      </c>
      <c r="S341" s="3">
        <f t="shared" si="348"/>
        <v>5.5694371242185465E-4</v>
      </c>
      <c r="T341" s="3">
        <f t="shared" si="348"/>
        <v>5.6019169109885317E-8</v>
      </c>
      <c r="U341" s="3">
        <f t="shared" si="348"/>
        <v>5.9373170269296835E-48</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1.7981576820785483E-3</v>
      </c>
      <c r="C342" s="3">
        <f t="shared" si="349"/>
        <v>1.7981576820785483E-3</v>
      </c>
      <c r="D342" s="3">
        <f t="shared" si="349"/>
        <v>1.798157682078548E-3</v>
      </c>
      <c r="E342" s="3">
        <f t="shared" si="349"/>
        <v>1.7981576820785467E-3</v>
      </c>
      <c r="F342" s="3">
        <f t="shared" si="349"/>
        <v>1.7981576820785318E-3</v>
      </c>
      <c r="G342" s="3">
        <f t="shared" si="349"/>
        <v>1.7981576820783824E-3</v>
      </c>
      <c r="H342" s="3">
        <f t="shared" si="349"/>
        <v>1.7981576820768892E-3</v>
      </c>
      <c r="I342" s="3">
        <f t="shared" si="349"/>
        <v>1.7981576820619587E-3</v>
      </c>
      <c r="J342" s="3">
        <f t="shared" si="349"/>
        <v>1.7981576819126532E-3</v>
      </c>
      <c r="K342" s="3">
        <f t="shared" si="349"/>
        <v>1.7981576804195984E-3</v>
      </c>
      <c r="L342" s="3">
        <f t="shared" si="349"/>
        <v>1.7981576654890498E-3</v>
      </c>
      <c r="M342" s="3">
        <f t="shared" si="349"/>
        <v>1.7981575161835697E-3</v>
      </c>
      <c r="N342" s="3">
        <f t="shared" si="349"/>
        <v>1.7981560231294523E-3</v>
      </c>
      <c r="O342" s="3">
        <f t="shared" si="349"/>
        <v>1.7981410926564618E-3</v>
      </c>
      <c r="P342" s="3">
        <f t="shared" si="349"/>
        <v>1.7979917947447857E-3</v>
      </c>
      <c r="Q342" s="3">
        <f t="shared" si="349"/>
        <v>1.7964994972415774E-3</v>
      </c>
      <c r="R342" s="3">
        <f t="shared" si="349"/>
        <v>1.7816444746235971E-3</v>
      </c>
      <c r="S342" s="3">
        <f t="shared" si="349"/>
        <v>1.6396852822033402E-3</v>
      </c>
      <c r="T342" s="3">
        <f t="shared" si="349"/>
        <v>7.1475142508135761E-4</v>
      </c>
      <c r="U342" s="3">
        <f t="shared" si="349"/>
        <v>1.7705179928908361E-7</v>
      </c>
      <c r="V342" s="3">
        <f t="shared" si="349"/>
        <v>1.5401162090621239E-43</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4.3198756825701184E-3</v>
      </c>
      <c r="C343" s="3">
        <f t="shared" si="350"/>
        <v>4.3198756825701184E-3</v>
      </c>
      <c r="D343" s="3">
        <f t="shared" si="350"/>
        <v>4.3198756825701184E-3</v>
      </c>
      <c r="E343" s="3">
        <f t="shared" si="350"/>
        <v>4.3198756825701175E-3</v>
      </c>
      <c r="F343" s="3">
        <f t="shared" si="350"/>
        <v>4.3198756825701149E-3</v>
      </c>
      <c r="G343" s="3">
        <f t="shared" si="350"/>
        <v>4.3198756825700829E-3</v>
      </c>
      <c r="H343" s="3">
        <f t="shared" si="350"/>
        <v>4.3198756825697585E-3</v>
      </c>
      <c r="I343" s="3">
        <f t="shared" si="350"/>
        <v>4.3198756825665232E-3</v>
      </c>
      <c r="J343" s="3">
        <f t="shared" si="350"/>
        <v>4.3198756825341663E-3</v>
      </c>
      <c r="K343" s="3">
        <f t="shared" si="350"/>
        <v>4.3198756822105987E-3</v>
      </c>
      <c r="L343" s="3">
        <f t="shared" si="350"/>
        <v>4.3198756789749162E-3</v>
      </c>
      <c r="M343" s="3">
        <f t="shared" si="350"/>
        <v>4.3198756466180958E-3</v>
      </c>
      <c r="N343" s="3">
        <f t="shared" si="350"/>
        <v>4.3198753230499079E-3</v>
      </c>
      <c r="O343" s="3">
        <f t="shared" si="350"/>
        <v>4.3198720873693598E-3</v>
      </c>
      <c r="P343" s="3">
        <f t="shared" si="350"/>
        <v>4.3198397306971701E-3</v>
      </c>
      <c r="Q343" s="3">
        <f t="shared" si="350"/>
        <v>4.3195161773046577E-3</v>
      </c>
      <c r="R343" s="3">
        <f t="shared" si="350"/>
        <v>4.3162819759475606E-3</v>
      </c>
      <c r="S343" s="3">
        <f t="shared" si="350"/>
        <v>4.284072850612726E-3</v>
      </c>
      <c r="T343" s="3">
        <f t="shared" si="350"/>
        <v>3.9749093994738242E-3</v>
      </c>
      <c r="U343" s="3">
        <f t="shared" si="350"/>
        <v>1.8794514092743636E-3</v>
      </c>
      <c r="V343" s="3">
        <f t="shared" si="350"/>
        <v>1.0497110794372942E-6</v>
      </c>
      <c r="W343" s="3">
        <f t="shared" si="350"/>
        <v>3.1006773098622787E-39</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3.4800152588185828E-3</v>
      </c>
      <c r="C344" s="3">
        <f t="shared" si="351"/>
        <v>3.4800152588185828E-3</v>
      </c>
      <c r="D344" s="3">
        <f t="shared" si="351"/>
        <v>3.4800152588185828E-3</v>
      </c>
      <c r="E344" s="3">
        <f t="shared" si="351"/>
        <v>3.4800152588185828E-3</v>
      </c>
      <c r="F344" s="3">
        <f t="shared" si="351"/>
        <v>3.4800152588185824E-3</v>
      </c>
      <c r="G344" s="3">
        <f t="shared" si="351"/>
        <v>3.4800152588185802E-3</v>
      </c>
      <c r="H344" s="3">
        <f t="shared" si="351"/>
        <v>3.4800152588185564E-3</v>
      </c>
      <c r="I344" s="3">
        <f t="shared" si="351"/>
        <v>3.4800152588183217E-3</v>
      </c>
      <c r="J344" s="3">
        <f t="shared" si="351"/>
        <v>3.4800152588159703E-3</v>
      </c>
      <c r="K344" s="3">
        <f t="shared" si="351"/>
        <v>3.4800152587924566E-3</v>
      </c>
      <c r="L344" s="3">
        <f t="shared" si="351"/>
        <v>3.4800152585573187E-3</v>
      </c>
      <c r="M344" s="3">
        <f t="shared" si="351"/>
        <v>3.4800152562059414E-3</v>
      </c>
      <c r="N344" s="3">
        <f t="shared" si="351"/>
        <v>3.4800152326921684E-3</v>
      </c>
      <c r="O344" s="3">
        <f t="shared" si="351"/>
        <v>3.4800149975544445E-3</v>
      </c>
      <c r="P344" s="3">
        <f t="shared" si="351"/>
        <v>3.480012646178083E-3</v>
      </c>
      <c r="Q344" s="3">
        <f t="shared" si="351"/>
        <v>3.4799891325018517E-3</v>
      </c>
      <c r="R344" s="3">
        <f t="shared" si="351"/>
        <v>3.4797540044775809E-3</v>
      </c>
      <c r="S344" s="3">
        <f t="shared" si="351"/>
        <v>3.4774035978206701E-3</v>
      </c>
      <c r="T344" s="3">
        <f t="shared" si="351"/>
        <v>3.4539866718273468E-3</v>
      </c>
      <c r="U344" s="3">
        <f t="shared" si="351"/>
        <v>3.228317498014879E-3</v>
      </c>
      <c r="V344" s="3">
        <f t="shared" si="351"/>
        <v>1.6426009394813644E-3</v>
      </c>
      <c r="W344" s="3">
        <f t="shared" si="351"/>
        <v>1.9102505572184166E-6</v>
      </c>
      <c r="X344" s="3">
        <f t="shared" si="351"/>
        <v>8.6431692333766324E-36</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2.0367681547460849E-3</v>
      </c>
      <c r="C345" s="3">
        <f t="shared" si="352"/>
        <v>2.0367681547460849E-3</v>
      </c>
      <c r="D345" s="3">
        <f t="shared" si="352"/>
        <v>2.0367681547460849E-3</v>
      </c>
      <c r="E345" s="3">
        <f t="shared" si="352"/>
        <v>2.0367681547460849E-3</v>
      </c>
      <c r="F345" s="3">
        <f t="shared" si="352"/>
        <v>2.0367681547460849E-3</v>
      </c>
      <c r="G345" s="3">
        <f t="shared" si="352"/>
        <v>2.0367681547460844E-3</v>
      </c>
      <c r="H345" s="3">
        <f t="shared" si="352"/>
        <v>2.0367681547460836E-3</v>
      </c>
      <c r="I345" s="3">
        <f t="shared" si="352"/>
        <v>2.036768154746071E-3</v>
      </c>
      <c r="J345" s="3">
        <f t="shared" si="352"/>
        <v>2.036768154745947E-3</v>
      </c>
      <c r="K345" s="3">
        <f t="shared" si="352"/>
        <v>2.0367681547447053E-3</v>
      </c>
      <c r="L345" s="3">
        <f t="shared" si="352"/>
        <v>2.0367681547322908E-3</v>
      </c>
      <c r="M345" s="3">
        <f t="shared" si="352"/>
        <v>2.0367681546081462E-3</v>
      </c>
      <c r="N345" s="3">
        <f t="shared" si="352"/>
        <v>2.0367681533666956E-3</v>
      </c>
      <c r="O345" s="3">
        <f t="shared" si="352"/>
        <v>2.0367681409521918E-3</v>
      </c>
      <c r="P345" s="3">
        <f t="shared" si="352"/>
        <v>2.0367680168071585E-3</v>
      </c>
      <c r="Q345" s="3">
        <f t="shared" si="352"/>
        <v>2.03676677535724E-3</v>
      </c>
      <c r="R345" s="3">
        <f t="shared" si="352"/>
        <v>2.0367543608996747E-3</v>
      </c>
      <c r="S345" s="3">
        <f t="shared" si="352"/>
        <v>2.0366302204857015E-3</v>
      </c>
      <c r="T345" s="3">
        <f t="shared" si="352"/>
        <v>2.0353892324203792E-3</v>
      </c>
      <c r="U345" s="3">
        <f t="shared" si="352"/>
        <v>2.0230208655267769E-3</v>
      </c>
      <c r="V345" s="3">
        <f t="shared" si="352"/>
        <v>1.9033964565986924E-3</v>
      </c>
      <c r="W345" s="3">
        <f t="shared" si="352"/>
        <v>1.0347089366953425E-3</v>
      </c>
      <c r="X345" s="3">
        <f t="shared" si="352"/>
        <v>2.3318877228093694E-6</v>
      </c>
      <c r="Y345" s="3">
        <f t="shared" si="352"/>
        <v>7.8813750424293079E-33</v>
      </c>
      <c r="Z345" s="3">
        <f t="shared" si="352"/>
        <v>1.5330120839559424E-297</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1.2781847248259422E-3</v>
      </c>
      <c r="C346" s="3">
        <f t="shared" si="353"/>
        <v>1.2781847248259422E-3</v>
      </c>
      <c r="D346" s="3">
        <f t="shared" si="353"/>
        <v>1.2781847248259422E-3</v>
      </c>
      <c r="E346" s="3">
        <f t="shared" si="353"/>
        <v>1.2781847248259422E-3</v>
      </c>
      <c r="F346" s="3">
        <f t="shared" si="353"/>
        <v>1.2781847248259422E-3</v>
      </c>
      <c r="G346" s="3">
        <f t="shared" si="353"/>
        <v>1.2781847248259422E-3</v>
      </c>
      <c r="H346" s="3">
        <f t="shared" si="353"/>
        <v>1.278184724825942E-3</v>
      </c>
      <c r="I346" s="3">
        <f t="shared" si="353"/>
        <v>1.2781847248259414E-3</v>
      </c>
      <c r="J346" s="3">
        <f t="shared" si="353"/>
        <v>1.2781847248259344E-3</v>
      </c>
      <c r="K346" s="3">
        <f t="shared" si="353"/>
        <v>1.2781847248258642E-3</v>
      </c>
      <c r="L346" s="3">
        <f t="shared" si="353"/>
        <v>1.2781847248251614E-3</v>
      </c>
      <c r="M346" s="3">
        <f t="shared" si="353"/>
        <v>1.2781847248181334E-3</v>
      </c>
      <c r="N346" s="3">
        <f t="shared" si="353"/>
        <v>1.2781847247478541E-3</v>
      </c>
      <c r="O346" s="3">
        <f t="shared" si="353"/>
        <v>1.2781847240450602E-3</v>
      </c>
      <c r="P346" s="3">
        <f t="shared" si="353"/>
        <v>1.2781847170171212E-3</v>
      </c>
      <c r="Q346" s="3">
        <f t="shared" si="353"/>
        <v>1.2781846467377334E-3</v>
      </c>
      <c r="R346" s="3">
        <f t="shared" si="353"/>
        <v>1.2781839439440685E-3</v>
      </c>
      <c r="S346" s="3">
        <f t="shared" si="353"/>
        <v>1.2781769160286722E-3</v>
      </c>
      <c r="T346" s="3">
        <f t="shared" si="353"/>
        <v>1.2781066389999853E-3</v>
      </c>
      <c r="U346" s="3">
        <f t="shared" si="353"/>
        <v>1.2774040811974262E-3</v>
      </c>
      <c r="V346" s="3">
        <f t="shared" si="353"/>
        <v>1.2703997084386408E-3</v>
      </c>
      <c r="W346" s="3">
        <f t="shared" si="353"/>
        <v>1.2024339946941386E-3</v>
      </c>
      <c r="X346" s="3">
        <f t="shared" si="353"/>
        <v>6.9385680375864836E-4</v>
      </c>
      <c r="Y346" s="3">
        <f t="shared" si="353"/>
        <v>2.840245653845348E-6</v>
      </c>
      <c r="Z346" s="3">
        <f t="shared" si="353"/>
        <v>3.7515991722870647E-30</v>
      </c>
      <c r="AA346" s="3">
        <f t="shared" si="353"/>
        <v>6.0648729226822177E-269</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3.444457645749161E-4</v>
      </c>
      <c r="C347" s="3">
        <f t="shared" si="354"/>
        <v>3.444457645749161E-4</v>
      </c>
      <c r="D347" s="3">
        <f t="shared" si="354"/>
        <v>3.444457645749161E-4</v>
      </c>
      <c r="E347" s="3">
        <f t="shared" si="354"/>
        <v>3.444457645749161E-4</v>
      </c>
      <c r="F347" s="3">
        <f t="shared" si="354"/>
        <v>3.444457645749161E-4</v>
      </c>
      <c r="G347" s="3">
        <f t="shared" si="354"/>
        <v>3.444457645749161E-4</v>
      </c>
      <c r="H347" s="3">
        <f t="shared" si="354"/>
        <v>3.444457645749161E-4</v>
      </c>
      <c r="I347" s="3">
        <f t="shared" si="354"/>
        <v>3.444457645749161E-4</v>
      </c>
      <c r="J347" s="3">
        <f t="shared" si="354"/>
        <v>3.4444576457491588E-4</v>
      </c>
      <c r="K347" s="3">
        <f t="shared" si="354"/>
        <v>3.444457645749142E-4</v>
      </c>
      <c r="L347" s="3">
        <f t="shared" si="354"/>
        <v>3.4444576457489713E-4</v>
      </c>
      <c r="M347" s="3">
        <f t="shared" si="354"/>
        <v>3.4444576457472626E-4</v>
      </c>
      <c r="N347" s="3">
        <f t="shared" si="354"/>
        <v>3.4444576457301783E-4</v>
      </c>
      <c r="O347" s="3">
        <f t="shared" si="354"/>
        <v>3.4444576455593335E-4</v>
      </c>
      <c r="P347" s="3">
        <f t="shared" si="354"/>
        <v>3.4444576438508856E-4</v>
      </c>
      <c r="Q347" s="3">
        <f t="shared" si="354"/>
        <v>3.444457626766404E-4</v>
      </c>
      <c r="R347" s="3">
        <f t="shared" si="354"/>
        <v>3.4444574559215949E-4</v>
      </c>
      <c r="S347" s="3">
        <f t="shared" si="354"/>
        <v>3.4444557474739716E-4</v>
      </c>
      <c r="T347" s="3">
        <f t="shared" si="354"/>
        <v>3.4444386630443416E-4</v>
      </c>
      <c r="U347" s="3">
        <f t="shared" si="354"/>
        <v>3.4442678234085903E-4</v>
      </c>
      <c r="V347" s="3">
        <f t="shared" si="354"/>
        <v>3.4425598930199283E-4</v>
      </c>
      <c r="W347" s="3">
        <f t="shared" si="354"/>
        <v>3.425527100617494E-4</v>
      </c>
      <c r="X347" s="3">
        <f t="shared" si="354"/>
        <v>3.2597660879125727E-4</v>
      </c>
      <c r="Y347" s="3">
        <f t="shared" si="354"/>
        <v>1.9850741493873458E-4</v>
      </c>
      <c r="Z347" s="3">
        <f t="shared" si="354"/>
        <v>1.3921296973393333E-6</v>
      </c>
      <c r="AA347" s="3">
        <f t="shared" si="354"/>
        <v>4.0059852026837916E-28</v>
      </c>
      <c r="AB347" s="3">
        <f t="shared" si="354"/>
        <v>1.5595732146584746E-243</v>
      </c>
      <c r="AC347" s="3">
        <f t="shared" si="354"/>
        <v>0</v>
      </c>
      <c r="AD347" s="3">
        <f t="shared" si="354"/>
        <v>0</v>
      </c>
      <c r="AE347" s="3">
        <f t="shared" si="354"/>
        <v>0</v>
      </c>
      <c r="AF347" s="3">
        <f t="shared" si="354"/>
        <v>0</v>
      </c>
      <c r="AG347" s="3"/>
      <c r="AH347" s="3"/>
    </row>
    <row r="348" spans="2:34" x14ac:dyDescent="0.25">
      <c r="B348" s="3">
        <f t="shared" ref="B348:AF348" si="355">$C39*EXP(-B$363/$A39/EXP(-$G$126))</f>
        <v>6.1014336776090067E-4</v>
      </c>
      <c r="C348" s="3">
        <f t="shared" si="355"/>
        <v>6.1014336776090067E-4</v>
      </c>
      <c r="D348" s="3">
        <f t="shared" si="355"/>
        <v>6.1014336776090067E-4</v>
      </c>
      <c r="E348" s="3">
        <f t="shared" si="355"/>
        <v>6.1014336776090067E-4</v>
      </c>
      <c r="F348" s="3">
        <f t="shared" si="355"/>
        <v>6.1014336776090067E-4</v>
      </c>
      <c r="G348" s="3">
        <f t="shared" si="355"/>
        <v>6.1014336776090067E-4</v>
      </c>
      <c r="H348" s="3">
        <f t="shared" si="355"/>
        <v>6.1014336776090067E-4</v>
      </c>
      <c r="I348" s="3">
        <f t="shared" si="355"/>
        <v>6.1014336776090067E-4</v>
      </c>
      <c r="J348" s="3">
        <f t="shared" si="355"/>
        <v>6.1014336776090057E-4</v>
      </c>
      <c r="K348" s="3">
        <f t="shared" si="355"/>
        <v>6.101433677608997E-4</v>
      </c>
      <c r="L348" s="3">
        <f t="shared" si="355"/>
        <v>6.1014336776089135E-4</v>
      </c>
      <c r="M348" s="3">
        <f t="shared" si="355"/>
        <v>6.1014336776080765E-4</v>
      </c>
      <c r="N348" s="3">
        <f t="shared" si="355"/>
        <v>6.1014336775997065E-4</v>
      </c>
      <c r="O348" s="3">
        <f t="shared" si="355"/>
        <v>6.101433677516006E-4</v>
      </c>
      <c r="P348" s="3">
        <f t="shared" si="355"/>
        <v>6.1014336766790063E-4</v>
      </c>
      <c r="Q348" s="3">
        <f t="shared" si="355"/>
        <v>6.1014336683090013E-4</v>
      </c>
      <c r="R348" s="3">
        <f t="shared" si="355"/>
        <v>6.1014335846089536E-4</v>
      </c>
      <c r="S348" s="3">
        <f t="shared" si="355"/>
        <v>6.101432747608541E-4</v>
      </c>
      <c r="T348" s="3">
        <f t="shared" si="355"/>
        <v>6.101424377610732E-4</v>
      </c>
      <c r="U348" s="3">
        <f t="shared" si="355"/>
        <v>6.1013406782641443E-4</v>
      </c>
      <c r="V348" s="3">
        <f t="shared" si="355"/>
        <v>6.1005037479459922E-4</v>
      </c>
      <c r="W348" s="3">
        <f t="shared" si="355"/>
        <v>6.0921407563331099E-4</v>
      </c>
      <c r="X348" s="3">
        <f t="shared" si="355"/>
        <v>6.0091388052292943E-4</v>
      </c>
      <c r="Y348" s="3">
        <f t="shared" si="355"/>
        <v>5.2388420562496775E-4</v>
      </c>
      <c r="Z348" s="3">
        <f t="shared" si="355"/>
        <v>1.3288195193788093E-4</v>
      </c>
      <c r="AA348" s="3">
        <f t="shared" si="355"/>
        <v>1.4647818019295917E-10</v>
      </c>
      <c r="AB348" s="3">
        <f t="shared" si="355"/>
        <v>3.8800945076437175E-70</v>
      </c>
      <c r="AC348" s="3">
        <f t="shared" si="355"/>
        <v>0</v>
      </c>
      <c r="AD348" s="3">
        <f t="shared" si="355"/>
        <v>0</v>
      </c>
      <c r="AE348" s="3">
        <f t="shared" si="355"/>
        <v>0</v>
      </c>
      <c r="AF348" s="3">
        <f t="shared" si="355"/>
        <v>0</v>
      </c>
      <c r="AG348" s="3"/>
      <c r="AH348" s="3"/>
    </row>
    <row r="349" spans="2:34" x14ac:dyDescent="0.25">
      <c r="B349" s="3">
        <f t="shared" ref="B349:AF349" si="356">$C40*EXP(-B$363/$A40/EXP(-$G$126))</f>
        <v>2.2250933466635417E-4</v>
      </c>
      <c r="C349" s="3">
        <f t="shared" si="356"/>
        <v>2.2250933466635417E-4</v>
      </c>
      <c r="D349" s="3">
        <f t="shared" si="356"/>
        <v>2.2250933466635417E-4</v>
      </c>
      <c r="E349" s="3">
        <f t="shared" si="356"/>
        <v>2.2250933466635417E-4</v>
      </c>
      <c r="F349" s="3">
        <f t="shared" si="356"/>
        <v>2.2250933466635417E-4</v>
      </c>
      <c r="G349" s="3">
        <f t="shared" si="356"/>
        <v>2.2250933466635417E-4</v>
      </c>
      <c r="H349" s="3">
        <f t="shared" si="356"/>
        <v>2.2250933466635417E-4</v>
      </c>
      <c r="I349" s="3">
        <f t="shared" si="356"/>
        <v>2.2250933466635417E-4</v>
      </c>
      <c r="J349" s="3">
        <f t="shared" si="356"/>
        <v>2.2250933466635417E-4</v>
      </c>
      <c r="K349" s="3">
        <f t="shared" si="356"/>
        <v>2.2250933466635414E-4</v>
      </c>
      <c r="L349" s="3">
        <f t="shared" si="356"/>
        <v>2.2250933466635381E-4</v>
      </c>
      <c r="M349" s="3">
        <f t="shared" si="356"/>
        <v>2.2250933466635078E-4</v>
      </c>
      <c r="N349" s="3">
        <f t="shared" si="356"/>
        <v>2.2250933466632026E-4</v>
      </c>
      <c r="O349" s="3">
        <f t="shared" si="356"/>
        <v>2.22509334666015E-4</v>
      </c>
      <c r="P349" s="3">
        <f t="shared" si="356"/>
        <v>2.2250933466296259E-4</v>
      </c>
      <c r="Q349" s="3">
        <f t="shared" si="356"/>
        <v>2.2250933463243856E-4</v>
      </c>
      <c r="R349" s="3">
        <f t="shared" si="356"/>
        <v>2.2250933432719814E-4</v>
      </c>
      <c r="S349" s="3">
        <f t="shared" si="356"/>
        <v>2.2250933127479391E-4</v>
      </c>
      <c r="T349" s="3">
        <f t="shared" si="356"/>
        <v>2.2250930075075405E-4</v>
      </c>
      <c r="U349" s="3">
        <f t="shared" si="356"/>
        <v>2.2250899551058554E-4</v>
      </c>
      <c r="V349" s="3">
        <f t="shared" si="356"/>
        <v>2.2250594313193075E-4</v>
      </c>
      <c r="W349" s="3">
        <f t="shared" si="356"/>
        <v>2.2247542164827725E-4</v>
      </c>
      <c r="X349" s="3">
        <f t="shared" si="356"/>
        <v>2.2217043698435611E-4</v>
      </c>
      <c r="Y349" s="3">
        <f t="shared" si="356"/>
        <v>2.1914349120538359E-4</v>
      </c>
      <c r="Z349" s="3">
        <f t="shared" si="356"/>
        <v>1.9105202513895628E-4</v>
      </c>
      <c r="AA349" s="3">
        <f t="shared" si="356"/>
        <v>4.8459880541471468E-5</v>
      </c>
      <c r="AB349" s="3">
        <f t="shared" si="356"/>
        <v>5.3418203228992465E-11</v>
      </c>
      <c r="AC349" s="3">
        <f t="shared" si="356"/>
        <v>1.4150071818476373E-70</v>
      </c>
      <c r="AD349" s="3">
        <f t="shared" si="356"/>
        <v>0</v>
      </c>
      <c r="AE349" s="3">
        <f t="shared" si="356"/>
        <v>0</v>
      </c>
      <c r="AF349" s="3">
        <f t="shared" si="356"/>
        <v>0</v>
      </c>
      <c r="AG349" s="3"/>
      <c r="AH349" s="3"/>
    </row>
    <row r="350" spans="2:34" x14ac:dyDescent="0.25">
      <c r="B350" s="3">
        <f t="shared" ref="B350:AF350" si="357">$C41*EXP(-B$363/$A41/EXP(-$G$126))</f>
        <v>3.0514987252664002E-4</v>
      </c>
      <c r="C350" s="3">
        <f t="shared" si="357"/>
        <v>3.0514987252664002E-4</v>
      </c>
      <c r="D350" s="3">
        <f t="shared" si="357"/>
        <v>3.0514987252664002E-4</v>
      </c>
      <c r="E350" s="3">
        <f t="shared" si="357"/>
        <v>3.0514987252664002E-4</v>
      </c>
      <c r="F350" s="3">
        <f t="shared" si="357"/>
        <v>3.0514987252664002E-4</v>
      </c>
      <c r="G350" s="3">
        <f t="shared" si="357"/>
        <v>3.0514987252664002E-4</v>
      </c>
      <c r="H350" s="3">
        <f t="shared" si="357"/>
        <v>3.0514987252664002E-4</v>
      </c>
      <c r="I350" s="3">
        <f t="shared" si="357"/>
        <v>3.0514987252664002E-4</v>
      </c>
      <c r="J350" s="3">
        <f t="shared" si="357"/>
        <v>3.0514987252664002E-4</v>
      </c>
      <c r="K350" s="3">
        <f t="shared" si="357"/>
        <v>3.0514987252664002E-4</v>
      </c>
      <c r="L350" s="3">
        <f t="shared" si="357"/>
        <v>3.0514987252663997E-4</v>
      </c>
      <c r="M350" s="3">
        <f t="shared" si="357"/>
        <v>3.0514987252663954E-4</v>
      </c>
      <c r="N350" s="3">
        <f t="shared" si="357"/>
        <v>3.0514987252663536E-4</v>
      </c>
      <c r="O350" s="3">
        <f t="shared" si="357"/>
        <v>3.0514987252659351E-4</v>
      </c>
      <c r="P350" s="3">
        <f t="shared" si="357"/>
        <v>3.051498725261749E-4</v>
      </c>
      <c r="Q350" s="3">
        <f t="shared" si="357"/>
        <v>3.051498725219888E-4</v>
      </c>
      <c r="R350" s="3">
        <f t="shared" si="357"/>
        <v>3.0514987248012808E-4</v>
      </c>
      <c r="S350" s="3">
        <f t="shared" si="357"/>
        <v>3.0514987206152055E-4</v>
      </c>
      <c r="T350" s="3">
        <f t="shared" si="357"/>
        <v>3.0514986787544561E-4</v>
      </c>
      <c r="U350" s="3">
        <f t="shared" si="357"/>
        <v>3.0514982601469897E-4</v>
      </c>
      <c r="V350" s="3">
        <f t="shared" si="357"/>
        <v>3.0514940740754867E-4</v>
      </c>
      <c r="W350" s="3">
        <f t="shared" si="357"/>
        <v>3.0514522136762897E-4</v>
      </c>
      <c r="X350" s="3">
        <f t="shared" si="357"/>
        <v>3.051033641266276E-4</v>
      </c>
      <c r="Y350" s="3">
        <f t="shared" si="357"/>
        <v>3.046851073759269E-4</v>
      </c>
      <c r="Z350" s="3">
        <f t="shared" si="357"/>
        <v>3.0053394616741613E-4</v>
      </c>
      <c r="AA350" s="3">
        <f t="shared" si="357"/>
        <v>2.6200923752042683E-4</v>
      </c>
      <c r="AB350" s="3">
        <f t="shared" si="357"/>
        <v>6.6458004523988436E-5</v>
      </c>
      <c r="AC350" s="3">
        <f t="shared" si="357"/>
        <v>7.3257860980850007E-11</v>
      </c>
      <c r="AD350" s="3">
        <f t="shared" si="357"/>
        <v>1.9405444801340187E-70</v>
      </c>
      <c r="AE350" s="3">
        <f t="shared" si="357"/>
        <v>0</v>
      </c>
      <c r="AF350" s="3">
        <f t="shared" si="357"/>
        <v>0</v>
      </c>
      <c r="AG350" s="3"/>
      <c r="AH350" s="3"/>
    </row>
    <row r="351" spans="2:34" x14ac:dyDescent="0.25">
      <c r="B351" s="3">
        <f t="shared" ref="B351:AF351" si="358">$C42*EXP(-B$363/$A42/EXP(-$G$126))</f>
        <v>0</v>
      </c>
      <c r="C351" s="3">
        <f t="shared" si="358"/>
        <v>0</v>
      </c>
      <c r="D351" s="3">
        <f t="shared" si="358"/>
        <v>0</v>
      </c>
      <c r="E351" s="3">
        <f t="shared" si="358"/>
        <v>0</v>
      </c>
      <c r="F351" s="3">
        <f t="shared" si="358"/>
        <v>0</v>
      </c>
      <c r="G351" s="3">
        <f t="shared" si="358"/>
        <v>0</v>
      </c>
      <c r="H351" s="3">
        <f t="shared" si="358"/>
        <v>0</v>
      </c>
      <c r="I351" s="3">
        <f t="shared" si="358"/>
        <v>0</v>
      </c>
      <c r="J351" s="3">
        <f t="shared" si="358"/>
        <v>0</v>
      </c>
      <c r="K351" s="3">
        <f t="shared" si="358"/>
        <v>0</v>
      </c>
      <c r="L351" s="3">
        <f t="shared" si="358"/>
        <v>0</v>
      </c>
      <c r="M351" s="3">
        <f t="shared" si="358"/>
        <v>0</v>
      </c>
      <c r="N351" s="3">
        <f t="shared" si="358"/>
        <v>0</v>
      </c>
      <c r="O351" s="3">
        <f t="shared" si="358"/>
        <v>0</v>
      </c>
      <c r="P351" s="3">
        <f t="shared" si="358"/>
        <v>0</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6.2164799219330605E-5</v>
      </c>
      <c r="C352" s="3">
        <f t="shared" si="359"/>
        <v>6.2164799219330605E-5</v>
      </c>
      <c r="D352" s="3">
        <f t="shared" si="359"/>
        <v>6.2164799219330605E-5</v>
      </c>
      <c r="E352" s="3">
        <f t="shared" si="359"/>
        <v>6.2164799219330605E-5</v>
      </c>
      <c r="F352" s="3">
        <f t="shared" si="359"/>
        <v>6.2164799219330605E-5</v>
      </c>
      <c r="G352" s="3">
        <f t="shared" si="359"/>
        <v>6.2164799219330605E-5</v>
      </c>
      <c r="H352" s="3">
        <f t="shared" si="359"/>
        <v>6.2164799219330605E-5</v>
      </c>
      <c r="I352" s="3">
        <f t="shared" si="359"/>
        <v>6.2164799219330605E-5</v>
      </c>
      <c r="J352" s="3">
        <f t="shared" si="359"/>
        <v>6.2164799219330605E-5</v>
      </c>
      <c r="K352" s="3">
        <f t="shared" si="359"/>
        <v>6.2164799219330605E-5</v>
      </c>
      <c r="L352" s="3">
        <f t="shared" si="359"/>
        <v>6.2164799219330605E-5</v>
      </c>
      <c r="M352" s="3">
        <f t="shared" si="359"/>
        <v>6.2164799219330605E-5</v>
      </c>
      <c r="N352" s="3">
        <f t="shared" si="359"/>
        <v>6.2164799219330592E-5</v>
      </c>
      <c r="O352" s="3">
        <f t="shared" si="359"/>
        <v>6.216479921933051E-5</v>
      </c>
      <c r="P352" s="3">
        <f t="shared" si="359"/>
        <v>6.2164799219329656E-5</v>
      </c>
      <c r="Q352" s="3">
        <f t="shared" si="359"/>
        <v>6.2164799219321132E-5</v>
      </c>
      <c r="R352" s="3">
        <f t="shared" si="359"/>
        <v>6.2164799219235846E-5</v>
      </c>
      <c r="S352" s="3">
        <f t="shared" si="359"/>
        <v>6.2164799218383067E-5</v>
      </c>
      <c r="T352" s="3">
        <f t="shared" si="359"/>
        <v>6.2164799209855247E-5</v>
      </c>
      <c r="U352" s="3">
        <f t="shared" si="359"/>
        <v>6.2164799124576973E-5</v>
      </c>
      <c r="V352" s="3">
        <f t="shared" si="359"/>
        <v>6.2164798271794353E-5</v>
      </c>
      <c r="W352" s="3">
        <f t="shared" si="359"/>
        <v>6.2164789743968704E-5</v>
      </c>
      <c r="X352" s="3">
        <f t="shared" si="359"/>
        <v>6.2164704465776589E-5</v>
      </c>
      <c r="Y352" s="3">
        <f t="shared" si="359"/>
        <v>6.2163851690289658E-5</v>
      </c>
      <c r="Z352" s="3">
        <f t="shared" si="359"/>
        <v>6.2155324578804471E-5</v>
      </c>
      <c r="AA352" s="3">
        <f t="shared" si="359"/>
        <v>6.2070117769723573E-5</v>
      </c>
      <c r="AB352" s="3">
        <f t="shared" si="359"/>
        <v>6.1224447735790929E-5</v>
      </c>
      <c r="AC352" s="3">
        <f t="shared" si="359"/>
        <v>5.3376236107210875E-5</v>
      </c>
      <c r="AD352" s="3">
        <f t="shared" si="359"/>
        <v>1.3538752199185117E-5</v>
      </c>
      <c r="AE352" s="3">
        <f t="shared" si="359"/>
        <v>1.4924011540311549E-11</v>
      </c>
      <c r="AF352" s="3">
        <f t="shared" si="359"/>
        <v>3.9532560503750524E-71</v>
      </c>
      <c r="AG352" s="3"/>
      <c r="AH352" s="3"/>
    </row>
    <row r="353" spans="1:34" x14ac:dyDescent="0.25">
      <c r="B353" s="3">
        <f t="shared" ref="B353:AF353" si="360">$C44*EXP(-B$363/$A44/EXP(-$G$126))</f>
        <v>1.589018825978126E-4</v>
      </c>
      <c r="C353" s="3">
        <f t="shared" si="360"/>
        <v>1.589018825978126E-4</v>
      </c>
      <c r="D353" s="3">
        <f t="shared" si="360"/>
        <v>1.589018825978126E-4</v>
      </c>
      <c r="E353" s="3">
        <f t="shared" si="360"/>
        <v>1.589018825978126E-4</v>
      </c>
      <c r="F353" s="3">
        <f t="shared" si="360"/>
        <v>1.589018825978126E-4</v>
      </c>
      <c r="G353" s="3">
        <f t="shared" si="360"/>
        <v>1.589018825978126E-4</v>
      </c>
      <c r="H353" s="3">
        <f t="shared" si="360"/>
        <v>1.589018825978126E-4</v>
      </c>
      <c r="I353" s="3">
        <f t="shared" si="360"/>
        <v>1.589018825978126E-4</v>
      </c>
      <c r="J353" s="3">
        <f t="shared" si="360"/>
        <v>1.589018825978126E-4</v>
      </c>
      <c r="K353" s="3">
        <f t="shared" si="360"/>
        <v>1.589018825978126E-4</v>
      </c>
      <c r="L353" s="3">
        <f t="shared" si="360"/>
        <v>1.589018825978126E-4</v>
      </c>
      <c r="M353" s="3">
        <f t="shared" si="360"/>
        <v>1.589018825978126E-4</v>
      </c>
      <c r="N353" s="3">
        <f t="shared" si="360"/>
        <v>1.589018825978126E-4</v>
      </c>
      <c r="O353" s="3">
        <f t="shared" si="360"/>
        <v>1.5890188259781257E-4</v>
      </c>
      <c r="P353" s="3">
        <f t="shared" si="360"/>
        <v>1.5890188259781236E-4</v>
      </c>
      <c r="Q353" s="3">
        <f t="shared" si="360"/>
        <v>1.5890188259781019E-4</v>
      </c>
      <c r="R353" s="3">
        <f t="shared" si="360"/>
        <v>1.5890188259778837E-4</v>
      </c>
      <c r="S353" s="3">
        <f t="shared" si="360"/>
        <v>1.5890188259757039E-4</v>
      </c>
      <c r="T353" s="3">
        <f t="shared" si="360"/>
        <v>1.5890188259539055E-4</v>
      </c>
      <c r="U353" s="3">
        <f t="shared" si="360"/>
        <v>1.5890188257359225E-4</v>
      </c>
      <c r="V353" s="3">
        <f t="shared" si="360"/>
        <v>1.5890188235560913E-4</v>
      </c>
      <c r="W353" s="3">
        <f t="shared" si="360"/>
        <v>1.5890188017577799E-4</v>
      </c>
      <c r="X353" s="3">
        <f t="shared" si="360"/>
        <v>1.5890185837746823E-4</v>
      </c>
      <c r="Y353" s="3">
        <f t="shared" si="360"/>
        <v>1.5890164039453512E-4</v>
      </c>
      <c r="Z353" s="3">
        <f t="shared" si="360"/>
        <v>1.5889946058165051E-4</v>
      </c>
      <c r="AA353" s="3">
        <f t="shared" si="360"/>
        <v>1.5887766409738394E-4</v>
      </c>
      <c r="AB353" s="3">
        <f t="shared" si="360"/>
        <v>1.5865986362922292E-4</v>
      </c>
      <c r="AC353" s="3">
        <f t="shared" si="360"/>
        <v>1.5649821327185046E-4</v>
      </c>
      <c r="AD353" s="3">
        <f t="shared" si="360"/>
        <v>1.3643709156843439E-4</v>
      </c>
      <c r="AE353" s="3">
        <f t="shared" si="360"/>
        <v>3.4606935749690604E-5</v>
      </c>
      <c r="AF353" s="3">
        <f t="shared" si="360"/>
        <v>3.8147851508375264E-11</v>
      </c>
      <c r="AG353" s="3"/>
      <c r="AH353" s="3"/>
    </row>
    <row r="354" spans="1:34" x14ac:dyDescent="0.25">
      <c r="B354" s="3">
        <f t="shared" ref="B354:AF354" si="361">$C45*EXP(-B$363/$A45/EXP(-$G$126))</f>
        <v>0</v>
      </c>
      <c r="C354" s="3">
        <f t="shared" si="361"/>
        <v>0</v>
      </c>
      <c r="D354" s="3">
        <f t="shared" si="361"/>
        <v>0</v>
      </c>
      <c r="E354" s="3">
        <f t="shared" si="361"/>
        <v>0</v>
      </c>
      <c r="F354" s="3">
        <f t="shared" si="361"/>
        <v>0</v>
      </c>
      <c r="G354" s="3">
        <f t="shared" si="361"/>
        <v>0</v>
      </c>
      <c r="H354" s="3">
        <f t="shared" si="361"/>
        <v>0</v>
      </c>
      <c r="I354" s="3">
        <f t="shared" si="361"/>
        <v>0</v>
      </c>
      <c r="J354" s="3">
        <f t="shared" si="361"/>
        <v>0</v>
      </c>
      <c r="K354" s="3">
        <f t="shared" si="361"/>
        <v>0</v>
      </c>
      <c r="L354" s="3">
        <f t="shared" si="361"/>
        <v>0</v>
      </c>
      <c r="M354" s="3">
        <f t="shared" si="361"/>
        <v>0</v>
      </c>
      <c r="N354" s="3">
        <f t="shared" si="361"/>
        <v>0</v>
      </c>
      <c r="O354" s="3">
        <f t="shared" si="361"/>
        <v>0</v>
      </c>
      <c r="P354" s="3">
        <f t="shared" si="361"/>
        <v>0</v>
      </c>
      <c r="Q354" s="3">
        <f t="shared" si="361"/>
        <v>0</v>
      </c>
      <c r="R354" s="3">
        <f t="shared" si="361"/>
        <v>0</v>
      </c>
      <c r="S354" s="3">
        <f t="shared" si="361"/>
        <v>0</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7.8909905102376337E-4</v>
      </c>
      <c r="C357" s="3">
        <f t="shared" si="364"/>
        <v>7.8909905102376337E-4</v>
      </c>
      <c r="D357" s="3">
        <f t="shared" si="364"/>
        <v>7.8909905102376337E-4</v>
      </c>
      <c r="E357" s="3">
        <f t="shared" si="364"/>
        <v>7.8909905102376337E-4</v>
      </c>
      <c r="F357" s="3">
        <f t="shared" si="364"/>
        <v>7.8909905102376337E-4</v>
      </c>
      <c r="G357" s="3">
        <f t="shared" si="364"/>
        <v>7.8909905102376337E-4</v>
      </c>
      <c r="H357" s="3">
        <f t="shared" si="364"/>
        <v>7.8909905102376337E-4</v>
      </c>
      <c r="I357" s="3">
        <f t="shared" si="364"/>
        <v>7.8909905102376337E-4</v>
      </c>
      <c r="J357" s="3">
        <f t="shared" si="364"/>
        <v>7.8909905102376337E-4</v>
      </c>
      <c r="K357" s="3">
        <f t="shared" si="364"/>
        <v>7.8909905102376337E-4</v>
      </c>
      <c r="L357" s="3">
        <f t="shared" si="364"/>
        <v>7.8909905102376337E-4</v>
      </c>
      <c r="M357" s="3">
        <f t="shared" si="364"/>
        <v>7.8909905102376337E-4</v>
      </c>
      <c r="N357" s="3">
        <f t="shared" si="364"/>
        <v>7.8909905102376337E-4</v>
      </c>
      <c r="O357" s="3">
        <f t="shared" si="364"/>
        <v>7.8909905102376337E-4</v>
      </c>
      <c r="P357" s="3">
        <f t="shared" si="364"/>
        <v>7.8909905102376337E-4</v>
      </c>
      <c r="Q357" s="3">
        <f t="shared" si="364"/>
        <v>7.8909905102376337E-4</v>
      </c>
      <c r="R357" s="3">
        <f t="shared" si="364"/>
        <v>7.8909905102376337E-4</v>
      </c>
      <c r="S357" s="3">
        <f t="shared" si="364"/>
        <v>7.8909905102376326E-4</v>
      </c>
      <c r="T357" s="3">
        <f t="shared" si="364"/>
        <v>7.8909905102376218E-4</v>
      </c>
      <c r="U357" s="3">
        <f t="shared" si="364"/>
        <v>7.8909905102375133E-4</v>
      </c>
      <c r="V357" s="3">
        <f t="shared" si="364"/>
        <v>7.8909905102364313E-4</v>
      </c>
      <c r="W357" s="3">
        <f t="shared" si="364"/>
        <v>7.8909905102256055E-4</v>
      </c>
      <c r="X357" s="3">
        <f t="shared" si="364"/>
        <v>7.8909905101173566E-4</v>
      </c>
      <c r="Y357" s="3">
        <f t="shared" si="364"/>
        <v>7.8909905090348632E-4</v>
      </c>
      <c r="Z357" s="3">
        <f t="shared" si="364"/>
        <v>7.8909904982099263E-4</v>
      </c>
      <c r="AA357" s="3">
        <f t="shared" si="364"/>
        <v>7.8909903899605685E-4</v>
      </c>
      <c r="AB357" s="3">
        <f t="shared" si="364"/>
        <v>7.8909893074670661E-4</v>
      </c>
      <c r="AC357" s="3">
        <f t="shared" si="364"/>
        <v>7.8909784825402084E-4</v>
      </c>
      <c r="AD357" s="3">
        <f t="shared" si="364"/>
        <v>7.8908702340883634E-4</v>
      </c>
      <c r="AE357" s="3">
        <f t="shared" si="364"/>
        <v>7.8897878312389317E-4</v>
      </c>
      <c r="AF357" s="3">
        <f t="shared" si="364"/>
        <v>7.8789719655028784E-4</v>
      </c>
      <c r="AG357" s="3"/>
      <c r="AH357" s="3"/>
    </row>
    <row r="358" spans="1:34" x14ac:dyDescent="0.25">
      <c r="A358" s="79">
        <f>AVERAGE(B358:AF358)</f>
        <v>2.5486383432253085E-2</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3.5273772335494193E-3</v>
      </c>
      <c r="M358" s="80">
        <f t="shared" si="365"/>
        <v>3.0919243495301971E-3</v>
      </c>
      <c r="N358" s="80">
        <f t="shared" si="365"/>
        <v>7.1675850076147966E-3</v>
      </c>
      <c r="O358" s="80">
        <f t="shared" si="365"/>
        <v>1.2562164895690607E-2</v>
      </c>
      <c r="P358" s="80">
        <f t="shared" si="365"/>
        <v>1.7048111139125105E-2</v>
      </c>
      <c r="Q358" s="80">
        <f t="shared" si="365"/>
        <v>2.8167449946726882E-2</v>
      </c>
      <c r="R358" s="80">
        <f t="shared" si="365"/>
        <v>1.9333734294879484E-2</v>
      </c>
      <c r="S358" s="80">
        <f t="shared" si="365"/>
        <v>7.8291230093655684E-2</v>
      </c>
      <c r="T358" s="80">
        <f t="shared" si="365"/>
        <v>0.182538118149221</v>
      </c>
      <c r="U358" s="80">
        <f t="shared" si="365"/>
        <v>0.2426323125599269</v>
      </c>
      <c r="V358" s="80">
        <f t="shared" si="365"/>
        <v>0.19571787872992563</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247094.53080836887</v>
      </c>
      <c r="C359" s="21">
        <f t="shared" ref="C359:AF359" si="366">(C326-C325)^2</f>
        <v>61379.709182134378</v>
      </c>
      <c r="D359" s="21">
        <f t="shared" si="366"/>
        <v>956.79667071310485</v>
      </c>
      <c r="E359" s="21">
        <f t="shared" si="366"/>
        <v>5744.1281302514917</v>
      </c>
      <c r="F359" s="21">
        <f t="shared" si="366"/>
        <v>5471.0677390711226</v>
      </c>
      <c r="G359" s="21">
        <f t="shared" si="366"/>
        <v>545.43447151144915</v>
      </c>
      <c r="H359" s="21">
        <f t="shared" si="366"/>
        <v>1344.0776539089961</v>
      </c>
      <c r="I359" s="21">
        <f t="shared" si="366"/>
        <v>611.33289683380644</v>
      </c>
      <c r="J359" s="21">
        <f t="shared" si="366"/>
        <v>590.7545983248358</v>
      </c>
      <c r="K359" s="21">
        <f t="shared" si="366"/>
        <v>388.23628718615669</v>
      </c>
      <c r="L359" s="21">
        <f t="shared" si="366"/>
        <v>90.900952676467824</v>
      </c>
      <c r="M359" s="21">
        <f t="shared" si="366"/>
        <v>32.090808075312871</v>
      </c>
      <c r="N359" s="21">
        <f t="shared" si="366"/>
        <v>62.745152835280614</v>
      </c>
      <c r="O359" s="21">
        <f t="shared" si="366"/>
        <v>62.816794379049362</v>
      </c>
      <c r="P359" s="21">
        <f t="shared" si="366"/>
        <v>36.480763565908354</v>
      </c>
      <c r="Q359" s="21">
        <f t="shared" si="366"/>
        <v>48.885594525828523</v>
      </c>
      <c r="R359" s="21">
        <f t="shared" si="366"/>
        <v>17.210313810650486</v>
      </c>
      <c r="S359" s="21">
        <f t="shared" si="366"/>
        <v>211.43225260690224</v>
      </c>
      <c r="T359" s="21">
        <f t="shared" si="366"/>
        <v>832.8218298786793</v>
      </c>
      <c r="U359" s="21">
        <f t="shared" si="366"/>
        <v>1032.9837263391257</v>
      </c>
      <c r="V359" s="21">
        <f t="shared" si="366"/>
        <v>512.27713951846226</v>
      </c>
      <c r="W359" s="21">
        <f t="shared" si="366"/>
        <v>186.3980584074308</v>
      </c>
      <c r="X359" s="21">
        <f t="shared" si="366"/>
        <v>65.472840503098809</v>
      </c>
      <c r="Y359" s="21">
        <f t="shared" si="366"/>
        <v>25.927100065866288</v>
      </c>
      <c r="Z359" s="21">
        <f t="shared" si="366"/>
        <v>7.9617450620181609</v>
      </c>
      <c r="AA359" s="21">
        <f t="shared" si="366"/>
        <v>3.961712394260823</v>
      </c>
      <c r="AB359" s="21">
        <f t="shared" si="366"/>
        <v>0.20104693689740544</v>
      </c>
      <c r="AC359" s="21">
        <f t="shared" si="366"/>
        <v>0.86129561885201777</v>
      </c>
      <c r="AD359" s="21">
        <f t="shared" si="366"/>
        <v>0.47397639056347823</v>
      </c>
      <c r="AE359" s="21">
        <f t="shared" si="366"/>
        <v>0.19208115094242414</v>
      </c>
      <c r="AF359" s="21">
        <f t="shared" si="366"/>
        <v>0.16860180468366576</v>
      </c>
      <c r="AG359" s="3"/>
      <c r="AH359" s="3"/>
    </row>
    <row r="360" spans="1:34" x14ac:dyDescent="0.25">
      <c r="A360" s="71">
        <f>SUM(B360:AF360)</f>
        <v>2940.6453282116677</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90.900952676467824</v>
      </c>
      <c r="M360" s="60">
        <f t="shared" si="367"/>
        <v>32.090808075312871</v>
      </c>
      <c r="N360" s="60">
        <f t="shared" si="367"/>
        <v>62.745152835280614</v>
      </c>
      <c r="O360" s="60">
        <f t="shared" si="367"/>
        <v>62.816794379049362</v>
      </c>
      <c r="P360" s="60">
        <f t="shared" si="367"/>
        <v>36.480763565908354</v>
      </c>
      <c r="Q360" s="60">
        <f t="shared" si="367"/>
        <v>48.885594525828523</v>
      </c>
      <c r="R360" s="60">
        <f t="shared" si="367"/>
        <v>17.210313810650486</v>
      </c>
      <c r="S360" s="60">
        <f t="shared" si="367"/>
        <v>211.43225260690224</v>
      </c>
      <c r="T360" s="60">
        <f t="shared" si="367"/>
        <v>832.8218298786793</v>
      </c>
      <c r="U360" s="60">
        <f t="shared" si="367"/>
        <v>1032.9837263391257</v>
      </c>
      <c r="V360" s="60">
        <f t="shared" si="367"/>
        <v>512.27713951846226</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6163.9172848230364</v>
      </c>
      <c r="C364" s="26">
        <f>INDEX(Comparison!$AM$3:$AS$33,G$14,$H$122)</f>
        <v>5842.0148400129501</v>
      </c>
      <c r="D364" s="26">
        <f>INDEX(Comparison!$AM$3:$AS$33,H$14,$H$122)</f>
        <v>5557.579467209528</v>
      </c>
      <c r="E364" s="26">
        <f>INDEX(Comparison!$AM$3:$AS$33,I$14,$H$122)</f>
        <v>5275.4812921063285</v>
      </c>
      <c r="F364" s="26">
        <f>INDEX(Comparison!$AM$3:$AS$33,J$14,$H$122)</f>
        <v>4966.4021193857116</v>
      </c>
      <c r="G364" s="26">
        <f>INDEX(Comparison!$AM$3:$AS$33,K$14,$H$122)</f>
        <v>4621.0156652325422</v>
      </c>
      <c r="H364" s="26">
        <f>INDEX(Comparison!$AM$3:$AS$33,L$14,$H$122)</f>
        <v>4155.4773315838347</v>
      </c>
      <c r="I364" s="26">
        <f>INDEX(Comparison!$AM$3:$AS$33,M$14,$H$122)</f>
        <v>3566.7724920591822</v>
      </c>
      <c r="J364" s="26">
        <f>INDEX(Comparison!$AM$3:$AS$33,N$14,$H$122)</f>
        <v>2850.9447868112361</v>
      </c>
      <c r="K364" s="26">
        <f>INDEX(Comparison!$AM$3:$AS$33,O$14,$H$122)</f>
        <v>2002.5618143914935</v>
      </c>
      <c r="L364" s="26">
        <f>INDEX(Comparison!$AM$3:$AS$33,P$14,$H$122)</f>
        <v>1246.5264827258</v>
      </c>
      <c r="M364" s="26">
        <f>INDEX(Comparison!$AM$3:$AS$33,Q$14,$H$122)</f>
        <v>721.62368462950201</v>
      </c>
      <c r="N364" s="26">
        <f>INDEX(Comparison!$AM$3:$AS$33,R$14,$H$122)</f>
        <v>404.72633399765499</v>
      </c>
      <c r="O364" s="26">
        <f>INDEX(Comparison!$AM$3:$AS$33,S$14,$H$122)</f>
        <v>265.07180083177406</v>
      </c>
      <c r="P364" s="26">
        <f>INDEX(Comparison!$AM$3:$AS$33,T$14,$H$122)</f>
        <v>224.4007416662501</v>
      </c>
      <c r="Q364" s="26">
        <f>INDEX(Comparison!$AM$3:$AS$33,U$14,$H$122)</f>
        <v>202.49198438372559</v>
      </c>
      <c r="R364" s="26">
        <f>INDEX(Comparison!$AM$3:$AS$33,V$14,$H$122)</f>
        <v>189.83771999127222</v>
      </c>
      <c r="S364" s="26">
        <f>INDEX(Comparison!$AM$3:$AS$33,W$14,$H$122)</f>
        <v>169.86288435020435</v>
      </c>
      <c r="T364" s="26">
        <f>INDEX(Comparison!$AM$3:$AS$33,X$14,$H$122)</f>
        <v>142.29365996368665</v>
      </c>
      <c r="U364" s="26">
        <f>INDEX(Comparison!$AM$3:$AS$33,Y$14,$H$122)</f>
        <v>121.71619952615258</v>
      </c>
      <c r="V364" s="26">
        <f>INDEX(Comparison!$AM$3:$AS$33,Z$14,$H$122)</f>
        <v>109.27679567564616</v>
      </c>
      <c r="W364" s="26">
        <f>INDEX(Comparison!$AM$3:$AS$33,AA$14,$H$122)</f>
        <v>101.92394551670053</v>
      </c>
      <c r="X364" s="26">
        <f>INDEX(Comparison!$AM$3:$AS$33,AB$14,$H$122)</f>
        <v>97.501289329192588</v>
      </c>
      <c r="Y364" s="26">
        <f>INDEX(Comparison!$AM$3:$AS$33,AC$14,$H$122)</f>
        <v>94.712895608864457</v>
      </c>
      <c r="Z364" s="26">
        <f>INDEX(Comparison!$AM$3:$AS$33,AD$14,$H$122)</f>
        <v>92.92945942455529</v>
      </c>
      <c r="AA364" s="26">
        <f>INDEX(Comparison!$AM$3:$AS$33,AE$14,$H$122)</f>
        <v>92.006187989209394</v>
      </c>
      <c r="AB364" s="26">
        <f>INDEX(Comparison!$AM$3:$AS$33,AF$14,$H$122)</f>
        <v>91.763267256404887</v>
      </c>
      <c r="AC364" s="26">
        <f>INDEX(Comparison!$AM$3:$AS$33,AG$14,$H$122)</f>
        <v>90.809569282014081</v>
      </c>
      <c r="AD364" s="26">
        <f>INDEX(Comparison!$AM$3:$AS$33,AH$14,$H$122)</f>
        <v>90.794437108888047</v>
      </c>
      <c r="AE364" s="26">
        <f>INDEX(Comparison!$AM$3:$AS$33,AI$14,$H$122)</f>
        <v>90.157522811707935</v>
      </c>
      <c r="AF364" s="26">
        <f>INDEX(Comparison!$AM$3:$AS$33,AJ$14,$H$122)</f>
        <v>89.913434838716469</v>
      </c>
      <c r="AG364" s="26"/>
      <c r="AH364" s="26"/>
    </row>
    <row r="365" spans="1:34" x14ac:dyDescent="0.25">
      <c r="A365" s="70" t="s">
        <v>22</v>
      </c>
      <c r="B365" s="27">
        <f>($C$17+SUM(B366:B396))*$B$51</f>
        <v>6074.2872673149795</v>
      </c>
      <c r="C365" s="27">
        <f t="shared" ref="C365:AF365" si="368">($C$17+SUM(C366:C396))*$B$51</f>
        <v>5957.9503469958072</v>
      </c>
      <c r="D365" s="27">
        <f t="shared" si="368"/>
        <v>5526.8887934015956</v>
      </c>
      <c r="E365" s="27">
        <f t="shared" si="368"/>
        <v>5280.4975271166377</v>
      </c>
      <c r="F365" s="27">
        <f t="shared" si="368"/>
        <v>4965.6981452801538</v>
      </c>
      <c r="G365" s="27">
        <f t="shared" si="368"/>
        <v>4621.111761890329</v>
      </c>
      <c r="H365" s="27">
        <f t="shared" si="368"/>
        <v>4155.4686642879124</v>
      </c>
      <c r="I365" s="27">
        <f t="shared" si="368"/>
        <v>3566.7827730625859</v>
      </c>
      <c r="J365" s="27">
        <f t="shared" si="368"/>
        <v>2850.9448614109056</v>
      </c>
      <c r="K365" s="27">
        <f t="shared" si="368"/>
        <v>2002.5763075331909</v>
      </c>
      <c r="L365" s="27">
        <f t="shared" si="368"/>
        <v>1246.521891895118</v>
      </c>
      <c r="M365" s="27">
        <f t="shared" si="368"/>
        <v>721.63565215950518</v>
      </c>
      <c r="N365" s="27">
        <f t="shared" si="368"/>
        <v>404.71698229901051</v>
      </c>
      <c r="O365" s="27">
        <f t="shared" si="368"/>
        <v>265.07970997259793</v>
      </c>
      <c r="P365" s="27">
        <f t="shared" si="368"/>
        <v>224.39935369709269</v>
      </c>
      <c r="Q365" s="27">
        <f t="shared" si="368"/>
        <v>202.49207699688591</v>
      </c>
      <c r="R365" s="27">
        <f t="shared" si="368"/>
        <v>189.84072806042417</v>
      </c>
      <c r="S365" s="27">
        <f t="shared" si="368"/>
        <v>169.85590449425086</v>
      </c>
      <c r="T365" s="27">
        <f t="shared" si="368"/>
        <v>142.30118522655226</v>
      </c>
      <c r="U365" s="27">
        <f t="shared" si="368"/>
        <v>121.71144981830008</v>
      </c>
      <c r="V365" s="27">
        <f t="shared" si="368"/>
        <v>109.27835780293779</v>
      </c>
      <c r="W365" s="27">
        <f t="shared" si="368"/>
        <v>101.92269729871477</v>
      </c>
      <c r="X365" s="27">
        <f t="shared" si="368"/>
        <v>97.500565105621845</v>
      </c>
      <c r="Y365" s="27">
        <f t="shared" si="368"/>
        <v>94.720285740690258</v>
      </c>
      <c r="Z365" s="27">
        <f t="shared" si="368"/>
        <v>92.913739264074863</v>
      </c>
      <c r="AA365" s="27">
        <f t="shared" si="368"/>
        <v>92.041524364760946</v>
      </c>
      <c r="AB365" s="27">
        <f t="shared" si="368"/>
        <v>91.697402401118055</v>
      </c>
      <c r="AC365" s="27">
        <f t="shared" si="368"/>
        <v>90.903745571166084</v>
      </c>
      <c r="AD365" s="27">
        <f t="shared" si="368"/>
        <v>90.470022054936891</v>
      </c>
      <c r="AE365" s="27">
        <f t="shared" si="368"/>
        <v>90.41819154173379</v>
      </c>
      <c r="AF365" s="27">
        <f t="shared" si="368"/>
        <v>89.925256227335041</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7.3871639815274726E-2</v>
      </c>
      <c r="C367" s="3">
        <f t="shared" si="370"/>
        <v>5.8662091882985594E-2</v>
      </c>
      <c r="D367" s="3">
        <f t="shared" si="370"/>
        <v>5.8499965125977122E-3</v>
      </c>
      <c r="E367" s="3">
        <f t="shared" si="370"/>
        <v>5.6903138539828254E-13</v>
      </c>
      <c r="F367" s="3">
        <f t="shared" si="370"/>
        <v>4.3146180737372349E-113</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2.736284585549181E-2</v>
      </c>
      <c r="C368" s="3">
        <f t="shared" si="371"/>
        <v>2.6799678835065854E-2</v>
      </c>
      <c r="D368" s="3">
        <f t="shared" si="371"/>
        <v>2.1767715138706935E-2</v>
      </c>
      <c r="E368" s="3">
        <f t="shared" si="371"/>
        <v>2.7204791691191207E-3</v>
      </c>
      <c r="F368" s="3">
        <f t="shared" si="371"/>
        <v>2.5291291004617437E-12</v>
      </c>
      <c r="G368" s="3">
        <f t="shared" si="371"/>
        <v>1.2196267379567201E-102</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4.6793041000474905E-2</v>
      </c>
      <c r="C369" s="3">
        <f t="shared" si="372"/>
        <v>4.670534000556275E-2</v>
      </c>
      <c r="D369" s="3">
        <f t="shared" si="372"/>
        <v>4.5837319873302577E-2</v>
      </c>
      <c r="E369" s="3">
        <f t="shared" si="372"/>
        <v>3.7996710465808922E-2</v>
      </c>
      <c r="F369" s="3">
        <f t="shared" si="372"/>
        <v>5.8212175744274137E-3</v>
      </c>
      <c r="G369" s="3">
        <f t="shared" si="372"/>
        <v>4.1466001066108777E-11</v>
      </c>
      <c r="H369" s="3">
        <f t="shared" si="372"/>
        <v>1.394682596053989E-92</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4.5135704072717733E-2</v>
      </c>
      <c r="C370" s="3">
        <f t="shared" si="373"/>
        <v>4.5128066407509264E-2</v>
      </c>
      <c r="D370" s="3">
        <f t="shared" si="373"/>
        <v>4.5051760802017095E-2</v>
      </c>
      <c r="E370" s="3">
        <f t="shared" si="373"/>
        <v>4.429576512113155E-2</v>
      </c>
      <c r="F370" s="3">
        <f t="shared" si="373"/>
        <v>3.7399568214254282E-2</v>
      </c>
      <c r="G370" s="3">
        <f t="shared" si="373"/>
        <v>6.8851022408499126E-3</v>
      </c>
      <c r="H370" s="3">
        <f t="shared" si="373"/>
        <v>3.0785658600463019E-10</v>
      </c>
      <c r="I370" s="3">
        <f t="shared" si="373"/>
        <v>9.8339727590604716E-84</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6.728129272921185E-2</v>
      </c>
      <c r="C371" s="3">
        <f t="shared" si="374"/>
        <v>6.7280265624440685E-2</v>
      </c>
      <c r="D371" s="3">
        <f t="shared" si="374"/>
        <v>6.7269995439067837E-2</v>
      </c>
      <c r="E371" s="3">
        <f t="shared" si="374"/>
        <v>6.7167379770538757E-2</v>
      </c>
      <c r="F371" s="3">
        <f t="shared" si="374"/>
        <v>6.6149793122471975E-2</v>
      </c>
      <c r="G371" s="3">
        <f t="shared" si="374"/>
        <v>5.6784437401796055E-2</v>
      </c>
      <c r="H371" s="3">
        <f t="shared" si="374"/>
        <v>1.2337799191260488E-2</v>
      </c>
      <c r="I371" s="3">
        <f t="shared" si="374"/>
        <v>2.8928199147032296E-9</v>
      </c>
      <c r="J371" s="3">
        <f t="shared" si="374"/>
        <v>1.4526413752714406E-75</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8.4823695457866374E-2</v>
      </c>
      <c r="C372" s="3">
        <f t="shared" si="375"/>
        <v>8.4823578645932138E-2</v>
      </c>
      <c r="D372" s="3">
        <f t="shared" si="375"/>
        <v>8.4822410535437112E-2</v>
      </c>
      <c r="E372" s="3">
        <f t="shared" si="375"/>
        <v>8.481073031518678E-2</v>
      </c>
      <c r="F372" s="3">
        <f t="shared" si="375"/>
        <v>8.4694016537617961E-2</v>
      </c>
      <c r="G372" s="3">
        <f t="shared" si="375"/>
        <v>8.3535676365460804E-2</v>
      </c>
      <c r="H372" s="3">
        <f t="shared" si="375"/>
        <v>7.2788812253567967E-2</v>
      </c>
      <c r="I372" s="3">
        <f t="shared" si="375"/>
        <v>1.836500398845697E-2</v>
      </c>
      <c r="J372" s="3">
        <f t="shared" si="375"/>
        <v>1.9197955007323457E-8</v>
      </c>
      <c r="K372" s="3">
        <f t="shared" si="375"/>
        <v>2.9915371105538724E-68</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0.10369484517279227</v>
      </c>
      <c r="C373" s="3">
        <f t="shared" si="376"/>
        <v>0.1036948322910663</v>
      </c>
      <c r="D373" s="3">
        <f t="shared" si="376"/>
        <v>0.10369470347389449</v>
      </c>
      <c r="E373" s="3">
        <f t="shared" si="376"/>
        <v>0.10369341531097792</v>
      </c>
      <c r="F373" s="3">
        <f t="shared" si="376"/>
        <v>0.10368053456191118</v>
      </c>
      <c r="G373" s="3">
        <f t="shared" si="376"/>
        <v>0.10355181504070171</v>
      </c>
      <c r="H373" s="3">
        <f t="shared" si="376"/>
        <v>0.10227337647406523</v>
      </c>
      <c r="I373" s="3">
        <f t="shared" si="376"/>
        <v>9.0325709030805668E-2</v>
      </c>
      <c r="J373" s="3">
        <f t="shared" si="376"/>
        <v>2.6079498273077217E-2</v>
      </c>
      <c r="K373" s="3">
        <f t="shared" si="376"/>
        <v>1.0499720994536527E-7</v>
      </c>
      <c r="L373" s="3">
        <f t="shared" si="376"/>
        <v>1.1747975368437742E-61</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0.13305313362966764</v>
      </c>
      <c r="C374" s="3">
        <f t="shared" si="377"/>
        <v>0.13305313213863001</v>
      </c>
      <c r="D374" s="3">
        <f t="shared" si="377"/>
        <v>0.13305311722825436</v>
      </c>
      <c r="E374" s="3">
        <f t="shared" si="377"/>
        <v>0.13305296812458969</v>
      </c>
      <c r="F374" s="3">
        <f t="shared" si="377"/>
        <v>0.1330514770971333</v>
      </c>
      <c r="G374" s="3">
        <f t="shared" si="377"/>
        <v>0.13303656774152556</v>
      </c>
      <c r="H374" s="3">
        <f t="shared" si="377"/>
        <v>0.13288756604297453</v>
      </c>
      <c r="I374" s="3">
        <f t="shared" si="377"/>
        <v>0.1314066968367352</v>
      </c>
      <c r="J374" s="3">
        <f t="shared" si="377"/>
        <v>0.11747596321503968</v>
      </c>
      <c r="K374" s="3">
        <f t="shared" si="377"/>
        <v>3.8305768054133035E-2</v>
      </c>
      <c r="L374" s="3">
        <f t="shared" si="377"/>
        <v>5.2049405684760466E-7</v>
      </c>
      <c r="M374" s="3">
        <f t="shared" si="377"/>
        <v>1.1166878178867336E-55</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0.10368180211017371</v>
      </c>
      <c r="C375" s="3">
        <f t="shared" si="378"/>
        <v>0.10368180200536131</v>
      </c>
      <c r="D375" s="3">
        <f t="shared" si="378"/>
        <v>0.10368180095723739</v>
      </c>
      <c r="E375" s="3">
        <f t="shared" si="378"/>
        <v>0.10368179047599878</v>
      </c>
      <c r="F375" s="3">
        <f t="shared" si="378"/>
        <v>0.10368168566367088</v>
      </c>
      <c r="G375" s="3">
        <f t="shared" si="378"/>
        <v>0.10368063754621933</v>
      </c>
      <c r="H375" s="3">
        <f t="shared" si="378"/>
        <v>0.10367015695443385</v>
      </c>
      <c r="I375" s="3">
        <f t="shared" si="378"/>
        <v>0.10356540928778854</v>
      </c>
      <c r="J375" s="3">
        <f t="shared" si="378"/>
        <v>0.10252373601309149</v>
      </c>
      <c r="K375" s="3">
        <f t="shared" si="378"/>
        <v>9.2666210285437728E-2</v>
      </c>
      <c r="L375" s="3">
        <f t="shared" si="378"/>
        <v>3.3720281257519712E-2</v>
      </c>
      <c r="M375" s="3">
        <f t="shared" si="378"/>
        <v>1.3727424035457382E-6</v>
      </c>
      <c r="N375" s="3">
        <f t="shared" si="378"/>
        <v>1.7161990464263693E-50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6.4516912227460019E-2</v>
      </c>
      <c r="C376" s="3">
        <f t="shared" si="379"/>
        <v>6.45169122215766E-2</v>
      </c>
      <c r="D376" s="3">
        <f t="shared" si="379"/>
        <v>6.4516912162742329E-2</v>
      </c>
      <c r="E376" s="3">
        <f t="shared" si="379"/>
        <v>6.4516911574399788E-2</v>
      </c>
      <c r="F376" s="3">
        <f t="shared" si="379"/>
        <v>6.4516905690974555E-2</v>
      </c>
      <c r="G376" s="3">
        <f t="shared" si="379"/>
        <v>6.4516846856751756E-2</v>
      </c>
      <c r="H376" s="3">
        <f t="shared" si="379"/>
        <v>6.451625851747457E-2</v>
      </c>
      <c r="I376" s="3">
        <f t="shared" si="379"/>
        <v>6.4510375419778485E-2</v>
      </c>
      <c r="J376" s="3">
        <f t="shared" si="379"/>
        <v>6.4451573940427942E-2</v>
      </c>
      <c r="K376" s="3">
        <f t="shared" si="379"/>
        <v>6.3866498979394573E-2</v>
      </c>
      <c r="L376" s="3">
        <f t="shared" si="379"/>
        <v>5.8300050650393197E-2</v>
      </c>
      <c r="M376" s="3">
        <f t="shared" si="379"/>
        <v>2.3422171429961589E-2</v>
      </c>
      <c r="N376" s="3">
        <f t="shared" si="379"/>
        <v>2.565720757168054E-6</v>
      </c>
      <c r="O376" s="3">
        <f t="shared" si="379"/>
        <v>6.3831009348481609E-46</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3.7592139756914882E-2</v>
      </c>
      <c r="C377" s="3">
        <f t="shared" si="380"/>
        <v>3.7592139756605636E-2</v>
      </c>
      <c r="D377" s="3">
        <f t="shared" si="380"/>
        <v>3.7592139753513207E-2</v>
      </c>
      <c r="E377" s="3">
        <f t="shared" si="380"/>
        <v>3.7592139722588874E-2</v>
      </c>
      <c r="F377" s="3">
        <f t="shared" si="380"/>
        <v>3.7592139413345556E-2</v>
      </c>
      <c r="G377" s="3">
        <f t="shared" si="380"/>
        <v>3.7592136320912517E-2</v>
      </c>
      <c r="H377" s="3">
        <f t="shared" si="380"/>
        <v>3.7592105396596111E-2</v>
      </c>
      <c r="I377" s="3">
        <f t="shared" si="380"/>
        <v>3.7591796154831235E-2</v>
      </c>
      <c r="J377" s="3">
        <f t="shared" si="380"/>
        <v>3.7588703877093371E-2</v>
      </c>
      <c r="K377" s="3">
        <f t="shared" si="380"/>
        <v>3.755779508654903E-2</v>
      </c>
      <c r="L377" s="3">
        <f t="shared" si="380"/>
        <v>3.7250101616684593E-2</v>
      </c>
      <c r="M377" s="3">
        <f t="shared" si="380"/>
        <v>3.4308457981043601E-2</v>
      </c>
      <c r="N377" s="3">
        <f t="shared" si="380"/>
        <v>1.507087850209194E-2</v>
      </c>
      <c r="O377" s="3">
        <f t="shared" si="380"/>
        <v>4.0319233504837122E-6</v>
      </c>
      <c r="P377" s="3">
        <f t="shared" si="380"/>
        <v>7.5726738682703222E-42</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7.6036322594273936E-3</v>
      </c>
      <c r="C378" s="3">
        <f t="shared" si="381"/>
        <v>7.6036322594217514E-3</v>
      </c>
      <c r="D378" s="3">
        <f t="shared" si="381"/>
        <v>7.6036322593653269E-3</v>
      </c>
      <c r="E378" s="3">
        <f t="shared" si="381"/>
        <v>7.6036322588010768E-3</v>
      </c>
      <c r="F378" s="3">
        <f t="shared" si="381"/>
        <v>7.6036322531585852E-3</v>
      </c>
      <c r="G378" s="3">
        <f t="shared" si="381"/>
        <v>7.6036321967336614E-3</v>
      </c>
      <c r="H378" s="3">
        <f t="shared" si="381"/>
        <v>7.6036316324844568E-3</v>
      </c>
      <c r="I378" s="3">
        <f t="shared" si="381"/>
        <v>7.6036259899947131E-3</v>
      </c>
      <c r="J378" s="3">
        <f t="shared" si="381"/>
        <v>7.6035695653275627E-3</v>
      </c>
      <c r="K378" s="3">
        <f t="shared" si="381"/>
        <v>7.6030053416848075E-3</v>
      </c>
      <c r="L378" s="3">
        <f t="shared" si="381"/>
        <v>7.5973654074996703E-3</v>
      </c>
      <c r="M378" s="3">
        <f t="shared" si="381"/>
        <v>7.5411956590175633E-3</v>
      </c>
      <c r="N378" s="3">
        <f t="shared" si="381"/>
        <v>7.0018394367305026E-3</v>
      </c>
      <c r="O378" s="3">
        <f t="shared" si="381"/>
        <v>3.3337385241340449E-3</v>
      </c>
      <c r="P378" s="3">
        <f t="shared" si="381"/>
        <v>1.9958385000834771E-6</v>
      </c>
      <c r="Q378" s="3">
        <f t="shared" si="381"/>
        <v>1.1804946379817192E-38</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4.6601949201853588E-3</v>
      </c>
      <c r="C379" s="3">
        <f t="shared" si="382"/>
        <v>4.6601949201850465E-3</v>
      </c>
      <c r="D379" s="3">
        <f t="shared" si="382"/>
        <v>4.6601949201819266E-3</v>
      </c>
      <c r="E379" s="3">
        <f t="shared" si="382"/>
        <v>4.6601949201507311E-3</v>
      </c>
      <c r="F379" s="3">
        <f t="shared" si="382"/>
        <v>4.6601949198387697E-3</v>
      </c>
      <c r="G379" s="3">
        <f t="shared" si="382"/>
        <v>4.6601949167191584E-3</v>
      </c>
      <c r="H379" s="3">
        <f t="shared" si="382"/>
        <v>4.6601948855230415E-3</v>
      </c>
      <c r="I379" s="3">
        <f t="shared" si="382"/>
        <v>4.6601945735618815E-3</v>
      </c>
      <c r="J379" s="3">
        <f t="shared" si="382"/>
        <v>4.660191453951433E-3</v>
      </c>
      <c r="K379" s="3">
        <f t="shared" si="382"/>
        <v>4.6601602579618116E-3</v>
      </c>
      <c r="L379" s="3">
        <f t="shared" si="382"/>
        <v>4.6598483095510344E-3</v>
      </c>
      <c r="M379" s="3">
        <f t="shared" si="382"/>
        <v>4.6567299737031147E-3</v>
      </c>
      <c r="N379" s="3">
        <f t="shared" si="382"/>
        <v>4.6256611573121586E-3</v>
      </c>
      <c r="O379" s="3">
        <f t="shared" si="382"/>
        <v>4.3261485081158976E-3</v>
      </c>
      <c r="P379" s="3">
        <f t="shared" si="382"/>
        <v>2.215019220198716E-3</v>
      </c>
      <c r="Q379" s="3">
        <f t="shared" si="382"/>
        <v>2.7424470501228126E-6</v>
      </c>
      <c r="R379" s="3">
        <f t="shared" si="382"/>
        <v>2.3213775095011183E-35</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1.5487280154821749E-3</v>
      </c>
      <c r="C380" s="3">
        <f t="shared" si="383"/>
        <v>1.5487280154821655E-3</v>
      </c>
      <c r="D380" s="3">
        <f t="shared" si="383"/>
        <v>1.5487280154820721E-3</v>
      </c>
      <c r="E380" s="3">
        <f t="shared" si="383"/>
        <v>1.5487280154811366E-3</v>
      </c>
      <c r="F380" s="3">
        <f t="shared" si="383"/>
        <v>1.5487280154717845E-3</v>
      </c>
      <c r="G380" s="3">
        <f t="shared" si="383"/>
        <v>1.5487280153782617E-3</v>
      </c>
      <c r="H380" s="3">
        <f t="shared" si="383"/>
        <v>1.5487280144430319E-3</v>
      </c>
      <c r="I380" s="3">
        <f t="shared" si="383"/>
        <v>1.5487280050907369E-3</v>
      </c>
      <c r="J380" s="3">
        <f t="shared" si="383"/>
        <v>1.5487279115677882E-3</v>
      </c>
      <c r="K380" s="3">
        <f t="shared" si="383"/>
        <v>1.5487269763386122E-3</v>
      </c>
      <c r="L380" s="3">
        <f t="shared" si="383"/>
        <v>1.5487176240779139E-3</v>
      </c>
      <c r="M380" s="3">
        <f t="shared" si="383"/>
        <v>1.5486241045770139E-3</v>
      </c>
      <c r="N380" s="3">
        <f t="shared" si="383"/>
        <v>1.5476892201070043E-3</v>
      </c>
      <c r="O380" s="3">
        <f t="shared" si="383"/>
        <v>1.5383713600336751E-3</v>
      </c>
      <c r="P380" s="3">
        <f t="shared" si="383"/>
        <v>1.4482230965326319E-3</v>
      </c>
      <c r="Q380" s="3">
        <f t="shared" si="383"/>
        <v>7.9173219117208669E-4</v>
      </c>
      <c r="R380" s="3">
        <f t="shared" si="383"/>
        <v>1.8880202271574547E-6</v>
      </c>
      <c r="S380" s="3">
        <f t="shared" si="383"/>
        <v>1.1227680274345818E-32</v>
      </c>
      <c r="T380" s="3">
        <f t="shared" si="383"/>
        <v>6.2104629971447116E-295</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1.798157682078548E-3</v>
      </c>
      <c r="C381" s="3">
        <f t="shared" si="384"/>
        <v>1.7981576820785472E-3</v>
      </c>
      <c r="D381" s="3">
        <f t="shared" si="384"/>
        <v>1.7981576820785372E-3</v>
      </c>
      <c r="E381" s="3">
        <f t="shared" si="384"/>
        <v>1.7981576820784394E-3</v>
      </c>
      <c r="F381" s="3">
        <f t="shared" si="384"/>
        <v>1.7981576820774599E-3</v>
      </c>
      <c r="G381" s="3">
        <f t="shared" si="384"/>
        <v>1.7981576820676646E-3</v>
      </c>
      <c r="H381" s="3">
        <f t="shared" si="384"/>
        <v>1.7981576819697117E-3</v>
      </c>
      <c r="I381" s="3">
        <f t="shared" si="384"/>
        <v>1.7981576809901825E-3</v>
      </c>
      <c r="J381" s="3">
        <f t="shared" si="384"/>
        <v>1.7981576711948897E-3</v>
      </c>
      <c r="K381" s="3">
        <f t="shared" si="384"/>
        <v>1.7981575732419664E-3</v>
      </c>
      <c r="L381" s="3">
        <f t="shared" si="384"/>
        <v>1.7981565937130264E-3</v>
      </c>
      <c r="M381" s="3">
        <f t="shared" si="384"/>
        <v>1.7981467984529724E-3</v>
      </c>
      <c r="N381" s="3">
        <f t="shared" si="384"/>
        <v>1.7980488487871085E-3</v>
      </c>
      <c r="O381" s="3">
        <f t="shared" si="384"/>
        <v>1.7970696455368365E-3</v>
      </c>
      <c r="P381" s="3">
        <f t="shared" si="384"/>
        <v>1.7873068948192207E-3</v>
      </c>
      <c r="Q381" s="3">
        <f t="shared" si="384"/>
        <v>1.6925493976515649E-3</v>
      </c>
      <c r="R381" s="3">
        <f t="shared" si="384"/>
        <v>9.8166559682743171E-4</v>
      </c>
      <c r="S381" s="3">
        <f t="shared" si="384"/>
        <v>4.2284943662971565E-6</v>
      </c>
      <c r="T381" s="3">
        <f t="shared" si="384"/>
        <v>9.2983868025685663E-30</v>
      </c>
      <c r="U381" s="3">
        <f t="shared" si="384"/>
        <v>2.4582504606338463E-266</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4.3198756825701184E-3</v>
      </c>
      <c r="C382" s="3">
        <f t="shared" si="385"/>
        <v>4.3198756825701184E-3</v>
      </c>
      <c r="D382" s="3">
        <f t="shared" si="385"/>
        <v>4.3198756825701158E-3</v>
      </c>
      <c r="E382" s="3">
        <f t="shared" si="385"/>
        <v>4.319875682570095E-3</v>
      </c>
      <c r="F382" s="3">
        <f t="shared" si="385"/>
        <v>4.3198756825698825E-3</v>
      </c>
      <c r="G382" s="3">
        <f t="shared" si="385"/>
        <v>4.3198756825677601E-3</v>
      </c>
      <c r="H382" s="3">
        <f t="shared" si="385"/>
        <v>4.3198756825465322E-3</v>
      </c>
      <c r="I382" s="3">
        <f t="shared" si="385"/>
        <v>4.3198756823342524E-3</v>
      </c>
      <c r="J382" s="3">
        <f t="shared" si="385"/>
        <v>4.31987568021146E-3</v>
      </c>
      <c r="K382" s="3">
        <f t="shared" si="385"/>
        <v>4.3198756589835387E-3</v>
      </c>
      <c r="L382" s="3">
        <f t="shared" si="385"/>
        <v>4.3198754467043245E-3</v>
      </c>
      <c r="M382" s="3">
        <f t="shared" si="385"/>
        <v>4.3198733239127613E-3</v>
      </c>
      <c r="N382" s="3">
        <f t="shared" si="385"/>
        <v>4.3198520960545011E-3</v>
      </c>
      <c r="O382" s="3">
        <f t="shared" si="385"/>
        <v>4.3196398232090661E-3</v>
      </c>
      <c r="P382" s="3">
        <f t="shared" si="385"/>
        <v>4.317517668367305E-3</v>
      </c>
      <c r="Q382" s="3">
        <f t="shared" si="385"/>
        <v>4.2963533770521934E-3</v>
      </c>
      <c r="R382" s="3">
        <f t="shared" si="385"/>
        <v>4.0903334243826365E-3</v>
      </c>
      <c r="S382" s="3">
        <f t="shared" si="385"/>
        <v>2.5023374221608513E-3</v>
      </c>
      <c r="T382" s="3">
        <f t="shared" si="385"/>
        <v>1.8374581996011145E-5</v>
      </c>
      <c r="U382" s="3">
        <f t="shared" si="385"/>
        <v>8.3740093432481451E-27</v>
      </c>
      <c r="V382" s="3">
        <f t="shared" si="385"/>
        <v>3.2366308656525628E-240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3.4800152588185828E-3</v>
      </c>
      <c r="C383" s="3">
        <f t="shared" si="386"/>
        <v>3.4800152588185828E-3</v>
      </c>
      <c r="D383" s="3">
        <f t="shared" si="386"/>
        <v>3.4800152588185828E-3</v>
      </c>
      <c r="E383" s="3">
        <f t="shared" si="386"/>
        <v>3.4800152588185811E-3</v>
      </c>
      <c r="F383" s="3">
        <f t="shared" si="386"/>
        <v>3.4800152588185659E-3</v>
      </c>
      <c r="G383" s="3">
        <f t="shared" si="386"/>
        <v>3.4800152588184111E-3</v>
      </c>
      <c r="H383" s="3">
        <f t="shared" si="386"/>
        <v>3.4800152588168689E-3</v>
      </c>
      <c r="I383" s="3">
        <f t="shared" si="386"/>
        <v>3.4800152588014424E-3</v>
      </c>
      <c r="J383" s="3">
        <f t="shared" si="386"/>
        <v>3.4800152586471787E-3</v>
      </c>
      <c r="K383" s="3">
        <f t="shared" si="386"/>
        <v>3.4800152571045407E-3</v>
      </c>
      <c r="L383" s="3">
        <f t="shared" si="386"/>
        <v>3.4800152416781627E-3</v>
      </c>
      <c r="M383" s="3">
        <f t="shared" si="386"/>
        <v>3.4800150874143856E-3</v>
      </c>
      <c r="N383" s="3">
        <f t="shared" si="386"/>
        <v>3.4800135447769862E-3</v>
      </c>
      <c r="O383" s="3">
        <f t="shared" si="386"/>
        <v>3.4799981184406078E-3</v>
      </c>
      <c r="P383" s="3">
        <f t="shared" si="386"/>
        <v>3.4798438588378067E-3</v>
      </c>
      <c r="Q383" s="3">
        <f t="shared" si="386"/>
        <v>3.4783016388465963E-3</v>
      </c>
      <c r="R383" s="3">
        <f t="shared" si="386"/>
        <v>3.4629169810115146E-3</v>
      </c>
      <c r="S383" s="3">
        <f t="shared" si="386"/>
        <v>3.3127637588744132E-3</v>
      </c>
      <c r="T383" s="3">
        <f t="shared" si="386"/>
        <v>2.1265437903289111E-3</v>
      </c>
      <c r="U383" s="3">
        <f t="shared" si="386"/>
        <v>2.5264631526727157E-5</v>
      </c>
      <c r="V383" s="3">
        <f t="shared" si="386"/>
        <v>1.41546570856442E-24</v>
      </c>
      <c r="W383" s="3">
        <f t="shared" si="386"/>
        <v>4.3128384549675016E-217</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2.0367681547460849E-3</v>
      </c>
      <c r="C384" s="3">
        <f t="shared" si="387"/>
        <v>2.0367681547460849E-3</v>
      </c>
      <c r="D384" s="3">
        <f t="shared" si="387"/>
        <v>2.0367681547460849E-3</v>
      </c>
      <c r="E384" s="3">
        <f t="shared" si="387"/>
        <v>2.0367681547460849E-3</v>
      </c>
      <c r="F384" s="3">
        <f t="shared" si="387"/>
        <v>2.036768154746084E-3</v>
      </c>
      <c r="G384" s="3">
        <f t="shared" si="387"/>
        <v>2.0367681547460758E-3</v>
      </c>
      <c r="H384" s="3">
        <f t="shared" si="387"/>
        <v>2.0367681547459942E-3</v>
      </c>
      <c r="I384" s="3">
        <f t="shared" si="387"/>
        <v>2.0367681547451798E-3</v>
      </c>
      <c r="J384" s="3">
        <f t="shared" si="387"/>
        <v>2.0367681547370352E-3</v>
      </c>
      <c r="K384" s="3">
        <f t="shared" si="387"/>
        <v>2.0367681546555891E-3</v>
      </c>
      <c r="L384" s="3">
        <f t="shared" si="387"/>
        <v>2.0367681538411269E-3</v>
      </c>
      <c r="M384" s="3">
        <f t="shared" si="387"/>
        <v>2.0367681456965035E-3</v>
      </c>
      <c r="N384" s="3">
        <f t="shared" si="387"/>
        <v>2.0367680642502705E-3</v>
      </c>
      <c r="O384" s="3">
        <f t="shared" si="387"/>
        <v>2.0367672497881204E-3</v>
      </c>
      <c r="P384" s="3">
        <f t="shared" si="387"/>
        <v>2.0367591051845355E-3</v>
      </c>
      <c r="Q384" s="3">
        <f t="shared" si="387"/>
        <v>2.0366776609399336E-3</v>
      </c>
      <c r="R384" s="3">
        <f t="shared" si="387"/>
        <v>2.0358633975923221E-3</v>
      </c>
      <c r="S384" s="3">
        <f t="shared" si="387"/>
        <v>2.0277386474866939E-3</v>
      </c>
      <c r="T384" s="3">
        <f t="shared" si="387"/>
        <v>1.9482533046785216E-3</v>
      </c>
      <c r="U384" s="3">
        <f t="shared" si="387"/>
        <v>1.3061102898860881E-3</v>
      </c>
      <c r="V384" s="3">
        <f t="shared" si="387"/>
        <v>2.3951027245423218E-5</v>
      </c>
      <c r="W384" s="3">
        <f t="shared" si="387"/>
        <v>1.0298336611157915E-22</v>
      </c>
      <c r="X384" s="3">
        <f t="shared" si="387"/>
        <v>2.2243158975466923E-196</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1.2781847248259422E-3</v>
      </c>
      <c r="C385" s="3">
        <f t="shared" si="388"/>
        <v>1.2781847248259422E-3</v>
      </c>
      <c r="D385" s="3">
        <f t="shared" si="388"/>
        <v>1.2781847248259422E-3</v>
      </c>
      <c r="E385" s="3">
        <f t="shared" si="388"/>
        <v>1.2781847248259422E-3</v>
      </c>
      <c r="F385" s="3">
        <f t="shared" si="388"/>
        <v>1.2781847248259422E-3</v>
      </c>
      <c r="G385" s="3">
        <f t="shared" si="388"/>
        <v>1.2781847248259416E-3</v>
      </c>
      <c r="H385" s="3">
        <f t="shared" si="388"/>
        <v>1.278184724825937E-3</v>
      </c>
      <c r="I385" s="3">
        <f t="shared" si="388"/>
        <v>1.2781847248258911E-3</v>
      </c>
      <c r="J385" s="3">
        <f t="shared" si="388"/>
        <v>1.2781847248254301E-3</v>
      </c>
      <c r="K385" s="3">
        <f t="shared" si="388"/>
        <v>1.2781847248208192E-3</v>
      </c>
      <c r="L385" s="3">
        <f t="shared" si="388"/>
        <v>1.278184724774712E-3</v>
      </c>
      <c r="M385" s="3">
        <f t="shared" si="388"/>
        <v>1.2781847243136389E-3</v>
      </c>
      <c r="N385" s="3">
        <f t="shared" si="388"/>
        <v>1.2781847197029096E-3</v>
      </c>
      <c r="O385" s="3">
        <f t="shared" si="388"/>
        <v>1.2781846735956171E-3</v>
      </c>
      <c r="P385" s="3">
        <f t="shared" si="388"/>
        <v>1.2781842125227831E-3</v>
      </c>
      <c r="Q385" s="3">
        <f t="shared" si="388"/>
        <v>1.2781796018035915E-3</v>
      </c>
      <c r="R385" s="3">
        <f t="shared" si="388"/>
        <v>1.2781334955264238E-3</v>
      </c>
      <c r="S385" s="3">
        <f t="shared" si="388"/>
        <v>1.2776725242174263E-3</v>
      </c>
      <c r="T385" s="3">
        <f t="shared" si="388"/>
        <v>1.2730719451998899E-3</v>
      </c>
      <c r="U385" s="3">
        <f t="shared" si="388"/>
        <v>1.2279674879243588E-3</v>
      </c>
      <c r="V385" s="3">
        <f t="shared" si="388"/>
        <v>8.5610311279799782E-4</v>
      </c>
      <c r="W385" s="3">
        <f t="shared" si="388"/>
        <v>2.3222990972202354E-5</v>
      </c>
      <c r="X385" s="3">
        <f t="shared" si="388"/>
        <v>5.0100138366143203E-21</v>
      </c>
      <c r="Y385" s="3">
        <f t="shared" si="388"/>
        <v>1.0940738675259769E-177</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3.444457645749161E-4</v>
      </c>
      <c r="C386" s="3">
        <f t="shared" si="389"/>
        <v>3.444457645749161E-4</v>
      </c>
      <c r="D386" s="3">
        <f t="shared" si="389"/>
        <v>3.444457645749161E-4</v>
      </c>
      <c r="E386" s="3">
        <f t="shared" si="389"/>
        <v>3.444457645749161E-4</v>
      </c>
      <c r="F386" s="3">
        <f t="shared" si="389"/>
        <v>3.444457645749161E-4</v>
      </c>
      <c r="G386" s="3">
        <f t="shared" si="389"/>
        <v>3.444457645749161E-4</v>
      </c>
      <c r="H386" s="3">
        <f t="shared" si="389"/>
        <v>3.4444576457491599E-4</v>
      </c>
      <c r="I386" s="3">
        <f t="shared" si="389"/>
        <v>3.4444576457491485E-4</v>
      </c>
      <c r="J386" s="3">
        <f t="shared" si="389"/>
        <v>3.4444576457490363E-4</v>
      </c>
      <c r="K386" s="3">
        <f t="shared" si="389"/>
        <v>3.4444576457479153E-4</v>
      </c>
      <c r="L386" s="3">
        <f t="shared" si="389"/>
        <v>3.4444576457367073E-4</v>
      </c>
      <c r="M386" s="3">
        <f t="shared" si="389"/>
        <v>3.444457645624623E-4</v>
      </c>
      <c r="N386" s="3">
        <f t="shared" si="389"/>
        <v>3.4444576445037835E-4</v>
      </c>
      <c r="O386" s="3">
        <f t="shared" si="389"/>
        <v>3.4444576332953882E-4</v>
      </c>
      <c r="P386" s="3">
        <f t="shared" si="389"/>
        <v>3.4444575212114355E-4</v>
      </c>
      <c r="Q386" s="3">
        <f t="shared" si="389"/>
        <v>3.4444564003721081E-4</v>
      </c>
      <c r="R386" s="3">
        <f t="shared" si="389"/>
        <v>3.4444451919988969E-4</v>
      </c>
      <c r="S386" s="3">
        <f t="shared" si="389"/>
        <v>3.4443331102727484E-4</v>
      </c>
      <c r="T386" s="3">
        <f t="shared" si="389"/>
        <v>3.4432124935834151E-4</v>
      </c>
      <c r="U386" s="3">
        <f t="shared" si="389"/>
        <v>3.4320263597776733E-4</v>
      </c>
      <c r="V386" s="3">
        <f t="shared" si="389"/>
        <v>3.3221444192630897E-4</v>
      </c>
      <c r="W386" s="3">
        <f t="shared" si="389"/>
        <v>2.3993711935721255E-4</v>
      </c>
      <c r="X386" s="3">
        <f t="shared" si="389"/>
        <v>9.2658819932093093E-6</v>
      </c>
      <c r="Y386" s="3">
        <f t="shared" si="389"/>
        <v>6.8356530085137705E-20</v>
      </c>
      <c r="Z386" s="3">
        <f t="shared" si="389"/>
        <v>3.2637166684634888E-161</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6.1014336776090067E-4</v>
      </c>
      <c r="C387" s="3">
        <f t="shared" si="390"/>
        <v>6.1014336776090067E-4</v>
      </c>
      <c r="D387" s="3">
        <f t="shared" si="390"/>
        <v>6.1014336776090067E-4</v>
      </c>
      <c r="E387" s="3">
        <f t="shared" si="390"/>
        <v>6.1014336776090067E-4</v>
      </c>
      <c r="F387" s="3">
        <f t="shared" si="390"/>
        <v>6.1014336776090067E-4</v>
      </c>
      <c r="G387" s="3">
        <f t="shared" si="390"/>
        <v>6.1014336776090067E-4</v>
      </c>
      <c r="H387" s="3">
        <f t="shared" si="390"/>
        <v>6.1014336776090057E-4</v>
      </c>
      <c r="I387" s="3">
        <f t="shared" si="390"/>
        <v>6.1014336776090002E-4</v>
      </c>
      <c r="J387" s="3">
        <f t="shared" si="390"/>
        <v>6.101433677608946E-4</v>
      </c>
      <c r="K387" s="3">
        <f t="shared" si="390"/>
        <v>6.1014336776083963E-4</v>
      </c>
      <c r="L387" s="3">
        <f t="shared" si="390"/>
        <v>6.1014336776029059E-4</v>
      </c>
      <c r="M387" s="3">
        <f t="shared" si="390"/>
        <v>6.1014336775479933E-4</v>
      </c>
      <c r="N387" s="3">
        <f t="shared" si="390"/>
        <v>6.1014336769988731E-4</v>
      </c>
      <c r="O387" s="3">
        <f t="shared" si="390"/>
        <v>6.101433671507672E-4</v>
      </c>
      <c r="P387" s="3">
        <f t="shared" si="390"/>
        <v>6.1014336165956607E-4</v>
      </c>
      <c r="Q387" s="3">
        <f t="shared" si="390"/>
        <v>6.1014330674755732E-4</v>
      </c>
      <c r="R387" s="3">
        <f t="shared" si="390"/>
        <v>6.1014275762774173E-4</v>
      </c>
      <c r="S387" s="3">
        <f t="shared" si="390"/>
        <v>6.1013726645676688E-4</v>
      </c>
      <c r="T387" s="3">
        <f t="shared" si="390"/>
        <v>6.1008235746501794E-4</v>
      </c>
      <c r="U387" s="3">
        <f t="shared" si="390"/>
        <v>6.0953353925703149E-4</v>
      </c>
      <c r="V387" s="3">
        <f t="shared" si="390"/>
        <v>6.0407243786712069E-4</v>
      </c>
      <c r="W387" s="3">
        <f t="shared" si="390"/>
        <v>5.5208144564758953E-4</v>
      </c>
      <c r="X387" s="3">
        <f t="shared" si="390"/>
        <v>2.2446284458992033E-4</v>
      </c>
      <c r="Y387" s="3">
        <f t="shared" si="390"/>
        <v>2.770496271173615E-8</v>
      </c>
      <c r="Z387" s="3">
        <f t="shared" si="390"/>
        <v>2.2734669544194055E-47</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2.2250933466635417E-4</v>
      </c>
      <c r="C388" s="3">
        <f t="shared" si="391"/>
        <v>2.2250933466635417E-4</v>
      </c>
      <c r="D388" s="3">
        <f t="shared" si="391"/>
        <v>2.2250933466635417E-4</v>
      </c>
      <c r="E388" s="3">
        <f t="shared" si="391"/>
        <v>2.2250933466635417E-4</v>
      </c>
      <c r="F388" s="3">
        <f t="shared" si="391"/>
        <v>2.2250933466635417E-4</v>
      </c>
      <c r="G388" s="3">
        <f t="shared" si="391"/>
        <v>2.2250933466635417E-4</v>
      </c>
      <c r="H388" s="3">
        <f t="shared" si="391"/>
        <v>2.2250933466635417E-4</v>
      </c>
      <c r="I388" s="3">
        <f t="shared" si="391"/>
        <v>2.2250933466635414E-4</v>
      </c>
      <c r="J388" s="3">
        <f t="shared" si="391"/>
        <v>2.2250933466635395E-4</v>
      </c>
      <c r="K388" s="3">
        <f t="shared" si="391"/>
        <v>2.2250933466635194E-4</v>
      </c>
      <c r="L388" s="3">
        <f t="shared" si="391"/>
        <v>2.2250933466633191E-4</v>
      </c>
      <c r="M388" s="3">
        <f t="shared" si="391"/>
        <v>2.2250933466613166E-4</v>
      </c>
      <c r="N388" s="3">
        <f t="shared" si="391"/>
        <v>2.2250933466412908E-4</v>
      </c>
      <c r="O388" s="3">
        <f t="shared" si="391"/>
        <v>2.225093346441036E-4</v>
      </c>
      <c r="P388" s="3">
        <f t="shared" si="391"/>
        <v>2.2250933444384845E-4</v>
      </c>
      <c r="Q388" s="3">
        <f t="shared" si="391"/>
        <v>2.2250933244129695E-4</v>
      </c>
      <c r="R388" s="3">
        <f t="shared" si="391"/>
        <v>2.2250931241578299E-4</v>
      </c>
      <c r="S388" s="3">
        <f t="shared" si="391"/>
        <v>2.2250911216074249E-4</v>
      </c>
      <c r="T388" s="3">
        <f t="shared" si="391"/>
        <v>2.2250710962025001E-4</v>
      </c>
      <c r="U388" s="3">
        <f t="shared" si="391"/>
        <v>2.2248708520653543E-4</v>
      </c>
      <c r="V388" s="3">
        <f t="shared" si="391"/>
        <v>2.2228694015741362E-4</v>
      </c>
      <c r="W388" s="3">
        <f t="shared" si="391"/>
        <v>2.2029536555213047E-4</v>
      </c>
      <c r="X388" s="3">
        <f t="shared" si="391"/>
        <v>2.0133509867278142E-4</v>
      </c>
      <c r="Y388" s="3">
        <f t="shared" si="391"/>
        <v>8.1857938389641896E-5</v>
      </c>
      <c r="Z388" s="3">
        <f t="shared" si="391"/>
        <v>1.0103548027683084E-8</v>
      </c>
      <c r="AA388" s="3">
        <f t="shared" si="391"/>
        <v>8.2909631759209893E-48</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3.0514987252664002E-4</v>
      </c>
      <c r="C389" s="3">
        <f t="shared" si="392"/>
        <v>3.0514987252664002E-4</v>
      </c>
      <c r="D389" s="3">
        <f t="shared" si="392"/>
        <v>3.0514987252664002E-4</v>
      </c>
      <c r="E389" s="3">
        <f t="shared" si="392"/>
        <v>3.0514987252664002E-4</v>
      </c>
      <c r="F389" s="3">
        <f t="shared" si="392"/>
        <v>3.0514987252664002E-4</v>
      </c>
      <c r="G389" s="3">
        <f t="shared" si="392"/>
        <v>3.0514987252664002E-4</v>
      </c>
      <c r="H389" s="3">
        <f t="shared" si="392"/>
        <v>3.0514987252664002E-4</v>
      </c>
      <c r="I389" s="3">
        <f t="shared" si="392"/>
        <v>3.0514987252664002E-4</v>
      </c>
      <c r="J389" s="3">
        <f t="shared" si="392"/>
        <v>3.0514987252663997E-4</v>
      </c>
      <c r="K389" s="3">
        <f t="shared" si="392"/>
        <v>3.051498725266397E-4</v>
      </c>
      <c r="L389" s="3">
        <f t="shared" si="392"/>
        <v>3.0514987252663699E-4</v>
      </c>
      <c r="M389" s="3">
        <f t="shared" si="392"/>
        <v>3.051498725266095E-4</v>
      </c>
      <c r="N389" s="3">
        <f t="shared" si="392"/>
        <v>3.0514987252633488E-4</v>
      </c>
      <c r="O389" s="3">
        <f t="shared" si="392"/>
        <v>3.0514987252358854E-4</v>
      </c>
      <c r="P389" s="3">
        <f t="shared" si="392"/>
        <v>3.0514987249612553E-4</v>
      </c>
      <c r="Q389" s="3">
        <f t="shared" si="392"/>
        <v>3.0514987222149512E-4</v>
      </c>
      <c r="R389" s="3">
        <f t="shared" si="392"/>
        <v>3.0514986947519085E-4</v>
      </c>
      <c r="S389" s="3">
        <f t="shared" si="392"/>
        <v>3.0514984201214962E-4</v>
      </c>
      <c r="T389" s="3">
        <f t="shared" si="392"/>
        <v>3.051495673818732E-4</v>
      </c>
      <c r="U389" s="3">
        <f t="shared" si="392"/>
        <v>3.0514682109270328E-4</v>
      </c>
      <c r="V389" s="3">
        <f t="shared" si="392"/>
        <v>3.0511935956035183E-4</v>
      </c>
      <c r="W389" s="3">
        <f t="shared" si="392"/>
        <v>3.0484488012640841E-4</v>
      </c>
      <c r="X389" s="3">
        <f t="shared" si="392"/>
        <v>3.0211362960228671E-4</v>
      </c>
      <c r="Y389" s="3">
        <f t="shared" si="392"/>
        <v>2.7611147095137013E-4</v>
      </c>
      <c r="Z389" s="3">
        <f t="shared" si="392"/>
        <v>1.1226018675732378E-4</v>
      </c>
      <c r="AA389" s="3">
        <f t="shared" si="392"/>
        <v>1.3856031691152577E-8</v>
      </c>
      <c r="AB389" s="3">
        <f t="shared" si="392"/>
        <v>1.1370248174302406E-47</v>
      </c>
      <c r="AC389" s="3">
        <f t="shared" si="392"/>
        <v>0</v>
      </c>
      <c r="AD389" s="3">
        <f t="shared" si="392"/>
        <v>0</v>
      </c>
      <c r="AE389" s="3">
        <f t="shared" si="392"/>
        <v>0</v>
      </c>
      <c r="AF389" s="3">
        <f t="shared" si="392"/>
        <v>0</v>
      </c>
      <c r="AG389" s="3"/>
      <c r="AH389" s="3"/>
    </row>
    <row r="390" spans="1:34" x14ac:dyDescent="0.25">
      <c r="B390" s="3">
        <f t="shared" ref="B390:AF390" si="393">$C42*EXP(-B$363/$A42/EXP(-$H$126))</f>
        <v>0</v>
      </c>
      <c r="C390" s="3">
        <f t="shared" si="393"/>
        <v>0</v>
      </c>
      <c r="D390" s="3">
        <f t="shared" si="393"/>
        <v>0</v>
      </c>
      <c r="E390" s="3">
        <f t="shared" si="393"/>
        <v>0</v>
      </c>
      <c r="F390" s="3">
        <f t="shared" si="393"/>
        <v>0</v>
      </c>
      <c r="G390" s="3">
        <f t="shared" si="393"/>
        <v>0</v>
      </c>
      <c r="H390" s="3">
        <f t="shared" si="393"/>
        <v>0</v>
      </c>
      <c r="I390" s="3">
        <f t="shared" si="393"/>
        <v>0</v>
      </c>
      <c r="J390" s="3">
        <f t="shared" si="393"/>
        <v>0</v>
      </c>
      <c r="K390" s="3">
        <f t="shared" si="393"/>
        <v>0</v>
      </c>
      <c r="L390" s="3">
        <f t="shared" si="393"/>
        <v>0</v>
      </c>
      <c r="M390" s="3">
        <f t="shared" si="393"/>
        <v>0</v>
      </c>
      <c r="N390" s="3">
        <f t="shared" si="393"/>
        <v>0</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6.2164799219330605E-5</v>
      </c>
      <c r="C391" s="3">
        <f t="shared" si="394"/>
        <v>6.2164799219330605E-5</v>
      </c>
      <c r="D391" s="3">
        <f t="shared" si="394"/>
        <v>6.2164799219330605E-5</v>
      </c>
      <c r="E391" s="3">
        <f t="shared" si="394"/>
        <v>6.2164799219330605E-5</v>
      </c>
      <c r="F391" s="3">
        <f t="shared" si="394"/>
        <v>6.2164799219330605E-5</v>
      </c>
      <c r="G391" s="3">
        <f t="shared" si="394"/>
        <v>6.2164799219330605E-5</v>
      </c>
      <c r="H391" s="3">
        <f t="shared" si="394"/>
        <v>6.2164799219330605E-5</v>
      </c>
      <c r="I391" s="3">
        <f t="shared" si="394"/>
        <v>6.2164799219330605E-5</v>
      </c>
      <c r="J391" s="3">
        <f t="shared" si="394"/>
        <v>6.2164799219330605E-5</v>
      </c>
      <c r="K391" s="3">
        <f t="shared" si="394"/>
        <v>6.2164799219330605E-5</v>
      </c>
      <c r="L391" s="3">
        <f t="shared" si="394"/>
        <v>6.2164799219330592E-5</v>
      </c>
      <c r="M391" s="3">
        <f t="shared" si="394"/>
        <v>6.2164799219330537E-5</v>
      </c>
      <c r="N391" s="3">
        <f t="shared" si="394"/>
        <v>6.2164799219329982E-5</v>
      </c>
      <c r="O391" s="3">
        <f t="shared" si="394"/>
        <v>6.2164799219324384E-5</v>
      </c>
      <c r="P391" s="3">
        <f t="shared" si="394"/>
        <v>6.216479921926844E-5</v>
      </c>
      <c r="Q391" s="3">
        <f t="shared" si="394"/>
        <v>6.2164799218708964E-5</v>
      </c>
      <c r="R391" s="3">
        <f t="shared" si="394"/>
        <v>6.2164799213114224E-5</v>
      </c>
      <c r="S391" s="3">
        <f t="shared" si="394"/>
        <v>6.2164799157166816E-5</v>
      </c>
      <c r="T391" s="3">
        <f t="shared" si="394"/>
        <v>6.2164798597692705E-5</v>
      </c>
      <c r="U391" s="3">
        <f t="shared" si="394"/>
        <v>6.2164793002951902E-5</v>
      </c>
      <c r="V391" s="3">
        <f t="shared" si="394"/>
        <v>6.216473705557152E-5</v>
      </c>
      <c r="W391" s="3">
        <f t="shared" si="394"/>
        <v>6.2164177584537051E-5</v>
      </c>
      <c r="X391" s="3">
        <f t="shared" si="394"/>
        <v>6.2158583151117357E-5</v>
      </c>
      <c r="Y391" s="3">
        <f t="shared" si="394"/>
        <v>6.2102666500195471E-5</v>
      </c>
      <c r="Z391" s="3">
        <f t="shared" si="394"/>
        <v>6.1546259122260578E-5</v>
      </c>
      <c r="AA391" s="3">
        <f t="shared" si="394"/>
        <v>5.6249127721157675E-5</v>
      </c>
      <c r="AB391" s="3">
        <f t="shared" si="394"/>
        <v>2.2869522809596929E-5</v>
      </c>
      <c r="AC391" s="3">
        <f t="shared" si="394"/>
        <v>2.822735664036642E-9</v>
      </c>
      <c r="AD391" s="3">
        <f t="shared" si="394"/>
        <v>2.3163345571044346E-48</v>
      </c>
      <c r="AE391" s="3">
        <f t="shared" si="394"/>
        <v>0</v>
      </c>
      <c r="AF391" s="3">
        <f t="shared" si="394"/>
        <v>0</v>
      </c>
      <c r="AG391" s="3"/>
      <c r="AH391" s="3"/>
    </row>
    <row r="392" spans="1:34" x14ac:dyDescent="0.25">
      <c r="B392" s="3">
        <f t="shared" ref="B392:AF392" si="395">$C44*EXP(-B$363/$A44/EXP(-$H$126))</f>
        <v>1.589018825978126E-4</v>
      </c>
      <c r="C392" s="3">
        <f t="shared" si="395"/>
        <v>1.589018825978126E-4</v>
      </c>
      <c r="D392" s="3">
        <f t="shared" si="395"/>
        <v>1.589018825978126E-4</v>
      </c>
      <c r="E392" s="3">
        <f t="shared" si="395"/>
        <v>1.589018825978126E-4</v>
      </c>
      <c r="F392" s="3">
        <f t="shared" si="395"/>
        <v>1.589018825978126E-4</v>
      </c>
      <c r="G392" s="3">
        <f t="shared" si="395"/>
        <v>1.589018825978126E-4</v>
      </c>
      <c r="H392" s="3">
        <f t="shared" si="395"/>
        <v>1.589018825978126E-4</v>
      </c>
      <c r="I392" s="3">
        <f t="shared" si="395"/>
        <v>1.589018825978126E-4</v>
      </c>
      <c r="J392" s="3">
        <f t="shared" si="395"/>
        <v>1.589018825978126E-4</v>
      </c>
      <c r="K392" s="3">
        <f t="shared" si="395"/>
        <v>1.589018825978126E-4</v>
      </c>
      <c r="L392" s="3">
        <f t="shared" si="395"/>
        <v>1.589018825978126E-4</v>
      </c>
      <c r="M392" s="3">
        <f t="shared" si="395"/>
        <v>1.5890188259781257E-4</v>
      </c>
      <c r="N392" s="3">
        <f t="shared" si="395"/>
        <v>1.5890188259781244E-4</v>
      </c>
      <c r="O392" s="3">
        <f t="shared" si="395"/>
        <v>1.58901882597811E-4</v>
      </c>
      <c r="P392" s="3">
        <f t="shared" si="395"/>
        <v>1.5890188259779672E-4</v>
      </c>
      <c r="Q392" s="3">
        <f t="shared" si="395"/>
        <v>1.5890188259765371E-4</v>
      </c>
      <c r="R392" s="3">
        <f t="shared" si="395"/>
        <v>1.5890188259622359E-4</v>
      </c>
      <c r="S392" s="3">
        <f t="shared" si="395"/>
        <v>1.5890188258192267E-4</v>
      </c>
      <c r="T392" s="3">
        <f t="shared" si="395"/>
        <v>1.5890188243891328E-4</v>
      </c>
      <c r="U392" s="3">
        <f t="shared" si="395"/>
        <v>1.5890188100881958E-4</v>
      </c>
      <c r="V392" s="3">
        <f t="shared" si="395"/>
        <v>1.5890186670788306E-4</v>
      </c>
      <c r="W392" s="3">
        <f t="shared" si="395"/>
        <v>1.5890172369858872E-4</v>
      </c>
      <c r="X392" s="3">
        <f t="shared" si="395"/>
        <v>1.5890029361272418E-4</v>
      </c>
      <c r="Y392" s="3">
        <f t="shared" si="395"/>
        <v>1.5888599346193755E-4</v>
      </c>
      <c r="Z392" s="3">
        <f t="shared" si="395"/>
        <v>1.587430627163768E-4</v>
      </c>
      <c r="AA392" s="3">
        <f t="shared" si="395"/>
        <v>1.5732080798451121E-4</v>
      </c>
      <c r="AB392" s="3">
        <f t="shared" si="395"/>
        <v>1.4378060255356535E-4</v>
      </c>
      <c r="AC392" s="3">
        <f t="shared" si="395"/>
        <v>5.8457684641383774E-5</v>
      </c>
      <c r="AD392" s="3">
        <f t="shared" si="395"/>
        <v>7.2153053934731092E-9</v>
      </c>
      <c r="AE392" s="3">
        <f t="shared" si="395"/>
        <v>5.9208736531366626E-48</v>
      </c>
      <c r="AF392" s="3">
        <f t="shared" si="395"/>
        <v>0</v>
      </c>
      <c r="AG392" s="3"/>
      <c r="AH392" s="3"/>
    </row>
    <row r="393" spans="1:34" x14ac:dyDescent="0.25">
      <c r="B393" s="3">
        <f t="shared" ref="B393:AF393" si="396">$C45*EXP(-B$363/$A45/EXP(-$H$126))</f>
        <v>0</v>
      </c>
      <c r="C393" s="3">
        <f t="shared" si="396"/>
        <v>0</v>
      </c>
      <c r="D393" s="3">
        <f t="shared" si="396"/>
        <v>0</v>
      </c>
      <c r="E393" s="3">
        <f t="shared" si="396"/>
        <v>0</v>
      </c>
      <c r="F393" s="3">
        <f t="shared" si="396"/>
        <v>0</v>
      </c>
      <c r="G393" s="3">
        <f t="shared" si="396"/>
        <v>0</v>
      </c>
      <c r="H393" s="3">
        <f t="shared" si="396"/>
        <v>0</v>
      </c>
      <c r="I393" s="3">
        <f t="shared" si="396"/>
        <v>0</v>
      </c>
      <c r="J393" s="3">
        <f t="shared" si="396"/>
        <v>0</v>
      </c>
      <c r="K393" s="3">
        <f t="shared" si="396"/>
        <v>0</v>
      </c>
      <c r="L393" s="3">
        <f t="shared" si="396"/>
        <v>0</v>
      </c>
      <c r="M393" s="3">
        <f t="shared" si="396"/>
        <v>0</v>
      </c>
      <c r="N393" s="3">
        <f t="shared" si="396"/>
        <v>0</v>
      </c>
      <c r="O393" s="3">
        <f t="shared" si="396"/>
        <v>0</v>
      </c>
      <c r="P393" s="3">
        <f t="shared" si="396"/>
        <v>0</v>
      </c>
      <c r="Q393" s="3">
        <f t="shared" si="396"/>
        <v>0</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7.8909905102376337E-4</v>
      </c>
      <c r="C396" s="3">
        <f t="shared" si="399"/>
        <v>7.8909905102376337E-4</v>
      </c>
      <c r="D396" s="3">
        <f t="shared" si="399"/>
        <v>7.8909905102376337E-4</v>
      </c>
      <c r="E396" s="3">
        <f t="shared" si="399"/>
        <v>7.8909905102376337E-4</v>
      </c>
      <c r="F396" s="3">
        <f t="shared" si="399"/>
        <v>7.8909905102376337E-4</v>
      </c>
      <c r="G396" s="3">
        <f t="shared" si="399"/>
        <v>7.8909905102376337E-4</v>
      </c>
      <c r="H396" s="3">
        <f t="shared" si="399"/>
        <v>7.8909905102376337E-4</v>
      </c>
      <c r="I396" s="3">
        <f t="shared" si="399"/>
        <v>7.8909905102376337E-4</v>
      </c>
      <c r="J396" s="3">
        <f t="shared" si="399"/>
        <v>7.8909905102376337E-4</v>
      </c>
      <c r="K396" s="3">
        <f t="shared" si="399"/>
        <v>7.8909905102376337E-4</v>
      </c>
      <c r="L396" s="3">
        <f t="shared" si="399"/>
        <v>7.8909905102376337E-4</v>
      </c>
      <c r="M396" s="3">
        <f t="shared" si="399"/>
        <v>7.8909905102376337E-4</v>
      </c>
      <c r="N396" s="3">
        <f t="shared" si="399"/>
        <v>7.8909905102376337E-4</v>
      </c>
      <c r="O396" s="3">
        <f t="shared" si="399"/>
        <v>7.8909905102376337E-4</v>
      </c>
      <c r="P396" s="3">
        <f t="shared" si="399"/>
        <v>7.8909905102376337E-4</v>
      </c>
      <c r="Q396" s="3">
        <f t="shared" si="399"/>
        <v>7.8909905102376326E-4</v>
      </c>
      <c r="R396" s="3">
        <f t="shared" si="399"/>
        <v>7.8909905102376261E-4</v>
      </c>
      <c r="S396" s="3">
        <f t="shared" si="399"/>
        <v>7.8909905102375545E-4</v>
      </c>
      <c r="T396" s="3">
        <f t="shared" si="399"/>
        <v>7.8909905102368444E-4</v>
      </c>
      <c r="U396" s="3">
        <f t="shared" si="399"/>
        <v>7.8909905102297429E-4</v>
      </c>
      <c r="V396" s="3">
        <f t="shared" si="399"/>
        <v>7.8909905101587244E-4</v>
      </c>
      <c r="W396" s="3">
        <f t="shared" si="399"/>
        <v>7.8909905094485481E-4</v>
      </c>
      <c r="X396" s="3">
        <f t="shared" si="399"/>
        <v>7.8909905023467712E-4</v>
      </c>
      <c r="Y396" s="3">
        <f t="shared" si="399"/>
        <v>7.8909904313290103E-4</v>
      </c>
      <c r="Z396" s="3">
        <f t="shared" si="399"/>
        <v>7.8909897211514306E-4</v>
      </c>
      <c r="AA396" s="3">
        <f t="shared" si="399"/>
        <v>7.8909826193791538E-4</v>
      </c>
      <c r="AB396" s="3">
        <f t="shared" si="399"/>
        <v>7.8909116020079231E-4</v>
      </c>
      <c r="AC396" s="3">
        <f t="shared" si="399"/>
        <v>7.8902014634475248E-4</v>
      </c>
      <c r="AD396" s="3">
        <f t="shared" si="399"/>
        <v>7.8831035918653768E-4</v>
      </c>
      <c r="AE396" s="3">
        <f t="shared" si="399"/>
        <v>7.8124751108882328E-4</v>
      </c>
      <c r="AF396" s="3">
        <f t="shared" si="399"/>
        <v>7.1400750687018689E-4</v>
      </c>
      <c r="AG396" s="3"/>
      <c r="AH396" s="3"/>
    </row>
    <row r="397" spans="1:34" x14ac:dyDescent="0.25">
      <c r="A397" s="79">
        <f>AVERAGE(B397:AF397)</f>
        <v>7.8385033465837891E-6</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3.6828986352156916E-6</v>
      </c>
      <c r="M397" s="80">
        <f t="shared" si="400"/>
        <v>1.6584170195744412E-5</v>
      </c>
      <c r="N397" s="80">
        <f t="shared" si="400"/>
        <v>2.310622724276176E-5</v>
      </c>
      <c r="O397" s="80">
        <f t="shared" si="400"/>
        <v>2.9837730000140983E-5</v>
      </c>
      <c r="P397" s="80">
        <f t="shared" si="400"/>
        <v>6.1852253566543505E-6</v>
      </c>
      <c r="Q397" s="80">
        <f t="shared" si="400"/>
        <v>4.5736704394127822E-7</v>
      </c>
      <c r="R397" s="80">
        <f t="shared" si="400"/>
        <v>1.5845476610676437E-5</v>
      </c>
      <c r="S397" s="80">
        <f t="shared" si="400"/>
        <v>4.1091118758460114E-5</v>
      </c>
      <c r="T397" s="80">
        <f t="shared" si="400"/>
        <v>5.2885440345926205E-5</v>
      </c>
      <c r="U397" s="80">
        <f t="shared" si="400"/>
        <v>3.9022807736257051E-5</v>
      </c>
      <c r="V397" s="80">
        <f t="shared" si="400"/>
        <v>1.4295141818319196E-5</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8033.5400384945833</v>
      </c>
      <c r="C398" s="21">
        <f t="shared" ref="C398:AF398" si="401">(C365-C364)^2</f>
        <v>13441.041779372103</v>
      </c>
      <c r="D398" s="21">
        <f t="shared" si="401"/>
        <v>941.91745878490781</v>
      </c>
      <c r="E398" s="21">
        <f t="shared" si="401"/>
        <v>25.162613678651478</v>
      </c>
      <c r="F398" s="21">
        <f t="shared" si="401"/>
        <v>0.49557954129589132</v>
      </c>
      <c r="G398" s="21">
        <f t="shared" si="401"/>
        <v>9.2345676377937527E-3</v>
      </c>
      <c r="H398" s="21">
        <f t="shared" si="401"/>
        <v>7.5122018605595407E-5</v>
      </c>
      <c r="I398" s="21">
        <f t="shared" si="401"/>
        <v>1.0569903098552986E-4</v>
      </c>
      <c r="J398" s="21">
        <f t="shared" si="401"/>
        <v>5.5651106836069125E-9</v>
      </c>
      <c r="K398" s="21">
        <f t="shared" si="401"/>
        <v>2.1005115625968883E-4</v>
      </c>
      <c r="L398" s="21">
        <f t="shared" si="401"/>
        <v>2.1075726350710546E-5</v>
      </c>
      <c r="M398" s="21">
        <f t="shared" si="401"/>
        <v>1.4322177437691423E-4</v>
      </c>
      <c r="N398" s="21">
        <f t="shared" si="401"/>
        <v>8.7454267537163667E-5</v>
      </c>
      <c r="O398" s="21">
        <f t="shared" si="401"/>
        <v>6.2554508571801017E-5</v>
      </c>
      <c r="P398" s="21">
        <f t="shared" si="401"/>
        <v>1.9264583819106898E-6</v>
      </c>
      <c r="Q398" s="21">
        <f t="shared" si="401"/>
        <v>8.5771974643446723E-9</v>
      </c>
      <c r="R398" s="21">
        <f t="shared" si="401"/>
        <v>9.048480022888206E-6</v>
      </c>
      <c r="S398" s="21">
        <f t="shared" si="401"/>
        <v>4.8718389131453361E-5</v>
      </c>
      <c r="T398" s="21">
        <f t="shared" si="401"/>
        <v>5.6629581196574858E-5</v>
      </c>
      <c r="U398" s="21">
        <f t="shared" si="401"/>
        <v>2.2559724684071224E-5</v>
      </c>
      <c r="V398" s="21">
        <f t="shared" si="401"/>
        <v>2.4402416752704369E-6</v>
      </c>
      <c r="W398" s="21">
        <f t="shared" si="401"/>
        <v>1.5580481399781401E-6</v>
      </c>
      <c r="X398" s="21">
        <f t="shared" si="401"/>
        <v>5.2449978041874256E-7</v>
      </c>
      <c r="Y398" s="21">
        <f t="shared" si="401"/>
        <v>5.4614048402716076E-5</v>
      </c>
      <c r="Z398" s="21">
        <f t="shared" si="401"/>
        <v>2.4712344553038279E-4</v>
      </c>
      <c r="AA398" s="21">
        <f t="shared" si="401"/>
        <v>1.2486594371202986E-3</v>
      </c>
      <c r="AB398" s="21">
        <f t="shared" si="401"/>
        <v>4.338179161955431E-3</v>
      </c>
      <c r="AC398" s="21">
        <f t="shared" si="401"/>
        <v>8.8691734384416451E-3</v>
      </c>
      <c r="AD398" s="21">
        <f t="shared" si="401"/>
        <v>0.10524512723013181</v>
      </c>
      <c r="AE398" s="21">
        <f t="shared" si="401"/>
        <v>6.7948186813292427E-2</v>
      </c>
      <c r="AF398" s="21">
        <f t="shared" si="401"/>
        <v>1.3974522887128955E-4</v>
      </c>
      <c r="AG398" s="3"/>
      <c r="AH398" s="3"/>
    </row>
    <row r="399" spans="1:34" x14ac:dyDescent="0.25">
      <c r="A399" s="71">
        <f>SUM(B399:AF399)</f>
        <v>4.5563772912622251E-4</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2.1075726350710546E-5</v>
      </c>
      <c r="M399" s="60">
        <f t="shared" ref="M399" si="412">IF($A$64&lt;=M363,IF($B$64&gt;=M363,ABS(M398),0),0)</f>
        <v>1.4322177437691423E-4</v>
      </c>
      <c r="N399" s="60">
        <f t="shared" ref="N399" si="413">IF($A$64&lt;=N363,IF($B$64&gt;=N363,ABS(N398),0),0)</f>
        <v>8.7454267537163667E-5</v>
      </c>
      <c r="O399" s="60">
        <f t="shared" ref="O399" si="414">IF($A$64&lt;=O363,IF($B$64&gt;=O363,ABS(O398),0),0)</f>
        <v>6.2554508571801017E-5</v>
      </c>
      <c r="P399" s="60">
        <f t="shared" ref="P399" si="415">IF($A$64&lt;=P363,IF($B$64&gt;=P363,ABS(P398),0),0)</f>
        <v>1.9264583819106898E-6</v>
      </c>
      <c r="Q399" s="60">
        <f t="shared" ref="Q399" si="416">IF($A$64&lt;=Q363,IF($B$64&gt;=Q363,ABS(Q398),0),0)</f>
        <v>8.5771974643446723E-9</v>
      </c>
      <c r="R399" s="60">
        <f t="shared" ref="R399" si="417">IF($A$64&lt;=R363,IF($B$64&gt;=R363,ABS(R398),0),0)</f>
        <v>9.048480022888206E-6</v>
      </c>
      <c r="S399" s="60">
        <f t="shared" ref="S399" si="418">IF($A$64&lt;=S363,IF($B$64&gt;=S363,ABS(S398),0),0)</f>
        <v>4.8718389131453361E-5</v>
      </c>
      <c r="T399" s="60">
        <f t="shared" ref="T399" si="419">IF($A$64&lt;=T363,IF($B$64&gt;=T363,ABS(T398),0),0)</f>
        <v>5.6629581196574858E-5</v>
      </c>
      <c r="U399" s="60">
        <f t="shared" ref="U399" si="420">IF($A$64&lt;=U363,IF($B$64&gt;=U363,ABS(U398),0),0)</f>
        <v>2.2559724684071224E-5</v>
      </c>
      <c r="V399" s="60">
        <f t="shared" ref="V399" si="421">IF($A$64&lt;=V363,IF($B$64&gt;=V363,ABS(V398),0),0)</f>
        <v>2.4402416752704369E-6</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162</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-44.26089696904954</v>
      </c>
      <c r="C403" s="107">
        <f t="shared" ref="C403:H403" si="432">IF(C125=$B$2,0,C126)</f>
        <v>-41.268748195236732</v>
      </c>
      <c r="D403" s="107">
        <f t="shared" si="432"/>
        <v>-37.103682773973375</v>
      </c>
      <c r="E403" s="107">
        <f t="shared" si="432"/>
        <v>-31.380796825884964</v>
      </c>
      <c r="F403" s="107">
        <f t="shared" si="432"/>
        <v>-22.619462830515431</v>
      </c>
      <c r="G403" s="107">
        <f t="shared" si="432"/>
        <v>-4.183678981864384</v>
      </c>
      <c r="H403" s="107">
        <f t="shared" si="432"/>
        <v>0</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5.994275262410036E-35</v>
      </c>
      <c r="C404" s="3">
        <f t="shared" ref="C404:H419" si="433">$A404/EXP(-C$403)</f>
        <v>1.1945666440560854E-33</v>
      </c>
      <c r="D404" s="3">
        <f t="shared" si="433"/>
        <v>7.6926383024802419E-32</v>
      </c>
      <c r="E404" s="3">
        <f t="shared" si="433"/>
        <v>2.3523021243838521E-29</v>
      </c>
      <c r="F404" s="3">
        <f t="shared" si="433"/>
        <v>1.501385126106643E-25</v>
      </c>
      <c r="G404" s="3">
        <f t="shared" si="433"/>
        <v>1.5242328039930881E-17</v>
      </c>
      <c r="H404" s="3">
        <f t="shared" si="433"/>
        <v>1.0000000000000001E-15</v>
      </c>
      <c r="I404" s="109">
        <f>Comparison!AL3</f>
        <v>1.0000000000000001E-15</v>
      </c>
      <c r="J404" s="3">
        <f>Comparison!AM3</f>
        <v>7439.7100142178388</v>
      </c>
      <c r="K404" s="3">
        <f>Comparison!AN3</f>
        <v>7373.6169222469052</v>
      </c>
      <c r="L404" s="3">
        <f>Comparison!AO3</f>
        <v>7330.9698900812818</v>
      </c>
      <c r="M404" s="3">
        <f>Comparison!AP3</f>
        <v>7287.2421568641066</v>
      </c>
      <c r="N404" s="3">
        <f>Comparison!AQ3</f>
        <v>7233.2784973668249</v>
      </c>
      <c r="O404" s="3">
        <f>Comparison!AR3</f>
        <v>6585.7419229281086</v>
      </c>
      <c r="P404" s="3">
        <f>Comparison!AS3</f>
        <v>6163.9172848230364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5.9942752624100358E-34</v>
      </c>
      <c r="C405" s="3">
        <f t="shared" si="433"/>
        <v>1.1945666440560853E-32</v>
      </c>
      <c r="D405" s="3">
        <f t="shared" si="433"/>
        <v>7.6926383024802413E-31</v>
      </c>
      <c r="E405" s="3">
        <f t="shared" si="433"/>
        <v>2.3523021243838519E-28</v>
      </c>
      <c r="F405" s="3">
        <f t="shared" si="433"/>
        <v>1.5013851261066427E-24</v>
      </c>
      <c r="G405" s="3">
        <f t="shared" si="433"/>
        <v>1.5242328039930881E-16</v>
      </c>
      <c r="H405" s="3">
        <f t="shared" si="433"/>
        <v>1E-14</v>
      </c>
      <c r="I405" s="109">
        <f>Comparison!AL4</f>
        <v>1E-14</v>
      </c>
      <c r="J405" s="3">
        <f>Comparison!AM4</f>
        <v>7439.7868081900597</v>
      </c>
      <c r="K405" s="3">
        <f>Comparison!AN4</f>
        <v>7373.6918607149901</v>
      </c>
      <c r="L405" s="3">
        <f>Comparison!AO4</f>
        <v>7331.0435342500059</v>
      </c>
      <c r="M405" s="3">
        <f>Comparison!AP4</f>
        <v>7287.3146216469959</v>
      </c>
      <c r="N405" s="3">
        <f>Comparison!AQ4</f>
        <v>7233.3436741214491</v>
      </c>
      <c r="O405" s="3">
        <f>Comparison!AR4</f>
        <v>6334.3824808152185</v>
      </c>
      <c r="P405" s="3">
        <f>Comparison!AS4</f>
        <v>5842.0148400129501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5.9942752624100358E-33</v>
      </c>
      <c r="C406" s="3">
        <f t="shared" si="433"/>
        <v>1.1945666440560853E-31</v>
      </c>
      <c r="D406" s="3">
        <f t="shared" si="433"/>
        <v>7.6926383024802411E-30</v>
      </c>
      <c r="E406" s="3">
        <f t="shared" si="433"/>
        <v>2.3523021243838518E-27</v>
      </c>
      <c r="F406" s="3">
        <f t="shared" si="433"/>
        <v>1.5013851261066428E-23</v>
      </c>
      <c r="G406" s="3">
        <f t="shared" si="433"/>
        <v>1.5242328039930881E-15</v>
      </c>
      <c r="H406" s="3">
        <f t="shared" si="433"/>
        <v>1E-13</v>
      </c>
      <c r="I406" s="109">
        <f>Comparison!AL5</f>
        <v>1E-13</v>
      </c>
      <c r="J406" s="3">
        <f>Comparison!AM5</f>
        <v>7439.7470193525078</v>
      </c>
      <c r="K406" s="3">
        <f>Comparison!AN5</f>
        <v>7373.6524650120191</v>
      </c>
      <c r="L406" s="3">
        <f>Comparison!AO5</f>
        <v>7331.0044701030138</v>
      </c>
      <c r="M406" s="3">
        <f>Comparison!AP5</f>
        <v>7287.2757793731034</v>
      </c>
      <c r="N406" s="3">
        <f>Comparison!AQ5</f>
        <v>7233.2477630478616</v>
      </c>
      <c r="O406" s="3">
        <f>Comparison!AR5</f>
        <v>6097.7114849761656</v>
      </c>
      <c r="P406" s="3">
        <f>Comparison!AS5</f>
        <v>5557.579467209528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5.9942752624100359E-32</v>
      </c>
      <c r="C407" s="3">
        <f t="shared" si="433"/>
        <v>1.1945666440560854E-30</v>
      </c>
      <c r="D407" s="3">
        <f t="shared" si="433"/>
        <v>7.6926383024802411E-29</v>
      </c>
      <c r="E407" s="3">
        <f t="shared" si="433"/>
        <v>2.3523021243838517E-26</v>
      </c>
      <c r="F407" s="3">
        <f t="shared" si="433"/>
        <v>1.5013851261066428E-22</v>
      </c>
      <c r="G407" s="3">
        <f t="shared" si="433"/>
        <v>1.524232803993088E-14</v>
      </c>
      <c r="H407" s="3">
        <f t="shared" si="433"/>
        <v>9.9999999999999998E-13</v>
      </c>
      <c r="I407" s="109">
        <f>Comparison!AL6</f>
        <v>9.9999999999999998E-13</v>
      </c>
      <c r="J407" s="3">
        <f>Comparison!AM6</f>
        <v>7439.7367084831149</v>
      </c>
      <c r="K407" s="3">
        <f>Comparison!AN6</f>
        <v>7373.6422743939765</v>
      </c>
      <c r="L407" s="3">
        <f>Comparison!AO6</f>
        <v>7330.9943970257091</v>
      </c>
      <c r="M407" s="3">
        <f>Comparison!AP6</f>
        <v>7287.2657654165014</v>
      </c>
      <c r="N407" s="3">
        <f>Comparison!AQ6</f>
        <v>7232.6642193149437</v>
      </c>
      <c r="O407" s="3">
        <f>Comparison!AR6</f>
        <v>5825.3419350887143</v>
      </c>
      <c r="P407" s="3">
        <f>Comparison!AS6</f>
        <v>5275.4812921063285</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5.9942752624100352E-31</v>
      </c>
      <c r="C408" s="3">
        <f t="shared" si="433"/>
        <v>1.1945666440560853E-29</v>
      </c>
      <c r="D408" s="3">
        <f t="shared" si="433"/>
        <v>7.6926383024802411E-28</v>
      </c>
      <c r="E408" s="3">
        <f t="shared" si="433"/>
        <v>2.3523021243838519E-25</v>
      </c>
      <c r="F408" s="3">
        <f t="shared" si="433"/>
        <v>1.5013851261066426E-21</v>
      </c>
      <c r="G408" s="3">
        <f t="shared" si="433"/>
        <v>1.524232803993088E-13</v>
      </c>
      <c r="H408" s="3">
        <f t="shared" si="433"/>
        <v>9.9999999999999994E-12</v>
      </c>
      <c r="I408" s="109">
        <f>Comparison!AL7</f>
        <v>9.9999999999999994E-12</v>
      </c>
      <c r="J408" s="3">
        <f>Comparison!AM7</f>
        <v>7439.7336721589263</v>
      </c>
      <c r="K408" s="3">
        <f>Comparison!AN7</f>
        <v>7373.6393539171686</v>
      </c>
      <c r="L408" s="3">
        <f>Comparison!AO7</f>
        <v>7330.991448813199</v>
      </c>
      <c r="M408" s="3">
        <f>Comparison!AP7</f>
        <v>7287.2629129611732</v>
      </c>
      <c r="N408" s="3">
        <f>Comparison!AQ7</f>
        <v>7227.030574444283</v>
      </c>
      <c r="O408" s="3">
        <f>Comparison!AR7</f>
        <v>5546.9331561273084</v>
      </c>
      <c r="P408" s="3">
        <f>Comparison!AS7</f>
        <v>4966.4021193857116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5.9942752624100359E-30</v>
      </c>
      <c r="C409" s="3">
        <f t="shared" si="433"/>
        <v>1.1945666440560853E-28</v>
      </c>
      <c r="D409" s="3">
        <f t="shared" si="433"/>
        <v>7.6926383024802422E-27</v>
      </c>
      <c r="E409" s="3">
        <f t="shared" si="433"/>
        <v>2.3523021243838518E-24</v>
      </c>
      <c r="F409" s="3">
        <f t="shared" si="433"/>
        <v>1.5013851261066428E-20</v>
      </c>
      <c r="G409" s="3">
        <f t="shared" si="433"/>
        <v>1.5242328039930882E-12</v>
      </c>
      <c r="H409" s="3">
        <f t="shared" si="433"/>
        <v>1E-10</v>
      </c>
      <c r="I409" s="109">
        <f>Comparison!AL8</f>
        <v>1E-10</v>
      </c>
      <c r="J409" s="3">
        <f>Comparison!AM8</f>
        <v>7439.732723308126</v>
      </c>
      <c r="K409" s="3">
        <f>Comparison!AN8</f>
        <v>7373.6384218505882</v>
      </c>
      <c r="L409" s="3">
        <f>Comparison!AO8</f>
        <v>7330.990588918331</v>
      </c>
      <c r="M409" s="3">
        <f>Comparison!AP8</f>
        <v>7287.2618205320641</v>
      </c>
      <c r="N409" s="3">
        <f>Comparison!AQ8</f>
        <v>7179.9574188317292</v>
      </c>
      <c r="O409" s="3">
        <f>Comparison!AR8</f>
        <v>5257.3325173232261</v>
      </c>
      <c r="P409" s="3">
        <f>Comparison!AS8</f>
        <v>4621.0156652325422</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5.9942752624100359E-29</v>
      </c>
      <c r="C410" s="3">
        <f t="shared" si="433"/>
        <v>1.1945666440560855E-27</v>
      </c>
      <c r="D410" s="3">
        <f t="shared" si="433"/>
        <v>7.6926383024802419E-26</v>
      </c>
      <c r="E410" s="3">
        <f t="shared" si="433"/>
        <v>2.3523021243838518E-23</v>
      </c>
      <c r="F410" s="3">
        <f t="shared" si="433"/>
        <v>1.5013851261066428E-19</v>
      </c>
      <c r="G410" s="3">
        <f t="shared" si="433"/>
        <v>1.5242328039930881E-11</v>
      </c>
      <c r="H410" s="3">
        <f t="shared" si="433"/>
        <v>1.0000000000000001E-9</v>
      </c>
      <c r="I410" s="109">
        <f>Comparison!AL9</f>
        <v>1.0000000000000001E-9</v>
      </c>
      <c r="J410" s="3">
        <f>Comparison!AM9</f>
        <v>7439.7324702812866</v>
      </c>
      <c r="K410" s="3">
        <f>Comparison!AN9</f>
        <v>7373.6381732995414</v>
      </c>
      <c r="L410" s="3">
        <f>Comparison!AO9</f>
        <v>7330.9902818130686</v>
      </c>
      <c r="M410" s="3">
        <f>Comparison!AP9</f>
        <v>7287.2593322225375</v>
      </c>
      <c r="N410" s="3">
        <f>Comparison!AQ9</f>
        <v>7042.6684859234238</v>
      </c>
      <c r="O410" s="3">
        <f>Comparison!AR9</f>
        <v>4943.4016945901922</v>
      </c>
      <c r="P410" s="3">
        <f>Comparison!AS9</f>
        <v>4155.4773315838347</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5.9942752624100359E-28</v>
      </c>
      <c r="C411" s="3">
        <f t="shared" si="433"/>
        <v>1.1945666440560854E-26</v>
      </c>
      <c r="D411" s="3">
        <f t="shared" si="433"/>
        <v>7.6926383024802419E-25</v>
      </c>
      <c r="E411" s="3">
        <f t="shared" si="433"/>
        <v>2.352302124383852E-22</v>
      </c>
      <c r="F411" s="3">
        <f t="shared" si="433"/>
        <v>1.5013851261066429E-18</v>
      </c>
      <c r="G411" s="3">
        <f t="shared" si="433"/>
        <v>1.5242328039930881E-10</v>
      </c>
      <c r="H411" s="3">
        <f t="shared" si="433"/>
        <v>1E-8</v>
      </c>
      <c r="I411" s="109">
        <f>Comparison!AL10</f>
        <v>1E-8</v>
      </c>
      <c r="J411" s="3">
        <f>Comparison!AM10</f>
        <v>7439.7324070245795</v>
      </c>
      <c r="K411" s="3">
        <f>Comparison!AN10</f>
        <v>7373.6380490240244</v>
      </c>
      <c r="L411" s="3">
        <f>Comparison!AO10</f>
        <v>7330.9901589709716</v>
      </c>
      <c r="M411" s="3">
        <f>Comparison!AP10</f>
        <v>7287.2374230339683</v>
      </c>
      <c r="N411" s="3">
        <f>Comparison!AQ10</f>
        <v>6896.670224560311</v>
      </c>
      <c r="O411" s="3">
        <f>Comparison!AR10</f>
        <v>4573.266252420035</v>
      </c>
      <c r="P411" s="3">
        <f>Comparison!AS10</f>
        <v>3566.7724920591822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5.9942752624100354E-27</v>
      </c>
      <c r="C412" s="3">
        <f t="shared" si="433"/>
        <v>1.1945666440560852E-25</v>
      </c>
      <c r="D412" s="3">
        <f t="shared" si="433"/>
        <v>7.6926383024802408E-24</v>
      </c>
      <c r="E412" s="3">
        <f t="shared" si="433"/>
        <v>2.3523021243838516E-21</v>
      </c>
      <c r="F412" s="3">
        <f t="shared" si="433"/>
        <v>1.5013851261066427E-17</v>
      </c>
      <c r="G412" s="3">
        <f t="shared" si="433"/>
        <v>1.5242328039930881E-9</v>
      </c>
      <c r="H412" s="3">
        <f t="shared" si="433"/>
        <v>9.9999999999999995E-8</v>
      </c>
      <c r="I412" s="109">
        <f>Comparison!AL11</f>
        <v>9.9999999999999995E-8</v>
      </c>
      <c r="J412" s="3">
        <f>Comparison!AM11</f>
        <v>7439.7323437678724</v>
      </c>
      <c r="K412" s="3">
        <f>Comparison!AN11</f>
        <v>7373.6380490240244</v>
      </c>
      <c r="L412" s="3">
        <f>Comparison!AO11</f>
        <v>7330.9898518657455</v>
      </c>
      <c r="M412" s="3">
        <f>Comparison!AP11</f>
        <v>7287.0191880040384</v>
      </c>
      <c r="N412" s="3">
        <f>Comparison!AQ11</f>
        <v>6728.3118442587265</v>
      </c>
      <c r="O412" s="3">
        <f>Comparison!AR11</f>
        <v>4079.2740096930638</v>
      </c>
      <c r="P412" s="3">
        <f>Comparison!AS11</f>
        <v>2850.9447868112361</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5.9942752624100355E-26</v>
      </c>
      <c r="C413" s="3">
        <f t="shared" si="433"/>
        <v>1.1945666440560854E-24</v>
      </c>
      <c r="D413" s="3">
        <f t="shared" si="433"/>
        <v>7.6926383024802405E-23</v>
      </c>
      <c r="E413" s="3">
        <f t="shared" si="433"/>
        <v>2.3523021243838518E-20</v>
      </c>
      <c r="F413" s="3">
        <f t="shared" si="433"/>
        <v>1.5013851261066427E-16</v>
      </c>
      <c r="G413" s="3">
        <f t="shared" si="433"/>
        <v>1.5242328039930881E-8</v>
      </c>
      <c r="H413" s="3">
        <f t="shared" si="433"/>
        <v>9.9999999999999995E-7</v>
      </c>
      <c r="I413" s="109">
        <f>Comparison!AL12</f>
        <v>9.9999999999999995E-7</v>
      </c>
      <c r="J413" s="3">
        <f>Comparison!AM12</f>
        <v>7439.7323437678724</v>
      </c>
      <c r="K413" s="3">
        <f>Comparison!AN12</f>
        <v>7373.6379247485102</v>
      </c>
      <c r="L413" s="3">
        <f>Comparison!AO12</f>
        <v>7330.9873950248675</v>
      </c>
      <c r="M413" s="3">
        <f>Comparison!AP12</f>
        <v>7284.8522944162632</v>
      </c>
      <c r="N413" s="3">
        <f>Comparison!AQ12</f>
        <v>6522.7483495061197</v>
      </c>
      <c r="O413" s="3">
        <f>Comparison!AR12</f>
        <v>3459.2497747504567</v>
      </c>
      <c r="P413" s="3">
        <f>Comparison!AS12</f>
        <v>2002.5618143914935</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5.994275262410036E-25</v>
      </c>
      <c r="C414" s="3">
        <f t="shared" si="433"/>
        <v>1.1945666440560854E-23</v>
      </c>
      <c r="D414" s="3">
        <f t="shared" si="433"/>
        <v>7.6926383024802424E-22</v>
      </c>
      <c r="E414" s="3">
        <f t="shared" si="433"/>
        <v>2.3523021243838518E-19</v>
      </c>
      <c r="F414" s="3">
        <f t="shared" si="433"/>
        <v>1.5013851261066429E-15</v>
      </c>
      <c r="G414" s="3">
        <f t="shared" si="433"/>
        <v>1.5242328039930883E-7</v>
      </c>
      <c r="H414" s="3">
        <f t="shared" si="433"/>
        <v>1.0000000000000001E-5</v>
      </c>
      <c r="I414" s="109">
        <f>Comparison!AL13</f>
        <v>1.0000000000000001E-5</v>
      </c>
      <c r="J414" s="3">
        <f>Comparison!AM13</f>
        <v>7439.7323437678724</v>
      </c>
      <c r="K414" s="3">
        <f>Comparison!AN13</f>
        <v>7373.6377383352474</v>
      </c>
      <c r="L414" s="3">
        <f>Comparison!AO13</f>
        <v>7330.962888127252</v>
      </c>
      <c r="M414" s="3">
        <f>Comparison!AP13</f>
        <v>7264.6309792458533</v>
      </c>
      <c r="N414" s="3">
        <f>Comparison!AQ13</f>
        <v>6323.7668304163335</v>
      </c>
      <c r="O414" s="3">
        <f>Comparison!AR13</f>
        <v>2702.914511015118</v>
      </c>
      <c r="P414" s="3">
        <f>Comparison!AS13</f>
        <v>1246.5264827258</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5.9942752624100358E-24</v>
      </c>
      <c r="C415" s="3">
        <f t="shared" si="433"/>
        <v>1.1945666440560854E-22</v>
      </c>
      <c r="D415" s="3">
        <f t="shared" si="433"/>
        <v>7.6926383024802424E-21</v>
      </c>
      <c r="E415" s="3">
        <f t="shared" si="433"/>
        <v>2.352302124383852E-18</v>
      </c>
      <c r="F415" s="3">
        <f t="shared" si="433"/>
        <v>1.5013851261066428E-14</v>
      </c>
      <c r="G415" s="3">
        <f t="shared" si="433"/>
        <v>1.5242328039930881E-6</v>
      </c>
      <c r="H415" s="3">
        <f t="shared" si="433"/>
        <v>1E-4</v>
      </c>
      <c r="I415" s="109">
        <f>Comparison!AL14</f>
        <v>1E-4</v>
      </c>
      <c r="J415" s="3">
        <f>Comparison!AM14</f>
        <v>7439.7322172544646</v>
      </c>
      <c r="K415" s="3">
        <f>Comparison!AN14</f>
        <v>7373.6350664128558</v>
      </c>
      <c r="L415" s="3">
        <f>Comparison!AO14</f>
        <v>7330.7179509954649</v>
      </c>
      <c r="M415" s="3">
        <f>Comparison!AP14</f>
        <v>7153.647880511483</v>
      </c>
      <c r="N415" s="3">
        <f>Comparison!AQ14</f>
        <v>6060.8557573682765</v>
      </c>
      <c r="O415" s="3">
        <f>Comparison!AR14</f>
        <v>1832.1518571214692</v>
      </c>
      <c r="P415" s="3">
        <f>Comparison!AS14</f>
        <v>721.62368462950201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5.9942752624100355E-23</v>
      </c>
      <c r="C416" s="3">
        <f t="shared" si="433"/>
        <v>1.1945666440560853E-21</v>
      </c>
      <c r="D416" s="3">
        <f t="shared" si="433"/>
        <v>7.6926383024802421E-20</v>
      </c>
      <c r="E416" s="3">
        <f t="shared" si="433"/>
        <v>2.3523021243838518E-17</v>
      </c>
      <c r="F416" s="3">
        <f t="shared" si="433"/>
        <v>1.5013851261066429E-13</v>
      </c>
      <c r="G416" s="3">
        <f t="shared" si="433"/>
        <v>1.5242328039930881E-5</v>
      </c>
      <c r="H416" s="3">
        <f t="shared" si="433"/>
        <v>1E-3</v>
      </c>
      <c r="I416" s="109">
        <f>Comparison!AL15</f>
        <v>1E-3</v>
      </c>
      <c r="J416" s="3">
        <f>Comparison!AM15</f>
        <v>7439.7315214307937</v>
      </c>
      <c r="K416" s="3">
        <f>Comparison!AN15</f>
        <v>7373.6085958444728</v>
      </c>
      <c r="L416" s="3">
        <f>Comparison!AO15</f>
        <v>7328.2878922672335</v>
      </c>
      <c r="M416" s="3">
        <f>Comparison!AP15</f>
        <v>7011.9974153857656</v>
      </c>
      <c r="N416" s="3">
        <f>Comparison!AQ15</f>
        <v>5776.7475493188331</v>
      </c>
      <c r="O416" s="3">
        <f>Comparison!AR15</f>
        <v>1105.139847553852</v>
      </c>
      <c r="P416" s="3">
        <f>Comparison!AS15</f>
        <v>404.72633399765499</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5.9942752624100358E-22</v>
      </c>
      <c r="C417" s="3">
        <f t="shared" si="433"/>
        <v>1.1945666440560854E-20</v>
      </c>
      <c r="D417" s="3">
        <f t="shared" si="433"/>
        <v>7.6926383024802411E-19</v>
      </c>
      <c r="E417" s="3">
        <f t="shared" si="433"/>
        <v>2.3523021243838517E-16</v>
      </c>
      <c r="F417" s="3">
        <f t="shared" si="433"/>
        <v>1.5013851261066428E-12</v>
      </c>
      <c r="G417" s="3">
        <f t="shared" si="433"/>
        <v>1.5242328039930881E-4</v>
      </c>
      <c r="H417" s="3">
        <f t="shared" si="433"/>
        <v>0.01</v>
      </c>
      <c r="I417" s="109">
        <f>Comparison!AL16</f>
        <v>0.01</v>
      </c>
      <c r="J417" s="3">
        <f>Comparison!AM16</f>
        <v>7439.7241836618095</v>
      </c>
      <c r="K417" s="3">
        <f>Comparison!AN16</f>
        <v>7373.3444598084343</v>
      </c>
      <c r="L417" s="3">
        <f>Comparison!AO16</f>
        <v>7305.7841813741479</v>
      </c>
      <c r="M417" s="3">
        <f>Comparison!AP16</f>
        <v>6854.7708758756735</v>
      </c>
      <c r="N417" s="3">
        <f>Comparison!AQ16</f>
        <v>5495.7675366958674</v>
      </c>
      <c r="O417" s="3">
        <f>Comparison!AR16</f>
        <v>630.91869332772831</v>
      </c>
      <c r="P417" s="3">
        <f>Comparison!AS16</f>
        <v>265.07180083177406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5.9942752624100361E-21</v>
      </c>
      <c r="C418" s="3">
        <f t="shared" si="433"/>
        <v>1.1945666440560854E-19</v>
      </c>
      <c r="D418" s="3">
        <f t="shared" si="433"/>
        <v>7.6926383024802417E-18</v>
      </c>
      <c r="E418" s="3">
        <f t="shared" si="433"/>
        <v>2.3523021243838519E-15</v>
      </c>
      <c r="F418" s="3">
        <f t="shared" si="433"/>
        <v>1.501385126106643E-11</v>
      </c>
      <c r="G418" s="3">
        <f t="shared" si="433"/>
        <v>1.5242328039930882E-3</v>
      </c>
      <c r="H418" s="3">
        <f t="shared" si="433"/>
        <v>0.1</v>
      </c>
      <c r="I418" s="109">
        <f>Comparison!AL17</f>
        <v>0.1</v>
      </c>
      <c r="J418" s="3">
        <f>Comparison!AM17</f>
        <v>7439.6508067680606</v>
      </c>
      <c r="K418" s="3">
        <f>Comparison!AN17</f>
        <v>7370.7250016112393</v>
      </c>
      <c r="L418" s="3">
        <f>Comparison!AO17</f>
        <v>7188.9840707641179</v>
      </c>
      <c r="M418" s="3">
        <f>Comparison!AP17</f>
        <v>6667.3368038637464</v>
      </c>
      <c r="N418" s="3">
        <f>Comparison!AQ17</f>
        <v>5188.5996988750203</v>
      </c>
      <c r="O418" s="3">
        <f>Comparison!AR17</f>
        <v>354.28738756335468</v>
      </c>
      <c r="P418" s="3">
        <f>Comparison!AS17</f>
        <v>224.4007416662501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5.9942752624100354E-20</v>
      </c>
      <c r="C419" s="3">
        <f t="shared" si="433"/>
        <v>1.1945666440560854E-18</v>
      </c>
      <c r="D419" s="3">
        <f t="shared" si="433"/>
        <v>7.6926383024802411E-17</v>
      </c>
      <c r="E419" s="3">
        <f t="shared" si="433"/>
        <v>2.3523021243838517E-14</v>
      </c>
      <c r="F419" s="3">
        <f t="shared" si="433"/>
        <v>1.5013851261066428E-10</v>
      </c>
      <c r="G419" s="3">
        <f t="shared" si="433"/>
        <v>1.5242328039930881E-2</v>
      </c>
      <c r="H419" s="3">
        <f t="shared" si="433"/>
        <v>1</v>
      </c>
      <c r="I419" s="109">
        <f>Comparison!AL18</f>
        <v>1</v>
      </c>
      <c r="J419" s="3">
        <f>Comparison!AM18</f>
        <v>7438.9188882303606</v>
      </c>
      <c r="K419" s="3">
        <f>Comparison!AN18</f>
        <v>7346.5860708392247</v>
      </c>
      <c r="L419" s="3">
        <f>Comparison!AO18</f>
        <v>7045.3278356909095</v>
      </c>
      <c r="M419" s="3">
        <f>Comparison!AP18</f>
        <v>6457.8733144157241</v>
      </c>
      <c r="N419" s="3">
        <f>Comparison!AQ18</f>
        <v>4846.1759775211867</v>
      </c>
      <c r="O419" s="3">
        <f>Comparison!AR18</f>
        <v>248.22351395532451</v>
      </c>
      <c r="P419" s="3">
        <f>Comparison!AS18</f>
        <v>202.49198438372559</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5.9942752624100351E-19</v>
      </c>
      <c r="C420" s="3">
        <f t="shared" si="434"/>
        <v>1.1945666440560853E-17</v>
      </c>
      <c r="D420" s="3">
        <f t="shared" si="434"/>
        <v>7.6926383024802418E-16</v>
      </c>
      <c r="E420" s="3">
        <f t="shared" si="434"/>
        <v>2.3523021243838516E-13</v>
      </c>
      <c r="F420" s="3">
        <f t="shared" si="434"/>
        <v>1.5013851261066428E-9</v>
      </c>
      <c r="G420" s="3">
        <f t="shared" si="434"/>
        <v>0.1524232803993088</v>
      </c>
      <c r="H420" s="3">
        <f t="shared" si="434"/>
        <v>10</v>
      </c>
      <c r="I420" s="109">
        <f>Comparison!AL19</f>
        <v>10</v>
      </c>
      <c r="J420" s="3">
        <f>Comparison!AM19</f>
        <v>7431.7642795214106</v>
      </c>
      <c r="K420" s="3">
        <f>Comparison!AN19</f>
        <v>7225.4468313347925</v>
      </c>
      <c r="L420" s="3">
        <f>Comparison!AO19</f>
        <v>6881.2247214769232</v>
      </c>
      <c r="M420" s="3">
        <f>Comparison!AP19</f>
        <v>6197.1395066404111</v>
      </c>
      <c r="N420" s="3">
        <f>Comparison!AQ19</f>
        <v>4307.5308640863095</v>
      </c>
      <c r="O420" s="3">
        <f>Comparison!AR19</f>
        <v>214.57476664013214</v>
      </c>
      <c r="P420" s="3">
        <f>Comparison!AS19</f>
        <v>189.83771999127222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5.9942752624100353E-18</v>
      </c>
      <c r="C421" s="3">
        <f t="shared" si="434"/>
        <v>1.1945666440560852E-16</v>
      </c>
      <c r="D421" s="3">
        <f t="shared" si="434"/>
        <v>7.6926383024802416E-15</v>
      </c>
      <c r="E421" s="3">
        <f t="shared" si="434"/>
        <v>2.3523021243838518E-12</v>
      </c>
      <c r="F421" s="3">
        <f t="shared" si="434"/>
        <v>1.5013851261066427E-8</v>
      </c>
      <c r="G421" s="3">
        <f t="shared" si="434"/>
        <v>1.5242328039930881</v>
      </c>
      <c r="H421" s="3">
        <f t="shared" si="434"/>
        <v>100</v>
      </c>
      <c r="I421" s="109">
        <f>Comparison!AL20</f>
        <v>100</v>
      </c>
      <c r="J421" s="3">
        <f>Comparison!AM20</f>
        <v>7374.1954046997607</v>
      </c>
      <c r="K421" s="3">
        <f>Comparison!AN20</f>
        <v>7074.5614632967963</v>
      </c>
      <c r="L421" s="3">
        <f>Comparison!AO20</f>
        <v>6633.2763958157147</v>
      </c>
      <c r="M421" s="3">
        <f>Comparison!AP20</f>
        <v>5728.6851502202007</v>
      </c>
      <c r="N421" s="3">
        <f>Comparison!AQ20</f>
        <v>3424.2409160347711</v>
      </c>
      <c r="O421" s="3">
        <f>Comparison!AR20</f>
        <v>185.72591291449908</v>
      </c>
      <c r="P421" s="3">
        <f>Comparison!AS20</f>
        <v>169.86288435020435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5.994275262410036E-17</v>
      </c>
      <c r="C422" s="3">
        <f t="shared" si="434"/>
        <v>1.1945666440560853E-15</v>
      </c>
      <c r="D422" s="3">
        <f t="shared" si="434"/>
        <v>7.6926383024802413E-14</v>
      </c>
      <c r="E422" s="3">
        <f t="shared" si="434"/>
        <v>2.3523021243838517E-11</v>
      </c>
      <c r="F422" s="3">
        <f t="shared" si="434"/>
        <v>1.5013851261066427E-7</v>
      </c>
      <c r="G422" s="3">
        <f t="shared" si="434"/>
        <v>15.24232803993088</v>
      </c>
      <c r="H422" s="3">
        <f t="shared" si="434"/>
        <v>1000</v>
      </c>
      <c r="I422" s="109">
        <f>Comparison!AL21</f>
        <v>1000</v>
      </c>
      <c r="J422" s="3">
        <f>Comparison!AM21</f>
        <v>7229.1163160436472</v>
      </c>
      <c r="K422" s="3">
        <f>Comparison!AN21</f>
        <v>6837.385209483964</v>
      </c>
      <c r="L422" s="3">
        <f>Comparison!AO21</f>
        <v>6142.0459094556854</v>
      </c>
      <c r="M422" s="3">
        <f>Comparison!AP21</f>
        <v>4909.4106843846976</v>
      </c>
      <c r="N422" s="3">
        <f>Comparison!AQ21</f>
        <v>2457.6306581082695</v>
      </c>
      <c r="O422" s="3">
        <f>Comparison!AR21</f>
        <v>158.09658219581334</v>
      </c>
      <c r="P422" s="3">
        <f>Comparison!AS21</f>
        <v>142.29365996368665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5.9942752624100355E-16</v>
      </c>
      <c r="C423" s="3">
        <f t="shared" si="434"/>
        <v>1.1945666440560853E-14</v>
      </c>
      <c r="D423" s="3">
        <f t="shared" si="434"/>
        <v>7.6926383024802415E-13</v>
      </c>
      <c r="E423" s="3">
        <f t="shared" si="434"/>
        <v>2.3523021243838517E-10</v>
      </c>
      <c r="F423" s="3">
        <f t="shared" si="434"/>
        <v>1.5013851261066427E-6</v>
      </c>
      <c r="G423" s="3">
        <f t="shared" si="434"/>
        <v>152.42328039930882</v>
      </c>
      <c r="H423" s="3">
        <f t="shared" si="434"/>
        <v>10000</v>
      </c>
      <c r="I423" s="109">
        <f>Comparison!AL22</f>
        <v>10000</v>
      </c>
      <c r="J423" s="3">
        <f>Comparison!AM22</f>
        <v>7065.0007195804155</v>
      </c>
      <c r="K423" s="3">
        <f>Comparison!AN22</f>
        <v>6289.6718355453368</v>
      </c>
      <c r="L423" s="3">
        <f>Comparison!AO22</f>
        <v>5263.2654078154883</v>
      </c>
      <c r="M423" s="3">
        <f>Comparison!AP22</f>
        <v>4054.6855956010618</v>
      </c>
      <c r="N423" s="3">
        <f>Comparison!AQ22</f>
        <v>1610.938712030013</v>
      </c>
      <c r="O423" s="3">
        <f>Comparison!AR22</f>
        <v>132.46407229952649</v>
      </c>
      <c r="P423" s="3">
        <f>Comparison!AS22</f>
        <v>121.71619952615258</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5.9942752624100357E-15</v>
      </c>
      <c r="C424" s="3">
        <f t="shared" si="434"/>
        <v>1.1945666440560855E-13</v>
      </c>
      <c r="D424" s="3">
        <f t="shared" si="434"/>
        <v>7.6926383024802422E-12</v>
      </c>
      <c r="E424" s="3">
        <f t="shared" si="434"/>
        <v>2.3523021243838519E-9</v>
      </c>
      <c r="F424" s="3">
        <f t="shared" si="434"/>
        <v>1.5013851261066428E-5</v>
      </c>
      <c r="G424" s="3">
        <f t="shared" si="434"/>
        <v>1524.2328039930881</v>
      </c>
      <c r="H424" s="3">
        <f t="shared" si="434"/>
        <v>100000</v>
      </c>
      <c r="I424" s="109">
        <f>Comparison!AL23</f>
        <v>100000</v>
      </c>
      <c r="J424" s="3">
        <f>Comparison!AM23</f>
        <v>6763.2909836921517</v>
      </c>
      <c r="K424" s="3">
        <f>Comparison!AN23</f>
        <v>5393.096219252795</v>
      </c>
      <c r="L424" s="3">
        <f>Comparison!AO23</f>
        <v>4399.1328288595505</v>
      </c>
      <c r="M424" s="3">
        <f>Comparison!AP23</f>
        <v>3384.7376862720757</v>
      </c>
      <c r="N424" s="3">
        <f>Comparison!AQ23</f>
        <v>942.69111378955085</v>
      </c>
      <c r="O424" s="3">
        <f>Comparison!AR23</f>
        <v>115.64370251909122</v>
      </c>
      <c r="P424" s="3">
        <f>Comparison!AS23</f>
        <v>109.27679567564616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5.9942752624100355E-14</v>
      </c>
      <c r="C425" s="3">
        <f t="shared" si="434"/>
        <v>1.1945666440560854E-12</v>
      </c>
      <c r="D425" s="3">
        <f t="shared" si="434"/>
        <v>7.6926383024802415E-11</v>
      </c>
      <c r="E425" s="3">
        <f t="shared" si="434"/>
        <v>2.3523021243838519E-8</v>
      </c>
      <c r="F425" s="3">
        <f t="shared" si="434"/>
        <v>1.5013851261066428E-4</v>
      </c>
      <c r="G425" s="3">
        <f t="shared" si="434"/>
        <v>15242.328039930881</v>
      </c>
      <c r="H425" s="3">
        <f t="shared" si="434"/>
        <v>1000000</v>
      </c>
      <c r="I425" s="109">
        <f>Comparison!AL24</f>
        <v>1000000</v>
      </c>
      <c r="J425" s="3">
        <f>Comparison!AM24</f>
        <v>6076.274832146727</v>
      </c>
      <c r="K425" s="3">
        <f>Comparison!AN24</f>
        <v>4558.7271908643725</v>
      </c>
      <c r="L425" s="3">
        <f>Comparison!AO24</f>
        <v>3757.2475587809995</v>
      </c>
      <c r="M425" s="3">
        <f>Comparison!AP24</f>
        <v>2867.8130883318549</v>
      </c>
      <c r="N425" s="3">
        <f>Comparison!AQ24</f>
        <v>510.32470275306576</v>
      </c>
      <c r="O425" s="3">
        <f>Comparison!AR24</f>
        <v>105.70344373363407</v>
      </c>
      <c r="P425" s="3">
        <f>Comparison!AS24</f>
        <v>101.92394551670053</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5.9942752624100355E-13</v>
      </c>
      <c r="C426" s="3">
        <f t="shared" si="434"/>
        <v>1.1945666440560854E-11</v>
      </c>
      <c r="D426" s="3">
        <f t="shared" si="434"/>
        <v>7.692638302480241E-10</v>
      </c>
      <c r="E426" s="3">
        <f t="shared" si="434"/>
        <v>2.3523021243838518E-7</v>
      </c>
      <c r="F426" s="3">
        <f t="shared" si="434"/>
        <v>1.5013851261066428E-3</v>
      </c>
      <c r="G426" s="3">
        <f t="shared" si="434"/>
        <v>152423.2803993088</v>
      </c>
      <c r="H426" s="3">
        <f t="shared" si="434"/>
        <v>10000000</v>
      </c>
      <c r="I426" s="109">
        <f>Comparison!AL25</f>
        <v>10000000</v>
      </c>
      <c r="J426" s="3">
        <f>Comparison!AM25</f>
        <v>5152.9727387836929</v>
      </c>
      <c r="K426" s="3">
        <f>Comparison!AN25</f>
        <v>3927.5350129983676</v>
      </c>
      <c r="L426" s="3">
        <f>Comparison!AO25</f>
        <v>3291.1531992809396</v>
      </c>
      <c r="M426" s="3">
        <f>Comparison!AP25</f>
        <v>2393.9219661874804</v>
      </c>
      <c r="N426" s="3">
        <f>Comparison!AQ25</f>
        <v>271.36767023207187</v>
      </c>
      <c r="O426" s="3">
        <f>Comparison!AR25</f>
        <v>99.769058005183027</v>
      </c>
      <c r="P426" s="3">
        <f>Comparison!AS25</f>
        <v>97.501289329192588</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5.9942752624100359E-12</v>
      </c>
      <c r="C427" s="3">
        <f t="shared" si="434"/>
        <v>1.1945666440560854E-10</v>
      </c>
      <c r="D427" s="3">
        <f t="shared" si="434"/>
        <v>7.6926383024802418E-9</v>
      </c>
      <c r="E427" s="3">
        <f t="shared" si="434"/>
        <v>2.352302124383852E-6</v>
      </c>
      <c r="F427" s="3">
        <f t="shared" si="434"/>
        <v>1.5013851261066427E-2</v>
      </c>
      <c r="G427" s="3">
        <f t="shared" si="434"/>
        <v>1524232.8039930882</v>
      </c>
      <c r="H427" s="3">
        <f t="shared" si="434"/>
        <v>100000000</v>
      </c>
      <c r="I427" s="109">
        <f>Comparison!AL26</f>
        <v>100000000</v>
      </c>
      <c r="J427" s="3">
        <f>Comparison!AM26</f>
        <v>4349.4578522571974</v>
      </c>
      <c r="K427" s="3">
        <f>Comparison!AN26</f>
        <v>3470.8276794707381</v>
      </c>
      <c r="L427" s="3">
        <f>Comparison!AO26</f>
        <v>2923.3907186801598</v>
      </c>
      <c r="M427" s="3">
        <f>Comparison!AP26</f>
        <v>1923.0446750969861</v>
      </c>
      <c r="N427" s="3">
        <f>Comparison!AQ26</f>
        <v>152.45647454769647</v>
      </c>
      <c r="O427" s="3">
        <f>Comparison!AR26</f>
        <v>96.16135307969536</v>
      </c>
      <c r="P427" s="3">
        <f>Comparison!AS26</f>
        <v>94.712895608864457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5.9942752624100354E-11</v>
      </c>
      <c r="C428" s="3">
        <f t="shared" si="434"/>
        <v>1.1945666440560854E-9</v>
      </c>
      <c r="D428" s="3">
        <f t="shared" si="434"/>
        <v>7.6926383024802418E-8</v>
      </c>
      <c r="E428" s="3">
        <f t="shared" si="434"/>
        <v>2.3523021243838518E-5</v>
      </c>
      <c r="F428" s="3">
        <f t="shared" si="434"/>
        <v>0.15013851261066427</v>
      </c>
      <c r="G428" s="3">
        <f t="shared" si="434"/>
        <v>15242328.039930882</v>
      </c>
      <c r="H428" s="3">
        <f t="shared" si="434"/>
        <v>1000000000</v>
      </c>
      <c r="I428" s="109">
        <f>Comparison!AL27</f>
        <v>1000000000</v>
      </c>
      <c r="J428" s="3">
        <f>Comparison!AM27</f>
        <v>3760.3414331574859</v>
      </c>
      <c r="K428" s="3">
        <f>Comparison!AN27</f>
        <v>3119.1195128427248</v>
      </c>
      <c r="L428" s="3">
        <f>Comparison!AO27</f>
        <v>2591.8565821190209</v>
      </c>
      <c r="M428" s="3">
        <f>Comparison!AP27</f>
        <v>1433.0262098856042</v>
      </c>
      <c r="N428" s="3">
        <f>Comparison!AQ27</f>
        <v>114.48528241321054</v>
      </c>
      <c r="O428" s="3">
        <f>Comparison!AR27</f>
        <v>93.862812708921865</v>
      </c>
      <c r="P428" s="3">
        <f>Comparison!AS27</f>
        <v>92.92945942455529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5.9942752624100357E-10</v>
      </c>
      <c r="C429" s="3">
        <f t="shared" si="434"/>
        <v>1.1945666440560854E-8</v>
      </c>
      <c r="D429" s="3">
        <f t="shared" si="434"/>
        <v>7.6926383024802413E-7</v>
      </c>
      <c r="E429" s="3">
        <f t="shared" si="434"/>
        <v>2.3523021243838517E-4</v>
      </c>
      <c r="F429" s="3">
        <f t="shared" si="434"/>
        <v>1.5013851261066429</v>
      </c>
      <c r="G429" s="3">
        <f t="shared" si="434"/>
        <v>152423280.3993088</v>
      </c>
      <c r="H429" s="3">
        <f t="shared" si="434"/>
        <v>10000000000</v>
      </c>
      <c r="I429" s="109">
        <f>Comparison!AL28</f>
        <v>10000000000</v>
      </c>
      <c r="J429" s="3">
        <f>Comparison!AM28</f>
        <v>3336.4331784463179</v>
      </c>
      <c r="K429" s="3">
        <f>Comparison!AN28</f>
        <v>2819.4631556550398</v>
      </c>
      <c r="L429" s="3">
        <f>Comparison!AO28</f>
        <v>2227.1388397843657</v>
      </c>
      <c r="M429" s="3">
        <f>Comparison!AP28</f>
        <v>928.3724969127901</v>
      </c>
      <c r="N429" s="3">
        <f>Comparison!AQ28</f>
        <v>101.06517730245214</v>
      </c>
      <c r="O429" s="3">
        <f>Comparison!AR28</f>
        <v>92.381155101656375</v>
      </c>
      <c r="P429" s="3">
        <f>Comparison!AS28</f>
        <v>92.006187989209394</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5.9942752624100359E-9</v>
      </c>
      <c r="C430" s="3">
        <f t="shared" si="434"/>
        <v>1.1945666440560854E-7</v>
      </c>
      <c r="D430" s="3">
        <f t="shared" si="434"/>
        <v>7.6926383024802415E-6</v>
      </c>
      <c r="E430" s="3">
        <f t="shared" si="434"/>
        <v>2.3523021243838519E-3</v>
      </c>
      <c r="F430" s="3">
        <f t="shared" si="434"/>
        <v>15.013851261066428</v>
      </c>
      <c r="G430" s="3">
        <f t="shared" si="434"/>
        <v>1524232803.9930882</v>
      </c>
      <c r="H430" s="3">
        <f t="shared" si="434"/>
        <v>100000000000</v>
      </c>
      <c r="I430" s="109">
        <f>Comparison!AL29</f>
        <v>100000000000</v>
      </c>
      <c r="J430" s="3">
        <f>Comparison!AM29</f>
        <v>2995.2983606085086</v>
      </c>
      <c r="K430" s="3">
        <f>Comparison!AN29</f>
        <v>2525.9157804368465</v>
      </c>
      <c r="L430" s="3">
        <f>Comparison!AO29</f>
        <v>1818.1045605438685</v>
      </c>
      <c r="M430" s="3">
        <f>Comparison!AP29</f>
        <v>540.77757065756475</v>
      </c>
      <c r="N430" s="3">
        <f>Comparison!AQ29</f>
        <v>93.059878245985715</v>
      </c>
      <c r="O430" s="3">
        <f>Comparison!AR29</f>
        <v>92.126538569786135</v>
      </c>
      <c r="P430" s="3">
        <f>Comparison!AS29</f>
        <v>91.763267256404887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5.9942752624100357E-8</v>
      </c>
      <c r="C431" s="3">
        <f t="shared" si="434"/>
        <v>1.1945666440560853E-6</v>
      </c>
      <c r="D431" s="3">
        <f t="shared" si="434"/>
        <v>7.6926383024802415E-5</v>
      </c>
      <c r="E431" s="3">
        <f t="shared" si="434"/>
        <v>2.3523021243838517E-2</v>
      </c>
      <c r="F431" s="3">
        <f t="shared" si="434"/>
        <v>150.13851261066429</v>
      </c>
      <c r="G431" s="3">
        <f t="shared" si="434"/>
        <v>15242328039.930882</v>
      </c>
      <c r="H431" s="3">
        <f t="shared" si="434"/>
        <v>1000000000000</v>
      </c>
      <c r="I431" s="109">
        <f>Comparison!AL30</f>
        <v>1000000000000</v>
      </c>
      <c r="J431" s="3">
        <f>Comparison!AM30</f>
        <v>2700.8479980556854</v>
      </c>
      <c r="K431" s="3">
        <f>Comparison!AN30</f>
        <v>2182.665940608038</v>
      </c>
      <c r="L431" s="3">
        <f>Comparison!AO30</f>
        <v>1362.7209266527218</v>
      </c>
      <c r="M431" s="3">
        <f>Comparison!AP30</f>
        <v>302.10819766520217</v>
      </c>
      <c r="N431" s="3">
        <f>Comparison!AQ30</f>
        <v>92.631968530961771</v>
      </c>
      <c r="O431" s="3">
        <f>Comparison!AR30</f>
        <v>91.086268606556416</v>
      </c>
      <c r="P431" s="3">
        <f>Comparison!AS30</f>
        <v>90.809569282014081</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5.9942752624100357E-7</v>
      </c>
      <c r="C432" s="3">
        <f t="shared" si="434"/>
        <v>1.1945666440560854E-5</v>
      </c>
      <c r="D432" s="3">
        <f t="shared" si="434"/>
        <v>7.6926383024802415E-4</v>
      </c>
      <c r="E432" s="3">
        <f t="shared" si="434"/>
        <v>0.23523021243838518</v>
      </c>
      <c r="F432" s="3">
        <f t="shared" si="434"/>
        <v>1501.3851261066427</v>
      </c>
      <c r="G432" s="3">
        <f t="shared" si="434"/>
        <v>152423280399.30881</v>
      </c>
      <c r="H432" s="3">
        <f t="shared" si="434"/>
        <v>10000000000000</v>
      </c>
      <c r="I432" s="109">
        <f>Comparison!AL31</f>
        <v>10000000000000</v>
      </c>
      <c r="J432" s="3">
        <f>Comparison!AM31</f>
        <v>2380.901782740345</v>
      </c>
      <c r="K432" s="3">
        <f>Comparison!AN31</f>
        <v>1785.8998006119411</v>
      </c>
      <c r="L432" s="3">
        <f>Comparison!AO31</f>
        <v>882.60529508909428</v>
      </c>
      <c r="M432" s="3">
        <f>Comparison!AP31</f>
        <v>167.95607666429018</v>
      </c>
      <c r="N432" s="3">
        <f>Comparison!AQ31</f>
        <v>91.23127997996707</v>
      </c>
      <c r="O432" s="3">
        <f>Comparison!AR31</f>
        <v>90.886673770022838</v>
      </c>
      <c r="P432" s="3">
        <f>Comparison!AS31</f>
        <v>90.794437108888047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5.9942752624100357E-6</v>
      </c>
      <c r="C433" s="3">
        <f t="shared" si="434"/>
        <v>1.1945666440560854E-4</v>
      </c>
      <c r="D433" s="3">
        <f t="shared" si="434"/>
        <v>7.6926383024802413E-3</v>
      </c>
      <c r="E433" s="3">
        <f t="shared" si="434"/>
        <v>2.352302124383852</v>
      </c>
      <c r="F433" s="3">
        <f t="shared" si="434"/>
        <v>15013.851261066427</v>
      </c>
      <c r="G433" s="3">
        <f t="shared" si="434"/>
        <v>1524232803993.0881</v>
      </c>
      <c r="H433" s="3">
        <f t="shared" si="434"/>
        <v>100000000000000</v>
      </c>
      <c r="I433" s="109">
        <f>Comparison!AL32</f>
        <v>100000000000000</v>
      </c>
      <c r="J433" s="3">
        <f>Comparison!AM32</f>
        <v>2012.430565108212</v>
      </c>
      <c r="K433" s="3">
        <f>Comparison!AN32</f>
        <v>1337.7075606161161</v>
      </c>
      <c r="L433" s="3">
        <f>Comparison!AO32</f>
        <v>513.97783275284667</v>
      </c>
      <c r="M433" s="3">
        <f>Comparison!AP32</f>
        <v>115.55588342611547</v>
      </c>
      <c r="N433" s="3">
        <f>Comparison!AQ32</f>
        <v>91.209911146223277</v>
      </c>
      <c r="O433" s="3">
        <f>Comparison!AR32</f>
        <v>90.290301687552557</v>
      </c>
      <c r="P433" s="3">
        <f>Comparison!AS32</f>
        <v>90.157522811707935</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5.9942752624100354E-5</v>
      </c>
      <c r="C434" s="3">
        <f t="shared" si="434"/>
        <v>1.1945666440560854E-3</v>
      </c>
      <c r="D434" s="3">
        <f t="shared" si="434"/>
        <v>7.6926383024802411E-2</v>
      </c>
      <c r="E434" s="3">
        <f t="shared" si="434"/>
        <v>23.523021243838517</v>
      </c>
      <c r="F434" s="3">
        <f t="shared" si="434"/>
        <v>150138.51261066427</v>
      </c>
      <c r="G434" s="3">
        <f t="shared" si="434"/>
        <v>15242328039930.881</v>
      </c>
      <c r="H434" s="3">
        <f t="shared" si="434"/>
        <v>1000000000000000</v>
      </c>
      <c r="I434" s="109">
        <f>Comparison!AL33</f>
        <v>1000000000000000</v>
      </c>
      <c r="J434" s="3">
        <f>Comparison!AM33</f>
        <v>1596.0920370512245</v>
      </c>
      <c r="K434" s="3">
        <f>Comparison!AN33</f>
        <v>864.52071218722244</v>
      </c>
      <c r="L434" s="3">
        <f>Comparison!AO33</f>
        <v>287.95166024173568</v>
      </c>
      <c r="M434" s="3">
        <f>Comparison!AP33</f>
        <v>100.53155340781859</v>
      </c>
      <c r="N434" s="3">
        <f>Comparison!AQ33</f>
        <v>90.301560772176387</v>
      </c>
      <c r="O434" s="3">
        <f>Comparison!AR33</f>
        <v>90.056329050223439</v>
      </c>
      <c r="P434" s="3">
        <f>Comparison!AS33</f>
        <v>89.913434838716469</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-44.26089696904954</v>
      </c>
      <c r="M1" s="54">
        <v>1</v>
      </c>
      <c r="N1" s="56">
        <f>INDEX($H$217:$P$217,1,Q1)</f>
        <v>0.148981413244447</v>
      </c>
      <c r="O1" s="11"/>
      <c r="P1" s="55">
        <v>1</v>
      </c>
      <c r="Q1" s="11">
        <v>2</v>
      </c>
    </row>
    <row r="2" spans="1:17" x14ac:dyDescent="0.25">
      <c r="A2" s="11">
        <f>'Mastercurve bestimmen'!M119</f>
        <v>0</v>
      </c>
      <c r="B2" s="11">
        <f>'Mastercurve bestimmen'!N119</f>
        <v>-41.268748195236732</v>
      </c>
      <c r="M2" s="54">
        <v>2</v>
      </c>
      <c r="N2" s="56">
        <f t="shared" ref="N2:N9" si="0">INDEX($H$217:$P$217,1,Q2)</f>
        <v>1.4060787657338503E-2</v>
      </c>
      <c r="O2" s="11"/>
      <c r="P2" s="55">
        <v>2</v>
      </c>
      <c r="Q2" s="11">
        <f>Q1+1</f>
        <v>3</v>
      </c>
    </row>
    <row r="3" spans="1:17" x14ac:dyDescent="0.25">
      <c r="A3" s="11">
        <f>'Mastercurve bestimmen'!M120</f>
        <v>25</v>
      </c>
      <c r="B3" s="11">
        <f>'Mastercurve bestimmen'!N120</f>
        <v>-37.103682773973375</v>
      </c>
      <c r="M3" s="54">
        <v>3</v>
      </c>
      <c r="N3" s="56">
        <f t="shared" si="0"/>
        <v>6.6486125192969465E-4</v>
      </c>
      <c r="O3" s="11"/>
      <c r="P3" s="55">
        <v>3</v>
      </c>
      <c r="Q3" s="11">
        <f t="shared" ref="Q3:Q8" si="1">Q2+1</f>
        <v>4</v>
      </c>
    </row>
    <row r="4" spans="1:17" x14ac:dyDescent="0.25">
      <c r="A4" s="11">
        <f>'Mastercurve bestimmen'!M121</f>
        <v>50</v>
      </c>
      <c r="B4" s="11">
        <f>'Mastercurve bestimmen'!N121</f>
        <v>-31.380796825884964</v>
      </c>
      <c r="M4" s="54">
        <v>4</v>
      </c>
      <c r="N4" s="56">
        <f t="shared" si="0"/>
        <v>1.0884385753252694E-5</v>
      </c>
      <c r="O4" s="11"/>
      <c r="P4" s="55">
        <v>4</v>
      </c>
      <c r="Q4" s="11">
        <f t="shared" si="1"/>
        <v>5</v>
      </c>
    </row>
    <row r="5" spans="1:17" x14ac:dyDescent="0.25">
      <c r="A5" s="11">
        <f>'Mastercurve bestimmen'!M122</f>
        <v>80</v>
      </c>
      <c r="B5" s="11">
        <f>'Mastercurve bestimmen'!N122</f>
        <v>-22.619462830515431</v>
      </c>
      <c r="M5" s="54">
        <v>5</v>
      </c>
      <c r="N5" s="56">
        <f t="shared" si="0"/>
        <v>8.8555255828174989E-8</v>
      </c>
      <c r="O5" s="11"/>
      <c r="P5" s="55">
        <v>5</v>
      </c>
      <c r="Q5" s="11">
        <f t="shared" si="1"/>
        <v>6</v>
      </c>
    </row>
    <row r="6" spans="1:17" x14ac:dyDescent="0.25">
      <c r="A6" s="11">
        <f>'Mastercurve bestimmen'!M123</f>
        <v>125</v>
      </c>
      <c r="B6" s="11">
        <f>'Mastercurve bestimmen'!N123</f>
        <v>-4.183678981864384</v>
      </c>
      <c r="M6" s="54">
        <v>6</v>
      </c>
      <c r="N6" s="56">
        <f t="shared" si="0"/>
        <v>3.8365779016836814E-10</v>
      </c>
      <c r="O6" s="11"/>
      <c r="P6" s="55">
        <v>6</v>
      </c>
      <c r="Q6" s="11">
        <f t="shared" si="1"/>
        <v>7</v>
      </c>
    </row>
    <row r="7" spans="1:17" x14ac:dyDescent="0.25">
      <c r="A7" s="11">
        <f>'Mastercurve bestimmen'!M124</f>
        <v>160</v>
      </c>
      <c r="B7" s="11">
        <f>'Mastercurve bestimmen'!N124</f>
        <v>0</v>
      </c>
      <c r="M7" s="54">
        <v>7</v>
      </c>
      <c r="N7" s="56">
        <f t="shared" si="0"/>
        <v>8.3244638346224829E-13</v>
      </c>
      <c r="O7" s="11"/>
      <c r="P7" s="55">
        <v>7</v>
      </c>
      <c r="Q7" s="11">
        <f t="shared" si="1"/>
        <v>8</v>
      </c>
    </row>
    <row r="8" spans="1:17" x14ac:dyDescent="0.25">
      <c r="A8" s="11"/>
      <c r="B8" s="11"/>
      <c r="M8" s="54">
        <v>8</v>
      </c>
      <c r="N8" s="56">
        <f t="shared" si="0"/>
        <v>6.8971415979089285E-16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-44.26089696904954</v>
      </c>
      <c r="E15" s="11">
        <f>A15-'Mastercurve bestimmen'!$B$2</f>
        <v>-200</v>
      </c>
      <c r="F15" s="11">
        <f>B15</f>
        <v>-44.26089696904954</v>
      </c>
      <c r="G15" s="11"/>
      <c r="H15" s="11">
        <f>IF($H$12&gt;=H$14,$E15^H$14,0)</f>
        <v>2.56E+18</v>
      </c>
      <c r="I15" s="11">
        <f t="shared" ref="I15:O30" si="3">IF($H$12&gt;=I$14,$E15^I$14,0)</f>
        <v>-1.28E+16</v>
      </c>
      <c r="J15" s="11">
        <f t="shared" si="3"/>
        <v>64000000000000</v>
      </c>
      <c r="K15" s="11">
        <f t="shared" si="3"/>
        <v>-320000000000</v>
      </c>
      <c r="L15" s="11">
        <f t="shared" si="3"/>
        <v>1600000000</v>
      </c>
      <c r="M15" s="11">
        <f t="shared" si="3"/>
        <v>-8000000</v>
      </c>
      <c r="N15" s="11">
        <f t="shared" si="3"/>
        <v>40000</v>
      </c>
      <c r="O15" s="11">
        <f t="shared" si="3"/>
        <v>-200</v>
      </c>
      <c r="P15" s="11">
        <v>0</v>
      </c>
    </row>
    <row r="16" spans="1:17" x14ac:dyDescent="0.25">
      <c r="A16" s="11">
        <f>A15+1</f>
        <v>-39</v>
      </c>
      <c r="B16" s="11">
        <v>-44.20889855651459</v>
      </c>
      <c r="E16" s="11">
        <f>A16-'Mastercurve bestimmen'!$B$2</f>
        <v>-199</v>
      </c>
      <c r="F16" s="11">
        <f t="shared" ref="F16:F79" si="4">B16</f>
        <v>-44.20889855651459</v>
      </c>
      <c r="G16" s="11"/>
      <c r="H16" s="11">
        <f t="shared" ref="H16:O47" si="5">IF($H$12&gt;=H$14,$E16^H$14,0)</f>
        <v>2.4593741915531182E+18</v>
      </c>
      <c r="I16" s="11">
        <f t="shared" si="3"/>
        <v>-1.23586642791614E+16</v>
      </c>
      <c r="J16" s="11">
        <f t="shared" si="3"/>
        <v>62103840598801</v>
      </c>
      <c r="K16" s="11">
        <f t="shared" si="3"/>
        <v>-312079600999</v>
      </c>
      <c r="L16" s="11">
        <f t="shared" si="3"/>
        <v>1568239201</v>
      </c>
      <c r="M16" s="11">
        <f t="shared" si="3"/>
        <v>-7880599</v>
      </c>
      <c r="N16" s="11">
        <f t="shared" si="3"/>
        <v>39601</v>
      </c>
      <c r="O16" s="11">
        <f t="shared" si="3"/>
        <v>-199</v>
      </c>
      <c r="P16" s="11">
        <f>P15</f>
        <v>0</v>
      </c>
    </row>
    <row r="17" spans="1:16" x14ac:dyDescent="0.25">
      <c r="A17" s="11">
        <f t="shared" ref="A17:A80" si="6">A16+1</f>
        <v>-38</v>
      </c>
      <c r="B17" s="11">
        <v>-44.156814570595721</v>
      </c>
      <c r="E17" s="11">
        <f>A17-'Mastercurve bestimmen'!$B$2</f>
        <v>-198</v>
      </c>
      <c r="F17" s="11">
        <f t="shared" si="4"/>
        <v>-44.156814570595721</v>
      </c>
      <c r="G17" s="11"/>
      <c r="H17" s="11">
        <f t="shared" si="5"/>
        <v>2.3622264177354752E+18</v>
      </c>
      <c r="I17" s="11">
        <f t="shared" si="3"/>
        <v>-1.1930436453209472E+16</v>
      </c>
      <c r="J17" s="11">
        <f t="shared" si="3"/>
        <v>60254729561664</v>
      </c>
      <c r="K17" s="11">
        <f t="shared" si="3"/>
        <v>-304316815968</v>
      </c>
      <c r="L17" s="11">
        <f t="shared" si="3"/>
        <v>1536953616</v>
      </c>
      <c r="M17" s="11">
        <f t="shared" si="3"/>
        <v>-7762392</v>
      </c>
      <c r="N17" s="11">
        <f t="shared" si="3"/>
        <v>39204</v>
      </c>
      <c r="O17" s="11">
        <f t="shared" si="3"/>
        <v>-198</v>
      </c>
      <c r="P17" s="11">
        <f t="shared" ref="P17:P80" si="7">P16</f>
        <v>0</v>
      </c>
    </row>
    <row r="18" spans="1:16" x14ac:dyDescent="0.25">
      <c r="A18" s="11">
        <f t="shared" si="6"/>
        <v>-37</v>
      </c>
      <c r="B18" s="11">
        <v>-44.10455943790906</v>
      </c>
      <c r="E18" s="11">
        <f>A18-'Mastercurve bestimmen'!$B$2</f>
        <v>-197</v>
      </c>
      <c r="F18" s="11">
        <f t="shared" si="4"/>
        <v>-44.10455943790906</v>
      </c>
      <c r="G18" s="11"/>
      <c r="H18" s="11">
        <f t="shared" si="5"/>
        <v>2.2684531239489874E+18</v>
      </c>
      <c r="I18" s="11">
        <f t="shared" si="3"/>
        <v>-1.1514990476898412E+16</v>
      </c>
      <c r="J18" s="11">
        <f t="shared" si="3"/>
        <v>58451728309129</v>
      </c>
      <c r="K18" s="11">
        <f t="shared" si="3"/>
        <v>-296709280757</v>
      </c>
      <c r="L18" s="11">
        <f t="shared" si="3"/>
        <v>1506138481</v>
      </c>
      <c r="M18" s="11">
        <f t="shared" si="3"/>
        <v>-7645373</v>
      </c>
      <c r="N18" s="11">
        <f t="shared" si="3"/>
        <v>38809</v>
      </c>
      <c r="O18" s="11">
        <f t="shared" si="3"/>
        <v>-197</v>
      </c>
      <c r="P18" s="11">
        <f t="shared" si="7"/>
        <v>0</v>
      </c>
    </row>
    <row r="19" spans="1:16" x14ac:dyDescent="0.25">
      <c r="A19" s="11">
        <f t="shared" si="6"/>
        <v>-36</v>
      </c>
      <c r="B19" s="11">
        <v>-44.052047585070675</v>
      </c>
      <c r="E19" s="11">
        <f>A19-'Mastercurve bestimmen'!$B$2</f>
        <v>-196</v>
      </c>
      <c r="F19" s="11">
        <f t="shared" si="4"/>
        <v>-44.052047585070675</v>
      </c>
      <c r="G19" s="11"/>
      <c r="H19" s="11">
        <f t="shared" si="5"/>
        <v>2.1779533378093711E+18</v>
      </c>
      <c r="I19" s="11">
        <f t="shared" si="3"/>
        <v>-1.1112006825558016E+16</v>
      </c>
      <c r="J19" s="11">
        <f t="shared" si="3"/>
        <v>56693912375296</v>
      </c>
      <c r="K19" s="11">
        <f t="shared" si="3"/>
        <v>-289254654976</v>
      </c>
      <c r="L19" s="11">
        <f t="shared" si="3"/>
        <v>1475789056</v>
      </c>
      <c r="M19" s="11">
        <f t="shared" si="3"/>
        <v>-7529536</v>
      </c>
      <c r="N19" s="11">
        <f t="shared" si="3"/>
        <v>38416</v>
      </c>
      <c r="O19" s="11">
        <f t="shared" si="3"/>
        <v>-196</v>
      </c>
      <c r="P19" s="11">
        <f t="shared" si="7"/>
        <v>0</v>
      </c>
    </row>
    <row r="20" spans="1:16" x14ac:dyDescent="0.25">
      <c r="A20" s="11">
        <f t="shared" si="6"/>
        <v>-35</v>
      </c>
      <c r="B20" s="11">
        <v>-43.999193438696686</v>
      </c>
      <c r="E20" s="11">
        <f>A20-'Mastercurve bestimmen'!$B$2</f>
        <v>-195</v>
      </c>
      <c r="F20" s="11">
        <f t="shared" si="4"/>
        <v>-43.999193438696686</v>
      </c>
      <c r="G20" s="11"/>
      <c r="H20" s="11">
        <f t="shared" si="5"/>
        <v>2.0906286173753907E+18</v>
      </c>
      <c r="I20" s="11">
        <f t="shared" si="3"/>
        <v>-1.0721172396796876E+16</v>
      </c>
      <c r="J20" s="11">
        <f t="shared" si="3"/>
        <v>54980371265625</v>
      </c>
      <c r="K20" s="11">
        <f t="shared" si="3"/>
        <v>-281950621875</v>
      </c>
      <c r="L20" s="11">
        <f t="shared" si="3"/>
        <v>1445900625</v>
      </c>
      <c r="M20" s="11">
        <f t="shared" si="3"/>
        <v>-7414875</v>
      </c>
      <c r="N20" s="11">
        <f t="shared" si="3"/>
        <v>38025</v>
      </c>
      <c r="O20" s="11">
        <f t="shared" si="3"/>
        <v>-195</v>
      </c>
      <c r="P20" s="11">
        <f t="shared" si="7"/>
        <v>0</v>
      </c>
    </row>
    <row r="21" spans="1:16" x14ac:dyDescent="0.25">
      <c r="A21" s="11">
        <f t="shared" si="6"/>
        <v>-34</v>
      </c>
      <c r="B21" s="11">
        <v>-43.94591142540316</v>
      </c>
      <c r="E21" s="11">
        <f>A21-'Mastercurve bestimmen'!$B$2</f>
        <v>-194</v>
      </c>
      <c r="F21" s="11">
        <f t="shared" si="4"/>
        <v>-43.94591142540316</v>
      </c>
      <c r="G21" s="11"/>
      <c r="H21" s="11">
        <f t="shared" si="5"/>
        <v>2.006383000160502E+18</v>
      </c>
      <c r="I21" s="11">
        <f t="shared" si="3"/>
        <v>-1.0342180413198464E+16</v>
      </c>
      <c r="J21" s="11">
        <f t="shared" si="3"/>
        <v>53310208315456</v>
      </c>
      <c r="K21" s="11">
        <f t="shared" si="3"/>
        <v>-274794888224</v>
      </c>
      <c r="L21" s="11">
        <f t="shared" si="3"/>
        <v>1416468496</v>
      </c>
      <c r="M21" s="11">
        <f t="shared" si="3"/>
        <v>-7301384</v>
      </c>
      <c r="N21" s="11">
        <f t="shared" si="3"/>
        <v>37636</v>
      </c>
      <c r="O21" s="11">
        <f t="shared" si="3"/>
        <v>-194</v>
      </c>
      <c r="P21" s="11">
        <f t="shared" si="7"/>
        <v>0</v>
      </c>
    </row>
    <row r="22" spans="1:16" x14ac:dyDescent="0.25">
      <c r="A22" s="11">
        <f t="shared" si="6"/>
        <v>-33</v>
      </c>
      <c r="B22">
        <v>-43.892115971806234</v>
      </c>
      <c r="E22" s="11">
        <f>A22-'Mastercurve bestimmen'!$B$2</f>
        <v>-193</v>
      </c>
      <c r="F22" s="11">
        <f t="shared" si="4"/>
        <v>-43.892115971806234</v>
      </c>
      <c r="G22" s="11"/>
      <c r="H22" s="11">
        <f t="shared" si="5"/>
        <v>1.925122952918976E+18</v>
      </c>
      <c r="I22" s="11">
        <f t="shared" si="3"/>
        <v>-9974730326005056</v>
      </c>
      <c r="J22" s="11">
        <f t="shared" si="3"/>
        <v>51682540549249</v>
      </c>
      <c r="K22" s="11">
        <f t="shared" si="3"/>
        <v>-267785184193</v>
      </c>
      <c r="L22" s="11">
        <f t="shared" si="3"/>
        <v>1387488001</v>
      </c>
      <c r="M22" s="11">
        <f t="shared" si="3"/>
        <v>-7189057</v>
      </c>
      <c r="N22" s="11">
        <f t="shared" si="3"/>
        <v>37249</v>
      </c>
      <c r="O22" s="11">
        <f t="shared" si="3"/>
        <v>-193</v>
      </c>
      <c r="P22" s="11">
        <f t="shared" si="7"/>
        <v>0</v>
      </c>
    </row>
    <row r="23" spans="1:16" x14ac:dyDescent="0.25">
      <c r="A23" s="11">
        <f t="shared" si="6"/>
        <v>-32</v>
      </c>
      <c r="B23">
        <v>-43.837721504521959</v>
      </c>
      <c r="E23" s="11">
        <f>A23-'Mastercurve bestimmen'!$B$2</f>
        <v>-192</v>
      </c>
      <c r="F23" s="11">
        <f t="shared" si="4"/>
        <v>-43.837721504521959</v>
      </c>
      <c r="G23" s="11"/>
      <c r="H23" s="11">
        <f t="shared" si="5"/>
        <v>1.846757322198614E+18</v>
      </c>
      <c r="I23" s="11">
        <f t="shared" si="3"/>
        <v>-9618527719784448</v>
      </c>
      <c r="J23" s="11">
        <f t="shared" si="3"/>
        <v>50096498540544</v>
      </c>
      <c r="K23" s="11">
        <f t="shared" si="3"/>
        <v>-260919263232</v>
      </c>
      <c r="L23" s="11">
        <f t="shared" si="3"/>
        <v>1358954496</v>
      </c>
      <c r="M23" s="11">
        <f t="shared" si="3"/>
        <v>-7077888</v>
      </c>
      <c r="N23" s="11">
        <f t="shared" si="3"/>
        <v>36864</v>
      </c>
      <c r="O23" s="11">
        <f t="shared" si="3"/>
        <v>-192</v>
      </c>
      <c r="P23" s="11">
        <f t="shared" si="7"/>
        <v>0</v>
      </c>
    </row>
    <row r="24" spans="1:16" x14ac:dyDescent="0.25">
      <c r="A24" s="11">
        <f t="shared" si="6"/>
        <v>-31</v>
      </c>
      <c r="B24">
        <v>-43.78264245016647</v>
      </c>
      <c r="E24" s="11">
        <f>A24-'Mastercurve bestimmen'!$B$2</f>
        <v>-191</v>
      </c>
      <c r="F24" s="11">
        <f t="shared" si="4"/>
        <v>-43.78264245016647</v>
      </c>
      <c r="G24" s="11"/>
      <c r="H24" s="11">
        <f t="shared" si="5"/>
        <v>1.7711972856522163E+18</v>
      </c>
      <c r="I24" s="11">
        <f t="shared" si="3"/>
        <v>-9273284218074432</v>
      </c>
      <c r="J24" s="11">
        <f t="shared" si="3"/>
        <v>48551226272641</v>
      </c>
      <c r="K24" s="11">
        <f t="shared" si="3"/>
        <v>-254194901951</v>
      </c>
      <c r="L24" s="11">
        <f t="shared" si="3"/>
        <v>1330863361</v>
      </c>
      <c r="M24" s="11">
        <f t="shared" si="3"/>
        <v>-6967871</v>
      </c>
      <c r="N24" s="11">
        <f t="shared" si="3"/>
        <v>36481</v>
      </c>
      <c r="O24" s="11">
        <f t="shared" si="3"/>
        <v>-191</v>
      </c>
      <c r="P24" s="11">
        <f t="shared" si="7"/>
        <v>0</v>
      </c>
    </row>
    <row r="25" spans="1:16" x14ac:dyDescent="0.25">
      <c r="A25" s="11">
        <f t="shared" si="6"/>
        <v>-30</v>
      </c>
      <c r="B25">
        <v>-43.726793235355835</v>
      </c>
      <c r="E25" s="11">
        <f>A25-'Mastercurve bestimmen'!$B$2</f>
        <v>-190</v>
      </c>
      <c r="F25" s="11">
        <f t="shared" si="4"/>
        <v>-43.726793235355835</v>
      </c>
      <c r="G25" s="11"/>
      <c r="H25" s="11">
        <f t="shared" si="5"/>
        <v>1.6983563041E+18</v>
      </c>
      <c r="I25" s="11">
        <f t="shared" si="3"/>
        <v>-8938717390000000</v>
      </c>
      <c r="J25" s="11">
        <f t="shared" si="3"/>
        <v>47045881000000</v>
      </c>
      <c r="K25" s="11">
        <f t="shared" si="3"/>
        <v>-247609900000</v>
      </c>
      <c r="L25" s="11">
        <f t="shared" si="3"/>
        <v>1303210000</v>
      </c>
      <c r="M25" s="11">
        <f t="shared" si="3"/>
        <v>-6859000</v>
      </c>
      <c r="N25" s="11">
        <f t="shared" si="3"/>
        <v>36100</v>
      </c>
      <c r="O25" s="11">
        <f t="shared" si="3"/>
        <v>-190</v>
      </c>
      <c r="P25" s="11">
        <f t="shared" si="7"/>
        <v>0</v>
      </c>
    </row>
    <row r="26" spans="1:16" x14ac:dyDescent="0.25">
      <c r="A26" s="11">
        <f t="shared" si="6"/>
        <v>-29</v>
      </c>
      <c r="B26">
        <v>-43.670088286706175</v>
      </c>
      <c r="E26" s="11">
        <f>A26-'Mastercurve bestimmen'!$B$2</f>
        <v>-189</v>
      </c>
      <c r="F26" s="11">
        <f t="shared" si="4"/>
        <v>-43.670088286706175</v>
      </c>
      <c r="G26" s="11"/>
      <c r="H26" s="11">
        <f t="shared" si="5"/>
        <v>1.6281500743352054E+18</v>
      </c>
      <c r="I26" s="11">
        <f t="shared" si="3"/>
        <v>-8614550657858229</v>
      </c>
      <c r="J26" s="11">
        <f t="shared" si="3"/>
        <v>45579633110361</v>
      </c>
      <c r="K26" s="11">
        <f t="shared" si="3"/>
        <v>-241162079949</v>
      </c>
      <c r="L26" s="11">
        <f t="shared" si="3"/>
        <v>1275989841</v>
      </c>
      <c r="M26" s="11">
        <f t="shared" si="3"/>
        <v>-6751269</v>
      </c>
      <c r="N26" s="11">
        <f t="shared" si="3"/>
        <v>35721</v>
      </c>
      <c r="O26" s="11">
        <f t="shared" si="3"/>
        <v>-189</v>
      </c>
      <c r="P26" s="11">
        <f t="shared" si="7"/>
        <v>0</v>
      </c>
    </row>
    <row r="27" spans="1:16" x14ac:dyDescent="0.25">
      <c r="A27" s="11">
        <f t="shared" si="6"/>
        <v>-28</v>
      </c>
      <c r="B27">
        <v>-43.612442030833563</v>
      </c>
      <c r="E27" s="11">
        <f>A27-'Mastercurve bestimmen'!$B$2</f>
        <v>-188</v>
      </c>
      <c r="F27" s="11">
        <f t="shared" si="4"/>
        <v>-43.612442030833563</v>
      </c>
      <c r="G27" s="11"/>
      <c r="H27" s="11">
        <f t="shared" si="5"/>
        <v>1.5604964826651689E+18</v>
      </c>
      <c r="I27" s="11">
        <f t="shared" si="3"/>
        <v>-8300513205665792</v>
      </c>
      <c r="J27" s="11">
        <f t="shared" si="3"/>
        <v>44151665987584</v>
      </c>
      <c r="K27" s="11">
        <f t="shared" si="3"/>
        <v>-234849287168</v>
      </c>
      <c r="L27" s="11">
        <f t="shared" si="3"/>
        <v>1249198336</v>
      </c>
      <c r="M27" s="11">
        <f t="shared" si="3"/>
        <v>-6644672</v>
      </c>
      <c r="N27" s="11">
        <f t="shared" si="3"/>
        <v>35344</v>
      </c>
      <c r="O27" s="11">
        <f t="shared" si="3"/>
        <v>-188</v>
      </c>
      <c r="P27" s="11">
        <f t="shared" si="7"/>
        <v>0</v>
      </c>
    </row>
    <row r="28" spans="1:16" x14ac:dyDescent="0.25">
      <c r="A28" s="11">
        <f t="shared" si="6"/>
        <v>-27</v>
      </c>
      <c r="B28">
        <v>-43.553768894354107</v>
      </c>
      <c r="E28" s="11">
        <f>A28-'Mastercurve bestimmen'!$B$2</f>
        <v>-187</v>
      </c>
      <c r="F28" s="11">
        <f t="shared" si="4"/>
        <v>-43.553768894354107</v>
      </c>
      <c r="G28" s="11"/>
      <c r="H28" s="11">
        <f t="shared" si="5"/>
        <v>1.4953155591801836E+18</v>
      </c>
      <c r="I28" s="11">
        <f t="shared" si="3"/>
        <v>-7996339888664083</v>
      </c>
      <c r="J28" s="11">
        <f t="shared" si="3"/>
        <v>42761175875209</v>
      </c>
      <c r="K28" s="11">
        <f t="shared" si="3"/>
        <v>-228669389707</v>
      </c>
      <c r="L28" s="11">
        <f t="shared" si="3"/>
        <v>1222830961</v>
      </c>
      <c r="M28" s="11">
        <f t="shared" si="3"/>
        <v>-6539203</v>
      </c>
      <c r="N28" s="11">
        <f t="shared" si="3"/>
        <v>34969</v>
      </c>
      <c r="O28" s="11">
        <f t="shared" si="3"/>
        <v>-187</v>
      </c>
      <c r="P28" s="11">
        <f t="shared" si="7"/>
        <v>0</v>
      </c>
    </row>
    <row r="29" spans="1:16" x14ac:dyDescent="0.25">
      <c r="A29" s="11">
        <f t="shared" si="6"/>
        <v>-26</v>
      </c>
      <c r="B29">
        <v>-43.493983303883908</v>
      </c>
      <c r="E29" s="11">
        <f>A29-'Mastercurve bestimmen'!$B$2</f>
        <v>-186</v>
      </c>
      <c r="F29" s="11">
        <f t="shared" si="4"/>
        <v>-43.493983303883908</v>
      </c>
      <c r="G29" s="11"/>
      <c r="H29" s="11">
        <f t="shared" si="5"/>
        <v>1.4325294327425027E+18</v>
      </c>
      <c r="I29" s="11">
        <f t="shared" si="3"/>
        <v>-7701771143776896</v>
      </c>
      <c r="J29" s="11">
        <f t="shared" si="3"/>
        <v>41407371740736</v>
      </c>
      <c r="K29" s="11">
        <f t="shared" si="3"/>
        <v>-222620278176</v>
      </c>
      <c r="L29" s="11">
        <f t="shared" si="3"/>
        <v>1196883216</v>
      </c>
      <c r="M29" s="11">
        <f t="shared" si="3"/>
        <v>-6434856</v>
      </c>
      <c r="N29" s="11">
        <f t="shared" si="3"/>
        <v>34596</v>
      </c>
      <c r="O29" s="11">
        <f t="shared" si="3"/>
        <v>-186</v>
      </c>
      <c r="P29" s="11">
        <f t="shared" si="7"/>
        <v>0</v>
      </c>
    </row>
    <row r="30" spans="1:16" x14ac:dyDescent="0.25">
      <c r="A30" s="11">
        <f t="shared" si="6"/>
        <v>-25</v>
      </c>
      <c r="B30">
        <v>-43.432999686039054</v>
      </c>
      <c r="E30" s="11">
        <f>A30-'Mastercurve bestimmen'!$B$2</f>
        <v>-185</v>
      </c>
      <c r="F30" s="11">
        <f t="shared" si="4"/>
        <v>-43.432999686039054</v>
      </c>
      <c r="G30" s="11"/>
      <c r="H30" s="11">
        <f t="shared" si="5"/>
        <v>1.3720622866878907E+18</v>
      </c>
      <c r="I30" s="11">
        <f t="shared" si="3"/>
        <v>-7416552901015625</v>
      </c>
      <c r="J30" s="11">
        <f t="shared" si="3"/>
        <v>40089475140625</v>
      </c>
      <c r="K30" s="11">
        <f t="shared" si="3"/>
        <v>-216699865625</v>
      </c>
      <c r="L30" s="11">
        <f t="shared" si="3"/>
        <v>1171350625</v>
      </c>
      <c r="M30" s="11">
        <f t="shared" si="3"/>
        <v>-6331625</v>
      </c>
      <c r="N30" s="11">
        <f t="shared" si="3"/>
        <v>34225</v>
      </c>
      <c r="O30" s="11">
        <f t="shared" si="3"/>
        <v>-185</v>
      </c>
      <c r="P30" s="11">
        <f t="shared" si="7"/>
        <v>0</v>
      </c>
    </row>
    <row r="31" spans="1:16" x14ac:dyDescent="0.25">
      <c r="A31" s="11">
        <f t="shared" si="6"/>
        <v>-24</v>
      </c>
      <c r="B31">
        <v>-43.370732467435637</v>
      </c>
      <c r="E31" s="11">
        <f>A31-'Mastercurve bestimmen'!$B$2</f>
        <v>-184</v>
      </c>
      <c r="F31" s="11">
        <f t="shared" si="4"/>
        <v>-43.370732467435637</v>
      </c>
      <c r="G31" s="11"/>
      <c r="H31" s="11">
        <f t="shared" si="5"/>
        <v>1.3138403152321577E+18</v>
      </c>
      <c r="I31" s="11">
        <f t="shared" si="5"/>
        <v>-7140436495826944</v>
      </c>
      <c r="J31" s="11">
        <f t="shared" si="5"/>
        <v>38806720086016</v>
      </c>
      <c r="K31" s="11">
        <f t="shared" si="5"/>
        <v>-210906087424</v>
      </c>
      <c r="L31" s="11">
        <f t="shared" si="5"/>
        <v>1146228736</v>
      </c>
      <c r="M31" s="11">
        <f t="shared" si="5"/>
        <v>-6229504</v>
      </c>
      <c r="N31" s="11">
        <f t="shared" si="5"/>
        <v>33856</v>
      </c>
      <c r="O31" s="11">
        <f t="shared" si="5"/>
        <v>-184</v>
      </c>
      <c r="P31" s="11">
        <f t="shared" si="7"/>
        <v>0</v>
      </c>
    </row>
    <row r="32" spans="1:16" x14ac:dyDescent="0.25">
      <c r="A32" s="11">
        <f t="shared" si="6"/>
        <v>-23</v>
      </c>
      <c r="B32">
        <v>-43.307096074689767</v>
      </c>
      <c r="E32" s="11">
        <f>A32-'Mastercurve bestimmen'!$B$2</f>
        <v>-183</v>
      </c>
      <c r="F32" s="11">
        <f t="shared" si="4"/>
        <v>-43.307096074689767</v>
      </c>
      <c r="G32" s="11"/>
      <c r="H32" s="11">
        <f t="shared" si="5"/>
        <v>1.2577916805751606E+18</v>
      </c>
      <c r="I32" s="11">
        <f t="shared" si="5"/>
        <v>-6873178582377927</v>
      </c>
      <c r="J32" s="11">
        <f t="shared" si="5"/>
        <v>37558352909169</v>
      </c>
      <c r="K32" s="11">
        <f t="shared" si="5"/>
        <v>-205236901143</v>
      </c>
      <c r="L32" s="11">
        <f t="shared" si="5"/>
        <v>1121513121</v>
      </c>
      <c r="M32" s="11">
        <f t="shared" si="5"/>
        <v>-6128487</v>
      </c>
      <c r="N32" s="11">
        <f t="shared" si="5"/>
        <v>33489</v>
      </c>
      <c r="O32" s="11">
        <f t="shared" si="5"/>
        <v>-183</v>
      </c>
      <c r="P32" s="11">
        <f t="shared" si="7"/>
        <v>0</v>
      </c>
    </row>
    <row r="33" spans="1:16" x14ac:dyDescent="0.25">
      <c r="A33" s="11">
        <f t="shared" si="6"/>
        <v>-22</v>
      </c>
      <c r="B33">
        <v>-43.242004934417523</v>
      </c>
      <c r="E33" s="11">
        <f>A33-'Mastercurve bestimmen'!$B$2</f>
        <v>-182</v>
      </c>
      <c r="F33" s="11">
        <f t="shared" si="4"/>
        <v>-43.242004934417523</v>
      </c>
      <c r="G33" s="11"/>
      <c r="H33" s="11">
        <f t="shared" si="5"/>
        <v>1.2038464706947894E+18</v>
      </c>
      <c r="I33" s="11">
        <f t="shared" si="5"/>
        <v>-6614541047773568</v>
      </c>
      <c r="J33" s="11">
        <f t="shared" si="5"/>
        <v>36343632130624</v>
      </c>
      <c r="K33" s="11">
        <f t="shared" si="5"/>
        <v>-199690286432</v>
      </c>
      <c r="L33" s="11">
        <f t="shared" si="5"/>
        <v>1097199376</v>
      </c>
      <c r="M33" s="11">
        <f t="shared" si="5"/>
        <v>-6028568</v>
      </c>
      <c r="N33" s="11">
        <f t="shared" si="5"/>
        <v>33124</v>
      </c>
      <c r="O33" s="11">
        <f t="shared" si="5"/>
        <v>-182</v>
      </c>
      <c r="P33" s="11">
        <f t="shared" si="7"/>
        <v>0</v>
      </c>
    </row>
    <row r="34" spans="1:16" x14ac:dyDescent="0.25">
      <c r="A34" s="11">
        <f t="shared" si="6"/>
        <v>-21</v>
      </c>
      <c r="B34">
        <v>-43.175373473235013</v>
      </c>
      <c r="E34" s="11">
        <f>A34-'Mastercurve bestimmen'!$B$2</f>
        <v>-181</v>
      </c>
      <c r="F34" s="11">
        <f t="shared" si="4"/>
        <v>-43.175373473235013</v>
      </c>
      <c r="G34" s="11"/>
      <c r="H34" s="11">
        <f t="shared" si="5"/>
        <v>1.1519366578235007E+18</v>
      </c>
      <c r="I34" s="11">
        <f t="shared" si="5"/>
        <v>-6364290927201661</v>
      </c>
      <c r="J34" s="11">
        <f t="shared" si="5"/>
        <v>35161828327081</v>
      </c>
      <c r="K34" s="11">
        <f t="shared" si="5"/>
        <v>-194264244901</v>
      </c>
      <c r="L34" s="11">
        <f t="shared" si="5"/>
        <v>1073283121</v>
      </c>
      <c r="M34" s="11">
        <f t="shared" si="5"/>
        <v>-5929741</v>
      </c>
      <c r="N34" s="11">
        <f t="shared" si="5"/>
        <v>32761</v>
      </c>
      <c r="O34" s="11">
        <f t="shared" si="5"/>
        <v>-181</v>
      </c>
      <c r="P34" s="11">
        <f t="shared" si="7"/>
        <v>0</v>
      </c>
    </row>
    <row r="35" spans="1:16" x14ac:dyDescent="0.25">
      <c r="A35" s="11">
        <f t="shared" si="6"/>
        <v>-20</v>
      </c>
      <c r="B35">
        <v>-43.107116117758338</v>
      </c>
      <c r="E35" s="11">
        <f>A35-'Mastercurve bestimmen'!$B$2</f>
        <v>-180</v>
      </c>
      <c r="F35" s="11">
        <f t="shared" si="4"/>
        <v>-43.107116117758338</v>
      </c>
      <c r="G35" s="11"/>
      <c r="H35" s="11">
        <f t="shared" si="5"/>
        <v>1.1019960576E+18</v>
      </c>
      <c r="I35" s="11">
        <f t="shared" si="5"/>
        <v>-6122200320000000</v>
      </c>
      <c r="J35" s="11">
        <f t="shared" si="5"/>
        <v>34012224000000</v>
      </c>
      <c r="K35" s="11">
        <f t="shared" si="5"/>
        <v>-188956800000</v>
      </c>
      <c r="L35" s="11">
        <f t="shared" si="5"/>
        <v>1049760000</v>
      </c>
      <c r="M35" s="11">
        <f t="shared" si="5"/>
        <v>-5832000</v>
      </c>
      <c r="N35" s="11">
        <f t="shared" si="5"/>
        <v>32400</v>
      </c>
      <c r="O35" s="11">
        <f t="shared" si="5"/>
        <v>-180</v>
      </c>
      <c r="P35" s="11">
        <f t="shared" si="7"/>
        <v>0</v>
      </c>
    </row>
    <row r="36" spans="1:16" x14ac:dyDescent="0.25">
      <c r="A36" s="11">
        <f t="shared" si="6"/>
        <v>-19</v>
      </c>
      <c r="B36">
        <v>-43.037147294603578</v>
      </c>
      <c r="E36" s="11">
        <f>A36-'Mastercurve bestimmen'!$B$2</f>
        <v>-179</v>
      </c>
      <c r="F36" s="11">
        <f t="shared" si="4"/>
        <v>-43.037147294603578</v>
      </c>
      <c r="G36" s="11"/>
      <c r="H36" s="11">
        <f t="shared" si="5"/>
        <v>1.0539602888887137E+18</v>
      </c>
      <c r="I36" s="11">
        <f t="shared" si="5"/>
        <v>-5888046306640859</v>
      </c>
      <c r="J36" s="11">
        <f t="shared" si="5"/>
        <v>32894113444921</v>
      </c>
      <c r="K36" s="11">
        <f t="shared" si="5"/>
        <v>-183765996899</v>
      </c>
      <c r="L36" s="11">
        <f t="shared" si="5"/>
        <v>1026625681</v>
      </c>
      <c r="M36" s="11">
        <f t="shared" si="5"/>
        <v>-5735339</v>
      </c>
      <c r="N36" s="11">
        <f t="shared" si="5"/>
        <v>32041</v>
      </c>
      <c r="O36" s="11">
        <f t="shared" si="5"/>
        <v>-179</v>
      </c>
      <c r="P36" s="11">
        <f t="shared" si="7"/>
        <v>0</v>
      </c>
    </row>
    <row r="37" spans="1:16" x14ac:dyDescent="0.25">
      <c r="A37" s="11">
        <f t="shared" si="6"/>
        <v>-18</v>
      </c>
      <c r="B37">
        <v>-42.965381430386842</v>
      </c>
      <c r="E37" s="11">
        <f>A37-'Mastercurve bestimmen'!$B$2</f>
        <v>-178</v>
      </c>
      <c r="F37" s="11">
        <f t="shared" si="4"/>
        <v>-42.965381430386842</v>
      </c>
      <c r="G37" s="11"/>
      <c r="H37" s="11">
        <f t="shared" si="5"/>
        <v>1.0077667342597327E+18</v>
      </c>
      <c r="I37" s="11">
        <f t="shared" si="5"/>
        <v>-5661610866627712</v>
      </c>
      <c r="J37" s="11">
        <f t="shared" si="5"/>
        <v>31806802621504</v>
      </c>
      <c r="K37" s="11">
        <f t="shared" si="5"/>
        <v>-178689902368</v>
      </c>
      <c r="L37" s="11">
        <f t="shared" si="5"/>
        <v>1003875856</v>
      </c>
      <c r="M37" s="11">
        <f t="shared" si="5"/>
        <v>-5639752</v>
      </c>
      <c r="N37" s="11">
        <f t="shared" si="5"/>
        <v>31684</v>
      </c>
      <c r="O37" s="11">
        <f t="shared" si="5"/>
        <v>-178</v>
      </c>
      <c r="P37" s="11">
        <f t="shared" si="7"/>
        <v>0</v>
      </c>
    </row>
    <row r="38" spans="1:16" x14ac:dyDescent="0.25">
      <c r="A38" s="11">
        <f t="shared" si="6"/>
        <v>-17</v>
      </c>
      <c r="B38">
        <v>-42.891732951724222</v>
      </c>
      <c r="E38" s="11">
        <f>A38-'Mastercurve bestimmen'!$B$2</f>
        <v>-177</v>
      </c>
      <c r="F38" s="11">
        <f t="shared" si="4"/>
        <v>-42.891732951724222</v>
      </c>
      <c r="G38" s="11"/>
      <c r="H38" s="11">
        <f t="shared" si="5"/>
        <v>9.6335450112195008E+17</v>
      </c>
      <c r="I38" s="11">
        <f t="shared" si="5"/>
        <v>-5442680797299153</v>
      </c>
      <c r="J38" s="11">
        <f t="shared" si="5"/>
        <v>30749609024289</v>
      </c>
      <c r="K38" s="11">
        <f t="shared" si="5"/>
        <v>-173726604657</v>
      </c>
      <c r="L38" s="11">
        <f t="shared" si="5"/>
        <v>981506241</v>
      </c>
      <c r="M38" s="11">
        <f t="shared" si="5"/>
        <v>-5545233</v>
      </c>
      <c r="N38" s="11">
        <f t="shared" si="5"/>
        <v>31329</v>
      </c>
      <c r="O38" s="11">
        <f t="shared" si="5"/>
        <v>-177</v>
      </c>
      <c r="P38" s="11">
        <f t="shared" si="7"/>
        <v>0</v>
      </c>
    </row>
    <row r="39" spans="1:16" x14ac:dyDescent="0.25">
      <c r="A39" s="11">
        <f t="shared" si="6"/>
        <v>-16</v>
      </c>
      <c r="B39">
        <v>-42.816116285231821</v>
      </c>
      <c r="E39" s="11">
        <f>A39-'Mastercurve bestimmen'!$B$2</f>
        <v>-176</v>
      </c>
      <c r="F39" s="11">
        <f t="shared" si="4"/>
        <v>-42.816116285231821</v>
      </c>
      <c r="G39" s="11"/>
      <c r="H39" s="11">
        <f t="shared" si="5"/>
        <v>9.2066438350215578E+17</v>
      </c>
      <c r="I39" s="11">
        <f t="shared" si="5"/>
        <v>-5231047633534976</v>
      </c>
      <c r="J39" s="11">
        <f t="shared" si="5"/>
        <v>29721861554176</v>
      </c>
      <c r="K39" s="11">
        <f t="shared" si="5"/>
        <v>-168874213376</v>
      </c>
      <c r="L39" s="11">
        <f t="shared" si="5"/>
        <v>959512576</v>
      </c>
      <c r="M39" s="11">
        <f t="shared" si="5"/>
        <v>-5451776</v>
      </c>
      <c r="N39" s="11">
        <f t="shared" si="5"/>
        <v>30976</v>
      </c>
      <c r="O39" s="11">
        <f t="shared" si="5"/>
        <v>-176</v>
      </c>
      <c r="P39" s="11">
        <f t="shared" si="7"/>
        <v>0</v>
      </c>
    </row>
    <row r="40" spans="1:16" x14ac:dyDescent="0.25">
      <c r="A40" s="11">
        <f t="shared" si="6"/>
        <v>-15</v>
      </c>
      <c r="B40">
        <v>-42.738445857525718</v>
      </c>
      <c r="E40" s="11">
        <f>A40-'Mastercurve bestimmen'!$B$2</f>
        <v>-175</v>
      </c>
      <c r="F40" s="11">
        <f t="shared" si="4"/>
        <v>-42.738445857525718</v>
      </c>
      <c r="G40" s="11"/>
      <c r="H40" s="11">
        <f t="shared" si="5"/>
        <v>8.7963882446289062E+17</v>
      </c>
      <c r="I40" s="11">
        <f t="shared" si="5"/>
        <v>-5026507568359375</v>
      </c>
      <c r="J40" s="11">
        <f t="shared" si="5"/>
        <v>28722900390625</v>
      </c>
      <c r="K40" s="11">
        <f t="shared" si="5"/>
        <v>-164130859375</v>
      </c>
      <c r="L40" s="11">
        <f t="shared" si="5"/>
        <v>937890625</v>
      </c>
      <c r="M40" s="11">
        <f t="shared" si="5"/>
        <v>-5359375</v>
      </c>
      <c r="N40" s="11">
        <f t="shared" si="5"/>
        <v>30625</v>
      </c>
      <c r="O40" s="11">
        <f t="shared" si="5"/>
        <v>-175</v>
      </c>
      <c r="P40" s="11">
        <f t="shared" si="7"/>
        <v>0</v>
      </c>
    </row>
    <row r="41" spans="1:16" x14ac:dyDescent="0.25">
      <c r="A41" s="11">
        <f t="shared" si="6"/>
        <v>-14</v>
      </c>
      <c r="B41">
        <v>-42.658636095222029</v>
      </c>
      <c r="E41" s="11">
        <f>A41-'Mastercurve bestimmen'!$B$2</f>
        <v>-174</v>
      </c>
      <c r="F41" s="11">
        <f t="shared" si="4"/>
        <v>-42.658636095222029</v>
      </c>
      <c r="G41" s="11"/>
      <c r="H41" s="11">
        <f t="shared" si="5"/>
        <v>8.4022187915190298E+17</v>
      </c>
      <c r="I41" s="11">
        <f t="shared" si="5"/>
        <v>-4828861374436224</v>
      </c>
      <c r="J41" s="11">
        <f t="shared" si="5"/>
        <v>27752076864576</v>
      </c>
      <c r="K41" s="11">
        <f t="shared" si="5"/>
        <v>-159494694624</v>
      </c>
      <c r="L41" s="11">
        <f t="shared" si="5"/>
        <v>916636176</v>
      </c>
      <c r="M41" s="11">
        <f t="shared" si="5"/>
        <v>-5268024</v>
      </c>
      <c r="N41" s="11">
        <f t="shared" si="5"/>
        <v>30276</v>
      </c>
      <c r="O41" s="11">
        <f t="shared" si="5"/>
        <v>-174</v>
      </c>
      <c r="P41" s="11">
        <f t="shared" si="7"/>
        <v>0</v>
      </c>
    </row>
    <row r="42" spans="1:16" x14ac:dyDescent="0.25">
      <c r="A42" s="11">
        <f t="shared" si="6"/>
        <v>-13</v>
      </c>
      <c r="B42">
        <v>-42.57660142493684</v>
      </c>
      <c r="E42" s="11">
        <f>A42-'Mastercurve bestimmen'!$B$2</f>
        <v>-173</v>
      </c>
      <c r="F42" s="11">
        <f t="shared" si="4"/>
        <v>-42.57660142493684</v>
      </c>
      <c r="G42" s="11"/>
      <c r="H42" s="11">
        <f t="shared" si="5"/>
        <v>8.0235917847609165E+17</v>
      </c>
      <c r="I42" s="11">
        <f t="shared" si="5"/>
        <v>-4637914326451397</v>
      </c>
      <c r="J42" s="11">
        <f t="shared" si="5"/>
        <v>26808753332089</v>
      </c>
      <c r="K42" s="11">
        <f t="shared" si="5"/>
        <v>-154963892093</v>
      </c>
      <c r="L42" s="11">
        <f t="shared" si="5"/>
        <v>895745041</v>
      </c>
      <c r="M42" s="11">
        <f t="shared" si="5"/>
        <v>-5177717</v>
      </c>
      <c r="N42" s="11">
        <f t="shared" si="5"/>
        <v>29929</v>
      </c>
      <c r="O42" s="11">
        <f t="shared" si="5"/>
        <v>-173</v>
      </c>
      <c r="P42" s="11">
        <f t="shared" si="7"/>
        <v>0</v>
      </c>
    </row>
    <row r="43" spans="1:16" x14ac:dyDescent="0.25">
      <c r="A43" s="11">
        <f t="shared" si="6"/>
        <v>-12</v>
      </c>
      <c r="B43">
        <v>-42.492256273286245</v>
      </c>
      <c r="E43" s="11">
        <f>A43-'Mastercurve bestimmen'!$B$2</f>
        <v>-172</v>
      </c>
      <c r="F43" s="11">
        <f t="shared" si="4"/>
        <v>-42.492256273286245</v>
      </c>
      <c r="G43" s="11"/>
      <c r="H43" s="11">
        <f t="shared" si="5"/>
        <v>7.6599789339285914E+17</v>
      </c>
      <c r="I43" s="11">
        <f t="shared" si="5"/>
        <v>-4453476124377088</v>
      </c>
      <c r="J43" s="11">
        <f t="shared" si="5"/>
        <v>25892303048704</v>
      </c>
      <c r="K43" s="11">
        <f t="shared" si="5"/>
        <v>-150536645632</v>
      </c>
      <c r="L43" s="11">
        <f t="shared" si="5"/>
        <v>875213056</v>
      </c>
      <c r="M43" s="11">
        <f t="shared" si="5"/>
        <v>-5088448</v>
      </c>
      <c r="N43" s="11">
        <f t="shared" si="5"/>
        <v>29584</v>
      </c>
      <c r="O43" s="11">
        <f t="shared" si="5"/>
        <v>-172</v>
      </c>
      <c r="P43" s="11">
        <f t="shared" si="7"/>
        <v>0</v>
      </c>
    </row>
    <row r="44" spans="1:16" x14ac:dyDescent="0.25">
      <c r="A44" s="11">
        <f t="shared" si="6"/>
        <v>-11</v>
      </c>
      <c r="B44">
        <v>-42.405515066886345</v>
      </c>
      <c r="E44" s="11">
        <f>A44-'Mastercurve bestimmen'!$B$2</f>
        <v>-171</v>
      </c>
      <c r="F44" s="11">
        <f t="shared" si="4"/>
        <v>-42.405515066886345</v>
      </c>
      <c r="G44" s="11"/>
      <c r="H44" s="11">
        <f t="shared" si="5"/>
        <v>7.3108669981183859E+17</v>
      </c>
      <c r="I44" s="11">
        <f t="shared" si="5"/>
        <v>-4275360817613091</v>
      </c>
      <c r="J44" s="11">
        <f t="shared" si="5"/>
        <v>25002110044521</v>
      </c>
      <c r="K44" s="11">
        <f t="shared" si="5"/>
        <v>-146211169851</v>
      </c>
      <c r="L44" s="11">
        <f t="shared" si="5"/>
        <v>855036081</v>
      </c>
      <c r="M44" s="11">
        <f t="shared" si="5"/>
        <v>-5000211</v>
      </c>
      <c r="N44" s="11">
        <f t="shared" si="5"/>
        <v>29241</v>
      </c>
      <c r="O44" s="11">
        <f t="shared" si="5"/>
        <v>-171</v>
      </c>
      <c r="P44" s="11">
        <f t="shared" si="7"/>
        <v>0</v>
      </c>
    </row>
    <row r="45" spans="1:16" x14ac:dyDescent="0.25">
      <c r="A45" s="11">
        <f t="shared" si="6"/>
        <v>-10</v>
      </c>
      <c r="B45">
        <v>-42.316292232353234</v>
      </c>
      <c r="E45" s="11">
        <f>A45-'Mastercurve bestimmen'!$B$2</f>
        <v>-170</v>
      </c>
      <c r="F45" s="11">
        <f t="shared" si="4"/>
        <v>-42.316292232353234</v>
      </c>
      <c r="G45" s="11"/>
      <c r="H45" s="11">
        <f t="shared" si="5"/>
        <v>6.975757441E+17</v>
      </c>
      <c r="I45" s="11">
        <f t="shared" si="5"/>
        <v>-4103386730000000</v>
      </c>
      <c r="J45" s="11">
        <f t="shared" si="5"/>
        <v>24137569000000</v>
      </c>
      <c r="K45" s="11">
        <f t="shared" si="5"/>
        <v>-141985700000</v>
      </c>
      <c r="L45" s="11">
        <f t="shared" si="5"/>
        <v>835210000</v>
      </c>
      <c r="M45" s="11">
        <f t="shared" si="5"/>
        <v>-4913000</v>
      </c>
      <c r="N45" s="11">
        <f t="shared" si="5"/>
        <v>28900</v>
      </c>
      <c r="O45" s="11">
        <f t="shared" si="5"/>
        <v>-170</v>
      </c>
      <c r="P45" s="11">
        <f t="shared" si="7"/>
        <v>0</v>
      </c>
    </row>
    <row r="46" spans="1:16" x14ac:dyDescent="0.25">
      <c r="A46" s="11">
        <f t="shared" si="6"/>
        <v>-9</v>
      </c>
      <c r="B46">
        <v>-42.224502196303</v>
      </c>
      <c r="E46" s="11">
        <f>A46-'Mastercurve bestimmen'!$B$2</f>
        <v>-169</v>
      </c>
      <c r="F46" s="11">
        <f t="shared" si="4"/>
        <v>-42.224502196303</v>
      </c>
      <c r="G46" s="11"/>
      <c r="H46" s="11">
        <f t="shared" si="5"/>
        <v>6.654166091831799E+17</v>
      </c>
      <c r="I46" s="11">
        <f t="shared" si="5"/>
        <v>-3937376385699289</v>
      </c>
      <c r="J46" s="11">
        <f t="shared" si="5"/>
        <v>23298085122481</v>
      </c>
      <c r="K46" s="11">
        <f t="shared" si="5"/>
        <v>-137858491849</v>
      </c>
      <c r="L46" s="11">
        <f t="shared" si="5"/>
        <v>815730721</v>
      </c>
      <c r="M46" s="11">
        <f t="shared" si="5"/>
        <v>-4826809</v>
      </c>
      <c r="N46" s="11">
        <f t="shared" si="5"/>
        <v>28561</v>
      </c>
      <c r="O46" s="11">
        <f t="shared" si="5"/>
        <v>-169</v>
      </c>
      <c r="P46" s="11">
        <f t="shared" si="7"/>
        <v>0</v>
      </c>
    </row>
    <row r="47" spans="1:16" x14ac:dyDescent="0.25">
      <c r="A47" s="11">
        <f t="shared" si="6"/>
        <v>-8</v>
      </c>
      <c r="B47">
        <v>-42.130059385351764</v>
      </c>
      <c r="E47" s="11">
        <f>A47-'Mastercurve bestimmen'!$B$2</f>
        <v>-168</v>
      </c>
      <c r="F47" s="11">
        <f t="shared" si="4"/>
        <v>-42.130059385351764</v>
      </c>
      <c r="G47" s="11"/>
      <c r="H47" s="11">
        <f t="shared" si="5"/>
        <v>6.3456228123711898E+17</v>
      </c>
      <c r="I47" s="11">
        <f t="shared" si="5"/>
        <v>-3777156435935232</v>
      </c>
      <c r="J47" s="11">
        <f t="shared" si="5"/>
        <v>22483074023424</v>
      </c>
      <c r="K47" s="11">
        <f t="shared" si="5"/>
        <v>-133827821568</v>
      </c>
      <c r="L47" s="11">
        <f t="shared" si="5"/>
        <v>796594176</v>
      </c>
      <c r="M47" s="11">
        <f t="shared" si="5"/>
        <v>-4741632</v>
      </c>
      <c r="N47" s="11">
        <f t="shared" si="5"/>
        <v>28224</v>
      </c>
      <c r="O47" s="11">
        <f t="shared" si="5"/>
        <v>-168</v>
      </c>
      <c r="P47" s="11">
        <f t="shared" si="7"/>
        <v>0</v>
      </c>
    </row>
    <row r="48" spans="1:16" x14ac:dyDescent="0.25">
      <c r="A48" s="11">
        <f t="shared" si="6"/>
        <v>-7</v>
      </c>
      <c r="B48">
        <v>-42.032878226115599</v>
      </c>
      <c r="E48" s="11">
        <f>A48-'Mastercurve bestimmen'!$B$2</f>
        <v>-167</v>
      </c>
      <c r="F48" s="11">
        <f t="shared" si="4"/>
        <v>-42.032878226115599</v>
      </c>
      <c r="G48" s="11"/>
      <c r="H48" s="11">
        <f t="shared" ref="H48:O79" si="8">IF($H$12&gt;=H$14,$E48^H$14,0)</f>
        <v>6.049671169611351E+17</v>
      </c>
      <c r="I48" s="11">
        <f t="shared" si="8"/>
        <v>-3622557586593623</v>
      </c>
      <c r="J48" s="11">
        <f t="shared" si="8"/>
        <v>21691961596369</v>
      </c>
      <c r="K48" s="11">
        <f t="shared" si="8"/>
        <v>-129891985607</v>
      </c>
      <c r="L48" s="11">
        <f t="shared" si="8"/>
        <v>777796321</v>
      </c>
      <c r="M48" s="11">
        <f t="shared" si="8"/>
        <v>-4657463</v>
      </c>
      <c r="N48" s="11">
        <f t="shared" si="8"/>
        <v>27889</v>
      </c>
      <c r="O48" s="11">
        <f t="shared" si="8"/>
        <v>-167</v>
      </c>
      <c r="P48" s="11">
        <f t="shared" si="7"/>
        <v>0</v>
      </c>
    </row>
    <row r="49" spans="1:16" x14ac:dyDescent="0.25">
      <c r="A49" s="11">
        <f t="shared" si="6"/>
        <v>-6</v>
      </c>
      <c r="B49">
        <v>-41.932873145210607</v>
      </c>
      <c r="E49" s="11">
        <f>A49-'Mastercurve bestimmen'!$B$2</f>
        <v>-166</v>
      </c>
      <c r="F49" s="11">
        <f t="shared" si="4"/>
        <v>-41.932873145210607</v>
      </c>
      <c r="G49" s="11"/>
      <c r="H49" s="11">
        <f t="shared" si="8"/>
        <v>5.765868114275945E+17</v>
      </c>
      <c r="I49" s="11">
        <f t="shared" si="8"/>
        <v>-3473414526672256</v>
      </c>
      <c r="J49" s="11">
        <f t="shared" si="8"/>
        <v>20924183895616</v>
      </c>
      <c r="K49" s="11">
        <f t="shared" si="8"/>
        <v>-126049300576</v>
      </c>
      <c r="L49" s="11">
        <f t="shared" si="8"/>
        <v>759333136</v>
      </c>
      <c r="M49" s="11">
        <f t="shared" si="8"/>
        <v>-4574296</v>
      </c>
      <c r="N49" s="11">
        <f t="shared" si="8"/>
        <v>27556</v>
      </c>
      <c r="O49" s="11">
        <f t="shared" si="8"/>
        <v>-166</v>
      </c>
      <c r="P49" s="11">
        <f t="shared" si="7"/>
        <v>0</v>
      </c>
    </row>
    <row r="50" spans="1:16" x14ac:dyDescent="0.25">
      <c r="A50" s="11">
        <f t="shared" si="6"/>
        <v>-5</v>
      </c>
      <c r="B50">
        <v>-41.829958569252895</v>
      </c>
      <c r="E50" s="11">
        <f>A50-'Mastercurve bestimmen'!$B$2</f>
        <v>-165</v>
      </c>
      <c r="F50" s="11">
        <f t="shared" si="4"/>
        <v>-41.829958569252895</v>
      </c>
      <c r="G50" s="11"/>
      <c r="H50" s="11">
        <f t="shared" si="8"/>
        <v>5.4937836650039066E+17</v>
      </c>
      <c r="I50" s="11">
        <f t="shared" si="8"/>
        <v>-3329565857578125</v>
      </c>
      <c r="J50" s="11">
        <f t="shared" si="8"/>
        <v>20179187015625</v>
      </c>
      <c r="K50" s="11">
        <f t="shared" si="8"/>
        <v>-122298103125</v>
      </c>
      <c r="L50" s="11">
        <f t="shared" si="8"/>
        <v>741200625</v>
      </c>
      <c r="M50" s="11">
        <f t="shared" si="8"/>
        <v>-4492125</v>
      </c>
      <c r="N50" s="11">
        <f t="shared" si="8"/>
        <v>27225</v>
      </c>
      <c r="O50" s="11">
        <f t="shared" si="8"/>
        <v>-165</v>
      </c>
      <c r="P50" s="11">
        <f t="shared" si="7"/>
        <v>0</v>
      </c>
    </row>
    <row r="51" spans="1:16" x14ac:dyDescent="0.25">
      <c r="A51" s="11">
        <f t="shared" si="6"/>
        <v>-4</v>
      </c>
      <c r="B51">
        <v>-41.724048924858536</v>
      </c>
      <c r="E51" s="11">
        <f>A51-'Mastercurve bestimmen'!$B$2</f>
        <v>-164</v>
      </c>
      <c r="F51" s="11">
        <f t="shared" si="4"/>
        <v>-41.724048924858536</v>
      </c>
      <c r="G51" s="11"/>
      <c r="H51" s="11">
        <f t="shared" si="8"/>
        <v>5.2330005981567386E+17</v>
      </c>
      <c r="I51" s="11">
        <f t="shared" si="8"/>
        <v>-3190854023266304</v>
      </c>
      <c r="J51" s="11">
        <f t="shared" si="8"/>
        <v>19456426971136</v>
      </c>
      <c r="K51" s="11">
        <f t="shared" si="8"/>
        <v>-118636749824</v>
      </c>
      <c r="L51" s="11">
        <f t="shared" si="8"/>
        <v>723394816</v>
      </c>
      <c r="M51" s="11">
        <f t="shared" si="8"/>
        <v>-4410944</v>
      </c>
      <c r="N51" s="11">
        <f t="shared" si="8"/>
        <v>26896</v>
      </c>
      <c r="O51" s="11">
        <f t="shared" si="8"/>
        <v>-164</v>
      </c>
      <c r="P51" s="11">
        <f t="shared" si="7"/>
        <v>0</v>
      </c>
    </row>
    <row r="52" spans="1:16" x14ac:dyDescent="0.25">
      <c r="A52" s="11">
        <f t="shared" si="6"/>
        <v>-3</v>
      </c>
      <c r="B52">
        <v>-41.615058638643653</v>
      </c>
      <c r="E52" s="11">
        <f>A52-'Mastercurve bestimmen'!$B$2</f>
        <v>-163</v>
      </c>
      <c r="F52" s="11">
        <f t="shared" si="4"/>
        <v>-41.615058638643653</v>
      </c>
      <c r="G52" s="11"/>
      <c r="H52" s="11">
        <f t="shared" si="8"/>
        <v>4.9831141431812115E+17</v>
      </c>
      <c r="I52" s="11">
        <f t="shared" si="8"/>
        <v>-3057125241215467</v>
      </c>
      <c r="J52" s="11">
        <f t="shared" si="8"/>
        <v>18755369578009</v>
      </c>
      <c r="K52" s="11">
        <f t="shared" si="8"/>
        <v>-115063617043</v>
      </c>
      <c r="L52" s="11">
        <f t="shared" si="8"/>
        <v>705911761</v>
      </c>
      <c r="M52" s="11">
        <f t="shared" si="8"/>
        <v>-4330747</v>
      </c>
      <c r="N52" s="11">
        <f t="shared" si="8"/>
        <v>26569</v>
      </c>
      <c r="O52" s="11">
        <f t="shared" si="8"/>
        <v>-163</v>
      </c>
      <c r="P52" s="11">
        <f t="shared" si="7"/>
        <v>0</v>
      </c>
    </row>
    <row r="53" spans="1:16" x14ac:dyDescent="0.25">
      <c r="A53" s="11">
        <f t="shared" si="6"/>
        <v>-2</v>
      </c>
      <c r="B53">
        <v>-41.502902137224318</v>
      </c>
      <c r="E53" s="11">
        <f>A53-'Mastercurve bestimmen'!$B$2</f>
        <v>-162</v>
      </c>
      <c r="F53" s="11">
        <f t="shared" si="4"/>
        <v>-41.502902137224318</v>
      </c>
      <c r="G53" s="11"/>
      <c r="H53" s="11">
        <f t="shared" si="8"/>
        <v>4.743731683460713E+17</v>
      </c>
      <c r="I53" s="11">
        <f t="shared" si="8"/>
        <v>-2928229434235008</v>
      </c>
      <c r="J53" s="11">
        <f t="shared" si="8"/>
        <v>18075490334784</v>
      </c>
      <c r="K53" s="11">
        <f t="shared" si="8"/>
        <v>-111577100832</v>
      </c>
      <c r="L53" s="11">
        <f t="shared" si="8"/>
        <v>688747536</v>
      </c>
      <c r="M53" s="11">
        <f t="shared" si="8"/>
        <v>-4251528</v>
      </c>
      <c r="N53" s="11">
        <f t="shared" si="8"/>
        <v>26244</v>
      </c>
      <c r="O53" s="11">
        <f t="shared" si="8"/>
        <v>-162</v>
      </c>
      <c r="P53" s="11">
        <f t="shared" si="7"/>
        <v>0</v>
      </c>
    </row>
    <row r="54" spans="1:16" x14ac:dyDescent="0.25">
      <c r="A54" s="11">
        <f t="shared" si="6"/>
        <v>-1</v>
      </c>
      <c r="B54">
        <v>-41.387493847216646</v>
      </c>
      <c r="E54" s="11">
        <f>A54-'Mastercurve bestimmen'!$B$2</f>
        <v>-161</v>
      </c>
      <c r="F54" s="11">
        <f t="shared" si="4"/>
        <v>-41.387493847216646</v>
      </c>
      <c r="G54" s="11"/>
      <c r="H54" s="11">
        <f t="shared" si="8"/>
        <v>4.5144724625889408E+17</v>
      </c>
      <c r="I54" s="11">
        <f t="shared" si="8"/>
        <v>-2804020163098721</v>
      </c>
      <c r="J54" s="11">
        <f t="shared" si="8"/>
        <v>17416274304961</v>
      </c>
      <c r="K54" s="11">
        <f t="shared" si="8"/>
        <v>-108175616801</v>
      </c>
      <c r="L54" s="11">
        <f t="shared" si="8"/>
        <v>671898241</v>
      </c>
      <c r="M54" s="11">
        <f t="shared" si="8"/>
        <v>-4173281</v>
      </c>
      <c r="N54" s="11">
        <f t="shared" si="8"/>
        <v>25921</v>
      </c>
      <c r="O54" s="11">
        <f t="shared" si="8"/>
        <v>-161</v>
      </c>
      <c r="P54" s="11">
        <f t="shared" si="7"/>
        <v>0</v>
      </c>
    </row>
    <row r="55" spans="1:16" x14ac:dyDescent="0.25">
      <c r="A55" s="11">
        <f t="shared" si="6"/>
        <v>0</v>
      </c>
      <c r="B55">
        <v>-41.268748195236725</v>
      </c>
      <c r="E55" s="11">
        <f>A55-'Mastercurve bestimmen'!$B$2</f>
        <v>-160</v>
      </c>
      <c r="F55" s="11">
        <f t="shared" si="4"/>
        <v>-41.268748195236725</v>
      </c>
      <c r="G55" s="11"/>
      <c r="H55" s="11">
        <f t="shared" si="8"/>
        <v>4.294967296E+17</v>
      </c>
      <c r="I55" s="11">
        <f t="shared" si="8"/>
        <v>-2684354560000000</v>
      </c>
      <c r="J55" s="11">
        <f t="shared" si="8"/>
        <v>16777216000000</v>
      </c>
      <c r="K55" s="11">
        <f t="shared" si="8"/>
        <v>-104857600000</v>
      </c>
      <c r="L55" s="11">
        <f t="shared" si="8"/>
        <v>655360000</v>
      </c>
      <c r="M55" s="11">
        <f t="shared" si="8"/>
        <v>-4096000</v>
      </c>
      <c r="N55" s="11">
        <f t="shared" si="8"/>
        <v>25600</v>
      </c>
      <c r="O55" s="11">
        <f t="shared" si="8"/>
        <v>-160</v>
      </c>
      <c r="P55" s="11">
        <f t="shared" si="7"/>
        <v>0</v>
      </c>
    </row>
    <row r="56" spans="1:16" x14ac:dyDescent="0.25">
      <c r="A56" s="11">
        <f t="shared" si="6"/>
        <v>1</v>
      </c>
      <c r="B56">
        <v>-41.140487197459372</v>
      </c>
      <c r="E56" s="11">
        <f>A56-'Mastercurve bestimmen'!$B$2</f>
        <v>-159</v>
      </c>
      <c r="F56" s="11">
        <f t="shared" si="4"/>
        <v>-41.140487197459372</v>
      </c>
      <c r="G56" s="11"/>
      <c r="H56" s="11">
        <f t="shared" si="8"/>
        <v>4.0848582878893952E+17</v>
      </c>
      <c r="I56" s="11">
        <f t="shared" si="8"/>
        <v>-2569093262823519</v>
      </c>
      <c r="J56" s="11">
        <f t="shared" si="8"/>
        <v>16157819263041</v>
      </c>
      <c r="K56" s="11">
        <f t="shared" si="8"/>
        <v>-101621504799</v>
      </c>
      <c r="L56" s="11">
        <f t="shared" si="8"/>
        <v>639128961</v>
      </c>
      <c r="M56" s="11">
        <f t="shared" si="8"/>
        <v>-4019679</v>
      </c>
      <c r="N56" s="11">
        <f t="shared" si="8"/>
        <v>25281</v>
      </c>
      <c r="O56" s="11">
        <f t="shared" si="8"/>
        <v>-159</v>
      </c>
      <c r="P56" s="11">
        <f t="shared" si="7"/>
        <v>0</v>
      </c>
    </row>
    <row r="57" spans="1:16" x14ac:dyDescent="0.25">
      <c r="A57" s="11">
        <f t="shared" si="6"/>
        <v>2</v>
      </c>
      <c r="B57">
        <v>-41.008829548991258</v>
      </c>
      <c r="E57" s="11">
        <f>A57-'Mastercurve bestimmen'!$B$2</f>
        <v>-158</v>
      </c>
      <c r="F57" s="11">
        <f t="shared" si="4"/>
        <v>-41.008829548991258</v>
      </c>
      <c r="G57" s="11"/>
      <c r="H57" s="11">
        <f t="shared" si="8"/>
        <v>3.8837985533607962E+17</v>
      </c>
      <c r="I57" s="11">
        <f t="shared" si="8"/>
        <v>-2458100350228352</v>
      </c>
      <c r="J57" s="11">
        <f t="shared" si="8"/>
        <v>15557597153344</v>
      </c>
      <c r="K57" s="11">
        <f t="shared" si="8"/>
        <v>-98465804768</v>
      </c>
      <c r="L57" s="11">
        <f t="shared" si="8"/>
        <v>623201296</v>
      </c>
      <c r="M57" s="11">
        <f t="shared" si="8"/>
        <v>-3944312</v>
      </c>
      <c r="N57" s="11">
        <f t="shared" si="8"/>
        <v>24964</v>
      </c>
      <c r="O57" s="11">
        <f t="shared" si="8"/>
        <v>-158</v>
      </c>
      <c r="P57" s="11">
        <f t="shared" si="7"/>
        <v>0</v>
      </c>
    </row>
    <row r="58" spans="1:16" x14ac:dyDescent="0.25">
      <c r="A58" s="11">
        <f t="shared" si="6"/>
        <v>3</v>
      </c>
      <c r="B58">
        <v>-40.873801534497765</v>
      </c>
      <c r="E58" s="11">
        <f>A58-'Mastercurve bestimmen'!$B$2</f>
        <v>-157</v>
      </c>
      <c r="F58" s="11">
        <f t="shared" si="4"/>
        <v>-40.873801534497765</v>
      </c>
      <c r="G58" s="11"/>
      <c r="H58" s="11">
        <f t="shared" si="8"/>
        <v>3.6914519457338643E+17</v>
      </c>
      <c r="I58" s="11">
        <f t="shared" si="8"/>
        <v>-2351243277537493</v>
      </c>
      <c r="J58" s="11">
        <f t="shared" si="8"/>
        <v>14976071831449</v>
      </c>
      <c r="K58" s="11">
        <f t="shared" si="8"/>
        <v>-95388992557</v>
      </c>
      <c r="L58" s="11">
        <f t="shared" si="8"/>
        <v>607573201</v>
      </c>
      <c r="M58" s="11">
        <f t="shared" si="8"/>
        <v>-3869893</v>
      </c>
      <c r="N58" s="11">
        <f t="shared" si="8"/>
        <v>24649</v>
      </c>
      <c r="O58" s="11">
        <f t="shared" si="8"/>
        <v>-157</v>
      </c>
      <c r="P58" s="11">
        <f t="shared" si="7"/>
        <v>0</v>
      </c>
    </row>
    <row r="59" spans="1:16" x14ac:dyDescent="0.25">
      <c r="A59" s="11">
        <f t="shared" si="6"/>
        <v>4</v>
      </c>
      <c r="B59">
        <v>-40.735429438644289</v>
      </c>
      <c r="E59" s="11">
        <f>A59-'Mastercurve bestimmen'!$B$2</f>
        <v>-156</v>
      </c>
      <c r="F59" s="11">
        <f t="shared" si="4"/>
        <v>-40.735429438644289</v>
      </c>
      <c r="G59" s="11"/>
      <c r="H59" s="11">
        <f t="shared" si="8"/>
        <v>3.5074927889488282E+17</v>
      </c>
      <c r="I59" s="11">
        <f t="shared" si="8"/>
        <v>-2248392813428736</v>
      </c>
      <c r="J59" s="11">
        <f t="shared" si="8"/>
        <v>14412774445056</v>
      </c>
      <c r="K59" s="11">
        <f t="shared" si="8"/>
        <v>-92389579776</v>
      </c>
      <c r="L59" s="11">
        <f t="shared" si="8"/>
        <v>592240896</v>
      </c>
      <c r="M59" s="11">
        <f t="shared" si="8"/>
        <v>-3796416</v>
      </c>
      <c r="N59" s="11">
        <f t="shared" si="8"/>
        <v>24336</v>
      </c>
      <c r="O59" s="11">
        <f t="shared" si="8"/>
        <v>-156</v>
      </c>
      <c r="P59" s="11">
        <f t="shared" si="7"/>
        <v>0</v>
      </c>
    </row>
    <row r="60" spans="1:16" x14ac:dyDescent="0.25">
      <c r="A60" s="11">
        <f t="shared" si="6"/>
        <v>5</v>
      </c>
      <c r="B60">
        <v>-40.593739546096231</v>
      </c>
      <c r="E60" s="11">
        <f>A60-'Mastercurve bestimmen'!$B$2</f>
        <v>-155</v>
      </c>
      <c r="F60" s="11">
        <f t="shared" si="4"/>
        <v>-40.593739546096231</v>
      </c>
      <c r="G60" s="11"/>
      <c r="H60" s="11">
        <f t="shared" si="8"/>
        <v>3.3316056150039066E+17</v>
      </c>
      <c r="I60" s="11">
        <f t="shared" si="8"/>
        <v>-2149422977421875</v>
      </c>
      <c r="J60" s="11">
        <f t="shared" si="8"/>
        <v>13867245015625</v>
      </c>
      <c r="K60" s="11">
        <f t="shared" si="8"/>
        <v>-89466096875</v>
      </c>
      <c r="L60" s="11">
        <f t="shared" si="8"/>
        <v>577200625</v>
      </c>
      <c r="M60" s="11">
        <f t="shared" si="8"/>
        <v>-3723875</v>
      </c>
      <c r="N60" s="11">
        <f t="shared" si="8"/>
        <v>24025</v>
      </c>
      <c r="O60" s="11">
        <f t="shared" si="8"/>
        <v>-155</v>
      </c>
      <c r="P60" s="11">
        <f t="shared" si="7"/>
        <v>0</v>
      </c>
    </row>
    <row r="61" spans="1:16" x14ac:dyDescent="0.25">
      <c r="A61" s="11">
        <f t="shared" si="6"/>
        <v>6</v>
      </c>
      <c r="B61">
        <v>-40.448758141518979</v>
      </c>
      <c r="E61" s="11">
        <f>A61-'Mastercurve bestimmen'!$B$2</f>
        <v>-154</v>
      </c>
      <c r="F61" s="11">
        <f t="shared" si="4"/>
        <v>-40.448758141518979</v>
      </c>
      <c r="G61" s="11"/>
      <c r="H61" s="11">
        <f t="shared" si="8"/>
        <v>3.1634849063620634E+17</v>
      </c>
      <c r="I61" s="11">
        <f t="shared" si="8"/>
        <v>-2054210978157184</v>
      </c>
      <c r="J61" s="11">
        <f t="shared" si="8"/>
        <v>13339032325696</v>
      </c>
      <c r="K61" s="11">
        <f t="shared" si="8"/>
        <v>-86617093024</v>
      </c>
      <c r="L61" s="11">
        <f t="shared" si="8"/>
        <v>562448656</v>
      </c>
      <c r="M61" s="11">
        <f t="shared" si="8"/>
        <v>-3652264</v>
      </c>
      <c r="N61" s="11">
        <f t="shared" si="8"/>
        <v>23716</v>
      </c>
      <c r="O61" s="11">
        <f t="shared" si="8"/>
        <v>-154</v>
      </c>
      <c r="P61" s="11">
        <f t="shared" si="7"/>
        <v>0</v>
      </c>
    </row>
    <row r="62" spans="1:16" x14ac:dyDescent="0.25">
      <c r="A62" s="11">
        <f t="shared" si="6"/>
        <v>7</v>
      </c>
      <c r="B62">
        <v>-40.300511509577916</v>
      </c>
      <c r="E62" s="11">
        <f>A62-'Mastercurve bestimmen'!$B$2</f>
        <v>-153</v>
      </c>
      <c r="F62" s="11">
        <f t="shared" si="4"/>
        <v>-40.300511509577916</v>
      </c>
      <c r="G62" s="11"/>
      <c r="H62" s="11">
        <f t="shared" si="8"/>
        <v>3.0028348432640096E+17</v>
      </c>
      <c r="I62" s="11">
        <f t="shared" si="8"/>
        <v>-1962637152460137</v>
      </c>
      <c r="J62" s="11">
        <f t="shared" si="8"/>
        <v>12827693806929</v>
      </c>
      <c r="K62" s="11">
        <f t="shared" si="8"/>
        <v>-83841135993</v>
      </c>
      <c r="L62" s="11">
        <f t="shared" si="8"/>
        <v>547981281</v>
      </c>
      <c r="M62" s="11">
        <f t="shared" si="8"/>
        <v>-3581577</v>
      </c>
      <c r="N62" s="11">
        <f t="shared" si="8"/>
        <v>23409</v>
      </c>
      <c r="O62" s="11">
        <f t="shared" si="8"/>
        <v>-153</v>
      </c>
      <c r="P62" s="11">
        <f t="shared" si="7"/>
        <v>0</v>
      </c>
    </row>
    <row r="63" spans="1:16" x14ac:dyDescent="0.25">
      <c r="A63" s="11">
        <f t="shared" si="6"/>
        <v>8</v>
      </c>
      <c r="B63">
        <v>-40.149025934938436</v>
      </c>
      <c r="E63" s="11">
        <f>A63-'Mastercurve bestimmen'!$B$2</f>
        <v>-152</v>
      </c>
      <c r="F63" s="11">
        <f t="shared" si="4"/>
        <v>-40.149025934938436</v>
      </c>
      <c r="G63" s="11"/>
      <c r="H63" s="11">
        <f t="shared" si="8"/>
        <v>2.8493690558847386E+17</v>
      </c>
      <c r="I63" s="11">
        <f t="shared" si="8"/>
        <v>-1874584905187328</v>
      </c>
      <c r="J63" s="11">
        <f t="shared" si="8"/>
        <v>12332795428864</v>
      </c>
      <c r="K63" s="11">
        <f t="shared" si="8"/>
        <v>-81136812032</v>
      </c>
      <c r="L63" s="11">
        <f t="shared" si="8"/>
        <v>533794816</v>
      </c>
      <c r="M63" s="11">
        <f t="shared" si="8"/>
        <v>-3511808</v>
      </c>
      <c r="N63" s="11">
        <f t="shared" si="8"/>
        <v>23104</v>
      </c>
      <c r="O63" s="11">
        <f t="shared" si="8"/>
        <v>-152</v>
      </c>
      <c r="P63" s="11">
        <f t="shared" si="7"/>
        <v>0</v>
      </c>
    </row>
    <row r="64" spans="1:16" x14ac:dyDescent="0.25">
      <c r="A64" s="11">
        <f t="shared" si="6"/>
        <v>9</v>
      </c>
      <c r="B64">
        <v>-39.994327702265934</v>
      </c>
      <c r="E64" s="11">
        <f>A64-'Mastercurve bestimmen'!$B$2</f>
        <v>-151</v>
      </c>
      <c r="F64" s="11">
        <f t="shared" si="4"/>
        <v>-39.994327702265934</v>
      </c>
      <c r="G64" s="11"/>
      <c r="H64" s="11">
        <f t="shared" si="8"/>
        <v>2.702810381271312E+17</v>
      </c>
      <c r="I64" s="11">
        <f t="shared" si="8"/>
        <v>-1789940649848551</v>
      </c>
      <c r="J64" s="11">
        <f t="shared" si="8"/>
        <v>11853911588401</v>
      </c>
      <c r="K64" s="11">
        <f t="shared" si="8"/>
        <v>-78502725751</v>
      </c>
      <c r="L64" s="11">
        <f t="shared" si="8"/>
        <v>519885601</v>
      </c>
      <c r="M64" s="11">
        <f t="shared" si="8"/>
        <v>-3442951</v>
      </c>
      <c r="N64" s="11">
        <f t="shared" si="8"/>
        <v>22801</v>
      </c>
      <c r="O64" s="11">
        <f t="shared" si="8"/>
        <v>-151</v>
      </c>
      <c r="P64" s="11">
        <f t="shared" si="7"/>
        <v>0</v>
      </c>
    </row>
    <row r="65" spans="1:16" x14ac:dyDescent="0.25">
      <c r="A65" s="11">
        <f t="shared" si="6"/>
        <v>10</v>
      </c>
      <c r="B65">
        <v>-39.836443096225793</v>
      </c>
      <c r="E65" s="11">
        <f>A65-'Mastercurve bestimmen'!$B$2</f>
        <v>-150</v>
      </c>
      <c r="F65" s="11">
        <f t="shared" si="4"/>
        <v>-39.836443096225793</v>
      </c>
      <c r="G65" s="11"/>
      <c r="H65" s="11">
        <f t="shared" si="8"/>
        <v>2.562890625E+17</v>
      </c>
      <c r="I65" s="11">
        <f t="shared" si="8"/>
        <v>-1708593750000000</v>
      </c>
      <c r="J65" s="11">
        <f t="shared" si="8"/>
        <v>11390625000000</v>
      </c>
      <c r="K65" s="11">
        <f t="shared" si="8"/>
        <v>-75937500000</v>
      </c>
      <c r="L65" s="11">
        <f t="shared" si="8"/>
        <v>506250000</v>
      </c>
      <c r="M65" s="11">
        <f t="shared" si="8"/>
        <v>-3375000</v>
      </c>
      <c r="N65" s="11">
        <f t="shared" si="8"/>
        <v>22500</v>
      </c>
      <c r="O65" s="11">
        <f t="shared" si="8"/>
        <v>-150</v>
      </c>
      <c r="P65" s="11">
        <f t="shared" si="7"/>
        <v>0</v>
      </c>
    </row>
    <row r="66" spans="1:16" x14ac:dyDescent="0.25">
      <c r="A66" s="11">
        <f t="shared" si="6"/>
        <v>11</v>
      </c>
      <c r="B66">
        <v>-39.675398401483406</v>
      </c>
      <c r="E66" s="11">
        <f>A66-'Mastercurve bestimmen'!$B$2</f>
        <v>-149</v>
      </c>
      <c r="F66" s="11">
        <f t="shared" si="4"/>
        <v>-39.675398401483406</v>
      </c>
      <c r="G66" s="11"/>
      <c r="H66" s="11">
        <f t="shared" si="8"/>
        <v>2.429350327491288E+17</v>
      </c>
      <c r="I66" s="11">
        <f t="shared" si="8"/>
        <v>-1630436461403549</v>
      </c>
      <c r="J66" s="11">
        <f t="shared" si="8"/>
        <v>10942526586601</v>
      </c>
      <c r="K66" s="11">
        <f t="shared" si="8"/>
        <v>-73439775749</v>
      </c>
      <c r="L66" s="11">
        <f t="shared" si="8"/>
        <v>492884401</v>
      </c>
      <c r="M66" s="11">
        <f t="shared" si="8"/>
        <v>-3307949</v>
      </c>
      <c r="N66" s="11">
        <f t="shared" si="8"/>
        <v>22201</v>
      </c>
      <c r="O66" s="11">
        <f t="shared" si="8"/>
        <v>-149</v>
      </c>
      <c r="P66" s="11">
        <f t="shared" si="7"/>
        <v>0</v>
      </c>
    </row>
    <row r="67" spans="1:16" x14ac:dyDescent="0.25">
      <c r="A67" s="11">
        <f t="shared" si="6"/>
        <v>12</v>
      </c>
      <c r="B67">
        <v>-39.51121990270417</v>
      </c>
      <c r="E67" s="11">
        <f>A67-'Mastercurve bestimmen'!$B$2</f>
        <v>-148</v>
      </c>
      <c r="F67" s="11">
        <f t="shared" si="4"/>
        <v>-39.51121990270417</v>
      </c>
      <c r="G67" s="11"/>
      <c r="H67" s="11">
        <f t="shared" si="8"/>
        <v>2.3019385349216666E+17</v>
      </c>
      <c r="I67" s="11">
        <f t="shared" si="8"/>
        <v>-1555363874947072</v>
      </c>
      <c r="J67" s="11">
        <f t="shared" si="8"/>
        <v>10509215371264</v>
      </c>
      <c r="K67" s="11">
        <f t="shared" si="8"/>
        <v>-71008211968</v>
      </c>
      <c r="L67" s="11">
        <f t="shared" si="8"/>
        <v>479785216</v>
      </c>
      <c r="M67" s="11">
        <f t="shared" si="8"/>
        <v>-3241792</v>
      </c>
      <c r="N67" s="11">
        <f t="shared" si="8"/>
        <v>21904</v>
      </c>
      <c r="O67" s="11">
        <f t="shared" si="8"/>
        <v>-148</v>
      </c>
      <c r="P67" s="11">
        <f t="shared" si="7"/>
        <v>0</v>
      </c>
    </row>
    <row r="68" spans="1:16" x14ac:dyDescent="0.25">
      <c r="A68" s="11">
        <f t="shared" si="6"/>
        <v>13</v>
      </c>
      <c r="B68">
        <v>-39.343933884553479</v>
      </c>
      <c r="E68" s="11">
        <f>A68-'Mastercurve bestimmen'!$B$2</f>
        <v>-147</v>
      </c>
      <c r="F68" s="11">
        <f t="shared" si="4"/>
        <v>-39.343933884553479</v>
      </c>
      <c r="G68" s="11"/>
      <c r="H68" s="11">
        <f t="shared" si="8"/>
        <v>2.1804125746715216E+17</v>
      </c>
      <c r="I68" s="11">
        <f t="shared" si="8"/>
        <v>-1483273860320763</v>
      </c>
      <c r="J68" s="11">
        <f t="shared" si="8"/>
        <v>10090298369529</v>
      </c>
      <c r="K68" s="11">
        <f t="shared" si="8"/>
        <v>-68641485507</v>
      </c>
      <c r="L68" s="11">
        <f t="shared" si="8"/>
        <v>466948881</v>
      </c>
      <c r="M68" s="11">
        <f t="shared" si="8"/>
        <v>-3176523</v>
      </c>
      <c r="N68" s="11">
        <f t="shared" si="8"/>
        <v>21609</v>
      </c>
      <c r="O68" s="11">
        <f t="shared" si="8"/>
        <v>-147</v>
      </c>
      <c r="P68" s="11">
        <f t="shared" si="7"/>
        <v>0</v>
      </c>
    </row>
    <row r="69" spans="1:16" x14ac:dyDescent="0.25">
      <c r="A69" s="11">
        <f t="shared" si="6"/>
        <v>14</v>
      </c>
      <c r="B69">
        <v>-39.173566631696715</v>
      </c>
      <c r="E69" s="11">
        <f>A69-'Mastercurve bestimmen'!$B$2</f>
        <v>-146</v>
      </c>
      <c r="F69" s="11">
        <f t="shared" si="4"/>
        <v>-39.173566631696715</v>
      </c>
      <c r="G69" s="11"/>
      <c r="H69" s="11">
        <f t="shared" si="8"/>
        <v>2.0645378352488474E+17</v>
      </c>
      <c r="I69" s="11">
        <f t="shared" si="8"/>
        <v>-1414067010444416</v>
      </c>
      <c r="J69" s="11">
        <f t="shared" si="8"/>
        <v>9685390482496</v>
      </c>
      <c r="K69" s="11">
        <f t="shared" si="8"/>
        <v>-66338290976</v>
      </c>
      <c r="L69" s="11">
        <f t="shared" si="8"/>
        <v>454371856</v>
      </c>
      <c r="M69" s="11">
        <f t="shared" si="8"/>
        <v>-3112136</v>
      </c>
      <c r="N69" s="11">
        <f t="shared" si="8"/>
        <v>21316</v>
      </c>
      <c r="O69" s="11">
        <f t="shared" si="8"/>
        <v>-146</v>
      </c>
      <c r="P69" s="11">
        <f t="shared" si="7"/>
        <v>0</v>
      </c>
    </row>
    <row r="70" spans="1:16" x14ac:dyDescent="0.25">
      <c r="A70" s="11">
        <f t="shared" si="6"/>
        <v>15</v>
      </c>
      <c r="B70">
        <v>-39.00014442879926</v>
      </c>
      <c r="E70" s="11">
        <f>A70-'Mastercurve bestimmen'!$B$2</f>
        <v>-145</v>
      </c>
      <c r="F70" s="11">
        <f t="shared" si="4"/>
        <v>-39.00014442879926</v>
      </c>
      <c r="G70" s="11"/>
      <c r="H70" s="11">
        <f t="shared" si="8"/>
        <v>1.9540875506289062E+17</v>
      </c>
      <c r="I70" s="11">
        <f t="shared" si="8"/>
        <v>-1347646586640625</v>
      </c>
      <c r="J70" s="11">
        <f t="shared" si="8"/>
        <v>9294114390625</v>
      </c>
      <c r="K70" s="11">
        <f t="shared" si="8"/>
        <v>-64097340625</v>
      </c>
      <c r="L70" s="11">
        <f t="shared" si="8"/>
        <v>442050625</v>
      </c>
      <c r="M70" s="11">
        <f t="shared" si="8"/>
        <v>-3048625</v>
      </c>
      <c r="N70" s="11">
        <f t="shared" si="8"/>
        <v>21025</v>
      </c>
      <c r="O70" s="11">
        <f t="shared" si="8"/>
        <v>-145</v>
      </c>
      <c r="P70" s="11">
        <f t="shared" si="7"/>
        <v>0</v>
      </c>
    </row>
    <row r="71" spans="1:16" x14ac:dyDescent="0.25">
      <c r="A71" s="11">
        <f t="shared" si="6"/>
        <v>16</v>
      </c>
      <c r="B71">
        <v>-38.823693560526529</v>
      </c>
      <c r="E71" s="11">
        <f>A71-'Mastercurve bestimmen'!$B$2</f>
        <v>-144</v>
      </c>
      <c r="F71" s="11">
        <f t="shared" si="4"/>
        <v>-38.823693560526529</v>
      </c>
      <c r="G71" s="11"/>
      <c r="H71" s="11">
        <f t="shared" si="8"/>
        <v>1.8488425889503642E+17</v>
      </c>
      <c r="I71" s="11">
        <f t="shared" si="8"/>
        <v>-1283918464548864</v>
      </c>
      <c r="J71" s="11">
        <f t="shared" si="8"/>
        <v>8916100448256</v>
      </c>
      <c r="K71" s="11">
        <f t="shared" si="8"/>
        <v>-61917364224</v>
      </c>
      <c r="L71" s="11">
        <f t="shared" si="8"/>
        <v>429981696</v>
      </c>
      <c r="M71" s="11">
        <f t="shared" si="8"/>
        <v>-2985984</v>
      </c>
      <c r="N71" s="11">
        <f t="shared" si="8"/>
        <v>20736</v>
      </c>
      <c r="O71" s="11">
        <f t="shared" si="8"/>
        <v>-144</v>
      </c>
      <c r="P71" s="11">
        <f t="shared" si="7"/>
        <v>0</v>
      </c>
    </row>
    <row r="72" spans="1:16" x14ac:dyDescent="0.25">
      <c r="A72" s="11">
        <f t="shared" si="6"/>
        <v>17</v>
      </c>
      <c r="B72">
        <v>-38.644240311543889</v>
      </c>
      <c r="E72" s="11">
        <f>A72-'Mastercurve bestimmen'!$B$2</f>
        <v>-143</v>
      </c>
      <c r="F72" s="11">
        <f t="shared" si="4"/>
        <v>-38.644240311543889</v>
      </c>
      <c r="G72" s="11"/>
      <c r="H72" s="11">
        <f t="shared" si="8"/>
        <v>1.748591245508832E+17</v>
      </c>
      <c r="I72" s="11">
        <f t="shared" si="8"/>
        <v>-1222791080775407</v>
      </c>
      <c r="J72" s="11">
        <f t="shared" si="8"/>
        <v>8550986578849</v>
      </c>
      <c r="K72" s="11">
        <f t="shared" si="8"/>
        <v>-59797108943</v>
      </c>
      <c r="L72" s="11">
        <f t="shared" si="8"/>
        <v>418161601</v>
      </c>
      <c r="M72" s="11">
        <f t="shared" si="8"/>
        <v>-2924207</v>
      </c>
      <c r="N72" s="11">
        <f t="shared" si="8"/>
        <v>20449</v>
      </c>
      <c r="O72" s="11">
        <f t="shared" si="8"/>
        <v>-143</v>
      </c>
      <c r="P72" s="11">
        <f t="shared" si="7"/>
        <v>0</v>
      </c>
    </row>
    <row r="73" spans="1:16" x14ac:dyDescent="0.25">
      <c r="A73" s="11">
        <f t="shared" si="6"/>
        <v>18</v>
      </c>
      <c r="B73">
        <v>-38.461810966516751</v>
      </c>
      <c r="E73" s="11">
        <f>A73-'Mastercurve bestimmen'!$B$2</f>
        <v>-142</v>
      </c>
      <c r="F73" s="11">
        <f t="shared" si="4"/>
        <v>-38.461810966516751</v>
      </c>
      <c r="G73" s="11"/>
      <c r="H73" s="11">
        <f t="shared" si="8"/>
        <v>1.6531290399891482E+17</v>
      </c>
      <c r="I73" s="11">
        <f t="shared" si="8"/>
        <v>-1164175380274048</v>
      </c>
      <c r="J73" s="11">
        <f t="shared" si="8"/>
        <v>8198418170944</v>
      </c>
      <c r="K73" s="11">
        <f t="shared" si="8"/>
        <v>-57735339232</v>
      </c>
      <c r="L73" s="11">
        <f t="shared" si="8"/>
        <v>406586896</v>
      </c>
      <c r="M73" s="11">
        <f t="shared" si="8"/>
        <v>-2863288</v>
      </c>
      <c r="N73" s="11">
        <f t="shared" si="8"/>
        <v>20164</v>
      </c>
      <c r="O73" s="11">
        <f t="shared" si="8"/>
        <v>-142</v>
      </c>
      <c r="P73" s="11">
        <f t="shared" si="7"/>
        <v>0</v>
      </c>
    </row>
    <row r="74" spans="1:16" x14ac:dyDescent="0.25">
      <c r="A74" s="11">
        <f t="shared" si="6"/>
        <v>19</v>
      </c>
      <c r="B74">
        <v>-38.276431810110488</v>
      </c>
      <c r="E74" s="11">
        <f>A74-'Mastercurve bestimmen'!$B$2</f>
        <v>-141</v>
      </c>
      <c r="F74" s="11">
        <f t="shared" si="4"/>
        <v>-38.276431810110488</v>
      </c>
      <c r="G74" s="11"/>
      <c r="H74" s="11">
        <f t="shared" si="8"/>
        <v>1.5622585178781392E+17</v>
      </c>
      <c r="I74" s="11">
        <f t="shared" si="8"/>
        <v>-1107984764452581</v>
      </c>
      <c r="J74" s="11">
        <f t="shared" si="8"/>
        <v>7858047974841</v>
      </c>
      <c r="K74" s="11">
        <f t="shared" si="8"/>
        <v>-55730836701</v>
      </c>
      <c r="L74" s="11">
        <f t="shared" si="8"/>
        <v>395254161</v>
      </c>
      <c r="M74" s="11">
        <f t="shared" si="8"/>
        <v>-2803221</v>
      </c>
      <c r="N74" s="11">
        <f t="shared" si="8"/>
        <v>19881</v>
      </c>
      <c r="O74" s="11">
        <f t="shared" si="8"/>
        <v>-141</v>
      </c>
      <c r="P74" s="11">
        <f t="shared" si="7"/>
        <v>0</v>
      </c>
    </row>
    <row r="75" spans="1:16" x14ac:dyDescent="0.25">
      <c r="A75" s="11">
        <f t="shared" si="6"/>
        <v>20</v>
      </c>
      <c r="B75">
        <v>-38.088129126990502</v>
      </c>
      <c r="E75" s="11">
        <f>A75-'Mastercurve bestimmen'!$B$2</f>
        <v>-140</v>
      </c>
      <c r="F75" s="11">
        <f t="shared" si="4"/>
        <v>-38.088129126990502</v>
      </c>
      <c r="G75" s="11"/>
      <c r="H75" s="11">
        <f t="shared" si="8"/>
        <v>1.475789056E+17</v>
      </c>
      <c r="I75" s="11">
        <f t="shared" si="8"/>
        <v>-1054135040000000</v>
      </c>
      <c r="J75" s="11">
        <f t="shared" si="8"/>
        <v>7529536000000</v>
      </c>
      <c r="K75" s="11">
        <f t="shared" si="8"/>
        <v>-53782400000</v>
      </c>
      <c r="L75" s="11">
        <f t="shared" si="8"/>
        <v>384160000</v>
      </c>
      <c r="M75" s="11">
        <f t="shared" si="8"/>
        <v>-2744000</v>
      </c>
      <c r="N75" s="11">
        <f t="shared" si="8"/>
        <v>19600</v>
      </c>
      <c r="O75" s="11">
        <f t="shared" si="8"/>
        <v>-140</v>
      </c>
      <c r="P75" s="11">
        <f t="shared" si="7"/>
        <v>0</v>
      </c>
    </row>
    <row r="76" spans="1:16" x14ac:dyDescent="0.25">
      <c r="A76" s="11">
        <f t="shared" si="6"/>
        <v>21</v>
      </c>
      <c r="B76">
        <v>-37.896929201822182</v>
      </c>
      <c r="E76" s="11">
        <f>A76-'Mastercurve bestimmen'!$B$2</f>
        <v>-139</v>
      </c>
      <c r="F76" s="11">
        <f t="shared" si="4"/>
        <v>-37.896929201822182</v>
      </c>
      <c r="G76" s="11"/>
      <c r="H76" s="11">
        <f t="shared" si="8"/>
        <v>1.3935366721168368E+17</v>
      </c>
      <c r="I76" s="11">
        <f t="shared" si="8"/>
        <v>-1002544368429379</v>
      </c>
      <c r="J76" s="11">
        <f t="shared" si="8"/>
        <v>7212549413161</v>
      </c>
      <c r="K76" s="11">
        <f t="shared" si="8"/>
        <v>-51888844699</v>
      </c>
      <c r="L76" s="11">
        <f t="shared" si="8"/>
        <v>373301041</v>
      </c>
      <c r="M76" s="11">
        <f t="shared" si="8"/>
        <v>-2685619</v>
      </c>
      <c r="N76" s="11">
        <f t="shared" si="8"/>
        <v>19321</v>
      </c>
      <c r="O76" s="11">
        <f t="shared" si="8"/>
        <v>-139</v>
      </c>
      <c r="P76" s="11">
        <f t="shared" si="7"/>
        <v>0</v>
      </c>
    </row>
    <row r="77" spans="1:16" x14ac:dyDescent="0.25">
      <c r="A77" s="11">
        <f t="shared" si="6"/>
        <v>22</v>
      </c>
      <c r="B77">
        <v>-37.702858319270923</v>
      </c>
      <c r="E77" s="11">
        <f>A77-'Mastercurve bestimmen'!$B$2</f>
        <v>-138</v>
      </c>
      <c r="F77" s="11">
        <f t="shared" si="4"/>
        <v>-37.702858319270923</v>
      </c>
      <c r="G77" s="11"/>
      <c r="H77" s="11">
        <f t="shared" si="8"/>
        <v>1.315323838537321E+17</v>
      </c>
      <c r="I77" s="11">
        <f t="shared" si="8"/>
        <v>-953133216331392</v>
      </c>
      <c r="J77" s="11">
        <f t="shared" si="8"/>
        <v>6906762437184</v>
      </c>
      <c r="K77" s="11">
        <f t="shared" si="8"/>
        <v>-50049003168</v>
      </c>
      <c r="L77" s="11">
        <f t="shared" si="8"/>
        <v>362673936</v>
      </c>
      <c r="M77" s="11">
        <f t="shared" si="8"/>
        <v>-2628072</v>
      </c>
      <c r="N77" s="11">
        <f t="shared" si="8"/>
        <v>19044</v>
      </c>
      <c r="O77" s="11">
        <f t="shared" si="8"/>
        <v>-138</v>
      </c>
      <c r="P77" s="11">
        <f t="shared" si="7"/>
        <v>0</v>
      </c>
    </row>
    <row r="78" spans="1:16" x14ac:dyDescent="0.25">
      <c r="A78" s="11">
        <f t="shared" si="6"/>
        <v>23</v>
      </c>
      <c r="B78">
        <v>-37.505942764002107</v>
      </c>
      <c r="E78" s="11">
        <f>A78-'Mastercurve bestimmen'!$B$2</f>
        <v>-137</v>
      </c>
      <c r="F78" s="11">
        <f t="shared" si="4"/>
        <v>-37.505942764002107</v>
      </c>
      <c r="G78" s="11"/>
      <c r="H78" s="11">
        <f t="shared" si="8"/>
        <v>1.2409792996768032E+17</v>
      </c>
      <c r="I78" s="11">
        <f t="shared" si="8"/>
        <v>-905824306333433</v>
      </c>
      <c r="J78" s="11">
        <f t="shared" si="8"/>
        <v>6611856250609</v>
      </c>
      <c r="K78" s="11">
        <f t="shared" si="8"/>
        <v>-48261724457</v>
      </c>
      <c r="L78" s="11">
        <f t="shared" si="8"/>
        <v>352275361</v>
      </c>
      <c r="M78" s="11">
        <f t="shared" si="8"/>
        <v>-2571353</v>
      </c>
      <c r="N78" s="11">
        <f t="shared" si="8"/>
        <v>18769</v>
      </c>
      <c r="O78" s="11">
        <f t="shared" si="8"/>
        <v>-137</v>
      </c>
      <c r="P78" s="11">
        <f t="shared" si="7"/>
        <v>0</v>
      </c>
    </row>
    <row r="79" spans="1:16" x14ac:dyDescent="0.25">
      <c r="A79" s="11">
        <f t="shared" si="6"/>
        <v>24</v>
      </c>
      <c r="B79">
        <v>-37.306208820681128</v>
      </c>
      <c r="E79" s="11">
        <f>A79-'Mastercurve bestimmen'!$B$2</f>
        <v>-136</v>
      </c>
      <c r="F79" s="11">
        <f t="shared" si="4"/>
        <v>-37.306208820681128</v>
      </c>
      <c r="G79" s="11"/>
      <c r="H79" s="11">
        <f t="shared" si="8"/>
        <v>1.1703378935126426E+17</v>
      </c>
      <c r="I79" s="11">
        <f t="shared" si="8"/>
        <v>-860542568759296</v>
      </c>
      <c r="J79" s="11">
        <f t="shared" si="8"/>
        <v>6327518887936</v>
      </c>
      <c r="K79" s="11">
        <f t="shared" si="8"/>
        <v>-46525874176</v>
      </c>
      <c r="L79" s="11">
        <f t="shared" si="8"/>
        <v>342102016</v>
      </c>
      <c r="M79" s="11">
        <f t="shared" si="8"/>
        <v>-2515456</v>
      </c>
      <c r="N79" s="11">
        <f t="shared" si="8"/>
        <v>18496</v>
      </c>
      <c r="O79" s="11">
        <f t="shared" ref="I79:O116" si="9">IF($H$12&gt;=O$14,$E79^O$14,0)</f>
        <v>-136</v>
      </c>
      <c r="P79" s="11">
        <f t="shared" si="7"/>
        <v>0</v>
      </c>
    </row>
    <row r="80" spans="1:16" x14ac:dyDescent="0.25">
      <c r="A80" s="11">
        <f t="shared" si="6"/>
        <v>25</v>
      </c>
      <c r="B80">
        <v>-37.103682773973375</v>
      </c>
      <c r="E80" s="11">
        <f>A80-'Mastercurve bestimmen'!$B$2</f>
        <v>-135</v>
      </c>
      <c r="F80" s="11">
        <f t="shared" ref="F80:F143" si="10">B80</f>
        <v>-37.103682773973375</v>
      </c>
      <c r="G80" s="11"/>
      <c r="H80" s="11">
        <f t="shared" ref="H80:H143" si="11">IF($H$12&gt;=H$14,$E80^H$14,0)</f>
        <v>1.1032403768789062E+17</v>
      </c>
      <c r="I80" s="11">
        <f t="shared" si="9"/>
        <v>-817215093984375</v>
      </c>
      <c r="J80" s="11">
        <f t="shared" si="9"/>
        <v>6053445140625</v>
      </c>
      <c r="K80" s="11">
        <f t="shared" si="9"/>
        <v>-44840334375</v>
      </c>
      <c r="L80" s="11">
        <f t="shared" si="9"/>
        <v>332150625</v>
      </c>
      <c r="M80" s="11">
        <f t="shared" si="9"/>
        <v>-2460375</v>
      </c>
      <c r="N80" s="11">
        <f t="shared" si="9"/>
        <v>18225</v>
      </c>
      <c r="O80" s="11">
        <f t="shared" si="9"/>
        <v>-135</v>
      </c>
      <c r="P80" s="11">
        <f t="shared" si="7"/>
        <v>0</v>
      </c>
    </row>
    <row r="81" spans="1:16" x14ac:dyDescent="0.25">
      <c r="A81" s="11">
        <f t="shared" ref="A81:A144" si="12">A80+1</f>
        <v>26</v>
      </c>
      <c r="B81">
        <v>-36.898401840779378</v>
      </c>
      <c r="E81" s="11">
        <f>A81-'Mastercurve bestimmen'!$B$2</f>
        <v>-134</v>
      </c>
      <c r="F81" s="11">
        <f t="shared" si="10"/>
        <v>-36.898401840779378</v>
      </c>
      <c r="G81" s="11"/>
      <c r="H81" s="11">
        <f t="shared" si="11"/>
        <v>1.039533254545001E+17</v>
      </c>
      <c r="I81" s="11">
        <f t="shared" si="9"/>
        <v>-775771085481344</v>
      </c>
      <c r="J81" s="11">
        <f t="shared" si="9"/>
        <v>5789336458816</v>
      </c>
      <c r="K81" s="11">
        <f t="shared" si="9"/>
        <v>-43204003424</v>
      </c>
      <c r="L81" s="11">
        <f t="shared" si="9"/>
        <v>322417936</v>
      </c>
      <c r="M81" s="11">
        <f t="shared" si="9"/>
        <v>-2406104</v>
      </c>
      <c r="N81" s="11">
        <f t="shared" si="9"/>
        <v>17956</v>
      </c>
      <c r="O81" s="11">
        <f t="shared" si="9"/>
        <v>-134</v>
      </c>
      <c r="P81" s="11">
        <f t="shared" ref="P81:P144" si="13">P80</f>
        <v>0</v>
      </c>
    </row>
    <row r="82" spans="1:16" x14ac:dyDescent="0.25">
      <c r="A82" s="11">
        <f t="shared" si="12"/>
        <v>27</v>
      </c>
      <c r="B82">
        <v>-36.690446966940229</v>
      </c>
      <c r="E82" s="11">
        <f>A82-'Mastercurve bestimmen'!$B$2</f>
        <v>-133</v>
      </c>
      <c r="F82" s="11">
        <f t="shared" si="10"/>
        <v>-36.690446966940229</v>
      </c>
      <c r="G82" s="11"/>
      <c r="H82" s="11">
        <f t="shared" si="11"/>
        <v>9.790686120231984E+16</v>
      </c>
      <c r="I82" s="11">
        <f t="shared" si="9"/>
        <v>-736141813551277</v>
      </c>
      <c r="J82" s="11">
        <f t="shared" si="9"/>
        <v>5534900853769</v>
      </c>
      <c r="K82" s="11">
        <f t="shared" si="9"/>
        <v>-41615795893</v>
      </c>
      <c r="L82" s="11">
        <f t="shared" si="9"/>
        <v>312900721</v>
      </c>
      <c r="M82" s="11">
        <f t="shared" si="9"/>
        <v>-2352637</v>
      </c>
      <c r="N82" s="11">
        <f t="shared" si="9"/>
        <v>17689</v>
      </c>
      <c r="O82" s="11">
        <f t="shared" si="9"/>
        <v>-133</v>
      </c>
      <c r="P82" s="11">
        <f t="shared" si="13"/>
        <v>0</v>
      </c>
    </row>
    <row r="83" spans="1:16" x14ac:dyDescent="0.25">
      <c r="A83" s="11">
        <f t="shared" si="12"/>
        <v>28</v>
      </c>
      <c r="B83">
        <v>-36.479910030532139</v>
      </c>
      <c r="E83" s="11">
        <f>A83-'Mastercurve bestimmen'!$B$2</f>
        <v>-132</v>
      </c>
      <c r="F83" s="11">
        <f t="shared" si="10"/>
        <v>-36.479910030532139</v>
      </c>
      <c r="G83" s="11"/>
      <c r="H83" s="11">
        <f t="shared" si="11"/>
        <v>9.2170395205042176E+16</v>
      </c>
      <c r="I83" s="11">
        <f t="shared" si="9"/>
        <v>-698260569735168</v>
      </c>
      <c r="J83" s="11">
        <f t="shared" si="9"/>
        <v>5289852801024</v>
      </c>
      <c r="K83" s="11">
        <f t="shared" si="9"/>
        <v>-40074642432</v>
      </c>
      <c r="L83" s="11">
        <f t="shared" si="9"/>
        <v>303595776</v>
      </c>
      <c r="M83" s="11">
        <f t="shared" si="9"/>
        <v>-2299968</v>
      </c>
      <c r="N83" s="11">
        <f t="shared" si="9"/>
        <v>17424</v>
      </c>
      <c r="O83" s="11">
        <f t="shared" si="9"/>
        <v>-132</v>
      </c>
      <c r="P83" s="11">
        <f t="shared" si="13"/>
        <v>0</v>
      </c>
    </row>
    <row r="84" spans="1:16" x14ac:dyDescent="0.25">
      <c r="A84" s="11">
        <f t="shared" si="12"/>
        <v>29</v>
      </c>
      <c r="B84">
        <v>-36.266882909631327</v>
      </c>
      <c r="E84" s="11">
        <f>A84-'Mastercurve bestimmen'!$B$2</f>
        <v>-131</v>
      </c>
      <c r="F84" s="11">
        <f t="shared" si="10"/>
        <v>-36.266882909631327</v>
      </c>
      <c r="G84" s="11"/>
      <c r="H84" s="11">
        <f t="shared" si="11"/>
        <v>8.673020346900624E+16</v>
      </c>
      <c r="I84" s="11">
        <f t="shared" si="9"/>
        <v>-662062621900811</v>
      </c>
      <c r="J84" s="11">
        <f t="shared" si="9"/>
        <v>5053913144281</v>
      </c>
      <c r="K84" s="11">
        <f t="shared" si="9"/>
        <v>-38579489651</v>
      </c>
      <c r="L84" s="11">
        <f t="shared" si="9"/>
        <v>294499921</v>
      </c>
      <c r="M84" s="11">
        <f t="shared" si="9"/>
        <v>-2248091</v>
      </c>
      <c r="N84" s="11">
        <f t="shared" si="9"/>
        <v>17161</v>
      </c>
      <c r="O84" s="11">
        <f t="shared" si="9"/>
        <v>-131</v>
      </c>
      <c r="P84" s="11">
        <f t="shared" si="13"/>
        <v>0</v>
      </c>
    </row>
    <row r="85" spans="1:16" x14ac:dyDescent="0.25">
      <c r="A85" s="11">
        <f t="shared" si="12"/>
        <v>30</v>
      </c>
      <c r="B85">
        <v>-36.051457482314028</v>
      </c>
      <c r="E85" s="11">
        <f>A85-'Mastercurve bestimmen'!$B$2</f>
        <v>-130</v>
      </c>
      <c r="F85" s="11">
        <f t="shared" si="10"/>
        <v>-36.051457482314028</v>
      </c>
      <c r="G85" s="11"/>
      <c r="H85" s="11">
        <f t="shared" si="11"/>
        <v>8.15730721E+16</v>
      </c>
      <c r="I85" s="11">
        <f t="shared" si="9"/>
        <v>-627485170000000</v>
      </c>
      <c r="J85" s="11">
        <f t="shared" si="9"/>
        <v>4826809000000</v>
      </c>
      <c r="K85" s="11">
        <f t="shared" si="9"/>
        <v>-37129300000</v>
      </c>
      <c r="L85" s="11">
        <f t="shared" si="9"/>
        <v>285610000</v>
      </c>
      <c r="M85" s="11">
        <f t="shared" si="9"/>
        <v>-2197000</v>
      </c>
      <c r="N85" s="11">
        <f t="shared" si="9"/>
        <v>16900</v>
      </c>
      <c r="O85" s="11">
        <f t="shared" si="9"/>
        <v>-130</v>
      </c>
      <c r="P85" s="11">
        <f t="shared" si="13"/>
        <v>0</v>
      </c>
    </row>
    <row r="86" spans="1:16" x14ac:dyDescent="0.25">
      <c r="A86" s="11">
        <f t="shared" si="12"/>
        <v>31</v>
      </c>
      <c r="B86">
        <v>-35.833725626656452</v>
      </c>
      <c r="E86" s="11">
        <f>A86-'Mastercurve bestimmen'!$B$2</f>
        <v>-129</v>
      </c>
      <c r="F86" s="11">
        <f t="shared" si="10"/>
        <v>-35.833725626656452</v>
      </c>
      <c r="G86" s="11"/>
      <c r="H86" s="11">
        <f t="shared" si="11"/>
        <v>7.668628202134016E+16</v>
      </c>
      <c r="I86" s="11">
        <f t="shared" si="9"/>
        <v>-594467302491009</v>
      </c>
      <c r="J86" s="11">
        <f t="shared" si="9"/>
        <v>4608273662721</v>
      </c>
      <c r="K86" s="11">
        <f t="shared" si="9"/>
        <v>-35723051649</v>
      </c>
      <c r="L86" s="11">
        <f t="shared" si="9"/>
        <v>276922881</v>
      </c>
      <c r="M86" s="11">
        <f t="shared" si="9"/>
        <v>-2146689</v>
      </c>
      <c r="N86" s="11">
        <f t="shared" si="9"/>
        <v>16641</v>
      </c>
      <c r="O86" s="11">
        <f t="shared" si="9"/>
        <v>-129</v>
      </c>
      <c r="P86" s="11">
        <f t="shared" si="13"/>
        <v>0</v>
      </c>
    </row>
    <row r="87" spans="1:16" x14ac:dyDescent="0.25">
      <c r="A87" s="11">
        <f t="shared" si="12"/>
        <v>32</v>
      </c>
      <c r="B87">
        <v>-35.613779220734827</v>
      </c>
      <c r="E87" s="11">
        <f>A87-'Mastercurve bestimmen'!$B$2</f>
        <v>-128</v>
      </c>
      <c r="F87" s="11">
        <f t="shared" si="10"/>
        <v>-35.613779220734827</v>
      </c>
      <c r="G87" s="11"/>
      <c r="H87" s="11">
        <f t="shared" si="11"/>
        <v>7.2057594037927936E+16</v>
      </c>
      <c r="I87" s="11">
        <f t="shared" si="9"/>
        <v>-562949953421312</v>
      </c>
      <c r="J87" s="11">
        <f t="shared" si="9"/>
        <v>4398046511104</v>
      </c>
      <c r="K87" s="11">
        <f t="shared" si="9"/>
        <v>-34359738368</v>
      </c>
      <c r="L87" s="11">
        <f t="shared" si="9"/>
        <v>268435456</v>
      </c>
      <c r="M87" s="11">
        <f t="shared" si="9"/>
        <v>-2097152</v>
      </c>
      <c r="N87" s="11">
        <f t="shared" si="9"/>
        <v>16384</v>
      </c>
      <c r="O87" s="11">
        <f t="shared" si="9"/>
        <v>-128</v>
      </c>
      <c r="P87" s="11">
        <f t="shared" si="13"/>
        <v>0</v>
      </c>
    </row>
    <row r="88" spans="1:16" x14ac:dyDescent="0.25">
      <c r="A88" s="11">
        <f t="shared" si="12"/>
        <v>33</v>
      </c>
      <c r="B88">
        <v>-35.391710142625371</v>
      </c>
      <c r="E88" s="11">
        <f>A88-'Mastercurve bestimmen'!$B$2</f>
        <v>-127</v>
      </c>
      <c r="F88" s="11">
        <f t="shared" si="10"/>
        <v>-35.391710142625371</v>
      </c>
      <c r="G88" s="11"/>
      <c r="H88" s="11">
        <f t="shared" si="11"/>
        <v>6.767523424101888E+16</v>
      </c>
      <c r="I88" s="11">
        <f t="shared" si="9"/>
        <v>-532875860165503</v>
      </c>
      <c r="J88" s="11">
        <f t="shared" si="9"/>
        <v>4195872914689</v>
      </c>
      <c r="K88" s="11">
        <f t="shared" si="9"/>
        <v>-33038369407</v>
      </c>
      <c r="L88" s="11">
        <f t="shared" si="9"/>
        <v>260144641</v>
      </c>
      <c r="M88" s="11">
        <f t="shared" si="9"/>
        <v>-2048383</v>
      </c>
      <c r="N88" s="11">
        <f t="shared" si="9"/>
        <v>16129</v>
      </c>
      <c r="O88" s="11">
        <f t="shared" si="9"/>
        <v>-127</v>
      </c>
      <c r="P88" s="11">
        <f t="shared" si="13"/>
        <v>0</v>
      </c>
    </row>
    <row r="89" spans="1:16" x14ac:dyDescent="0.25">
      <c r="A89" s="11">
        <f t="shared" si="12"/>
        <v>34</v>
      </c>
      <c r="B89">
        <v>-35.167610270404303</v>
      </c>
      <c r="E89" s="11">
        <f>A89-'Mastercurve bestimmen'!$B$2</f>
        <v>-126</v>
      </c>
      <c r="F89" s="11">
        <f t="shared" si="10"/>
        <v>-35.167610270404303</v>
      </c>
      <c r="G89" s="11"/>
      <c r="H89" s="11">
        <f t="shared" si="11"/>
        <v>6.3527879748485376E+16</v>
      </c>
      <c r="I89" s="11">
        <f t="shared" si="9"/>
        <v>-504189521813376</v>
      </c>
      <c r="J89" s="11">
        <f t="shared" si="9"/>
        <v>4001504141376</v>
      </c>
      <c r="K89" s="11">
        <f t="shared" si="9"/>
        <v>-31757969376</v>
      </c>
      <c r="L89" s="11">
        <f t="shared" si="9"/>
        <v>252047376</v>
      </c>
      <c r="M89" s="11">
        <f t="shared" si="9"/>
        <v>-2000376</v>
      </c>
      <c r="N89" s="11">
        <f t="shared" si="9"/>
        <v>15876</v>
      </c>
      <c r="O89" s="11">
        <f t="shared" si="9"/>
        <v>-126</v>
      </c>
      <c r="P89" s="11">
        <f t="shared" si="13"/>
        <v>0</v>
      </c>
    </row>
    <row r="90" spans="1:16" x14ac:dyDescent="0.25">
      <c r="A90" s="11">
        <f t="shared" si="12"/>
        <v>35</v>
      </c>
      <c r="B90">
        <v>-34.941571482147843</v>
      </c>
      <c r="E90" s="11">
        <f>A90-'Mastercurve bestimmen'!$B$2</f>
        <v>-125</v>
      </c>
      <c r="F90" s="11">
        <f t="shared" si="10"/>
        <v>-34.941571482147843</v>
      </c>
      <c r="G90" s="11"/>
      <c r="H90" s="11">
        <f t="shared" si="11"/>
        <v>5.9604644775390624E+16</v>
      </c>
      <c r="I90" s="11">
        <f t="shared" si="9"/>
        <v>-476837158203125</v>
      </c>
      <c r="J90" s="11">
        <f t="shared" si="9"/>
        <v>3814697265625</v>
      </c>
      <c r="K90" s="11">
        <f t="shared" si="9"/>
        <v>-30517578125</v>
      </c>
      <c r="L90" s="11">
        <f t="shared" si="9"/>
        <v>244140625</v>
      </c>
      <c r="M90" s="11">
        <f t="shared" si="9"/>
        <v>-1953125</v>
      </c>
      <c r="N90" s="11">
        <f t="shared" si="9"/>
        <v>15625</v>
      </c>
      <c r="O90" s="11">
        <f t="shared" si="9"/>
        <v>-125</v>
      </c>
      <c r="P90" s="11">
        <f t="shared" si="13"/>
        <v>0</v>
      </c>
    </row>
    <row r="91" spans="1:16" x14ac:dyDescent="0.25">
      <c r="A91" s="11">
        <f t="shared" si="12"/>
        <v>36</v>
      </c>
      <c r="B91">
        <v>-34.713685655932224</v>
      </c>
      <c r="E91" s="11">
        <f>A91-'Mastercurve bestimmen'!$B$2</f>
        <v>-124</v>
      </c>
      <c r="F91" s="11">
        <f t="shared" si="10"/>
        <v>-34.713685655932224</v>
      </c>
      <c r="G91" s="11"/>
      <c r="H91" s="11">
        <f t="shared" si="11"/>
        <v>5.5895067029733376E+16</v>
      </c>
      <c r="I91" s="11">
        <f t="shared" si="9"/>
        <v>-450766669594624</v>
      </c>
      <c r="J91" s="11">
        <f t="shared" si="9"/>
        <v>3635215077376</v>
      </c>
      <c r="K91" s="11">
        <f t="shared" si="9"/>
        <v>-29316250624</v>
      </c>
      <c r="L91" s="11">
        <f t="shared" si="9"/>
        <v>236421376</v>
      </c>
      <c r="M91" s="11">
        <f t="shared" si="9"/>
        <v>-1906624</v>
      </c>
      <c r="N91" s="11">
        <f t="shared" si="9"/>
        <v>15376</v>
      </c>
      <c r="O91" s="11">
        <f t="shared" si="9"/>
        <v>-124</v>
      </c>
      <c r="P91" s="11">
        <f t="shared" si="13"/>
        <v>0</v>
      </c>
    </row>
    <row r="92" spans="1:16" x14ac:dyDescent="0.25">
      <c r="A92" s="11">
        <f t="shared" si="12"/>
        <v>37</v>
      </c>
      <c r="B92">
        <v>-34.484044669833651</v>
      </c>
      <c r="E92" s="11">
        <f>A92-'Mastercurve bestimmen'!$B$2</f>
        <v>-123</v>
      </c>
      <c r="F92" s="11">
        <f t="shared" si="10"/>
        <v>-34.484044669833651</v>
      </c>
      <c r="G92" s="11"/>
      <c r="H92" s="11">
        <f t="shared" si="11"/>
        <v>5.238909442826288E+16</v>
      </c>
      <c r="I92" s="11">
        <f t="shared" si="9"/>
        <v>-425927596977747</v>
      </c>
      <c r="J92" s="11">
        <f t="shared" si="9"/>
        <v>3462825991689</v>
      </c>
      <c r="K92" s="11">
        <f t="shared" si="9"/>
        <v>-28153056843</v>
      </c>
      <c r="L92" s="11">
        <f t="shared" si="9"/>
        <v>228886641</v>
      </c>
      <c r="M92" s="11">
        <f t="shared" si="9"/>
        <v>-1860867</v>
      </c>
      <c r="N92" s="11">
        <f t="shared" si="9"/>
        <v>15129</v>
      </c>
      <c r="O92" s="11">
        <f t="shared" si="9"/>
        <v>-123</v>
      </c>
      <c r="P92" s="11">
        <f t="shared" si="13"/>
        <v>0</v>
      </c>
    </row>
    <row r="93" spans="1:16" x14ac:dyDescent="0.25">
      <c r="A93" s="11">
        <f t="shared" si="12"/>
        <v>38</v>
      </c>
      <c r="B93">
        <v>-34.252740401928364</v>
      </c>
      <c r="E93" s="11">
        <f>A93-'Mastercurve bestimmen'!$B$2</f>
        <v>-122</v>
      </c>
      <c r="F93" s="11">
        <f t="shared" si="10"/>
        <v>-34.252740401928364</v>
      </c>
      <c r="G93" s="11"/>
      <c r="H93" s="11">
        <f t="shared" si="11"/>
        <v>4.9077072127303936E+16</v>
      </c>
      <c r="I93" s="11">
        <f t="shared" si="9"/>
        <v>-402271083010688</v>
      </c>
      <c r="J93" s="11">
        <f t="shared" si="9"/>
        <v>3297303959104</v>
      </c>
      <c r="K93" s="11">
        <f t="shared" si="9"/>
        <v>-27027081632</v>
      </c>
      <c r="L93" s="11">
        <f t="shared" si="9"/>
        <v>221533456</v>
      </c>
      <c r="M93" s="11">
        <f t="shared" si="9"/>
        <v>-1815848</v>
      </c>
      <c r="N93" s="11">
        <f t="shared" si="9"/>
        <v>14884</v>
      </c>
      <c r="O93" s="11">
        <f t="shared" si="9"/>
        <v>-122</v>
      </c>
      <c r="P93" s="11">
        <f t="shared" si="13"/>
        <v>0</v>
      </c>
    </row>
    <row r="94" spans="1:16" x14ac:dyDescent="0.25">
      <c r="A94" s="11">
        <f t="shared" si="12"/>
        <v>39</v>
      </c>
      <c r="B94">
        <v>-34.019864730292568</v>
      </c>
      <c r="E94" s="11">
        <f>A94-'Mastercurve bestimmen'!$B$2</f>
        <v>-121</v>
      </c>
      <c r="F94" s="11">
        <f t="shared" si="10"/>
        <v>-34.019864730292568</v>
      </c>
      <c r="G94" s="11"/>
      <c r="H94" s="11">
        <f t="shared" si="11"/>
        <v>4.594972986357216E+16</v>
      </c>
      <c r="I94" s="11">
        <f t="shared" si="9"/>
        <v>-379749833583241</v>
      </c>
      <c r="J94" s="11">
        <f t="shared" si="9"/>
        <v>3138428376721</v>
      </c>
      <c r="K94" s="11">
        <f t="shared" si="9"/>
        <v>-25937424601</v>
      </c>
      <c r="L94" s="11">
        <f t="shared" si="9"/>
        <v>214358881</v>
      </c>
      <c r="M94" s="11">
        <f t="shared" si="9"/>
        <v>-1771561</v>
      </c>
      <c r="N94" s="11">
        <f t="shared" si="9"/>
        <v>14641</v>
      </c>
      <c r="O94" s="11">
        <f t="shared" si="9"/>
        <v>-121</v>
      </c>
      <c r="P94" s="11">
        <f t="shared" si="13"/>
        <v>0</v>
      </c>
    </row>
    <row r="95" spans="1:16" x14ac:dyDescent="0.25">
      <c r="A95" s="11">
        <f t="shared" si="12"/>
        <v>40</v>
      </c>
      <c r="B95">
        <v>-33.785509533002489</v>
      </c>
      <c r="E95" s="11">
        <f>A95-'Mastercurve bestimmen'!$B$2</f>
        <v>-120</v>
      </c>
      <c r="F95" s="11">
        <f t="shared" si="10"/>
        <v>-33.785509533002489</v>
      </c>
      <c r="G95" s="11"/>
      <c r="H95" s="11">
        <f t="shared" si="11"/>
        <v>4.29981696E+16</v>
      </c>
      <c r="I95" s="11">
        <f t="shared" si="9"/>
        <v>-358318080000000</v>
      </c>
      <c r="J95" s="11">
        <f t="shared" si="9"/>
        <v>2985984000000</v>
      </c>
      <c r="K95" s="11">
        <f t="shared" si="9"/>
        <v>-24883200000</v>
      </c>
      <c r="L95" s="11">
        <f t="shared" si="9"/>
        <v>207360000</v>
      </c>
      <c r="M95" s="11">
        <f t="shared" si="9"/>
        <v>-1728000</v>
      </c>
      <c r="N95" s="11">
        <f t="shared" si="9"/>
        <v>14400</v>
      </c>
      <c r="O95" s="11">
        <f t="shared" si="9"/>
        <v>-120</v>
      </c>
      <c r="P95" s="11">
        <f t="shared" si="13"/>
        <v>0</v>
      </c>
    </row>
    <row r="96" spans="1:16" x14ac:dyDescent="0.25">
      <c r="A96" s="11">
        <f t="shared" si="12"/>
        <v>41</v>
      </c>
      <c r="B96">
        <v>-33.549766688134355</v>
      </c>
      <c r="E96" s="11">
        <f>A96-'Mastercurve bestimmen'!$B$2</f>
        <v>-119</v>
      </c>
      <c r="F96" s="11">
        <f t="shared" si="10"/>
        <v>-33.549766688134355</v>
      </c>
      <c r="G96" s="11"/>
      <c r="H96" s="11">
        <f t="shared" si="11"/>
        <v>4.021385347163424E+16</v>
      </c>
      <c r="I96" s="11">
        <f t="shared" si="9"/>
        <v>-337931541778439</v>
      </c>
      <c r="J96" s="11">
        <f t="shared" si="9"/>
        <v>2839760855281</v>
      </c>
      <c r="K96" s="11">
        <f t="shared" si="9"/>
        <v>-23863536599</v>
      </c>
      <c r="L96" s="11">
        <f t="shared" si="9"/>
        <v>200533921</v>
      </c>
      <c r="M96" s="11">
        <f t="shared" si="9"/>
        <v>-1685159</v>
      </c>
      <c r="N96" s="11">
        <f t="shared" si="9"/>
        <v>14161</v>
      </c>
      <c r="O96" s="11">
        <f t="shared" si="9"/>
        <v>-119</v>
      </c>
      <c r="P96" s="11">
        <f t="shared" si="13"/>
        <v>0</v>
      </c>
    </row>
    <row r="97" spans="1:16" x14ac:dyDescent="0.25">
      <c r="A97" s="11">
        <f t="shared" si="12"/>
        <v>42</v>
      </c>
      <c r="B97">
        <v>-33.312728073764376</v>
      </c>
      <c r="E97" s="11">
        <f>A97-'Mastercurve bestimmen'!$B$2</f>
        <v>-118</v>
      </c>
      <c r="F97" s="11">
        <f t="shared" si="10"/>
        <v>-33.312728073764376</v>
      </c>
      <c r="G97" s="11"/>
      <c r="H97" s="11">
        <f t="shared" si="11"/>
        <v>3.7588592026706176E+16</v>
      </c>
      <c r="I97" s="11">
        <f t="shared" si="9"/>
        <v>-318547390056832</v>
      </c>
      <c r="J97" s="11">
        <f t="shared" si="9"/>
        <v>2699554153024</v>
      </c>
      <c r="K97" s="11">
        <f t="shared" si="9"/>
        <v>-22877577568</v>
      </c>
      <c r="L97" s="11">
        <f t="shared" si="9"/>
        <v>193877776</v>
      </c>
      <c r="M97" s="11">
        <f t="shared" si="9"/>
        <v>-1643032</v>
      </c>
      <c r="N97" s="11">
        <f t="shared" si="9"/>
        <v>13924</v>
      </c>
      <c r="O97" s="11">
        <f t="shared" si="9"/>
        <v>-118</v>
      </c>
      <c r="P97" s="11">
        <f t="shared" si="13"/>
        <v>0</v>
      </c>
    </row>
    <row r="98" spans="1:16" x14ac:dyDescent="0.25">
      <c r="A98" s="11">
        <f t="shared" si="12"/>
        <v>43</v>
      </c>
      <c r="B98">
        <v>-33.074485567968786</v>
      </c>
      <c r="E98" s="11">
        <f>A98-'Mastercurve bestimmen'!$B$2</f>
        <v>-117</v>
      </c>
      <c r="F98" s="11">
        <f t="shared" si="10"/>
        <v>-33.074485567968786</v>
      </c>
      <c r="G98" s="11"/>
      <c r="H98" s="11">
        <f t="shared" si="11"/>
        <v>3.511453275801584E+16</v>
      </c>
      <c r="I98" s="11">
        <f t="shared" si="9"/>
        <v>-300124211606973</v>
      </c>
      <c r="J98" s="11">
        <f t="shared" si="9"/>
        <v>2565164201769</v>
      </c>
      <c r="K98" s="11">
        <f t="shared" si="9"/>
        <v>-21924480357</v>
      </c>
      <c r="L98" s="11">
        <f t="shared" si="9"/>
        <v>187388721</v>
      </c>
      <c r="M98" s="11">
        <f t="shared" si="9"/>
        <v>-1601613</v>
      </c>
      <c r="N98" s="11">
        <f t="shared" si="9"/>
        <v>13689</v>
      </c>
      <c r="O98" s="11">
        <f t="shared" si="9"/>
        <v>-117</v>
      </c>
      <c r="P98" s="11">
        <f t="shared" si="13"/>
        <v>0</v>
      </c>
    </row>
    <row r="99" spans="1:16" x14ac:dyDescent="0.25">
      <c r="A99" s="11">
        <f t="shared" si="12"/>
        <v>44</v>
      </c>
      <c r="B99">
        <v>-32.835131048823797</v>
      </c>
      <c r="E99" s="11">
        <f>A99-'Mastercurve bestimmen'!$B$2</f>
        <v>-116</v>
      </c>
      <c r="F99" s="11">
        <f t="shared" si="10"/>
        <v>-32.835131048823797</v>
      </c>
      <c r="G99" s="11"/>
      <c r="H99" s="11">
        <f t="shared" si="11"/>
        <v>3.2784148919812096E+16</v>
      </c>
      <c r="I99" s="11">
        <f t="shared" si="9"/>
        <v>-282621973446656</v>
      </c>
      <c r="J99" s="11">
        <f t="shared" si="9"/>
        <v>2436396322816</v>
      </c>
      <c r="K99" s="11">
        <f t="shared" si="9"/>
        <v>-21003416576</v>
      </c>
      <c r="L99" s="11">
        <f t="shared" si="9"/>
        <v>181063936</v>
      </c>
      <c r="M99" s="11">
        <f t="shared" si="9"/>
        <v>-1560896</v>
      </c>
      <c r="N99" s="11">
        <f t="shared" si="9"/>
        <v>13456</v>
      </c>
      <c r="O99" s="11">
        <f t="shared" si="9"/>
        <v>-116</v>
      </c>
      <c r="P99" s="11">
        <f t="shared" si="13"/>
        <v>0</v>
      </c>
    </row>
    <row r="100" spans="1:16" x14ac:dyDescent="0.25">
      <c r="A100" s="11">
        <f t="shared" si="12"/>
        <v>45</v>
      </c>
      <c r="B100">
        <v>-32.594756394405636</v>
      </c>
      <c r="E100" s="11">
        <f>A100-'Mastercurve bestimmen'!$B$2</f>
        <v>-115</v>
      </c>
      <c r="F100" s="11">
        <f t="shared" si="10"/>
        <v>-32.594756394405636</v>
      </c>
      <c r="G100" s="11"/>
      <c r="H100" s="11">
        <f t="shared" si="11"/>
        <v>3.0590228625390624E+16</v>
      </c>
      <c r="I100" s="11">
        <f t="shared" si="9"/>
        <v>-266001988046875</v>
      </c>
      <c r="J100" s="11">
        <f t="shared" si="9"/>
        <v>2313060765625</v>
      </c>
      <c r="K100" s="11">
        <f t="shared" si="9"/>
        <v>-20113571875</v>
      </c>
      <c r="L100" s="11">
        <f t="shared" si="9"/>
        <v>174900625</v>
      </c>
      <c r="M100" s="11">
        <f t="shared" si="9"/>
        <v>-1520875</v>
      </c>
      <c r="N100" s="11">
        <f t="shared" si="9"/>
        <v>13225</v>
      </c>
      <c r="O100" s="11">
        <f t="shared" si="9"/>
        <v>-115</v>
      </c>
      <c r="P100" s="11">
        <f t="shared" si="13"/>
        <v>0</v>
      </c>
    </row>
    <row r="101" spans="1:16" x14ac:dyDescent="0.25">
      <c r="A101" s="11">
        <f t="shared" si="12"/>
        <v>46</v>
      </c>
      <c r="B101">
        <v>-32.353453482790528</v>
      </c>
      <c r="E101" s="11">
        <f>A101-'Mastercurve bestimmen'!$B$2</f>
        <v>-114</v>
      </c>
      <c r="F101" s="11">
        <f t="shared" si="10"/>
        <v>-32.353453482790528</v>
      </c>
      <c r="G101" s="11"/>
      <c r="H101" s="11">
        <f t="shared" si="11"/>
        <v>2.8525864220672256E+16</v>
      </c>
      <c r="I101" s="11">
        <f t="shared" si="9"/>
        <v>-250226879128704</v>
      </c>
      <c r="J101" s="11">
        <f t="shared" si="9"/>
        <v>2194972623936</v>
      </c>
      <c r="K101" s="11">
        <f t="shared" si="9"/>
        <v>-19254145824</v>
      </c>
      <c r="L101" s="11">
        <f t="shared" si="9"/>
        <v>168896016</v>
      </c>
      <c r="M101" s="11">
        <f t="shared" si="9"/>
        <v>-1481544</v>
      </c>
      <c r="N101" s="11">
        <f t="shared" si="9"/>
        <v>12996</v>
      </c>
      <c r="O101" s="11">
        <f t="shared" si="9"/>
        <v>-114</v>
      </c>
      <c r="P101" s="11">
        <f t="shared" si="13"/>
        <v>0</v>
      </c>
    </row>
    <row r="102" spans="1:16" x14ac:dyDescent="0.25">
      <c r="A102" s="11">
        <f t="shared" si="12"/>
        <v>47</v>
      </c>
      <c r="B102">
        <v>-32.111314192054678</v>
      </c>
      <c r="E102" s="11">
        <f>A102-'Mastercurve bestimmen'!$B$2</f>
        <v>-113</v>
      </c>
      <c r="F102" s="11">
        <f t="shared" si="10"/>
        <v>-32.111314192054678</v>
      </c>
      <c r="G102" s="11"/>
      <c r="H102" s="11">
        <f t="shared" si="11"/>
        <v>2.658444192906432E+16</v>
      </c>
      <c r="I102" s="11">
        <f t="shared" si="9"/>
        <v>-235260548044817</v>
      </c>
      <c r="J102" s="11">
        <f t="shared" si="9"/>
        <v>2081951752609</v>
      </c>
      <c r="K102" s="11">
        <f t="shared" si="9"/>
        <v>-18424351793</v>
      </c>
      <c r="L102" s="11">
        <f t="shared" si="9"/>
        <v>163047361</v>
      </c>
      <c r="M102" s="11">
        <f t="shared" si="9"/>
        <v>-1442897</v>
      </c>
      <c r="N102" s="11">
        <f t="shared" si="9"/>
        <v>12769</v>
      </c>
      <c r="O102" s="11">
        <f t="shared" si="9"/>
        <v>-113</v>
      </c>
      <c r="P102" s="11">
        <f t="shared" si="13"/>
        <v>0</v>
      </c>
    </row>
    <row r="103" spans="1:16" x14ac:dyDescent="0.25">
      <c r="A103" s="11">
        <f t="shared" si="12"/>
        <v>48</v>
      </c>
      <c r="B103">
        <v>-31.868430400274324</v>
      </c>
      <c r="E103" s="11">
        <f>A103-'Mastercurve bestimmen'!$B$2</f>
        <v>-112</v>
      </c>
      <c r="F103" s="11">
        <f t="shared" si="10"/>
        <v>-31.868430400274324</v>
      </c>
      <c r="G103" s="11"/>
      <c r="H103" s="11">
        <f t="shared" si="11"/>
        <v>2.4759631762948096E+16</v>
      </c>
      <c r="I103" s="11">
        <f t="shared" si="9"/>
        <v>-221068140740608</v>
      </c>
      <c r="J103" s="11">
        <f t="shared" si="9"/>
        <v>1973822685184</v>
      </c>
      <c r="K103" s="11">
        <f t="shared" si="9"/>
        <v>-17623416832</v>
      </c>
      <c r="L103" s="11">
        <f t="shared" si="9"/>
        <v>157351936</v>
      </c>
      <c r="M103" s="11">
        <f t="shared" si="9"/>
        <v>-1404928</v>
      </c>
      <c r="N103" s="11">
        <f t="shared" si="9"/>
        <v>12544</v>
      </c>
      <c r="O103" s="11">
        <f t="shared" si="9"/>
        <v>-112</v>
      </c>
      <c r="P103" s="11">
        <f t="shared" si="13"/>
        <v>0</v>
      </c>
    </row>
    <row r="104" spans="1:16" x14ac:dyDescent="0.25">
      <c r="A104" s="11">
        <f t="shared" si="12"/>
        <v>49</v>
      </c>
      <c r="B104">
        <v>-31.624893985525674</v>
      </c>
      <c r="E104" s="11">
        <f>A104-'Mastercurve bestimmen'!$B$2</f>
        <v>-111</v>
      </c>
      <c r="F104" s="11">
        <f t="shared" si="10"/>
        <v>-31.624893985525674</v>
      </c>
      <c r="G104" s="11"/>
      <c r="H104" s="11">
        <f t="shared" si="11"/>
        <v>2.304537769717568E+16</v>
      </c>
      <c r="I104" s="11">
        <f t="shared" si="9"/>
        <v>-207616015289871</v>
      </c>
      <c r="J104" s="11">
        <f t="shared" si="9"/>
        <v>1870414552161</v>
      </c>
      <c r="K104" s="11">
        <f t="shared" si="9"/>
        <v>-16850581551</v>
      </c>
      <c r="L104" s="11">
        <f t="shared" si="9"/>
        <v>151807041</v>
      </c>
      <c r="M104" s="11">
        <f t="shared" si="9"/>
        <v>-1367631</v>
      </c>
      <c r="N104" s="11">
        <f t="shared" si="9"/>
        <v>12321</v>
      </c>
      <c r="O104" s="11">
        <f t="shared" si="9"/>
        <v>-111</v>
      </c>
      <c r="P104" s="11">
        <f t="shared" si="13"/>
        <v>0</v>
      </c>
    </row>
    <row r="105" spans="1:16" x14ac:dyDescent="0.25">
      <c r="A105" s="11">
        <f t="shared" si="12"/>
        <v>50</v>
      </c>
      <c r="B105">
        <v>-31.380796825884964</v>
      </c>
      <c r="E105" s="11">
        <f>A105-'Mastercurve bestimmen'!$B$2</f>
        <v>-110</v>
      </c>
      <c r="F105" s="11">
        <f t="shared" si="10"/>
        <v>-31.380796825884964</v>
      </c>
      <c r="G105" s="11"/>
      <c r="H105" s="11">
        <f t="shared" si="11"/>
        <v>2.14358881E+16</v>
      </c>
      <c r="I105" s="11">
        <f t="shared" si="9"/>
        <v>-194871710000000</v>
      </c>
      <c r="J105" s="11">
        <f t="shared" si="9"/>
        <v>1771561000000</v>
      </c>
      <c r="K105" s="11">
        <f t="shared" si="9"/>
        <v>-16105100000</v>
      </c>
      <c r="L105" s="11">
        <f t="shared" si="9"/>
        <v>146410000</v>
      </c>
      <c r="M105" s="11">
        <f t="shared" si="9"/>
        <v>-1331000</v>
      </c>
      <c r="N105" s="11">
        <f t="shared" si="9"/>
        <v>12100</v>
      </c>
      <c r="O105" s="11">
        <f t="shared" si="9"/>
        <v>-110</v>
      </c>
      <c r="P105" s="11">
        <f t="shared" si="13"/>
        <v>0</v>
      </c>
    </row>
    <row r="106" spans="1:16" x14ac:dyDescent="0.25">
      <c r="A106" s="11">
        <f t="shared" si="12"/>
        <v>51</v>
      </c>
      <c r="B106">
        <v>-31.136170303573241</v>
      </c>
      <c r="E106" s="11">
        <f>A106-'Mastercurve bestimmen'!$B$2</f>
        <v>-109</v>
      </c>
      <c r="F106" s="11">
        <f t="shared" si="10"/>
        <v>-31.136170303573241</v>
      </c>
      <c r="G106" s="11"/>
      <c r="H106" s="11">
        <f t="shared" si="11"/>
        <v>1.992562641690192E+16</v>
      </c>
      <c r="I106" s="11">
        <f t="shared" si="9"/>
        <v>-182803912081669</v>
      </c>
      <c r="J106" s="11">
        <f t="shared" si="9"/>
        <v>1677100110841</v>
      </c>
      <c r="K106" s="11">
        <f t="shared" si="9"/>
        <v>-15386239549</v>
      </c>
      <c r="L106" s="11">
        <f t="shared" si="9"/>
        <v>141158161</v>
      </c>
      <c r="M106" s="11">
        <f t="shared" si="9"/>
        <v>-1295029</v>
      </c>
      <c r="N106" s="11">
        <f t="shared" si="9"/>
        <v>11881</v>
      </c>
      <c r="O106" s="11">
        <f t="shared" si="9"/>
        <v>-109</v>
      </c>
      <c r="P106" s="11">
        <f t="shared" si="13"/>
        <v>0</v>
      </c>
    </row>
    <row r="107" spans="1:16" x14ac:dyDescent="0.25">
      <c r="A107" s="11">
        <f t="shared" si="12"/>
        <v>52</v>
      </c>
      <c r="B107">
        <v>-30.890803817390914</v>
      </c>
      <c r="E107" s="11">
        <f>A107-'Mastercurve bestimmen'!$B$2</f>
        <v>-108</v>
      </c>
      <c r="F107" s="11">
        <f t="shared" si="10"/>
        <v>-30.890803817390914</v>
      </c>
      <c r="G107" s="11"/>
      <c r="H107" s="11">
        <f t="shared" si="11"/>
        <v>1.8509302102818816E+16</v>
      </c>
      <c r="I107" s="11">
        <f t="shared" si="9"/>
        <v>-171382426877952</v>
      </c>
      <c r="J107" s="11">
        <f t="shared" si="9"/>
        <v>1586874322944</v>
      </c>
      <c r="K107" s="11">
        <f t="shared" si="9"/>
        <v>-14693280768</v>
      </c>
      <c r="L107" s="11">
        <f t="shared" si="9"/>
        <v>136048896</v>
      </c>
      <c r="M107" s="11">
        <f t="shared" si="9"/>
        <v>-1259712</v>
      </c>
      <c r="N107" s="11">
        <f t="shared" si="9"/>
        <v>11664</v>
      </c>
      <c r="O107" s="11">
        <f t="shared" si="9"/>
        <v>-108</v>
      </c>
      <c r="P107" s="11">
        <f t="shared" si="13"/>
        <v>0</v>
      </c>
    </row>
    <row r="108" spans="1:16" x14ac:dyDescent="0.25">
      <c r="A108" s="11">
        <f t="shared" si="12"/>
        <v>53</v>
      </c>
      <c r="B108">
        <v>-30.64442627028324</v>
      </c>
      <c r="E108" s="11">
        <f>A108-'Mastercurve bestimmen'!$B$2</f>
        <v>-107</v>
      </c>
      <c r="F108" s="11">
        <f t="shared" si="10"/>
        <v>-30.64442627028324</v>
      </c>
      <c r="G108" s="11"/>
      <c r="H108" s="11">
        <f t="shared" si="11"/>
        <v>1.71818617983192E+16</v>
      </c>
      <c r="I108" s="11">
        <f t="shared" si="9"/>
        <v>-160578147647843</v>
      </c>
      <c r="J108" s="11">
        <f t="shared" si="9"/>
        <v>1500730351849</v>
      </c>
      <c r="K108" s="11">
        <f t="shared" si="9"/>
        <v>-14025517307</v>
      </c>
      <c r="L108" s="11">
        <f t="shared" si="9"/>
        <v>131079601</v>
      </c>
      <c r="M108" s="11">
        <f t="shared" si="9"/>
        <v>-1225043</v>
      </c>
      <c r="N108" s="11">
        <f t="shared" si="9"/>
        <v>11449</v>
      </c>
      <c r="O108" s="11">
        <f t="shared" si="9"/>
        <v>-107</v>
      </c>
      <c r="P108" s="11">
        <f t="shared" si="13"/>
        <v>0</v>
      </c>
    </row>
    <row r="109" spans="1:16" x14ac:dyDescent="0.25">
      <c r="A109" s="11">
        <f t="shared" si="12"/>
        <v>54</v>
      </c>
      <c r="B109">
        <v>-30.396766565195449</v>
      </c>
      <c r="E109" s="11">
        <f>A109-'Mastercurve bestimmen'!$B$2</f>
        <v>-106</v>
      </c>
      <c r="F109" s="11">
        <f t="shared" si="10"/>
        <v>-30.396766565195449</v>
      </c>
      <c r="G109" s="11"/>
      <c r="H109" s="11">
        <f t="shared" si="11"/>
        <v>1.5938480745308416E+16</v>
      </c>
      <c r="I109" s="11">
        <f t="shared" si="9"/>
        <v>-150363025899136</v>
      </c>
      <c r="J109" s="11">
        <f t="shared" si="9"/>
        <v>1418519112256</v>
      </c>
      <c r="K109" s="11">
        <f t="shared" si="9"/>
        <v>-13382255776</v>
      </c>
      <c r="L109" s="11">
        <f t="shared" si="9"/>
        <v>126247696</v>
      </c>
      <c r="M109" s="11">
        <f t="shared" si="9"/>
        <v>-1191016</v>
      </c>
      <c r="N109" s="11">
        <f t="shared" si="9"/>
        <v>11236</v>
      </c>
      <c r="O109" s="11">
        <f t="shared" si="9"/>
        <v>-106</v>
      </c>
      <c r="P109" s="11">
        <f t="shared" si="13"/>
        <v>0</v>
      </c>
    </row>
    <row r="110" spans="1:16" x14ac:dyDescent="0.25">
      <c r="A110" s="11">
        <f t="shared" si="12"/>
        <v>55</v>
      </c>
      <c r="B110">
        <v>-30.14755360507279</v>
      </c>
      <c r="E110" s="11">
        <f>A110-'Mastercurve bestimmen'!$B$2</f>
        <v>-105</v>
      </c>
      <c r="F110" s="11">
        <f t="shared" si="10"/>
        <v>-30.14755360507279</v>
      </c>
      <c r="G110" s="11"/>
      <c r="H110" s="11">
        <f t="shared" si="11"/>
        <v>1.4774554437890624E+16</v>
      </c>
      <c r="I110" s="11">
        <f t="shared" si="9"/>
        <v>-140710042265625</v>
      </c>
      <c r="J110" s="11">
        <f t="shared" si="9"/>
        <v>1340095640625</v>
      </c>
      <c r="K110" s="11">
        <f t="shared" si="9"/>
        <v>-12762815625</v>
      </c>
      <c r="L110" s="11">
        <f t="shared" si="9"/>
        <v>121550625</v>
      </c>
      <c r="M110" s="11">
        <f t="shared" si="9"/>
        <v>-1157625</v>
      </c>
      <c r="N110" s="11">
        <f t="shared" si="9"/>
        <v>11025</v>
      </c>
      <c r="O110" s="11">
        <f t="shared" si="9"/>
        <v>-105</v>
      </c>
      <c r="P110" s="11">
        <f t="shared" si="13"/>
        <v>0</v>
      </c>
    </row>
    <row r="111" spans="1:16" x14ac:dyDescent="0.25">
      <c r="A111" s="11">
        <f t="shared" si="12"/>
        <v>56</v>
      </c>
      <c r="B111">
        <v>-29.896516292860511</v>
      </c>
      <c r="E111" s="11">
        <f>A111-'Mastercurve bestimmen'!$B$2</f>
        <v>-104</v>
      </c>
      <c r="F111" s="11">
        <f t="shared" si="10"/>
        <v>-29.896516292860511</v>
      </c>
      <c r="G111" s="11"/>
      <c r="H111" s="11">
        <f t="shared" si="11"/>
        <v>1.3685690504052736E+16</v>
      </c>
      <c r="I111" s="11">
        <f t="shared" si="9"/>
        <v>-131593177923584</v>
      </c>
      <c r="J111" s="11">
        <f t="shared" si="9"/>
        <v>1265319018496</v>
      </c>
      <c r="K111" s="11">
        <f t="shared" si="9"/>
        <v>-12166529024</v>
      </c>
      <c r="L111" s="11">
        <f t="shared" si="9"/>
        <v>116985856</v>
      </c>
      <c r="M111" s="11">
        <f t="shared" si="9"/>
        <v>-1124864</v>
      </c>
      <c r="N111" s="11">
        <f t="shared" si="9"/>
        <v>10816</v>
      </c>
      <c r="O111" s="11">
        <f t="shared" si="9"/>
        <v>-104</v>
      </c>
      <c r="P111" s="11">
        <f t="shared" si="13"/>
        <v>0</v>
      </c>
    </row>
    <row r="112" spans="1:16" x14ac:dyDescent="0.25">
      <c r="A112" s="11">
        <f t="shared" si="12"/>
        <v>57</v>
      </c>
      <c r="B112">
        <v>-29.643383531503851</v>
      </c>
      <c r="E112" s="11">
        <f>A112-'Mastercurve bestimmen'!$B$2</f>
        <v>-103</v>
      </c>
      <c r="F112" s="11">
        <f t="shared" si="10"/>
        <v>-29.643383531503851</v>
      </c>
      <c r="G112" s="11"/>
      <c r="H112" s="11">
        <f t="shared" si="11"/>
        <v>1.266770081387616E+16</v>
      </c>
      <c r="I112" s="11">
        <f t="shared" si="9"/>
        <v>-122987386542487</v>
      </c>
      <c r="J112" s="11">
        <f t="shared" si="9"/>
        <v>1194052296529</v>
      </c>
      <c r="K112" s="11">
        <f t="shared" si="9"/>
        <v>-11592740743</v>
      </c>
      <c r="L112" s="11">
        <f t="shared" si="9"/>
        <v>112550881</v>
      </c>
      <c r="M112" s="11">
        <f t="shared" si="9"/>
        <v>-1092727</v>
      </c>
      <c r="N112" s="11">
        <f t="shared" si="9"/>
        <v>10609</v>
      </c>
      <c r="O112" s="11">
        <f t="shared" si="9"/>
        <v>-103</v>
      </c>
      <c r="P112" s="11">
        <f t="shared" si="13"/>
        <v>0</v>
      </c>
    </row>
    <row r="113" spans="1:16" x14ac:dyDescent="0.25">
      <c r="A113" s="11">
        <f t="shared" si="12"/>
        <v>58</v>
      </c>
      <c r="B113">
        <v>-29.387884223948063</v>
      </c>
      <c r="E113" s="11">
        <f>A113-'Mastercurve bestimmen'!$B$2</f>
        <v>-102</v>
      </c>
      <c r="F113" s="11">
        <f t="shared" si="10"/>
        <v>-29.387884223948063</v>
      </c>
      <c r="G113" s="11"/>
      <c r="H113" s="11">
        <f t="shared" si="11"/>
        <v>1.1716593810022656E+16</v>
      </c>
      <c r="I113" s="11">
        <f t="shared" si="9"/>
        <v>-114868566764928</v>
      </c>
      <c r="J113" s="11">
        <f t="shared" si="9"/>
        <v>1126162419264</v>
      </c>
      <c r="K113" s="11">
        <f t="shared" si="9"/>
        <v>-11040808032</v>
      </c>
      <c r="L113" s="11">
        <f t="shared" si="9"/>
        <v>108243216</v>
      </c>
      <c r="M113" s="11">
        <f t="shared" si="9"/>
        <v>-1061208</v>
      </c>
      <c r="N113" s="11">
        <f t="shared" si="9"/>
        <v>10404</v>
      </c>
      <c r="O113" s="11">
        <f t="shared" si="9"/>
        <v>-102</v>
      </c>
      <c r="P113" s="11">
        <f t="shared" si="13"/>
        <v>0</v>
      </c>
    </row>
    <row r="114" spans="1:16" x14ac:dyDescent="0.25">
      <c r="A114" s="11">
        <f t="shared" si="12"/>
        <v>59</v>
      </c>
      <c r="B114">
        <v>-29.129747273138385</v>
      </c>
      <c r="E114" s="11">
        <f>A114-'Mastercurve bestimmen'!$B$2</f>
        <v>-101</v>
      </c>
      <c r="F114" s="11">
        <f t="shared" si="10"/>
        <v>-29.129747273138385</v>
      </c>
      <c r="G114" s="11"/>
      <c r="H114" s="11">
        <f t="shared" si="11"/>
        <v>1.08285670562808E+16</v>
      </c>
      <c r="I114" s="11">
        <f t="shared" si="9"/>
        <v>-107213535210701</v>
      </c>
      <c r="J114" s="11">
        <f t="shared" si="9"/>
        <v>1061520150601</v>
      </c>
      <c r="K114" s="11">
        <f t="shared" si="9"/>
        <v>-10510100501</v>
      </c>
      <c r="L114" s="11">
        <f t="shared" si="9"/>
        <v>104060401</v>
      </c>
      <c r="M114" s="11">
        <f t="shared" si="9"/>
        <v>-1030301</v>
      </c>
      <c r="N114" s="11">
        <f t="shared" si="9"/>
        <v>10201</v>
      </c>
      <c r="O114" s="11">
        <f t="shared" si="9"/>
        <v>-101</v>
      </c>
      <c r="P114" s="11">
        <f t="shared" si="13"/>
        <v>0</v>
      </c>
    </row>
    <row r="115" spans="1:16" x14ac:dyDescent="0.25">
      <c r="A115" s="11">
        <f t="shared" si="12"/>
        <v>60</v>
      </c>
      <c r="B115">
        <v>-28.868701582020066</v>
      </c>
      <c r="E115" s="11">
        <f>A115-'Mastercurve bestimmen'!$B$2</f>
        <v>-100</v>
      </c>
      <c r="F115" s="11">
        <f t="shared" si="10"/>
        <v>-28.868701582020066</v>
      </c>
      <c r="G115" s="11"/>
      <c r="H115" s="11">
        <f t="shared" si="11"/>
        <v>1E+16</v>
      </c>
      <c r="I115" s="11">
        <f t="shared" si="9"/>
        <v>-100000000000000</v>
      </c>
      <c r="J115" s="11">
        <f t="shared" si="9"/>
        <v>1000000000000</v>
      </c>
      <c r="K115" s="11">
        <f t="shared" si="9"/>
        <v>-10000000000</v>
      </c>
      <c r="L115" s="11">
        <f t="shared" si="9"/>
        <v>100000000</v>
      </c>
      <c r="M115" s="11">
        <f t="shared" si="9"/>
        <v>-1000000</v>
      </c>
      <c r="N115" s="11">
        <f t="shared" si="9"/>
        <v>10000</v>
      </c>
      <c r="O115" s="11">
        <f t="shared" si="9"/>
        <v>-100</v>
      </c>
      <c r="P115" s="11">
        <f t="shared" si="13"/>
        <v>0</v>
      </c>
    </row>
    <row r="116" spans="1:16" x14ac:dyDescent="0.25">
      <c r="A116" s="11">
        <f t="shared" si="12"/>
        <v>61</v>
      </c>
      <c r="B116">
        <v>-28.604476053538342</v>
      </c>
      <c r="E116" s="11">
        <f>A116-'Mastercurve bestimmen'!$B$2</f>
        <v>-99</v>
      </c>
      <c r="F116" s="11">
        <f t="shared" si="10"/>
        <v>-28.604476053538342</v>
      </c>
      <c r="G116" s="11"/>
      <c r="H116" s="11">
        <f t="shared" si="11"/>
        <v>9227446944279200</v>
      </c>
      <c r="I116" s="11">
        <f t="shared" si="9"/>
        <v>-93206534790699</v>
      </c>
      <c r="J116" s="11">
        <f t="shared" si="9"/>
        <v>941480149401</v>
      </c>
      <c r="K116" s="11">
        <f t="shared" ref="I116:O152" si="14">IF($H$12&gt;=K$14,$E116^K$14,0)</f>
        <v>-9509900499</v>
      </c>
      <c r="L116" s="11">
        <f t="shared" si="14"/>
        <v>96059601</v>
      </c>
      <c r="M116" s="11">
        <f t="shared" si="14"/>
        <v>-970299</v>
      </c>
      <c r="N116" s="11">
        <f t="shared" si="14"/>
        <v>9801</v>
      </c>
      <c r="O116" s="11">
        <f t="shared" si="14"/>
        <v>-99</v>
      </c>
      <c r="P116" s="11">
        <f t="shared" si="13"/>
        <v>0</v>
      </c>
    </row>
    <row r="117" spans="1:16" x14ac:dyDescent="0.25">
      <c r="A117" s="11">
        <f t="shared" si="12"/>
        <v>62</v>
      </c>
      <c r="B117">
        <v>-28.336799590638471</v>
      </c>
      <c r="E117" s="11">
        <f>A117-'Mastercurve bestimmen'!$B$2</f>
        <v>-98</v>
      </c>
      <c r="F117" s="11">
        <f t="shared" si="10"/>
        <v>-28.336799590638471</v>
      </c>
      <c r="G117" s="11"/>
      <c r="H117" s="11">
        <f t="shared" si="11"/>
        <v>8507630225817856</v>
      </c>
      <c r="I117" s="11">
        <f t="shared" si="14"/>
        <v>-86812553324672</v>
      </c>
      <c r="J117" s="11">
        <f t="shared" si="14"/>
        <v>885842380864</v>
      </c>
      <c r="K117" s="11">
        <f t="shared" si="14"/>
        <v>-9039207968</v>
      </c>
      <c r="L117" s="11">
        <f t="shared" si="14"/>
        <v>92236816</v>
      </c>
      <c r="M117" s="11">
        <f t="shared" si="14"/>
        <v>-941192</v>
      </c>
      <c r="N117" s="11">
        <f t="shared" si="14"/>
        <v>9604</v>
      </c>
      <c r="O117" s="11">
        <f t="shared" si="14"/>
        <v>-98</v>
      </c>
      <c r="P117" s="11">
        <f t="shared" si="13"/>
        <v>0</v>
      </c>
    </row>
    <row r="118" spans="1:16" x14ac:dyDescent="0.25">
      <c r="A118" s="11">
        <f t="shared" si="12"/>
        <v>63</v>
      </c>
      <c r="B118">
        <v>-28.065401096265688</v>
      </c>
      <c r="E118" s="11">
        <f>A118-'Mastercurve bestimmen'!$B$2</f>
        <v>-97</v>
      </c>
      <c r="F118" s="11">
        <f t="shared" si="10"/>
        <v>-28.065401096265688</v>
      </c>
      <c r="G118" s="11"/>
      <c r="H118" s="11">
        <f t="shared" si="11"/>
        <v>7837433594376961</v>
      </c>
      <c r="I118" s="11">
        <f t="shared" si="14"/>
        <v>-80798284478113</v>
      </c>
      <c r="J118" s="11">
        <f t="shared" si="14"/>
        <v>832972004929</v>
      </c>
      <c r="K118" s="11">
        <f t="shared" si="14"/>
        <v>-8587340257</v>
      </c>
      <c r="L118" s="11">
        <f t="shared" si="14"/>
        <v>88529281</v>
      </c>
      <c r="M118" s="11">
        <f t="shared" si="14"/>
        <v>-912673</v>
      </c>
      <c r="N118" s="11">
        <f t="shared" si="14"/>
        <v>9409</v>
      </c>
      <c r="O118" s="11">
        <f t="shared" si="14"/>
        <v>-97</v>
      </c>
      <c r="P118" s="11">
        <f t="shared" si="13"/>
        <v>0</v>
      </c>
    </row>
    <row r="119" spans="1:16" x14ac:dyDescent="0.25">
      <c r="A119" s="11">
        <f t="shared" si="12"/>
        <v>64</v>
      </c>
      <c r="B119">
        <v>-27.790009473365238</v>
      </c>
      <c r="E119" s="11">
        <f>A119-'Mastercurve bestimmen'!$B$2</f>
        <v>-96</v>
      </c>
      <c r="F119" s="11">
        <f t="shared" si="10"/>
        <v>-27.790009473365238</v>
      </c>
      <c r="G119" s="11"/>
      <c r="H119" s="11">
        <f t="shared" si="11"/>
        <v>7213895789838336</v>
      </c>
      <c r="I119" s="11">
        <f t="shared" si="14"/>
        <v>-75144747810816</v>
      </c>
      <c r="J119" s="11">
        <f t="shared" si="14"/>
        <v>782757789696</v>
      </c>
      <c r="K119" s="11">
        <f t="shared" si="14"/>
        <v>-8153726976</v>
      </c>
      <c r="L119" s="11">
        <f t="shared" si="14"/>
        <v>84934656</v>
      </c>
      <c r="M119" s="11">
        <f t="shared" si="14"/>
        <v>-884736</v>
      </c>
      <c r="N119" s="11">
        <f t="shared" si="14"/>
        <v>9216</v>
      </c>
      <c r="O119" s="11">
        <f t="shared" si="14"/>
        <v>-96</v>
      </c>
      <c r="P119" s="11">
        <f t="shared" si="13"/>
        <v>0</v>
      </c>
    </row>
    <row r="120" spans="1:16" x14ac:dyDescent="0.25">
      <c r="A120" s="11">
        <f t="shared" si="12"/>
        <v>65</v>
      </c>
      <c r="B120">
        <v>-27.510353624882374</v>
      </c>
      <c r="E120" s="11">
        <f>A120-'Mastercurve bestimmen'!$B$2</f>
        <v>-95</v>
      </c>
      <c r="F120" s="11">
        <f t="shared" si="10"/>
        <v>-27.510353624882374</v>
      </c>
      <c r="G120" s="11"/>
      <c r="H120" s="11">
        <f t="shared" si="11"/>
        <v>6634204312890625</v>
      </c>
      <c r="I120" s="11">
        <f t="shared" si="14"/>
        <v>-69833729609375</v>
      </c>
      <c r="J120" s="11">
        <f t="shared" si="14"/>
        <v>735091890625</v>
      </c>
      <c r="K120" s="11">
        <f t="shared" si="14"/>
        <v>-7737809375</v>
      </c>
      <c r="L120" s="11">
        <f t="shared" si="14"/>
        <v>81450625</v>
      </c>
      <c r="M120" s="11">
        <f t="shared" si="14"/>
        <v>-857375</v>
      </c>
      <c r="N120" s="11">
        <f t="shared" si="14"/>
        <v>9025</v>
      </c>
      <c r="O120" s="11">
        <f t="shared" si="14"/>
        <v>-95</v>
      </c>
      <c r="P120" s="11">
        <f t="shared" si="13"/>
        <v>0</v>
      </c>
    </row>
    <row r="121" spans="1:16" x14ac:dyDescent="0.25">
      <c r="A121" s="11">
        <f t="shared" si="12"/>
        <v>66</v>
      </c>
      <c r="B121">
        <v>-27.226162453762331</v>
      </c>
      <c r="E121" s="11">
        <f>A121-'Mastercurve bestimmen'!$B$2</f>
        <v>-94</v>
      </c>
      <c r="F121" s="11">
        <f t="shared" si="10"/>
        <v>-27.226162453762331</v>
      </c>
      <c r="G121" s="11"/>
      <c r="H121" s="11">
        <f t="shared" si="11"/>
        <v>6095689385410816</v>
      </c>
      <c r="I121" s="11">
        <f t="shared" si="14"/>
        <v>-64847759419264</v>
      </c>
      <c r="J121" s="11">
        <f t="shared" si="14"/>
        <v>689869781056</v>
      </c>
      <c r="K121" s="11">
        <f t="shared" si="14"/>
        <v>-7339040224</v>
      </c>
      <c r="L121" s="11">
        <f t="shared" si="14"/>
        <v>78074896</v>
      </c>
      <c r="M121" s="11">
        <f t="shared" si="14"/>
        <v>-830584</v>
      </c>
      <c r="N121" s="11">
        <f t="shared" si="14"/>
        <v>8836</v>
      </c>
      <c r="O121" s="11">
        <f t="shared" si="14"/>
        <v>-94</v>
      </c>
      <c r="P121" s="11">
        <f t="shared" si="13"/>
        <v>0</v>
      </c>
    </row>
    <row r="122" spans="1:16" x14ac:dyDescent="0.25">
      <c r="A122" s="11">
        <f t="shared" si="12"/>
        <v>67</v>
      </c>
      <c r="B122">
        <v>-26.937164862950358</v>
      </c>
      <c r="E122" s="11">
        <f>A122-'Mastercurve bestimmen'!$B$2</f>
        <v>-93</v>
      </c>
      <c r="F122" s="11">
        <f t="shared" si="10"/>
        <v>-26.937164862950358</v>
      </c>
      <c r="G122" s="11"/>
      <c r="H122" s="11">
        <f t="shared" si="11"/>
        <v>5595818096650401</v>
      </c>
      <c r="I122" s="11">
        <f t="shared" si="14"/>
        <v>-60170087060757</v>
      </c>
      <c r="J122" s="11">
        <f t="shared" si="14"/>
        <v>646990183449</v>
      </c>
      <c r="K122" s="11">
        <f t="shared" si="14"/>
        <v>-6956883693</v>
      </c>
      <c r="L122" s="11">
        <f t="shared" si="14"/>
        <v>74805201</v>
      </c>
      <c r="M122" s="11">
        <f t="shared" si="14"/>
        <v>-804357</v>
      </c>
      <c r="N122" s="11">
        <f t="shared" si="14"/>
        <v>8649</v>
      </c>
      <c r="O122" s="11">
        <f t="shared" si="14"/>
        <v>-93</v>
      </c>
      <c r="P122" s="11">
        <f t="shared" si="13"/>
        <v>0</v>
      </c>
    </row>
    <row r="123" spans="1:16" x14ac:dyDescent="0.25">
      <c r="A123" s="11">
        <f t="shared" si="12"/>
        <v>68</v>
      </c>
      <c r="B123">
        <v>-26.643089755391699</v>
      </c>
      <c r="E123" s="11">
        <f>A123-'Mastercurve bestimmen'!$B$2</f>
        <v>-92</v>
      </c>
      <c r="F123" s="11">
        <f t="shared" si="10"/>
        <v>-26.643089755391699</v>
      </c>
      <c r="G123" s="11"/>
      <c r="H123" s="11">
        <f t="shared" si="11"/>
        <v>5132188731375616</v>
      </c>
      <c r="I123" s="11">
        <f t="shared" si="14"/>
        <v>-55784660123648</v>
      </c>
      <c r="J123" s="11">
        <f t="shared" si="14"/>
        <v>606355001344</v>
      </c>
      <c r="K123" s="11">
        <f t="shared" si="14"/>
        <v>-6590815232</v>
      </c>
      <c r="L123" s="11">
        <f t="shared" si="14"/>
        <v>71639296</v>
      </c>
      <c r="M123" s="11">
        <f t="shared" si="14"/>
        <v>-778688</v>
      </c>
      <c r="N123" s="11">
        <f t="shared" si="14"/>
        <v>8464</v>
      </c>
      <c r="O123" s="11">
        <f t="shared" si="14"/>
        <v>-92</v>
      </c>
      <c r="P123" s="11">
        <f t="shared" si="13"/>
        <v>0</v>
      </c>
    </row>
    <row r="124" spans="1:16" x14ac:dyDescent="0.25">
      <c r="A124" s="11">
        <f t="shared" si="12"/>
        <v>69</v>
      </c>
      <c r="B124">
        <v>-26.343666034031607</v>
      </c>
      <c r="E124" s="11">
        <f>A124-'Mastercurve bestimmen'!$B$2</f>
        <v>-91</v>
      </c>
      <c r="F124" s="11">
        <f t="shared" si="10"/>
        <v>-26.343666034031607</v>
      </c>
      <c r="G124" s="11"/>
      <c r="H124" s="11">
        <f t="shared" si="11"/>
        <v>4702525276151521</v>
      </c>
      <c r="I124" s="11">
        <f t="shared" si="14"/>
        <v>-51676101935731</v>
      </c>
      <c r="J124" s="11">
        <f t="shared" si="14"/>
        <v>567869252041</v>
      </c>
      <c r="K124" s="11">
        <f t="shared" si="14"/>
        <v>-6240321451</v>
      </c>
      <c r="L124" s="11">
        <f t="shared" si="14"/>
        <v>68574961</v>
      </c>
      <c r="M124" s="11">
        <f t="shared" si="14"/>
        <v>-753571</v>
      </c>
      <c r="N124" s="11">
        <f t="shared" si="14"/>
        <v>8281</v>
      </c>
      <c r="O124" s="11">
        <f t="shared" si="14"/>
        <v>-91</v>
      </c>
      <c r="P124" s="11">
        <f t="shared" si="13"/>
        <v>0</v>
      </c>
    </row>
    <row r="125" spans="1:16" x14ac:dyDescent="0.25">
      <c r="A125" s="11">
        <f t="shared" si="12"/>
        <v>70</v>
      </c>
      <c r="B125">
        <v>-26.038622601815309</v>
      </c>
      <c r="E125" s="11">
        <f>A125-'Mastercurve bestimmen'!$B$2</f>
        <v>-90</v>
      </c>
      <c r="F125" s="11">
        <f t="shared" si="10"/>
        <v>-26.038622601815309</v>
      </c>
      <c r="G125" s="11"/>
      <c r="H125" s="11">
        <f t="shared" si="11"/>
        <v>4304672100000000</v>
      </c>
      <c r="I125" s="11">
        <f t="shared" si="14"/>
        <v>-47829690000000</v>
      </c>
      <c r="J125" s="11">
        <f t="shared" si="14"/>
        <v>531441000000</v>
      </c>
      <c r="K125" s="11">
        <f t="shared" si="14"/>
        <v>-5904900000</v>
      </c>
      <c r="L125" s="11">
        <f t="shared" si="14"/>
        <v>65610000</v>
      </c>
      <c r="M125" s="11">
        <f t="shared" si="14"/>
        <v>-729000</v>
      </c>
      <c r="N125" s="11">
        <f t="shared" si="14"/>
        <v>8100</v>
      </c>
      <c r="O125" s="11">
        <f t="shared" si="14"/>
        <v>-90</v>
      </c>
      <c r="P125" s="11">
        <f t="shared" si="13"/>
        <v>0</v>
      </c>
    </row>
    <row r="126" spans="1:16" x14ac:dyDescent="0.25">
      <c r="A126" s="11">
        <f t="shared" si="12"/>
        <v>71</v>
      </c>
      <c r="B126">
        <v>-25.727688361688067</v>
      </c>
      <c r="E126" s="11">
        <f>A126-'Mastercurve bestimmen'!$B$2</f>
        <v>-89</v>
      </c>
      <c r="F126" s="11">
        <f t="shared" si="10"/>
        <v>-25.727688361688067</v>
      </c>
      <c r="G126" s="11"/>
      <c r="H126" s="11">
        <f t="shared" si="11"/>
        <v>3936588805702081</v>
      </c>
      <c r="I126" s="11">
        <f t="shared" si="14"/>
        <v>-44231334895529</v>
      </c>
      <c r="J126" s="11">
        <f t="shared" si="14"/>
        <v>496981290961</v>
      </c>
      <c r="K126" s="11">
        <f t="shared" si="14"/>
        <v>-5584059449</v>
      </c>
      <c r="L126" s="11">
        <f t="shared" si="14"/>
        <v>62742241</v>
      </c>
      <c r="M126" s="11">
        <f t="shared" si="14"/>
        <v>-704969</v>
      </c>
      <c r="N126" s="11">
        <f t="shared" si="14"/>
        <v>7921</v>
      </c>
      <c r="O126" s="11">
        <f t="shared" si="14"/>
        <v>-89</v>
      </c>
      <c r="P126" s="11">
        <f t="shared" si="13"/>
        <v>0</v>
      </c>
    </row>
    <row r="127" spans="1:16" x14ac:dyDescent="0.25">
      <c r="A127" s="11">
        <f t="shared" si="12"/>
        <v>72</v>
      </c>
      <c r="B127">
        <v>-25.410592216595109</v>
      </c>
      <c r="E127" s="11">
        <f>A127-'Mastercurve bestimmen'!$B$2</f>
        <v>-88</v>
      </c>
      <c r="F127" s="11">
        <f t="shared" si="10"/>
        <v>-25.410592216595109</v>
      </c>
      <c r="G127" s="11"/>
      <c r="H127" s="11">
        <f t="shared" si="11"/>
        <v>3596345248055296</v>
      </c>
      <c r="I127" s="11">
        <f t="shared" si="14"/>
        <v>-40867559636992</v>
      </c>
      <c r="J127" s="11">
        <f t="shared" si="14"/>
        <v>464404086784</v>
      </c>
      <c r="K127" s="11">
        <f t="shared" si="14"/>
        <v>-5277319168</v>
      </c>
      <c r="L127" s="11">
        <f t="shared" si="14"/>
        <v>59969536</v>
      </c>
      <c r="M127" s="11">
        <f t="shared" si="14"/>
        <v>-681472</v>
      </c>
      <c r="N127" s="11">
        <f t="shared" si="14"/>
        <v>7744</v>
      </c>
      <c r="O127" s="11">
        <f t="shared" si="14"/>
        <v>-88</v>
      </c>
      <c r="P127" s="11">
        <f t="shared" si="13"/>
        <v>0</v>
      </c>
    </row>
    <row r="128" spans="1:16" x14ac:dyDescent="0.25">
      <c r="A128" s="11">
        <f t="shared" si="12"/>
        <v>73</v>
      </c>
      <c r="B128">
        <v>-25.087063069481697</v>
      </c>
      <c r="E128" s="11">
        <f>A128-'Mastercurve bestimmen'!$B$2</f>
        <v>-87</v>
      </c>
      <c r="F128" s="11">
        <f t="shared" si="10"/>
        <v>-25.087063069481697</v>
      </c>
      <c r="G128" s="11"/>
      <c r="H128" s="11">
        <f t="shared" si="11"/>
        <v>3282116715437121</v>
      </c>
      <c r="I128" s="11">
        <f t="shared" si="14"/>
        <v>-37725479487783</v>
      </c>
      <c r="J128" s="11">
        <f t="shared" si="14"/>
        <v>433626201009</v>
      </c>
      <c r="K128" s="11">
        <f t="shared" si="14"/>
        <v>-4984209207</v>
      </c>
      <c r="L128" s="11">
        <f t="shared" si="14"/>
        <v>57289761</v>
      </c>
      <c r="M128" s="11">
        <f t="shared" si="14"/>
        <v>-658503</v>
      </c>
      <c r="N128" s="11">
        <f t="shared" si="14"/>
        <v>7569</v>
      </c>
      <c r="O128" s="11">
        <f t="shared" si="14"/>
        <v>-87</v>
      </c>
      <c r="P128" s="11">
        <f t="shared" si="13"/>
        <v>0</v>
      </c>
    </row>
    <row r="129" spans="1:16" x14ac:dyDescent="0.25">
      <c r="A129" s="11">
        <f t="shared" si="12"/>
        <v>74</v>
      </c>
      <c r="B129">
        <v>-24.756829823293067</v>
      </c>
      <c r="E129" s="11">
        <f>A129-'Mastercurve bestimmen'!$B$2</f>
        <v>-86</v>
      </c>
      <c r="F129" s="11">
        <f t="shared" si="10"/>
        <v>-24.756829823293067</v>
      </c>
      <c r="G129" s="11"/>
      <c r="H129" s="11">
        <f t="shared" si="11"/>
        <v>2992179271065856</v>
      </c>
      <c r="I129" s="11">
        <f t="shared" si="14"/>
        <v>-34792782221696</v>
      </c>
      <c r="J129" s="11">
        <f t="shared" si="14"/>
        <v>404567235136</v>
      </c>
      <c r="K129" s="11">
        <f t="shared" si="14"/>
        <v>-4704270176</v>
      </c>
      <c r="L129" s="11">
        <f t="shared" si="14"/>
        <v>54700816</v>
      </c>
      <c r="M129" s="11">
        <f t="shared" si="14"/>
        <v>-636056</v>
      </c>
      <c r="N129" s="11">
        <f t="shared" si="14"/>
        <v>7396</v>
      </c>
      <c r="O129" s="11">
        <f t="shared" si="14"/>
        <v>-86</v>
      </c>
      <c r="P129" s="11">
        <f t="shared" si="13"/>
        <v>0</v>
      </c>
    </row>
    <row r="130" spans="1:16" x14ac:dyDescent="0.25">
      <c r="A130" s="11">
        <f t="shared" si="12"/>
        <v>75</v>
      </c>
      <c r="B130">
        <v>-24.419621380974462</v>
      </c>
      <c r="E130" s="11">
        <f>A130-'Mastercurve bestimmen'!$B$2</f>
        <v>-85</v>
      </c>
      <c r="F130" s="11">
        <f t="shared" si="10"/>
        <v>-24.419621380974462</v>
      </c>
      <c r="G130" s="11"/>
      <c r="H130" s="11">
        <f t="shared" si="11"/>
        <v>2724905250390625</v>
      </c>
      <c r="I130" s="11">
        <f t="shared" si="14"/>
        <v>-32057708828125</v>
      </c>
      <c r="J130" s="11">
        <f t="shared" si="14"/>
        <v>377149515625</v>
      </c>
      <c r="K130" s="11">
        <f t="shared" si="14"/>
        <v>-4437053125</v>
      </c>
      <c r="L130" s="11">
        <f t="shared" si="14"/>
        <v>52200625</v>
      </c>
      <c r="M130" s="11">
        <f t="shared" si="14"/>
        <v>-614125</v>
      </c>
      <c r="N130" s="11">
        <f t="shared" si="14"/>
        <v>7225</v>
      </c>
      <c r="O130" s="11">
        <f t="shared" si="14"/>
        <v>-85</v>
      </c>
      <c r="P130" s="11">
        <f t="shared" si="13"/>
        <v>0</v>
      </c>
    </row>
    <row r="131" spans="1:16" x14ac:dyDescent="0.25">
      <c r="A131" s="11">
        <f t="shared" si="12"/>
        <v>76</v>
      </c>
      <c r="B131">
        <v>-24.075166645471135</v>
      </c>
      <c r="E131" s="11">
        <f>A131-'Mastercurve bestimmen'!$B$2</f>
        <v>-84</v>
      </c>
      <c r="F131" s="11">
        <f t="shared" si="10"/>
        <v>-24.075166645471135</v>
      </c>
      <c r="G131" s="11"/>
      <c r="H131" s="11">
        <f t="shared" si="11"/>
        <v>2478758911082496</v>
      </c>
      <c r="I131" s="11">
        <f t="shared" si="14"/>
        <v>-29509034655744</v>
      </c>
      <c r="J131" s="11">
        <f t="shared" si="14"/>
        <v>351298031616</v>
      </c>
      <c r="K131" s="11">
        <f t="shared" si="14"/>
        <v>-4182119424</v>
      </c>
      <c r="L131" s="11">
        <f t="shared" si="14"/>
        <v>49787136</v>
      </c>
      <c r="M131" s="11">
        <f t="shared" si="14"/>
        <v>-592704</v>
      </c>
      <c r="N131" s="11">
        <f t="shared" si="14"/>
        <v>7056</v>
      </c>
      <c r="O131" s="11">
        <f t="shared" si="14"/>
        <v>-84</v>
      </c>
      <c r="P131" s="11">
        <f t="shared" si="13"/>
        <v>0</v>
      </c>
    </row>
    <row r="132" spans="1:16" x14ac:dyDescent="0.25">
      <c r="A132" s="11">
        <f t="shared" si="12"/>
        <v>77</v>
      </c>
      <c r="B132">
        <v>-23.72319451972832</v>
      </c>
      <c r="E132" s="11">
        <f>A132-'Mastercurve bestimmen'!$B$2</f>
        <v>-83</v>
      </c>
      <c r="F132" s="11">
        <f t="shared" si="10"/>
        <v>-23.72319451972832</v>
      </c>
      <c r="G132" s="11"/>
      <c r="H132" s="11">
        <f t="shared" si="11"/>
        <v>2252292232139041</v>
      </c>
      <c r="I132" s="11">
        <f t="shared" si="14"/>
        <v>-27136050989627</v>
      </c>
      <c r="J132" s="11">
        <f t="shared" si="14"/>
        <v>326940373369</v>
      </c>
      <c r="K132" s="11">
        <f t="shared" si="14"/>
        <v>-3939040643</v>
      </c>
      <c r="L132" s="11">
        <f t="shared" si="14"/>
        <v>47458321</v>
      </c>
      <c r="M132" s="11">
        <f t="shared" si="14"/>
        <v>-571787</v>
      </c>
      <c r="N132" s="11">
        <f t="shared" si="14"/>
        <v>6889</v>
      </c>
      <c r="O132" s="11">
        <f t="shared" si="14"/>
        <v>-83</v>
      </c>
      <c r="P132" s="11">
        <f t="shared" si="13"/>
        <v>0</v>
      </c>
    </row>
    <row r="133" spans="1:16" x14ac:dyDescent="0.25">
      <c r="A133" s="11">
        <f t="shared" si="12"/>
        <v>78</v>
      </c>
      <c r="B133">
        <v>-23.363433906691267</v>
      </c>
      <c r="E133" s="11">
        <f>A133-'Mastercurve bestimmen'!$B$2</f>
        <v>-82</v>
      </c>
      <c r="F133" s="11">
        <f t="shared" si="10"/>
        <v>-23.363433906691267</v>
      </c>
      <c r="G133" s="11"/>
      <c r="H133" s="11">
        <f t="shared" si="11"/>
        <v>2044140858654976</v>
      </c>
      <c r="I133" s="11">
        <f t="shared" si="14"/>
        <v>-24928547056768</v>
      </c>
      <c r="J133" s="11">
        <f t="shared" si="14"/>
        <v>304006671424</v>
      </c>
      <c r="K133" s="11">
        <f t="shared" si="14"/>
        <v>-3707398432</v>
      </c>
      <c r="L133" s="11">
        <f t="shared" si="14"/>
        <v>45212176</v>
      </c>
      <c r="M133" s="11">
        <f t="shared" si="14"/>
        <v>-551368</v>
      </c>
      <c r="N133" s="11">
        <f t="shared" si="14"/>
        <v>6724</v>
      </c>
      <c r="O133" s="11">
        <f t="shared" si="14"/>
        <v>-82</v>
      </c>
      <c r="P133" s="11">
        <f t="shared" si="13"/>
        <v>0</v>
      </c>
    </row>
    <row r="134" spans="1:16" x14ac:dyDescent="0.25">
      <c r="A134" s="11">
        <f t="shared" si="12"/>
        <v>79</v>
      </c>
      <c r="B134">
        <v>-22.995613709305225</v>
      </c>
      <c r="E134" s="11">
        <f>A134-'Mastercurve bestimmen'!$B$2</f>
        <v>-81</v>
      </c>
      <c r="F134" s="11">
        <f t="shared" si="10"/>
        <v>-22.995613709305225</v>
      </c>
      <c r="G134" s="11"/>
      <c r="H134" s="11">
        <f t="shared" si="11"/>
        <v>1853020188851841</v>
      </c>
      <c r="I134" s="11">
        <f t="shared" si="14"/>
        <v>-22876792454961</v>
      </c>
      <c r="J134" s="11">
        <f t="shared" si="14"/>
        <v>282429536481</v>
      </c>
      <c r="K134" s="11">
        <f t="shared" si="14"/>
        <v>-3486784401</v>
      </c>
      <c r="L134" s="11">
        <f t="shared" si="14"/>
        <v>43046721</v>
      </c>
      <c r="M134" s="11">
        <f t="shared" si="14"/>
        <v>-531441</v>
      </c>
      <c r="N134" s="11">
        <f t="shared" si="14"/>
        <v>6561</v>
      </c>
      <c r="O134" s="11">
        <f t="shared" si="14"/>
        <v>-81</v>
      </c>
      <c r="P134" s="11">
        <f t="shared" si="13"/>
        <v>0</v>
      </c>
    </row>
    <row r="135" spans="1:16" x14ac:dyDescent="0.25">
      <c r="A135" s="11">
        <f t="shared" si="12"/>
        <v>80</v>
      </c>
      <c r="B135">
        <v>-22.619462830515431</v>
      </c>
      <c r="E135" s="11">
        <f>A135-'Mastercurve bestimmen'!$B$2</f>
        <v>-80</v>
      </c>
      <c r="F135" s="11">
        <f t="shared" si="10"/>
        <v>-22.619462830515431</v>
      </c>
      <c r="G135" s="11"/>
      <c r="H135" s="11">
        <f t="shared" si="11"/>
        <v>1677721600000000</v>
      </c>
      <c r="I135" s="11">
        <f t="shared" si="14"/>
        <v>-20971520000000</v>
      </c>
      <c r="J135" s="11">
        <f t="shared" si="14"/>
        <v>262144000000</v>
      </c>
      <c r="K135" s="11">
        <f t="shared" si="14"/>
        <v>-3276800000</v>
      </c>
      <c r="L135" s="11">
        <f t="shared" si="14"/>
        <v>40960000</v>
      </c>
      <c r="M135" s="11">
        <f t="shared" si="14"/>
        <v>-512000</v>
      </c>
      <c r="N135" s="11">
        <f t="shared" si="14"/>
        <v>6400</v>
      </c>
      <c r="O135" s="11">
        <f t="shared" si="14"/>
        <v>-80</v>
      </c>
      <c r="P135" s="11">
        <f t="shared" si="13"/>
        <v>0</v>
      </c>
    </row>
    <row r="136" spans="1:16" x14ac:dyDescent="0.25">
      <c r="A136" s="11">
        <f t="shared" si="12"/>
        <v>81</v>
      </c>
      <c r="B136">
        <v>-22.234836473400939</v>
      </c>
      <c r="E136" s="11">
        <f>A136-'Mastercurve bestimmen'!$B$2</f>
        <v>-79</v>
      </c>
      <c r="F136" s="11">
        <f t="shared" si="10"/>
        <v>-22.234836473400939</v>
      </c>
      <c r="G136" s="11"/>
      <c r="H136" s="11">
        <f t="shared" si="11"/>
        <v>1517108809906561</v>
      </c>
      <c r="I136" s="11">
        <f t="shared" si="14"/>
        <v>-19203908986159</v>
      </c>
      <c r="J136" s="11">
        <f t="shared" si="14"/>
        <v>243087455521</v>
      </c>
      <c r="K136" s="11">
        <f t="shared" si="14"/>
        <v>-3077056399</v>
      </c>
      <c r="L136" s="11">
        <f t="shared" si="14"/>
        <v>38950081</v>
      </c>
      <c r="M136" s="11">
        <f t="shared" si="14"/>
        <v>-493039</v>
      </c>
      <c r="N136" s="11">
        <f t="shared" si="14"/>
        <v>6241</v>
      </c>
      <c r="O136" s="11">
        <f t="shared" si="14"/>
        <v>-79</v>
      </c>
      <c r="P136" s="11">
        <f t="shared" si="13"/>
        <v>0</v>
      </c>
    </row>
    <row r="137" spans="1:16" x14ac:dyDescent="0.25">
      <c r="A137" s="11">
        <f t="shared" si="12"/>
        <v>82</v>
      </c>
      <c r="B137">
        <v>-21.842095041575991</v>
      </c>
      <c r="E137" s="11">
        <f>A137-'Mastercurve bestimmen'!$B$2</f>
        <v>-78</v>
      </c>
      <c r="F137" s="11">
        <f t="shared" si="10"/>
        <v>-21.842095041575991</v>
      </c>
      <c r="G137" s="11"/>
      <c r="H137" s="11">
        <f t="shared" si="11"/>
        <v>1370114370683136</v>
      </c>
      <c r="I137" s="11">
        <f t="shared" si="14"/>
        <v>-17565568854912</v>
      </c>
      <c r="J137" s="11">
        <f t="shared" si="14"/>
        <v>225199600704</v>
      </c>
      <c r="K137" s="11">
        <f t="shared" si="14"/>
        <v>-2887174368</v>
      </c>
      <c r="L137" s="11">
        <f t="shared" si="14"/>
        <v>37015056</v>
      </c>
      <c r="M137" s="11">
        <f t="shared" si="14"/>
        <v>-474552</v>
      </c>
      <c r="N137" s="11">
        <f t="shared" si="14"/>
        <v>6084</v>
      </c>
      <c r="O137" s="11">
        <f t="shared" si="14"/>
        <v>-78</v>
      </c>
      <c r="P137" s="11">
        <f t="shared" si="13"/>
        <v>0</v>
      </c>
    </row>
    <row r="138" spans="1:16" x14ac:dyDescent="0.25">
      <c r="A138" s="11">
        <f t="shared" si="12"/>
        <v>83</v>
      </c>
      <c r="B138">
        <v>-21.441725238788639</v>
      </c>
      <c r="E138" s="11">
        <f>A138-'Mastercurve bestimmen'!$B$2</f>
        <v>-77</v>
      </c>
      <c r="F138" s="11">
        <f t="shared" si="10"/>
        <v>-21.441725238788639</v>
      </c>
      <c r="G138" s="11"/>
      <c r="H138" s="11">
        <f t="shared" si="11"/>
        <v>1235736291547681</v>
      </c>
      <c r="I138" s="11">
        <f t="shared" si="14"/>
        <v>-16048523266853</v>
      </c>
      <c r="J138" s="11">
        <f t="shared" si="14"/>
        <v>208422380089</v>
      </c>
      <c r="K138" s="11">
        <f t="shared" si="14"/>
        <v>-2706784157</v>
      </c>
      <c r="L138" s="11">
        <f t="shared" si="14"/>
        <v>35153041</v>
      </c>
      <c r="M138" s="11">
        <f t="shared" si="14"/>
        <v>-456533</v>
      </c>
      <c r="N138" s="11">
        <f t="shared" si="14"/>
        <v>5929</v>
      </c>
      <c r="O138" s="11">
        <f t="shared" si="14"/>
        <v>-77</v>
      </c>
      <c r="P138" s="11">
        <f t="shared" si="13"/>
        <v>0</v>
      </c>
    </row>
    <row r="139" spans="1:16" x14ac:dyDescent="0.25">
      <c r="A139" s="11">
        <f t="shared" si="12"/>
        <v>84</v>
      </c>
      <c r="B139">
        <v>-21.034213768786937</v>
      </c>
      <c r="E139" s="11">
        <f>A139-'Mastercurve bestimmen'!$B$2</f>
        <v>-76</v>
      </c>
      <c r="F139" s="11">
        <f t="shared" si="10"/>
        <v>-21.034213768786937</v>
      </c>
      <c r="G139" s="11"/>
      <c r="H139" s="11">
        <f t="shared" si="11"/>
        <v>1113034787454976</v>
      </c>
      <c r="I139" s="11">
        <f t="shared" si="14"/>
        <v>-14645194571776</v>
      </c>
      <c r="J139" s="11">
        <f t="shared" si="14"/>
        <v>192699928576</v>
      </c>
      <c r="K139" s="11">
        <f t="shared" si="14"/>
        <v>-2535525376</v>
      </c>
      <c r="L139" s="11">
        <f t="shared" si="14"/>
        <v>33362176</v>
      </c>
      <c r="M139" s="11">
        <f t="shared" si="14"/>
        <v>-438976</v>
      </c>
      <c r="N139" s="11">
        <f t="shared" si="14"/>
        <v>5776</v>
      </c>
      <c r="O139" s="11">
        <f t="shared" si="14"/>
        <v>-76</v>
      </c>
      <c r="P139" s="11">
        <f t="shared" si="13"/>
        <v>0</v>
      </c>
    </row>
    <row r="140" spans="1:16" x14ac:dyDescent="0.25">
      <c r="A140" s="11">
        <f t="shared" si="12"/>
        <v>85</v>
      </c>
      <c r="B140">
        <v>-20.620047335318944</v>
      </c>
      <c r="E140" s="11">
        <f>A140-'Mastercurve bestimmen'!$B$2</f>
        <v>-75</v>
      </c>
      <c r="F140" s="11">
        <f t="shared" si="10"/>
        <v>-20.620047335318944</v>
      </c>
      <c r="G140" s="11"/>
      <c r="H140" s="11">
        <f t="shared" si="11"/>
        <v>1001129150390625</v>
      </c>
      <c r="I140" s="11">
        <f t="shared" si="14"/>
        <v>-13348388671875</v>
      </c>
      <c r="J140" s="11">
        <f t="shared" si="14"/>
        <v>177978515625</v>
      </c>
      <c r="K140" s="11">
        <f t="shared" si="14"/>
        <v>-2373046875</v>
      </c>
      <c r="L140" s="11">
        <f t="shared" si="14"/>
        <v>31640625</v>
      </c>
      <c r="M140" s="11">
        <f t="shared" si="14"/>
        <v>-421875</v>
      </c>
      <c r="N140" s="11">
        <f t="shared" si="14"/>
        <v>5625</v>
      </c>
      <c r="O140" s="11">
        <f t="shared" si="14"/>
        <v>-75</v>
      </c>
      <c r="P140" s="11">
        <f t="shared" si="13"/>
        <v>0</v>
      </c>
    </row>
    <row r="141" spans="1:16" x14ac:dyDescent="0.25">
      <c r="A141" s="11">
        <f t="shared" si="12"/>
        <v>86</v>
      </c>
      <c r="B141">
        <v>-20.199712642132699</v>
      </c>
      <c r="E141" s="11">
        <f>A141-'Mastercurve bestimmen'!$B$2</f>
        <v>-74</v>
      </c>
      <c r="F141" s="11">
        <f t="shared" si="10"/>
        <v>-20.199712642132699</v>
      </c>
      <c r="G141" s="11"/>
      <c r="H141" s="11">
        <f t="shared" si="11"/>
        <v>899194740203776</v>
      </c>
      <c r="I141" s="11">
        <f t="shared" si="14"/>
        <v>-12151280273024</v>
      </c>
      <c r="J141" s="11">
        <f t="shared" si="14"/>
        <v>164206490176</v>
      </c>
      <c r="K141" s="11">
        <f t="shared" si="14"/>
        <v>-2219006624</v>
      </c>
      <c r="L141" s="11">
        <f t="shared" si="14"/>
        <v>29986576</v>
      </c>
      <c r="M141" s="11">
        <f t="shared" si="14"/>
        <v>-405224</v>
      </c>
      <c r="N141" s="11">
        <f t="shared" si="14"/>
        <v>5476</v>
      </c>
      <c r="O141" s="11">
        <f t="shared" si="14"/>
        <v>-74</v>
      </c>
      <c r="P141" s="11">
        <f t="shared" si="13"/>
        <v>0</v>
      </c>
    </row>
    <row r="142" spans="1:16" x14ac:dyDescent="0.25">
      <c r="A142" s="11">
        <f t="shared" si="12"/>
        <v>87</v>
      </c>
      <c r="B142">
        <v>-19.773696392976259</v>
      </c>
      <c r="E142" s="11">
        <f>A142-'Mastercurve bestimmen'!$B$2</f>
        <v>-73</v>
      </c>
      <c r="F142" s="11">
        <f t="shared" si="10"/>
        <v>-19.773696392976259</v>
      </c>
      <c r="G142" s="11"/>
      <c r="H142" s="11">
        <f t="shared" si="11"/>
        <v>806460091894081</v>
      </c>
      <c r="I142" s="11">
        <f t="shared" si="14"/>
        <v>-11047398519097</v>
      </c>
      <c r="J142" s="11">
        <f t="shared" si="14"/>
        <v>151334226289</v>
      </c>
      <c r="K142" s="11">
        <f t="shared" si="14"/>
        <v>-2073071593</v>
      </c>
      <c r="L142" s="11">
        <f t="shared" si="14"/>
        <v>28398241</v>
      </c>
      <c r="M142" s="11">
        <f t="shared" si="14"/>
        <v>-389017</v>
      </c>
      <c r="N142" s="11">
        <f t="shared" si="14"/>
        <v>5329</v>
      </c>
      <c r="O142" s="11">
        <f t="shared" si="14"/>
        <v>-73</v>
      </c>
      <c r="P142" s="11">
        <f t="shared" si="13"/>
        <v>0</v>
      </c>
    </row>
    <row r="143" spans="1:16" x14ac:dyDescent="0.25">
      <c r="A143" s="11">
        <f t="shared" si="12"/>
        <v>88</v>
      </c>
      <c r="B143">
        <v>-19.342485291597676</v>
      </c>
      <c r="E143" s="11">
        <f>A143-'Mastercurve bestimmen'!$B$2</f>
        <v>-72</v>
      </c>
      <c r="F143" s="11">
        <f t="shared" si="10"/>
        <v>-19.342485291597676</v>
      </c>
      <c r="G143" s="11"/>
      <c r="H143" s="11">
        <f t="shared" si="11"/>
        <v>722204136308736</v>
      </c>
      <c r="I143" s="11">
        <f t="shared" si="14"/>
        <v>-10030613004288</v>
      </c>
      <c r="J143" s="11">
        <f t="shared" si="14"/>
        <v>139314069504</v>
      </c>
      <c r="K143" s="11">
        <f t="shared" si="14"/>
        <v>-1934917632</v>
      </c>
      <c r="L143" s="11">
        <f t="shared" si="14"/>
        <v>26873856</v>
      </c>
      <c r="M143" s="11">
        <f t="shared" si="14"/>
        <v>-373248</v>
      </c>
      <c r="N143" s="11">
        <f t="shared" si="14"/>
        <v>5184</v>
      </c>
      <c r="O143" s="11">
        <f t="shared" si="14"/>
        <v>-72</v>
      </c>
      <c r="P143" s="11">
        <f t="shared" si="13"/>
        <v>0</v>
      </c>
    </row>
    <row r="144" spans="1:16" x14ac:dyDescent="0.25">
      <c r="A144" s="11">
        <f t="shared" si="12"/>
        <v>89</v>
      </c>
      <c r="B144">
        <v>-18.906566041744995</v>
      </c>
      <c r="E144" s="11">
        <f>A144-'Mastercurve bestimmen'!$B$2</f>
        <v>-71</v>
      </c>
      <c r="F144" s="11">
        <f t="shared" ref="F144:F207" si="15">B144</f>
        <v>-18.906566041744995</v>
      </c>
      <c r="G144" s="11"/>
      <c r="H144" s="11">
        <f t="shared" ref="H144:H207" si="16">IF($H$12&gt;=H$14,$E144^H$14,0)</f>
        <v>645753531245761</v>
      </c>
      <c r="I144" s="11">
        <f t="shared" si="14"/>
        <v>-9095120158391</v>
      </c>
      <c r="J144" s="11">
        <f t="shared" si="14"/>
        <v>128100283921</v>
      </c>
      <c r="K144" s="11">
        <f t="shared" si="14"/>
        <v>-1804229351</v>
      </c>
      <c r="L144" s="11">
        <f t="shared" si="14"/>
        <v>25411681</v>
      </c>
      <c r="M144" s="11">
        <f t="shared" si="14"/>
        <v>-357911</v>
      </c>
      <c r="N144" s="11">
        <f t="shared" si="14"/>
        <v>5041</v>
      </c>
      <c r="O144" s="11">
        <f t="shared" si="14"/>
        <v>-71</v>
      </c>
      <c r="P144" s="11">
        <f t="shared" si="13"/>
        <v>0</v>
      </c>
    </row>
    <row r="145" spans="1:16" x14ac:dyDescent="0.25">
      <c r="A145" s="11">
        <f t="shared" ref="A145:A208" si="17">A144+1</f>
        <v>90</v>
      </c>
      <c r="B145">
        <v>-18.466425347166279</v>
      </c>
      <c r="E145" s="11">
        <f>A145-'Mastercurve bestimmen'!$B$2</f>
        <v>-70</v>
      </c>
      <c r="F145" s="11">
        <f t="shared" si="15"/>
        <v>-18.466425347166279</v>
      </c>
      <c r="G145" s="11"/>
      <c r="H145" s="11">
        <f t="shared" si="16"/>
        <v>576480100000000</v>
      </c>
      <c r="I145" s="11">
        <f t="shared" si="14"/>
        <v>-8235430000000</v>
      </c>
      <c r="J145" s="11">
        <f t="shared" si="14"/>
        <v>117649000000</v>
      </c>
      <c r="K145" s="11">
        <f t="shared" si="14"/>
        <v>-1680700000</v>
      </c>
      <c r="L145" s="11">
        <f t="shared" si="14"/>
        <v>24010000</v>
      </c>
      <c r="M145" s="11">
        <f t="shared" si="14"/>
        <v>-343000</v>
      </c>
      <c r="N145" s="11">
        <f t="shared" si="14"/>
        <v>4900</v>
      </c>
      <c r="O145" s="11">
        <f t="shared" si="14"/>
        <v>-70</v>
      </c>
      <c r="P145" s="11">
        <f t="shared" ref="P145:P208" si="18">P144</f>
        <v>0</v>
      </c>
    </row>
    <row r="146" spans="1:16" x14ac:dyDescent="0.25">
      <c r="A146" s="11">
        <f t="shared" si="17"/>
        <v>91</v>
      </c>
      <c r="B146">
        <v>-18.02254991160957</v>
      </c>
      <c r="E146" s="11">
        <f>A146-'Mastercurve bestimmen'!$B$2</f>
        <v>-69</v>
      </c>
      <c r="F146" s="11">
        <f t="shared" si="15"/>
        <v>-18.02254991160957</v>
      </c>
      <c r="G146" s="11"/>
      <c r="H146" s="11">
        <f t="shared" si="16"/>
        <v>513798374428641</v>
      </c>
      <c r="I146" s="11">
        <f t="shared" si="14"/>
        <v>-7446353252589</v>
      </c>
      <c r="J146" s="11">
        <f t="shared" si="14"/>
        <v>107918163081</v>
      </c>
      <c r="K146" s="11">
        <f t="shared" si="14"/>
        <v>-1564031349</v>
      </c>
      <c r="L146" s="11">
        <f t="shared" si="14"/>
        <v>22667121</v>
      </c>
      <c r="M146" s="11">
        <f t="shared" si="14"/>
        <v>-328509</v>
      </c>
      <c r="N146" s="11">
        <f t="shared" si="14"/>
        <v>4761</v>
      </c>
      <c r="O146" s="11">
        <f t="shared" si="14"/>
        <v>-69</v>
      </c>
      <c r="P146" s="11">
        <f t="shared" si="18"/>
        <v>0</v>
      </c>
    </row>
    <row r="147" spans="1:16" x14ac:dyDescent="0.25">
      <c r="A147" s="11">
        <f t="shared" si="17"/>
        <v>92</v>
      </c>
      <c r="B147">
        <v>-17.57542643882292</v>
      </c>
      <c r="E147" s="11">
        <f>A147-'Mastercurve bestimmen'!$B$2</f>
        <v>-68</v>
      </c>
      <c r="F147" s="11">
        <f t="shared" si="15"/>
        <v>-17.57542643882292</v>
      </c>
      <c r="G147" s="11"/>
      <c r="H147" s="11">
        <f t="shared" si="16"/>
        <v>457163239653376</v>
      </c>
      <c r="I147" s="11">
        <f t="shared" si="14"/>
        <v>-6722988818432</v>
      </c>
      <c r="J147" s="11">
        <f t="shared" si="14"/>
        <v>98867482624</v>
      </c>
      <c r="K147" s="11">
        <f t="shared" si="14"/>
        <v>-1453933568</v>
      </c>
      <c r="L147" s="11">
        <f t="shared" si="14"/>
        <v>21381376</v>
      </c>
      <c r="M147" s="11">
        <f t="shared" si="14"/>
        <v>-314432</v>
      </c>
      <c r="N147" s="11">
        <f t="shared" si="14"/>
        <v>4624</v>
      </c>
      <c r="O147" s="11">
        <f t="shared" si="14"/>
        <v>-68</v>
      </c>
      <c r="P147" s="11">
        <f t="shared" si="18"/>
        <v>0</v>
      </c>
    </row>
    <row r="148" spans="1:16" x14ac:dyDescent="0.25">
      <c r="A148" s="11">
        <f t="shared" si="17"/>
        <v>93</v>
      </c>
      <c r="B148">
        <v>-17.125541632554388</v>
      </c>
      <c r="E148" s="11">
        <f>A148-'Mastercurve bestimmen'!$B$2</f>
        <v>-67</v>
      </c>
      <c r="F148" s="11">
        <f t="shared" si="15"/>
        <v>-17.125541632554388</v>
      </c>
      <c r="G148" s="11"/>
      <c r="H148" s="11">
        <f t="shared" si="16"/>
        <v>406067677556641</v>
      </c>
      <c r="I148" s="11">
        <f t="shared" si="14"/>
        <v>-6060711605323</v>
      </c>
      <c r="J148" s="11">
        <f t="shared" si="14"/>
        <v>90458382169</v>
      </c>
      <c r="K148" s="11">
        <f t="shared" si="14"/>
        <v>-1350125107</v>
      </c>
      <c r="L148" s="11">
        <f t="shared" si="14"/>
        <v>20151121</v>
      </c>
      <c r="M148" s="11">
        <f t="shared" si="14"/>
        <v>-300763</v>
      </c>
      <c r="N148" s="11">
        <f t="shared" si="14"/>
        <v>4489</v>
      </c>
      <c r="O148" s="11">
        <f t="shared" si="14"/>
        <v>-67</v>
      </c>
      <c r="P148" s="11">
        <f t="shared" si="18"/>
        <v>0</v>
      </c>
    </row>
    <row r="149" spans="1:16" x14ac:dyDescent="0.25">
      <c r="A149" s="11">
        <f t="shared" si="17"/>
        <v>94</v>
      </c>
      <c r="B149">
        <v>-16.673382196552019</v>
      </c>
      <c r="E149" s="11">
        <f>A149-'Mastercurve bestimmen'!$B$2</f>
        <v>-66</v>
      </c>
      <c r="F149" s="11">
        <f t="shared" si="15"/>
        <v>-16.673382196552019</v>
      </c>
      <c r="G149" s="11"/>
      <c r="H149" s="11">
        <f t="shared" si="16"/>
        <v>360040606269696</v>
      </c>
      <c r="I149" s="11">
        <f t="shared" si="14"/>
        <v>-5455160701056</v>
      </c>
      <c r="J149" s="11">
        <f t="shared" si="14"/>
        <v>82653950016</v>
      </c>
      <c r="K149" s="11">
        <f t="shared" si="14"/>
        <v>-1252332576</v>
      </c>
      <c r="L149" s="11">
        <f t="shared" si="14"/>
        <v>18974736</v>
      </c>
      <c r="M149" s="11">
        <f t="shared" si="14"/>
        <v>-287496</v>
      </c>
      <c r="N149" s="11">
        <f t="shared" si="14"/>
        <v>4356</v>
      </c>
      <c r="O149" s="11">
        <f t="shared" si="14"/>
        <v>-66</v>
      </c>
      <c r="P149" s="11">
        <f t="shared" si="18"/>
        <v>0</v>
      </c>
    </row>
    <row r="150" spans="1:16" x14ac:dyDescent="0.25">
      <c r="A150" s="11">
        <f t="shared" si="17"/>
        <v>95</v>
      </c>
      <c r="B150">
        <v>-16.219434834563863</v>
      </c>
      <c r="E150" s="11">
        <f>A150-'Mastercurve bestimmen'!$B$2</f>
        <v>-65</v>
      </c>
      <c r="F150" s="11">
        <f t="shared" si="15"/>
        <v>-16.219434834563863</v>
      </c>
      <c r="G150" s="11"/>
      <c r="H150" s="11">
        <f t="shared" si="16"/>
        <v>318644812890625</v>
      </c>
      <c r="I150" s="11">
        <f t="shared" si="14"/>
        <v>-4902227890625</v>
      </c>
      <c r="J150" s="11">
        <f t="shared" si="14"/>
        <v>75418890625</v>
      </c>
      <c r="K150" s="11">
        <f t="shared" si="14"/>
        <v>-1160290625</v>
      </c>
      <c r="L150" s="11">
        <f t="shared" si="14"/>
        <v>17850625</v>
      </c>
      <c r="M150" s="11">
        <f t="shared" si="14"/>
        <v>-274625</v>
      </c>
      <c r="N150" s="11">
        <f t="shared" si="14"/>
        <v>4225</v>
      </c>
      <c r="O150" s="11">
        <f t="shared" si="14"/>
        <v>-65</v>
      </c>
      <c r="P150" s="11">
        <f t="shared" si="18"/>
        <v>0</v>
      </c>
    </row>
    <row r="151" spans="1:16" x14ac:dyDescent="0.25">
      <c r="A151" s="11">
        <f t="shared" si="17"/>
        <v>96</v>
      </c>
      <c r="B151">
        <v>-15.764186250337977</v>
      </c>
      <c r="E151" s="11">
        <f>A151-'Mastercurve bestimmen'!$B$2</f>
        <v>-64</v>
      </c>
      <c r="F151" s="11">
        <f t="shared" si="15"/>
        <v>-15.764186250337977</v>
      </c>
      <c r="G151" s="11"/>
      <c r="H151" s="11">
        <f t="shared" si="16"/>
        <v>281474976710656</v>
      </c>
      <c r="I151" s="11">
        <f t="shared" si="14"/>
        <v>-4398046511104</v>
      </c>
      <c r="J151" s="11">
        <f t="shared" si="14"/>
        <v>68719476736</v>
      </c>
      <c r="K151" s="11">
        <f t="shared" si="14"/>
        <v>-1073741824</v>
      </c>
      <c r="L151" s="11">
        <f t="shared" si="14"/>
        <v>16777216</v>
      </c>
      <c r="M151" s="11">
        <f t="shared" si="14"/>
        <v>-262144</v>
      </c>
      <c r="N151" s="11">
        <f t="shared" si="14"/>
        <v>4096</v>
      </c>
      <c r="O151" s="11">
        <f t="shared" si="14"/>
        <v>-64</v>
      </c>
      <c r="P151" s="11">
        <f t="shared" si="18"/>
        <v>0</v>
      </c>
    </row>
    <row r="152" spans="1:16" x14ac:dyDescent="0.25">
      <c r="A152" s="11">
        <f t="shared" si="17"/>
        <v>97</v>
      </c>
      <c r="B152">
        <v>-15.308123147622407</v>
      </c>
      <c r="E152" s="11">
        <f>A152-'Mastercurve bestimmen'!$B$2</f>
        <v>-63</v>
      </c>
      <c r="F152" s="11">
        <f t="shared" si="15"/>
        <v>-15.308123147622407</v>
      </c>
      <c r="G152" s="11"/>
      <c r="H152" s="11">
        <f t="shared" si="16"/>
        <v>248155780267521</v>
      </c>
      <c r="I152" s="11">
        <f t="shared" si="14"/>
        <v>-3938980639167</v>
      </c>
      <c r="J152" s="11">
        <f t="shared" si="14"/>
        <v>62523502209</v>
      </c>
      <c r="K152" s="11">
        <f t="shared" si="14"/>
        <v>-992436543</v>
      </c>
      <c r="L152" s="11">
        <f t="shared" si="14"/>
        <v>15752961</v>
      </c>
      <c r="M152" s="11">
        <f t="shared" si="14"/>
        <v>-250047</v>
      </c>
      <c r="N152" s="11">
        <f t="shared" ref="I152:O189" si="19">IF($H$12&gt;=N$14,$E152^N$14,0)</f>
        <v>3969</v>
      </c>
      <c r="O152" s="11">
        <f t="shared" si="19"/>
        <v>-63</v>
      </c>
      <c r="P152" s="11">
        <f t="shared" si="18"/>
        <v>0</v>
      </c>
    </row>
    <row r="153" spans="1:16" x14ac:dyDescent="0.25">
      <c r="A153" s="11">
        <f t="shared" si="17"/>
        <v>98</v>
      </c>
      <c r="B153">
        <v>-14.851732230165208</v>
      </c>
      <c r="E153" s="11">
        <f>A153-'Mastercurve bestimmen'!$B$2</f>
        <v>-62</v>
      </c>
      <c r="F153" s="11">
        <f t="shared" si="15"/>
        <v>-14.851732230165208</v>
      </c>
      <c r="G153" s="11"/>
      <c r="H153" s="11">
        <f t="shared" si="16"/>
        <v>218340105584896</v>
      </c>
      <c r="I153" s="11">
        <f t="shared" si="19"/>
        <v>-3521614606208</v>
      </c>
      <c r="J153" s="11">
        <f t="shared" si="19"/>
        <v>56800235584</v>
      </c>
      <c r="K153" s="11">
        <f t="shared" si="19"/>
        <v>-916132832</v>
      </c>
      <c r="L153" s="11">
        <f t="shared" si="19"/>
        <v>14776336</v>
      </c>
      <c r="M153" s="11">
        <f t="shared" si="19"/>
        <v>-238328</v>
      </c>
      <c r="N153" s="11">
        <f t="shared" si="19"/>
        <v>3844</v>
      </c>
      <c r="O153" s="11">
        <f t="shared" si="19"/>
        <v>-62</v>
      </c>
      <c r="P153" s="11">
        <f t="shared" si="18"/>
        <v>0</v>
      </c>
    </row>
    <row r="154" spans="1:16" x14ac:dyDescent="0.25">
      <c r="A154" s="11">
        <f t="shared" si="17"/>
        <v>99</v>
      </c>
      <c r="B154">
        <v>-14.395500201714427</v>
      </c>
      <c r="E154" s="11">
        <f>A154-'Mastercurve bestimmen'!$B$2</f>
        <v>-61</v>
      </c>
      <c r="F154" s="11">
        <f t="shared" si="15"/>
        <v>-14.395500201714427</v>
      </c>
      <c r="G154" s="11"/>
      <c r="H154" s="11">
        <f t="shared" si="16"/>
        <v>191707312997281</v>
      </c>
      <c r="I154" s="11">
        <f t="shared" si="19"/>
        <v>-3142742836021</v>
      </c>
      <c r="J154" s="11">
        <f t="shared" si="19"/>
        <v>51520374361</v>
      </c>
      <c r="K154" s="11">
        <f t="shared" si="19"/>
        <v>-844596301</v>
      </c>
      <c r="L154" s="11">
        <f t="shared" si="19"/>
        <v>13845841</v>
      </c>
      <c r="M154" s="11">
        <f t="shared" si="19"/>
        <v>-226981</v>
      </c>
      <c r="N154" s="11">
        <f t="shared" si="19"/>
        <v>3721</v>
      </c>
      <c r="O154" s="11">
        <f t="shared" si="19"/>
        <v>-61</v>
      </c>
      <c r="P154" s="11">
        <f t="shared" si="18"/>
        <v>0</v>
      </c>
    </row>
    <row r="155" spans="1:16" x14ac:dyDescent="0.25">
      <c r="A155" s="11">
        <f t="shared" si="17"/>
        <v>100</v>
      </c>
      <c r="B155">
        <v>-13.939913766018122</v>
      </c>
      <c r="E155" s="11">
        <f>A155-'Mastercurve bestimmen'!$B$2</f>
        <v>-60</v>
      </c>
      <c r="F155" s="11">
        <f t="shared" si="15"/>
        <v>-13.939913766018122</v>
      </c>
      <c r="G155" s="11"/>
      <c r="H155" s="11">
        <f t="shared" si="16"/>
        <v>167961600000000</v>
      </c>
      <c r="I155" s="11">
        <f t="shared" si="19"/>
        <v>-2799360000000</v>
      </c>
      <c r="J155" s="11">
        <f t="shared" si="19"/>
        <v>46656000000</v>
      </c>
      <c r="K155" s="11">
        <f t="shared" si="19"/>
        <v>-777600000</v>
      </c>
      <c r="L155" s="11">
        <f t="shared" si="19"/>
        <v>12960000</v>
      </c>
      <c r="M155" s="11">
        <f t="shared" si="19"/>
        <v>-216000</v>
      </c>
      <c r="N155" s="11">
        <f t="shared" si="19"/>
        <v>3600</v>
      </c>
      <c r="O155" s="11">
        <f t="shared" si="19"/>
        <v>-60</v>
      </c>
      <c r="P155" s="11">
        <f t="shared" si="18"/>
        <v>0</v>
      </c>
    </row>
    <row r="156" spans="1:16" x14ac:dyDescent="0.25">
      <c r="A156" s="11">
        <f t="shared" si="17"/>
        <v>101</v>
      </c>
      <c r="B156">
        <v>-13.485459626824342</v>
      </c>
      <c r="E156" s="11">
        <f>A156-'Mastercurve bestimmen'!$B$2</f>
        <v>-59</v>
      </c>
      <c r="F156" s="11">
        <f t="shared" si="15"/>
        <v>-13.485459626824342</v>
      </c>
      <c r="G156" s="11"/>
      <c r="H156" s="11">
        <f t="shared" si="16"/>
        <v>146830437604321</v>
      </c>
      <c r="I156" s="11">
        <f t="shared" si="19"/>
        <v>-2488651484819</v>
      </c>
      <c r="J156" s="11">
        <f t="shared" si="19"/>
        <v>42180533641</v>
      </c>
      <c r="K156" s="11">
        <f t="shared" si="19"/>
        <v>-714924299</v>
      </c>
      <c r="L156" s="11">
        <f t="shared" si="19"/>
        <v>12117361</v>
      </c>
      <c r="M156" s="11">
        <f t="shared" si="19"/>
        <v>-205379</v>
      </c>
      <c r="N156" s="11">
        <f t="shared" si="19"/>
        <v>3481</v>
      </c>
      <c r="O156" s="11">
        <f t="shared" si="19"/>
        <v>-59</v>
      </c>
      <c r="P156" s="11">
        <f t="shared" si="18"/>
        <v>0</v>
      </c>
    </row>
    <row r="157" spans="1:16" x14ac:dyDescent="0.25">
      <c r="A157" s="11">
        <f t="shared" si="17"/>
        <v>102</v>
      </c>
      <c r="B157">
        <v>-13.032624487881135</v>
      </c>
      <c r="E157" s="11">
        <f>A157-'Mastercurve bestimmen'!$B$2</f>
        <v>-58</v>
      </c>
      <c r="F157" s="11">
        <f t="shared" si="15"/>
        <v>-13.032624487881135</v>
      </c>
      <c r="G157" s="11"/>
      <c r="H157" s="11">
        <f t="shared" si="16"/>
        <v>128063081718016</v>
      </c>
      <c r="I157" s="11">
        <f t="shared" si="19"/>
        <v>-2207984167552</v>
      </c>
      <c r="J157" s="11">
        <f t="shared" si="19"/>
        <v>38068692544</v>
      </c>
      <c r="K157" s="11">
        <f t="shared" si="19"/>
        <v>-656356768</v>
      </c>
      <c r="L157" s="11">
        <f t="shared" si="19"/>
        <v>11316496</v>
      </c>
      <c r="M157" s="11">
        <f t="shared" si="19"/>
        <v>-195112</v>
      </c>
      <c r="N157" s="11">
        <f t="shared" si="19"/>
        <v>3364</v>
      </c>
      <c r="O157" s="11">
        <f t="shared" si="19"/>
        <v>-58</v>
      </c>
      <c r="P157" s="11">
        <f t="shared" si="18"/>
        <v>0</v>
      </c>
    </row>
    <row r="158" spans="1:16" x14ac:dyDescent="0.25">
      <c r="A158" s="11">
        <f t="shared" si="17"/>
        <v>103</v>
      </c>
      <c r="B158">
        <v>-12.581895052936556</v>
      </c>
      <c r="E158" s="11">
        <f>A158-'Mastercurve bestimmen'!$B$2</f>
        <v>-57</v>
      </c>
      <c r="F158" s="11">
        <f t="shared" si="15"/>
        <v>-12.581895052936556</v>
      </c>
      <c r="G158" s="11"/>
      <c r="H158" s="11">
        <f t="shared" si="16"/>
        <v>111429157112001</v>
      </c>
      <c r="I158" s="11">
        <f t="shared" si="19"/>
        <v>-1954897493193</v>
      </c>
      <c r="J158" s="11">
        <f t="shared" si="19"/>
        <v>34296447249</v>
      </c>
      <c r="K158" s="11">
        <f t="shared" si="19"/>
        <v>-601692057</v>
      </c>
      <c r="L158" s="11">
        <f t="shared" si="19"/>
        <v>10556001</v>
      </c>
      <c r="M158" s="11">
        <f t="shared" si="19"/>
        <v>-185193</v>
      </c>
      <c r="N158" s="11">
        <f t="shared" si="19"/>
        <v>3249</v>
      </c>
      <c r="O158" s="11">
        <f t="shared" si="19"/>
        <v>-57</v>
      </c>
      <c r="P158" s="11">
        <f t="shared" si="18"/>
        <v>0</v>
      </c>
    </row>
    <row r="159" spans="1:16" x14ac:dyDescent="0.25">
      <c r="A159" s="11">
        <f t="shared" si="17"/>
        <v>104</v>
      </c>
      <c r="B159">
        <v>-12.133758025738654</v>
      </c>
      <c r="E159" s="11">
        <f>A159-'Mastercurve bestimmen'!$B$2</f>
        <v>-56</v>
      </c>
      <c r="F159" s="11">
        <f t="shared" si="15"/>
        <v>-12.133758025738654</v>
      </c>
      <c r="G159" s="11"/>
      <c r="H159" s="11">
        <f t="shared" si="16"/>
        <v>96717311574016</v>
      </c>
      <c r="I159" s="11">
        <f t="shared" si="19"/>
        <v>-1727094849536</v>
      </c>
      <c r="J159" s="11">
        <f t="shared" si="19"/>
        <v>30840979456</v>
      </c>
      <c r="K159" s="11">
        <f t="shared" si="19"/>
        <v>-550731776</v>
      </c>
      <c r="L159" s="11">
        <f t="shared" si="19"/>
        <v>9834496</v>
      </c>
      <c r="M159" s="11">
        <f t="shared" si="19"/>
        <v>-175616</v>
      </c>
      <c r="N159" s="11">
        <f t="shared" si="19"/>
        <v>3136</v>
      </c>
      <c r="O159" s="11">
        <f t="shared" si="19"/>
        <v>-56</v>
      </c>
      <c r="P159" s="11">
        <f t="shared" si="18"/>
        <v>0</v>
      </c>
    </row>
    <row r="160" spans="1:16" x14ac:dyDescent="0.25">
      <c r="A160" s="11">
        <f t="shared" si="17"/>
        <v>105</v>
      </c>
      <c r="B160">
        <v>-11.688700110035484</v>
      </c>
      <c r="E160" s="11">
        <f>A160-'Mastercurve bestimmen'!$B$2</f>
        <v>-55</v>
      </c>
      <c r="F160" s="11">
        <f t="shared" si="15"/>
        <v>-11.688700110035484</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-11.247208009575091</v>
      </c>
      <c r="E161" s="11">
        <f>A161-'Mastercurve bestimmen'!$B$2</f>
        <v>-54</v>
      </c>
      <c r="F161" s="11">
        <f t="shared" si="15"/>
        <v>-11.247208009575091</v>
      </c>
      <c r="G161" s="11"/>
      <c r="H161" s="11">
        <f t="shared" si="16"/>
        <v>72301961339136</v>
      </c>
      <c r="I161" s="11">
        <f t="shared" si="19"/>
        <v>-1338925209984</v>
      </c>
      <c r="J161" s="11">
        <f t="shared" si="19"/>
        <v>24794911296</v>
      </c>
      <c r="K161" s="11">
        <f t="shared" si="19"/>
        <v>-459165024</v>
      </c>
      <c r="L161" s="11">
        <f t="shared" si="19"/>
        <v>8503056</v>
      </c>
      <c r="M161" s="11">
        <f t="shared" si="19"/>
        <v>-157464</v>
      </c>
      <c r="N161" s="11">
        <f t="shared" si="19"/>
        <v>2916</v>
      </c>
      <c r="O161" s="11">
        <f t="shared" si="19"/>
        <v>-54</v>
      </c>
      <c r="P161" s="11">
        <f t="shared" si="18"/>
        <v>0</v>
      </c>
    </row>
    <row r="162" spans="1:16" x14ac:dyDescent="0.25">
      <c r="A162" s="11">
        <f t="shared" si="17"/>
        <v>107</v>
      </c>
      <c r="B162">
        <v>-10.809768428105532</v>
      </c>
      <c r="E162" s="11">
        <f>A162-'Mastercurve bestimmen'!$B$2</f>
        <v>-53</v>
      </c>
      <c r="F162" s="11">
        <f t="shared" si="15"/>
        <v>-10.809768428105532</v>
      </c>
      <c r="G162" s="11"/>
      <c r="H162" s="11">
        <f t="shared" si="16"/>
        <v>62259690411361</v>
      </c>
      <c r="I162" s="11">
        <f t="shared" si="19"/>
        <v>-1174711139837</v>
      </c>
      <c r="J162" s="11">
        <f t="shared" si="19"/>
        <v>22164361129</v>
      </c>
      <c r="K162" s="11">
        <f t="shared" si="19"/>
        <v>-418195493</v>
      </c>
      <c r="L162" s="11">
        <f t="shared" si="19"/>
        <v>7890481</v>
      </c>
      <c r="M162" s="11">
        <f t="shared" si="19"/>
        <v>-148877</v>
      </c>
      <c r="N162" s="11">
        <f t="shared" si="19"/>
        <v>2809</v>
      </c>
      <c r="O162" s="11">
        <f t="shared" si="19"/>
        <v>-53</v>
      </c>
      <c r="P162" s="11">
        <f t="shared" si="18"/>
        <v>0</v>
      </c>
    </row>
    <row r="163" spans="1:16" x14ac:dyDescent="0.25">
      <c r="A163" s="11">
        <f t="shared" si="17"/>
        <v>108</v>
      </c>
      <c r="B163">
        <v>-10.376868069374858</v>
      </c>
      <c r="E163" s="11">
        <f>A163-'Mastercurve bestimmen'!$B$2</f>
        <v>-52</v>
      </c>
      <c r="F163" s="11">
        <f t="shared" si="15"/>
        <v>-10.376868069374858</v>
      </c>
      <c r="G163" s="11"/>
      <c r="H163" s="11">
        <f t="shared" si="16"/>
        <v>53459728531456</v>
      </c>
      <c r="I163" s="11">
        <f t="shared" si="19"/>
        <v>-1028071702528</v>
      </c>
      <c r="J163" s="11">
        <f t="shared" si="19"/>
        <v>19770609664</v>
      </c>
      <c r="K163" s="11">
        <f t="shared" si="19"/>
        <v>-380204032</v>
      </c>
      <c r="L163" s="11">
        <f t="shared" si="19"/>
        <v>7311616</v>
      </c>
      <c r="M163" s="11">
        <f t="shared" si="19"/>
        <v>-140608</v>
      </c>
      <c r="N163" s="11">
        <f t="shared" si="19"/>
        <v>2704</v>
      </c>
      <c r="O163" s="11">
        <f t="shared" si="19"/>
        <v>-52</v>
      </c>
      <c r="P163" s="11">
        <f t="shared" si="18"/>
        <v>0</v>
      </c>
    </row>
    <row r="164" spans="1:16" x14ac:dyDescent="0.25">
      <c r="A164" s="11">
        <f t="shared" si="17"/>
        <v>109</v>
      </c>
      <c r="B164">
        <v>-9.9489936371311174</v>
      </c>
      <c r="E164" s="11">
        <f>A164-'Mastercurve bestimmen'!$B$2</f>
        <v>-51</v>
      </c>
      <c r="F164" s="11">
        <f t="shared" si="15"/>
        <v>-9.9489936371311174</v>
      </c>
      <c r="G164" s="11"/>
      <c r="H164" s="11">
        <f t="shared" si="16"/>
        <v>45767944570401</v>
      </c>
      <c r="I164" s="11">
        <f t="shared" si="19"/>
        <v>-897410677851</v>
      </c>
      <c r="J164" s="11">
        <f t="shared" si="19"/>
        <v>17596287801</v>
      </c>
      <c r="K164" s="11">
        <f t="shared" si="19"/>
        <v>-345025251</v>
      </c>
      <c r="L164" s="11">
        <f t="shared" si="19"/>
        <v>6765201</v>
      </c>
      <c r="M164" s="11">
        <f t="shared" si="19"/>
        <v>-132651</v>
      </c>
      <c r="N164" s="11">
        <f t="shared" si="19"/>
        <v>2601</v>
      </c>
      <c r="O164" s="11">
        <f t="shared" si="19"/>
        <v>-51</v>
      </c>
      <c r="P164" s="11">
        <f t="shared" si="18"/>
        <v>0</v>
      </c>
    </row>
    <row r="165" spans="1:16" x14ac:dyDescent="0.25">
      <c r="A165" s="11">
        <f t="shared" si="17"/>
        <v>110</v>
      </c>
      <c r="B165">
        <v>-9.5266318351223642</v>
      </c>
      <c r="E165" s="11">
        <f>A165-'Mastercurve bestimmen'!$B$2</f>
        <v>-50</v>
      </c>
      <c r="F165" s="11">
        <f t="shared" si="15"/>
        <v>-9.5266318351223642</v>
      </c>
      <c r="G165" s="11"/>
      <c r="H165" s="11">
        <f t="shared" si="16"/>
        <v>39062500000000</v>
      </c>
      <c r="I165" s="11">
        <f t="shared" si="19"/>
        <v>-781250000000</v>
      </c>
      <c r="J165" s="11">
        <f t="shared" si="19"/>
        <v>15625000000</v>
      </c>
      <c r="K165" s="11">
        <f t="shared" si="19"/>
        <v>-312500000</v>
      </c>
      <c r="L165" s="11">
        <f t="shared" si="19"/>
        <v>6250000</v>
      </c>
      <c r="M165" s="11">
        <f t="shared" si="19"/>
        <v>-125000</v>
      </c>
      <c r="N165" s="11">
        <f t="shared" si="19"/>
        <v>2500</v>
      </c>
      <c r="O165" s="11">
        <f t="shared" si="19"/>
        <v>-50</v>
      </c>
      <c r="P165" s="11">
        <f t="shared" si="18"/>
        <v>0</v>
      </c>
    </row>
    <row r="166" spans="1:16" x14ac:dyDescent="0.25">
      <c r="A166" s="11">
        <f t="shared" si="17"/>
        <v>111</v>
      </c>
      <c r="B166">
        <v>-9.1102693670966488</v>
      </c>
      <c r="E166" s="11">
        <f>A166-'Mastercurve bestimmen'!$B$2</f>
        <v>-49</v>
      </c>
      <c r="F166" s="11">
        <f t="shared" si="15"/>
        <v>-9.1102693670966488</v>
      </c>
      <c r="G166" s="11"/>
      <c r="H166" s="11">
        <f t="shared" si="16"/>
        <v>33232930569601</v>
      </c>
      <c r="I166" s="11">
        <f t="shared" si="19"/>
        <v>-678223072849</v>
      </c>
      <c r="J166" s="11">
        <f t="shared" si="19"/>
        <v>13841287201</v>
      </c>
      <c r="K166" s="11">
        <f t="shared" si="19"/>
        <v>-282475249</v>
      </c>
      <c r="L166" s="11">
        <f t="shared" si="19"/>
        <v>5764801</v>
      </c>
      <c r="M166" s="11">
        <f t="shared" si="19"/>
        <v>-117649</v>
      </c>
      <c r="N166" s="11">
        <f t="shared" si="19"/>
        <v>2401</v>
      </c>
      <c r="O166" s="11">
        <f t="shared" si="19"/>
        <v>-49</v>
      </c>
      <c r="P166" s="11">
        <f t="shared" si="18"/>
        <v>0</v>
      </c>
    </row>
    <row r="167" spans="1:16" x14ac:dyDescent="0.25">
      <c r="A167" s="11">
        <f t="shared" si="17"/>
        <v>112</v>
      </c>
      <c r="B167">
        <v>-8.7003929368020216</v>
      </c>
      <c r="E167" s="11">
        <f>A167-'Mastercurve bestimmen'!$B$2</f>
        <v>-48</v>
      </c>
      <c r="F167" s="11">
        <f t="shared" si="15"/>
        <v>-8.7003929368020216</v>
      </c>
      <c r="G167" s="11"/>
      <c r="H167" s="11">
        <f t="shared" si="16"/>
        <v>28179280429056</v>
      </c>
      <c r="I167" s="11">
        <f t="shared" si="19"/>
        <v>-587068342272</v>
      </c>
      <c r="J167" s="11">
        <f t="shared" si="19"/>
        <v>12230590464</v>
      </c>
      <c r="K167" s="11">
        <f t="shared" si="19"/>
        <v>-254803968</v>
      </c>
      <c r="L167" s="11">
        <f t="shared" si="19"/>
        <v>5308416</v>
      </c>
      <c r="M167" s="11">
        <f t="shared" si="19"/>
        <v>-110592</v>
      </c>
      <c r="N167" s="11">
        <f t="shared" si="19"/>
        <v>2304</v>
      </c>
      <c r="O167" s="11">
        <f t="shared" si="19"/>
        <v>-48</v>
      </c>
      <c r="P167" s="11">
        <f t="shared" si="18"/>
        <v>0</v>
      </c>
    </row>
    <row r="168" spans="1:16" x14ac:dyDescent="0.25">
      <c r="A168" s="11">
        <f t="shared" si="17"/>
        <v>113</v>
      </c>
      <c r="B168">
        <v>-8.2974892479865368</v>
      </c>
      <c r="E168" s="11">
        <f>A168-'Mastercurve bestimmen'!$B$2</f>
        <v>-47</v>
      </c>
      <c r="F168" s="11">
        <f t="shared" si="15"/>
        <v>-8.2974892479865368</v>
      </c>
      <c r="G168" s="11"/>
      <c r="H168" s="11">
        <f t="shared" si="16"/>
        <v>23811286661761</v>
      </c>
      <c r="I168" s="11">
        <f t="shared" si="19"/>
        <v>-506623120463</v>
      </c>
      <c r="J168" s="11">
        <f t="shared" si="19"/>
        <v>10779215329</v>
      </c>
      <c r="K168" s="11">
        <f t="shared" si="19"/>
        <v>-229345007</v>
      </c>
      <c r="L168" s="11">
        <f t="shared" si="19"/>
        <v>4879681</v>
      </c>
      <c r="M168" s="11">
        <f t="shared" si="19"/>
        <v>-103823</v>
      </c>
      <c r="N168" s="11">
        <f t="shared" si="19"/>
        <v>2209</v>
      </c>
      <c r="O168" s="11">
        <f t="shared" si="19"/>
        <v>-47</v>
      </c>
      <c r="P168" s="11">
        <f t="shared" si="18"/>
        <v>0</v>
      </c>
    </row>
    <row r="169" spans="1:16" x14ac:dyDescent="0.25">
      <c r="A169" s="11">
        <f t="shared" si="17"/>
        <v>114</v>
      </c>
      <c r="B169">
        <v>-7.9020450043982429</v>
      </c>
      <c r="E169" s="11">
        <f>A169-'Mastercurve bestimmen'!$B$2</f>
        <v>-46</v>
      </c>
      <c r="F169" s="11">
        <f t="shared" si="15"/>
        <v>-7.9020450043982429</v>
      </c>
      <c r="G169" s="11"/>
      <c r="H169" s="11">
        <f t="shared" si="16"/>
        <v>20047612231936</v>
      </c>
      <c r="I169" s="11">
        <f t="shared" si="19"/>
        <v>-435817657216</v>
      </c>
      <c r="J169" s="11">
        <f t="shared" si="19"/>
        <v>9474296896</v>
      </c>
      <c r="K169" s="11">
        <f t="shared" si="19"/>
        <v>-205962976</v>
      </c>
      <c r="L169" s="11">
        <f t="shared" si="19"/>
        <v>4477456</v>
      </c>
      <c r="M169" s="11">
        <f t="shared" si="19"/>
        <v>-97336</v>
      </c>
      <c r="N169" s="11">
        <f t="shared" si="19"/>
        <v>2116</v>
      </c>
      <c r="O169" s="11">
        <f t="shared" si="19"/>
        <v>-46</v>
      </c>
      <c r="P169" s="11">
        <f t="shared" si="18"/>
        <v>0</v>
      </c>
    </row>
    <row r="170" spans="1:16" x14ac:dyDescent="0.25">
      <c r="A170" s="11">
        <f t="shared" si="17"/>
        <v>115</v>
      </c>
      <c r="B170">
        <v>-7.5145469097851931</v>
      </c>
      <c r="E170" s="11">
        <f>A170-'Mastercurve bestimmen'!$B$2</f>
        <v>-45</v>
      </c>
      <c r="F170" s="11">
        <f t="shared" si="15"/>
        <v>-7.5145469097851931</v>
      </c>
      <c r="G170" s="11"/>
      <c r="H170" s="11">
        <f t="shared" si="16"/>
        <v>16815125390625</v>
      </c>
      <c r="I170" s="11">
        <f t="shared" si="19"/>
        <v>-373669453125</v>
      </c>
      <c r="J170" s="11">
        <f t="shared" si="19"/>
        <v>8303765625</v>
      </c>
      <c r="K170" s="11">
        <f t="shared" si="19"/>
        <v>-184528125</v>
      </c>
      <c r="L170" s="11">
        <f t="shared" si="19"/>
        <v>4100625</v>
      </c>
      <c r="M170" s="11">
        <f t="shared" si="19"/>
        <v>-91125</v>
      </c>
      <c r="N170" s="11">
        <f t="shared" si="19"/>
        <v>2025</v>
      </c>
      <c r="O170" s="11">
        <f t="shared" si="19"/>
        <v>-45</v>
      </c>
      <c r="P170" s="11">
        <f t="shared" si="18"/>
        <v>0</v>
      </c>
    </row>
    <row r="171" spans="1:16" x14ac:dyDescent="0.25">
      <c r="A171" s="11">
        <f t="shared" si="17"/>
        <v>116</v>
      </c>
      <c r="B171">
        <v>-7.1354816678954371</v>
      </c>
      <c r="E171" s="11">
        <f>A171-'Mastercurve bestimmen'!$B$2</f>
        <v>-44</v>
      </c>
      <c r="F171" s="11">
        <f t="shared" si="15"/>
        <v>-7.1354816678954371</v>
      </c>
      <c r="G171" s="11"/>
      <c r="H171" s="11">
        <f t="shared" si="16"/>
        <v>14048223625216</v>
      </c>
      <c r="I171" s="11">
        <f t="shared" si="19"/>
        <v>-319277809664</v>
      </c>
      <c r="J171" s="11">
        <f t="shared" si="19"/>
        <v>7256313856</v>
      </c>
      <c r="K171" s="11">
        <f t="shared" si="19"/>
        <v>-164916224</v>
      </c>
      <c r="L171" s="11">
        <f t="shared" si="19"/>
        <v>3748096</v>
      </c>
      <c r="M171" s="11">
        <f t="shared" si="19"/>
        <v>-85184</v>
      </c>
      <c r="N171" s="11">
        <f t="shared" si="19"/>
        <v>1936</v>
      </c>
      <c r="O171" s="11">
        <f t="shared" si="19"/>
        <v>-44</v>
      </c>
      <c r="P171" s="11">
        <f t="shared" si="18"/>
        <v>0</v>
      </c>
    </row>
    <row r="172" spans="1:16" x14ac:dyDescent="0.25">
      <c r="A172" s="11">
        <f t="shared" si="17"/>
        <v>117</v>
      </c>
      <c r="B172">
        <v>-6.7653359824770281</v>
      </c>
      <c r="E172" s="11">
        <f>A172-'Mastercurve bestimmen'!$B$2</f>
        <v>-43</v>
      </c>
      <c r="F172" s="11">
        <f t="shared" si="15"/>
        <v>-6.7653359824770281</v>
      </c>
      <c r="G172" s="11"/>
      <c r="H172" s="11">
        <f t="shared" si="16"/>
        <v>11688200277601</v>
      </c>
      <c r="I172" s="11">
        <f t="shared" si="19"/>
        <v>-271818611107</v>
      </c>
      <c r="J172" s="11">
        <f t="shared" si="19"/>
        <v>6321363049</v>
      </c>
      <c r="K172" s="11">
        <f t="shared" si="19"/>
        <v>-147008443</v>
      </c>
      <c r="L172" s="11">
        <f t="shared" si="19"/>
        <v>3418801</v>
      </c>
      <c r="M172" s="11">
        <f t="shared" si="19"/>
        <v>-79507</v>
      </c>
      <c r="N172" s="11">
        <f t="shared" si="19"/>
        <v>1849</v>
      </c>
      <c r="O172" s="11">
        <f t="shared" si="19"/>
        <v>-43</v>
      </c>
      <c r="P172" s="11">
        <f t="shared" si="18"/>
        <v>0</v>
      </c>
    </row>
    <row r="173" spans="1:16" x14ac:dyDescent="0.25">
      <c r="A173" s="11">
        <f t="shared" si="17"/>
        <v>118</v>
      </c>
      <c r="B173">
        <v>-6.4045965572780164</v>
      </c>
      <c r="E173" s="11">
        <f>A173-'Mastercurve bestimmen'!$B$2</f>
        <v>-42</v>
      </c>
      <c r="F173" s="11">
        <f t="shared" si="15"/>
        <v>-6.4045965572780164</v>
      </c>
      <c r="G173" s="11"/>
      <c r="H173" s="11">
        <f t="shared" si="16"/>
        <v>9682651996416</v>
      </c>
      <c r="I173" s="11">
        <f t="shared" si="19"/>
        <v>-230539333248</v>
      </c>
      <c r="J173" s="11">
        <f t="shared" si="19"/>
        <v>5489031744</v>
      </c>
      <c r="K173" s="11">
        <f t="shared" si="19"/>
        <v>-130691232</v>
      </c>
      <c r="L173" s="11">
        <f t="shared" si="19"/>
        <v>3111696</v>
      </c>
      <c r="M173" s="11">
        <f t="shared" si="19"/>
        <v>-74088</v>
      </c>
      <c r="N173" s="11">
        <f t="shared" si="19"/>
        <v>1764</v>
      </c>
      <c r="O173" s="11">
        <f t="shared" si="19"/>
        <v>-42</v>
      </c>
      <c r="P173" s="11">
        <f t="shared" si="18"/>
        <v>0</v>
      </c>
    </row>
    <row r="174" spans="1:16" x14ac:dyDescent="0.25">
      <c r="A174" s="11">
        <f t="shared" si="17"/>
        <v>119</v>
      </c>
      <c r="B174">
        <v>-6.0537500960464534</v>
      </c>
      <c r="E174" s="11">
        <f>A174-'Mastercurve bestimmen'!$B$2</f>
        <v>-41</v>
      </c>
      <c r="F174" s="11">
        <f t="shared" si="15"/>
        <v>-6.0537500960464534</v>
      </c>
      <c r="G174" s="11"/>
      <c r="H174" s="11">
        <f t="shared" si="16"/>
        <v>7984925229121</v>
      </c>
      <c r="I174" s="11">
        <f t="shared" si="19"/>
        <v>-194754273881</v>
      </c>
      <c r="J174" s="11">
        <f t="shared" si="19"/>
        <v>4750104241</v>
      </c>
      <c r="K174" s="11">
        <f t="shared" si="19"/>
        <v>-115856201</v>
      </c>
      <c r="L174" s="11">
        <f t="shared" si="19"/>
        <v>2825761</v>
      </c>
      <c r="M174" s="11">
        <f t="shared" si="19"/>
        <v>-68921</v>
      </c>
      <c r="N174" s="11">
        <f t="shared" si="19"/>
        <v>1681</v>
      </c>
      <c r="O174" s="11">
        <f t="shared" si="19"/>
        <v>-41</v>
      </c>
      <c r="P174" s="11">
        <f t="shared" si="18"/>
        <v>0</v>
      </c>
    </row>
    <row r="175" spans="1:16" x14ac:dyDescent="0.25">
      <c r="A175" s="11">
        <f t="shared" si="17"/>
        <v>120</v>
      </c>
      <c r="B175">
        <v>-5.7132833025303906</v>
      </c>
      <c r="E175" s="11">
        <f>A175-'Mastercurve bestimmen'!$B$2</f>
        <v>-40</v>
      </c>
      <c r="F175" s="11">
        <f t="shared" si="15"/>
        <v>-5.7132833025303906</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-5.3836828804778811</v>
      </c>
      <c r="E176" s="11">
        <f>A176-'Mastercurve bestimmen'!$B$2</f>
        <v>-39</v>
      </c>
      <c r="F176" s="11">
        <f t="shared" si="15"/>
        <v>-5.3836828804778811</v>
      </c>
      <c r="G176" s="11"/>
      <c r="H176" s="11">
        <f t="shared" si="16"/>
        <v>5352009260481</v>
      </c>
      <c r="I176" s="11">
        <f t="shared" si="19"/>
        <v>-137231006679</v>
      </c>
      <c r="J176" s="11">
        <f t="shared" si="19"/>
        <v>3518743761</v>
      </c>
      <c r="K176" s="11">
        <f t="shared" si="19"/>
        <v>-90224199</v>
      </c>
      <c r="L176" s="11">
        <f t="shared" si="19"/>
        <v>2313441</v>
      </c>
      <c r="M176" s="11">
        <f t="shared" si="19"/>
        <v>-59319</v>
      </c>
      <c r="N176" s="11">
        <f t="shared" si="19"/>
        <v>1521</v>
      </c>
      <c r="O176" s="11">
        <f t="shared" si="19"/>
        <v>-39</v>
      </c>
      <c r="P176" s="11">
        <f t="shared" si="18"/>
        <v>0</v>
      </c>
    </row>
    <row r="177" spans="1:16" x14ac:dyDescent="0.25">
      <c r="A177" s="11">
        <f t="shared" si="17"/>
        <v>122</v>
      </c>
      <c r="B177">
        <v>-5.0654355336369727</v>
      </c>
      <c r="E177" s="11">
        <f>A177-'Mastercurve bestimmen'!$B$2</f>
        <v>-38</v>
      </c>
      <c r="F177" s="11">
        <f t="shared" si="15"/>
        <v>-5.0654355336369727</v>
      </c>
      <c r="G177" s="11"/>
      <c r="H177" s="11">
        <f t="shared" si="16"/>
        <v>4347792138496</v>
      </c>
      <c r="I177" s="11">
        <f t="shared" si="19"/>
        <v>-114415582592</v>
      </c>
      <c r="J177" s="11">
        <f t="shared" si="19"/>
        <v>3010936384</v>
      </c>
      <c r="K177" s="11">
        <f t="shared" si="19"/>
        <v>-79235168</v>
      </c>
      <c r="L177" s="11">
        <f t="shared" si="19"/>
        <v>2085136</v>
      </c>
      <c r="M177" s="11">
        <f t="shared" si="19"/>
        <v>-54872</v>
      </c>
      <c r="N177" s="11">
        <f t="shared" si="19"/>
        <v>1444</v>
      </c>
      <c r="O177" s="11">
        <f t="shared" si="19"/>
        <v>-38</v>
      </c>
      <c r="P177" s="11">
        <f t="shared" si="18"/>
        <v>0</v>
      </c>
    </row>
    <row r="178" spans="1:16" x14ac:dyDescent="0.25">
      <c r="A178" s="11">
        <f t="shared" si="17"/>
        <v>123</v>
      </c>
      <c r="B178">
        <v>-4.7590279657557204</v>
      </c>
      <c r="E178" s="11">
        <f>A178-'Mastercurve bestimmen'!$B$2</f>
        <v>-37</v>
      </c>
      <c r="F178" s="11">
        <f t="shared" si="15"/>
        <v>-4.7590279657557204</v>
      </c>
      <c r="G178" s="11"/>
      <c r="H178" s="11">
        <f t="shared" si="16"/>
        <v>3512479453921</v>
      </c>
      <c r="I178" s="11">
        <f t="shared" si="19"/>
        <v>-94931877133</v>
      </c>
      <c r="J178" s="11">
        <f t="shared" si="19"/>
        <v>2565726409</v>
      </c>
      <c r="K178" s="11">
        <f t="shared" si="19"/>
        <v>-69343957</v>
      </c>
      <c r="L178" s="11">
        <f t="shared" si="19"/>
        <v>1874161</v>
      </c>
      <c r="M178" s="11">
        <f t="shared" si="19"/>
        <v>-50653</v>
      </c>
      <c r="N178" s="11">
        <f t="shared" si="19"/>
        <v>1369</v>
      </c>
      <c r="O178" s="11">
        <f t="shared" si="19"/>
        <v>-37</v>
      </c>
      <c r="P178" s="11">
        <f t="shared" si="18"/>
        <v>0</v>
      </c>
    </row>
    <row r="179" spans="1:16" x14ac:dyDescent="0.25">
      <c r="A179" s="11">
        <f t="shared" si="17"/>
        <v>124</v>
      </c>
      <c r="B179">
        <v>-4.4649468805821737</v>
      </c>
      <c r="E179" s="11">
        <f>A179-'Mastercurve bestimmen'!$B$2</f>
        <v>-36</v>
      </c>
      <c r="F179" s="11">
        <f t="shared" si="15"/>
        <v>-4.4649468805821737</v>
      </c>
      <c r="G179" s="11"/>
      <c r="H179" s="11">
        <f t="shared" si="16"/>
        <v>2821109907456</v>
      </c>
      <c r="I179" s="11">
        <f t="shared" si="19"/>
        <v>-78364164096</v>
      </c>
      <c r="J179" s="11">
        <f t="shared" si="19"/>
        <v>2176782336</v>
      </c>
      <c r="K179" s="11">
        <f t="shared" si="19"/>
        <v>-60466176</v>
      </c>
      <c r="L179" s="11">
        <f t="shared" si="19"/>
        <v>1679616</v>
      </c>
      <c r="M179" s="11">
        <f t="shared" si="19"/>
        <v>-46656</v>
      </c>
      <c r="N179" s="11">
        <f t="shared" si="19"/>
        <v>1296</v>
      </c>
      <c r="O179" s="11">
        <f t="shared" si="19"/>
        <v>-36</v>
      </c>
      <c r="P179" s="11">
        <f t="shared" si="18"/>
        <v>0</v>
      </c>
    </row>
    <row r="180" spans="1:16" x14ac:dyDescent="0.25">
      <c r="A180" s="11">
        <f t="shared" si="17"/>
        <v>125</v>
      </c>
      <c r="B180">
        <v>-4.183678981864384</v>
      </c>
      <c r="E180" s="11">
        <f>A180-'Mastercurve bestimmen'!$B$2</f>
        <v>-35</v>
      </c>
      <c r="F180" s="11">
        <f t="shared" si="15"/>
        <v>-4.183678981864384</v>
      </c>
      <c r="G180" s="11"/>
      <c r="H180" s="11">
        <f t="shared" si="16"/>
        <v>2251875390625</v>
      </c>
      <c r="I180" s="11">
        <f t="shared" si="19"/>
        <v>-64339296875</v>
      </c>
      <c r="J180" s="11">
        <f t="shared" si="19"/>
        <v>1838265625</v>
      </c>
      <c r="K180" s="11">
        <f t="shared" si="19"/>
        <v>-52521875</v>
      </c>
      <c r="L180" s="11">
        <f t="shared" si="19"/>
        <v>1500625</v>
      </c>
      <c r="M180" s="11">
        <f t="shared" si="19"/>
        <v>-42875</v>
      </c>
      <c r="N180" s="11">
        <f t="shared" si="19"/>
        <v>1225</v>
      </c>
      <c r="O180" s="11">
        <f t="shared" si="19"/>
        <v>-35</v>
      </c>
      <c r="P180" s="11">
        <f t="shared" si="18"/>
        <v>0</v>
      </c>
    </row>
    <row r="181" spans="1:16" x14ac:dyDescent="0.25">
      <c r="A181" s="11">
        <f t="shared" si="17"/>
        <v>126</v>
      </c>
      <c r="B181">
        <v>-3.9155665232485664</v>
      </c>
      <c r="E181" s="11">
        <f>A181-'Mastercurve bestimmen'!$B$2</f>
        <v>-34</v>
      </c>
      <c r="F181" s="11">
        <f t="shared" si="15"/>
        <v>-3.9155665232485664</v>
      </c>
      <c r="G181" s="11"/>
      <c r="H181" s="11">
        <f t="shared" si="16"/>
        <v>1785793904896</v>
      </c>
      <c r="I181" s="11">
        <f t="shared" si="19"/>
        <v>-52523350144</v>
      </c>
      <c r="J181" s="11">
        <f t="shared" si="19"/>
        <v>1544804416</v>
      </c>
      <c r="K181" s="11">
        <f t="shared" si="19"/>
        <v>-45435424</v>
      </c>
      <c r="L181" s="11">
        <f t="shared" si="19"/>
        <v>1336336</v>
      </c>
      <c r="M181" s="11">
        <f t="shared" si="19"/>
        <v>-39304</v>
      </c>
      <c r="N181" s="11">
        <f t="shared" si="19"/>
        <v>1156</v>
      </c>
      <c r="O181" s="11">
        <f t="shared" si="19"/>
        <v>-34</v>
      </c>
      <c r="P181" s="11">
        <f t="shared" si="18"/>
        <v>0</v>
      </c>
    </row>
    <row r="182" spans="1:16" x14ac:dyDescent="0.25">
      <c r="A182" s="11">
        <f t="shared" si="17"/>
        <v>127</v>
      </c>
      <c r="B182">
        <v>-3.6603739579735919</v>
      </c>
      <c r="E182" s="11">
        <f>A182-'Mastercurve bestimmen'!$B$2</f>
        <v>-33</v>
      </c>
      <c r="F182" s="11">
        <f t="shared" si="15"/>
        <v>-3.6603739579735919</v>
      </c>
      <c r="G182" s="11"/>
      <c r="H182" s="11">
        <f t="shared" si="16"/>
        <v>1406408618241</v>
      </c>
      <c r="I182" s="11">
        <f t="shared" si="19"/>
        <v>-42618442977</v>
      </c>
      <c r="J182" s="11">
        <f t="shared" si="19"/>
        <v>1291467969</v>
      </c>
      <c r="K182" s="11">
        <f t="shared" si="19"/>
        <v>-39135393</v>
      </c>
      <c r="L182" s="11">
        <f t="shared" si="19"/>
        <v>1185921</v>
      </c>
      <c r="M182" s="11">
        <f t="shared" si="19"/>
        <v>-35937</v>
      </c>
      <c r="N182" s="11">
        <f t="shared" si="19"/>
        <v>1089</v>
      </c>
      <c r="O182" s="11">
        <f t="shared" si="19"/>
        <v>-33</v>
      </c>
      <c r="P182" s="11">
        <f t="shared" si="18"/>
        <v>0</v>
      </c>
    </row>
    <row r="183" spans="1:16" x14ac:dyDescent="0.25">
      <c r="A183" s="11">
        <f t="shared" si="17"/>
        <v>128</v>
      </c>
      <c r="B183">
        <v>-3.417721289176495</v>
      </c>
      <c r="E183" s="11">
        <f>A183-'Mastercurve bestimmen'!$B$2</f>
        <v>-32</v>
      </c>
      <c r="F183" s="11">
        <f t="shared" si="15"/>
        <v>-3.417721289176495</v>
      </c>
      <c r="G183" s="11"/>
      <c r="H183" s="11">
        <f t="shared" si="16"/>
        <v>1099511627776</v>
      </c>
      <c r="I183" s="11">
        <f t="shared" si="19"/>
        <v>-34359738368</v>
      </c>
      <c r="J183" s="11">
        <f t="shared" si="19"/>
        <v>1073741824</v>
      </c>
      <c r="K183" s="11">
        <f t="shared" si="19"/>
        <v>-33554432</v>
      </c>
      <c r="L183" s="11">
        <f t="shared" si="19"/>
        <v>1048576</v>
      </c>
      <c r="M183" s="11">
        <f t="shared" si="19"/>
        <v>-32768</v>
      </c>
      <c r="N183" s="11">
        <f t="shared" si="19"/>
        <v>1024</v>
      </c>
      <c r="O183" s="11">
        <f t="shared" si="19"/>
        <v>-32</v>
      </c>
      <c r="P183" s="11">
        <f t="shared" si="18"/>
        <v>0</v>
      </c>
    </row>
    <row r="184" spans="1:16" x14ac:dyDescent="0.25">
      <c r="A184" s="11">
        <f t="shared" si="17"/>
        <v>129</v>
      </c>
      <c r="B184">
        <v>-3.1872285199943082</v>
      </c>
      <c r="E184" s="11">
        <f>A184-'Mastercurve bestimmen'!$B$2</f>
        <v>-31</v>
      </c>
      <c r="F184" s="11">
        <f t="shared" si="15"/>
        <v>-3.1872285199943082</v>
      </c>
      <c r="G184" s="11"/>
      <c r="H184" s="11">
        <f t="shared" si="16"/>
        <v>852891037441</v>
      </c>
      <c r="I184" s="11">
        <f t="shared" si="19"/>
        <v>-27512614111</v>
      </c>
      <c r="J184" s="11">
        <f t="shared" si="19"/>
        <v>887503681</v>
      </c>
      <c r="K184" s="11">
        <f t="shared" si="19"/>
        <v>-28629151</v>
      </c>
      <c r="L184" s="11">
        <f t="shared" si="19"/>
        <v>923521</v>
      </c>
      <c r="M184" s="11">
        <f t="shared" si="19"/>
        <v>-29791</v>
      </c>
      <c r="N184" s="11">
        <f t="shared" si="19"/>
        <v>961</v>
      </c>
      <c r="O184" s="11">
        <f t="shared" si="19"/>
        <v>-31</v>
      </c>
      <c r="P184" s="11">
        <f t="shared" si="18"/>
        <v>0</v>
      </c>
    </row>
    <row r="185" spans="1:16" x14ac:dyDescent="0.25">
      <c r="A185" s="11">
        <f t="shared" si="17"/>
        <v>130</v>
      </c>
      <c r="B185">
        <v>-2.9685156535640669</v>
      </c>
      <c r="E185" s="11">
        <f>A185-'Mastercurve bestimmen'!$B$2</f>
        <v>-30</v>
      </c>
      <c r="F185" s="11">
        <f t="shared" si="15"/>
        <v>-2.9685156535640669</v>
      </c>
      <c r="G185" s="11"/>
      <c r="H185" s="11">
        <f t="shared" si="16"/>
        <v>656100000000</v>
      </c>
      <c r="I185" s="11">
        <f t="shared" si="19"/>
        <v>-21870000000</v>
      </c>
      <c r="J185" s="11">
        <f t="shared" si="19"/>
        <v>729000000</v>
      </c>
      <c r="K185" s="11">
        <f t="shared" si="19"/>
        <v>-24300000</v>
      </c>
      <c r="L185" s="11">
        <f t="shared" si="19"/>
        <v>810000</v>
      </c>
      <c r="M185" s="11">
        <f t="shared" si="19"/>
        <v>-27000</v>
      </c>
      <c r="N185" s="11">
        <f t="shared" si="19"/>
        <v>900</v>
      </c>
      <c r="O185" s="11">
        <f t="shared" si="19"/>
        <v>-30</v>
      </c>
      <c r="P185" s="11">
        <f t="shared" si="18"/>
        <v>0</v>
      </c>
    </row>
    <row r="186" spans="1:16" x14ac:dyDescent="0.25">
      <c r="A186" s="11">
        <f t="shared" si="17"/>
        <v>131</v>
      </c>
      <c r="B186">
        <v>-2.761202693022804</v>
      </c>
      <c r="E186" s="11">
        <f>A186-'Mastercurve bestimmen'!$B$2</f>
        <v>-29</v>
      </c>
      <c r="F186" s="11">
        <f t="shared" si="15"/>
        <v>-2.761202693022804</v>
      </c>
      <c r="G186" s="11"/>
      <c r="H186" s="11">
        <f t="shared" si="16"/>
        <v>500246412961</v>
      </c>
      <c r="I186" s="11">
        <f t="shared" si="19"/>
        <v>-17249876309</v>
      </c>
      <c r="J186" s="11">
        <f t="shared" si="19"/>
        <v>594823321</v>
      </c>
      <c r="K186" s="11">
        <f t="shared" si="19"/>
        <v>-20511149</v>
      </c>
      <c r="L186" s="11">
        <f t="shared" si="19"/>
        <v>707281</v>
      </c>
      <c r="M186" s="11">
        <f t="shared" si="19"/>
        <v>-24389</v>
      </c>
      <c r="N186" s="11">
        <f t="shared" si="19"/>
        <v>841</v>
      </c>
      <c r="O186" s="11">
        <f t="shared" si="19"/>
        <v>-29</v>
      </c>
      <c r="P186" s="11">
        <f t="shared" si="18"/>
        <v>0</v>
      </c>
    </row>
    <row r="187" spans="1:16" x14ac:dyDescent="0.25">
      <c r="A187" s="11">
        <f t="shared" si="17"/>
        <v>132</v>
      </c>
      <c r="B187">
        <v>-2.5649096415075539</v>
      </c>
      <c r="E187" s="11">
        <f>A187-'Mastercurve bestimmen'!$B$2</f>
        <v>-28</v>
      </c>
      <c r="F187" s="11">
        <f t="shared" si="15"/>
        <v>-2.5649096415075539</v>
      </c>
      <c r="G187" s="11"/>
      <c r="H187" s="11">
        <f t="shared" si="16"/>
        <v>377801998336</v>
      </c>
      <c r="I187" s="11">
        <f t="shared" si="19"/>
        <v>-13492928512</v>
      </c>
      <c r="J187" s="11">
        <f t="shared" si="19"/>
        <v>481890304</v>
      </c>
      <c r="K187" s="11">
        <f t="shared" si="19"/>
        <v>-17210368</v>
      </c>
      <c r="L187" s="11">
        <f t="shared" si="19"/>
        <v>614656</v>
      </c>
      <c r="M187" s="11">
        <f t="shared" si="19"/>
        <v>-21952</v>
      </c>
      <c r="N187" s="11">
        <f t="shared" si="19"/>
        <v>784</v>
      </c>
      <c r="O187" s="11">
        <f t="shared" si="19"/>
        <v>-28</v>
      </c>
      <c r="P187" s="11">
        <f t="shared" si="18"/>
        <v>0</v>
      </c>
    </row>
    <row r="188" spans="1:16" x14ac:dyDescent="0.25">
      <c r="A188" s="11">
        <f t="shared" si="17"/>
        <v>133</v>
      </c>
      <c r="B188">
        <v>-2.3792565021553509</v>
      </c>
      <c r="E188" s="11">
        <f>A188-'Mastercurve bestimmen'!$B$2</f>
        <v>-27</v>
      </c>
      <c r="F188" s="11">
        <f t="shared" si="15"/>
        <v>-2.3792565021553509</v>
      </c>
      <c r="G188" s="11"/>
      <c r="H188" s="11">
        <f t="shared" si="16"/>
        <v>282429536481</v>
      </c>
      <c r="I188" s="11">
        <f t="shared" si="19"/>
        <v>-10460353203</v>
      </c>
      <c r="J188" s="11">
        <f t="shared" si="19"/>
        <v>387420489</v>
      </c>
      <c r="K188" s="11">
        <f t="shared" si="19"/>
        <v>-14348907</v>
      </c>
      <c r="L188" s="11">
        <f t="shared" si="19"/>
        <v>531441</v>
      </c>
      <c r="M188" s="11">
        <f t="shared" si="19"/>
        <v>-19683</v>
      </c>
      <c r="N188" s="11">
        <f t="shared" si="19"/>
        <v>729</v>
      </c>
      <c r="O188" s="11">
        <f t="shared" si="19"/>
        <v>-27</v>
      </c>
      <c r="P188" s="11">
        <f t="shared" si="18"/>
        <v>0</v>
      </c>
    </row>
    <row r="189" spans="1:16" x14ac:dyDescent="0.25">
      <c r="A189" s="11">
        <f t="shared" si="17"/>
        <v>134</v>
      </c>
      <c r="B189">
        <v>-2.2038632781032295</v>
      </c>
      <c r="E189" s="11">
        <f>A189-'Mastercurve bestimmen'!$B$2</f>
        <v>-26</v>
      </c>
      <c r="F189" s="11">
        <f t="shared" si="15"/>
        <v>-2.2038632781032295</v>
      </c>
      <c r="G189" s="11"/>
      <c r="H189" s="11">
        <f t="shared" si="16"/>
        <v>208827064576</v>
      </c>
      <c r="I189" s="11">
        <f t="shared" si="19"/>
        <v>-8031810176</v>
      </c>
      <c r="J189" s="11">
        <f t="shared" ref="I189:O215" si="20">IF($H$12&gt;=J$14,$E189^J$14,0)</f>
        <v>308915776</v>
      </c>
      <c r="K189" s="11">
        <f t="shared" si="20"/>
        <v>-11881376</v>
      </c>
      <c r="L189" s="11">
        <f t="shared" si="20"/>
        <v>456976</v>
      </c>
      <c r="M189" s="11">
        <f t="shared" si="20"/>
        <v>-17576</v>
      </c>
      <c r="N189" s="11">
        <f t="shared" si="20"/>
        <v>676</v>
      </c>
      <c r="O189" s="11">
        <f t="shared" si="20"/>
        <v>-26</v>
      </c>
      <c r="P189" s="11">
        <f t="shared" si="18"/>
        <v>0</v>
      </c>
    </row>
    <row r="190" spans="1:16" x14ac:dyDescent="0.25">
      <c r="A190" s="11">
        <f t="shared" si="17"/>
        <v>135</v>
      </c>
      <c r="B190">
        <v>-2.0383499724882226</v>
      </c>
      <c r="E190" s="11">
        <f>A190-'Mastercurve bestimmen'!$B$2</f>
        <v>-25</v>
      </c>
      <c r="F190" s="11">
        <f t="shared" si="15"/>
        <v>-2.0383499724882226</v>
      </c>
      <c r="G190" s="11"/>
      <c r="H190" s="11">
        <f t="shared" si="16"/>
        <v>152587890625</v>
      </c>
      <c r="I190" s="11">
        <f t="shared" si="20"/>
        <v>-6103515625</v>
      </c>
      <c r="J190" s="11">
        <f t="shared" si="20"/>
        <v>244140625</v>
      </c>
      <c r="K190" s="11">
        <f t="shared" si="20"/>
        <v>-9765625</v>
      </c>
      <c r="L190" s="11">
        <f t="shared" si="20"/>
        <v>390625</v>
      </c>
      <c r="M190" s="11">
        <f t="shared" si="20"/>
        <v>-15625</v>
      </c>
      <c r="N190" s="11">
        <f t="shared" si="20"/>
        <v>625</v>
      </c>
      <c r="O190" s="11">
        <f t="shared" si="20"/>
        <v>-25</v>
      </c>
      <c r="P190" s="11">
        <f t="shared" si="18"/>
        <v>0</v>
      </c>
    </row>
    <row r="191" spans="1:16" x14ac:dyDescent="0.25">
      <c r="A191" s="11">
        <f t="shared" si="17"/>
        <v>136</v>
      </c>
      <c r="B191">
        <v>-1.8823365884473651</v>
      </c>
      <c r="E191" s="11">
        <f>A191-'Mastercurve bestimmen'!$B$2</f>
        <v>-24</v>
      </c>
      <c r="F191" s="11">
        <f t="shared" si="15"/>
        <v>-1.8823365884473651</v>
      </c>
      <c r="G191" s="11"/>
      <c r="H191" s="11">
        <f t="shared" si="16"/>
        <v>110075314176</v>
      </c>
      <c r="I191" s="11">
        <f t="shared" si="20"/>
        <v>-4586471424</v>
      </c>
      <c r="J191" s="11">
        <f t="shared" si="20"/>
        <v>191102976</v>
      </c>
      <c r="K191" s="11">
        <f t="shared" si="20"/>
        <v>-7962624</v>
      </c>
      <c r="L191" s="11">
        <f t="shared" si="20"/>
        <v>331776</v>
      </c>
      <c r="M191" s="11">
        <f t="shared" si="20"/>
        <v>-13824</v>
      </c>
      <c r="N191" s="11">
        <f t="shared" si="20"/>
        <v>576</v>
      </c>
      <c r="O191" s="11">
        <f t="shared" si="20"/>
        <v>-24</v>
      </c>
      <c r="P191" s="11">
        <f t="shared" si="18"/>
        <v>0</v>
      </c>
    </row>
    <row r="192" spans="1:16" x14ac:dyDescent="0.25">
      <c r="A192" s="11">
        <f t="shared" si="17"/>
        <v>137</v>
      </c>
      <c r="B192">
        <v>-1.7354431291176902</v>
      </c>
      <c r="E192" s="11">
        <f>A192-'Mastercurve bestimmen'!$B$2</f>
        <v>-23</v>
      </c>
      <c r="F192" s="11">
        <f t="shared" si="15"/>
        <v>-1.7354431291176902</v>
      </c>
      <c r="G192" s="11"/>
      <c r="H192" s="11">
        <f t="shared" si="16"/>
        <v>78310985281</v>
      </c>
      <c r="I192" s="11">
        <f t="shared" si="20"/>
        <v>-3404825447</v>
      </c>
      <c r="J192" s="11">
        <f t="shared" si="20"/>
        <v>148035889</v>
      </c>
      <c r="K192" s="11">
        <f t="shared" si="20"/>
        <v>-6436343</v>
      </c>
      <c r="L192" s="11">
        <f t="shared" si="20"/>
        <v>279841</v>
      </c>
      <c r="M192" s="11">
        <f t="shared" si="20"/>
        <v>-12167</v>
      </c>
      <c r="N192" s="11">
        <f t="shared" si="20"/>
        <v>529</v>
      </c>
      <c r="O192" s="11">
        <f t="shared" si="20"/>
        <v>-23</v>
      </c>
      <c r="P192" s="11">
        <f t="shared" si="18"/>
        <v>0</v>
      </c>
    </row>
    <row r="193" spans="1:16" x14ac:dyDescent="0.25">
      <c r="A193" s="11">
        <f t="shared" si="17"/>
        <v>138</v>
      </c>
      <c r="B193">
        <v>-1.5972895976362329</v>
      </c>
      <c r="E193" s="11">
        <f>A193-'Mastercurve bestimmen'!$B$2</f>
        <v>-22</v>
      </c>
      <c r="F193" s="11">
        <f t="shared" si="15"/>
        <v>-1.5972895976362329</v>
      </c>
      <c r="G193" s="11"/>
      <c r="H193" s="11">
        <f t="shared" si="16"/>
        <v>54875873536</v>
      </c>
      <c r="I193" s="11">
        <f t="shared" si="20"/>
        <v>-2494357888</v>
      </c>
      <c r="J193" s="11">
        <f t="shared" si="20"/>
        <v>113379904</v>
      </c>
      <c r="K193" s="11">
        <f t="shared" si="20"/>
        <v>-5153632</v>
      </c>
      <c r="L193" s="11">
        <f t="shared" si="20"/>
        <v>234256</v>
      </c>
      <c r="M193" s="11">
        <f t="shared" si="20"/>
        <v>-10648</v>
      </c>
      <c r="N193" s="11">
        <f t="shared" si="20"/>
        <v>484</v>
      </c>
      <c r="O193" s="11">
        <f t="shared" si="20"/>
        <v>-22</v>
      </c>
      <c r="P193" s="11">
        <f t="shared" si="18"/>
        <v>0</v>
      </c>
    </row>
    <row r="194" spans="1:16" x14ac:dyDescent="0.25">
      <c r="A194" s="11">
        <f t="shared" si="17"/>
        <v>139</v>
      </c>
      <c r="B194">
        <v>-1.4674959971400265</v>
      </c>
      <c r="E194" s="11">
        <f>A194-'Mastercurve bestimmen'!$B$2</f>
        <v>-21</v>
      </c>
      <c r="F194" s="11">
        <f t="shared" si="15"/>
        <v>-1.4674959971400265</v>
      </c>
      <c r="G194" s="11"/>
      <c r="H194" s="11">
        <f t="shared" si="16"/>
        <v>37822859361</v>
      </c>
      <c r="I194" s="11">
        <f t="shared" si="20"/>
        <v>-1801088541</v>
      </c>
      <c r="J194" s="11">
        <f t="shared" si="20"/>
        <v>85766121</v>
      </c>
      <c r="K194" s="11">
        <f t="shared" si="20"/>
        <v>-4084101</v>
      </c>
      <c r="L194" s="11">
        <f t="shared" si="20"/>
        <v>194481</v>
      </c>
      <c r="M194" s="11">
        <f t="shared" si="20"/>
        <v>-9261</v>
      </c>
      <c r="N194" s="11">
        <f t="shared" si="20"/>
        <v>441</v>
      </c>
      <c r="O194" s="11">
        <f t="shared" si="20"/>
        <v>-21</v>
      </c>
      <c r="P194" s="11">
        <f t="shared" si="18"/>
        <v>0</v>
      </c>
    </row>
    <row r="195" spans="1:16" x14ac:dyDescent="0.25">
      <c r="A195" s="11">
        <f t="shared" si="17"/>
        <v>140</v>
      </c>
      <c r="B195">
        <v>-1.3456823307661054</v>
      </c>
      <c r="E195" s="11">
        <f>A195-'Mastercurve bestimmen'!$B$2</f>
        <v>-20</v>
      </c>
      <c r="F195" s="11">
        <f t="shared" si="15"/>
        <v>-1.3456823307661054</v>
      </c>
      <c r="G195" s="11"/>
      <c r="H195" s="11">
        <f t="shared" si="16"/>
        <v>25600000000</v>
      </c>
      <c r="I195" s="11">
        <f t="shared" si="20"/>
        <v>-1280000000</v>
      </c>
      <c r="J195" s="11">
        <f t="shared" si="20"/>
        <v>64000000</v>
      </c>
      <c r="K195" s="11">
        <f t="shared" si="20"/>
        <v>-3200000</v>
      </c>
      <c r="L195" s="11">
        <f t="shared" si="20"/>
        <v>160000</v>
      </c>
      <c r="M195" s="11">
        <f t="shared" si="20"/>
        <v>-8000</v>
      </c>
      <c r="N195" s="11">
        <f t="shared" si="20"/>
        <v>400</v>
      </c>
      <c r="O195" s="11">
        <f t="shared" si="20"/>
        <v>-20</v>
      </c>
      <c r="P195" s="11">
        <f t="shared" si="18"/>
        <v>0</v>
      </c>
    </row>
    <row r="196" spans="1:16" x14ac:dyDescent="0.25">
      <c r="A196" s="11">
        <f t="shared" si="17"/>
        <v>141</v>
      </c>
      <c r="B196">
        <v>-1.2314686016515037</v>
      </c>
      <c r="E196" s="11">
        <f>A196-'Mastercurve bestimmen'!$B$2</f>
        <v>-19</v>
      </c>
      <c r="F196" s="11">
        <f t="shared" si="15"/>
        <v>-1.2314686016515037</v>
      </c>
      <c r="G196" s="11"/>
      <c r="H196" s="11">
        <f t="shared" si="16"/>
        <v>16983563041</v>
      </c>
      <c r="I196" s="11">
        <f t="shared" si="20"/>
        <v>-893871739</v>
      </c>
      <c r="J196" s="11">
        <f t="shared" si="20"/>
        <v>47045881</v>
      </c>
      <c r="K196" s="11">
        <f t="shared" si="20"/>
        <v>-2476099</v>
      </c>
      <c r="L196" s="11">
        <f t="shared" si="20"/>
        <v>130321</v>
      </c>
      <c r="M196" s="11">
        <f t="shared" si="20"/>
        <v>-6859</v>
      </c>
      <c r="N196" s="11">
        <f t="shared" si="20"/>
        <v>361</v>
      </c>
      <c r="O196" s="11">
        <f t="shared" si="20"/>
        <v>-19</v>
      </c>
      <c r="P196" s="11">
        <f t="shared" si="18"/>
        <v>0</v>
      </c>
    </row>
    <row r="197" spans="1:16" x14ac:dyDescent="0.25">
      <c r="A197" s="11">
        <f t="shared" si="17"/>
        <v>142</v>
      </c>
      <c r="B197">
        <v>-1.1244748129332551</v>
      </c>
      <c r="E197" s="11">
        <f>A197-'Mastercurve bestimmen'!$B$2</f>
        <v>-18</v>
      </c>
      <c r="F197" s="11">
        <f t="shared" si="15"/>
        <v>-1.1244748129332551</v>
      </c>
      <c r="G197" s="11"/>
      <c r="H197" s="11">
        <f t="shared" si="16"/>
        <v>11019960576</v>
      </c>
      <c r="I197" s="11">
        <f t="shared" si="20"/>
        <v>-612220032</v>
      </c>
      <c r="J197" s="11">
        <f t="shared" si="20"/>
        <v>34012224</v>
      </c>
      <c r="K197" s="11">
        <f t="shared" si="20"/>
        <v>-1889568</v>
      </c>
      <c r="L197" s="11">
        <f t="shared" si="20"/>
        <v>104976</v>
      </c>
      <c r="M197" s="11">
        <f t="shared" si="20"/>
        <v>-5832</v>
      </c>
      <c r="N197" s="11">
        <f t="shared" si="20"/>
        <v>324</v>
      </c>
      <c r="O197" s="11">
        <f t="shared" si="20"/>
        <v>-18</v>
      </c>
      <c r="P197" s="11">
        <f t="shared" si="18"/>
        <v>0</v>
      </c>
    </row>
    <row r="198" spans="1:16" x14ac:dyDescent="0.25">
      <c r="A198" s="11">
        <f t="shared" si="17"/>
        <v>143</v>
      </c>
      <c r="B198">
        <v>-1.0243209677483942</v>
      </c>
      <c r="E198" s="11">
        <f>A198-'Mastercurve bestimmen'!$B$2</f>
        <v>-17</v>
      </c>
      <c r="F198" s="11">
        <f t="shared" si="15"/>
        <v>-1.0243209677483942</v>
      </c>
      <c r="G198" s="11"/>
      <c r="H198" s="11">
        <f t="shared" si="16"/>
        <v>6975757441</v>
      </c>
      <c r="I198" s="11">
        <f t="shared" si="20"/>
        <v>-410338673</v>
      </c>
      <c r="J198" s="11">
        <f t="shared" si="20"/>
        <v>24137569</v>
      </c>
      <c r="K198" s="11">
        <f t="shared" si="20"/>
        <v>-1419857</v>
      </c>
      <c r="L198" s="11">
        <f t="shared" si="20"/>
        <v>83521</v>
      </c>
      <c r="M198" s="11">
        <f t="shared" si="20"/>
        <v>-4913</v>
      </c>
      <c r="N198" s="11">
        <f t="shared" si="20"/>
        <v>289</v>
      </c>
      <c r="O198" s="11">
        <f t="shared" si="20"/>
        <v>-17</v>
      </c>
      <c r="P198" s="11">
        <f t="shared" si="18"/>
        <v>0</v>
      </c>
    </row>
    <row r="199" spans="1:16" x14ac:dyDescent="0.25">
      <c r="A199" s="11">
        <f t="shared" si="17"/>
        <v>144</v>
      </c>
      <c r="B199">
        <v>-0.93062706923395444</v>
      </c>
      <c r="E199" s="11">
        <f>A199-'Mastercurve bestimmen'!$B$2</f>
        <v>-16</v>
      </c>
      <c r="F199" s="11">
        <f t="shared" si="15"/>
        <v>-0.93062706923395444</v>
      </c>
      <c r="G199" s="11"/>
      <c r="H199" s="11">
        <f t="shared" si="16"/>
        <v>4294967296</v>
      </c>
      <c r="I199" s="11">
        <f t="shared" si="20"/>
        <v>-268435456</v>
      </c>
      <c r="J199" s="11">
        <f t="shared" si="20"/>
        <v>16777216</v>
      </c>
      <c r="K199" s="11">
        <f t="shared" si="20"/>
        <v>-1048576</v>
      </c>
      <c r="L199" s="11">
        <f t="shared" si="20"/>
        <v>65536</v>
      </c>
      <c r="M199" s="11">
        <f t="shared" si="20"/>
        <v>-4096</v>
      </c>
      <c r="N199" s="11">
        <f t="shared" si="20"/>
        <v>256</v>
      </c>
      <c r="O199" s="11">
        <f t="shared" si="20"/>
        <v>-16</v>
      </c>
      <c r="P199" s="11">
        <f t="shared" si="18"/>
        <v>0</v>
      </c>
    </row>
    <row r="200" spans="1:16" x14ac:dyDescent="0.25">
      <c r="A200" s="11">
        <f t="shared" si="17"/>
        <v>145</v>
      </c>
      <c r="B200">
        <v>-0.84301312052697008</v>
      </c>
      <c r="E200" s="11">
        <f>A200-'Mastercurve bestimmen'!$B$2</f>
        <v>-15</v>
      </c>
      <c r="F200" s="11">
        <f t="shared" si="15"/>
        <v>-0.84301312052697008</v>
      </c>
      <c r="G200" s="11"/>
      <c r="H200" s="11">
        <f t="shared" si="16"/>
        <v>2562890625</v>
      </c>
      <c r="I200" s="11">
        <f t="shared" si="20"/>
        <v>-170859375</v>
      </c>
      <c r="J200" s="11">
        <f t="shared" si="20"/>
        <v>11390625</v>
      </c>
      <c r="K200" s="11">
        <f t="shared" si="20"/>
        <v>-759375</v>
      </c>
      <c r="L200" s="11">
        <f t="shared" si="20"/>
        <v>50625</v>
      </c>
      <c r="M200" s="11">
        <f t="shared" si="20"/>
        <v>-3375</v>
      </c>
      <c r="N200" s="11">
        <f t="shared" si="20"/>
        <v>225</v>
      </c>
      <c r="O200" s="11">
        <f t="shared" si="20"/>
        <v>-15</v>
      </c>
      <c r="P200" s="11">
        <f t="shared" si="18"/>
        <v>0</v>
      </c>
    </row>
    <row r="201" spans="1:16" x14ac:dyDescent="0.25">
      <c r="A201" s="11">
        <f t="shared" si="17"/>
        <v>146</v>
      </c>
      <c r="B201">
        <v>-0.76109912476447528</v>
      </c>
      <c r="E201" s="11">
        <f>A201-'Mastercurve bestimmen'!$B$2</f>
        <v>-14</v>
      </c>
      <c r="F201" s="11">
        <f t="shared" si="15"/>
        <v>-0.76109912476447528</v>
      </c>
      <c r="G201" s="11"/>
      <c r="H201" s="11">
        <f t="shared" si="16"/>
        <v>1475789056</v>
      </c>
      <c r="I201" s="11">
        <f t="shared" si="20"/>
        <v>-105413504</v>
      </c>
      <c r="J201" s="11">
        <f t="shared" si="20"/>
        <v>7529536</v>
      </c>
      <c r="K201" s="11">
        <f t="shared" si="20"/>
        <v>-537824</v>
      </c>
      <c r="L201" s="11">
        <f t="shared" si="20"/>
        <v>38416</v>
      </c>
      <c r="M201" s="11">
        <f t="shared" si="20"/>
        <v>-2744</v>
      </c>
      <c r="N201" s="11">
        <f t="shared" si="20"/>
        <v>196</v>
      </c>
      <c r="O201" s="11">
        <f t="shared" si="20"/>
        <v>-14</v>
      </c>
      <c r="P201" s="11">
        <f t="shared" si="18"/>
        <v>0</v>
      </c>
    </row>
    <row r="202" spans="1:16" x14ac:dyDescent="0.25">
      <c r="A202" s="11">
        <f t="shared" si="17"/>
        <v>147</v>
      </c>
      <c r="B202">
        <v>-0.68450508508350383</v>
      </c>
      <c r="E202" s="11">
        <f>A202-'Mastercurve bestimmen'!$B$2</f>
        <v>-13</v>
      </c>
      <c r="F202" s="11">
        <f t="shared" si="15"/>
        <v>-0.68450508508350383</v>
      </c>
      <c r="G202" s="11"/>
      <c r="H202" s="11">
        <f t="shared" si="16"/>
        <v>815730721</v>
      </c>
      <c r="I202" s="11">
        <f t="shared" si="20"/>
        <v>-62748517</v>
      </c>
      <c r="J202" s="11">
        <f t="shared" si="20"/>
        <v>4826809</v>
      </c>
      <c r="K202" s="11">
        <f t="shared" si="20"/>
        <v>-371293</v>
      </c>
      <c r="L202" s="11">
        <f t="shared" si="20"/>
        <v>28561</v>
      </c>
      <c r="M202" s="11">
        <f t="shared" si="20"/>
        <v>-2197</v>
      </c>
      <c r="N202" s="11">
        <f t="shared" si="20"/>
        <v>169</v>
      </c>
      <c r="O202" s="11">
        <f t="shared" si="20"/>
        <v>-13</v>
      </c>
      <c r="P202" s="11">
        <f t="shared" si="18"/>
        <v>0</v>
      </c>
    </row>
    <row r="203" spans="1:16" x14ac:dyDescent="0.25">
      <c r="A203" s="11">
        <f t="shared" si="17"/>
        <v>148</v>
      </c>
      <c r="B203">
        <v>-0.6128510046210901</v>
      </c>
      <c r="E203" s="11">
        <f>A203-'Mastercurve bestimmen'!$B$2</f>
        <v>-12</v>
      </c>
      <c r="F203" s="11">
        <f t="shared" si="15"/>
        <v>-0.6128510046210901</v>
      </c>
      <c r="G203" s="11"/>
      <c r="H203" s="11">
        <f t="shared" si="16"/>
        <v>429981696</v>
      </c>
      <c r="I203" s="11">
        <f t="shared" si="20"/>
        <v>-35831808</v>
      </c>
      <c r="J203" s="11">
        <f t="shared" si="20"/>
        <v>2985984</v>
      </c>
      <c r="K203" s="11">
        <f t="shared" si="20"/>
        <v>-248832</v>
      </c>
      <c r="L203" s="11">
        <f t="shared" si="20"/>
        <v>20736</v>
      </c>
      <c r="M203" s="11">
        <f t="shared" si="20"/>
        <v>-1728</v>
      </c>
      <c r="N203" s="11">
        <f t="shared" si="20"/>
        <v>144</v>
      </c>
      <c r="O203" s="11">
        <f t="shared" si="20"/>
        <v>-12</v>
      </c>
      <c r="P203" s="11">
        <f t="shared" si="18"/>
        <v>0</v>
      </c>
    </row>
    <row r="204" spans="1:16" x14ac:dyDescent="0.25">
      <c r="A204" s="11">
        <f t="shared" si="17"/>
        <v>149</v>
      </c>
      <c r="B204">
        <v>-0.54575688651426779</v>
      </c>
      <c r="E204" s="11">
        <f>A204-'Mastercurve bestimmen'!$B$2</f>
        <v>-11</v>
      </c>
      <c r="F204" s="11">
        <f t="shared" si="15"/>
        <v>-0.54575688651426779</v>
      </c>
      <c r="G204" s="11"/>
      <c r="H204" s="11">
        <f t="shared" si="16"/>
        <v>214358881</v>
      </c>
      <c r="I204" s="11">
        <f t="shared" si="20"/>
        <v>-19487171</v>
      </c>
      <c r="J204" s="11">
        <f t="shared" si="20"/>
        <v>1771561</v>
      </c>
      <c r="K204" s="11">
        <f t="shared" si="20"/>
        <v>-161051</v>
      </c>
      <c r="L204" s="11">
        <f t="shared" si="20"/>
        <v>14641</v>
      </c>
      <c r="M204" s="11">
        <f t="shared" si="20"/>
        <v>-1331</v>
      </c>
      <c r="N204" s="11">
        <f t="shared" si="20"/>
        <v>121</v>
      </c>
      <c r="O204" s="11">
        <f t="shared" si="20"/>
        <v>-11</v>
      </c>
      <c r="P204" s="11">
        <f t="shared" si="18"/>
        <v>0</v>
      </c>
    </row>
    <row r="205" spans="1:16" x14ac:dyDescent="0.25">
      <c r="A205" s="11">
        <f t="shared" si="17"/>
        <v>150</v>
      </c>
      <c r="B205">
        <v>-0.48284273390007104</v>
      </c>
      <c r="E205" s="11">
        <f>A205-'Mastercurve bestimmen'!$B$2</f>
        <v>-10</v>
      </c>
      <c r="F205" s="11">
        <f t="shared" si="15"/>
        <v>-0.48284273390007104</v>
      </c>
      <c r="G205" s="11"/>
      <c r="H205" s="11">
        <f t="shared" si="16"/>
        <v>100000000</v>
      </c>
      <c r="I205" s="11">
        <f t="shared" si="20"/>
        <v>-10000000</v>
      </c>
      <c r="J205" s="11">
        <f t="shared" si="20"/>
        <v>1000000</v>
      </c>
      <c r="K205" s="11">
        <f t="shared" si="20"/>
        <v>-100000</v>
      </c>
      <c r="L205" s="11">
        <f t="shared" si="20"/>
        <v>10000</v>
      </c>
      <c r="M205" s="11">
        <f t="shared" si="20"/>
        <v>-1000</v>
      </c>
      <c r="N205" s="11">
        <f t="shared" si="20"/>
        <v>100</v>
      </c>
      <c r="O205" s="11">
        <f t="shared" si="20"/>
        <v>-10</v>
      </c>
      <c r="P205" s="11">
        <f t="shared" si="18"/>
        <v>0</v>
      </c>
    </row>
    <row r="206" spans="1:16" x14ac:dyDescent="0.25">
      <c r="A206" s="11">
        <f t="shared" si="17"/>
        <v>151</v>
      </c>
      <c r="B206">
        <v>-0.42372854991553399</v>
      </c>
      <c r="E206" s="11">
        <f>A206-'Mastercurve bestimmen'!$B$2</f>
        <v>-9</v>
      </c>
      <c r="F206" s="11">
        <f t="shared" si="15"/>
        <v>-0.42372854991553399</v>
      </c>
      <c r="G206" s="11"/>
      <c r="H206" s="11">
        <f t="shared" si="16"/>
        <v>43046721</v>
      </c>
      <c r="I206" s="11">
        <f t="shared" si="20"/>
        <v>-4782969</v>
      </c>
      <c r="J206" s="11">
        <f t="shared" si="20"/>
        <v>531441</v>
      </c>
      <c r="K206" s="11">
        <f t="shared" si="20"/>
        <v>-59049</v>
      </c>
      <c r="L206" s="11">
        <f t="shared" si="20"/>
        <v>6561</v>
      </c>
      <c r="M206" s="11">
        <f t="shared" si="20"/>
        <v>-729</v>
      </c>
      <c r="N206" s="11">
        <f t="shared" si="20"/>
        <v>81</v>
      </c>
      <c r="O206" s="11">
        <f t="shared" si="20"/>
        <v>-9</v>
      </c>
      <c r="P206" s="11">
        <f t="shared" si="18"/>
        <v>0</v>
      </c>
    </row>
    <row r="207" spans="1:16" x14ac:dyDescent="0.25">
      <c r="A207" s="11">
        <f t="shared" si="17"/>
        <v>152</v>
      </c>
      <c r="B207">
        <v>-0.36803433769769056</v>
      </c>
      <c r="E207" s="11">
        <f>A207-'Mastercurve bestimmen'!$B$2</f>
        <v>-8</v>
      </c>
      <c r="F207" s="11">
        <f t="shared" si="15"/>
        <v>-0.36803433769769056</v>
      </c>
      <c r="G207" s="11"/>
      <c r="H207" s="11">
        <f t="shared" si="16"/>
        <v>16777216</v>
      </c>
      <c r="I207" s="11">
        <f t="shared" si="20"/>
        <v>-2097152</v>
      </c>
      <c r="J207" s="11">
        <f t="shared" si="20"/>
        <v>262144</v>
      </c>
      <c r="K207" s="11">
        <f t="shared" si="20"/>
        <v>-32768</v>
      </c>
      <c r="L207" s="11">
        <f t="shared" si="20"/>
        <v>4096</v>
      </c>
      <c r="M207" s="11">
        <f t="shared" si="20"/>
        <v>-512</v>
      </c>
      <c r="N207" s="11">
        <f t="shared" si="20"/>
        <v>64</v>
      </c>
      <c r="O207" s="11">
        <f t="shared" si="20"/>
        <v>-8</v>
      </c>
      <c r="P207" s="11">
        <f t="shared" si="18"/>
        <v>0</v>
      </c>
    </row>
    <row r="208" spans="1:16" x14ac:dyDescent="0.25">
      <c r="A208" s="11">
        <f t="shared" si="17"/>
        <v>153</v>
      </c>
      <c r="B208">
        <v>-0.31538010038357489</v>
      </c>
      <c r="E208" s="11">
        <f>A208-'Mastercurve bestimmen'!$B$2</f>
        <v>-7</v>
      </c>
      <c r="F208" s="11">
        <f t="shared" ref="F208:F215" si="21">B208</f>
        <v>-0.31538010038357489</v>
      </c>
      <c r="G208" s="11"/>
      <c r="H208" s="11">
        <f t="shared" ref="H208:H215" si="22">IF($H$12&gt;=H$14,$E208^H$14,0)</f>
        <v>5764801</v>
      </c>
      <c r="I208" s="11">
        <f t="shared" si="20"/>
        <v>-823543</v>
      </c>
      <c r="J208" s="11">
        <f t="shared" si="20"/>
        <v>117649</v>
      </c>
      <c r="K208" s="11">
        <f t="shared" si="20"/>
        <v>-16807</v>
      </c>
      <c r="L208" s="11">
        <f t="shared" si="20"/>
        <v>2401</v>
      </c>
      <c r="M208" s="11">
        <f t="shared" si="20"/>
        <v>-343</v>
      </c>
      <c r="N208" s="11">
        <f t="shared" si="20"/>
        <v>49</v>
      </c>
      <c r="O208" s="11">
        <f t="shared" si="20"/>
        <v>-7</v>
      </c>
      <c r="P208" s="11">
        <f t="shared" si="18"/>
        <v>0</v>
      </c>
    </row>
    <row r="209" spans="1:16" x14ac:dyDescent="0.25">
      <c r="A209" s="11">
        <f t="shared" ref="A209:A215" si="23">A208+1</f>
        <v>154</v>
      </c>
      <c r="B209">
        <v>-0.26538584111022101</v>
      </c>
      <c r="E209" s="11">
        <f>A209-'Mastercurve bestimmen'!$B$2</f>
        <v>-6</v>
      </c>
      <c r="F209" s="11">
        <f t="shared" si="21"/>
        <v>-0.26538584111022101</v>
      </c>
      <c r="G209" s="11"/>
      <c r="H209" s="11">
        <f t="shared" si="22"/>
        <v>1679616</v>
      </c>
      <c r="I209" s="11">
        <f t="shared" si="20"/>
        <v>-279936</v>
      </c>
      <c r="J209" s="11">
        <f t="shared" si="20"/>
        <v>46656</v>
      </c>
      <c r="K209" s="11">
        <f t="shared" si="20"/>
        <v>-7776</v>
      </c>
      <c r="L209" s="11">
        <f t="shared" si="20"/>
        <v>1296</v>
      </c>
      <c r="M209" s="11">
        <f t="shared" si="20"/>
        <v>-216</v>
      </c>
      <c r="N209" s="11">
        <f t="shared" si="20"/>
        <v>36</v>
      </c>
      <c r="O209" s="11">
        <f t="shared" si="20"/>
        <v>-6</v>
      </c>
      <c r="P209" s="11">
        <f t="shared" ref="P209:P215" si="24">P208</f>
        <v>0</v>
      </c>
    </row>
    <row r="210" spans="1:16" x14ac:dyDescent="0.25">
      <c r="A210" s="11">
        <f t="shared" si="23"/>
        <v>155</v>
      </c>
      <c r="B210">
        <v>-0.21767156301466278</v>
      </c>
      <c r="E210" s="11">
        <f>A210-'Mastercurve bestimmen'!$B$2</f>
        <v>-5</v>
      </c>
      <c r="F210" s="11">
        <f t="shared" si="21"/>
        <v>-0.21767156301466278</v>
      </c>
      <c r="G210" s="11"/>
      <c r="H210" s="11">
        <f t="shared" si="22"/>
        <v>390625</v>
      </c>
      <c r="I210" s="11">
        <f t="shared" si="20"/>
        <v>-78125</v>
      </c>
      <c r="J210" s="11">
        <f t="shared" si="20"/>
        <v>15625</v>
      </c>
      <c r="K210" s="11">
        <f t="shared" si="20"/>
        <v>-3125</v>
      </c>
      <c r="L210" s="11">
        <f t="shared" si="20"/>
        <v>625</v>
      </c>
      <c r="M210" s="11">
        <f t="shared" si="20"/>
        <v>-125</v>
      </c>
      <c r="N210" s="11">
        <f t="shared" si="20"/>
        <v>25</v>
      </c>
      <c r="O210" s="11">
        <f t="shared" si="20"/>
        <v>-5</v>
      </c>
      <c r="P210" s="11">
        <f t="shared" si="24"/>
        <v>0</v>
      </c>
    </row>
    <row r="211" spans="1:16" x14ac:dyDescent="0.25">
      <c r="A211" s="11">
        <f t="shared" si="23"/>
        <v>156</v>
      </c>
      <c r="B211">
        <v>-0.17185726923393446</v>
      </c>
      <c r="E211" s="11">
        <f>A211-'Mastercurve bestimmen'!$B$2</f>
        <v>-4</v>
      </c>
      <c r="F211" s="11">
        <f t="shared" si="21"/>
        <v>-0.17185726923393446</v>
      </c>
      <c r="G211" s="11"/>
      <c r="H211" s="11">
        <f t="shared" si="22"/>
        <v>65536</v>
      </c>
      <c r="I211" s="11">
        <f t="shared" si="20"/>
        <v>-16384</v>
      </c>
      <c r="J211" s="11">
        <f t="shared" si="20"/>
        <v>4096</v>
      </c>
      <c r="K211" s="11">
        <f t="shared" si="20"/>
        <v>-1024</v>
      </c>
      <c r="L211" s="11">
        <f t="shared" si="20"/>
        <v>256</v>
      </c>
      <c r="M211" s="11">
        <f t="shared" si="20"/>
        <v>-64</v>
      </c>
      <c r="N211" s="11">
        <f t="shared" si="20"/>
        <v>16</v>
      </c>
      <c r="O211" s="11">
        <f t="shared" si="20"/>
        <v>-4</v>
      </c>
      <c r="P211" s="11">
        <f t="shared" si="24"/>
        <v>0</v>
      </c>
    </row>
    <row r="212" spans="1:16" x14ac:dyDescent="0.25">
      <c r="A212" s="11">
        <f t="shared" si="23"/>
        <v>157</v>
      </c>
      <c r="B212">
        <v>-0.12756296290506999</v>
      </c>
      <c r="E212" s="11">
        <f>A212-'Mastercurve bestimmen'!$B$2</f>
        <v>-3</v>
      </c>
      <c r="F212" s="11">
        <f t="shared" si="21"/>
        <v>-0.12756296290506999</v>
      </c>
      <c r="G212" s="11"/>
      <c r="H212" s="11">
        <f t="shared" si="22"/>
        <v>6561</v>
      </c>
      <c r="I212" s="11">
        <f t="shared" si="20"/>
        <v>-2187</v>
      </c>
      <c r="J212" s="11">
        <f t="shared" si="20"/>
        <v>729</v>
      </c>
      <c r="K212" s="11">
        <f t="shared" si="20"/>
        <v>-243</v>
      </c>
      <c r="L212" s="11">
        <f t="shared" si="20"/>
        <v>81</v>
      </c>
      <c r="M212" s="11">
        <f t="shared" si="20"/>
        <v>-27</v>
      </c>
      <c r="N212" s="11">
        <f t="shared" si="20"/>
        <v>9</v>
      </c>
      <c r="O212" s="11">
        <f t="shared" si="20"/>
        <v>-3</v>
      </c>
      <c r="P212" s="11">
        <f t="shared" si="24"/>
        <v>0</v>
      </c>
    </row>
    <row r="213" spans="1:16" x14ac:dyDescent="0.25">
      <c r="A213" s="11">
        <f t="shared" si="23"/>
        <v>158</v>
      </c>
      <c r="B213">
        <v>-8.4408647165103379E-2</v>
      </c>
      <c r="E213" s="11">
        <f>A213-'Mastercurve bestimmen'!$B$2</f>
        <v>-2</v>
      </c>
      <c r="F213" s="11">
        <f t="shared" si="21"/>
        <v>-8.4408647165103379E-2</v>
      </c>
      <c r="G213" s="11"/>
      <c r="H213" s="11">
        <f t="shared" si="22"/>
        <v>256</v>
      </c>
      <c r="I213" s="11">
        <f t="shared" si="20"/>
        <v>-128</v>
      </c>
      <c r="J213" s="11">
        <f t="shared" si="20"/>
        <v>64</v>
      </c>
      <c r="K213" s="11">
        <f t="shared" si="20"/>
        <v>-32</v>
      </c>
      <c r="L213" s="11">
        <f t="shared" si="20"/>
        <v>16</v>
      </c>
      <c r="M213" s="11">
        <f t="shared" si="20"/>
        <v>-8</v>
      </c>
      <c r="N213" s="11">
        <f t="shared" si="20"/>
        <v>4</v>
      </c>
      <c r="O213" s="11">
        <f t="shared" si="20"/>
        <v>-2</v>
      </c>
      <c r="P213" s="11">
        <f t="shared" si="24"/>
        <v>0</v>
      </c>
    </row>
    <row r="214" spans="1:16" x14ac:dyDescent="0.25">
      <c r="A214" s="11">
        <f t="shared" si="23"/>
        <v>159</v>
      </c>
      <c r="B214">
        <v>-4.2014325151068711E-2</v>
      </c>
      <c r="E214" s="11">
        <f>A214-'Mastercurve bestimmen'!$B$2</f>
        <v>-1</v>
      </c>
      <c r="F214" s="11">
        <f t="shared" si="21"/>
        <v>-4.2014325151068711E-2</v>
      </c>
      <c r="G214" s="11"/>
      <c r="H214" s="11">
        <f t="shared" si="22"/>
        <v>1</v>
      </c>
      <c r="I214" s="11">
        <f t="shared" si="20"/>
        <v>-1</v>
      </c>
      <c r="J214" s="11">
        <f t="shared" si="20"/>
        <v>1</v>
      </c>
      <c r="K214" s="11">
        <f t="shared" si="20"/>
        <v>-1</v>
      </c>
      <c r="L214" s="11">
        <f t="shared" si="20"/>
        <v>1</v>
      </c>
      <c r="M214" s="11">
        <f t="shared" si="20"/>
        <v>-1</v>
      </c>
      <c r="N214" s="11">
        <f t="shared" si="20"/>
        <v>1</v>
      </c>
      <c r="O214" s="11">
        <f t="shared" si="20"/>
        <v>-1</v>
      </c>
      <c r="P214" s="11">
        <f t="shared" si="24"/>
        <v>0</v>
      </c>
    </row>
    <row r="215" spans="1:16" x14ac:dyDescent="0.25">
      <c r="A215" s="11">
        <f t="shared" si="23"/>
        <v>160</v>
      </c>
      <c r="B215">
        <v>0</v>
      </c>
      <c r="E215" s="11">
        <f>A215-'Mastercurve bestimmen'!$B$2</f>
        <v>0</v>
      </c>
      <c r="F215" s="11">
        <f t="shared" si="21"/>
        <v>0</v>
      </c>
      <c r="G215" s="11"/>
      <c r="H215" s="11">
        <f t="shared" si="22"/>
        <v>0</v>
      </c>
      <c r="I215" s="11">
        <f t="shared" si="20"/>
        <v>0</v>
      </c>
      <c r="J215" s="11">
        <f t="shared" si="20"/>
        <v>0</v>
      </c>
      <c r="K215" s="11">
        <f t="shared" si="20"/>
        <v>0</v>
      </c>
      <c r="L215" s="11">
        <f t="shared" si="20"/>
        <v>0</v>
      </c>
      <c r="M215" s="11">
        <f t="shared" si="20"/>
        <v>0</v>
      </c>
      <c r="N215" s="11">
        <f t="shared" si="20"/>
        <v>0</v>
      </c>
      <c r="O215" s="11">
        <f t="shared" si="20"/>
        <v>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0.148981413244447</v>
      </c>
      <c r="J217" s="98">
        <v>1.4060787657338503E-2</v>
      </c>
      <c r="K217" s="98">
        <v>6.6486125192969465E-4</v>
      </c>
      <c r="L217" s="98">
        <v>1.0884385753252694E-5</v>
      </c>
      <c r="M217" s="98">
        <v>8.8555255828174989E-8</v>
      </c>
      <c r="N217" s="98">
        <v>3.8365779016836814E-10</v>
      </c>
      <c r="O217" s="98">
        <v>8.3244638346224829E-13</v>
      </c>
      <c r="P217" s="98">
        <v>6.8971415979089285E-16</v>
      </c>
    </row>
    <row r="218" spans="1:16" x14ac:dyDescent="0.25">
      <c r="G218" s="11"/>
      <c r="H218" s="11">
        <v>0</v>
      </c>
      <c r="I218" s="11">
        <v>8.6705856599194227E-3</v>
      </c>
      <c r="J218" s="11">
        <v>8.5989840996989755E-4</v>
      </c>
      <c r="K218" s="3">
        <v>3.262701394011949E-5</v>
      </c>
      <c r="L218" s="3">
        <v>6.2198092002517749E-7</v>
      </c>
      <c r="M218" s="3">
        <v>6.5482739101532332E-9</v>
      </c>
      <c r="N218" s="3">
        <v>3.8631561523332904E-11</v>
      </c>
      <c r="O218" s="11">
        <v>1.1959734888952924E-13</v>
      </c>
      <c r="P218" s="11">
        <v>1.5121462830421147E-16</v>
      </c>
    </row>
    <row r="219" spans="1:16" x14ac:dyDescent="0.25">
      <c r="G219" s="11"/>
      <c r="H219" s="11">
        <v>0.99998461253774507</v>
      </c>
      <c r="I219" s="11">
        <v>0.11840523240779671</v>
      </c>
      <c r="J219" s="11" t="e">
        <v>#N/A</v>
      </c>
      <c r="K219" s="11" t="e">
        <v>#N/A</v>
      </c>
      <c r="L219" s="11" t="e">
        <v>#N/A</v>
      </c>
      <c r="M219" s="11" t="e">
        <v>#N/A</v>
      </c>
      <c r="N219" s="11" t="e">
        <v>#N/A</v>
      </c>
      <c r="O219" s="11" t="e">
        <v>#N/A</v>
      </c>
      <c r="P219" s="11" t="e">
        <v>#N/A</v>
      </c>
    </row>
    <row r="222" spans="1:16" x14ac:dyDescent="0.25">
      <c r="E222">
        <f>E15</f>
        <v>-200</v>
      </c>
      <c r="F222">
        <f>$H$217*0+E222*$I$217+E222^2*$J$217+E222^3*$K$217+E222^4*$L$217+E222^5*$M$217+E222^6*$N$217+E222^7*$O$217+E222^8*$P$217</f>
        <v>-44.466340081120279</v>
      </c>
      <c r="G222">
        <f>F15</f>
        <v>-44.26089696904954</v>
      </c>
    </row>
    <row r="223" spans="1:16" x14ac:dyDescent="0.25">
      <c r="E223" s="11">
        <f t="shared" ref="E223:E286" si="25">E16</f>
        <v>-199</v>
      </c>
      <c r="F223" s="11">
        <f t="shared" ref="F223:F286" si="26">$H$217*0+E223*$I$217+E223^2*$J$217+E223^3*$K$217+E223^4*$L$217+E223^5*$M$217+E223^6*$N$217+E223^7*$O$217+E223^8*$P$217</f>
        <v>-44.337388846653084</v>
      </c>
      <c r="G223" s="11">
        <f t="shared" ref="G223:G286" si="27">F16</f>
        <v>-44.20889855651459</v>
      </c>
    </row>
    <row r="224" spans="1:16" x14ac:dyDescent="0.25">
      <c r="E224" s="11">
        <f t="shared" si="25"/>
        <v>-198</v>
      </c>
      <c r="F224" s="11">
        <f t="shared" si="26"/>
        <v>-44.221591889892125</v>
      </c>
      <c r="G224" s="11">
        <f t="shared" si="27"/>
        <v>-44.156814570595721</v>
      </c>
    </row>
    <row r="225" spans="5:7" x14ac:dyDescent="0.25">
      <c r="E225" s="11">
        <f t="shared" si="25"/>
        <v>-197</v>
      </c>
      <c r="F225" s="11">
        <f t="shared" si="26"/>
        <v>-44.117556557404896</v>
      </c>
      <c r="G225" s="11">
        <f t="shared" si="27"/>
        <v>-44.10455943790906</v>
      </c>
    </row>
    <row r="226" spans="5:7" x14ac:dyDescent="0.25">
      <c r="E226" s="11">
        <f t="shared" si="25"/>
        <v>-196</v>
      </c>
      <c r="F226" s="11">
        <f t="shared" si="26"/>
        <v>-44.023965306291984</v>
      </c>
      <c r="G226" s="11">
        <f t="shared" si="27"/>
        <v>-44.052047585070675</v>
      </c>
    </row>
    <row r="227" spans="5:7" x14ac:dyDescent="0.25">
      <c r="E227" s="11">
        <f t="shared" si="25"/>
        <v>-195</v>
      </c>
      <c r="F227" s="11">
        <f t="shared" si="26"/>
        <v>-43.939573513900541</v>
      </c>
      <c r="G227" s="11">
        <f t="shared" si="27"/>
        <v>-43.999193438696686</v>
      </c>
    </row>
    <row r="228" spans="5:7" x14ac:dyDescent="0.25">
      <c r="E228" s="11">
        <f t="shared" si="25"/>
        <v>-194</v>
      </c>
      <c r="F228" s="11">
        <f t="shared" si="26"/>
        <v>-43.863207298188399</v>
      </c>
      <c r="G228" s="11">
        <f t="shared" si="27"/>
        <v>-43.94591142540316</v>
      </c>
    </row>
    <row r="229" spans="5:7" x14ac:dyDescent="0.25">
      <c r="E229" s="11">
        <f t="shared" si="25"/>
        <v>-193</v>
      </c>
      <c r="F229" s="11">
        <f t="shared" si="26"/>
        <v>-43.793761350021896</v>
      </c>
      <c r="G229" s="11">
        <f t="shared" si="27"/>
        <v>-43.892115971806234</v>
      </c>
    </row>
    <row r="230" spans="5:7" x14ac:dyDescent="0.25">
      <c r="E230" s="11">
        <f t="shared" si="25"/>
        <v>-192</v>
      </c>
      <c r="F230" s="11">
        <f t="shared" si="26"/>
        <v>-43.730196778630443</v>
      </c>
      <c r="G230" s="11">
        <f t="shared" si="27"/>
        <v>-43.837721504521959</v>
      </c>
    </row>
    <row r="231" spans="5:7" x14ac:dyDescent="0.25">
      <c r="E231" s="11">
        <f t="shared" si="25"/>
        <v>-191</v>
      </c>
      <c r="F231" s="11">
        <f t="shared" si="26"/>
        <v>-43.671538971412929</v>
      </c>
      <c r="G231" s="11">
        <f t="shared" si="27"/>
        <v>-43.78264245016647</v>
      </c>
    </row>
    <row r="232" spans="5:7" x14ac:dyDescent="0.25">
      <c r="E232" s="11">
        <f t="shared" si="25"/>
        <v>-190</v>
      </c>
      <c r="F232" s="11">
        <f t="shared" si="26"/>
        <v>-43.616875469374236</v>
      </c>
      <c r="G232" s="11">
        <f t="shared" si="27"/>
        <v>-43.726793235355835</v>
      </c>
    </row>
    <row r="233" spans="5:7" x14ac:dyDescent="0.25">
      <c r="E233" s="11">
        <f t="shared" si="25"/>
        <v>-189</v>
      </c>
      <c r="F233" s="11">
        <f t="shared" si="26"/>
        <v>-43.565353859208017</v>
      </c>
      <c r="G233" s="11">
        <f t="shared" si="27"/>
        <v>-43.670088286706175</v>
      </c>
    </row>
    <row r="234" spans="5:7" x14ac:dyDescent="0.25">
      <c r="E234" s="11">
        <f t="shared" si="25"/>
        <v>-188</v>
      </c>
      <c r="F234" s="11">
        <f t="shared" si="26"/>
        <v>-43.516179683266046</v>
      </c>
      <c r="G234" s="11">
        <f t="shared" si="27"/>
        <v>-43.612442030833563</v>
      </c>
    </row>
    <row r="235" spans="5:7" x14ac:dyDescent="0.25">
      <c r="E235" s="11">
        <f t="shared" si="25"/>
        <v>-187</v>
      </c>
      <c r="F235" s="11">
        <f t="shared" si="26"/>
        <v>-43.468614368485532</v>
      </c>
      <c r="G235" s="11">
        <f t="shared" si="27"/>
        <v>-43.553768894354107</v>
      </c>
    </row>
    <row r="236" spans="5:7" x14ac:dyDescent="0.25">
      <c r="E236" s="11">
        <f t="shared" si="25"/>
        <v>-186</v>
      </c>
      <c r="F236" s="11">
        <f t="shared" si="26"/>
        <v>-43.42197317533703</v>
      </c>
      <c r="G236" s="11">
        <f t="shared" si="27"/>
        <v>-43.493983303883908</v>
      </c>
    </row>
    <row r="237" spans="5:7" x14ac:dyDescent="0.25">
      <c r="E237" s="11">
        <f t="shared" si="25"/>
        <v>-185</v>
      </c>
      <c r="F237" s="11">
        <f t="shared" si="26"/>
        <v>-43.375623167819185</v>
      </c>
      <c r="G237" s="11">
        <f t="shared" si="27"/>
        <v>-43.432999686039054</v>
      </c>
    </row>
    <row r="238" spans="5:7" x14ac:dyDescent="0.25">
      <c r="E238" s="11">
        <f t="shared" si="25"/>
        <v>-184</v>
      </c>
      <c r="F238" s="11">
        <f t="shared" si="26"/>
        <v>-43.328981205596619</v>
      </c>
      <c r="G238" s="11">
        <f t="shared" si="27"/>
        <v>-43.370732467435637</v>
      </c>
    </row>
    <row r="239" spans="5:7" x14ac:dyDescent="0.25">
      <c r="E239" s="11">
        <f t="shared" si="25"/>
        <v>-183</v>
      </c>
      <c r="F239" s="11">
        <f t="shared" si="26"/>
        <v>-43.281511959180534</v>
      </c>
      <c r="G239" s="11">
        <f t="shared" si="27"/>
        <v>-43.307096074689767</v>
      </c>
    </row>
    <row r="240" spans="5:7" x14ac:dyDescent="0.25">
      <c r="E240" s="11">
        <f t="shared" si="25"/>
        <v>-182</v>
      </c>
      <c r="F240" s="11">
        <f t="shared" si="26"/>
        <v>-43.232725949162955</v>
      </c>
      <c r="G240" s="11">
        <f t="shared" si="27"/>
        <v>-43.242004934417523</v>
      </c>
    </row>
    <row r="241" spans="5:7" x14ac:dyDescent="0.25">
      <c r="E241" s="11">
        <f t="shared" si="25"/>
        <v>-181</v>
      </c>
      <c r="F241" s="11">
        <f t="shared" si="26"/>
        <v>-43.182177610454801</v>
      </c>
      <c r="G241" s="11">
        <f t="shared" si="27"/>
        <v>-43.175373473235013</v>
      </c>
    </row>
    <row r="242" spans="5:7" x14ac:dyDescent="0.25">
      <c r="E242" s="11">
        <f t="shared" si="25"/>
        <v>-180</v>
      </c>
      <c r="F242" s="11">
        <f t="shared" si="26"/>
        <v>-43.129463382382028</v>
      </c>
      <c r="G242" s="11">
        <f t="shared" si="27"/>
        <v>-43.107116117758338</v>
      </c>
    </row>
    <row r="243" spans="5:7" x14ac:dyDescent="0.25">
      <c r="E243" s="11">
        <f t="shared" si="25"/>
        <v>-179</v>
      </c>
      <c r="F243" s="11">
        <f t="shared" si="26"/>
        <v>-43.074219825574346</v>
      </c>
      <c r="G243" s="11">
        <f t="shared" si="27"/>
        <v>-43.037147294603578</v>
      </c>
    </row>
    <row r="244" spans="5:7" x14ac:dyDescent="0.25">
      <c r="E244" s="11">
        <f t="shared" si="25"/>
        <v>-178</v>
      </c>
      <c r="F244" s="11">
        <f t="shared" si="26"/>
        <v>-43.016121766453466</v>
      </c>
      <c r="G244" s="11">
        <f t="shared" si="27"/>
        <v>-42.965381430386842</v>
      </c>
    </row>
    <row r="245" spans="5:7" x14ac:dyDescent="0.25">
      <c r="E245" s="11">
        <f t="shared" si="25"/>
        <v>-177</v>
      </c>
      <c r="F245" s="11">
        <f t="shared" si="26"/>
        <v>-42.954880470189323</v>
      </c>
      <c r="G245" s="11">
        <f t="shared" si="27"/>
        <v>-42.891732951724222</v>
      </c>
    </row>
    <row r="246" spans="5:7" x14ac:dyDescent="0.25">
      <c r="E246" s="11">
        <f t="shared" si="25"/>
        <v>-176</v>
      </c>
      <c r="F246" s="11">
        <f t="shared" si="26"/>
        <v>-42.890241842875412</v>
      </c>
      <c r="G246" s="11">
        <f t="shared" si="27"/>
        <v>-42.816116285231821</v>
      </c>
    </row>
    <row r="247" spans="5:7" x14ac:dyDescent="0.25">
      <c r="E247" s="11">
        <f t="shared" si="25"/>
        <v>-175</v>
      </c>
      <c r="F247" s="11">
        <f t="shared" si="26"/>
        <v>-42.821984663731769</v>
      </c>
      <c r="G247" s="11">
        <f t="shared" si="27"/>
        <v>-42.738445857525718</v>
      </c>
    </row>
    <row r="248" spans="5:7" x14ac:dyDescent="0.25">
      <c r="E248" s="11">
        <f t="shared" si="25"/>
        <v>-174</v>
      </c>
      <c r="F248" s="11">
        <f t="shared" si="26"/>
        <v>-42.749918848041148</v>
      </c>
      <c r="G248" s="11">
        <f t="shared" si="27"/>
        <v>-42.658636095222029</v>
      </c>
    </row>
    <row r="249" spans="5:7" x14ac:dyDescent="0.25">
      <c r="E249" s="11">
        <f t="shared" si="25"/>
        <v>-173</v>
      </c>
      <c r="F249" s="11">
        <f t="shared" si="26"/>
        <v>-42.673883741560417</v>
      </c>
      <c r="G249" s="11">
        <f t="shared" si="27"/>
        <v>-42.57660142493684</v>
      </c>
    </row>
    <row r="250" spans="5:7" x14ac:dyDescent="0.25">
      <c r="E250" s="11">
        <f t="shared" si="25"/>
        <v>-172</v>
      </c>
      <c r="F250" s="11">
        <f t="shared" si="26"/>
        <v>-42.593746447070657</v>
      </c>
      <c r="G250" s="11">
        <f t="shared" si="27"/>
        <v>-42.492256273286245</v>
      </c>
    </row>
    <row r="251" spans="5:7" x14ac:dyDescent="0.25">
      <c r="E251" s="11">
        <f t="shared" si="25"/>
        <v>-171</v>
      </c>
      <c r="F251" s="11">
        <f t="shared" si="26"/>
        <v>-42.509400183742514</v>
      </c>
      <c r="G251" s="11">
        <f t="shared" si="27"/>
        <v>-42.405515066886345</v>
      </c>
    </row>
    <row r="252" spans="5:7" x14ac:dyDescent="0.25">
      <c r="E252" s="11">
        <f t="shared" si="25"/>
        <v>-170</v>
      </c>
      <c r="F252" s="11">
        <f t="shared" si="26"/>
        <v>-42.420762679919164</v>
      </c>
      <c r="G252" s="11">
        <f t="shared" si="27"/>
        <v>-42.316292232353234</v>
      </c>
    </row>
    <row r="253" spans="5:7" x14ac:dyDescent="0.25">
      <c r="E253" s="11">
        <f t="shared" si="25"/>
        <v>-169</v>
      </c>
      <c r="F253" s="11">
        <f t="shared" si="26"/>
        <v>-42.32777459996089</v>
      </c>
      <c r="G253" s="11">
        <f t="shared" si="27"/>
        <v>-42.224502196303</v>
      </c>
    </row>
    <row r="254" spans="5:7" x14ac:dyDescent="0.25">
      <c r="E254" s="11">
        <f t="shared" si="25"/>
        <v>-168</v>
      </c>
      <c r="F254" s="11">
        <f t="shared" si="26"/>
        <v>-42.230398005667325</v>
      </c>
      <c r="G254" s="11">
        <f t="shared" si="27"/>
        <v>-42.130059385351764</v>
      </c>
    </row>
    <row r="255" spans="5:7" x14ac:dyDescent="0.25">
      <c r="E255" s="11">
        <f t="shared" si="25"/>
        <v>-167</v>
      </c>
      <c r="F255" s="11">
        <f t="shared" si="26"/>
        <v>-42.12861485287533</v>
      </c>
      <c r="G255" s="11">
        <f t="shared" si="27"/>
        <v>-42.032878226115599</v>
      </c>
    </row>
    <row r="256" spans="5:7" x14ac:dyDescent="0.25">
      <c r="E256" s="11">
        <f t="shared" si="25"/>
        <v>-166</v>
      </c>
      <c r="F256" s="11">
        <f t="shared" si="26"/>
        <v>-42.022425523738889</v>
      </c>
      <c r="G256" s="11">
        <f t="shared" si="27"/>
        <v>-41.932873145210607</v>
      </c>
    </row>
    <row r="257" spans="5:7" x14ac:dyDescent="0.25">
      <c r="E257" s="11">
        <f t="shared" si="25"/>
        <v>-165</v>
      </c>
      <c r="F257" s="11">
        <f t="shared" si="26"/>
        <v>-41.911847395145685</v>
      </c>
      <c r="G257" s="11">
        <f t="shared" si="27"/>
        <v>-41.829958569252895</v>
      </c>
    </row>
    <row r="258" spans="5:7" x14ac:dyDescent="0.25">
      <c r="E258" s="11">
        <f t="shared" si="25"/>
        <v>-164</v>
      </c>
      <c r="F258" s="11">
        <f t="shared" si="26"/>
        <v>-41.796913443782103</v>
      </c>
      <c r="G258" s="11">
        <f t="shared" si="27"/>
        <v>-41.724048924858536</v>
      </c>
    </row>
    <row r="259" spans="5:7" x14ac:dyDescent="0.25">
      <c r="E259" s="11">
        <f t="shared" si="25"/>
        <v>-163</v>
      </c>
      <c r="F259" s="11">
        <f t="shared" si="26"/>
        <v>-41.6776708882511</v>
      </c>
      <c r="G259" s="11">
        <f t="shared" si="27"/>
        <v>-41.615058638643653</v>
      </c>
    </row>
    <row r="260" spans="5:7" x14ac:dyDescent="0.25">
      <c r="E260" s="11">
        <f t="shared" si="25"/>
        <v>-162</v>
      </c>
      <c r="F260" s="11">
        <f t="shared" si="26"/>
        <v>-41.554179868655694</v>
      </c>
      <c r="G260" s="11">
        <f t="shared" si="27"/>
        <v>-41.502902137224318</v>
      </c>
    </row>
    <row r="261" spans="5:7" x14ac:dyDescent="0.25">
      <c r="E261" s="11">
        <f t="shared" si="25"/>
        <v>-161</v>
      </c>
      <c r="F261" s="11">
        <f t="shared" si="26"/>
        <v>-41.426512164047722</v>
      </c>
      <c r="G261" s="11">
        <f t="shared" si="27"/>
        <v>-41.387493847216646</v>
      </c>
    </row>
    <row r="262" spans="5:7" x14ac:dyDescent="0.25">
      <c r="E262" s="11">
        <f t="shared" si="25"/>
        <v>-160</v>
      </c>
      <c r="F262" s="11">
        <f t="shared" si="26"/>
        <v>-41.294749948037293</v>
      </c>
      <c r="G262" s="11">
        <f t="shared" si="27"/>
        <v>-41.268748195236725</v>
      </c>
    </row>
    <row r="263" spans="5:7" x14ac:dyDescent="0.25">
      <c r="E263" s="11">
        <f t="shared" si="25"/>
        <v>-159</v>
      </c>
      <c r="F263" s="11">
        <f t="shared" si="26"/>
        <v>-41.158984582970561</v>
      </c>
      <c r="G263" s="11">
        <f t="shared" si="27"/>
        <v>-41.140487197459372</v>
      </c>
    </row>
    <row r="264" spans="5:7" x14ac:dyDescent="0.25">
      <c r="E264" s="11">
        <f t="shared" si="25"/>
        <v>-158</v>
      </c>
      <c r="F264" s="11">
        <f t="shared" si="26"/>
        <v>-41.019315452891476</v>
      </c>
      <c r="G264" s="11">
        <f t="shared" si="27"/>
        <v>-41.008829548991258</v>
      </c>
    </row>
    <row r="265" spans="5:7" x14ac:dyDescent="0.25">
      <c r="E265" s="11">
        <f t="shared" si="25"/>
        <v>-157</v>
      </c>
      <c r="F265" s="11">
        <f t="shared" si="26"/>
        <v>-40.875848835594525</v>
      </c>
      <c r="G265" s="11">
        <f t="shared" si="27"/>
        <v>-40.873801534497765</v>
      </c>
    </row>
    <row r="266" spans="5:7" x14ac:dyDescent="0.25">
      <c r="E266" s="11">
        <f t="shared" si="25"/>
        <v>-156</v>
      </c>
      <c r="F266" s="11">
        <f t="shared" si="26"/>
        <v>-40.72869681401977</v>
      </c>
      <c r="G266" s="11">
        <f t="shared" si="27"/>
        <v>-40.735429438644289</v>
      </c>
    </row>
    <row r="267" spans="5:7" x14ac:dyDescent="0.25">
      <c r="E267" s="11">
        <f t="shared" si="25"/>
        <v>-155</v>
      </c>
      <c r="F267" s="11">
        <f t="shared" si="26"/>
        <v>-40.577976227173394</v>
      </c>
      <c r="G267" s="11">
        <f t="shared" si="27"/>
        <v>-40.593739546096231</v>
      </c>
    </row>
    <row r="268" spans="5:7" x14ac:dyDescent="0.25">
      <c r="E268" s="11">
        <f t="shared" si="25"/>
        <v>-154</v>
      </c>
      <c r="F268" s="11">
        <f t="shared" si="26"/>
        <v>-40.423807660756523</v>
      </c>
      <c r="G268" s="11">
        <f t="shared" si="27"/>
        <v>-40.448758141518979</v>
      </c>
    </row>
    <row r="269" spans="5:7" x14ac:dyDescent="0.25">
      <c r="E269" s="11">
        <f t="shared" si="25"/>
        <v>-153</v>
      </c>
      <c r="F269" s="11">
        <f t="shared" si="26"/>
        <v>-40.266314477705748</v>
      </c>
      <c r="G269" s="11">
        <f t="shared" si="27"/>
        <v>-40.300511509577916</v>
      </c>
    </row>
    <row r="270" spans="5:7" x14ac:dyDescent="0.25">
      <c r="E270" s="11">
        <f t="shared" si="25"/>
        <v>-152</v>
      </c>
      <c r="F270" s="11">
        <f t="shared" si="26"/>
        <v>-40.105621888715092</v>
      </c>
      <c r="G270" s="11">
        <f t="shared" si="27"/>
        <v>-40.149025934938436</v>
      </c>
    </row>
    <row r="271" spans="5:7" x14ac:dyDescent="0.25">
      <c r="E271" s="11">
        <f t="shared" si="25"/>
        <v>-151</v>
      </c>
      <c r="F271" s="11">
        <f t="shared" si="26"/>
        <v>-39.941856062870954</v>
      </c>
      <c r="G271" s="11">
        <f t="shared" si="27"/>
        <v>-39.994327702265934</v>
      </c>
    </row>
    <row r="272" spans="5:7" x14ac:dyDescent="0.25">
      <c r="E272" s="11">
        <f t="shared" si="25"/>
        <v>-150</v>
      </c>
      <c r="F272" s="11">
        <f t="shared" si="26"/>
        <v>-39.775143278481579</v>
      </c>
      <c r="G272" s="11">
        <f t="shared" si="27"/>
        <v>-39.836443096225793</v>
      </c>
    </row>
    <row r="273" spans="5:7" x14ac:dyDescent="0.25">
      <c r="E273" s="11">
        <f t="shared" si="25"/>
        <v>-149</v>
      </c>
      <c r="F273" s="11">
        <f t="shared" si="26"/>
        <v>-39.605609114116987</v>
      </c>
      <c r="G273" s="11">
        <f t="shared" si="27"/>
        <v>-39.675398401483406</v>
      </c>
    </row>
    <row r="274" spans="5:7" x14ac:dyDescent="0.25">
      <c r="E274" s="11">
        <f t="shared" si="25"/>
        <v>-148</v>
      </c>
      <c r="F274" s="11">
        <f t="shared" si="26"/>
        <v>-39.433377679903117</v>
      </c>
      <c r="G274" s="11">
        <f t="shared" si="27"/>
        <v>-39.51121990270417</v>
      </c>
    </row>
    <row r="275" spans="5:7" x14ac:dyDescent="0.25">
      <c r="E275" s="11">
        <f t="shared" si="25"/>
        <v>-147</v>
      </c>
      <c r="F275" s="11">
        <f t="shared" si="26"/>
        <v>-39.258570889055221</v>
      </c>
      <c r="G275" s="11">
        <f t="shared" si="27"/>
        <v>-39.343933884553479</v>
      </c>
    </row>
    <row r="276" spans="5:7" x14ac:dyDescent="0.25">
      <c r="E276" s="11">
        <f t="shared" si="25"/>
        <v>-146</v>
      </c>
      <c r="F276" s="11">
        <f t="shared" si="26"/>
        <v>-39.081307769591547</v>
      </c>
      <c r="G276" s="11">
        <f t="shared" si="27"/>
        <v>-39.173566631696715</v>
      </c>
    </row>
    <row r="277" spans="5:7" x14ac:dyDescent="0.25">
      <c r="E277" s="11">
        <f t="shared" si="25"/>
        <v>-145</v>
      </c>
      <c r="F277" s="11">
        <f t="shared" si="26"/>
        <v>-38.901703816195948</v>
      </c>
      <c r="G277" s="11">
        <f t="shared" si="27"/>
        <v>-39.00014442879926</v>
      </c>
    </row>
    <row r="278" spans="5:7" x14ac:dyDescent="0.25">
      <c r="E278" s="11">
        <f t="shared" si="25"/>
        <v>-144</v>
      </c>
      <c r="F278" s="11">
        <f t="shared" si="26"/>
        <v>-38.719870382103977</v>
      </c>
      <c r="G278" s="11">
        <f t="shared" si="27"/>
        <v>-38.823693560526529</v>
      </c>
    </row>
    <row r="279" spans="5:7" x14ac:dyDescent="0.25">
      <c r="E279" s="11">
        <f t="shared" si="25"/>
        <v>-143</v>
      </c>
      <c r="F279" s="11">
        <f t="shared" si="26"/>
        <v>-38.53591411091152</v>
      </c>
      <c r="G279" s="11">
        <f t="shared" si="27"/>
        <v>-38.644240311543889</v>
      </c>
    </row>
    <row r="280" spans="5:7" x14ac:dyDescent="0.25">
      <c r="E280" s="11">
        <f t="shared" si="25"/>
        <v>-142</v>
      </c>
      <c r="F280" s="11">
        <f t="shared" si="26"/>
        <v>-38.349936408147784</v>
      </c>
      <c r="G280" s="11">
        <f t="shared" si="27"/>
        <v>-38.461810966516751</v>
      </c>
    </row>
    <row r="281" spans="5:7" x14ac:dyDescent="0.25">
      <c r="E281" s="11">
        <f t="shared" si="25"/>
        <v>-141</v>
      </c>
      <c r="F281" s="11">
        <f t="shared" si="26"/>
        <v>-38.162032952437016</v>
      </c>
      <c r="G281" s="11">
        <f t="shared" si="27"/>
        <v>-38.276431810110488</v>
      </c>
    </row>
    <row r="282" spans="5:7" x14ac:dyDescent="0.25">
      <c r="E282" s="11">
        <f t="shared" si="25"/>
        <v>-140</v>
      </c>
      <c r="F282" s="11">
        <f t="shared" si="26"/>
        <v>-37.972293246048153</v>
      </c>
      <c r="G282" s="11">
        <f t="shared" si="27"/>
        <v>-38.088129126990502</v>
      </c>
    </row>
    <row r="283" spans="5:7" x14ac:dyDescent="0.25">
      <c r="E283" s="11">
        <f t="shared" si="25"/>
        <v>-139</v>
      </c>
      <c r="F283" s="11">
        <f t="shared" si="26"/>
        <v>-37.780800204586953</v>
      </c>
      <c r="G283" s="11">
        <f t="shared" si="27"/>
        <v>-37.896929201822182</v>
      </c>
    </row>
    <row r="284" spans="5:7" x14ac:dyDescent="0.25">
      <c r="E284" s="11">
        <f t="shared" si="25"/>
        <v>-138</v>
      </c>
      <c r="F284" s="11">
        <f t="shared" si="26"/>
        <v>-37.587629785588916</v>
      </c>
      <c r="G284" s="11">
        <f t="shared" si="27"/>
        <v>-37.702858319270923</v>
      </c>
    </row>
    <row r="285" spans="5:7" x14ac:dyDescent="0.25">
      <c r="E285" s="11">
        <f t="shared" si="25"/>
        <v>-137</v>
      </c>
      <c r="F285" s="11">
        <f t="shared" si="26"/>
        <v>-37.392850655711669</v>
      </c>
      <c r="G285" s="11">
        <f t="shared" si="27"/>
        <v>-37.505942764002107</v>
      </c>
    </row>
    <row r="286" spans="5:7" x14ac:dyDescent="0.25">
      <c r="E286" s="11">
        <f t="shared" si="25"/>
        <v>-136</v>
      </c>
      <c r="F286" s="11">
        <f t="shared" si="26"/>
        <v>-37.196523896210991</v>
      </c>
      <c r="G286" s="11">
        <f t="shared" si="27"/>
        <v>-37.306208820681128</v>
      </c>
    </row>
    <row r="287" spans="5:7" x14ac:dyDescent="0.25">
      <c r="E287" s="11">
        <f t="shared" ref="E287:E350" si="28">E80</f>
        <v>-135</v>
      </c>
      <c r="F287" s="11">
        <f t="shared" ref="F287:F350" si="29">$H$217*0+E287*$I$217+E287^2*$J$217+E287^3*$K$217+E287^4*$L$217+E287^5*$M$217+E287^6*$N$217+E287^7*$O$217+E287^8*$P$217</f>
        <v>-36.998702746361928</v>
      </c>
      <c r="G287" s="11">
        <f t="shared" ref="G287:G350" si="30">F80</f>
        <v>-37.103682773973375</v>
      </c>
    </row>
    <row r="288" spans="5:7" x14ac:dyDescent="0.25">
      <c r="E288" s="11">
        <f t="shared" si="28"/>
        <v>-134</v>
      </c>
      <c r="F288" s="11">
        <f t="shared" si="29"/>
        <v>-36.799432384456011</v>
      </c>
      <c r="G288" s="11">
        <f t="shared" si="30"/>
        <v>-36.898401840779378</v>
      </c>
    </row>
    <row r="289" spans="5:7" x14ac:dyDescent="0.25">
      <c r="E289" s="11">
        <f t="shared" si="28"/>
        <v>-133</v>
      </c>
      <c r="F289" s="11">
        <f t="shared" si="29"/>
        <v>-36.598749745955814</v>
      </c>
      <c r="G289" s="11">
        <f t="shared" si="30"/>
        <v>-36.690446966940229</v>
      </c>
    </row>
    <row r="290" spans="5:7" x14ac:dyDescent="0.25">
      <c r="E290" s="11">
        <f t="shared" si="28"/>
        <v>-132</v>
      </c>
      <c r="F290" s="11">
        <f t="shared" si="29"/>
        <v>-36.396683378406841</v>
      </c>
      <c r="G290" s="11">
        <f t="shared" si="30"/>
        <v>-36.479910030532139</v>
      </c>
    </row>
    <row r="291" spans="5:7" x14ac:dyDescent="0.25">
      <c r="E291" s="11">
        <f t="shared" si="28"/>
        <v>-131</v>
      </c>
      <c r="F291" s="11">
        <f t="shared" si="29"/>
        <v>-36.193253332633603</v>
      </c>
      <c r="G291" s="11">
        <f t="shared" si="30"/>
        <v>-36.266882909631327</v>
      </c>
    </row>
    <row r="292" spans="5:7" x14ac:dyDescent="0.25">
      <c r="E292" s="11">
        <f t="shared" si="28"/>
        <v>-130</v>
      </c>
      <c r="F292" s="11">
        <f t="shared" si="29"/>
        <v>-35.988471089741985</v>
      </c>
      <c r="G292" s="11">
        <f t="shared" si="30"/>
        <v>-36.051457482314028</v>
      </c>
    </row>
    <row r="293" spans="5:7" x14ac:dyDescent="0.25">
      <c r="E293" s="11">
        <f t="shared" si="28"/>
        <v>-129</v>
      </c>
      <c r="F293" s="11">
        <f t="shared" si="29"/>
        <v>-35.782339523412212</v>
      </c>
      <c r="G293" s="11">
        <f t="shared" si="30"/>
        <v>-35.833725626656452</v>
      </c>
    </row>
    <row r="294" spans="5:7" x14ac:dyDescent="0.25">
      <c r="E294" s="11">
        <f t="shared" si="28"/>
        <v>-128</v>
      </c>
      <c r="F294" s="11">
        <f t="shared" si="29"/>
        <v>-35.574852896955051</v>
      </c>
      <c r="G294" s="11">
        <f t="shared" si="30"/>
        <v>-35.613779220734827</v>
      </c>
    </row>
    <row r="295" spans="5:7" x14ac:dyDescent="0.25">
      <c r="E295" s="11">
        <f t="shared" si="28"/>
        <v>-127</v>
      </c>
      <c r="F295" s="11">
        <f t="shared" si="29"/>
        <v>-35.365996894554137</v>
      </c>
      <c r="G295" s="11">
        <f t="shared" si="30"/>
        <v>-35.391710142625371</v>
      </c>
    </row>
    <row r="296" spans="5:7" x14ac:dyDescent="0.25">
      <c r="E296" s="11">
        <f t="shared" si="28"/>
        <v>-126</v>
      </c>
      <c r="F296" s="11">
        <f t="shared" si="29"/>
        <v>-35.155748686103109</v>
      </c>
      <c r="G296" s="11">
        <f t="shared" si="30"/>
        <v>-35.167610270404303</v>
      </c>
    </row>
    <row r="297" spans="5:7" x14ac:dyDescent="0.25">
      <c r="E297" s="11">
        <f t="shared" si="28"/>
        <v>-125</v>
      </c>
      <c r="F297" s="11">
        <f t="shared" si="29"/>
        <v>-34.944077025020121</v>
      </c>
      <c r="G297" s="11">
        <f t="shared" si="30"/>
        <v>-34.941571482147843</v>
      </c>
    </row>
    <row r="298" spans="5:7" x14ac:dyDescent="0.25">
      <c r="E298" s="11">
        <f t="shared" si="28"/>
        <v>-124</v>
      </c>
      <c r="F298" s="11">
        <f t="shared" si="29"/>
        <v>-34.730942378382117</v>
      </c>
      <c r="G298" s="11">
        <f t="shared" si="30"/>
        <v>-34.713685655932224</v>
      </c>
    </row>
    <row r="299" spans="5:7" x14ac:dyDescent="0.25">
      <c r="E299" s="11">
        <f t="shared" si="28"/>
        <v>-123</v>
      </c>
      <c r="F299" s="11">
        <f t="shared" si="29"/>
        <v>-34.516297088708527</v>
      </c>
      <c r="G299" s="11">
        <f t="shared" si="30"/>
        <v>-34.484044669833651</v>
      </c>
    </row>
    <row r="300" spans="5:7" x14ac:dyDescent="0.25">
      <c r="E300" s="11">
        <f t="shared" si="28"/>
        <v>-122</v>
      </c>
      <c r="F300" s="11">
        <f t="shared" si="29"/>
        <v>-34.300085566681467</v>
      </c>
      <c r="G300" s="11">
        <f t="shared" si="30"/>
        <v>-34.252740401928364</v>
      </c>
    </row>
    <row r="301" spans="5:7" x14ac:dyDescent="0.25">
      <c r="E301" s="11">
        <f t="shared" si="28"/>
        <v>-121</v>
      </c>
      <c r="F301" s="11">
        <f t="shared" si="29"/>
        <v>-34.082244514081381</v>
      </c>
      <c r="G301" s="11">
        <f t="shared" si="30"/>
        <v>-34.019864730292568</v>
      </c>
    </row>
    <row r="302" spans="5:7" x14ac:dyDescent="0.25">
      <c r="E302" s="11">
        <f t="shared" si="28"/>
        <v>-120</v>
      </c>
      <c r="F302" s="11">
        <f t="shared" si="29"/>
        <v>-33.86270317615832</v>
      </c>
      <c r="G302" s="11">
        <f t="shared" si="30"/>
        <v>-33.785509533002489</v>
      </c>
    </row>
    <row r="303" spans="5:7" x14ac:dyDescent="0.25">
      <c r="E303" s="11">
        <f t="shared" si="28"/>
        <v>-119</v>
      </c>
      <c r="F303" s="11">
        <f t="shared" si="29"/>
        <v>-33.641383622668926</v>
      </c>
      <c r="G303" s="11">
        <f t="shared" si="30"/>
        <v>-33.549766688134355</v>
      </c>
    </row>
    <row r="304" spans="5:7" x14ac:dyDescent="0.25">
      <c r="E304" s="11">
        <f t="shared" si="28"/>
        <v>-118</v>
      </c>
      <c r="F304" s="11">
        <f t="shared" si="29"/>
        <v>-33.418201056751045</v>
      </c>
      <c r="G304" s="11">
        <f t="shared" si="30"/>
        <v>-33.312728073764376</v>
      </c>
    </row>
    <row r="305" spans="5:7" x14ac:dyDescent="0.25">
      <c r="E305" s="11">
        <f t="shared" si="28"/>
        <v>-117</v>
      </c>
      <c r="F305" s="11">
        <f t="shared" si="29"/>
        <v>-33.193064150793504</v>
      </c>
      <c r="G305" s="11">
        <f t="shared" si="30"/>
        <v>-33.074485567968786</v>
      </c>
    </row>
    <row r="306" spans="5:7" x14ac:dyDescent="0.25">
      <c r="E306" s="11">
        <f t="shared" si="28"/>
        <v>-116</v>
      </c>
      <c r="F306" s="11">
        <f t="shared" si="29"/>
        <v>-32.965875408435451</v>
      </c>
      <c r="G306" s="11">
        <f t="shared" si="30"/>
        <v>-32.835131048823797</v>
      </c>
    </row>
    <row r="307" spans="5:7" x14ac:dyDescent="0.25">
      <c r="E307" s="11">
        <f t="shared" si="28"/>
        <v>-115</v>
      </c>
      <c r="F307" s="11">
        <f t="shared" si="29"/>
        <v>-32.736531551777922</v>
      </c>
      <c r="G307" s="11">
        <f t="shared" si="30"/>
        <v>-32.594756394405636</v>
      </c>
    </row>
    <row r="308" spans="5:7" x14ac:dyDescent="0.25">
      <c r="E308" s="11">
        <f t="shared" si="28"/>
        <v>-114</v>
      </c>
      <c r="F308" s="11">
        <f t="shared" si="29"/>
        <v>-32.504923932905655</v>
      </c>
      <c r="G308" s="11">
        <f t="shared" si="30"/>
        <v>-32.353453482790528</v>
      </c>
    </row>
    <row r="309" spans="5:7" x14ac:dyDescent="0.25">
      <c r="E309" s="11">
        <f t="shared" si="28"/>
        <v>-113</v>
      </c>
      <c r="F309" s="11">
        <f t="shared" si="29"/>
        <v>-32.270938968738335</v>
      </c>
      <c r="G309" s="11">
        <f t="shared" si="30"/>
        <v>-32.111314192054678</v>
      </c>
    </row>
    <row r="310" spans="5:7" x14ac:dyDescent="0.25">
      <c r="E310" s="11">
        <f t="shared" si="28"/>
        <v>-112</v>
      </c>
      <c r="F310" s="11">
        <f t="shared" si="29"/>
        <v>-32.034458598242033</v>
      </c>
      <c r="G310" s="11">
        <f t="shared" si="30"/>
        <v>-31.868430400274324</v>
      </c>
    </row>
    <row r="311" spans="5:7" x14ac:dyDescent="0.25">
      <c r="E311" s="11">
        <f t="shared" si="28"/>
        <v>-111</v>
      </c>
      <c r="F311" s="11">
        <f t="shared" si="29"/>
        <v>-31.795360760986803</v>
      </c>
      <c r="G311" s="11">
        <f t="shared" si="30"/>
        <v>-31.624893985525674</v>
      </c>
    </row>
    <row r="312" spans="5:7" x14ac:dyDescent="0.25">
      <c r="E312" s="11">
        <f t="shared" si="28"/>
        <v>-110</v>
      </c>
      <c r="F312" s="11">
        <f t="shared" si="29"/>
        <v>-31.553519896007423</v>
      </c>
      <c r="G312" s="11">
        <f t="shared" si="30"/>
        <v>-31.380796825884964</v>
      </c>
    </row>
    <row r="313" spans="5:7" x14ac:dyDescent="0.25">
      <c r="E313" s="11">
        <f t="shared" si="28"/>
        <v>-109</v>
      </c>
      <c r="F313" s="11">
        <f t="shared" si="29"/>
        <v>-31.308807459907104</v>
      </c>
      <c r="G313" s="11">
        <f t="shared" si="30"/>
        <v>-31.136170303573241</v>
      </c>
    </row>
    <row r="314" spans="5:7" x14ac:dyDescent="0.25">
      <c r="E314" s="11">
        <f t="shared" si="28"/>
        <v>-108</v>
      </c>
      <c r="F314" s="11">
        <f t="shared" si="29"/>
        <v>-31.061092463101865</v>
      </c>
      <c r="G314" s="11">
        <f t="shared" si="30"/>
        <v>-30.890803817390914</v>
      </c>
    </row>
    <row r="315" spans="5:7" x14ac:dyDescent="0.25">
      <c r="E315" s="11">
        <f t="shared" si="28"/>
        <v>-107</v>
      </c>
      <c r="F315" s="11">
        <f t="shared" si="29"/>
        <v>-30.810242023087646</v>
      </c>
      <c r="G315" s="11">
        <f t="shared" si="30"/>
        <v>-30.64442627028324</v>
      </c>
    </row>
    <row r="316" spans="5:7" x14ac:dyDescent="0.25">
      <c r="E316" s="11">
        <f t="shared" si="28"/>
        <v>-106</v>
      </c>
      <c r="F316" s="11">
        <f t="shared" si="29"/>
        <v>-30.556121933578581</v>
      </c>
      <c r="G316" s="11">
        <f t="shared" si="30"/>
        <v>-30.396766565195449</v>
      </c>
    </row>
    <row r="317" spans="5:7" x14ac:dyDescent="0.25">
      <c r="E317" s="11">
        <f t="shared" si="28"/>
        <v>-105</v>
      </c>
      <c r="F317" s="11">
        <f t="shared" si="29"/>
        <v>-30.298597248340137</v>
      </c>
      <c r="G317" s="11">
        <f t="shared" si="30"/>
        <v>-30.14755360507279</v>
      </c>
    </row>
    <row r="318" spans="5:7" x14ac:dyDescent="0.25">
      <c r="E318" s="11">
        <f t="shared" si="28"/>
        <v>-104</v>
      </c>
      <c r="F318" s="11">
        <f t="shared" si="29"/>
        <v>-30.037532878504926</v>
      </c>
      <c r="G318" s="11">
        <f t="shared" si="30"/>
        <v>-29.896516292860511</v>
      </c>
    </row>
    <row r="319" spans="5:7" x14ac:dyDescent="0.25">
      <c r="E319" s="11">
        <f t="shared" si="28"/>
        <v>-103</v>
      </c>
      <c r="F319" s="11">
        <f t="shared" si="29"/>
        <v>-29.772794202147047</v>
      </c>
      <c r="G319" s="11">
        <f t="shared" si="30"/>
        <v>-29.643383531503851</v>
      </c>
    </row>
    <row r="320" spans="5:7" x14ac:dyDescent="0.25">
      <c r="E320" s="11">
        <f t="shared" si="28"/>
        <v>-102</v>
      </c>
      <c r="F320" s="11">
        <f t="shared" si="29"/>
        <v>-29.504247684842014</v>
      </c>
      <c r="G320" s="11">
        <f t="shared" si="30"/>
        <v>-29.387884223948063</v>
      </c>
    </row>
    <row r="321" spans="5:7" x14ac:dyDescent="0.25">
      <c r="E321" s="11">
        <f t="shared" si="28"/>
        <v>-101</v>
      </c>
      <c r="F321" s="11">
        <f t="shared" si="29"/>
        <v>-29.231761509933499</v>
      </c>
      <c r="G321" s="11">
        <f t="shared" si="30"/>
        <v>-29.129747273138385</v>
      </c>
    </row>
    <row r="322" spans="5:7" x14ac:dyDescent="0.25">
      <c r="E322" s="11">
        <f t="shared" si="28"/>
        <v>-100</v>
      </c>
      <c r="F322" s="11">
        <f t="shared" si="29"/>
        <v>-28.955206217182365</v>
      </c>
      <c r="G322" s="11">
        <f t="shared" si="30"/>
        <v>-28.868701582020066</v>
      </c>
    </row>
    <row r="323" spans="5:7" x14ac:dyDescent="0.25">
      <c r="E323" s="11">
        <f t="shared" si="28"/>
        <v>-99</v>
      </c>
      <c r="F323" s="11">
        <f t="shared" si="29"/>
        <v>-28.674455348456437</v>
      </c>
      <c r="G323" s="11">
        <f t="shared" si="30"/>
        <v>-28.604476053538342</v>
      </c>
    </row>
    <row r="324" spans="5:7" x14ac:dyDescent="0.25">
      <c r="E324" s="11">
        <f t="shared" si="28"/>
        <v>-98</v>
      </c>
      <c r="F324" s="11">
        <f t="shared" si="29"/>
        <v>-28.389386099084629</v>
      </c>
      <c r="G324" s="11">
        <f t="shared" si="30"/>
        <v>-28.336799590638471</v>
      </c>
    </row>
    <row r="325" spans="5:7" x14ac:dyDescent="0.25">
      <c r="E325" s="11">
        <f t="shared" si="28"/>
        <v>-97</v>
      </c>
      <c r="F325" s="11">
        <f t="shared" si="29"/>
        <v>-28.09987997348134</v>
      </c>
      <c r="G325" s="11">
        <f t="shared" si="30"/>
        <v>-28.065401096265688</v>
      </c>
    </row>
    <row r="326" spans="5:7" x14ac:dyDescent="0.25">
      <c r="E326" s="11">
        <f t="shared" si="28"/>
        <v>-96</v>
      </c>
      <c r="F326" s="11">
        <f t="shared" si="29"/>
        <v>-27.805823443604286</v>
      </c>
      <c r="G326" s="11">
        <f t="shared" si="30"/>
        <v>-27.790009473365238</v>
      </c>
    </row>
    <row r="327" spans="5:7" x14ac:dyDescent="0.25">
      <c r="E327" s="11">
        <f t="shared" si="28"/>
        <v>-95</v>
      </c>
      <c r="F327" s="11">
        <f t="shared" si="29"/>
        <v>-27.507108608795477</v>
      </c>
      <c r="G327" s="11">
        <f t="shared" si="30"/>
        <v>-27.510353624882374</v>
      </c>
    </row>
    <row r="328" spans="5:7" x14ac:dyDescent="0.25">
      <c r="E328" s="11">
        <f t="shared" si="28"/>
        <v>-94</v>
      </c>
      <c r="F328" s="11">
        <f t="shared" si="29"/>
        <v>-27.203633855520007</v>
      </c>
      <c r="G328" s="11">
        <f t="shared" si="30"/>
        <v>-27.226162453762331</v>
      </c>
    </row>
    <row r="329" spans="5:7" x14ac:dyDescent="0.25">
      <c r="E329" s="11">
        <f t="shared" si="28"/>
        <v>-93</v>
      </c>
      <c r="F329" s="11">
        <f t="shared" si="29"/>
        <v>-26.89530451548724</v>
      </c>
      <c r="G329" s="11">
        <f t="shared" si="30"/>
        <v>-26.937164862950358</v>
      </c>
    </row>
    <row r="330" spans="5:7" x14ac:dyDescent="0.25">
      <c r="E330" s="11">
        <f t="shared" si="28"/>
        <v>-92</v>
      </c>
      <c r="F330" s="11">
        <f t="shared" si="29"/>
        <v>-26.582033520621298</v>
      </c>
      <c r="G330" s="11">
        <f t="shared" si="30"/>
        <v>-26.643089755391699</v>
      </c>
    </row>
    <row r="331" spans="5:7" x14ac:dyDescent="0.25">
      <c r="E331" s="11">
        <f t="shared" si="28"/>
        <v>-91</v>
      </c>
      <c r="F331" s="11">
        <f t="shared" si="29"/>
        <v>-26.263742053305826</v>
      </c>
      <c r="G331" s="11">
        <f t="shared" si="30"/>
        <v>-26.343666034031607</v>
      </c>
    </row>
    <row r="332" spans="5:7" x14ac:dyDescent="0.25">
      <c r="E332" s="11">
        <f t="shared" si="28"/>
        <v>-90</v>
      </c>
      <c r="F332" s="11">
        <f t="shared" si="29"/>
        <v>-25.940360190312894</v>
      </c>
      <c r="G332" s="11">
        <f t="shared" si="30"/>
        <v>-26.038622601815309</v>
      </c>
    </row>
    <row r="333" spans="5:7" x14ac:dyDescent="0.25">
      <c r="E333" s="11">
        <f t="shared" si="28"/>
        <v>-89</v>
      </c>
      <c r="F333" s="11">
        <f t="shared" si="29"/>
        <v>-25.611827538791804</v>
      </c>
      <c r="G333" s="11">
        <f t="shared" si="30"/>
        <v>-25.727688361688067</v>
      </c>
    </row>
    <row r="334" spans="5:7" x14ac:dyDescent="0.25">
      <c r="E334" s="11">
        <f t="shared" si="28"/>
        <v>-88</v>
      </c>
      <c r="F334" s="11">
        <f t="shared" si="29"/>
        <v>-25.278093862664715</v>
      </c>
      <c r="G334" s="11">
        <f t="shared" si="30"/>
        <v>-25.410592216595109</v>
      </c>
    </row>
    <row r="335" spans="5:7" x14ac:dyDescent="0.25">
      <c r="E335" s="11">
        <f t="shared" si="28"/>
        <v>-87</v>
      </c>
      <c r="F335" s="11">
        <f t="shared" si="29"/>
        <v>-24.939119697753092</v>
      </c>
      <c r="G335" s="11">
        <f t="shared" si="30"/>
        <v>-25.087063069481697</v>
      </c>
    </row>
    <row r="336" spans="5:7" x14ac:dyDescent="0.25">
      <c r="E336" s="11">
        <f t="shared" si="28"/>
        <v>-86</v>
      </c>
      <c r="F336" s="11">
        <f t="shared" si="29"/>
        <v>-24.594876953926615</v>
      </c>
      <c r="G336" s="11">
        <f t="shared" si="30"/>
        <v>-24.756829823293067</v>
      </c>
    </row>
    <row r="337" spans="5:7" x14ac:dyDescent="0.25">
      <c r="E337" s="11">
        <f t="shared" si="28"/>
        <v>-85</v>
      </c>
      <c r="F337" s="11">
        <f t="shared" si="29"/>
        <v>-24.245349502540364</v>
      </c>
      <c r="G337" s="11">
        <f t="shared" si="30"/>
        <v>-24.419621380974462</v>
      </c>
    </row>
    <row r="338" spans="5:7" x14ac:dyDescent="0.25">
      <c r="E338" s="11">
        <f t="shared" si="28"/>
        <v>-84</v>
      </c>
      <c r="F338" s="11">
        <f t="shared" si="29"/>
        <v>-23.890533747399033</v>
      </c>
      <c r="G338" s="11">
        <f t="shared" si="30"/>
        <v>-24.075166645471135</v>
      </c>
    </row>
    <row r="339" spans="5:7" x14ac:dyDescent="0.25">
      <c r="E339" s="11">
        <f t="shared" si="28"/>
        <v>-83</v>
      </c>
      <c r="F339" s="11">
        <f t="shared" si="29"/>
        <v>-23.530439177456245</v>
      </c>
      <c r="G339" s="11">
        <f t="shared" si="30"/>
        <v>-23.72319451972832</v>
      </c>
    </row>
    <row r="340" spans="5:7" x14ac:dyDescent="0.25">
      <c r="E340" s="11">
        <f t="shared" si="28"/>
        <v>-82</v>
      </c>
      <c r="F340" s="11">
        <f t="shared" si="29"/>
        <v>-23.165088899434387</v>
      </c>
      <c r="G340" s="11">
        <f t="shared" si="30"/>
        <v>-23.363433906691267</v>
      </c>
    </row>
    <row r="341" spans="5:7" x14ac:dyDescent="0.25">
      <c r="E341" s="11">
        <f t="shared" si="28"/>
        <v>-81</v>
      </c>
      <c r="F341" s="11">
        <f t="shared" si="29"/>
        <v>-22.794520148514685</v>
      </c>
      <c r="G341" s="11">
        <f t="shared" si="30"/>
        <v>-22.995613709305225</v>
      </c>
    </row>
    <row r="342" spans="5:7" x14ac:dyDescent="0.25">
      <c r="E342" s="11">
        <f t="shared" si="28"/>
        <v>-80</v>
      </c>
      <c r="F342" s="11">
        <f t="shared" si="29"/>
        <v>-22.41878477522895</v>
      </c>
      <c r="G342" s="11">
        <f t="shared" si="30"/>
        <v>-22.619462830515431</v>
      </c>
    </row>
    <row r="343" spans="5:7" x14ac:dyDescent="0.25">
      <c r="E343" s="11">
        <f t="shared" si="28"/>
        <v>-79</v>
      </c>
      <c r="F343" s="11">
        <f t="shared" si="29"/>
        <v>-22.037949706647755</v>
      </c>
      <c r="G343" s="11">
        <f t="shared" si="30"/>
        <v>-22.234836473400939</v>
      </c>
    </row>
    <row r="344" spans="5:7" x14ac:dyDescent="0.25">
      <c r="E344" s="11">
        <f t="shared" si="28"/>
        <v>-78</v>
      </c>
      <c r="F344" s="11">
        <f t="shared" si="29"/>
        <v>-21.652097379938549</v>
      </c>
      <c r="G344" s="11">
        <f t="shared" si="30"/>
        <v>-21.842095041575991</v>
      </c>
    </row>
    <row r="345" spans="5:7" x14ac:dyDescent="0.25">
      <c r="E345" s="11">
        <f t="shared" si="28"/>
        <v>-77</v>
      </c>
      <c r="F345" s="11">
        <f t="shared" si="29"/>
        <v>-21.261326146336049</v>
      </c>
      <c r="G345" s="11">
        <f t="shared" si="30"/>
        <v>-21.441725238788639</v>
      </c>
    </row>
    <row r="346" spans="5:7" x14ac:dyDescent="0.25">
      <c r="E346" s="11">
        <f t="shared" si="28"/>
        <v>-76</v>
      </c>
      <c r="F346" s="11">
        <f t="shared" si="29"/>
        <v>-20.865750643538842</v>
      </c>
      <c r="G346" s="11">
        <f t="shared" si="30"/>
        <v>-21.034213768786937</v>
      </c>
    </row>
    <row r="347" spans="5:7" x14ac:dyDescent="0.25">
      <c r="E347" s="11">
        <f t="shared" si="28"/>
        <v>-75</v>
      </c>
      <c r="F347" s="11">
        <f t="shared" si="29"/>
        <v>-20.465502134522641</v>
      </c>
      <c r="G347" s="11">
        <f t="shared" si="30"/>
        <v>-20.620047335318944</v>
      </c>
    </row>
    <row r="348" spans="5:7" x14ac:dyDescent="0.25">
      <c r="E348" s="11">
        <f t="shared" si="28"/>
        <v>-74</v>
      </c>
      <c r="F348" s="11">
        <f t="shared" si="29"/>
        <v>-20.060728810726765</v>
      </c>
      <c r="G348" s="11">
        <f t="shared" si="30"/>
        <v>-20.199712642132699</v>
      </c>
    </row>
    <row r="349" spans="5:7" x14ac:dyDescent="0.25">
      <c r="E349" s="11">
        <f t="shared" si="28"/>
        <v>-73</v>
      </c>
      <c r="F349" s="11">
        <f t="shared" si="29"/>
        <v>-19.651596057547831</v>
      </c>
      <c r="G349" s="11">
        <f t="shared" si="30"/>
        <v>-19.773696392976259</v>
      </c>
    </row>
    <row r="350" spans="5:7" x14ac:dyDescent="0.25">
      <c r="E350" s="11">
        <f t="shared" si="28"/>
        <v>-72</v>
      </c>
      <c r="F350" s="11">
        <f t="shared" si="29"/>
        <v>-19.238286680044336</v>
      </c>
      <c r="G350" s="11">
        <f t="shared" si="30"/>
        <v>-19.342485291597676</v>
      </c>
    </row>
    <row r="351" spans="5:7" x14ac:dyDescent="0.25">
      <c r="E351" s="11">
        <f t="shared" ref="E351:E414" si="31">E144</f>
        <v>-71</v>
      </c>
      <c r="F351" s="11">
        <f t="shared" ref="F351:F414" si="32">$H$217*0+E351*$I$217+E351^2*$J$217+E351^3*$K$217+E351^4*$L$217+E351^5*$M$217+E351^6*$N$217+E351^7*$O$217+E351^8*$P$217</f>
        <v>-18.821001086726856</v>
      </c>
      <c r="G351" s="11">
        <f t="shared" ref="G351:G414" si="33">F144</f>
        <v>-18.906566041744995</v>
      </c>
    </row>
    <row r="352" spans="5:7" x14ac:dyDescent="0.25">
      <c r="E352" s="11">
        <f t="shared" si="31"/>
        <v>-70</v>
      </c>
      <c r="F352" s="11">
        <f t="shared" si="32"/>
        <v>-18.39995742928491</v>
      </c>
      <c r="G352" s="11">
        <f t="shared" si="33"/>
        <v>-18.466425347166279</v>
      </c>
    </row>
    <row r="353" spans="5:7" x14ac:dyDescent="0.25">
      <c r="E353" s="11">
        <f t="shared" si="31"/>
        <v>-69</v>
      </c>
      <c r="F353" s="11">
        <f t="shared" si="32"/>
        <v>-17.975391696069018</v>
      </c>
      <c r="G353" s="11">
        <f t="shared" si="33"/>
        <v>-18.02254991160957</v>
      </c>
    </row>
    <row r="354" spans="5:7" x14ac:dyDescent="0.25">
      <c r="E354" s="11">
        <f t="shared" si="31"/>
        <v>-68</v>
      </c>
      <c r="F354" s="11">
        <f t="shared" si="32"/>
        <v>-17.54755775712178</v>
      </c>
      <c r="G354" s="11">
        <f t="shared" si="33"/>
        <v>-17.57542643882292</v>
      </c>
    </row>
    <row r="355" spans="5:7" x14ac:dyDescent="0.25">
      <c r="E355" s="11">
        <f t="shared" si="31"/>
        <v>-67</v>
      </c>
      <c r="F355" s="11">
        <f t="shared" si="32"/>
        <v>-17.11672735852245</v>
      </c>
      <c r="G355" s="11">
        <f t="shared" si="33"/>
        <v>-17.125541632554388</v>
      </c>
    </row>
    <row r="356" spans="5:7" x14ac:dyDescent="0.25">
      <c r="E356" s="11">
        <f t="shared" si="31"/>
        <v>-66</v>
      </c>
      <c r="F356" s="11">
        <f t="shared" si="32"/>
        <v>-16.683190063783105</v>
      </c>
      <c r="G356" s="11">
        <f t="shared" si="33"/>
        <v>-16.673382196552019</v>
      </c>
    </row>
    <row r="357" spans="5:7" x14ac:dyDescent="0.25">
      <c r="E357" s="11">
        <f t="shared" si="31"/>
        <v>-65</v>
      </c>
      <c r="F357" s="11">
        <f t="shared" si="32"/>
        <v>-16.247253140004563</v>
      </c>
      <c r="G357" s="11">
        <f t="shared" si="33"/>
        <v>-16.219434834563863</v>
      </c>
    </row>
    <row r="358" spans="5:7" x14ac:dyDescent="0.25">
      <c r="E358" s="11">
        <f t="shared" si="31"/>
        <v>-64</v>
      </c>
      <c r="F358" s="11">
        <f t="shared" si="32"/>
        <v>-15.809241386474852</v>
      </c>
      <c r="G358" s="11">
        <f t="shared" si="33"/>
        <v>-15.764186250337977</v>
      </c>
    </row>
    <row r="359" spans="5:7" x14ac:dyDescent="0.25">
      <c r="E359" s="11">
        <f t="shared" si="31"/>
        <v>-63</v>
      </c>
      <c r="F359" s="11">
        <f t="shared" si="32"/>
        <v>-15.369496903363146</v>
      </c>
      <c r="G359" s="11">
        <f t="shared" si="33"/>
        <v>-15.308123147622407</v>
      </c>
    </row>
    <row r="360" spans="5:7" x14ac:dyDescent="0.25">
      <c r="E360" s="11">
        <f t="shared" si="31"/>
        <v>-62</v>
      </c>
      <c r="F360" s="11">
        <f t="shared" si="32"/>
        <v>-14.928378798135729</v>
      </c>
      <c r="G360" s="11">
        <f t="shared" si="33"/>
        <v>-14.851732230165208</v>
      </c>
    </row>
    <row r="361" spans="5:7" x14ac:dyDescent="0.25">
      <c r="E361" s="11">
        <f t="shared" si="31"/>
        <v>-61</v>
      </c>
      <c r="F361" s="11">
        <f t="shared" si="32"/>
        <v>-14.486262827291544</v>
      </c>
      <c r="G361" s="11">
        <f t="shared" si="33"/>
        <v>-14.395500201714427</v>
      </c>
    </row>
    <row r="362" spans="5:7" x14ac:dyDescent="0.25">
      <c r="E362" s="11">
        <f t="shared" si="31"/>
        <v>-60</v>
      </c>
      <c r="F362" s="11">
        <f t="shared" si="32"/>
        <v>-14.043540970988575</v>
      </c>
      <c r="G362" s="11">
        <f t="shared" si="33"/>
        <v>-13.939913766018122</v>
      </c>
    </row>
    <row r="363" spans="5:7" x14ac:dyDescent="0.25">
      <c r="E363" s="11">
        <f t="shared" si="31"/>
        <v>-59</v>
      </c>
      <c r="F363" s="11">
        <f t="shared" si="32"/>
        <v>-13.600620938102614</v>
      </c>
      <c r="G363" s="11">
        <f t="shared" si="33"/>
        <v>-13.485459626824342</v>
      </c>
    </row>
    <row r="364" spans="5:7" x14ac:dyDescent="0.25">
      <c r="E364" s="11">
        <f t="shared" si="31"/>
        <v>-58</v>
      </c>
      <c r="F364" s="11">
        <f t="shared" si="32"/>
        <v>-13.15792559923392</v>
      </c>
      <c r="G364" s="11">
        <f t="shared" si="33"/>
        <v>-13.032624487881135</v>
      </c>
    </row>
    <row r="365" spans="5:7" x14ac:dyDescent="0.25">
      <c r="E365" s="11">
        <f t="shared" si="31"/>
        <v>-57</v>
      </c>
      <c r="F365" s="11">
        <f t="shared" si="32"/>
        <v>-12.715892345148136</v>
      </c>
      <c r="G365" s="11">
        <f t="shared" si="33"/>
        <v>-12.581895052936556</v>
      </c>
    </row>
    <row r="366" spans="5:7" x14ac:dyDescent="0.25">
      <c r="E366" s="11">
        <f t="shared" si="31"/>
        <v>-56</v>
      </c>
      <c r="F366" s="11">
        <f t="shared" si="32"/>
        <v>-12.274972368111305</v>
      </c>
      <c r="G366" s="11">
        <f t="shared" si="33"/>
        <v>-12.133758025738654</v>
      </c>
    </row>
    <row r="367" spans="5:7" x14ac:dyDescent="0.25">
      <c r="E367" s="11">
        <f t="shared" si="31"/>
        <v>-55</v>
      </c>
      <c r="F367" s="11">
        <f t="shared" si="32"/>
        <v>-11.835629863549283</v>
      </c>
      <c r="G367" s="11">
        <f t="shared" si="33"/>
        <v>-11.688700110035484</v>
      </c>
    </row>
    <row r="368" spans="5:7" x14ac:dyDescent="0.25">
      <c r="E368" s="11">
        <f t="shared" si="31"/>
        <v>-54</v>
      </c>
      <c r="F368" s="11">
        <f t="shared" si="32"/>
        <v>-11.398341149436055</v>
      </c>
      <c r="G368" s="11">
        <f t="shared" si="33"/>
        <v>-11.247208009575091</v>
      </c>
    </row>
    <row r="369" spans="5:7" x14ac:dyDescent="0.25">
      <c r="E369" s="11">
        <f t="shared" si="31"/>
        <v>-53</v>
      </c>
      <c r="F369" s="11">
        <f t="shared" si="32"/>
        <v>-10.963593700786076</v>
      </c>
      <c r="G369" s="11">
        <f t="shared" si="33"/>
        <v>-10.809768428105532</v>
      </c>
    </row>
    <row r="370" spans="5:7" x14ac:dyDescent="0.25">
      <c r="E370" s="11">
        <f t="shared" si="31"/>
        <v>-52</v>
      </c>
      <c r="F370" s="11">
        <f t="shared" si="32"/>
        <v>-10.531885096598577</v>
      </c>
      <c r="G370" s="11">
        <f t="shared" si="33"/>
        <v>-10.376868069374858</v>
      </c>
    </row>
    <row r="371" spans="5:7" x14ac:dyDescent="0.25">
      <c r="E371" s="11">
        <f t="shared" si="31"/>
        <v>-51</v>
      </c>
      <c r="F371" s="11">
        <f t="shared" si="32"/>
        <v>-10.10372187657415</v>
      </c>
      <c r="G371" s="11">
        <f t="shared" si="33"/>
        <v>-9.9489936371311174</v>
      </c>
    </row>
    <row r="372" spans="5:7" x14ac:dyDescent="0.25">
      <c r="E372" s="11">
        <f t="shared" si="31"/>
        <v>-50</v>
      </c>
      <c r="F372" s="11">
        <f t="shared" si="32"/>
        <v>-9.6796183048955502</v>
      </c>
      <c r="G372" s="11">
        <f t="shared" si="33"/>
        <v>-9.5266318351223642</v>
      </c>
    </row>
    <row r="373" spans="5:7" x14ac:dyDescent="0.25">
      <c r="E373" s="11">
        <f t="shared" si="31"/>
        <v>-49</v>
      </c>
      <c r="F373" s="11">
        <f t="shared" si="32"/>
        <v>-9.2600950383375675</v>
      </c>
      <c r="G373" s="11">
        <f t="shared" si="33"/>
        <v>-9.1102693670966488</v>
      </c>
    </row>
    <row r="374" spans="5:7" x14ac:dyDescent="0.25">
      <c r="E374" s="11">
        <f t="shared" si="31"/>
        <v>-48</v>
      </c>
      <c r="F374" s="11">
        <f t="shared" si="32"/>
        <v>-8.8456776959421095</v>
      </c>
      <c r="G374" s="11">
        <f t="shared" si="33"/>
        <v>-8.7003929368020216</v>
      </c>
    </row>
    <row r="375" spans="5:7" x14ac:dyDescent="0.25">
      <c r="E375" s="11">
        <f t="shared" si="31"/>
        <v>-47</v>
      </c>
      <c r="F375" s="11">
        <f t="shared" si="32"/>
        <v>-8.4368953274678677</v>
      </c>
      <c r="G375" s="11">
        <f t="shared" si="33"/>
        <v>-8.2974892479865368</v>
      </c>
    </row>
    <row r="376" spans="5:7" x14ac:dyDescent="0.25">
      <c r="E376" s="11">
        <f t="shared" si="31"/>
        <v>-46</v>
      </c>
      <c r="F376" s="11">
        <f t="shared" si="32"/>
        <v>-8.0342787777952154</v>
      </c>
      <c r="G376" s="11">
        <f t="shared" si="33"/>
        <v>-7.9020450043982429</v>
      </c>
    </row>
    <row r="377" spans="5:7" x14ac:dyDescent="0.25">
      <c r="E377" s="11">
        <f t="shared" si="31"/>
        <v>-45</v>
      </c>
      <c r="F377" s="11">
        <f t="shared" si="32"/>
        <v>-7.6383589444397826</v>
      </c>
      <c r="G377" s="11">
        <f t="shared" si="33"/>
        <v>-7.5145469097851931</v>
      </c>
    </row>
    <row r="378" spans="5:7" x14ac:dyDescent="0.25">
      <c r="E378" s="11">
        <f t="shared" si="31"/>
        <v>-44</v>
      </c>
      <c r="F378" s="11">
        <f t="shared" si="32"/>
        <v>-7.2496649252998981</v>
      </c>
      <c r="G378" s="11">
        <f t="shared" si="33"/>
        <v>-7.1354816678954371</v>
      </c>
    </row>
    <row r="379" spans="5:7" x14ac:dyDescent="0.25">
      <c r="E379" s="11">
        <f t="shared" si="31"/>
        <v>-43</v>
      </c>
      <c r="F379" s="11">
        <f t="shared" si="32"/>
        <v>-6.8687220537356755</v>
      </c>
      <c r="G379" s="11">
        <f t="shared" si="33"/>
        <v>-6.7653359824770281</v>
      </c>
    </row>
    <row r="380" spans="5:7" x14ac:dyDescent="0.25">
      <c r="E380" s="11">
        <f t="shared" si="31"/>
        <v>-42</v>
      </c>
      <c r="F380" s="11">
        <f t="shared" si="32"/>
        <v>-6.4960498180496238</v>
      </c>
      <c r="G380" s="11">
        <f t="shared" si="33"/>
        <v>-6.4045965572780164</v>
      </c>
    </row>
    <row r="381" spans="5:7" x14ac:dyDescent="0.25">
      <c r="E381" s="11">
        <f t="shared" si="31"/>
        <v>-41</v>
      </c>
      <c r="F381" s="11">
        <f t="shared" si="32"/>
        <v>-6.1321596624103707</v>
      </c>
      <c r="G381" s="11">
        <f t="shared" si="33"/>
        <v>-6.0537500960464534</v>
      </c>
    </row>
    <row r="382" spans="5:7" x14ac:dyDescent="0.25">
      <c r="E382" s="11">
        <f t="shared" si="31"/>
        <v>-40</v>
      </c>
      <c r="F382" s="11">
        <f t="shared" si="32"/>
        <v>-5.7775526662341701</v>
      </c>
      <c r="G382" s="11">
        <f t="shared" si="33"/>
        <v>-5.7132833025303906</v>
      </c>
    </row>
    <row r="383" spans="5:7" x14ac:dyDescent="0.25">
      <c r="E383" s="11">
        <f t="shared" si="31"/>
        <v>-39</v>
      </c>
      <c r="F383" s="11">
        <f t="shared" si="32"/>
        <v>-5.4327170990101701</v>
      </c>
      <c r="G383" s="11">
        <f t="shared" si="33"/>
        <v>-5.3836828804778811</v>
      </c>
    </row>
    <row r="384" spans="5:7" x14ac:dyDescent="0.25">
      <c r="E384" s="11">
        <f t="shared" si="31"/>
        <v>-38</v>
      </c>
      <c r="F384" s="11">
        <f t="shared" si="32"/>
        <v>-5.0981258475282178</v>
      </c>
      <c r="G384" s="11">
        <f t="shared" si="33"/>
        <v>-5.0654355336369727</v>
      </c>
    </row>
    <row r="385" spans="5:7" x14ac:dyDescent="0.25">
      <c r="E385" s="11">
        <f t="shared" si="31"/>
        <v>-37</v>
      </c>
      <c r="F385" s="11">
        <f t="shared" si="32"/>
        <v>-4.7742337124398428</v>
      </c>
      <c r="G385" s="11">
        <f t="shared" si="33"/>
        <v>-4.7590279657557204</v>
      </c>
    </row>
    <row r="386" spans="5:7" x14ac:dyDescent="0.25">
      <c r="E386" s="11">
        <f t="shared" si="31"/>
        <v>-36</v>
      </c>
      <c r="F386" s="11">
        <f t="shared" si="32"/>
        <v>-4.4614745710553629</v>
      </c>
      <c r="G386" s="11">
        <f t="shared" si="33"/>
        <v>-4.4649468805821737</v>
      </c>
    </row>
    <row r="387" spans="5:7" x14ac:dyDescent="0.25">
      <c r="E387" s="11">
        <f t="shared" si="31"/>
        <v>-35</v>
      </c>
      <c r="F387" s="11">
        <f t="shared" si="32"/>
        <v>-4.1602584032523682</v>
      </c>
      <c r="G387" s="11">
        <f t="shared" si="33"/>
        <v>-4.183678981864384</v>
      </c>
    </row>
    <row r="388" spans="5:7" x14ac:dyDescent="0.25">
      <c r="E388" s="11">
        <f t="shared" si="31"/>
        <v>-34</v>
      </c>
      <c r="F388" s="11">
        <f t="shared" si="32"/>
        <v>-3.8709681773426396</v>
      </c>
      <c r="G388" s="11">
        <f t="shared" si="33"/>
        <v>-3.9155665232485664</v>
      </c>
    </row>
    <row r="389" spans="5:7" x14ac:dyDescent="0.25">
      <c r="E389" s="11">
        <f t="shared" si="31"/>
        <v>-33</v>
      </c>
      <c r="F389" s="11">
        <f t="shared" si="32"/>
        <v>-3.5939565927173112</v>
      </c>
      <c r="G389" s="11">
        <f t="shared" si="33"/>
        <v>-3.6603739579735919</v>
      </c>
    </row>
    <row r="390" spans="5:7" x14ac:dyDescent="0.25">
      <c r="E390" s="11">
        <f t="shared" si="31"/>
        <v>-32</v>
      </c>
      <c r="F390" s="11">
        <f t="shared" si="32"/>
        <v>-3.3295426760617404</v>
      </c>
      <c r="G390" s="11">
        <f t="shared" si="33"/>
        <v>-3.417721289176495</v>
      </c>
    </row>
    <row r="391" spans="5:7" x14ac:dyDescent="0.25">
      <c r="E391" s="11">
        <f t="shared" si="31"/>
        <v>-31</v>
      </c>
      <c r="F391" s="11">
        <f t="shared" si="32"/>
        <v>-3.0780082279041205</v>
      </c>
      <c r="G391" s="11">
        <f t="shared" si="33"/>
        <v>-3.1872285199943082</v>
      </c>
    </row>
    <row r="392" spans="5:7" x14ac:dyDescent="0.25">
      <c r="E392" s="11">
        <f t="shared" si="31"/>
        <v>-30</v>
      </c>
      <c r="F392" s="11">
        <f t="shared" si="32"/>
        <v>-2.8395941162338243</v>
      </c>
      <c r="G392" s="11">
        <f t="shared" si="33"/>
        <v>-2.9685156535640669</v>
      </c>
    </row>
    <row r="393" spans="5:7" x14ac:dyDescent="0.25">
      <c r="E393" s="11">
        <f t="shared" si="31"/>
        <v>-29</v>
      </c>
      <c r="F393" s="11">
        <f t="shared" si="32"/>
        <v>-2.6144964138978275</v>
      </c>
      <c r="G393" s="11">
        <f t="shared" si="33"/>
        <v>-2.761202693022804</v>
      </c>
    </row>
    <row r="394" spans="5:7" x14ac:dyDescent="0.25">
      <c r="E394" s="11">
        <f t="shared" si="31"/>
        <v>-28</v>
      </c>
      <c r="F394" s="11">
        <f t="shared" si="32"/>
        <v>-2.4028623764556114</v>
      </c>
      <c r="G394" s="11">
        <f t="shared" si="33"/>
        <v>-2.5649096415075539</v>
      </c>
    </row>
    <row r="395" spans="5:7" x14ac:dyDescent="0.25">
      <c r="E395" s="11">
        <f t="shared" si="31"/>
        <v>-27</v>
      </c>
      <c r="F395" s="11">
        <f t="shared" si="32"/>
        <v>-2.2047862571452379</v>
      </c>
      <c r="G395" s="11">
        <f t="shared" si="33"/>
        <v>-2.3792565021553509</v>
      </c>
    </row>
    <row r="396" spans="5:7" x14ac:dyDescent="0.25">
      <c r="E396" s="11">
        <f t="shared" si="31"/>
        <v>-26</v>
      </c>
      <c r="F396" s="11">
        <f t="shared" si="32"/>
        <v>-2.020304955585416</v>
      </c>
      <c r="G396" s="11">
        <f t="shared" si="33"/>
        <v>-2.2038632781032295</v>
      </c>
    </row>
    <row r="397" spans="5:7" x14ac:dyDescent="0.25">
      <c r="E397" s="11">
        <f t="shared" si="31"/>
        <v>-25</v>
      </c>
      <c r="F397" s="11">
        <f t="shared" si="32"/>
        <v>-1.8493934968106125</v>
      </c>
      <c r="G397" s="11">
        <f t="shared" si="33"/>
        <v>-2.0383499724882226</v>
      </c>
    </row>
    <row r="398" spans="5:7" x14ac:dyDescent="0.25">
      <c r="E398" s="11">
        <f t="shared" si="31"/>
        <v>-24</v>
      </c>
      <c r="F398" s="11">
        <f t="shared" si="32"/>
        <v>-1.6919603372084226</v>
      </c>
      <c r="G398" s="11">
        <f t="shared" si="33"/>
        <v>-1.8823365884473651</v>
      </c>
    </row>
    <row r="399" spans="5:7" x14ac:dyDescent="0.25">
      <c r="E399" s="11">
        <f t="shared" si="31"/>
        <v>-23</v>
      </c>
      <c r="F399" s="11">
        <f t="shared" si="32"/>
        <v>-1.5478424939006137</v>
      </c>
      <c r="G399" s="11">
        <f t="shared" si="33"/>
        <v>-1.7354431291176902</v>
      </c>
    </row>
    <row r="400" spans="5:7" x14ac:dyDescent="0.25">
      <c r="E400" s="11">
        <f t="shared" si="31"/>
        <v>-22</v>
      </c>
      <c r="F400" s="11">
        <f t="shared" si="32"/>
        <v>-1.4168004940814687</v>
      </c>
      <c r="G400" s="11">
        <f t="shared" si="33"/>
        <v>-1.5972895976362329</v>
      </c>
    </row>
    <row r="401" spans="5:7" x14ac:dyDescent="0.25">
      <c r="E401" s="11">
        <f t="shared" si="31"/>
        <v>-21</v>
      </c>
      <c r="F401" s="11">
        <f t="shared" si="32"/>
        <v>-1.2985131407991901</v>
      </c>
      <c r="G401" s="11">
        <f t="shared" si="33"/>
        <v>-1.4674959971400265</v>
      </c>
    </row>
    <row r="402" spans="5:7" x14ac:dyDescent="0.25">
      <c r="E402" s="11">
        <f t="shared" si="31"/>
        <v>-20</v>
      </c>
      <c r="F402" s="11">
        <f t="shared" si="32"/>
        <v>-1.1925720916383911</v>
      </c>
      <c r="G402" s="11">
        <f t="shared" si="33"/>
        <v>-1.3456823307661054</v>
      </c>
    </row>
    <row r="403" spans="5:7" x14ac:dyDescent="0.25">
      <c r="E403" s="11">
        <f t="shared" si="31"/>
        <v>-19</v>
      </c>
      <c r="F403" s="11">
        <f t="shared" si="32"/>
        <v>-1.0984762467338254</v>
      </c>
      <c r="G403" s="11">
        <f t="shared" si="33"/>
        <v>-1.2314686016515037</v>
      </c>
    </row>
    <row r="404" spans="5:7" x14ac:dyDescent="0.25">
      <c r="E404" s="11">
        <f t="shared" si="31"/>
        <v>-18</v>
      </c>
      <c r="F404" s="11">
        <f t="shared" si="32"/>
        <v>-1.015625942517749</v>
      </c>
      <c r="G404" s="11">
        <f t="shared" si="33"/>
        <v>-1.1244748129332551</v>
      </c>
    </row>
    <row r="405" spans="5:7" x14ac:dyDescent="0.25">
      <c r="E405" s="11">
        <f t="shared" si="31"/>
        <v>-17</v>
      </c>
      <c r="F405" s="11">
        <f t="shared" si="32"/>
        <v>-0.94331694757544282</v>
      </c>
      <c r="G405" s="11">
        <f t="shared" si="33"/>
        <v>-1.0243209677483942</v>
      </c>
    </row>
    <row r="406" spans="5:7" x14ac:dyDescent="0.25">
      <c r="E406" s="11">
        <f t="shared" si="31"/>
        <v>-16</v>
      </c>
      <c r="F406" s="11">
        <f t="shared" si="32"/>
        <v>-0.8807342569556833</v>
      </c>
      <c r="G406" s="11">
        <f t="shared" si="33"/>
        <v>-0.93062706923395444</v>
      </c>
    </row>
    <row r="407" spans="5:7" x14ac:dyDescent="0.25">
      <c r="E407" s="11">
        <f t="shared" si="31"/>
        <v>-15</v>
      </c>
      <c r="F407" s="11">
        <f t="shared" si="32"/>
        <v>-0.82694568125507284</v>
      </c>
      <c r="G407" s="11">
        <f t="shared" si="33"/>
        <v>-0.84301312052697008</v>
      </c>
    </row>
    <row r="408" spans="5:7" x14ac:dyDescent="0.25">
      <c r="E408" s="11">
        <f t="shared" si="31"/>
        <v>-14</v>
      </c>
      <c r="F408" s="11">
        <f t="shared" si="32"/>
        <v>-0.78089522676738166</v>
      </c>
      <c r="G408" s="11">
        <f t="shared" si="33"/>
        <v>-0.76109912476447528</v>
      </c>
    </row>
    <row r="409" spans="5:7" x14ac:dyDescent="0.25">
      <c r="E409" s="11">
        <f t="shared" si="31"/>
        <v>-13</v>
      </c>
      <c r="F409" s="11">
        <f t="shared" si="32"/>
        <v>-0.74139626296121419</v>
      </c>
      <c r="G409" s="11">
        <f t="shared" si="33"/>
        <v>-0.68450508508350383</v>
      </c>
    </row>
    <row r="410" spans="5:7" x14ac:dyDescent="0.25">
      <c r="E410" s="11">
        <f t="shared" si="31"/>
        <v>-12</v>
      </c>
      <c r="F410" s="11">
        <f t="shared" si="32"/>
        <v>-0.70712447352152086</v>
      </c>
      <c r="G410" s="11">
        <f t="shared" si="33"/>
        <v>-0.6128510046210901</v>
      </c>
    </row>
    <row r="411" spans="5:7" x14ac:dyDescent="0.25">
      <c r="E411" s="11">
        <f t="shared" si="31"/>
        <v>-11</v>
      </c>
      <c r="F411" s="11">
        <f t="shared" si="32"/>
        <v>-0.67661058716265121</v>
      </c>
      <c r="G411" s="11">
        <f t="shared" si="33"/>
        <v>-0.54575688651426779</v>
      </c>
    </row>
    <row r="412" spans="5:7" x14ac:dyDescent="0.25">
      <c r="E412" s="11">
        <f t="shared" si="31"/>
        <v>-10</v>
      </c>
      <c r="F412" s="11">
        <f t="shared" si="32"/>
        <v>-0.64823288439285531</v>
      </c>
      <c r="G412" s="11">
        <f t="shared" si="33"/>
        <v>-0.48284273390007104</v>
      </c>
    </row>
    <row r="413" spans="5:7" x14ac:dyDescent="0.25">
      <c r="E413" s="11">
        <f t="shared" si="31"/>
        <v>-9</v>
      </c>
      <c r="F413" s="11">
        <f t="shared" si="32"/>
        <v>-0.62020947638230717</v>
      </c>
      <c r="G413" s="11">
        <f t="shared" si="33"/>
        <v>-0.42372854991553399</v>
      </c>
    </row>
    <row r="414" spans="5:7" x14ac:dyDescent="0.25">
      <c r="E414" s="11">
        <f t="shared" si="31"/>
        <v>-8</v>
      </c>
      <c r="F414" s="11">
        <f t="shared" si="32"/>
        <v>-0.59059035205893873</v>
      </c>
      <c r="G414" s="11">
        <f t="shared" si="33"/>
        <v>-0.36803433769769056</v>
      </c>
    </row>
    <row r="415" spans="5:7" x14ac:dyDescent="0.25">
      <c r="E415" s="11">
        <f t="shared" ref="E415:E422" si="34">E208</f>
        <v>-7</v>
      </c>
      <c r="F415" s="11">
        <f t="shared" ref="F415:F422" si="35">$H$217*0+E415*$I$217+E415^2*$J$217+E415^3*$K$217+E415^4*$L$217+E415^5*$M$217+E415^6*$N$217+E415^7*$O$217+E415^8*$P$217</f>
        <v>-0.55724918952854363</v>
      </c>
      <c r="G415" s="11">
        <f t="shared" ref="G415:G422" si="36">F208</f>
        <v>-0.31538010038357489</v>
      </c>
    </row>
    <row r="416" spans="5:7" x14ac:dyDescent="0.25">
      <c r="E416" s="11">
        <f t="shared" si="34"/>
        <v>-6</v>
      </c>
      <c r="F416" s="11">
        <f t="shared" si="35"/>
        <v>-0.51787492788781231</v>
      </c>
      <c r="G416" s="11">
        <f t="shared" si="36"/>
        <v>-0.26538584111022101</v>
      </c>
    </row>
    <row r="417" spans="5:7" x14ac:dyDescent="0.25">
      <c r="E417" s="11">
        <f t="shared" si="34"/>
        <v>-5</v>
      </c>
      <c r="F417" s="11">
        <f t="shared" si="35"/>
        <v>-0.46996309547114706</v>
      </c>
      <c r="G417" s="11">
        <f t="shared" si="36"/>
        <v>-0.21767156301466278</v>
      </c>
    </row>
    <row r="418" spans="5:7" x14ac:dyDescent="0.25">
      <c r="E418" s="11">
        <f t="shared" si="34"/>
        <v>-4</v>
      </c>
      <c r="F418" s="11">
        <f t="shared" si="35"/>
        <v>-0.4108068905442997</v>
      </c>
      <c r="G418" s="11">
        <f t="shared" si="36"/>
        <v>-0.17185726923393446</v>
      </c>
    </row>
    <row r="419" spans="5:7" x14ac:dyDescent="0.25">
      <c r="E419" s="11">
        <f t="shared" si="34"/>
        <v>-3</v>
      </c>
      <c r="F419" s="11">
        <f t="shared" si="35"/>
        <v>-0.337488010430055</v>
      </c>
      <c r="G419" s="11">
        <f t="shared" si="36"/>
        <v>-0.12756296290506999</v>
      </c>
    </row>
    <row r="420" spans="5:7" x14ac:dyDescent="0.25">
      <c r="E420" s="11">
        <f t="shared" si="34"/>
        <v>-2</v>
      </c>
      <c r="F420" s="11">
        <f t="shared" si="35"/>
        <v>-0.24686722502339001</v>
      </c>
      <c r="G420" s="11">
        <f t="shared" si="36"/>
        <v>-8.4408647165103379E-2</v>
      </c>
    </row>
    <row r="421" spans="5:7" x14ac:dyDescent="0.25">
      <c r="E421" s="11">
        <f t="shared" si="34"/>
        <v>-1</v>
      </c>
      <c r="F421" s="11">
        <f t="shared" si="35"/>
        <v>-0.1355746906257147</v>
      </c>
      <c r="G421" s="11">
        <f t="shared" si="36"/>
        <v>-4.2014325151068711E-2</v>
      </c>
    </row>
    <row r="422" spans="5:7" x14ac:dyDescent="0.25">
      <c r="E422" s="11">
        <f t="shared" si="34"/>
        <v>0</v>
      </c>
      <c r="F422" s="11">
        <f t="shared" si="35"/>
        <v>0</v>
      </c>
      <c r="G422" s="11">
        <f t="shared" si="36"/>
        <v>0</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-4.7899999999999999E-6</v>
      </c>
      <c r="C3" s="2">
        <v>1.373E-4</v>
      </c>
      <c r="D3" s="2">
        <v>-4.0929999999999997E-4</v>
      </c>
      <c r="E3" s="2">
        <v>0</v>
      </c>
      <c r="F3" s="2">
        <v>0</v>
      </c>
      <c r="G3" s="2">
        <v>0</v>
      </c>
      <c r="H3" s="2">
        <v>3.078349E-5</v>
      </c>
      <c r="I3" s="2">
        <v>1.2420122999999999E-5</v>
      </c>
      <c r="J3" s="2">
        <v>-8.6828621000000002E-5</v>
      </c>
      <c r="K3" s="3"/>
      <c r="L3" s="3">
        <f>-B3/D3</f>
        <v>-1.1702907402882972E-2</v>
      </c>
      <c r="M3" s="3"/>
      <c r="N3" s="2">
        <f>IF('Modell einstellen'!$B$1="Voll",H3/0.35,H3/0.35*2)</f>
        <v>1.7590565714285716E-4</v>
      </c>
      <c r="O3" s="2">
        <f>IF('Modell einstellen'!$B$1="Voll",J3/0.35,J3/0.35*2)</f>
        <v>-4.9616354857142861E-4</v>
      </c>
      <c r="P3" s="3">
        <f>-N3/O3</f>
        <v>0.35453160081858259</v>
      </c>
      <c r="Q3" s="3"/>
      <c r="R3" s="3"/>
      <c r="S3" s="3"/>
      <c r="T3" s="3"/>
      <c r="U3" s="3"/>
      <c r="V3" s="3"/>
      <c r="W3" s="3"/>
    </row>
    <row r="4" spans="1:23" x14ac:dyDescent="0.25">
      <c r="A4" s="2">
        <v>1E-14</v>
      </c>
      <c r="B4" s="2">
        <v>-4.7999999999999998E-6</v>
      </c>
      <c r="C4" s="2">
        <v>1.373E-4</v>
      </c>
      <c r="D4" s="2">
        <v>-4.0929999999999997E-4</v>
      </c>
      <c r="E4" s="2">
        <v>0</v>
      </c>
      <c r="F4" s="2">
        <v>0</v>
      </c>
      <c r="G4" s="2">
        <v>0</v>
      </c>
      <c r="H4" s="2">
        <v>3.0783586000000003E-5</v>
      </c>
      <c r="I4" s="2">
        <v>1.2421109E-5</v>
      </c>
      <c r="J4" s="2">
        <v>-8.6827311000000005E-5</v>
      </c>
      <c r="K4" s="3"/>
      <c r="L4" s="3">
        <f t="shared" ref="L4:L33" si="0">-B4/D4</f>
        <v>-1.1727339359882728E-2</v>
      </c>
      <c r="M4" s="3"/>
      <c r="N4" s="2">
        <f>IF('Modell einstellen'!$B$1="Voll",H4/0.35,H4/0.35*2)</f>
        <v>1.7590620571428575E-4</v>
      </c>
      <c r="O4" s="2">
        <f>IF('Modell einstellen'!$B$1="Voll",J4/0.35,J4/0.35*2)</f>
        <v>-4.9615606285714287E-4</v>
      </c>
      <c r="P4" s="3">
        <f t="shared" ref="P4:P33" si="1">-N4/O4</f>
        <v>0.35453805542820516</v>
      </c>
      <c r="Q4" s="3"/>
      <c r="R4" s="3"/>
      <c r="S4" s="3"/>
      <c r="T4" s="3"/>
      <c r="U4" s="3"/>
      <c r="V4" s="3"/>
      <c r="W4" s="3"/>
    </row>
    <row r="5" spans="1:23" x14ac:dyDescent="0.25">
      <c r="A5" s="2">
        <v>1E-13</v>
      </c>
      <c r="B5" s="2">
        <v>-4.7979999999999996E-6</v>
      </c>
      <c r="C5" s="2">
        <v>1.373E-4</v>
      </c>
      <c r="D5" s="2">
        <v>-4.0929999999999997E-4</v>
      </c>
      <c r="E5" s="2">
        <v>0</v>
      </c>
      <c r="F5" s="2">
        <v>0</v>
      </c>
      <c r="G5" s="2">
        <v>0</v>
      </c>
      <c r="H5" s="2">
        <v>3.0783754999999998E-5</v>
      </c>
      <c r="I5" s="2">
        <v>1.2421265999999999E-5</v>
      </c>
      <c r="J5" s="2">
        <v>-8.6827770999999996E-5</v>
      </c>
      <c r="K5" s="3"/>
      <c r="L5" s="3">
        <f t="shared" si="0"/>
        <v>-1.1722452968482776E-2</v>
      </c>
      <c r="M5" s="3"/>
      <c r="N5" s="2">
        <f>IF('Modell einstellen'!$B$1="Voll",H5/0.35,H5/0.35*2)</f>
        <v>1.7590717142857142E-4</v>
      </c>
      <c r="O5" s="2">
        <f>IF('Modell einstellen'!$B$1="Voll",J5/0.35,J5/0.35*2)</f>
        <v>-4.9615869142857142E-4</v>
      </c>
      <c r="P5" s="3">
        <f t="shared" si="1"/>
        <v>0.35453812352271485</v>
      </c>
      <c r="Q5" s="3"/>
      <c r="R5" s="3"/>
      <c r="S5" s="3"/>
      <c r="T5" s="3"/>
      <c r="U5" s="3"/>
      <c r="V5" s="3"/>
      <c r="W5" s="3"/>
    </row>
    <row r="6" spans="1:23" x14ac:dyDescent="0.25">
      <c r="A6" s="2">
        <v>9.9999999999999998E-13</v>
      </c>
      <c r="B6" s="2">
        <v>-4.797E-6</v>
      </c>
      <c r="C6" s="2">
        <v>1.373E-4</v>
      </c>
      <c r="D6" s="2">
        <v>-4.0929999999999997E-4</v>
      </c>
      <c r="E6" s="2">
        <v>0</v>
      </c>
      <c r="F6" s="2">
        <v>0</v>
      </c>
      <c r="G6" s="2">
        <v>0</v>
      </c>
      <c r="H6" s="2">
        <v>3.0783798000000003E-5</v>
      </c>
      <c r="I6" s="2">
        <v>1.2421307999999999E-5</v>
      </c>
      <c r="J6" s="2">
        <v>-8.6827891000000005E-5</v>
      </c>
      <c r="K6" s="3"/>
      <c r="L6" s="3">
        <f t="shared" si="0"/>
        <v>-1.1720009772782801E-2</v>
      </c>
      <c r="M6" s="3"/>
      <c r="N6" s="2">
        <f>IF('Modell einstellen'!$B$1="Voll",H6/0.35,H6/0.35*2)</f>
        <v>1.7590741714285717E-4</v>
      </c>
      <c r="O6" s="2">
        <f>IF('Modell einstellen'!$B$1="Voll",J6/0.35,J6/0.35*2)</f>
        <v>-4.9615937714285723E-4</v>
      </c>
      <c r="P6" s="3">
        <f t="shared" si="1"/>
        <v>0.35453812876786328</v>
      </c>
      <c r="Q6" s="3"/>
      <c r="R6" s="3"/>
      <c r="S6" s="3"/>
      <c r="T6" s="3"/>
      <c r="U6" s="3"/>
      <c r="V6" s="3"/>
      <c r="W6" s="3"/>
    </row>
    <row r="7" spans="1:23" x14ac:dyDescent="0.25">
      <c r="A7" s="2">
        <v>9.9999999999999994E-12</v>
      </c>
      <c r="B7" s="2">
        <v>-4.797E-6</v>
      </c>
      <c r="C7" s="2">
        <v>1.373E-4</v>
      </c>
      <c r="D7" s="2">
        <v>-4.0929999999999997E-4</v>
      </c>
      <c r="E7" s="2">
        <v>0</v>
      </c>
      <c r="F7" s="2">
        <v>0</v>
      </c>
      <c r="G7" s="2">
        <v>0</v>
      </c>
      <c r="H7" s="2">
        <v>3.0783810000000002E-5</v>
      </c>
      <c r="I7" s="2">
        <v>1.2421321E-5</v>
      </c>
      <c r="J7" s="2">
        <v>-8.6827926999999996E-5</v>
      </c>
      <c r="K7" s="3"/>
      <c r="L7" s="3">
        <f t="shared" si="0"/>
        <v>-1.1720009772782801E-2</v>
      </c>
      <c r="M7" s="3"/>
      <c r="N7" s="2">
        <f>IF('Modell einstellen'!$B$1="Voll",H7/0.35,H7/0.35*2)</f>
        <v>1.7590748571428574E-4</v>
      </c>
      <c r="O7" s="2">
        <f>IF('Modell einstellen'!$B$1="Voll",J7/0.35,J7/0.35*2)</f>
        <v>-4.961595828571429E-4</v>
      </c>
      <c r="P7" s="3">
        <f t="shared" si="1"/>
        <v>0.35453811997607637</v>
      </c>
      <c r="Q7" s="3"/>
      <c r="R7" s="3"/>
      <c r="S7" s="3"/>
      <c r="T7" s="3"/>
      <c r="U7" s="3"/>
      <c r="V7" s="3"/>
      <c r="W7" s="3"/>
    </row>
    <row r="8" spans="1:23" x14ac:dyDescent="0.25">
      <c r="A8" s="2">
        <v>1E-10</v>
      </c>
      <c r="B8" s="2">
        <v>-4.797E-6</v>
      </c>
      <c r="C8" s="2">
        <v>1.373E-4</v>
      </c>
      <c r="D8" s="2">
        <v>-4.0929999999999997E-4</v>
      </c>
      <c r="E8" s="2">
        <v>0</v>
      </c>
      <c r="F8" s="2">
        <v>0</v>
      </c>
      <c r="G8" s="2">
        <v>0</v>
      </c>
      <c r="H8" s="2">
        <v>3.0783814E-5</v>
      </c>
      <c r="I8" s="2">
        <v>1.2421324999999999E-5</v>
      </c>
      <c r="J8" s="2">
        <v>-8.6827938000000007E-5</v>
      </c>
      <c r="K8" s="3"/>
      <c r="L8" s="3">
        <f t="shared" si="0"/>
        <v>-1.1720009772782801E-2</v>
      </c>
      <c r="M8" s="3"/>
      <c r="N8" s="2">
        <f>IF('Modell einstellen'!$B$1="Voll",H8/0.35,H8/0.35*2)</f>
        <v>1.7590750857142859E-4</v>
      </c>
      <c r="O8" s="2">
        <f>IF('Modell einstellen'!$B$1="Voll",J8/0.35,J8/0.35*2)</f>
        <v>-4.9615964571428578E-4</v>
      </c>
      <c r="P8" s="3">
        <f t="shared" si="1"/>
        <v>0.35453812112870858</v>
      </c>
      <c r="Q8" s="3"/>
      <c r="R8" s="3"/>
      <c r="S8" s="3"/>
      <c r="T8" s="3"/>
      <c r="U8" s="3"/>
      <c r="V8" s="3"/>
      <c r="W8" s="3"/>
    </row>
    <row r="9" spans="1:23" x14ac:dyDescent="0.25">
      <c r="A9" s="2">
        <v>1.0000000000000001E-9</v>
      </c>
      <c r="B9" s="2">
        <v>-4.797E-6</v>
      </c>
      <c r="C9" s="2">
        <v>1.373E-4</v>
      </c>
      <c r="D9" s="2">
        <v>-4.0929999999999997E-4</v>
      </c>
      <c r="E9" s="2">
        <v>0</v>
      </c>
      <c r="F9" s="2">
        <v>0</v>
      </c>
      <c r="G9" s="2">
        <v>0</v>
      </c>
      <c r="H9" s="2">
        <v>3.0783815000000003E-5</v>
      </c>
      <c r="I9" s="2">
        <v>1.2421326E-5</v>
      </c>
      <c r="J9" s="2">
        <v>-8.6827940999999995E-5</v>
      </c>
      <c r="K9" s="3"/>
      <c r="L9" s="3">
        <f t="shared" si="0"/>
        <v>-1.1720009772782801E-2</v>
      </c>
      <c r="M9" s="3"/>
      <c r="N9" s="2">
        <f>IF('Modell einstellen'!$B$1="Voll",H9/0.35,H9/0.35*2)</f>
        <v>1.7590751428571432E-4</v>
      </c>
      <c r="O9" s="2">
        <f>IF('Modell einstellen'!$B$1="Voll",J9/0.35,J9/0.35*2)</f>
        <v>-4.961596628571429E-4</v>
      </c>
      <c r="P9" s="3">
        <f t="shared" si="1"/>
        <v>0.35453812039606009</v>
      </c>
      <c r="Q9" s="3"/>
      <c r="R9" s="3"/>
      <c r="S9" s="3"/>
      <c r="T9" s="3"/>
      <c r="U9" s="3"/>
      <c r="V9" s="3"/>
      <c r="W9" s="3"/>
    </row>
    <row r="10" spans="1:23" x14ac:dyDescent="0.25">
      <c r="A10" s="2">
        <v>1E-8</v>
      </c>
      <c r="B10" s="2">
        <v>-4.797E-6</v>
      </c>
      <c r="C10" s="2">
        <v>1.373E-4</v>
      </c>
      <c r="D10" s="2">
        <v>-4.0929999999999997E-4</v>
      </c>
      <c r="E10" s="2">
        <v>0</v>
      </c>
      <c r="F10" s="2">
        <v>0</v>
      </c>
      <c r="G10" s="2">
        <v>0</v>
      </c>
      <c r="H10" s="2">
        <v>3.0783815000000003E-5</v>
      </c>
      <c r="I10" s="2">
        <v>1.2421327E-5</v>
      </c>
      <c r="J10" s="2">
        <v>-8.6827942000000004E-5</v>
      </c>
      <c r="K10" s="3"/>
      <c r="L10" s="3">
        <f t="shared" si="0"/>
        <v>-1.1720009772782801E-2</v>
      </c>
      <c r="M10" s="3"/>
      <c r="N10" s="2">
        <f>IF('Modell einstellen'!$B$1="Voll",H10/0.35,H10/0.35*2)</f>
        <v>1.7590751428571432E-4</v>
      </c>
      <c r="O10" s="2">
        <f>IF('Modell einstellen'!$B$1="Voll",J10/0.35,J10/0.35*2)</f>
        <v>-4.9615966857142861E-4</v>
      </c>
      <c r="P10" s="3">
        <f t="shared" si="1"/>
        <v>0.354538116312834</v>
      </c>
      <c r="Q10" s="3"/>
      <c r="R10" s="3"/>
      <c r="S10" s="3"/>
      <c r="T10" s="3"/>
      <c r="U10" s="3"/>
      <c r="V10" s="3"/>
      <c r="W10" s="3"/>
    </row>
    <row r="11" spans="1:23" x14ac:dyDescent="0.25">
      <c r="A11" s="2">
        <v>9.9999999999999995E-8</v>
      </c>
      <c r="B11" s="2">
        <v>-4.797E-6</v>
      </c>
      <c r="C11" s="2">
        <v>1.373E-4</v>
      </c>
      <c r="D11" s="2">
        <v>-4.0929999999999997E-4</v>
      </c>
      <c r="E11" s="2">
        <v>0</v>
      </c>
      <c r="F11" s="2">
        <v>0</v>
      </c>
      <c r="G11" s="2">
        <v>0</v>
      </c>
      <c r="H11" s="2">
        <v>3.0783815000000003E-5</v>
      </c>
      <c r="I11" s="2">
        <v>1.2421327E-5</v>
      </c>
      <c r="J11" s="2">
        <v>-8.6827943E-5</v>
      </c>
      <c r="K11" s="3"/>
      <c r="L11" s="3">
        <f t="shared" si="0"/>
        <v>-1.1720009772782801E-2</v>
      </c>
      <c r="M11" s="3"/>
      <c r="N11" s="2">
        <f>IF('Modell einstellen'!$B$1="Voll",H11/0.35,H11/0.35*2)</f>
        <v>1.7590751428571432E-4</v>
      </c>
      <c r="O11" s="2">
        <f>IF('Modell einstellen'!$B$1="Voll",J11/0.35,J11/0.35*2)</f>
        <v>-4.9615967428571432E-4</v>
      </c>
      <c r="P11" s="3">
        <f t="shared" si="1"/>
        <v>0.35453811222960796</v>
      </c>
      <c r="Q11" s="3"/>
      <c r="R11" s="3"/>
      <c r="S11" s="3"/>
      <c r="T11" s="3"/>
      <c r="U11" s="3"/>
      <c r="V11" s="3"/>
      <c r="W11" s="3"/>
    </row>
    <row r="12" spans="1:23" x14ac:dyDescent="0.25">
      <c r="A12" s="2">
        <v>9.9999999999999995E-7</v>
      </c>
      <c r="B12" s="2">
        <v>-4.797E-6</v>
      </c>
      <c r="C12" s="2">
        <v>1.373E-4</v>
      </c>
      <c r="D12" s="2">
        <v>-4.0929999999999997E-4</v>
      </c>
      <c r="E12" s="2">
        <v>0</v>
      </c>
      <c r="F12" s="2">
        <v>0</v>
      </c>
      <c r="G12" s="2">
        <v>0</v>
      </c>
      <c r="H12" s="2">
        <v>3.0783815000000003E-5</v>
      </c>
      <c r="I12" s="2">
        <v>1.2421327E-5</v>
      </c>
      <c r="J12" s="2">
        <v>-8.6827943E-5</v>
      </c>
      <c r="K12" s="3"/>
      <c r="L12" s="3">
        <f t="shared" si="0"/>
        <v>-1.1720009772782801E-2</v>
      </c>
      <c r="M12" s="3"/>
      <c r="N12" s="2">
        <f>IF('Modell einstellen'!$B$1="Voll",H12/0.35,H12/0.35*2)</f>
        <v>1.7590751428571432E-4</v>
      </c>
      <c r="O12" s="2">
        <f>IF('Modell einstellen'!$B$1="Voll",J12/0.35,J12/0.35*2)</f>
        <v>-4.9615967428571432E-4</v>
      </c>
      <c r="P12" s="3">
        <f t="shared" si="1"/>
        <v>0.35453811222960796</v>
      </c>
      <c r="Q12" s="3"/>
      <c r="R12" s="3"/>
      <c r="S12" s="3"/>
      <c r="T12" s="3"/>
      <c r="U12" s="3"/>
      <c r="V12" s="3"/>
      <c r="W12" s="3"/>
    </row>
    <row r="13" spans="1:23" x14ac:dyDescent="0.25">
      <c r="A13" s="2">
        <v>1.0000000000000001E-5</v>
      </c>
      <c r="B13" s="2">
        <v>-4.797E-6</v>
      </c>
      <c r="C13" s="2">
        <v>1.373E-4</v>
      </c>
      <c r="D13" s="2">
        <v>-4.0929999999999997E-4</v>
      </c>
      <c r="E13" s="2">
        <v>0</v>
      </c>
      <c r="F13" s="2">
        <v>0</v>
      </c>
      <c r="G13" s="2">
        <v>0</v>
      </c>
      <c r="H13" s="2">
        <v>3.0783815000000003E-5</v>
      </c>
      <c r="I13" s="2">
        <v>1.2421327E-5</v>
      </c>
      <c r="J13" s="2">
        <v>-8.6827943E-5</v>
      </c>
      <c r="K13" s="3"/>
      <c r="L13" s="3">
        <f t="shared" si="0"/>
        <v>-1.1720009772782801E-2</v>
      </c>
      <c r="M13" s="3"/>
      <c r="N13" s="2">
        <f>IF('Modell einstellen'!$B$1="Voll",H13/0.35,H13/0.35*2)</f>
        <v>1.7590751428571432E-4</v>
      </c>
      <c r="O13" s="2">
        <f>IF('Modell einstellen'!$B$1="Voll",J13/0.35,J13/0.35*2)</f>
        <v>-4.9615967428571432E-4</v>
      </c>
      <c r="P13" s="3">
        <f t="shared" si="1"/>
        <v>0.35453811222960796</v>
      </c>
      <c r="Q13" s="3"/>
      <c r="R13" s="3"/>
      <c r="S13" s="3"/>
      <c r="T13" s="3"/>
      <c r="U13" s="3"/>
      <c r="V13" s="3"/>
      <c r="W13" s="3"/>
    </row>
    <row r="14" spans="1:23" x14ac:dyDescent="0.25">
      <c r="A14" s="2">
        <v>1E-4</v>
      </c>
      <c r="B14" s="2">
        <v>-4.797E-6</v>
      </c>
      <c r="C14" s="2">
        <v>1.373E-4</v>
      </c>
      <c r="D14" s="2">
        <v>-4.0929999999999997E-4</v>
      </c>
      <c r="E14" s="2">
        <v>0</v>
      </c>
      <c r="F14" s="2">
        <v>0</v>
      </c>
      <c r="G14" s="2">
        <v>0</v>
      </c>
      <c r="H14" s="2">
        <v>3.0783815999999999E-5</v>
      </c>
      <c r="I14" s="2">
        <v>1.2421327E-5</v>
      </c>
      <c r="J14" s="2">
        <v>-8.6827943999999996E-5</v>
      </c>
      <c r="K14" s="3"/>
      <c r="L14" s="3">
        <f t="shared" si="0"/>
        <v>-1.1720009772782801E-2</v>
      </c>
      <c r="M14" s="3"/>
      <c r="N14" s="2">
        <f>IF('Modell einstellen'!$B$1="Voll",H14/0.35,H14/0.35*2)</f>
        <v>1.7590752E-4</v>
      </c>
      <c r="O14" s="2">
        <f>IF('Modell einstellen'!$B$1="Voll",J14/0.35,J14/0.35*2)</f>
        <v>-4.9615968000000002E-4</v>
      </c>
      <c r="P14" s="3">
        <f t="shared" si="1"/>
        <v>0.35453811966341159</v>
      </c>
      <c r="Q14" s="3"/>
      <c r="R14" s="3"/>
      <c r="S14" s="3"/>
      <c r="T14" s="3"/>
      <c r="U14" s="3"/>
      <c r="V14" s="3"/>
      <c r="W14" s="3"/>
    </row>
    <row r="15" spans="1:23" x14ac:dyDescent="0.25">
      <c r="A15" s="2">
        <v>1E-3</v>
      </c>
      <c r="B15" s="2">
        <v>-4.797E-6</v>
      </c>
      <c r="C15" s="2">
        <v>1.373E-4</v>
      </c>
      <c r="D15" s="2">
        <v>-4.0929999999999997E-4</v>
      </c>
      <c r="E15" s="2">
        <v>0</v>
      </c>
      <c r="F15" s="2">
        <v>0</v>
      </c>
      <c r="G15" s="2">
        <v>0</v>
      </c>
      <c r="H15" s="2">
        <v>3.0783820000000003E-5</v>
      </c>
      <c r="I15" s="2">
        <v>1.2421328000000001E-5</v>
      </c>
      <c r="J15" s="2">
        <v>-8.6827950999999995E-5</v>
      </c>
      <c r="K15" s="3"/>
      <c r="L15" s="3">
        <f t="shared" si="0"/>
        <v>-1.1720009772782801E-2</v>
      </c>
      <c r="M15" s="3"/>
      <c r="N15" s="2">
        <f>IF('Modell einstellen'!$B$1="Voll",H15/0.35,H15/0.35*2)</f>
        <v>1.7590754285714289E-4</v>
      </c>
      <c r="O15" s="2">
        <f>IF('Modell einstellen'!$B$1="Voll",J15/0.35,J15/0.35*2)</f>
        <v>-4.9615971999999997E-4</v>
      </c>
      <c r="P15" s="3">
        <f t="shared" si="1"/>
        <v>0.3545381371489465</v>
      </c>
      <c r="Q15" s="3"/>
      <c r="R15" s="3"/>
      <c r="S15" s="3"/>
      <c r="T15" s="3"/>
      <c r="U15" s="3"/>
      <c r="V15" s="3"/>
      <c r="W15" s="3"/>
    </row>
    <row r="16" spans="1:23" x14ac:dyDescent="0.25">
      <c r="A16" s="2">
        <v>0.01</v>
      </c>
      <c r="B16" s="2">
        <v>-4.7979999999999996E-6</v>
      </c>
      <c r="C16" s="2">
        <v>1.373E-4</v>
      </c>
      <c r="D16" s="2">
        <v>-4.0929999999999997E-4</v>
      </c>
      <c r="E16" s="2">
        <v>0</v>
      </c>
      <c r="F16" s="2">
        <v>0</v>
      </c>
      <c r="G16" s="2">
        <v>0</v>
      </c>
      <c r="H16" s="2">
        <v>3.0783866000000002E-5</v>
      </c>
      <c r="I16" s="2">
        <v>1.2421335999999999E-5</v>
      </c>
      <c r="J16" s="2">
        <v>-8.6828021E-5</v>
      </c>
      <c r="K16" s="3"/>
      <c r="L16" s="3">
        <f t="shared" si="0"/>
        <v>-1.1722452968482776E-2</v>
      </c>
      <c r="M16" s="3"/>
      <c r="N16" s="2">
        <f>IF('Modell einstellen'!$B$1="Voll",H16/0.35,H16/0.35*2)</f>
        <v>1.7590780571428573E-4</v>
      </c>
      <c r="O16" s="2">
        <f>IF('Modell einstellen'!$B$1="Voll",J16/0.35,J16/0.35*2)</f>
        <v>-4.9616012E-4</v>
      </c>
      <c r="P16" s="3">
        <f t="shared" si="1"/>
        <v>0.35453838110625602</v>
      </c>
      <c r="Q16" s="3"/>
      <c r="R16" s="3"/>
      <c r="S16" s="3"/>
      <c r="T16" s="3"/>
      <c r="U16" s="3"/>
      <c r="V16" s="3"/>
      <c r="W16" s="3"/>
    </row>
    <row r="17" spans="1:23" x14ac:dyDescent="0.25">
      <c r="A17" s="2">
        <v>0.1</v>
      </c>
      <c r="B17" s="2">
        <v>-4.7999999999999998E-6</v>
      </c>
      <c r="C17" s="2">
        <v>1.373E-4</v>
      </c>
      <c r="D17" s="2">
        <v>-4.0929999999999997E-4</v>
      </c>
      <c r="E17" s="2">
        <v>0</v>
      </c>
      <c r="F17" s="2">
        <v>0</v>
      </c>
      <c r="G17" s="2">
        <v>0</v>
      </c>
      <c r="H17" s="2">
        <v>3.0784322000000003E-5</v>
      </c>
      <c r="I17" s="2">
        <v>1.2421413E-5</v>
      </c>
      <c r="J17" s="2">
        <v>-8.6828725000000006E-5</v>
      </c>
      <c r="K17" s="3"/>
      <c r="L17" s="3">
        <f t="shared" si="0"/>
        <v>-1.1727339359882728E-2</v>
      </c>
      <c r="M17" s="3"/>
      <c r="N17" s="2">
        <f>IF('Modell einstellen'!$B$1="Voll",H17/0.35,H17/0.35*2)</f>
        <v>1.7591041142857146E-4</v>
      </c>
      <c r="O17" s="2">
        <f>IF('Modell einstellen'!$B$1="Voll",J17/0.35,J17/0.35*2)</f>
        <v>-4.9616414285714289E-4</v>
      </c>
      <c r="P17" s="3">
        <f t="shared" si="1"/>
        <v>0.3545407582571321</v>
      </c>
      <c r="Q17" s="3"/>
      <c r="R17" s="3"/>
      <c r="S17" s="3"/>
      <c r="T17" s="3"/>
      <c r="U17" s="3"/>
      <c r="V17" s="3"/>
      <c r="W17" s="3"/>
    </row>
    <row r="18" spans="1:23" x14ac:dyDescent="0.25">
      <c r="A18" s="2">
        <v>1</v>
      </c>
      <c r="B18" s="2">
        <v>-4.8230000000000002E-6</v>
      </c>
      <c r="C18" s="2">
        <v>1.373E-4</v>
      </c>
      <c r="D18" s="2">
        <v>-4.0929999999999997E-4</v>
      </c>
      <c r="E18" s="2">
        <v>0</v>
      </c>
      <c r="F18" s="2">
        <v>0</v>
      </c>
      <c r="G18" s="2">
        <v>0</v>
      </c>
      <c r="H18" s="2">
        <v>3.0788872000000003E-5</v>
      </c>
      <c r="I18" s="2">
        <v>1.2422187000000001E-5</v>
      </c>
      <c r="J18" s="2">
        <v>-8.6835747000000001E-5</v>
      </c>
      <c r="K18" s="3"/>
      <c r="L18" s="3">
        <f t="shared" si="0"/>
        <v>-1.1783532860982167E-2</v>
      </c>
      <c r="M18" s="3"/>
      <c r="N18" s="2">
        <f>IF('Modell einstellen'!$B$1="Voll",H18/0.35,H18/0.35*2)</f>
        <v>1.7593641142857146E-4</v>
      </c>
      <c r="O18" s="2">
        <f>IF('Modell einstellen'!$B$1="Voll",J18/0.35,J18/0.35*2)</f>
        <v>-4.9620426857142864E-4</v>
      </c>
      <c r="P18" s="3">
        <f t="shared" si="1"/>
        <v>0.35456448598294432</v>
      </c>
      <c r="Q18" s="3"/>
      <c r="R18" s="3"/>
      <c r="S18" s="3"/>
      <c r="T18" s="3"/>
      <c r="U18" s="3"/>
      <c r="V18" s="3"/>
      <c r="W18" s="3"/>
    </row>
    <row r="19" spans="1:23" x14ac:dyDescent="0.25">
      <c r="A19" s="2">
        <v>10</v>
      </c>
      <c r="B19" s="2">
        <v>-5.0490000000000003E-6</v>
      </c>
      <c r="C19" s="2">
        <v>1.3740000000000001E-4</v>
      </c>
      <c r="D19" s="2">
        <v>-4.0929999999999997E-4</v>
      </c>
      <c r="E19" s="2">
        <v>0</v>
      </c>
      <c r="F19" s="2">
        <v>0</v>
      </c>
      <c r="G19" s="2">
        <v>0</v>
      </c>
      <c r="H19" s="2">
        <v>3.0833402000000001E-5</v>
      </c>
      <c r="I19" s="2">
        <v>1.2429764000000001E-5</v>
      </c>
      <c r="J19" s="2">
        <v>-8.6904455000000005E-5</v>
      </c>
      <c r="K19" s="3"/>
      <c r="L19" s="3">
        <f t="shared" si="0"/>
        <v>-1.2335695089176644E-2</v>
      </c>
      <c r="M19" s="3"/>
      <c r="N19" s="2">
        <f>IF('Modell einstellen'!$B$1="Voll",H19/0.35,H19/0.35*2)</f>
        <v>1.761908685714286E-4</v>
      </c>
      <c r="O19" s="2">
        <f>IF('Modell einstellen'!$B$1="Voll",J19/0.35,J19/0.35*2)</f>
        <v>-4.9659688571428574E-4</v>
      </c>
      <c r="P19" s="3">
        <f t="shared" si="1"/>
        <v>0.3547965636514262</v>
      </c>
      <c r="Q19" s="3"/>
      <c r="R19" s="3"/>
      <c r="S19" s="3"/>
      <c r="T19" s="3"/>
      <c r="U19" s="3"/>
      <c r="V19" s="3"/>
      <c r="W19" s="3"/>
    </row>
    <row r="20" spans="1:23" x14ac:dyDescent="0.25">
      <c r="A20" s="2">
        <v>100</v>
      </c>
      <c r="B20" s="2">
        <v>-6.888E-6</v>
      </c>
      <c r="C20" s="2">
        <v>1.3799999999999999E-4</v>
      </c>
      <c r="D20" s="2">
        <v>-4.0890000000000002E-4</v>
      </c>
      <c r="E20" s="2">
        <v>0</v>
      </c>
      <c r="F20" s="2">
        <v>0</v>
      </c>
      <c r="G20" s="2">
        <v>0</v>
      </c>
      <c r="H20" s="2">
        <v>3.1195127000000003E-5</v>
      </c>
      <c r="I20" s="2">
        <v>1.2491189E-5</v>
      </c>
      <c r="J20" s="2">
        <v>-8.7461886000000005E-5</v>
      </c>
      <c r="K20" s="3"/>
      <c r="L20" s="3">
        <f t="shared" si="0"/>
        <v>-1.6845194424064562E-2</v>
      </c>
      <c r="M20" s="3"/>
      <c r="N20" s="2">
        <f>IF('Modell einstellen'!$B$1="Voll",H20/0.35,H20/0.35*2)</f>
        <v>1.7825786857142859E-4</v>
      </c>
      <c r="O20" s="2">
        <f>IF('Modell einstellen'!$B$1="Voll",J20/0.35,J20/0.35*2)</f>
        <v>-4.9978220571428582E-4</v>
      </c>
      <c r="P20" s="3">
        <f t="shared" si="1"/>
        <v>0.35667109899733923</v>
      </c>
      <c r="Q20" s="3"/>
      <c r="R20" s="3"/>
      <c r="S20" s="3"/>
      <c r="T20" s="3"/>
      <c r="U20" s="3"/>
      <c r="V20" s="3"/>
      <c r="W20" s="3"/>
    </row>
    <row r="21" spans="1:23" x14ac:dyDescent="0.25">
      <c r="A21" s="2">
        <v>1000</v>
      </c>
      <c r="B21" s="2">
        <v>-1.166E-5</v>
      </c>
      <c r="C21" s="2">
        <v>1.3970000000000001E-4</v>
      </c>
      <c r="D21" s="2">
        <v>-4.081E-4</v>
      </c>
      <c r="E21" s="2">
        <v>0</v>
      </c>
      <c r="F21" s="2">
        <v>0</v>
      </c>
      <c r="G21" s="2">
        <v>0</v>
      </c>
      <c r="H21" s="2">
        <v>3.2134056000000001E-5</v>
      </c>
      <c r="I21" s="2">
        <v>1.2652594999999999E-5</v>
      </c>
      <c r="J21" s="2">
        <v>-8.8904251000000001E-5</v>
      </c>
      <c r="K21" s="3"/>
      <c r="L21" s="3">
        <f t="shared" si="0"/>
        <v>-2.8571428571428571E-2</v>
      </c>
      <c r="M21" s="3"/>
      <c r="N21" s="2">
        <f>IF('Modell einstellen'!$B$1="Voll",H21/0.35,H21/0.35*2)</f>
        <v>1.8362317714285716E-4</v>
      </c>
      <c r="O21" s="2">
        <f>IF('Modell einstellen'!$B$1="Voll",J21/0.35,J21/0.35*2)</f>
        <v>-5.0802429142857142E-4</v>
      </c>
      <c r="P21" s="3">
        <f t="shared" si="1"/>
        <v>0.36144566360499458</v>
      </c>
      <c r="Q21" s="3"/>
      <c r="R21" s="3"/>
      <c r="S21" s="3"/>
      <c r="T21" s="3"/>
      <c r="U21" s="3"/>
      <c r="V21" s="3"/>
      <c r="W21" s="3"/>
    </row>
    <row r="22" spans="1:23" x14ac:dyDescent="0.25">
      <c r="A22" s="2">
        <v>10000</v>
      </c>
      <c r="B22" s="2">
        <v>-1.6310000000000001E-5</v>
      </c>
      <c r="C22" s="2">
        <v>1.4200000000000001E-4</v>
      </c>
      <c r="D22" s="2">
        <v>-4.0779999999999999E-4</v>
      </c>
      <c r="E22" s="2">
        <v>0</v>
      </c>
      <c r="F22" s="2">
        <v>0</v>
      </c>
      <c r="G22" s="2">
        <v>0</v>
      </c>
      <c r="H22" s="2">
        <v>3.3224189999999999E-5</v>
      </c>
      <c r="I22" s="2">
        <v>1.2881634E-5</v>
      </c>
      <c r="J22" s="2">
        <v>-9.0625761999999998E-5</v>
      </c>
      <c r="K22" s="3"/>
      <c r="L22" s="3">
        <f t="shared" si="0"/>
        <v>-3.9995095635115253E-2</v>
      </c>
      <c r="M22" s="3"/>
      <c r="N22" s="2">
        <f>IF('Modell einstellen'!$B$1="Voll",H22/0.35,H22/0.35*2)</f>
        <v>1.8985251428571429E-4</v>
      </c>
      <c r="O22" s="2">
        <f>IF('Modell einstellen'!$B$1="Voll",J22/0.35,J22/0.35*2)</f>
        <v>-5.1786149714285715E-4</v>
      </c>
      <c r="P22" s="3">
        <f t="shared" si="1"/>
        <v>0.36660866917731405</v>
      </c>
      <c r="Q22" s="3"/>
      <c r="R22" s="3"/>
      <c r="S22" s="3"/>
      <c r="T22" s="3"/>
      <c r="U22" s="3"/>
      <c r="V22" s="3"/>
      <c r="W22" s="3"/>
    </row>
    <row r="23" spans="1:23" x14ac:dyDescent="0.25">
      <c r="A23" s="2">
        <v>100000</v>
      </c>
      <c r="B23" s="2">
        <v>-1.3390000000000001E-5</v>
      </c>
      <c r="C23" s="2">
        <v>1.496E-4</v>
      </c>
      <c r="D23" s="2">
        <v>-4.1889999999999999E-4</v>
      </c>
      <c r="E23" s="2">
        <v>0</v>
      </c>
      <c r="F23" s="2">
        <v>0</v>
      </c>
      <c r="G23" s="2">
        <v>0</v>
      </c>
      <c r="H23" s="2">
        <v>3.5121309000000003E-5</v>
      </c>
      <c r="I23" s="2">
        <v>1.3730241999999999E-5</v>
      </c>
      <c r="J23" s="2">
        <v>-9.4253577000000005E-5</v>
      </c>
      <c r="K23" s="3"/>
      <c r="L23" s="3">
        <f t="shared" si="0"/>
        <v>-3.1964669372165196E-2</v>
      </c>
      <c r="M23" s="3"/>
      <c r="N23" s="2">
        <f>IF('Modell einstellen'!$B$1="Voll",H23/0.35,H23/0.35*2)</f>
        <v>2.006931942857143E-4</v>
      </c>
      <c r="O23" s="2">
        <f>IF('Modell einstellen'!$B$1="Voll",J23/0.35,J23/0.35*2)</f>
        <v>-5.3859186857142859E-4</v>
      </c>
      <c r="P23" s="3">
        <f t="shared" si="1"/>
        <v>0.37262574130210468</v>
      </c>
      <c r="Q23" s="3"/>
      <c r="R23" s="3"/>
      <c r="S23" s="3"/>
      <c r="T23" s="3"/>
      <c r="U23" s="3"/>
      <c r="V23" s="3"/>
      <c r="W23" s="3"/>
    </row>
    <row r="24" spans="1:23" x14ac:dyDescent="0.25">
      <c r="A24" s="2">
        <v>1000000</v>
      </c>
      <c r="B24" s="2">
        <v>2.4280000000000001E-5</v>
      </c>
      <c r="C24" s="2">
        <v>1.728E-4</v>
      </c>
      <c r="D24" s="2">
        <v>-4.7169999999999997E-4</v>
      </c>
      <c r="E24" s="2">
        <v>0</v>
      </c>
      <c r="F24" s="2">
        <v>0</v>
      </c>
      <c r="G24" s="2">
        <v>0</v>
      </c>
      <c r="H24" s="2">
        <v>3.9597022999999997E-5</v>
      </c>
      <c r="I24" s="2">
        <v>1.6859741999999999E-5</v>
      </c>
      <c r="J24" s="2">
        <v>-1.0440567999999999E-4</v>
      </c>
      <c r="K24" s="3"/>
      <c r="L24" s="3">
        <f t="shared" si="0"/>
        <v>5.1473394106423577E-2</v>
      </c>
      <c r="M24" s="3"/>
      <c r="N24" s="2">
        <f>IF('Modell einstellen'!$B$1="Voll",H24/0.35,H24/0.35*2)</f>
        <v>2.2626870285714286E-4</v>
      </c>
      <c r="O24" s="2">
        <f>IF('Modell einstellen'!$B$1="Voll",J24/0.35,J24/0.35*2)</f>
        <v>-5.9660388571428568E-4</v>
      </c>
      <c r="P24" s="3">
        <f t="shared" si="1"/>
        <v>0.37926119536791486</v>
      </c>
      <c r="Q24" s="3"/>
      <c r="R24" s="3"/>
      <c r="S24" s="3"/>
      <c r="T24" s="3"/>
      <c r="U24" s="3"/>
      <c r="V24" s="3"/>
      <c r="W24" s="3"/>
    </row>
    <row r="25" spans="1:23" x14ac:dyDescent="0.25">
      <c r="A25" s="2">
        <v>10000000</v>
      </c>
      <c r="B25" s="2">
        <v>1.064E-4</v>
      </c>
      <c r="C25" s="2">
        <v>2.164E-4</v>
      </c>
      <c r="D25" s="2">
        <v>-5.7850000000000002E-4</v>
      </c>
      <c r="E25" s="2">
        <v>0</v>
      </c>
      <c r="F25" s="2">
        <v>0</v>
      </c>
      <c r="G25" s="2">
        <v>0</v>
      </c>
      <c r="H25" s="2">
        <v>4.7039475999999997E-5</v>
      </c>
      <c r="I25" s="2">
        <v>2.2997883999999998E-5</v>
      </c>
      <c r="J25" s="2">
        <v>-1.2276542E-4</v>
      </c>
      <c r="K25" s="3"/>
      <c r="L25" s="3">
        <f t="shared" si="0"/>
        <v>0.18392394122731201</v>
      </c>
      <c r="M25" s="3"/>
      <c r="N25" s="2">
        <f>IF('Modell einstellen'!$B$1="Voll",H25/0.35,H25/0.35*2)</f>
        <v>2.6879700571428569E-4</v>
      </c>
      <c r="O25" s="2">
        <f>IF('Modell einstellen'!$B$1="Voll",J25/0.35,J25/0.35*2)</f>
        <v>-7.0151668571428571E-4</v>
      </c>
      <c r="P25" s="3">
        <f t="shared" si="1"/>
        <v>0.38316552006257132</v>
      </c>
      <c r="Q25" s="3"/>
      <c r="R25" s="3"/>
      <c r="S25" s="3"/>
      <c r="T25" s="3"/>
      <c r="U25" s="3"/>
      <c r="V25" s="3"/>
      <c r="W25" s="3"/>
    </row>
    <row r="26" spans="1:23" x14ac:dyDescent="0.25">
      <c r="A26" s="2">
        <v>100000000</v>
      </c>
      <c r="B26" s="2">
        <v>2.017E-4</v>
      </c>
      <c r="C26" s="2">
        <v>2.7090000000000003E-4</v>
      </c>
      <c r="D26" s="2">
        <v>-7.0790000000000002E-4</v>
      </c>
      <c r="E26" s="2">
        <v>0</v>
      </c>
      <c r="F26" s="2">
        <v>0</v>
      </c>
      <c r="G26" s="2">
        <v>0</v>
      </c>
      <c r="H26" s="2">
        <v>5.5924017999999998E-5</v>
      </c>
      <c r="I26" s="2">
        <v>3.0527865E-5</v>
      </c>
      <c r="J26" s="2">
        <v>-1.4525048000000001E-4</v>
      </c>
      <c r="K26" s="3"/>
      <c r="L26" s="3">
        <f t="shared" si="0"/>
        <v>0.28492724961152704</v>
      </c>
      <c r="M26" s="3"/>
      <c r="N26" s="2">
        <f>IF('Modell einstellen'!$B$1="Voll",H26/0.35,H26/0.35*2)</f>
        <v>3.1956581714285713E-4</v>
      </c>
      <c r="O26" s="2">
        <f>IF('Modell einstellen'!$B$1="Voll",J26/0.35,J26/0.35*2)</f>
        <v>-8.3000274285714303E-4</v>
      </c>
      <c r="P26" s="3">
        <f t="shared" si="1"/>
        <v>0.38501778445069501</v>
      </c>
      <c r="Q26" s="3"/>
      <c r="R26" s="3"/>
      <c r="S26" s="3"/>
      <c r="T26" s="3"/>
      <c r="U26" s="3"/>
      <c r="V26" s="3"/>
      <c r="W26" s="3"/>
    </row>
    <row r="27" spans="1:23" x14ac:dyDescent="0.25">
      <c r="A27" s="2">
        <v>1000000000</v>
      </c>
      <c r="B27" s="2">
        <v>2.9060000000000002E-4</v>
      </c>
      <c r="C27" s="2">
        <v>3.2739999999999999E-4</v>
      </c>
      <c r="D27" s="2">
        <v>-8.3659999999999995E-4</v>
      </c>
      <c r="E27" s="2">
        <v>0</v>
      </c>
      <c r="F27" s="2">
        <v>0</v>
      </c>
      <c r="G27" s="2">
        <v>0</v>
      </c>
      <c r="H27" s="2">
        <v>6.4676706E-5</v>
      </c>
      <c r="I27" s="2">
        <v>3.8137596000000001E-5</v>
      </c>
      <c r="J27" s="2">
        <v>-1.6801492999999999E-4</v>
      </c>
      <c r="K27" s="3"/>
      <c r="L27" s="3">
        <f t="shared" si="0"/>
        <v>0.34735835524743014</v>
      </c>
      <c r="M27" s="3"/>
      <c r="N27" s="2">
        <f>IF('Modell einstellen'!$B$1="Voll",H27/0.35,H27/0.35*2)</f>
        <v>3.6958117714285714E-4</v>
      </c>
      <c r="O27" s="2">
        <f>IF('Modell einstellen'!$B$1="Voll",J27/0.35,J27/0.35*2)</f>
        <v>-9.6008531428571427E-4</v>
      </c>
      <c r="P27" s="3">
        <f t="shared" si="1"/>
        <v>0.38494618305647005</v>
      </c>
      <c r="Q27" s="3"/>
      <c r="R27" s="3"/>
      <c r="S27" s="3"/>
      <c r="T27" s="3"/>
      <c r="U27" s="3"/>
      <c r="V27" s="3"/>
      <c r="W27" s="3"/>
    </row>
    <row r="28" spans="1:23" x14ac:dyDescent="0.25">
      <c r="A28" s="2">
        <v>10000000000</v>
      </c>
      <c r="B28" s="2">
        <v>3.6699999999999998E-4</v>
      </c>
      <c r="C28" s="2">
        <v>3.8230000000000002E-4</v>
      </c>
      <c r="D28" s="2">
        <v>-9.5560000000000003E-4</v>
      </c>
      <c r="E28" s="2">
        <v>0</v>
      </c>
      <c r="F28" s="2">
        <v>0</v>
      </c>
      <c r="G28" s="2">
        <v>0</v>
      </c>
      <c r="H28" s="2">
        <v>7.2670534000000001E-5</v>
      </c>
      <c r="I28" s="2">
        <v>4.5389846000000003E-5</v>
      </c>
      <c r="J28" s="2">
        <v>-1.8958557999999999E-4</v>
      </c>
      <c r="K28" s="3"/>
      <c r="L28" s="3">
        <f t="shared" si="0"/>
        <v>0.38405190456257843</v>
      </c>
      <c r="M28" s="3"/>
      <c r="N28" s="2">
        <f>IF('Modell einstellen'!$B$1="Voll",H28/0.35,H28/0.35*2)</f>
        <v>4.1526019428571434E-4</v>
      </c>
      <c r="O28" s="2">
        <f>IF('Modell einstellen'!$B$1="Voll",J28/0.35,J28/0.35*2)</f>
        <v>-1.0833461714285714E-3</v>
      </c>
      <c r="P28" s="3">
        <f t="shared" si="1"/>
        <v>0.38331255995313573</v>
      </c>
      <c r="Q28" s="3"/>
      <c r="R28" s="3"/>
      <c r="S28" s="3"/>
      <c r="T28" s="3"/>
      <c r="U28" s="3"/>
      <c r="V28" s="3"/>
      <c r="W28" s="3"/>
    </row>
    <row r="29" spans="1:23" x14ac:dyDescent="0.25">
      <c r="A29" s="2">
        <v>100000000000</v>
      </c>
      <c r="B29" s="2">
        <v>4.3290000000000001E-4</v>
      </c>
      <c r="C29" s="2">
        <v>4.3770000000000001E-4</v>
      </c>
      <c r="D29" s="2">
        <v>-1.0679999999999999E-3</v>
      </c>
      <c r="E29" s="2">
        <v>0</v>
      </c>
      <c r="F29" s="2">
        <v>0</v>
      </c>
      <c r="G29" s="2">
        <v>0</v>
      </c>
      <c r="H29" s="2">
        <v>8.0608588000000007E-5</v>
      </c>
      <c r="I29" s="2">
        <v>5.2727369000000001E-5</v>
      </c>
      <c r="J29" s="2">
        <v>-2.1151589999999999E-4</v>
      </c>
      <c r="K29" s="3"/>
      <c r="L29" s="3">
        <f t="shared" si="0"/>
        <v>0.40533707865168545</v>
      </c>
      <c r="M29" s="3"/>
      <c r="N29" s="2">
        <f>IF('Modell einstellen'!$B$1="Voll",H29/0.35,H29/0.35*2)</f>
        <v>4.6062050285714293E-4</v>
      </c>
      <c r="O29" s="2">
        <f>IF('Modell einstellen'!$B$1="Voll",J29/0.35,J29/0.35*2)</f>
        <v>-1.2086622857142857E-3</v>
      </c>
      <c r="P29" s="3">
        <f t="shared" si="1"/>
        <v>0.38109942562237648</v>
      </c>
      <c r="Q29" s="3"/>
      <c r="R29" s="3"/>
      <c r="S29" s="3"/>
      <c r="T29" s="3"/>
      <c r="U29" s="3"/>
      <c r="V29" s="3"/>
      <c r="W29" s="3"/>
    </row>
    <row r="30" spans="1:23" x14ac:dyDescent="0.25">
      <c r="A30" s="2">
        <v>1000000000000</v>
      </c>
      <c r="B30" s="2">
        <v>4.9200000000000003E-4</v>
      </c>
      <c r="C30" s="2">
        <v>4.9580000000000002E-4</v>
      </c>
      <c r="D30" s="2">
        <v>-1.1800000000000001E-3</v>
      </c>
      <c r="E30" s="2">
        <v>0</v>
      </c>
      <c r="F30" s="2">
        <v>0</v>
      </c>
      <c r="G30" s="2">
        <v>0</v>
      </c>
      <c r="H30" s="2">
        <v>8.8966502999999998E-5</v>
      </c>
      <c r="I30" s="2">
        <v>6.0560667000000001E-5</v>
      </c>
      <c r="J30" s="2">
        <v>-2.3500581999999999E-4</v>
      </c>
      <c r="K30" s="3"/>
      <c r="L30" s="3">
        <f t="shared" si="0"/>
        <v>0.41694915254237291</v>
      </c>
      <c r="M30" s="3"/>
      <c r="N30" s="2">
        <f>IF('Modell einstellen'!$B$1="Voll",H30/0.35,H30/0.35*2)</f>
        <v>5.0838001714285713E-4</v>
      </c>
      <c r="O30" s="2">
        <f>IF('Modell einstellen'!$B$1="Voll",J30/0.35,J30/0.35*2)</f>
        <v>-1.3428904000000001E-3</v>
      </c>
      <c r="P30" s="3">
        <f t="shared" si="1"/>
        <v>0.37857148814442121</v>
      </c>
      <c r="Q30" s="3"/>
      <c r="R30" s="3"/>
      <c r="S30" s="3"/>
      <c r="T30" s="3"/>
      <c r="U30" s="3"/>
      <c r="V30" s="3"/>
      <c r="W30" s="3"/>
    </row>
    <row r="31" spans="1:23" x14ac:dyDescent="0.25">
      <c r="A31" s="2">
        <v>10000000000000</v>
      </c>
      <c r="B31" s="2">
        <v>5.5500000000000005E-4</v>
      </c>
      <c r="C31" s="2">
        <v>5.6959999999999997E-4</v>
      </c>
      <c r="D31" s="2">
        <v>-1.3129999999999999E-3</v>
      </c>
      <c r="E31" s="2">
        <v>0</v>
      </c>
      <c r="F31" s="2">
        <v>0</v>
      </c>
      <c r="G31" s="2">
        <v>0</v>
      </c>
      <c r="H31" s="2">
        <v>1.0054827000000001E-4</v>
      </c>
      <c r="I31" s="2">
        <v>7.0977368000000002E-5</v>
      </c>
      <c r="J31" s="2">
        <v>-2.6695954E-4</v>
      </c>
      <c r="K31" s="3"/>
      <c r="L31" s="3">
        <f t="shared" si="0"/>
        <v>0.42269611576542276</v>
      </c>
      <c r="M31" s="3"/>
      <c r="N31" s="2">
        <f>IF('Modell einstellen'!$B$1="Voll",H31/0.35,H31/0.35*2)</f>
        <v>5.7456154285714294E-4</v>
      </c>
      <c r="O31" s="2">
        <f>IF('Modell einstellen'!$B$1="Voll",J31/0.35,J31/0.35*2)</f>
        <v>-1.5254830857142857E-3</v>
      </c>
      <c r="P31" s="3">
        <f t="shared" si="1"/>
        <v>0.37664235561688492</v>
      </c>
      <c r="Q31" s="3"/>
      <c r="R31" s="3"/>
      <c r="S31" s="3"/>
      <c r="T31" s="3"/>
      <c r="U31" s="3"/>
      <c r="V31" s="3"/>
      <c r="W31" s="3"/>
    </row>
    <row r="32" spans="1:23" x14ac:dyDescent="0.25">
      <c r="A32" s="2">
        <v>100000000000000</v>
      </c>
      <c r="B32" s="2">
        <v>6.332E-4</v>
      </c>
      <c r="C32" s="2">
        <v>6.7659999999999997E-4</v>
      </c>
      <c r="D32" s="2">
        <v>-1.4959999999999999E-3</v>
      </c>
      <c r="E32" s="2">
        <v>0</v>
      </c>
      <c r="F32" s="2">
        <v>0</v>
      </c>
      <c r="G32" s="2">
        <v>0</v>
      </c>
      <c r="H32" s="2">
        <v>1.1861863E-4</v>
      </c>
      <c r="I32" s="2">
        <v>8.6856087999999997E-5</v>
      </c>
      <c r="J32" s="2">
        <v>-3.1617898000000001E-4</v>
      </c>
      <c r="K32" s="3"/>
      <c r="L32" s="3">
        <f t="shared" si="0"/>
        <v>0.42326203208556151</v>
      </c>
      <c r="M32" s="3"/>
      <c r="N32" s="2">
        <f>IF('Modell einstellen'!$B$1="Voll",H32/0.35,H32/0.35*2)</f>
        <v>6.7782074285714286E-4</v>
      </c>
      <c r="O32" s="2">
        <f>IF('Modell einstellen'!$B$1="Voll",J32/0.35,J32/0.35*2)</f>
        <v>-1.8067370285714287E-3</v>
      </c>
      <c r="P32" s="3">
        <f t="shared" si="1"/>
        <v>0.37516292196274398</v>
      </c>
      <c r="Q32" s="3"/>
      <c r="R32" s="3"/>
      <c r="S32" s="3"/>
      <c r="T32" s="3"/>
      <c r="U32" s="3"/>
      <c r="V32" s="3"/>
      <c r="W32" s="3"/>
    </row>
    <row r="33" spans="1:23" x14ac:dyDescent="0.25">
      <c r="A33" s="2">
        <v>1000000000000000</v>
      </c>
      <c r="B33" s="2">
        <v>7.3870000000000001E-4</v>
      </c>
      <c r="C33" s="2">
        <v>8.4719999999999999E-4</v>
      </c>
      <c r="D33" s="2">
        <v>-1.7700000000000001E-3</v>
      </c>
      <c r="E33" s="2">
        <v>0</v>
      </c>
      <c r="F33" s="2">
        <v>0</v>
      </c>
      <c r="G33" s="2">
        <v>0</v>
      </c>
      <c r="H33" s="2">
        <v>1.4928464000000001E-4</v>
      </c>
      <c r="I33" s="2">
        <v>1.1347201E-4</v>
      </c>
      <c r="J33" s="2">
        <v>-3.9892935999999999E-4</v>
      </c>
      <c r="K33" s="3"/>
      <c r="L33" s="3">
        <f t="shared" si="0"/>
        <v>0.41734463276836159</v>
      </c>
      <c r="M33" s="3"/>
      <c r="N33" s="2">
        <f>IF('Modell einstellen'!$B$1="Voll",H33/0.35,H33/0.35*2)</f>
        <v>8.5305508571428585E-4</v>
      </c>
      <c r="O33" s="2">
        <f>IF('Modell einstellen'!$B$1="Voll",J33/0.35,J33/0.35*2)</f>
        <v>-2.2795963428571429E-3</v>
      </c>
      <c r="P33" s="3">
        <f t="shared" si="1"/>
        <v>0.37421321910224914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-2.0389999999999999E-7</v>
      </c>
      <c r="C3" s="3">
        <v>1.3880000000000001E-4</v>
      </c>
      <c r="D3" s="3">
        <v>-4.1449999999999999E-4</v>
      </c>
      <c r="E3" s="3">
        <v>0</v>
      </c>
      <c r="F3" s="3">
        <v>0</v>
      </c>
      <c r="G3" s="3">
        <v>0</v>
      </c>
      <c r="H3" s="3">
        <v>3.1056853999999998E-5</v>
      </c>
      <c r="I3" s="3">
        <v>1.2659162E-5</v>
      </c>
      <c r="J3" s="3">
        <v>-8.7609467999999994E-5</v>
      </c>
      <c r="L3" s="3">
        <f>-B3/D3</f>
        <v>-4.9191797346200244E-4</v>
      </c>
      <c r="M3" s="3"/>
      <c r="N3" s="2">
        <f>IF('Modell einstellen'!$B$1="Voll",H3/0.35,H3/0.35*2)</f>
        <v>1.7746773714285714E-4</v>
      </c>
      <c r="O3" s="2">
        <f>IF('Modell einstellen'!$B$1="Voll",J3/0.35,J3/0.35*2)</f>
        <v>-5.0062553142857138E-4</v>
      </c>
      <c r="P3" s="3">
        <f>-N3/O3</f>
        <v>0.35449198253321207</v>
      </c>
    </row>
    <row r="4" spans="1:16" x14ac:dyDescent="0.25">
      <c r="A4" s="3">
        <v>1E-14</v>
      </c>
      <c r="B4" s="3">
        <v>-2.1290000000000001E-7</v>
      </c>
      <c r="C4" s="3">
        <v>1.3880000000000001E-4</v>
      </c>
      <c r="D4" s="3">
        <v>-4.1449999999999999E-4</v>
      </c>
      <c r="E4" s="3">
        <v>0</v>
      </c>
      <c r="F4" s="3">
        <v>0</v>
      </c>
      <c r="G4" s="3">
        <v>0</v>
      </c>
      <c r="H4" s="3">
        <v>3.1056994999999997E-5</v>
      </c>
      <c r="I4" s="3">
        <v>1.2660113E-5</v>
      </c>
      <c r="J4" s="3">
        <v>-8.7608120999999996E-5</v>
      </c>
      <c r="L4" s="3">
        <f t="shared" ref="L4:L33" si="0">-B4/D4</f>
        <v>-5.1363088057901091E-4</v>
      </c>
      <c r="M4" s="3"/>
      <c r="N4" s="2">
        <f>IF('Modell einstellen'!$B$1="Voll",H4/0.35,H4/0.35*2)</f>
        <v>1.7746854285714285E-4</v>
      </c>
      <c r="O4" s="2">
        <f>IF('Modell einstellen'!$B$1="Voll",J4/0.35,J4/0.35*2)</f>
        <v>-5.0061783428571427E-4</v>
      </c>
      <c r="P4" s="3">
        <f t="shared" ref="P4:P33" si="1">-N4/O4</f>
        <v>0.35449904238900409</v>
      </c>
    </row>
    <row r="5" spans="1:16" x14ac:dyDescent="0.25">
      <c r="A5" s="3">
        <v>1E-13</v>
      </c>
      <c r="B5" s="3">
        <v>-2.1089999999999999E-7</v>
      </c>
      <c r="C5" s="3">
        <v>1.3880000000000001E-4</v>
      </c>
      <c r="D5" s="3">
        <v>-4.1449999999999999E-4</v>
      </c>
      <c r="E5" s="3">
        <v>0</v>
      </c>
      <c r="F5" s="3">
        <v>0</v>
      </c>
      <c r="G5" s="3">
        <v>0</v>
      </c>
      <c r="H5" s="3">
        <v>3.1057167000000001E-5</v>
      </c>
      <c r="I5" s="3">
        <v>1.2660269E-5</v>
      </c>
      <c r="J5" s="3">
        <v>-8.7608582999999993E-5</v>
      </c>
      <c r="L5" s="3">
        <f t="shared" si="0"/>
        <v>-5.0880579010856449E-4</v>
      </c>
      <c r="M5" s="3"/>
      <c r="N5" s="2">
        <f>IF('Modell einstellen'!$B$1="Voll",H5/0.35,H5/0.35*2)</f>
        <v>1.7746952571428572E-4</v>
      </c>
      <c r="O5" s="2">
        <f>IF('Modell einstellen'!$B$1="Voll",J5/0.35,J5/0.35*2)</f>
        <v>-5.0062047428571423E-4</v>
      </c>
      <c r="P5" s="3">
        <f t="shared" si="1"/>
        <v>0.35449913623189183</v>
      </c>
    </row>
    <row r="6" spans="1:16" x14ac:dyDescent="0.25">
      <c r="A6" s="3">
        <v>9.9999999999999998E-13</v>
      </c>
      <c r="B6" s="3">
        <v>-2.1059999999999999E-7</v>
      </c>
      <c r="C6" s="3">
        <v>1.3880000000000001E-4</v>
      </c>
      <c r="D6" s="3">
        <v>-4.1449999999999999E-4</v>
      </c>
      <c r="E6" s="3">
        <v>0</v>
      </c>
      <c r="F6" s="3">
        <v>0</v>
      </c>
      <c r="G6" s="3">
        <v>0</v>
      </c>
      <c r="H6" s="3">
        <v>3.1057209999999999E-5</v>
      </c>
      <c r="I6" s="3">
        <v>1.2660311E-5</v>
      </c>
      <c r="J6" s="3">
        <v>-8.7608703999999998E-5</v>
      </c>
      <c r="L6" s="3">
        <f t="shared" si="0"/>
        <v>-5.0808202653799758E-4</v>
      </c>
      <c r="M6" s="3"/>
      <c r="N6" s="2">
        <f>IF('Modell einstellen'!$B$1="Voll",H6/0.35,H6/0.35*2)</f>
        <v>1.7746977142857144E-4</v>
      </c>
      <c r="O6" s="2">
        <f>IF('Modell einstellen'!$B$1="Voll",J6/0.35,J6/0.35*2)</f>
        <v>-5.0062116571428575E-4</v>
      </c>
      <c r="P6" s="3">
        <f t="shared" si="1"/>
        <v>0.35449913743730305</v>
      </c>
    </row>
    <row r="7" spans="1:16" x14ac:dyDescent="0.25">
      <c r="A7" s="3">
        <v>9.9999999999999994E-12</v>
      </c>
      <c r="B7" s="3">
        <v>-2.1050000000000001E-7</v>
      </c>
      <c r="C7" s="3">
        <v>1.3880000000000001E-4</v>
      </c>
      <c r="D7" s="3">
        <v>-4.1449999999999999E-4</v>
      </c>
      <c r="E7" s="3">
        <v>0</v>
      </c>
      <c r="F7" s="3">
        <v>0</v>
      </c>
      <c r="G7" s="3">
        <v>0</v>
      </c>
      <c r="H7" s="3">
        <v>3.1057221999999998E-5</v>
      </c>
      <c r="I7" s="3">
        <v>1.2660324E-5</v>
      </c>
      <c r="J7" s="3">
        <v>-8.7608738999999994E-5</v>
      </c>
      <c r="L7" s="3">
        <f t="shared" si="0"/>
        <v>-5.0784077201447531E-4</v>
      </c>
      <c r="M7" s="3"/>
      <c r="N7" s="2">
        <f>IF('Modell einstellen'!$B$1="Voll",H7/0.35,H7/0.35*2)</f>
        <v>1.7746984000000001E-4</v>
      </c>
      <c r="O7" s="2">
        <f>IF('Modell einstellen'!$B$1="Voll",J7/0.35,J7/0.35*2)</f>
        <v>-5.0062136571428571E-4</v>
      </c>
      <c r="P7" s="3">
        <f t="shared" si="1"/>
        <v>0.3544991327862852</v>
      </c>
    </row>
    <row r="8" spans="1:16" x14ac:dyDescent="0.25">
      <c r="A8" s="3">
        <v>1E-10</v>
      </c>
      <c r="B8" s="3">
        <v>-2.1050000000000001E-7</v>
      </c>
      <c r="C8" s="3">
        <v>1.3880000000000001E-4</v>
      </c>
      <c r="D8" s="3">
        <v>-4.1449999999999999E-4</v>
      </c>
      <c r="E8" s="3">
        <v>0</v>
      </c>
      <c r="F8" s="3">
        <v>0</v>
      </c>
      <c r="G8" s="3">
        <v>0</v>
      </c>
      <c r="H8" s="3">
        <v>3.1057226000000003E-5</v>
      </c>
      <c r="I8" s="3">
        <v>1.2660328E-5</v>
      </c>
      <c r="J8" s="3">
        <v>-8.7608750000000004E-5</v>
      </c>
      <c r="L8" s="3">
        <f t="shared" si="0"/>
        <v>-5.0784077201447531E-4</v>
      </c>
      <c r="M8" s="3"/>
      <c r="N8" s="2">
        <f>IF('Modell einstellen'!$B$1="Voll",H8/0.35,H8/0.35*2)</f>
        <v>1.7746986285714289E-4</v>
      </c>
      <c r="O8" s="2">
        <f>IF('Modell einstellen'!$B$1="Voll",J8/0.35,J8/0.35*2)</f>
        <v>-5.0062142857142859E-4</v>
      </c>
      <c r="P8" s="3">
        <f t="shared" si="1"/>
        <v>0.35449913393353982</v>
      </c>
    </row>
    <row r="9" spans="1:16" x14ac:dyDescent="0.25">
      <c r="A9" s="3">
        <v>1.0000000000000001E-9</v>
      </c>
      <c r="B9" s="3">
        <v>-2.1050000000000001E-7</v>
      </c>
      <c r="C9" s="3">
        <v>1.3880000000000001E-4</v>
      </c>
      <c r="D9" s="3">
        <v>-4.1449999999999999E-4</v>
      </c>
      <c r="E9" s="3">
        <v>0</v>
      </c>
      <c r="F9" s="3">
        <v>0</v>
      </c>
      <c r="G9" s="3">
        <v>0</v>
      </c>
      <c r="H9" s="3">
        <v>3.1057226999999999E-5</v>
      </c>
      <c r="I9" s="3">
        <v>1.2660329000000001E-5</v>
      </c>
      <c r="J9" s="3">
        <v>-8.7608753000000005E-5</v>
      </c>
      <c r="L9" s="3">
        <f t="shared" si="0"/>
        <v>-5.0784077201447531E-4</v>
      </c>
      <c r="M9" s="3"/>
      <c r="N9" s="2">
        <f>IF('Modell einstellen'!$B$1="Voll",H9/0.35,H9/0.35*2)</f>
        <v>1.7746986857142857E-4</v>
      </c>
      <c r="O9" s="2">
        <f>IF('Modell einstellen'!$B$1="Voll",J9/0.35,J9/0.35*2)</f>
        <v>-5.0062144571428582E-4</v>
      </c>
      <c r="P9" s="3">
        <f t="shared" si="1"/>
        <v>0.35449913320875592</v>
      </c>
    </row>
    <row r="10" spans="1:16" x14ac:dyDescent="0.25">
      <c r="A10" s="3">
        <v>1E-8</v>
      </c>
      <c r="B10" s="3">
        <v>-2.1050000000000001E-7</v>
      </c>
      <c r="C10" s="3">
        <v>1.3880000000000001E-4</v>
      </c>
      <c r="D10" s="3">
        <v>-4.1449999999999999E-4</v>
      </c>
      <c r="E10" s="3">
        <v>0</v>
      </c>
      <c r="F10" s="3">
        <v>0</v>
      </c>
      <c r="G10" s="3">
        <v>0</v>
      </c>
      <c r="H10" s="3">
        <v>3.1057226999999999E-5</v>
      </c>
      <c r="I10" s="3">
        <v>1.2660329000000001E-5</v>
      </c>
      <c r="J10" s="3">
        <v>-8.7608754999999997E-5</v>
      </c>
      <c r="L10" s="3">
        <f t="shared" si="0"/>
        <v>-5.0784077201447531E-4</v>
      </c>
      <c r="M10" s="3"/>
      <c r="N10" s="2">
        <f>IF('Modell einstellen'!$B$1="Voll",H10/0.35,H10/0.35*2)</f>
        <v>1.7746986857142857E-4</v>
      </c>
      <c r="O10" s="2">
        <f>IF('Modell einstellen'!$B$1="Voll",J10/0.35,J10/0.35*2)</f>
        <v>-5.0062145714285713E-4</v>
      </c>
      <c r="P10" s="3">
        <f t="shared" si="1"/>
        <v>0.35449912511597731</v>
      </c>
    </row>
    <row r="11" spans="1:16" x14ac:dyDescent="0.25">
      <c r="A11" s="3">
        <v>9.9999999999999995E-8</v>
      </c>
      <c r="B11" s="3">
        <v>-2.1050000000000001E-7</v>
      </c>
      <c r="C11" s="3">
        <v>1.3880000000000001E-4</v>
      </c>
      <c r="D11" s="3">
        <v>-4.1449999999999999E-4</v>
      </c>
      <c r="E11" s="3">
        <v>0</v>
      </c>
      <c r="F11" s="3">
        <v>0</v>
      </c>
      <c r="G11" s="3">
        <v>0</v>
      </c>
      <c r="H11" s="3">
        <v>3.1057226999999999E-5</v>
      </c>
      <c r="I11" s="3">
        <v>1.266033E-5</v>
      </c>
      <c r="J11" s="3">
        <v>-8.7608754999999997E-5</v>
      </c>
      <c r="L11" s="3">
        <f t="shared" si="0"/>
        <v>-5.0784077201447531E-4</v>
      </c>
      <c r="M11" s="3"/>
      <c r="N11" s="2">
        <f>IF('Modell einstellen'!$B$1="Voll",H11/0.35,H11/0.35*2)</f>
        <v>1.7746986857142857E-4</v>
      </c>
      <c r="O11" s="2">
        <f>IF('Modell einstellen'!$B$1="Voll",J11/0.35,J11/0.35*2)</f>
        <v>-5.0062145714285713E-4</v>
      </c>
      <c r="P11" s="3">
        <f t="shared" si="1"/>
        <v>0.35449912511597731</v>
      </c>
    </row>
    <row r="12" spans="1:16" x14ac:dyDescent="0.25">
      <c r="A12" s="3">
        <v>9.9999999999999995E-7</v>
      </c>
      <c r="B12" s="3">
        <v>-2.1050000000000001E-7</v>
      </c>
      <c r="C12" s="3">
        <v>1.3880000000000001E-4</v>
      </c>
      <c r="D12" s="3">
        <v>-4.1449999999999999E-4</v>
      </c>
      <c r="E12" s="3">
        <v>0</v>
      </c>
      <c r="F12" s="3">
        <v>0</v>
      </c>
      <c r="G12" s="3">
        <v>0</v>
      </c>
      <c r="H12" s="3">
        <v>3.1057228000000001E-5</v>
      </c>
      <c r="I12" s="3">
        <v>1.266033E-5</v>
      </c>
      <c r="J12" s="3">
        <v>-8.7608755999999993E-5</v>
      </c>
      <c r="L12" s="3">
        <f t="shared" si="0"/>
        <v>-5.0784077201447531E-4</v>
      </c>
      <c r="M12" s="3"/>
      <c r="N12" s="2">
        <f>IF('Modell einstellen'!$B$1="Voll",H12/0.35,H12/0.35*2)</f>
        <v>1.774698742857143E-4</v>
      </c>
      <c r="O12" s="2">
        <f>IF('Modell einstellen'!$B$1="Voll",J12/0.35,J12/0.35*2)</f>
        <v>-5.0062146285714283E-4</v>
      </c>
      <c r="P12" s="3">
        <f t="shared" si="1"/>
        <v>0.3544991324839723</v>
      </c>
    </row>
    <row r="13" spans="1:16" x14ac:dyDescent="0.25">
      <c r="A13" s="3">
        <v>1.0000000000000001E-5</v>
      </c>
      <c r="B13" s="3">
        <v>-2.1050000000000001E-7</v>
      </c>
      <c r="C13" s="3">
        <v>1.3880000000000001E-4</v>
      </c>
      <c r="D13" s="3">
        <v>-4.1449999999999999E-4</v>
      </c>
      <c r="E13" s="3">
        <v>0</v>
      </c>
      <c r="F13" s="3">
        <v>0</v>
      </c>
      <c r="G13" s="3">
        <v>0</v>
      </c>
      <c r="H13" s="3">
        <v>3.1057228999999997E-5</v>
      </c>
      <c r="I13" s="3">
        <v>1.266033E-5</v>
      </c>
      <c r="J13" s="3">
        <v>-8.7608757999999999E-5</v>
      </c>
      <c r="L13" s="3">
        <f t="shared" si="0"/>
        <v>-5.0784077201447531E-4</v>
      </c>
      <c r="M13" s="3"/>
      <c r="N13" s="2">
        <f>IF('Modell einstellen'!$B$1="Voll",H13/0.35,H13/0.35*2)</f>
        <v>1.7746987999999998E-4</v>
      </c>
      <c r="O13" s="2">
        <f>IF('Modell einstellen'!$B$1="Voll",J13/0.35,J13/0.35*2)</f>
        <v>-5.0062147428571436E-4</v>
      </c>
      <c r="P13" s="3">
        <f t="shared" si="1"/>
        <v>0.35449913580557774</v>
      </c>
    </row>
    <row r="14" spans="1:16" x14ac:dyDescent="0.25">
      <c r="A14" s="3">
        <v>1E-4</v>
      </c>
      <c r="B14" s="3">
        <v>-2.1059999999999999E-7</v>
      </c>
      <c r="C14" s="3">
        <v>1.3880000000000001E-4</v>
      </c>
      <c r="D14" s="3">
        <v>-4.1449999999999999E-4</v>
      </c>
      <c r="E14" s="3">
        <v>0</v>
      </c>
      <c r="F14" s="3">
        <v>0</v>
      </c>
      <c r="G14" s="3">
        <v>0</v>
      </c>
      <c r="H14" s="3">
        <v>3.1057245999999997E-5</v>
      </c>
      <c r="I14" s="3">
        <v>1.2660333E-5</v>
      </c>
      <c r="J14" s="3">
        <v>-8.7608784000000003E-5</v>
      </c>
      <c r="L14" s="3">
        <f t="shared" si="0"/>
        <v>-5.0808202653799758E-4</v>
      </c>
      <c r="M14" s="3"/>
      <c r="N14" s="2">
        <f>IF('Modell einstellen'!$B$1="Voll",H14/0.35,H14/0.35*2)</f>
        <v>1.7746997714285714E-4</v>
      </c>
      <c r="O14" s="2">
        <f>IF('Modell einstellen'!$B$1="Voll",J14/0.35,J14/0.35*2)</f>
        <v>-5.0062162285714295E-4</v>
      </c>
      <c r="P14" s="3">
        <f t="shared" si="1"/>
        <v>0.354499224643958</v>
      </c>
    </row>
    <row r="15" spans="1:16" x14ac:dyDescent="0.25">
      <c r="A15" s="3">
        <v>1E-3</v>
      </c>
      <c r="B15" s="3">
        <v>-2.114E-7</v>
      </c>
      <c r="C15" s="3">
        <v>1.3880000000000001E-4</v>
      </c>
      <c r="D15" s="3">
        <v>-4.1449999999999999E-4</v>
      </c>
      <c r="E15" s="3">
        <v>0</v>
      </c>
      <c r="F15" s="3">
        <v>0</v>
      </c>
      <c r="G15" s="3">
        <v>0</v>
      </c>
      <c r="H15" s="3">
        <v>3.1057413000000001E-5</v>
      </c>
      <c r="I15" s="3">
        <v>1.2660361999999999E-5</v>
      </c>
      <c r="J15" s="3">
        <v>-8.7609042999999999E-5</v>
      </c>
      <c r="L15" s="3">
        <f t="shared" si="0"/>
        <v>-5.1001206272617615E-4</v>
      </c>
      <c r="M15" s="3"/>
      <c r="N15" s="2">
        <f>IF('Modell einstellen'!$B$1="Voll",H15/0.35,H15/0.35*2)</f>
        <v>1.7747093142857144E-4</v>
      </c>
      <c r="O15" s="2">
        <f>IF('Modell einstellen'!$B$1="Voll",J15/0.35,J15/0.35*2)</f>
        <v>-5.006231028571429E-4</v>
      </c>
      <c r="P15" s="3">
        <f t="shared" si="1"/>
        <v>0.35450008282820761</v>
      </c>
    </row>
    <row r="16" spans="1:16" x14ac:dyDescent="0.25">
      <c r="A16" s="3">
        <v>0.01</v>
      </c>
      <c r="B16" s="3">
        <v>-2.1969999999999999E-7</v>
      </c>
      <c r="C16" s="3">
        <v>1.3880000000000001E-4</v>
      </c>
      <c r="D16" s="3">
        <v>-4.1449999999999999E-4</v>
      </c>
      <c r="E16" s="3">
        <v>0</v>
      </c>
      <c r="F16" s="3">
        <v>0</v>
      </c>
      <c r="G16" s="3">
        <v>0</v>
      </c>
      <c r="H16" s="3">
        <v>3.1059078999999998E-5</v>
      </c>
      <c r="I16" s="3">
        <v>1.2660656E-5</v>
      </c>
      <c r="J16" s="3">
        <v>-8.7611627999999996E-5</v>
      </c>
      <c r="L16" s="3">
        <f t="shared" si="0"/>
        <v>-5.3003618817852832E-4</v>
      </c>
      <c r="M16" s="3"/>
      <c r="N16" s="2">
        <f>IF('Modell einstellen'!$B$1="Voll",H16/0.35,H16/0.35*2)</f>
        <v>1.7748045142857143E-4</v>
      </c>
      <c r="O16" s="2">
        <f>IF('Modell einstellen'!$B$1="Voll",J16/0.35,J16/0.35*2)</f>
        <v>-5.0063787428571431E-4</v>
      </c>
      <c r="P16" s="3">
        <f t="shared" si="1"/>
        <v>0.35450863896742107</v>
      </c>
    </row>
    <row r="17" spans="1:16" x14ac:dyDescent="0.25">
      <c r="A17" s="3">
        <v>0.1</v>
      </c>
      <c r="B17" s="3">
        <v>-3.0129999999999998E-7</v>
      </c>
      <c r="C17" s="3">
        <v>1.3889999999999999E-4</v>
      </c>
      <c r="D17" s="3">
        <v>-4.1449999999999999E-4</v>
      </c>
      <c r="E17" s="3">
        <v>0</v>
      </c>
      <c r="F17" s="3">
        <v>0</v>
      </c>
      <c r="G17" s="3">
        <v>0</v>
      </c>
      <c r="H17" s="3">
        <v>3.1075606000000001E-5</v>
      </c>
      <c r="I17" s="3">
        <v>1.2663564999999999E-5</v>
      </c>
      <c r="J17" s="3">
        <v>-8.7637275E-5</v>
      </c>
      <c r="L17" s="3">
        <f t="shared" si="0"/>
        <v>-7.2689987937273818E-4</v>
      </c>
      <c r="M17" s="3"/>
      <c r="N17" s="2">
        <f>IF('Modell einstellen'!$B$1="Voll",H17/0.35,H17/0.35*2)</f>
        <v>1.7757489142857145E-4</v>
      </c>
      <c r="O17" s="2">
        <f>IF('Modell einstellen'!$B$1="Voll",J17/0.35,J17/0.35*2)</f>
        <v>-5.0078442857142856E-4</v>
      </c>
      <c r="P17" s="3">
        <f t="shared" si="1"/>
        <v>0.35459347634896232</v>
      </c>
    </row>
    <row r="18" spans="1:16" x14ac:dyDescent="0.25">
      <c r="A18" s="3">
        <v>1</v>
      </c>
      <c r="B18" s="3">
        <v>-1.0580000000000001E-6</v>
      </c>
      <c r="C18" s="3">
        <v>1.392E-4</v>
      </c>
      <c r="D18" s="3">
        <v>-4.1439999999999999E-4</v>
      </c>
      <c r="E18" s="3">
        <v>0</v>
      </c>
      <c r="F18" s="3">
        <v>0</v>
      </c>
      <c r="G18" s="3">
        <v>0</v>
      </c>
      <c r="H18" s="3">
        <v>3.1228503999999999E-5</v>
      </c>
      <c r="I18" s="3">
        <v>1.2690472E-5</v>
      </c>
      <c r="J18" s="3">
        <v>-8.7874435999999999E-5</v>
      </c>
      <c r="L18" s="3">
        <f t="shared" si="0"/>
        <v>-2.5530888030888032E-3</v>
      </c>
      <c r="M18" s="3"/>
      <c r="N18" s="2">
        <f>IF('Modell einstellen'!$B$1="Voll",H18/0.35,H18/0.35*2)</f>
        <v>1.7844859428571428E-4</v>
      </c>
      <c r="O18" s="2">
        <f>IF('Modell einstellen'!$B$1="Voll",J18/0.35,J18/0.35*2)</f>
        <v>-5.0213963428571431E-4</v>
      </c>
      <c r="P18" s="3">
        <f t="shared" si="1"/>
        <v>0.35537643735204172</v>
      </c>
    </row>
    <row r="19" spans="1:16" x14ac:dyDescent="0.25">
      <c r="A19" s="3">
        <v>10</v>
      </c>
      <c r="B19" s="3">
        <v>-4.9529999999999998E-6</v>
      </c>
      <c r="C19" s="3">
        <v>1.406E-4</v>
      </c>
      <c r="D19" s="3">
        <v>-4.1379999999999998E-4</v>
      </c>
      <c r="E19" s="3">
        <v>0</v>
      </c>
      <c r="F19" s="3">
        <v>0</v>
      </c>
      <c r="G19" s="3">
        <v>0</v>
      </c>
      <c r="H19" s="3">
        <v>3.2012567000000002E-5</v>
      </c>
      <c r="I19" s="3">
        <v>1.2828450000000001E-5</v>
      </c>
      <c r="J19" s="3">
        <v>-8.9087209999999997E-5</v>
      </c>
      <c r="L19" s="3">
        <f t="shared" si="0"/>
        <v>-1.1969550507491543E-2</v>
      </c>
      <c r="M19" s="3"/>
      <c r="N19" s="2">
        <f>IF('Modell einstellen'!$B$1="Voll",H19/0.35,H19/0.35*2)</f>
        <v>1.8292895428571431E-4</v>
      </c>
      <c r="O19" s="2">
        <f>IF('Modell einstellen'!$B$1="Voll",J19/0.35,J19/0.35*2)</f>
        <v>-5.0906977142857143E-4</v>
      </c>
      <c r="P19" s="3">
        <f t="shared" si="1"/>
        <v>0.3593396515616552</v>
      </c>
    </row>
    <row r="20" spans="1:16" x14ac:dyDescent="0.25">
      <c r="A20" s="3">
        <v>100</v>
      </c>
      <c r="B20" s="3">
        <v>-9.4909999999999994E-6</v>
      </c>
      <c r="C20" s="3">
        <v>1.426E-4</v>
      </c>
      <c r="D20" s="3">
        <v>-4.1340000000000002E-4</v>
      </c>
      <c r="E20" s="3">
        <v>0</v>
      </c>
      <c r="F20" s="3">
        <v>0</v>
      </c>
      <c r="G20" s="3">
        <v>0</v>
      </c>
      <c r="H20" s="3">
        <v>3.3018448E-5</v>
      </c>
      <c r="I20" s="3">
        <v>1.3028255000000001E-5</v>
      </c>
      <c r="J20" s="3">
        <v>-9.0664129999999993E-5</v>
      </c>
      <c r="L20" s="3">
        <f t="shared" si="0"/>
        <v>-2.2958393807450409E-2</v>
      </c>
      <c r="M20" s="3"/>
      <c r="N20" s="2">
        <f>IF('Modell einstellen'!$B$1="Voll",H20/0.35,H20/0.35*2)</f>
        <v>1.8867684571428572E-4</v>
      </c>
      <c r="O20" s="2">
        <f>IF('Modell einstellen'!$B$1="Voll",J20/0.35,J20/0.35*2)</f>
        <v>-5.1808074285714285E-4</v>
      </c>
      <c r="P20" s="3">
        <f t="shared" si="1"/>
        <v>0.36418424794899595</v>
      </c>
    </row>
    <row r="21" spans="1:16" x14ac:dyDescent="0.25">
      <c r="A21" s="3">
        <v>1000</v>
      </c>
      <c r="B21" s="3">
        <v>-9.764E-6</v>
      </c>
      <c r="C21" s="3">
        <v>1.4799999999999999E-4</v>
      </c>
      <c r="D21" s="3">
        <v>-4.1970000000000001E-4</v>
      </c>
      <c r="E21" s="3">
        <v>0</v>
      </c>
      <c r="F21" s="3">
        <v>0</v>
      </c>
      <c r="G21" s="3">
        <v>0</v>
      </c>
      <c r="H21" s="3">
        <v>3.4538732999999999E-5</v>
      </c>
      <c r="I21" s="3">
        <v>1.3608382000000001E-5</v>
      </c>
      <c r="J21" s="3">
        <v>-9.3434165000000005E-5</v>
      </c>
      <c r="L21" s="3">
        <f t="shared" si="0"/>
        <v>-2.3264236359304264E-2</v>
      </c>
      <c r="M21" s="3"/>
      <c r="N21" s="2">
        <f>IF('Modell einstellen'!$B$1="Voll",H21/0.35,H21/0.35*2)</f>
        <v>1.9736418857142858E-4</v>
      </c>
      <c r="O21" s="2">
        <f>IF('Modell einstellen'!$B$1="Voll",J21/0.35,J21/0.35*2)</f>
        <v>-5.3390951428571433E-4</v>
      </c>
      <c r="P21" s="3">
        <f t="shared" si="1"/>
        <v>0.36965849697484854</v>
      </c>
    </row>
    <row r="22" spans="1:16" x14ac:dyDescent="0.25">
      <c r="A22" s="3">
        <v>10000</v>
      </c>
      <c r="B22" s="3">
        <v>1.483E-5</v>
      </c>
      <c r="C22" s="3">
        <v>1.6559999999999999E-4</v>
      </c>
      <c r="D22" s="3">
        <v>-4.571E-4</v>
      </c>
      <c r="E22" s="3">
        <v>0</v>
      </c>
      <c r="F22" s="3">
        <v>0</v>
      </c>
      <c r="G22" s="3">
        <v>0</v>
      </c>
      <c r="H22" s="3">
        <v>3.8008646E-5</v>
      </c>
      <c r="I22" s="3">
        <v>1.5896264E-5</v>
      </c>
      <c r="J22" s="3">
        <v>-1.0110831E-4</v>
      </c>
      <c r="L22" s="3">
        <f t="shared" si="0"/>
        <v>3.2443666593743162E-2</v>
      </c>
      <c r="M22" s="3"/>
      <c r="N22" s="2">
        <f>IF('Modell einstellen'!$B$1="Voll",H22/0.35,H22/0.35*2)</f>
        <v>2.1719226285714288E-4</v>
      </c>
      <c r="O22" s="2">
        <f>IF('Modell einstellen'!$B$1="Voll",J22/0.35,J22/0.35*2)</f>
        <v>-5.7776177142857151E-4</v>
      </c>
      <c r="P22" s="3">
        <f t="shared" si="1"/>
        <v>0.37592009994035108</v>
      </c>
    </row>
    <row r="23" spans="1:16" x14ac:dyDescent="0.25">
      <c r="A23" s="3">
        <v>100000</v>
      </c>
      <c r="B23" s="3">
        <v>8.7880000000000006E-5</v>
      </c>
      <c r="C23" s="3">
        <v>2.042E-4</v>
      </c>
      <c r="D23" s="3">
        <v>-5.5170000000000002E-4</v>
      </c>
      <c r="E23" s="3">
        <v>0</v>
      </c>
      <c r="F23" s="3">
        <v>0</v>
      </c>
      <c r="G23" s="3">
        <v>0</v>
      </c>
      <c r="H23" s="3">
        <v>4.4754742999999998E-5</v>
      </c>
      <c r="I23" s="3">
        <v>2.132142E-5</v>
      </c>
      <c r="J23" s="3">
        <v>-1.1748972E-4</v>
      </c>
      <c r="L23" s="3">
        <f t="shared" si="0"/>
        <v>0.15928946891426501</v>
      </c>
      <c r="M23" s="3"/>
      <c r="N23" s="2">
        <f>IF('Modell einstellen'!$B$1="Voll",H23/0.35,H23/0.35*2)</f>
        <v>2.5574138857142859E-4</v>
      </c>
      <c r="O23" s="2">
        <f>IF('Modell einstellen'!$B$1="Voll",J23/0.35,J23/0.35*2)</f>
        <v>-6.7136982857142859E-4</v>
      </c>
      <c r="P23" s="3">
        <f t="shared" si="1"/>
        <v>0.38092475665105002</v>
      </c>
    </row>
    <row r="24" spans="1:16" x14ac:dyDescent="0.25">
      <c r="A24" s="3">
        <v>1000000</v>
      </c>
      <c r="B24" s="3">
        <v>1.8100000000000001E-4</v>
      </c>
      <c r="C24" s="3">
        <v>2.5609999999999999E-4</v>
      </c>
      <c r="D24" s="3">
        <v>-6.759E-4</v>
      </c>
      <c r="E24" s="3">
        <v>0</v>
      </c>
      <c r="F24" s="3">
        <v>0</v>
      </c>
      <c r="G24" s="3">
        <v>0</v>
      </c>
      <c r="H24" s="3">
        <v>5.3184989999999999E-5</v>
      </c>
      <c r="I24" s="3">
        <v>2.8484888999999999E-5</v>
      </c>
      <c r="J24" s="3">
        <v>-1.3875454999999999E-4</v>
      </c>
      <c r="L24" s="3">
        <f t="shared" si="0"/>
        <v>0.26779109335700546</v>
      </c>
      <c r="M24" s="3"/>
      <c r="N24" s="2">
        <f>IF('Modell einstellen'!$B$1="Voll",H24/0.35,H24/0.35*2)</f>
        <v>3.0391422857142857E-4</v>
      </c>
      <c r="O24" s="2">
        <f>IF('Modell einstellen'!$B$1="Voll",J24/0.35,J24/0.35*2)</f>
        <v>-7.9288314285714287E-4</v>
      </c>
      <c r="P24" s="3">
        <f t="shared" si="1"/>
        <v>0.3833026736780884</v>
      </c>
    </row>
    <row r="25" spans="1:16" x14ac:dyDescent="0.25">
      <c r="A25" s="3">
        <v>10000000</v>
      </c>
      <c r="B25" s="3">
        <v>2.7050000000000002E-4</v>
      </c>
      <c r="C25" s="3">
        <v>3.1129999999999998E-4</v>
      </c>
      <c r="D25" s="3">
        <v>-8.0309999999999995E-4</v>
      </c>
      <c r="E25" s="3">
        <v>0</v>
      </c>
      <c r="F25" s="3">
        <v>0</v>
      </c>
      <c r="G25" s="3">
        <v>0</v>
      </c>
      <c r="H25" s="3">
        <v>6.1801477000000005E-5</v>
      </c>
      <c r="I25" s="3">
        <v>3.5928208000000001E-5</v>
      </c>
      <c r="J25" s="3">
        <v>-1.6098457E-4</v>
      </c>
      <c r="L25" s="3">
        <f t="shared" si="0"/>
        <v>0.33681982318515757</v>
      </c>
      <c r="M25" s="3"/>
      <c r="N25" s="2">
        <f>IF('Modell einstellen'!$B$1="Voll",H25/0.35,H25/0.35*2)</f>
        <v>3.531512971428572E-4</v>
      </c>
      <c r="O25" s="2">
        <f>IF('Modell einstellen'!$B$1="Voll",J25/0.35,J25/0.35*2)</f>
        <v>-9.1991182857142863E-4</v>
      </c>
      <c r="P25" s="3">
        <f t="shared" si="1"/>
        <v>0.38389689769646873</v>
      </c>
    </row>
    <row r="26" spans="1:16" x14ac:dyDescent="0.25">
      <c r="A26" s="3">
        <v>100000000</v>
      </c>
      <c r="B26" s="3">
        <v>3.4850000000000001E-4</v>
      </c>
      <c r="C26" s="3">
        <v>3.6539999999999999E-4</v>
      </c>
      <c r="D26" s="3">
        <v>-9.2210000000000002E-4</v>
      </c>
      <c r="E26" s="3">
        <v>0</v>
      </c>
      <c r="F26" s="3">
        <v>0</v>
      </c>
      <c r="G26" s="3">
        <v>0</v>
      </c>
      <c r="H26" s="3">
        <v>6.9798620999999997E-5</v>
      </c>
      <c r="I26" s="3">
        <v>4.3078177999999997E-5</v>
      </c>
      <c r="J26" s="3">
        <v>-1.8230262999999999E-4</v>
      </c>
      <c r="L26" s="3">
        <f t="shared" si="0"/>
        <v>0.37794165491812171</v>
      </c>
      <c r="M26" s="3"/>
      <c r="N26" s="2">
        <f>IF('Modell einstellen'!$B$1="Voll",H26/0.35,H26/0.35*2)</f>
        <v>3.9884926285714285E-4</v>
      </c>
      <c r="O26" s="2">
        <f>IF('Modell einstellen'!$B$1="Voll",J26/0.35,J26/0.35*2)</f>
        <v>-1.0417293142857143E-3</v>
      </c>
      <c r="P26" s="3">
        <f t="shared" si="1"/>
        <v>0.38287226574844252</v>
      </c>
    </row>
    <row r="27" spans="1:16" x14ac:dyDescent="0.25">
      <c r="A27" s="3">
        <v>1000000000</v>
      </c>
      <c r="B27" s="3">
        <v>4.148E-4</v>
      </c>
      <c r="C27" s="3">
        <v>4.1859999999999998E-4</v>
      </c>
      <c r="D27" s="3">
        <v>-1.0319999999999999E-3</v>
      </c>
      <c r="E27" s="3">
        <v>0</v>
      </c>
      <c r="F27" s="3">
        <v>0</v>
      </c>
      <c r="G27" s="3">
        <v>0</v>
      </c>
      <c r="H27" s="3">
        <v>7.7381785000000004E-5</v>
      </c>
      <c r="I27" s="3">
        <v>5.0071972000000001E-5</v>
      </c>
      <c r="J27" s="3">
        <v>-2.031461E-4</v>
      </c>
      <c r="L27" s="3">
        <f t="shared" si="0"/>
        <v>0.40193798449612406</v>
      </c>
      <c r="M27" s="3"/>
      <c r="N27" s="2">
        <f>IF('Modell einstellen'!$B$1="Voll",H27/0.35,H27/0.35*2)</f>
        <v>4.4218162857142862E-4</v>
      </c>
      <c r="O27" s="2">
        <f>IF('Modell einstellen'!$B$1="Voll",J27/0.35,J27/0.35*2)</f>
        <v>-1.1608348571428573E-3</v>
      </c>
      <c r="P27" s="3">
        <f t="shared" si="1"/>
        <v>0.380916911523283</v>
      </c>
    </row>
    <row r="28" spans="1:16" x14ac:dyDescent="0.25">
      <c r="A28" s="3">
        <v>10000000000</v>
      </c>
      <c r="B28" s="3">
        <v>4.7350000000000002E-4</v>
      </c>
      <c r="C28" s="3">
        <v>4.7370000000000002E-4</v>
      </c>
      <c r="D28" s="3">
        <v>-1.14E-3</v>
      </c>
      <c r="E28" s="3">
        <v>0</v>
      </c>
      <c r="F28" s="3">
        <v>0</v>
      </c>
      <c r="G28" s="3">
        <v>0</v>
      </c>
      <c r="H28" s="3">
        <v>8.5225997999999995E-5</v>
      </c>
      <c r="I28" s="3">
        <v>5.7410473999999997E-5</v>
      </c>
      <c r="J28" s="3">
        <v>-2.2511676999999999E-4</v>
      </c>
      <c r="L28" s="3">
        <f t="shared" si="0"/>
        <v>0.41535087719298247</v>
      </c>
      <c r="M28" s="3"/>
      <c r="N28" s="2">
        <f>IF('Modell einstellen'!$B$1="Voll",H28/0.35,H28/0.35*2)</f>
        <v>4.8700570285714287E-4</v>
      </c>
      <c r="O28" s="2">
        <f>IF('Modell einstellen'!$B$1="Voll",J28/0.35,J28/0.35*2)</f>
        <v>-1.286381542857143E-3</v>
      </c>
      <c r="P28" s="3">
        <f t="shared" si="1"/>
        <v>0.37858573574949567</v>
      </c>
    </row>
    <row r="29" spans="1:16" x14ac:dyDescent="0.25">
      <c r="A29" s="3">
        <v>100000000000</v>
      </c>
      <c r="B29" s="3">
        <v>5.3109999999999995E-4</v>
      </c>
      <c r="C29" s="3">
        <v>5.3700000000000004E-4</v>
      </c>
      <c r="D29" s="3">
        <v>-1.256E-3</v>
      </c>
      <c r="E29" s="3">
        <v>0</v>
      </c>
      <c r="F29" s="3">
        <v>0</v>
      </c>
      <c r="G29" s="3">
        <v>0</v>
      </c>
      <c r="H29" s="3">
        <v>9.4748646000000002E-5</v>
      </c>
      <c r="I29" s="3">
        <v>6.6146807000000001E-5</v>
      </c>
      <c r="J29" s="3">
        <v>-2.5166037E-4</v>
      </c>
      <c r="L29" s="3">
        <f t="shared" si="0"/>
        <v>0.42285031847133758</v>
      </c>
      <c r="M29" s="3"/>
      <c r="N29" s="2">
        <f>IF('Modell einstellen'!$B$1="Voll",H29/0.35,H29/0.35*2)</f>
        <v>5.4142083428571433E-4</v>
      </c>
      <c r="O29" s="2">
        <f>IF('Modell einstellen'!$B$1="Voll",J29/0.35,J29/0.35*2)</f>
        <v>-1.4380592571428571E-3</v>
      </c>
      <c r="P29" s="3">
        <f t="shared" si="1"/>
        <v>0.37649410592537874</v>
      </c>
    </row>
    <row r="30" spans="1:16" x14ac:dyDescent="0.25">
      <c r="A30" s="3">
        <v>1000000000000</v>
      </c>
      <c r="B30" s="3">
        <v>6.001E-4</v>
      </c>
      <c r="C30" s="3">
        <v>6.2589999999999998E-4</v>
      </c>
      <c r="D30" s="3">
        <v>-1.4120000000000001E-3</v>
      </c>
      <c r="E30" s="3">
        <v>0</v>
      </c>
      <c r="F30" s="3">
        <v>0</v>
      </c>
      <c r="G30" s="3">
        <v>0</v>
      </c>
      <c r="H30" s="3">
        <v>1.0932787E-4</v>
      </c>
      <c r="I30" s="3">
        <v>7.9054282000000004E-5</v>
      </c>
      <c r="J30" s="3">
        <v>-2.9155803000000002E-4</v>
      </c>
      <c r="L30" s="3">
        <f t="shared" si="0"/>
        <v>0.42499999999999999</v>
      </c>
      <c r="M30" s="3"/>
      <c r="N30" s="2">
        <f>IF('Modell einstellen'!$B$1="Voll",H30/0.35,H30/0.35*2)</f>
        <v>6.247306857142858E-4</v>
      </c>
      <c r="O30" s="2">
        <f>IF('Modell einstellen'!$B$1="Voll",J30/0.35,J30/0.35*2)</f>
        <v>-1.6660458857142859E-3</v>
      </c>
      <c r="P30" s="3">
        <f t="shared" si="1"/>
        <v>0.37497807897796537</v>
      </c>
    </row>
    <row r="31" spans="1:16" x14ac:dyDescent="0.25">
      <c r="A31" s="3">
        <v>10000000000000</v>
      </c>
      <c r="B31" s="3">
        <v>6.9169999999999995E-4</v>
      </c>
      <c r="C31" s="3">
        <v>7.6289999999999995E-4</v>
      </c>
      <c r="D31" s="3">
        <v>-1.639E-3</v>
      </c>
      <c r="E31" s="3">
        <v>0</v>
      </c>
      <c r="F31" s="3">
        <v>0</v>
      </c>
      <c r="G31" s="3">
        <v>0</v>
      </c>
      <c r="H31" s="3">
        <v>1.3335142000000001E-4</v>
      </c>
      <c r="I31" s="3">
        <v>9.9980936999999998E-5</v>
      </c>
      <c r="J31" s="3">
        <v>-3.5659767999999999E-4</v>
      </c>
      <c r="L31" s="3">
        <f t="shared" si="0"/>
        <v>0.42202562538133004</v>
      </c>
      <c r="M31" s="3"/>
      <c r="N31" s="2">
        <f>IF('Modell einstellen'!$B$1="Voll",H31/0.35,H31/0.35*2)</f>
        <v>7.6200811428571436E-4</v>
      </c>
      <c r="O31" s="2">
        <f>IF('Modell einstellen'!$B$1="Voll",J31/0.35,J31/0.35*2)</f>
        <v>-2.0377010285714285E-3</v>
      </c>
      <c r="P31" s="3">
        <f t="shared" si="1"/>
        <v>0.37395481653161627</v>
      </c>
    </row>
    <row r="32" spans="1:16" x14ac:dyDescent="0.25">
      <c r="A32" s="3">
        <v>100000000000000</v>
      </c>
      <c r="B32" s="3">
        <v>8.2319999999999995E-4</v>
      </c>
      <c r="C32" s="3">
        <v>1.003E-3</v>
      </c>
      <c r="D32" s="3">
        <v>-2.0070000000000001E-3</v>
      </c>
      <c r="E32" s="3">
        <v>0</v>
      </c>
      <c r="F32" s="3">
        <v>0</v>
      </c>
      <c r="G32" s="3">
        <v>0</v>
      </c>
      <c r="H32" s="3">
        <v>1.7787894E-4</v>
      </c>
      <c r="I32" s="3">
        <v>1.384678E-4</v>
      </c>
      <c r="J32" s="3">
        <v>-4.7622516E-4</v>
      </c>
      <c r="L32" s="3">
        <f t="shared" si="0"/>
        <v>0.41016442451420027</v>
      </c>
      <c r="M32" s="3"/>
      <c r="N32" s="2">
        <f>IF('Modell einstellen'!$B$1="Voll",H32/0.35,H32/0.35*2)</f>
        <v>1.0164510857142857E-3</v>
      </c>
      <c r="O32" s="2">
        <f>IF('Modell einstellen'!$B$1="Voll",J32/0.35,J32/0.35*2)</f>
        <v>-2.7212866285714287E-3</v>
      </c>
      <c r="P32" s="3">
        <f t="shared" si="1"/>
        <v>0.3735185684015519</v>
      </c>
    </row>
    <row r="33" spans="1:16" x14ac:dyDescent="0.25">
      <c r="A33" s="3">
        <v>1000000000000000</v>
      </c>
      <c r="B33" s="3">
        <v>1.034E-3</v>
      </c>
      <c r="C33" s="3">
        <v>1.5020000000000001E-3</v>
      </c>
      <c r="D33" s="3">
        <v>-2.709E-3</v>
      </c>
      <c r="E33" s="3">
        <v>0</v>
      </c>
      <c r="F33" s="3">
        <v>0</v>
      </c>
      <c r="G33" s="3">
        <v>0</v>
      </c>
      <c r="H33" s="3">
        <v>2.7562779000000001E-4</v>
      </c>
      <c r="I33" s="3">
        <v>2.2233333E-4</v>
      </c>
      <c r="J33" s="3">
        <v>-7.3649371000000005E-4</v>
      </c>
      <c r="L33" s="3">
        <f t="shared" si="0"/>
        <v>0.38169066076042818</v>
      </c>
      <c r="M33" s="3"/>
      <c r="N33" s="2">
        <f>IF('Modell einstellen'!$B$1="Voll",H33/0.35,H33/0.35*2)</f>
        <v>1.575015942857143E-3</v>
      </c>
      <c r="O33" s="2">
        <f>IF('Modell einstellen'!$B$1="Voll",J33/0.35,J33/0.35*2)</f>
        <v>-4.2085354857142859E-3</v>
      </c>
      <c r="P33" s="3">
        <f t="shared" si="1"/>
        <v>0.3742432369178007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2.7999999999999999E-6</v>
      </c>
      <c r="C3" s="3">
        <v>1.3980000000000001E-4</v>
      </c>
      <c r="D3" s="3">
        <v>-4.1790000000000002E-4</v>
      </c>
      <c r="E3" s="3">
        <v>0</v>
      </c>
      <c r="F3" s="3">
        <v>0</v>
      </c>
      <c r="G3" s="3">
        <v>0</v>
      </c>
      <c r="H3" s="3">
        <v>3.1235717999999999E-5</v>
      </c>
      <c r="I3" s="3">
        <v>1.2815527999999999E-5</v>
      </c>
      <c r="J3" s="3">
        <v>-8.8120930999999997E-5</v>
      </c>
      <c r="K3" s="3"/>
      <c r="L3" s="3">
        <f>-B3/D3</f>
        <v>6.7001675041876039E-3</v>
      </c>
      <c r="M3" s="3"/>
      <c r="N3" s="2">
        <f>IF('Modell einstellen'!$B$1="Voll",H3/0.35,H3/0.35*2)</f>
        <v>1.7848981714285714E-4</v>
      </c>
      <c r="O3" s="2">
        <f>IF('Modell einstellen'!$B$1="Voll",J3/0.35,J3/0.35*2)</f>
        <v>-5.0354817714285717E-4</v>
      </c>
      <c r="P3" s="3">
        <f>-N3/O3</f>
        <v>0.35446423052430071</v>
      </c>
      <c r="Q3" s="3"/>
      <c r="R3" s="3"/>
      <c r="S3" s="3"/>
      <c r="T3" s="3"/>
      <c r="U3" s="3"/>
    </row>
    <row r="4" spans="1:21" x14ac:dyDescent="0.25">
      <c r="A4" s="3">
        <v>1E-14</v>
      </c>
      <c r="B4" s="3">
        <v>2.791E-6</v>
      </c>
      <c r="C4" s="3">
        <v>1.3990000000000001E-4</v>
      </c>
      <c r="D4" s="3">
        <v>-4.1790000000000002E-4</v>
      </c>
      <c r="E4" s="3">
        <v>0</v>
      </c>
      <c r="F4" s="3">
        <v>0</v>
      </c>
      <c r="G4" s="3">
        <v>0</v>
      </c>
      <c r="H4" s="3">
        <v>3.1235890000000003E-5</v>
      </c>
      <c r="I4" s="3">
        <v>1.2816456E-5</v>
      </c>
      <c r="J4" s="3">
        <v>-8.811956E-5</v>
      </c>
      <c r="K4" s="3"/>
      <c r="L4" s="3">
        <f t="shared" ref="L4:L33" si="0">-B4/D4</f>
        <v>6.6786312514955726E-3</v>
      </c>
      <c r="M4" s="3"/>
      <c r="N4" s="2">
        <f>IF('Modell einstellen'!$B$1="Voll",H4/0.35,H4/0.35*2)</f>
        <v>1.7849080000000004E-4</v>
      </c>
      <c r="O4" s="2">
        <f>IF('Modell einstellen'!$B$1="Voll",J4/0.35,J4/0.35*2)</f>
        <v>-5.0354034285714287E-4</v>
      </c>
      <c r="P4" s="3">
        <f t="shared" ref="P4:P33" si="1">-N4/O4</f>
        <v>0.35447169731669115</v>
      </c>
      <c r="Q4" s="3"/>
      <c r="R4" s="3"/>
      <c r="S4" s="3"/>
      <c r="T4" s="3"/>
      <c r="U4" s="3"/>
    </row>
    <row r="5" spans="1:21" x14ac:dyDescent="0.25">
      <c r="A5" s="3">
        <v>1E-13</v>
      </c>
      <c r="B5" s="3">
        <v>2.7930000000000002E-6</v>
      </c>
      <c r="C5" s="3">
        <v>1.3990000000000001E-4</v>
      </c>
      <c r="D5" s="3">
        <v>-4.1790000000000002E-4</v>
      </c>
      <c r="E5" s="3">
        <v>0</v>
      </c>
      <c r="F5" s="3">
        <v>0</v>
      </c>
      <c r="G5" s="3">
        <v>0</v>
      </c>
      <c r="H5" s="3">
        <v>3.1236063000000003E-5</v>
      </c>
      <c r="I5" s="3">
        <v>1.2816611E-5</v>
      </c>
      <c r="J5" s="3">
        <v>-8.8120023000000006E-5</v>
      </c>
      <c r="K5" s="3"/>
      <c r="L5" s="3">
        <f t="shared" si="0"/>
        <v>6.6834170854271355E-3</v>
      </c>
      <c r="M5" s="3"/>
      <c r="N5" s="2">
        <f>IF('Modell einstellen'!$B$1="Voll",H5/0.35,H5/0.35*2)</f>
        <v>1.7849178857142861E-4</v>
      </c>
      <c r="O5" s="2">
        <f>IF('Modell einstellen'!$B$1="Voll",J5/0.35,J5/0.35*2)</f>
        <v>-5.0354298857142865E-4</v>
      </c>
      <c r="P5" s="3">
        <f t="shared" si="1"/>
        <v>0.35447179808384754</v>
      </c>
      <c r="Q5" s="3"/>
      <c r="R5" s="3"/>
      <c r="S5" s="3"/>
      <c r="T5" s="3"/>
      <c r="U5" s="3"/>
    </row>
    <row r="6" spans="1:21" x14ac:dyDescent="0.25">
      <c r="A6" s="3">
        <v>9.9999999999999998E-13</v>
      </c>
      <c r="B6" s="3">
        <v>2.7930000000000002E-6</v>
      </c>
      <c r="C6" s="3">
        <v>1.3990000000000001E-4</v>
      </c>
      <c r="D6" s="3">
        <v>-4.1790000000000002E-4</v>
      </c>
      <c r="E6" s="3">
        <v>0</v>
      </c>
      <c r="F6" s="3">
        <v>0</v>
      </c>
      <c r="G6" s="3">
        <v>0</v>
      </c>
      <c r="H6" s="3">
        <v>3.1236106E-5</v>
      </c>
      <c r="I6" s="3">
        <v>1.2816653E-5</v>
      </c>
      <c r="J6" s="3">
        <v>-8.8120143999999997E-5</v>
      </c>
      <c r="K6" s="3"/>
      <c r="L6" s="3">
        <f t="shared" si="0"/>
        <v>6.6834170854271355E-3</v>
      </c>
      <c r="M6" s="3"/>
      <c r="N6" s="2">
        <f>IF('Modell einstellen'!$B$1="Voll",H6/0.35,H6/0.35*2)</f>
        <v>1.7849203428571431E-4</v>
      </c>
      <c r="O6" s="2">
        <f>IF('Modell einstellen'!$B$1="Voll",J6/0.35,J6/0.35*2)</f>
        <v>-5.0354368000000006E-4</v>
      </c>
      <c r="P6" s="3">
        <f t="shared" si="1"/>
        <v>0.35447179931980138</v>
      </c>
      <c r="Q6" s="3"/>
      <c r="R6" s="3"/>
      <c r="S6" s="3"/>
      <c r="T6" s="3"/>
      <c r="U6" s="3"/>
    </row>
    <row r="7" spans="1:21" x14ac:dyDescent="0.25">
      <c r="A7" s="3">
        <v>9.9999999999999994E-12</v>
      </c>
      <c r="B7" s="3">
        <v>2.7930000000000002E-6</v>
      </c>
      <c r="C7" s="3">
        <v>1.3990000000000001E-4</v>
      </c>
      <c r="D7" s="3">
        <v>-4.1790000000000002E-4</v>
      </c>
      <c r="E7" s="3">
        <v>0</v>
      </c>
      <c r="F7" s="3">
        <v>0</v>
      </c>
      <c r="G7" s="3">
        <v>0</v>
      </c>
      <c r="H7" s="3">
        <v>3.1236119000000003E-5</v>
      </c>
      <c r="I7" s="3">
        <v>1.2816665E-5</v>
      </c>
      <c r="J7" s="3">
        <v>-8.8120179000000006E-5</v>
      </c>
      <c r="K7" s="3"/>
      <c r="L7" s="3">
        <f t="shared" si="0"/>
        <v>6.6834170854271355E-3</v>
      </c>
      <c r="M7" s="3"/>
      <c r="N7" s="2">
        <f>IF('Modell einstellen'!$B$1="Voll",H7/0.35,H7/0.35*2)</f>
        <v>1.7849210857142861E-4</v>
      </c>
      <c r="O7" s="2">
        <f>IF('Modell einstellen'!$B$1="Voll",J7/0.35,J7/0.35*2)</f>
        <v>-5.0354388000000002E-4</v>
      </c>
      <c r="P7" s="3">
        <f t="shared" si="1"/>
        <v>0.35447180605477441</v>
      </c>
      <c r="Q7" s="3"/>
      <c r="R7" s="3"/>
      <c r="S7" s="3"/>
      <c r="T7" s="3"/>
      <c r="U7" s="3"/>
    </row>
    <row r="8" spans="1:21" x14ac:dyDescent="0.25">
      <c r="A8" s="3">
        <v>1E-10</v>
      </c>
      <c r="B8" s="3">
        <v>2.7930000000000002E-6</v>
      </c>
      <c r="C8" s="3">
        <v>1.3990000000000001E-4</v>
      </c>
      <c r="D8" s="3">
        <v>-4.1790000000000002E-4</v>
      </c>
      <c r="E8" s="3">
        <v>0</v>
      </c>
      <c r="F8" s="3">
        <v>0</v>
      </c>
      <c r="G8" s="3">
        <v>0</v>
      </c>
      <c r="H8" s="3">
        <v>3.1236121999999997E-5</v>
      </c>
      <c r="I8" s="3">
        <v>1.2816669000000001E-5</v>
      </c>
      <c r="J8" s="3">
        <v>-8.8120190000000003E-5</v>
      </c>
      <c r="K8" s="3"/>
      <c r="L8" s="3">
        <f t="shared" si="0"/>
        <v>6.6834170854271355E-3</v>
      </c>
      <c r="M8" s="3"/>
      <c r="N8" s="2">
        <f>IF('Modell einstellen'!$B$1="Voll",H8/0.35,H8/0.35*2)</f>
        <v>1.784921257142857E-4</v>
      </c>
      <c r="O8" s="2">
        <f>IF('Modell einstellen'!$B$1="Voll",J8/0.35,J8/0.35*2)</f>
        <v>-5.0354394285714291E-4</v>
      </c>
      <c r="P8" s="3">
        <f t="shared" si="1"/>
        <v>0.35447179585064437</v>
      </c>
      <c r="Q8" s="3"/>
      <c r="R8" s="3"/>
      <c r="S8" s="3"/>
      <c r="T8" s="3"/>
      <c r="U8" s="3"/>
    </row>
    <row r="9" spans="1:21" x14ac:dyDescent="0.25">
      <c r="A9" s="3">
        <v>1.0000000000000001E-9</v>
      </c>
      <c r="B9" s="3">
        <v>2.7930000000000002E-6</v>
      </c>
      <c r="C9" s="3">
        <v>1.3990000000000001E-4</v>
      </c>
      <c r="D9" s="3">
        <v>-4.1790000000000002E-4</v>
      </c>
      <c r="E9" s="3">
        <v>0</v>
      </c>
      <c r="F9" s="3">
        <v>0</v>
      </c>
      <c r="G9" s="3">
        <v>0</v>
      </c>
      <c r="H9" s="3">
        <v>3.1236123E-5</v>
      </c>
      <c r="I9" s="3">
        <v>1.281667E-5</v>
      </c>
      <c r="J9" s="3">
        <v>-8.8120194000000001E-5</v>
      </c>
      <c r="K9" s="3"/>
      <c r="L9" s="3">
        <f t="shared" si="0"/>
        <v>6.6834170854271355E-3</v>
      </c>
      <c r="M9" s="3"/>
      <c r="N9" s="2">
        <f>IF('Modell einstellen'!$B$1="Voll",H9/0.35,H9/0.35*2)</f>
        <v>1.7849213142857143E-4</v>
      </c>
      <c r="O9" s="2">
        <f>IF('Modell einstellen'!$B$1="Voll",J9/0.35,J9/0.35*2)</f>
        <v>-5.0354396571428573E-4</v>
      </c>
      <c r="P9" s="3">
        <f t="shared" si="1"/>
        <v>0.3544717911084036</v>
      </c>
      <c r="Q9" s="3"/>
      <c r="R9" s="3"/>
      <c r="S9" s="3"/>
      <c r="T9" s="3"/>
      <c r="U9" s="3"/>
    </row>
    <row r="10" spans="1:21" x14ac:dyDescent="0.25">
      <c r="A10" s="3">
        <v>1E-8</v>
      </c>
      <c r="B10" s="3">
        <v>2.7930000000000002E-6</v>
      </c>
      <c r="C10" s="3">
        <v>1.3990000000000001E-4</v>
      </c>
      <c r="D10" s="3">
        <v>-4.1790000000000002E-4</v>
      </c>
      <c r="E10" s="3">
        <v>0</v>
      </c>
      <c r="F10" s="3">
        <v>0</v>
      </c>
      <c r="G10" s="3">
        <v>0</v>
      </c>
      <c r="H10" s="3">
        <v>3.1236124000000003E-5</v>
      </c>
      <c r="I10" s="3">
        <v>1.2816670999999999E-5</v>
      </c>
      <c r="J10" s="3">
        <v>-8.8120194999999997E-5</v>
      </c>
      <c r="K10" s="3"/>
      <c r="L10" s="3">
        <f t="shared" si="0"/>
        <v>6.6834170854271355E-3</v>
      </c>
      <c r="M10" s="3"/>
      <c r="N10" s="2">
        <f>IF('Modell einstellen'!$B$1="Voll",H10/0.35,H10/0.35*2)</f>
        <v>1.7849213714285717E-4</v>
      </c>
      <c r="O10" s="2">
        <f>IF('Modell einstellen'!$B$1="Voll",J10/0.35,J10/0.35*2)</f>
        <v>-5.0354397142857144E-4</v>
      </c>
      <c r="P10" s="3">
        <f t="shared" si="1"/>
        <v>0.35447179843394588</v>
      </c>
      <c r="Q10" s="3"/>
      <c r="R10" s="3"/>
      <c r="S10" s="3"/>
      <c r="T10" s="3"/>
      <c r="U10" s="3"/>
    </row>
    <row r="11" spans="1:21" x14ac:dyDescent="0.25">
      <c r="A11" s="3">
        <v>9.9999999999999995E-8</v>
      </c>
      <c r="B11" s="3">
        <v>2.7930000000000002E-6</v>
      </c>
      <c r="C11" s="3">
        <v>1.3990000000000001E-4</v>
      </c>
      <c r="D11" s="3">
        <v>-4.1790000000000002E-4</v>
      </c>
      <c r="E11" s="3">
        <v>0</v>
      </c>
      <c r="F11" s="3">
        <v>0</v>
      </c>
      <c r="G11" s="3">
        <v>0</v>
      </c>
      <c r="H11" s="3">
        <v>3.1236126000000002E-5</v>
      </c>
      <c r="I11" s="3">
        <v>1.2816670999999999E-5</v>
      </c>
      <c r="J11" s="3">
        <v>-8.8120197999999998E-5</v>
      </c>
      <c r="K11" s="3"/>
      <c r="L11" s="3">
        <f t="shared" si="0"/>
        <v>6.6834170854271355E-3</v>
      </c>
      <c r="M11" s="3"/>
      <c r="N11" s="2">
        <f>IF('Modell einstellen'!$B$1="Voll",H11/0.35,H11/0.35*2)</f>
        <v>1.7849214857142858E-4</v>
      </c>
      <c r="O11" s="2">
        <f>IF('Modell einstellen'!$B$1="Voll",J11/0.35,J11/0.35*2)</f>
        <v>-5.0354398857142856E-4</v>
      </c>
      <c r="P11" s="3">
        <f t="shared" si="1"/>
        <v>0.35447180906243542</v>
      </c>
      <c r="Q11" s="3"/>
      <c r="R11" s="3"/>
      <c r="S11" s="3"/>
      <c r="T11" s="3"/>
      <c r="U11" s="3"/>
    </row>
    <row r="12" spans="1:21" x14ac:dyDescent="0.25">
      <c r="A12" s="3">
        <v>9.9999999999999995E-7</v>
      </c>
      <c r="B12" s="3">
        <v>2.7930000000000002E-6</v>
      </c>
      <c r="C12" s="3">
        <v>1.3990000000000001E-4</v>
      </c>
      <c r="D12" s="3">
        <v>-4.1790000000000002E-4</v>
      </c>
      <c r="E12" s="3">
        <v>0</v>
      </c>
      <c r="F12" s="3">
        <v>0</v>
      </c>
      <c r="G12" s="3">
        <v>0</v>
      </c>
      <c r="H12" s="3">
        <v>3.1236141000000003E-5</v>
      </c>
      <c r="I12" s="3">
        <v>1.2816673999999999E-5</v>
      </c>
      <c r="J12" s="3">
        <v>-8.8120223000000007E-5</v>
      </c>
      <c r="K12" s="3"/>
      <c r="L12" s="3">
        <f t="shared" si="0"/>
        <v>6.6834170854271355E-3</v>
      </c>
      <c r="M12" s="3"/>
      <c r="N12" s="2">
        <f>IF('Modell einstellen'!$B$1="Voll",H12/0.35,H12/0.35*2)</f>
        <v>1.7849223428571432E-4</v>
      </c>
      <c r="O12" s="2">
        <f>IF('Modell einstellen'!$B$1="Voll",J12/0.35,J12/0.35*2)</f>
        <v>-5.0354413142857145E-4</v>
      </c>
      <c r="P12" s="3">
        <f t="shared" si="1"/>
        <v>0.35447187871959884</v>
      </c>
      <c r="Q12" s="3"/>
      <c r="R12" s="3"/>
      <c r="S12" s="3"/>
      <c r="T12" s="3"/>
      <c r="U12" s="3"/>
    </row>
    <row r="13" spans="1:21" x14ac:dyDescent="0.25">
      <c r="A13" s="3">
        <v>1.0000000000000001E-5</v>
      </c>
      <c r="B13" s="3">
        <v>2.7920000000000001E-6</v>
      </c>
      <c r="C13" s="3">
        <v>1.3990000000000001E-4</v>
      </c>
      <c r="D13" s="3">
        <v>-4.1790000000000002E-4</v>
      </c>
      <c r="E13" s="3">
        <v>0</v>
      </c>
      <c r="F13" s="3">
        <v>0</v>
      </c>
      <c r="G13" s="3">
        <v>0</v>
      </c>
      <c r="H13" s="3">
        <v>3.1236297000000003E-5</v>
      </c>
      <c r="I13" s="3">
        <v>1.2816701999999999E-5</v>
      </c>
      <c r="J13" s="3">
        <v>-8.8120465999999998E-5</v>
      </c>
      <c r="K13" s="3"/>
      <c r="L13" s="3">
        <f t="shared" si="0"/>
        <v>6.6810241684613541E-3</v>
      </c>
      <c r="M13" s="3"/>
      <c r="N13" s="2">
        <f>IF('Modell einstellen'!$B$1="Voll",H13/0.35,H13/0.35*2)</f>
        <v>1.7849312571428574E-4</v>
      </c>
      <c r="O13" s="2">
        <f>IF('Modell einstellen'!$B$1="Voll",J13/0.35,J13/0.35*2)</f>
        <v>-5.0354551999999997E-4</v>
      </c>
      <c r="P13" s="3">
        <f t="shared" si="1"/>
        <v>0.35447267153580425</v>
      </c>
      <c r="Q13" s="3"/>
      <c r="R13" s="3"/>
      <c r="S13" s="3"/>
      <c r="T13" s="3"/>
      <c r="U13" s="3"/>
    </row>
    <row r="14" spans="1:21" x14ac:dyDescent="0.25">
      <c r="A14" s="3">
        <v>1E-4</v>
      </c>
      <c r="B14" s="3">
        <v>2.785E-6</v>
      </c>
      <c r="C14" s="3">
        <v>1.3990000000000001E-4</v>
      </c>
      <c r="D14" s="3">
        <v>-4.1790000000000002E-4</v>
      </c>
      <c r="E14" s="3">
        <v>0</v>
      </c>
      <c r="F14" s="3">
        <v>0</v>
      </c>
      <c r="G14" s="3">
        <v>0</v>
      </c>
      <c r="H14" s="3">
        <v>3.1237858E-5</v>
      </c>
      <c r="I14" s="3">
        <v>1.281698E-5</v>
      </c>
      <c r="J14" s="3">
        <v>-8.8122893000000004E-5</v>
      </c>
      <c r="K14" s="3"/>
      <c r="L14" s="3">
        <f t="shared" si="0"/>
        <v>6.6642737497008848E-3</v>
      </c>
      <c r="M14" s="3"/>
      <c r="N14" s="2">
        <f>IF('Modell einstellen'!$B$1="Voll",H14/0.35,H14/0.35*2)</f>
        <v>1.7850204571428572E-4</v>
      </c>
      <c r="O14" s="2">
        <f>IF('Modell einstellen'!$B$1="Voll",J14/0.35,J14/0.35*2)</f>
        <v>-5.0355938857142861E-4</v>
      </c>
      <c r="P14" s="3">
        <f t="shared" si="1"/>
        <v>0.35448062287287818</v>
      </c>
      <c r="Q14" s="3"/>
      <c r="R14" s="3"/>
      <c r="S14" s="3"/>
      <c r="T14" s="3"/>
      <c r="U14" s="3"/>
    </row>
    <row r="15" spans="1:21" x14ac:dyDescent="0.25">
      <c r="A15" s="3">
        <v>1E-3</v>
      </c>
      <c r="B15" s="3">
        <v>2.7089999999999998E-6</v>
      </c>
      <c r="C15" s="3">
        <v>1.3990000000000001E-4</v>
      </c>
      <c r="D15" s="3">
        <v>-4.1790000000000002E-4</v>
      </c>
      <c r="E15" s="3">
        <v>0</v>
      </c>
      <c r="F15" s="3">
        <v>0</v>
      </c>
      <c r="G15" s="3">
        <v>0</v>
      </c>
      <c r="H15" s="3">
        <v>3.1253347999999999E-5</v>
      </c>
      <c r="I15" s="3">
        <v>1.2819741000000001E-5</v>
      </c>
      <c r="J15" s="3">
        <v>-8.8146982999999995E-5</v>
      </c>
      <c r="K15" s="3"/>
      <c r="L15" s="3">
        <f t="shared" si="0"/>
        <v>6.4824120603015067E-3</v>
      </c>
      <c r="M15" s="3"/>
      <c r="N15" s="2">
        <f>IF('Modell einstellen'!$B$1="Voll",H15/0.35,H15/0.35*2)</f>
        <v>1.7859055999999999E-4</v>
      </c>
      <c r="O15" s="2">
        <f>IF('Modell einstellen'!$B$1="Voll",J15/0.35,J15/0.35*2)</f>
        <v>-5.0369704571428576E-4</v>
      </c>
      <c r="P15" s="3">
        <f t="shared" si="1"/>
        <v>0.35455947482626826</v>
      </c>
      <c r="Q15" s="3"/>
      <c r="R15" s="3"/>
      <c r="S15" s="3"/>
      <c r="T15" s="3"/>
      <c r="U15" s="3"/>
    </row>
    <row r="16" spans="1:21" x14ac:dyDescent="0.25">
      <c r="A16" s="3">
        <v>0.01</v>
      </c>
      <c r="B16" s="3">
        <v>2.0020000000000001E-6</v>
      </c>
      <c r="C16" s="3">
        <v>1.4019999999999999E-4</v>
      </c>
      <c r="D16" s="3">
        <v>-4.1780000000000002E-4</v>
      </c>
      <c r="E16" s="3">
        <v>0</v>
      </c>
      <c r="F16" s="3">
        <v>0</v>
      </c>
      <c r="G16" s="3">
        <v>0</v>
      </c>
      <c r="H16" s="3">
        <v>3.1397328999999998E-5</v>
      </c>
      <c r="I16" s="3">
        <v>1.2845382E-5</v>
      </c>
      <c r="J16" s="3">
        <v>-8.8370785999999999E-5</v>
      </c>
      <c r="K16" s="3"/>
      <c r="L16" s="3">
        <f t="shared" si="0"/>
        <v>4.7917663954044993E-3</v>
      </c>
      <c r="M16" s="3"/>
      <c r="N16" s="2">
        <f>IF('Modell einstellen'!$B$1="Voll",H16/0.35,H16/0.35*2)</f>
        <v>1.7941330857142857E-4</v>
      </c>
      <c r="O16" s="2">
        <f>IF('Modell einstellen'!$B$1="Voll",J16/0.35,J16/0.35*2)</f>
        <v>-5.0497592000000007E-4</v>
      </c>
      <c r="P16" s="3">
        <f t="shared" si="1"/>
        <v>0.35529081975122406</v>
      </c>
      <c r="Q16" s="3"/>
      <c r="R16" s="3"/>
      <c r="S16" s="3"/>
      <c r="T16" s="3"/>
      <c r="U16" s="3"/>
    </row>
    <row r="17" spans="1:25" x14ac:dyDescent="0.25">
      <c r="A17" s="3">
        <v>0.1</v>
      </c>
      <c r="B17" s="3">
        <v>-1.7880000000000001E-6</v>
      </c>
      <c r="C17" s="3">
        <v>1.415E-4</v>
      </c>
      <c r="D17" s="3">
        <v>-4.172E-4</v>
      </c>
      <c r="E17" s="3">
        <v>0</v>
      </c>
      <c r="F17" s="3">
        <v>0</v>
      </c>
      <c r="G17" s="3">
        <v>0</v>
      </c>
      <c r="H17" s="3">
        <v>3.2160942000000001E-5</v>
      </c>
      <c r="I17" s="3">
        <v>1.2980250999999999E-5</v>
      </c>
      <c r="J17" s="3">
        <v>-8.9553057000000004E-5</v>
      </c>
      <c r="K17" s="3"/>
      <c r="L17" s="3">
        <f t="shared" si="0"/>
        <v>-4.2857142857142859E-3</v>
      </c>
      <c r="M17" s="3"/>
      <c r="N17" s="2">
        <f>IF('Modell einstellen'!$B$1="Voll",H17/0.35,H17/0.35*2)</f>
        <v>1.8377681142857144E-4</v>
      </c>
      <c r="O17" s="2">
        <f>IF('Modell einstellen'!$B$1="Voll",J17/0.35,J17/0.35*2)</f>
        <v>-5.1173175428571437E-4</v>
      </c>
      <c r="P17" s="3">
        <f t="shared" si="1"/>
        <v>0.35912723783399148</v>
      </c>
      <c r="Q17" s="3"/>
      <c r="R17" s="3"/>
      <c r="S17" s="3"/>
      <c r="T17" s="3"/>
      <c r="U17" s="3"/>
      <c r="V17" s="3"/>
      <c r="W17" s="3"/>
      <c r="X17" s="3"/>
      <c r="Y17" s="3"/>
    </row>
    <row r="18" spans="1:25" x14ac:dyDescent="0.25">
      <c r="A18" s="3">
        <v>1</v>
      </c>
      <c r="B18" s="3">
        <v>-6.6980000000000001E-6</v>
      </c>
      <c r="C18" s="3">
        <v>1.4329999999999999E-4</v>
      </c>
      <c r="D18" s="3">
        <v>-4.1629999999999998E-4</v>
      </c>
      <c r="E18" s="3">
        <v>0</v>
      </c>
      <c r="F18" s="3">
        <v>0</v>
      </c>
      <c r="G18" s="3">
        <v>0</v>
      </c>
      <c r="H18" s="3">
        <v>3.3138130999999999E-5</v>
      </c>
      <c r="I18" s="3">
        <v>1.3154457999999999E-5</v>
      </c>
      <c r="J18" s="3">
        <v>-9.1057651000000007E-5</v>
      </c>
      <c r="K18" s="3"/>
      <c r="L18" s="3">
        <f t="shared" si="0"/>
        <v>-1.6089358635599328E-2</v>
      </c>
      <c r="M18" s="3"/>
      <c r="N18" s="2">
        <f>IF('Modell einstellen'!$B$1="Voll",H18/0.35,H18/0.35*2)</f>
        <v>1.8936074857142857E-4</v>
      </c>
      <c r="O18" s="2">
        <f>IF('Modell einstellen'!$B$1="Voll",J18/0.35,J18/0.35*2)</f>
        <v>-5.2032943428571431E-4</v>
      </c>
      <c r="P18" s="3">
        <f t="shared" si="1"/>
        <v>0.36392472940027848</v>
      </c>
      <c r="Q18" s="3"/>
      <c r="R18" s="3"/>
      <c r="S18" s="3"/>
      <c r="T18" s="3"/>
      <c r="U18" s="3"/>
      <c r="V18" s="3"/>
      <c r="W18" s="3"/>
      <c r="X18" s="3"/>
      <c r="Y18" s="3"/>
    </row>
    <row r="19" spans="1:25" x14ac:dyDescent="0.25">
      <c r="A19" s="3">
        <v>10</v>
      </c>
      <c r="B19" s="3">
        <v>-1.234E-5</v>
      </c>
      <c r="C19" s="3">
        <v>1.4559999999999999E-4</v>
      </c>
      <c r="D19" s="3">
        <v>-4.1540000000000001E-4</v>
      </c>
      <c r="E19" s="3">
        <v>0</v>
      </c>
      <c r="F19" s="3">
        <v>0</v>
      </c>
      <c r="G19" s="3">
        <v>0</v>
      </c>
      <c r="H19" s="3">
        <v>3.4301867999999997E-5</v>
      </c>
      <c r="I19" s="3">
        <v>1.3375047999999999E-5</v>
      </c>
      <c r="J19" s="3">
        <v>-9.2855729000000005E-5</v>
      </c>
      <c r="K19" s="3"/>
      <c r="L19" s="3">
        <f t="shared" si="0"/>
        <v>-2.9706307173808379E-2</v>
      </c>
      <c r="M19" s="3"/>
      <c r="N19" s="2">
        <f>IF('Modell einstellen'!$B$1="Voll",H19/0.35,H19/0.35*2)</f>
        <v>1.9601067428571427E-4</v>
      </c>
      <c r="O19" s="2">
        <f>IF('Modell einstellen'!$B$1="Voll",J19/0.35,J19/0.35*2)</f>
        <v>-5.3060416571428578E-4</v>
      </c>
      <c r="P19" s="3">
        <f t="shared" si="1"/>
        <v>0.36941035700662039</v>
      </c>
      <c r="Q19" s="3"/>
      <c r="R19" s="3"/>
      <c r="S19" s="3"/>
      <c r="T19" s="3"/>
      <c r="U19" s="3"/>
      <c r="V19" s="3"/>
      <c r="W19" s="3"/>
      <c r="X19" s="3"/>
      <c r="Y19" s="3"/>
    </row>
    <row r="20" spans="1:25" x14ac:dyDescent="0.25">
      <c r="A20" s="3">
        <v>100</v>
      </c>
      <c r="B20" s="3">
        <v>-1.5670000000000001E-5</v>
      </c>
      <c r="C20" s="3">
        <v>1.5100000000000001E-4</v>
      </c>
      <c r="D20" s="3">
        <v>-4.1950000000000001E-4</v>
      </c>
      <c r="E20" s="3">
        <v>0</v>
      </c>
      <c r="F20" s="3">
        <v>0</v>
      </c>
      <c r="G20" s="3">
        <v>0</v>
      </c>
      <c r="H20" s="3">
        <v>3.6044205999999999E-5</v>
      </c>
      <c r="I20" s="3">
        <v>1.3933207999999999E-5</v>
      </c>
      <c r="J20" s="3">
        <v>-9.5866473999999997E-5</v>
      </c>
      <c r="K20" s="3"/>
      <c r="L20" s="3">
        <f t="shared" si="0"/>
        <v>-3.7353992848629322E-2</v>
      </c>
      <c r="M20" s="3"/>
      <c r="N20" s="2">
        <f>IF('Modell einstellen'!$B$1="Voll",H20/0.35,H20/0.35*2)</f>
        <v>2.0596689142857145E-4</v>
      </c>
      <c r="O20" s="2">
        <f>IF('Modell einstellen'!$B$1="Voll",J20/0.35,J20/0.35*2)</f>
        <v>-5.4780842285714285E-4</v>
      </c>
      <c r="P20" s="3">
        <f t="shared" si="1"/>
        <v>0.3759834329569689</v>
      </c>
      <c r="Q20" s="3"/>
      <c r="R20" s="3"/>
      <c r="S20" s="3"/>
      <c r="T20" s="3"/>
      <c r="U20" s="3"/>
      <c r="V20" s="3"/>
      <c r="W20" s="3"/>
      <c r="X20" s="3"/>
      <c r="Y20" s="3"/>
    </row>
    <row r="21" spans="1:25" x14ac:dyDescent="0.25">
      <c r="A21" s="3">
        <v>1000</v>
      </c>
      <c r="B21" s="3">
        <v>3.534E-6</v>
      </c>
      <c r="C21" s="3">
        <v>1.6679999999999999E-4</v>
      </c>
      <c r="D21" s="3">
        <v>-4.5110000000000001E-4</v>
      </c>
      <c r="E21" s="3">
        <v>0</v>
      </c>
      <c r="F21" s="3">
        <v>0</v>
      </c>
      <c r="G21" s="3">
        <v>0</v>
      </c>
      <c r="H21" s="3">
        <v>3.9398153999999999E-5</v>
      </c>
      <c r="I21" s="3">
        <v>1.5988501000000001E-5</v>
      </c>
      <c r="J21" s="3">
        <v>-1.0306252000000001E-4</v>
      </c>
      <c r="K21" s="3"/>
      <c r="L21" s="3">
        <f t="shared" si="0"/>
        <v>7.8341831079583243E-3</v>
      </c>
      <c r="M21" s="3"/>
      <c r="N21" s="2">
        <f>IF('Modell einstellen'!$B$1="Voll",H21/0.35,H21/0.35*2)</f>
        <v>2.2513230857142859E-4</v>
      </c>
      <c r="O21" s="2">
        <f>IF('Modell einstellen'!$B$1="Voll",J21/0.35,J21/0.35*2)</f>
        <v>-5.8892868571428576E-4</v>
      </c>
      <c r="P21" s="3">
        <f t="shared" si="1"/>
        <v>0.38227431271814427</v>
      </c>
      <c r="Q21" s="3"/>
      <c r="R21" s="3"/>
      <c r="S21" s="3"/>
      <c r="T21" s="3"/>
      <c r="U21" s="3"/>
      <c r="V21" s="3"/>
      <c r="W21" s="3"/>
      <c r="X21" s="3"/>
      <c r="Y21" s="3"/>
    </row>
    <row r="22" spans="1:25" x14ac:dyDescent="0.25">
      <c r="A22" s="3">
        <v>10000</v>
      </c>
      <c r="B22" s="3">
        <v>7.2730000000000003E-5</v>
      </c>
      <c r="C22" s="3">
        <v>2.051E-4</v>
      </c>
      <c r="D22" s="3">
        <v>-5.4310000000000003E-4</v>
      </c>
      <c r="E22" s="3">
        <v>0</v>
      </c>
      <c r="F22" s="3">
        <v>0</v>
      </c>
      <c r="G22" s="3">
        <v>0</v>
      </c>
      <c r="H22" s="3">
        <v>4.6415724000000002E-5</v>
      </c>
      <c r="I22" s="3">
        <v>2.1418464999999999E-5</v>
      </c>
      <c r="J22" s="3">
        <v>-1.1983088E-4</v>
      </c>
      <c r="K22" s="3"/>
      <c r="L22" s="3">
        <f t="shared" si="0"/>
        <v>0.13391640581844963</v>
      </c>
      <c r="M22" s="3"/>
      <c r="N22" s="2">
        <f>IF('Modell einstellen'!$B$1="Voll",H22/0.35,H22/0.35*2)</f>
        <v>2.6523270857142859E-4</v>
      </c>
      <c r="O22" s="2">
        <f>IF('Modell einstellen'!$B$1="Voll",J22/0.35,J22/0.35*2)</f>
        <v>-6.8474788571428575E-4</v>
      </c>
      <c r="P22" s="3">
        <f t="shared" si="1"/>
        <v>0.38734359624163656</v>
      </c>
      <c r="Q22" s="3"/>
      <c r="R22" s="3"/>
      <c r="S22" s="3"/>
      <c r="T22" s="3"/>
      <c r="U22" s="3"/>
      <c r="V22" s="3"/>
      <c r="W22" s="3"/>
      <c r="X22" s="3"/>
      <c r="Y22" s="3"/>
    </row>
    <row r="23" spans="1:25" x14ac:dyDescent="0.25">
      <c r="A23" s="3">
        <v>100000</v>
      </c>
      <c r="B23" s="3">
        <v>1.6990000000000001E-4</v>
      </c>
      <c r="C23" s="3">
        <v>2.6009999999999998E-4</v>
      </c>
      <c r="D23" s="3">
        <v>-6.7469999999999997E-4</v>
      </c>
      <c r="E23" s="3">
        <v>0</v>
      </c>
      <c r="F23" s="3">
        <v>0</v>
      </c>
      <c r="G23" s="3">
        <v>0</v>
      </c>
      <c r="H23" s="3">
        <v>5.5722096999999998E-5</v>
      </c>
      <c r="I23" s="3">
        <v>2.9189588E-5</v>
      </c>
      <c r="J23" s="3">
        <v>-1.4318073999999999E-4</v>
      </c>
      <c r="K23" s="3"/>
      <c r="L23" s="3">
        <f t="shared" si="0"/>
        <v>0.2518156217578183</v>
      </c>
      <c r="M23" s="3"/>
      <c r="N23" s="2">
        <f>IF('Modell einstellen'!$B$1="Voll",H23/0.35,H23/0.35*2)</f>
        <v>3.1841198285714289E-4</v>
      </c>
      <c r="O23" s="2">
        <f>IF('Modell einstellen'!$B$1="Voll",J23/0.35,J23/0.35*2)</f>
        <v>-8.1817565714285714E-4</v>
      </c>
      <c r="P23" s="3">
        <f t="shared" si="1"/>
        <v>0.38917313180529733</v>
      </c>
      <c r="Q23" s="3"/>
      <c r="R23" s="3"/>
      <c r="S23" s="3"/>
      <c r="T23" s="3"/>
      <c r="U23" s="3"/>
      <c r="V23" s="3"/>
      <c r="W23" s="3"/>
      <c r="X23" s="3"/>
      <c r="Y23" s="3"/>
    </row>
    <row r="24" spans="1:25" x14ac:dyDescent="0.25">
      <c r="A24" s="3">
        <v>1000000</v>
      </c>
      <c r="B24" s="3">
        <v>2.6729999999999999E-4</v>
      </c>
      <c r="C24" s="3">
        <v>3.1990000000000002E-4</v>
      </c>
      <c r="D24" s="3">
        <v>-8.1340000000000004E-4</v>
      </c>
      <c r="E24" s="3">
        <v>0</v>
      </c>
      <c r="F24" s="3">
        <v>0</v>
      </c>
      <c r="G24" s="3">
        <v>0</v>
      </c>
      <c r="H24" s="3">
        <v>6.5148673999999997E-5</v>
      </c>
      <c r="I24" s="3">
        <v>3.7437807000000002E-5</v>
      </c>
      <c r="J24" s="3">
        <v>-1.6773457E-4</v>
      </c>
      <c r="K24" s="3"/>
      <c r="L24" s="3">
        <f t="shared" si="0"/>
        <v>0.3286206048684534</v>
      </c>
      <c r="M24" s="3"/>
      <c r="N24" s="2">
        <f>IF('Modell einstellen'!$B$1="Voll",H24/0.35,H24/0.35*2)</f>
        <v>3.7227813714285716E-4</v>
      </c>
      <c r="O24" s="2">
        <f>IF('Modell einstellen'!$B$1="Voll",J24/0.35,J24/0.35*2)</f>
        <v>-9.5848325714285724E-4</v>
      </c>
      <c r="P24" s="3">
        <f t="shared" si="1"/>
        <v>0.38840338041227873</v>
      </c>
      <c r="Q24" s="3"/>
      <c r="R24" s="3"/>
      <c r="S24" s="3"/>
      <c r="T24" s="3"/>
      <c r="U24" s="3"/>
      <c r="V24" s="3"/>
      <c r="W24" s="3"/>
      <c r="X24" s="3"/>
      <c r="Y24" s="3"/>
    </row>
    <row r="25" spans="1:25" x14ac:dyDescent="0.25">
      <c r="A25" s="3">
        <v>10000000</v>
      </c>
      <c r="B25" s="3">
        <v>3.5300000000000002E-4</v>
      </c>
      <c r="C25" s="3">
        <v>3.7980000000000002E-4</v>
      </c>
      <c r="D25" s="3">
        <v>-9.4499999999999998E-4</v>
      </c>
      <c r="E25" s="3">
        <v>0</v>
      </c>
      <c r="F25" s="3">
        <v>0</v>
      </c>
      <c r="G25" s="3">
        <v>0</v>
      </c>
      <c r="H25" s="3">
        <v>7.4098137000000003E-5</v>
      </c>
      <c r="I25" s="3">
        <v>4.5515710000000003E-5</v>
      </c>
      <c r="J25" s="3">
        <v>-1.9176611999999999E-4</v>
      </c>
      <c r="K25" s="3"/>
      <c r="L25" s="3">
        <f t="shared" si="0"/>
        <v>0.37354497354497357</v>
      </c>
      <c r="M25" s="3"/>
      <c r="N25" s="2">
        <f>IF('Modell einstellen'!$B$1="Voll",H25/0.35,H25/0.35*2)</f>
        <v>4.2341792571428576E-4</v>
      </c>
      <c r="O25" s="2">
        <f>IF('Modell einstellen'!$B$1="Voll",J25/0.35,J25/0.35*2)</f>
        <v>-1.0958064000000001E-3</v>
      </c>
      <c r="P25" s="3">
        <f t="shared" si="1"/>
        <v>0.38639847852164921</v>
      </c>
      <c r="Q25" s="3"/>
      <c r="R25" s="3"/>
      <c r="S25" s="3"/>
      <c r="T25" s="3"/>
      <c r="U25" s="3"/>
      <c r="V25" s="3"/>
      <c r="W25" s="3"/>
      <c r="X25" s="3"/>
      <c r="Y25" s="3"/>
    </row>
    <row r="26" spans="1:25" x14ac:dyDescent="0.25">
      <c r="A26" s="3">
        <v>100000000</v>
      </c>
      <c r="B26" s="3">
        <v>4.2729999999999998E-4</v>
      </c>
      <c r="C26" s="3">
        <v>4.4099999999999999E-4</v>
      </c>
      <c r="D26" s="3">
        <v>-1.07E-3</v>
      </c>
      <c r="E26" s="3">
        <v>0</v>
      </c>
      <c r="F26" s="3">
        <v>0</v>
      </c>
      <c r="G26" s="3">
        <v>0</v>
      </c>
      <c r="H26" s="3">
        <v>8.3008274000000005E-5</v>
      </c>
      <c r="I26" s="3">
        <v>5.3734543999999999E-5</v>
      </c>
      <c r="J26" s="3">
        <v>-2.1630170000000001E-4</v>
      </c>
      <c r="K26" s="3"/>
      <c r="L26" s="3">
        <f t="shared" si="0"/>
        <v>0.39934579439252332</v>
      </c>
      <c r="M26" s="3"/>
      <c r="N26" s="2">
        <f>IF('Modell einstellen'!$B$1="Voll",H26/0.35,H26/0.35*2)</f>
        <v>4.7433299428571436E-4</v>
      </c>
      <c r="O26" s="2">
        <f>IF('Modell einstellen'!$B$1="Voll",J26/0.35,J26/0.35*2)</f>
        <v>-1.2360097142857145E-3</v>
      </c>
      <c r="P26" s="3">
        <f t="shared" si="1"/>
        <v>0.38376154232722165</v>
      </c>
      <c r="Q26" s="3"/>
      <c r="R26" s="3"/>
      <c r="S26" s="3"/>
      <c r="T26" s="3"/>
      <c r="U26" s="3"/>
      <c r="V26" s="3"/>
      <c r="W26" s="3"/>
      <c r="X26" s="3"/>
      <c r="Y26" s="3"/>
    </row>
    <row r="27" spans="1:25" x14ac:dyDescent="0.25">
      <c r="A27" s="3">
        <v>1000000000</v>
      </c>
      <c r="B27" s="3">
        <v>4.952E-4</v>
      </c>
      <c r="C27" s="3">
        <v>5.0869999999999995E-4</v>
      </c>
      <c r="D27" s="3">
        <v>-1.199E-3</v>
      </c>
      <c r="E27" s="3">
        <v>0</v>
      </c>
      <c r="F27" s="3">
        <v>0</v>
      </c>
      <c r="G27" s="3">
        <v>0</v>
      </c>
      <c r="H27" s="3">
        <v>9.3157059999999993E-5</v>
      </c>
      <c r="I27" s="3">
        <v>6.3047382E-5</v>
      </c>
      <c r="J27" s="3">
        <v>-2.4443878000000001E-4</v>
      </c>
      <c r="K27" s="3"/>
      <c r="L27" s="3">
        <f t="shared" si="0"/>
        <v>0.41301084236864055</v>
      </c>
      <c r="M27" s="3"/>
      <c r="N27" s="2">
        <f>IF('Modell einstellen'!$B$1="Voll",H27/0.35,H27/0.35*2)</f>
        <v>5.3232605714285714E-4</v>
      </c>
      <c r="O27" s="2">
        <f>IF('Modell einstellen'!$B$1="Voll",J27/0.35,J27/0.35*2)</f>
        <v>-1.3967930285714288E-3</v>
      </c>
      <c r="P27" s="3">
        <f t="shared" si="1"/>
        <v>0.38110589489932811</v>
      </c>
      <c r="Q27" s="3"/>
      <c r="R27" s="3"/>
      <c r="S27" s="3"/>
      <c r="T27" s="3"/>
      <c r="U27" s="3"/>
      <c r="V27" s="3"/>
      <c r="W27" s="3"/>
      <c r="X27" s="3"/>
      <c r="Y27" s="3"/>
    </row>
    <row r="28" spans="1:25" x14ac:dyDescent="0.25">
      <c r="A28" s="3">
        <v>10000000000</v>
      </c>
      <c r="B28" s="3">
        <v>5.6930000000000001E-4</v>
      </c>
      <c r="C28" s="3">
        <v>5.9969999999999999E-4</v>
      </c>
      <c r="D28" s="3">
        <v>-1.3600000000000001E-3</v>
      </c>
      <c r="E28" s="3">
        <v>0</v>
      </c>
      <c r="F28" s="3">
        <v>0</v>
      </c>
      <c r="G28" s="3">
        <v>0</v>
      </c>
      <c r="H28" s="3">
        <v>1.0797725E-4</v>
      </c>
      <c r="I28" s="3">
        <v>7.6175283000000002E-5</v>
      </c>
      <c r="J28" s="3">
        <v>-2.8490351E-4</v>
      </c>
      <c r="K28" s="3"/>
      <c r="L28" s="3">
        <f t="shared" si="0"/>
        <v>0.41860294117647057</v>
      </c>
      <c r="M28" s="3"/>
      <c r="N28" s="2">
        <f>IF('Modell einstellen'!$B$1="Voll",H28/0.35,H28/0.35*2)</f>
        <v>6.1701285714285724E-4</v>
      </c>
      <c r="O28" s="2">
        <f>IF('Modell einstellen'!$B$1="Voll",J28/0.35,J28/0.35*2)</f>
        <v>-1.6280200571428573E-3</v>
      </c>
      <c r="P28" s="3">
        <f t="shared" si="1"/>
        <v>0.37899585722899659</v>
      </c>
      <c r="Q28" s="3"/>
      <c r="R28" s="3"/>
      <c r="S28" s="3"/>
      <c r="T28" s="3"/>
      <c r="U28" s="3"/>
      <c r="V28" s="3"/>
      <c r="W28" s="3"/>
      <c r="X28" s="3"/>
      <c r="Y28" s="3"/>
    </row>
    <row r="29" spans="1:25" x14ac:dyDescent="0.25">
      <c r="A29" s="3">
        <v>100000000000</v>
      </c>
      <c r="B29" s="3">
        <v>6.6140000000000003E-4</v>
      </c>
      <c r="C29" s="3">
        <v>7.3629999999999995E-4</v>
      </c>
      <c r="D29" s="3">
        <v>-1.586E-3</v>
      </c>
      <c r="E29" s="3">
        <v>0</v>
      </c>
      <c r="F29" s="3">
        <v>0</v>
      </c>
      <c r="G29" s="3">
        <v>0</v>
      </c>
      <c r="H29" s="3">
        <v>1.3184011999999999E-4</v>
      </c>
      <c r="I29" s="3">
        <v>9.6957729999999997E-5</v>
      </c>
      <c r="J29" s="3">
        <v>-3.4943033E-4</v>
      </c>
      <c r="K29" s="3"/>
      <c r="L29" s="3">
        <f t="shared" si="0"/>
        <v>0.41702395964691052</v>
      </c>
      <c r="M29" s="3"/>
      <c r="N29" s="2">
        <f>IF('Modell einstellen'!$B$1="Voll",H29/0.35,H29/0.35*2)</f>
        <v>7.5337211428571434E-4</v>
      </c>
      <c r="O29" s="2">
        <f>IF('Modell einstellen'!$B$1="Voll",J29/0.35,J29/0.35*2)</f>
        <v>-1.9967447428571429E-3</v>
      </c>
      <c r="P29" s="3">
        <f t="shared" si="1"/>
        <v>0.37730016166598934</v>
      </c>
      <c r="Q29" s="3"/>
      <c r="R29" s="3"/>
      <c r="S29" s="3"/>
      <c r="T29" s="3"/>
      <c r="U29" s="3"/>
      <c r="V29" s="3"/>
      <c r="W29" s="3"/>
      <c r="X29" s="3"/>
      <c r="Y29" s="3"/>
    </row>
    <row r="30" spans="1:25" x14ac:dyDescent="0.25">
      <c r="A30" s="3">
        <v>1000000000000</v>
      </c>
      <c r="B30" s="3">
        <v>7.8859999999999998E-4</v>
      </c>
      <c r="C30" s="3">
        <v>9.7050000000000001E-4</v>
      </c>
      <c r="D30" s="3">
        <v>-1.944E-3</v>
      </c>
      <c r="E30" s="3">
        <v>0</v>
      </c>
      <c r="F30" s="3">
        <v>0</v>
      </c>
      <c r="G30" s="3">
        <v>0</v>
      </c>
      <c r="H30" s="3">
        <v>1.7558784E-4</v>
      </c>
      <c r="I30" s="3">
        <v>1.3455543E-4</v>
      </c>
      <c r="J30" s="3">
        <v>-4.6650988E-4</v>
      </c>
      <c r="K30" s="3"/>
      <c r="L30" s="3">
        <f t="shared" si="0"/>
        <v>0.40565843621399178</v>
      </c>
      <c r="M30" s="3"/>
      <c r="N30" s="2">
        <f>IF('Modell einstellen'!$B$1="Voll",H30/0.35,H30/0.35*2)</f>
        <v>1.0033590857142858E-3</v>
      </c>
      <c r="O30" s="2">
        <f>IF('Modell einstellen'!$B$1="Voll",J30/0.35,J30/0.35*2)</f>
        <v>-2.665770742857143E-3</v>
      </c>
      <c r="P30" s="3">
        <f t="shared" si="1"/>
        <v>0.37638611212264145</v>
      </c>
      <c r="Q30" s="3"/>
      <c r="R30" s="3"/>
      <c r="S30" s="3"/>
      <c r="T30" s="3"/>
      <c r="U30" s="3"/>
      <c r="V30" s="3"/>
      <c r="W30" s="3"/>
      <c r="X30" s="3"/>
      <c r="Y30" s="3"/>
    </row>
    <row r="31" spans="1:25" x14ac:dyDescent="0.25">
      <c r="A31" s="3">
        <v>10000000000000</v>
      </c>
      <c r="B31" s="3">
        <v>9.8710000000000009E-4</v>
      </c>
      <c r="C31" s="3">
        <v>1.454E-3</v>
      </c>
      <c r="D31" s="3">
        <v>-2.6180000000000001E-3</v>
      </c>
      <c r="E31" s="3">
        <v>0</v>
      </c>
      <c r="F31" s="3">
        <v>0</v>
      </c>
      <c r="G31" s="3">
        <v>0</v>
      </c>
      <c r="H31" s="3">
        <v>2.7127454000000002E-4</v>
      </c>
      <c r="I31" s="3">
        <v>2.1603844E-4</v>
      </c>
      <c r="J31" s="3">
        <v>-7.2010859000000004E-4</v>
      </c>
      <c r="K31" s="3"/>
      <c r="L31" s="3">
        <f t="shared" si="0"/>
        <v>0.37704354469060353</v>
      </c>
      <c r="M31" s="3"/>
      <c r="N31" s="2">
        <f>IF('Modell einstellen'!$B$1="Voll",H31/0.35,H31/0.35*2)</f>
        <v>1.5501402285714287E-3</v>
      </c>
      <c r="O31" s="2">
        <f>IF('Modell einstellen'!$B$1="Voll",J31/0.35,J31/0.35*2)</f>
        <v>-4.1149062285714289E-3</v>
      </c>
      <c r="P31" s="3">
        <f t="shared" si="1"/>
        <v>0.37671337874194777</v>
      </c>
      <c r="Q31" s="3"/>
      <c r="R31" s="3"/>
      <c r="S31" s="3"/>
      <c r="T31" s="3"/>
      <c r="U31" s="3"/>
      <c r="V31" s="3"/>
      <c r="W31" s="3"/>
      <c r="X31" s="3"/>
      <c r="Y31" s="3"/>
    </row>
    <row r="32" spans="1:25" x14ac:dyDescent="0.25">
      <c r="A32" s="3">
        <v>100000000000000</v>
      </c>
      <c r="B32" s="3">
        <v>1.291E-3</v>
      </c>
      <c r="C32" s="3">
        <v>2.3969999999999998E-3</v>
      </c>
      <c r="D32" s="3">
        <v>-3.852E-3</v>
      </c>
      <c r="E32" s="3">
        <v>0</v>
      </c>
      <c r="F32" s="3">
        <v>0</v>
      </c>
      <c r="G32" s="3">
        <v>0</v>
      </c>
      <c r="H32" s="3">
        <v>4.6724985E-4</v>
      </c>
      <c r="I32" s="3">
        <v>3.8211156000000001E-4</v>
      </c>
      <c r="J32" s="3">
        <v>-1.2351581999999999E-3</v>
      </c>
      <c r="K32" s="3"/>
      <c r="L32" s="3">
        <f t="shared" si="0"/>
        <v>0.33515057113187957</v>
      </c>
      <c r="M32" s="3"/>
      <c r="N32" s="2">
        <f>IF('Modell einstellen'!$B$1="Voll",H32/0.35,H32/0.35*2)</f>
        <v>2.6699991428571429E-3</v>
      </c>
      <c r="O32" s="2">
        <f>IF('Modell einstellen'!$B$1="Voll",J32/0.35,J32/0.35*2)</f>
        <v>-7.0580468571428577E-3</v>
      </c>
      <c r="P32" s="3">
        <f t="shared" si="1"/>
        <v>0.37829150144491613</v>
      </c>
      <c r="Q32" s="3"/>
      <c r="R32" s="3"/>
      <c r="S32" s="3"/>
      <c r="T32" s="3"/>
      <c r="U32" s="3"/>
      <c r="V32" s="3"/>
      <c r="W32" s="3"/>
      <c r="X32" s="3"/>
      <c r="Y32" s="3"/>
    </row>
    <row r="33" spans="1:25" x14ac:dyDescent="0.25">
      <c r="A33" s="2">
        <v>1000000000000000</v>
      </c>
      <c r="B33" s="3">
        <v>1.8220000000000001E-3</v>
      </c>
      <c r="C33" s="3">
        <v>4.0879999999999996E-3</v>
      </c>
      <c r="D33" s="3">
        <v>-6.0619999999999997E-3</v>
      </c>
      <c r="E33" s="3">
        <v>0</v>
      </c>
      <c r="F33" s="3">
        <v>0</v>
      </c>
      <c r="G33" s="3">
        <v>0</v>
      </c>
      <c r="H33" s="3">
        <v>8.3934517999999995E-4</v>
      </c>
      <c r="I33" s="3">
        <v>6.9401762999999998E-4</v>
      </c>
      <c r="J33" s="3">
        <v>-2.1993592999999998E-3</v>
      </c>
      <c r="K33" s="3"/>
      <c r="L33" s="3">
        <f t="shared" si="0"/>
        <v>0.3005608709996701</v>
      </c>
      <c r="M33" s="3"/>
      <c r="N33" s="2">
        <f>IF('Modell einstellen'!$B$1="Voll",H33/0.35,H33/0.35*2)</f>
        <v>4.7962581714285713E-3</v>
      </c>
      <c r="O33" s="2">
        <f>IF('Modell einstellen'!$B$1="Voll",J33/0.35,J33/0.35*2)</f>
        <v>-1.2567767428571429E-2</v>
      </c>
      <c r="P33" s="3">
        <f t="shared" si="1"/>
        <v>0.38163167791638225</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5.9159999999999998E-6</v>
      </c>
      <c r="C3" s="3">
        <v>1.4090000000000001E-4</v>
      </c>
      <c r="D3" s="3">
        <v>-4.214E-4</v>
      </c>
      <c r="E3" s="3">
        <v>0</v>
      </c>
      <c r="F3" s="3">
        <v>0</v>
      </c>
      <c r="G3" s="3">
        <v>0</v>
      </c>
      <c r="H3" s="3">
        <v>3.1421168000000002E-5</v>
      </c>
      <c r="I3" s="3">
        <v>1.2977613999999999E-5</v>
      </c>
      <c r="J3" s="3">
        <v>-8.8651691000000006E-5</v>
      </c>
      <c r="K3" s="3"/>
      <c r="L3" s="3">
        <f>-B3/D3</f>
        <v>1.403891789273849E-2</v>
      </c>
      <c r="M3" s="3"/>
      <c r="N3" s="2">
        <f>IF('Modell einstellen'!$B$1="Voll",H3/0.35,H3/0.35*2)</f>
        <v>1.7954953142857146E-4</v>
      </c>
      <c r="O3" s="2">
        <f>IF('Modell einstellen'!$B$1="Voll",J3/0.35,J3/0.35*2)</f>
        <v>-5.0658109142857151E-4</v>
      </c>
      <c r="P3" s="3">
        <f>-N3/O3</f>
        <v>0.35443393854720717</v>
      </c>
      <c r="Q3" s="3"/>
      <c r="R3" s="3"/>
      <c r="S3" s="3"/>
      <c r="T3" s="3"/>
      <c r="U3" s="3"/>
    </row>
    <row r="4" spans="1:21" x14ac:dyDescent="0.25">
      <c r="A4" s="3">
        <v>1E-14</v>
      </c>
      <c r="B4" s="3">
        <v>5.9070000000000004E-6</v>
      </c>
      <c r="C4" s="3">
        <v>1.4090000000000001E-4</v>
      </c>
      <c r="D4" s="3">
        <v>-4.214E-4</v>
      </c>
      <c r="E4" s="3">
        <v>0</v>
      </c>
      <c r="F4" s="3">
        <v>0</v>
      </c>
      <c r="G4" s="3">
        <v>0</v>
      </c>
      <c r="H4" s="3">
        <v>3.1421370000000002E-5</v>
      </c>
      <c r="I4" s="3">
        <v>1.2978518E-5</v>
      </c>
      <c r="J4" s="3">
        <v>-8.8650295E-5</v>
      </c>
      <c r="K4" s="3"/>
      <c r="L4" s="3">
        <f t="shared" ref="L4:L33" si="0">-B4/D4</f>
        <v>1.4017560512577125E-2</v>
      </c>
      <c r="M4" s="3"/>
      <c r="N4" s="2">
        <f>IF('Modell einstellen'!$B$1="Voll",H4/0.35,H4/0.35*2)</f>
        <v>1.7955068571428573E-4</v>
      </c>
      <c r="O4" s="2">
        <f>IF('Modell einstellen'!$B$1="Voll",J4/0.35,J4/0.35*2)</f>
        <v>-5.0657311428571432E-4</v>
      </c>
      <c r="P4" s="3">
        <f t="shared" ref="P4:P33" si="1">-N4/O4</f>
        <v>0.35444179852983004</v>
      </c>
      <c r="Q4" s="3"/>
      <c r="R4" s="3"/>
      <c r="S4" s="3"/>
      <c r="T4" s="3"/>
      <c r="U4" s="3"/>
    </row>
    <row r="5" spans="1:21" x14ac:dyDescent="0.25">
      <c r="A5" s="3">
        <v>1E-13</v>
      </c>
      <c r="B5" s="3">
        <v>5.9100000000000002E-6</v>
      </c>
      <c r="C5" s="3">
        <v>1.4090000000000001E-4</v>
      </c>
      <c r="D5" s="3">
        <v>-4.214E-4</v>
      </c>
      <c r="E5" s="3">
        <v>0</v>
      </c>
      <c r="F5" s="3">
        <v>0</v>
      </c>
      <c r="G5" s="3">
        <v>0</v>
      </c>
      <c r="H5" s="3">
        <v>3.1421545E-5</v>
      </c>
      <c r="I5" s="3">
        <v>1.2978672E-5</v>
      </c>
      <c r="J5" s="3">
        <v>-8.8650759999999999E-5</v>
      </c>
      <c r="K5" s="3"/>
      <c r="L5" s="3">
        <f t="shared" si="0"/>
        <v>1.402467963929758E-2</v>
      </c>
      <c r="M5" s="3"/>
      <c r="N5" s="2">
        <f>IF('Modell einstellen'!$B$1="Voll",H5/0.35,H5/0.35*2)</f>
        <v>1.7955168571428572E-4</v>
      </c>
      <c r="O5" s="2">
        <f>IF('Modell einstellen'!$B$1="Voll",J5/0.35,J5/0.35*2)</f>
        <v>-5.0657577142857141E-4</v>
      </c>
      <c r="P5" s="3">
        <f t="shared" si="1"/>
        <v>0.35444191341394027</v>
      </c>
      <c r="Q5" s="3"/>
      <c r="R5" s="3"/>
      <c r="S5" s="3"/>
      <c r="T5" s="3"/>
      <c r="U5" s="3"/>
    </row>
    <row r="6" spans="1:21" x14ac:dyDescent="0.25">
      <c r="A6" s="3">
        <v>9.9999999999999998E-13</v>
      </c>
      <c r="B6" s="3">
        <v>5.9100000000000002E-6</v>
      </c>
      <c r="C6" s="3">
        <v>1.4090000000000001E-4</v>
      </c>
      <c r="D6" s="3">
        <v>-4.214E-4</v>
      </c>
      <c r="E6" s="3">
        <v>0</v>
      </c>
      <c r="F6" s="3">
        <v>0</v>
      </c>
      <c r="G6" s="3">
        <v>0</v>
      </c>
      <c r="H6" s="3">
        <v>3.1421589000000001E-5</v>
      </c>
      <c r="I6" s="3">
        <v>1.2978714E-5</v>
      </c>
      <c r="J6" s="3">
        <v>-8.8650881000000003E-5</v>
      </c>
      <c r="K6" s="3"/>
      <c r="L6" s="3">
        <f t="shared" si="0"/>
        <v>1.402467963929758E-2</v>
      </c>
      <c r="M6" s="3"/>
      <c r="N6" s="2">
        <f>IF('Modell einstellen'!$B$1="Voll",H6/0.35,H6/0.35*2)</f>
        <v>1.7955193714285715E-4</v>
      </c>
      <c r="O6" s="2">
        <f>IF('Modell einstellen'!$B$1="Voll",J6/0.35,J6/0.35*2)</f>
        <v>-5.0657646285714292E-4</v>
      </c>
      <c r="P6" s="3">
        <f t="shared" si="1"/>
        <v>0.35444192596348811</v>
      </c>
      <c r="Q6" s="3"/>
      <c r="R6" s="3"/>
      <c r="S6" s="3"/>
      <c r="T6" s="3"/>
      <c r="U6" s="3"/>
    </row>
    <row r="7" spans="1:21" x14ac:dyDescent="0.25">
      <c r="A7" s="3">
        <v>9.9999999999999994E-12</v>
      </c>
      <c r="B7" s="3">
        <v>5.9100000000000002E-6</v>
      </c>
      <c r="C7" s="3">
        <v>1.4090000000000001E-4</v>
      </c>
      <c r="D7" s="3">
        <v>-4.214E-4</v>
      </c>
      <c r="E7" s="3">
        <v>0</v>
      </c>
      <c r="F7" s="3">
        <v>0</v>
      </c>
      <c r="G7" s="3">
        <v>0</v>
      </c>
      <c r="H7" s="3">
        <v>3.1421601E-5</v>
      </c>
      <c r="I7" s="3">
        <v>1.2978725999999999E-5</v>
      </c>
      <c r="J7" s="3">
        <v>-8.8650915999999999E-5</v>
      </c>
      <c r="K7" s="3"/>
      <c r="L7" s="3">
        <f t="shared" si="0"/>
        <v>1.402467963929758E-2</v>
      </c>
      <c r="M7" s="3"/>
      <c r="N7" s="2">
        <f>IF('Modell einstellen'!$B$1="Voll",H7/0.35,H7/0.35*2)</f>
        <v>1.7955200571428574E-4</v>
      </c>
      <c r="O7" s="2">
        <f>IF('Modell einstellen'!$B$1="Voll",J7/0.35,J7/0.35*2)</f>
        <v>-5.0657666285714288E-4</v>
      </c>
      <c r="P7" s="3">
        <f t="shared" si="1"/>
        <v>0.35444192138973502</v>
      </c>
      <c r="Q7" s="3"/>
      <c r="R7" s="3"/>
      <c r="S7" s="3"/>
      <c r="T7" s="3"/>
      <c r="U7" s="3"/>
    </row>
    <row r="8" spans="1:21" x14ac:dyDescent="0.25">
      <c r="A8" s="3">
        <v>1E-10</v>
      </c>
      <c r="B8" s="3">
        <v>5.9100000000000002E-6</v>
      </c>
      <c r="C8" s="3">
        <v>1.4090000000000001E-4</v>
      </c>
      <c r="D8" s="3">
        <v>-4.214E-4</v>
      </c>
      <c r="E8" s="3">
        <v>0</v>
      </c>
      <c r="F8" s="3">
        <v>0</v>
      </c>
      <c r="G8" s="3">
        <v>0</v>
      </c>
      <c r="H8" s="3">
        <v>3.1421606000000001E-5</v>
      </c>
      <c r="I8" s="3">
        <v>1.297873E-5</v>
      </c>
      <c r="J8" s="3">
        <v>-8.8650929000000001E-5</v>
      </c>
      <c r="K8" s="3"/>
      <c r="L8" s="3">
        <f t="shared" si="0"/>
        <v>1.402467963929758E-2</v>
      </c>
      <c r="M8" s="3"/>
      <c r="N8" s="2">
        <f>IF('Modell einstellen'!$B$1="Voll",H8/0.35,H8/0.35*2)</f>
        <v>1.795520342857143E-4</v>
      </c>
      <c r="O8" s="2">
        <f>IF('Modell einstellen'!$B$1="Voll",J8/0.35,J8/0.35*2)</f>
        <v>-5.0657673714285718E-4</v>
      </c>
      <c r="P8" s="3">
        <f t="shared" si="1"/>
        <v>0.35444192581444917</v>
      </c>
      <c r="Q8" s="3"/>
      <c r="R8" s="3"/>
      <c r="S8" s="3"/>
      <c r="T8" s="3"/>
      <c r="U8" s="3"/>
    </row>
    <row r="9" spans="1:21" x14ac:dyDescent="0.25">
      <c r="A9" s="3">
        <v>1.0000000000000001E-9</v>
      </c>
      <c r="B9" s="3">
        <v>5.9100000000000002E-6</v>
      </c>
      <c r="C9" s="3">
        <v>1.4090000000000001E-4</v>
      </c>
      <c r="D9" s="3">
        <v>-4.214E-4</v>
      </c>
      <c r="E9" s="3">
        <v>0</v>
      </c>
      <c r="F9" s="3">
        <v>0</v>
      </c>
      <c r="G9" s="3">
        <v>0</v>
      </c>
      <c r="H9" s="3">
        <v>3.1421621000000002E-5</v>
      </c>
      <c r="I9" s="3">
        <v>1.2978734E-5</v>
      </c>
      <c r="J9" s="3">
        <v>-8.8650955000000006E-5</v>
      </c>
      <c r="K9" s="3"/>
      <c r="L9" s="3">
        <f t="shared" si="0"/>
        <v>1.402467963929758E-2</v>
      </c>
      <c r="M9" s="3"/>
      <c r="N9" s="2">
        <f>IF('Modell einstellen'!$B$1="Voll",H9/0.35,H9/0.35*2)</f>
        <v>1.7955212000000001E-4</v>
      </c>
      <c r="O9" s="2">
        <f>IF('Modell einstellen'!$B$1="Voll",J9/0.35,J9/0.35*2)</f>
        <v>-5.0657688571428578E-4</v>
      </c>
      <c r="P9" s="3">
        <f t="shared" si="1"/>
        <v>0.35444199106484525</v>
      </c>
      <c r="Q9" s="3"/>
      <c r="R9" s="3"/>
      <c r="S9" s="3"/>
      <c r="T9" s="3"/>
      <c r="U9" s="3"/>
    </row>
    <row r="10" spans="1:21" x14ac:dyDescent="0.25">
      <c r="A10" s="3">
        <v>1E-8</v>
      </c>
      <c r="B10" s="3">
        <v>5.9089999999999997E-6</v>
      </c>
      <c r="C10" s="3">
        <v>1.4090000000000001E-4</v>
      </c>
      <c r="D10" s="3">
        <v>-4.214E-4</v>
      </c>
      <c r="E10" s="3">
        <v>0</v>
      </c>
      <c r="F10" s="3">
        <v>0</v>
      </c>
      <c r="G10" s="3">
        <v>0</v>
      </c>
      <c r="H10" s="3">
        <v>3.1421762000000001E-5</v>
      </c>
      <c r="I10" s="3">
        <v>1.2978760000000001E-5</v>
      </c>
      <c r="J10" s="3">
        <v>-8.8651174999999994E-5</v>
      </c>
      <c r="K10" s="3"/>
      <c r="L10" s="3">
        <f t="shared" si="0"/>
        <v>1.4022306597057426E-2</v>
      </c>
      <c r="M10" s="3"/>
      <c r="N10" s="2">
        <f>IF('Modell einstellen'!$B$1="Voll",H10/0.35,H10/0.35*2)</f>
        <v>1.7955292571428572E-4</v>
      </c>
      <c r="O10" s="2">
        <f>IF('Modell einstellen'!$B$1="Voll",J10/0.35,J10/0.35*2)</f>
        <v>-5.0657814285714282E-4</v>
      </c>
      <c r="P10" s="3">
        <f t="shared" si="1"/>
        <v>0.35444270197208333</v>
      </c>
      <c r="Q10" s="3"/>
      <c r="R10" s="3"/>
      <c r="S10" s="3"/>
      <c r="T10" s="3"/>
      <c r="U10" s="3"/>
    </row>
    <row r="11" spans="1:21" x14ac:dyDescent="0.25">
      <c r="A11" s="3">
        <v>9.9999999999999995E-8</v>
      </c>
      <c r="B11" s="3">
        <v>5.9020000000000004E-6</v>
      </c>
      <c r="C11" s="3">
        <v>1.4090000000000001E-4</v>
      </c>
      <c r="D11" s="3">
        <v>-4.214E-4</v>
      </c>
      <c r="E11" s="3">
        <v>0</v>
      </c>
      <c r="F11" s="3">
        <v>0</v>
      </c>
      <c r="G11" s="3">
        <v>0</v>
      </c>
      <c r="H11" s="3">
        <v>3.1423166000000001E-5</v>
      </c>
      <c r="I11" s="3">
        <v>1.2979015999999999E-5</v>
      </c>
      <c r="J11" s="3">
        <v>-8.8653367000000004E-5</v>
      </c>
      <c r="K11" s="3"/>
      <c r="L11" s="3">
        <f t="shared" si="0"/>
        <v>1.4005695301376365E-2</v>
      </c>
      <c r="M11" s="3"/>
      <c r="N11" s="2">
        <f>IF('Modell einstellen'!$B$1="Voll",H11/0.35,H11/0.35*2)</f>
        <v>1.7956094857142859E-4</v>
      </c>
      <c r="O11" s="2">
        <f>IF('Modell einstellen'!$B$1="Voll",J11/0.35,J11/0.35*2)</f>
        <v>-5.0659066857142859E-4</v>
      </c>
      <c r="P11" s="3">
        <f t="shared" si="1"/>
        <v>0.35444977515631193</v>
      </c>
      <c r="Q11" s="3"/>
      <c r="R11" s="3"/>
      <c r="S11" s="3"/>
      <c r="T11" s="3"/>
      <c r="U11" s="3"/>
    </row>
    <row r="12" spans="1:21" x14ac:dyDescent="0.25">
      <c r="A12" s="3">
        <v>9.9999999999999995E-7</v>
      </c>
      <c r="B12" s="3">
        <v>5.835E-6</v>
      </c>
      <c r="C12" s="3">
        <v>1.4090000000000001E-4</v>
      </c>
      <c r="D12" s="3">
        <v>-4.214E-4</v>
      </c>
      <c r="E12" s="3">
        <v>0</v>
      </c>
      <c r="F12" s="3">
        <v>0</v>
      </c>
      <c r="G12" s="3">
        <v>0</v>
      </c>
      <c r="H12" s="3">
        <v>3.1437114999999999E-5</v>
      </c>
      <c r="I12" s="3">
        <v>1.2981552999999999E-5</v>
      </c>
      <c r="J12" s="3">
        <v>-8.8675135000000003E-5</v>
      </c>
      <c r="K12" s="3"/>
      <c r="L12" s="3">
        <f t="shared" si="0"/>
        <v>1.3846701471286188E-2</v>
      </c>
      <c r="M12" s="3"/>
      <c r="N12" s="2">
        <f>IF('Modell einstellen'!$B$1="Voll",H12/0.35,H12/0.35*2)</f>
        <v>1.7964065714285715E-4</v>
      </c>
      <c r="O12" s="2">
        <f>IF('Modell einstellen'!$B$1="Voll",J12/0.35,J12/0.35*2)</f>
        <v>-5.0671505714285721E-4</v>
      </c>
      <c r="P12" s="3">
        <f t="shared" si="1"/>
        <v>0.35452006923925178</v>
      </c>
      <c r="Q12" s="3"/>
      <c r="R12" s="3"/>
      <c r="S12" s="3"/>
      <c r="T12" s="3"/>
      <c r="U12" s="3"/>
    </row>
    <row r="13" spans="1:21" x14ac:dyDescent="0.25">
      <c r="A13" s="3">
        <v>1.0000000000000001E-5</v>
      </c>
      <c r="B13" s="3">
        <v>5.2039999999999996E-6</v>
      </c>
      <c r="C13" s="3">
        <v>1.4119999999999999E-4</v>
      </c>
      <c r="D13" s="3">
        <v>-4.214E-4</v>
      </c>
      <c r="E13" s="3">
        <v>0</v>
      </c>
      <c r="F13" s="3">
        <v>0</v>
      </c>
      <c r="G13" s="3">
        <v>0</v>
      </c>
      <c r="H13" s="3">
        <v>3.1567722E-5</v>
      </c>
      <c r="I13" s="3">
        <v>1.300529E-5</v>
      </c>
      <c r="J13" s="3">
        <v>-8.8878864000000002E-5</v>
      </c>
      <c r="K13" s="3"/>
      <c r="L13" s="3">
        <f t="shared" si="0"/>
        <v>1.2349311817750355E-2</v>
      </c>
      <c r="M13" s="3"/>
      <c r="N13" s="2">
        <f>IF('Modell einstellen'!$B$1="Voll",H13/0.35,H13/0.35*2)</f>
        <v>1.8038698285714286E-4</v>
      </c>
      <c r="O13" s="2">
        <f>IF('Modell einstellen'!$B$1="Voll",J13/0.35,J13/0.35*2)</f>
        <v>-5.0787922285714293E-4</v>
      </c>
      <c r="P13" s="3">
        <f t="shared" si="1"/>
        <v>0.35517692935409251</v>
      </c>
      <c r="Q13" s="3"/>
      <c r="R13" s="3"/>
      <c r="S13" s="3"/>
      <c r="T13" s="3"/>
      <c r="U13" s="3"/>
    </row>
    <row r="14" spans="1:21" x14ac:dyDescent="0.25">
      <c r="A14" s="3">
        <v>1E-4</v>
      </c>
      <c r="B14" s="3">
        <v>1.629E-6</v>
      </c>
      <c r="C14" s="3">
        <v>1.4249999999999999E-4</v>
      </c>
      <c r="D14" s="3">
        <v>-4.2089999999999999E-4</v>
      </c>
      <c r="E14" s="3">
        <v>0</v>
      </c>
      <c r="F14" s="3">
        <v>0</v>
      </c>
      <c r="G14" s="3">
        <v>0</v>
      </c>
      <c r="H14" s="3">
        <v>3.2299377999999998E-5</v>
      </c>
      <c r="I14" s="3">
        <v>1.3137156E-5</v>
      </c>
      <c r="J14" s="3">
        <v>-9.0015840000000002E-5</v>
      </c>
      <c r="K14" s="3"/>
      <c r="L14" s="3">
        <f t="shared" si="0"/>
        <v>3.8702779757662153E-3</v>
      </c>
      <c r="M14" s="3"/>
      <c r="N14" s="2">
        <f>IF('Modell einstellen'!$B$1="Voll",H14/0.35,H14/0.35*2)</f>
        <v>1.8456787428571428E-4</v>
      </c>
      <c r="O14" s="2">
        <f>IF('Modell einstellen'!$B$1="Voll",J14/0.35,J14/0.35*2)</f>
        <v>-5.1437622857142859E-4</v>
      </c>
      <c r="P14" s="3">
        <f t="shared" si="1"/>
        <v>0.35881882566446083</v>
      </c>
      <c r="Q14" s="3"/>
      <c r="R14" s="3"/>
      <c r="S14" s="3"/>
      <c r="T14" s="3"/>
      <c r="U14" s="3"/>
    </row>
    <row r="15" spans="1:21" x14ac:dyDescent="0.25">
      <c r="A15" s="3">
        <v>1E-3</v>
      </c>
      <c r="B15" s="3">
        <v>-3.2150000000000001E-6</v>
      </c>
      <c r="C15" s="3">
        <v>1.4430000000000001E-4</v>
      </c>
      <c r="D15" s="3">
        <v>-4.2000000000000002E-4</v>
      </c>
      <c r="E15" s="3">
        <v>0</v>
      </c>
      <c r="F15" s="3">
        <v>0</v>
      </c>
      <c r="G15" s="3">
        <v>0</v>
      </c>
      <c r="H15" s="3">
        <v>3.3271052000000003E-5</v>
      </c>
      <c r="I15" s="3">
        <v>1.3311990999999999E-5</v>
      </c>
      <c r="J15" s="3">
        <v>-9.1515075000000006E-5</v>
      </c>
      <c r="K15" s="3"/>
      <c r="L15" s="3">
        <f t="shared" si="0"/>
        <v>-7.6547619047619047E-3</v>
      </c>
      <c r="M15" s="3"/>
      <c r="N15" s="2">
        <f>IF('Modell einstellen'!$B$1="Voll",H15/0.35,H15/0.35*2)</f>
        <v>1.9012029714285717E-4</v>
      </c>
      <c r="O15" s="2">
        <f>IF('Modell einstellen'!$B$1="Voll",J15/0.35,J15/0.35*2)</f>
        <v>-5.2294328571428578E-4</v>
      </c>
      <c r="P15" s="3">
        <f t="shared" si="1"/>
        <v>0.36355815694845905</v>
      </c>
      <c r="Q15" s="3"/>
      <c r="R15" s="3"/>
      <c r="S15" s="3"/>
      <c r="T15" s="3"/>
      <c r="U15" s="3"/>
    </row>
    <row r="16" spans="1:21" x14ac:dyDescent="0.25">
      <c r="A16" s="3">
        <v>0.01</v>
      </c>
      <c r="B16" s="3">
        <v>-9.0750000000000004E-6</v>
      </c>
      <c r="C16" s="3">
        <v>1.4640000000000001E-4</v>
      </c>
      <c r="D16" s="3">
        <v>-4.1869999999999999E-4</v>
      </c>
      <c r="E16" s="3">
        <v>0</v>
      </c>
      <c r="F16" s="3">
        <v>0</v>
      </c>
      <c r="G16" s="3">
        <v>0</v>
      </c>
      <c r="H16" s="3">
        <v>3.4403468999999999E-5</v>
      </c>
      <c r="I16" s="3">
        <v>1.3512015E-5</v>
      </c>
      <c r="J16" s="3">
        <v>-9.3244852999999997E-5</v>
      </c>
      <c r="K16" s="3"/>
      <c r="L16" s="3">
        <f t="shared" si="0"/>
        <v>-2.1674229758777169E-2</v>
      </c>
      <c r="M16" s="3"/>
      <c r="N16" s="2">
        <f>IF('Modell einstellen'!$B$1="Voll",H16/0.35,H16/0.35*2)</f>
        <v>1.9659125142857143E-4</v>
      </c>
      <c r="O16" s="2">
        <f>IF('Modell einstellen'!$B$1="Voll",J16/0.35,J16/0.35*2)</f>
        <v>-5.328277314285714E-4</v>
      </c>
      <c r="P16" s="3">
        <f t="shared" si="1"/>
        <v>0.36895837028130662</v>
      </c>
      <c r="Q16" s="3"/>
      <c r="R16" s="3"/>
      <c r="S16" s="3"/>
      <c r="T16" s="3"/>
      <c r="U16" s="3"/>
    </row>
    <row r="17" spans="1:21" x14ac:dyDescent="0.25">
      <c r="A17" s="3">
        <v>0.1</v>
      </c>
      <c r="B17" s="3">
        <v>-1.6860000000000001E-5</v>
      </c>
      <c r="C17" s="3">
        <v>1.4889999999999999E-4</v>
      </c>
      <c r="D17" s="3">
        <v>-4.1649999999999999E-4</v>
      </c>
      <c r="E17" s="3">
        <v>0</v>
      </c>
      <c r="F17" s="3">
        <v>0</v>
      </c>
      <c r="G17" s="3">
        <v>0</v>
      </c>
      <c r="H17" s="3">
        <v>3.5835713999999998E-5</v>
      </c>
      <c r="I17" s="3">
        <v>1.3755352000000001E-5</v>
      </c>
      <c r="J17" s="3">
        <v>-9.5401093999999994E-5</v>
      </c>
      <c r="K17" s="3"/>
      <c r="L17" s="3">
        <f t="shared" si="0"/>
        <v>-4.0480192076830734E-2</v>
      </c>
      <c r="M17" s="3"/>
      <c r="N17" s="2">
        <f>IF('Modell einstellen'!$B$1="Voll",H17/0.35,H17/0.35*2)</f>
        <v>2.0477550857142857E-4</v>
      </c>
      <c r="O17" s="2">
        <f>IF('Modell einstellen'!$B$1="Voll",J17/0.35,J17/0.35*2)</f>
        <v>-5.4514910857142852E-4</v>
      </c>
      <c r="P17" s="3">
        <f t="shared" si="1"/>
        <v>0.37563210753117782</v>
      </c>
      <c r="Q17" s="3"/>
      <c r="R17" s="3"/>
      <c r="S17" s="3"/>
      <c r="T17" s="3"/>
      <c r="U17" s="3"/>
    </row>
    <row r="18" spans="1:21" x14ac:dyDescent="0.25">
      <c r="A18" s="3">
        <v>1</v>
      </c>
      <c r="B18" s="3">
        <v>-2.5780000000000001E-5</v>
      </c>
      <c r="C18" s="3">
        <v>1.527E-4</v>
      </c>
      <c r="D18" s="3">
        <v>-4.1449999999999999E-4</v>
      </c>
      <c r="E18" s="3">
        <v>0</v>
      </c>
      <c r="F18" s="3">
        <v>0</v>
      </c>
      <c r="G18" s="3">
        <v>0</v>
      </c>
      <c r="H18" s="3">
        <v>3.7514695999999997E-5</v>
      </c>
      <c r="I18" s="3">
        <v>1.4083832E-5</v>
      </c>
      <c r="J18" s="3">
        <v>-9.7978825999999996E-5</v>
      </c>
      <c r="K18" s="3"/>
      <c r="L18" s="3">
        <f t="shared" si="0"/>
        <v>-6.219541616405308E-2</v>
      </c>
      <c r="M18" s="3"/>
      <c r="N18" s="2">
        <f>IF('Modell einstellen'!$B$1="Voll",H18/0.35,H18/0.35*2)</f>
        <v>2.1436969142857144E-4</v>
      </c>
      <c r="O18" s="2">
        <f>IF('Modell einstellen'!$B$1="Voll",J18/0.35,J18/0.35*2)</f>
        <v>-5.598790057142857E-4</v>
      </c>
      <c r="P18" s="3">
        <f t="shared" si="1"/>
        <v>0.38288574717153689</v>
      </c>
      <c r="Q18" s="3"/>
      <c r="R18" s="3"/>
      <c r="S18" s="3"/>
      <c r="T18" s="3"/>
      <c r="U18" s="3"/>
    </row>
    <row r="19" spans="1:21" x14ac:dyDescent="0.25">
      <c r="A19" s="3">
        <v>10</v>
      </c>
      <c r="B19" s="3">
        <v>-3.5469999999999998E-5</v>
      </c>
      <c r="C19" s="3">
        <v>1.5750000000000001E-4</v>
      </c>
      <c r="D19" s="3">
        <v>-4.1290000000000001E-4</v>
      </c>
      <c r="E19" s="3">
        <v>0</v>
      </c>
      <c r="F19" s="3">
        <v>0</v>
      </c>
      <c r="G19" s="3">
        <v>0</v>
      </c>
      <c r="H19" s="3">
        <v>3.9737704999999998E-5</v>
      </c>
      <c r="I19" s="3">
        <v>1.4586018E-5</v>
      </c>
      <c r="J19" s="3">
        <v>-1.0145647E-4</v>
      </c>
      <c r="K19" s="3"/>
      <c r="L19" s="3">
        <f t="shared" si="0"/>
        <v>-8.5904577379510766E-2</v>
      </c>
      <c r="M19" s="3"/>
      <c r="N19" s="2">
        <f>IF('Modell einstellen'!$B$1="Voll",H19/0.35,H19/0.35*2)</f>
        <v>2.270726E-4</v>
      </c>
      <c r="O19" s="2">
        <f>IF('Modell einstellen'!$B$1="Voll",J19/0.35,J19/0.35*2)</f>
        <v>-5.7975125714285723E-4</v>
      </c>
      <c r="P19" s="3">
        <f t="shared" si="1"/>
        <v>0.39167245814880008</v>
      </c>
      <c r="Q19" s="3"/>
      <c r="R19" s="3"/>
      <c r="S19" s="3"/>
      <c r="T19" s="3"/>
      <c r="U19" s="3"/>
    </row>
    <row r="20" spans="1:21" x14ac:dyDescent="0.25">
      <c r="A20" s="3">
        <v>100</v>
      </c>
      <c r="B20" s="3">
        <v>-3.006E-5</v>
      </c>
      <c r="C20" s="3">
        <v>1.7149999999999999E-4</v>
      </c>
      <c r="D20" s="3">
        <v>-4.3219999999999999E-4</v>
      </c>
      <c r="E20" s="3">
        <v>0</v>
      </c>
      <c r="F20" s="3">
        <v>0</v>
      </c>
      <c r="G20" s="3">
        <v>0</v>
      </c>
      <c r="H20" s="3">
        <v>4.3721570000000003E-5</v>
      </c>
      <c r="I20" s="3">
        <v>1.6386037E-5</v>
      </c>
      <c r="J20" s="3">
        <v>-1.0901854E-4</v>
      </c>
      <c r="K20" s="3"/>
      <c r="L20" s="3">
        <f t="shared" si="0"/>
        <v>-6.9551133734382237E-2</v>
      </c>
      <c r="M20" s="3"/>
      <c r="N20" s="2">
        <f>IF('Modell einstellen'!$B$1="Voll",H20/0.35,H20/0.35*2)</f>
        <v>2.498375428571429E-4</v>
      </c>
      <c r="O20" s="2">
        <f>IF('Modell einstellen'!$B$1="Voll",J20/0.35,J20/0.35*2)</f>
        <v>-6.2296308571428574E-4</v>
      </c>
      <c r="P20" s="3">
        <f t="shared" si="1"/>
        <v>0.40104710629953405</v>
      </c>
      <c r="Q20" s="3"/>
      <c r="R20" s="3"/>
      <c r="S20" s="3"/>
      <c r="T20" s="3"/>
      <c r="U20" s="3"/>
    </row>
    <row r="21" spans="1:21" x14ac:dyDescent="0.25">
      <c r="A21" s="3">
        <v>1000</v>
      </c>
      <c r="B21" s="3">
        <v>3.0729999999999999E-5</v>
      </c>
      <c r="C21" s="3">
        <v>2.087E-4</v>
      </c>
      <c r="D21" s="3">
        <v>-5.1780000000000001E-4</v>
      </c>
      <c r="E21" s="3">
        <v>0</v>
      </c>
      <c r="F21" s="3">
        <v>0</v>
      </c>
      <c r="G21" s="3">
        <v>0</v>
      </c>
      <c r="H21" s="3">
        <v>5.1444511000000002E-5</v>
      </c>
      <c r="I21" s="3">
        <v>2.1865081999999999E-5</v>
      </c>
      <c r="J21" s="3">
        <v>-1.2678462E-4</v>
      </c>
      <c r="K21" s="3"/>
      <c r="L21" s="3">
        <f t="shared" si="0"/>
        <v>5.9347238315952101E-2</v>
      </c>
      <c r="M21" s="3"/>
      <c r="N21" s="2">
        <f>IF('Modell einstellen'!$B$1="Voll",H21/0.35,H21/0.35*2)</f>
        <v>2.9396863428571431E-4</v>
      </c>
      <c r="O21" s="2">
        <f>IF('Modell einstellen'!$B$1="Voll",J21/0.35,J21/0.35*2)</f>
        <v>-7.2448354285714286E-4</v>
      </c>
      <c r="P21" s="3">
        <f t="shared" si="1"/>
        <v>0.40576302551523996</v>
      </c>
      <c r="Q21" s="3"/>
      <c r="R21" s="3"/>
      <c r="S21" s="3"/>
      <c r="T21" s="3"/>
      <c r="U21" s="3"/>
    </row>
    <row r="22" spans="1:21" x14ac:dyDescent="0.25">
      <c r="A22" s="3">
        <v>10000</v>
      </c>
      <c r="B22" s="3">
        <v>1.3640000000000001E-4</v>
      </c>
      <c r="C22" s="3">
        <v>2.6840000000000002E-4</v>
      </c>
      <c r="D22" s="3">
        <v>-6.623E-4</v>
      </c>
      <c r="E22" s="3">
        <v>0</v>
      </c>
      <c r="F22" s="3">
        <v>0</v>
      </c>
      <c r="G22" s="3">
        <v>0</v>
      </c>
      <c r="H22" s="3">
        <v>6.2130706000000001E-5</v>
      </c>
      <c r="I22" s="3">
        <v>3.0746203000000002E-5</v>
      </c>
      <c r="J22" s="3">
        <v>-1.5366901000000001E-4</v>
      </c>
      <c r="K22" s="3"/>
      <c r="L22" s="3">
        <f t="shared" si="0"/>
        <v>0.20594896572550206</v>
      </c>
      <c r="M22" s="3"/>
      <c r="N22" s="2">
        <f>IF('Modell einstellen'!$B$1="Voll",H22/0.35,H22/0.35*2)</f>
        <v>3.5503260571428572E-4</v>
      </c>
      <c r="O22" s="2">
        <f>IF('Modell einstellen'!$B$1="Voll",J22/0.35,J22/0.35*2)</f>
        <v>-8.7810862857142869E-4</v>
      </c>
      <c r="P22" s="3">
        <f t="shared" si="1"/>
        <v>0.40431513159354637</v>
      </c>
      <c r="Q22" s="3"/>
      <c r="R22" s="3"/>
      <c r="S22" s="3"/>
      <c r="T22" s="3"/>
      <c r="U22" s="3"/>
    </row>
    <row r="23" spans="1:21" x14ac:dyDescent="0.25">
      <c r="A23" s="3">
        <v>100000</v>
      </c>
      <c r="B23" s="3">
        <v>2.5080000000000002E-4</v>
      </c>
      <c r="C23" s="3">
        <v>3.3930000000000001E-4</v>
      </c>
      <c r="D23" s="3">
        <v>-8.275E-4</v>
      </c>
      <c r="E23" s="3">
        <v>0</v>
      </c>
      <c r="F23" s="3">
        <v>0</v>
      </c>
      <c r="G23" s="3">
        <v>0</v>
      </c>
      <c r="H23" s="3">
        <v>7.3947766000000004E-5</v>
      </c>
      <c r="I23" s="3">
        <v>4.1059712999999998E-5</v>
      </c>
      <c r="J23" s="3">
        <v>-1.8456561999999999E-4</v>
      </c>
      <c r="K23" s="3"/>
      <c r="L23" s="3">
        <f t="shared" si="0"/>
        <v>0.30308157099697886</v>
      </c>
      <c r="M23" s="3"/>
      <c r="N23" s="2">
        <f>IF('Modell einstellen'!$B$1="Voll",H23/0.35,H23/0.35*2)</f>
        <v>4.2255866285714289E-4</v>
      </c>
      <c r="O23" s="2">
        <f>IF('Modell einstellen'!$B$1="Voll",J23/0.35,J23/0.35*2)</f>
        <v>-1.0546606857142857E-3</v>
      </c>
      <c r="P23" s="3">
        <f t="shared" si="1"/>
        <v>0.40065839997720054</v>
      </c>
      <c r="Q23" s="3"/>
      <c r="R23" s="3"/>
      <c r="S23" s="3"/>
      <c r="T23" s="3"/>
      <c r="U23" s="3"/>
    </row>
    <row r="24" spans="1:21" x14ac:dyDescent="0.25">
      <c r="A24" s="3">
        <v>1000000</v>
      </c>
      <c r="B24" s="3">
        <v>3.5629999999999999E-4</v>
      </c>
      <c r="C24" s="3">
        <v>4.1750000000000001E-4</v>
      </c>
      <c r="D24" s="3">
        <v>-9.9599999999999992E-4</v>
      </c>
      <c r="E24" s="3">
        <v>0</v>
      </c>
      <c r="F24" s="3">
        <v>0</v>
      </c>
      <c r="G24" s="3">
        <v>0</v>
      </c>
      <c r="H24" s="3">
        <v>8.6690040000000001E-5</v>
      </c>
      <c r="I24" s="3">
        <v>5.2251915999999997E-5</v>
      </c>
      <c r="J24" s="3">
        <v>-2.1842049999999999E-4</v>
      </c>
      <c r="K24" s="3"/>
      <c r="L24" s="3">
        <f t="shared" si="0"/>
        <v>0.35773092369477916</v>
      </c>
      <c r="M24" s="3"/>
      <c r="N24" s="2">
        <f>IF('Modell einstellen'!$B$1="Voll",H24/0.35,H24/0.35*2)</f>
        <v>4.9537165714285715E-4</v>
      </c>
      <c r="O24" s="2">
        <f>IF('Modell einstellen'!$B$1="Voll",J24/0.35,J24/0.35*2)</f>
        <v>-1.248117142857143E-3</v>
      </c>
      <c r="P24" s="3">
        <f t="shared" si="1"/>
        <v>0.3968951632287262</v>
      </c>
      <c r="Q24" s="3"/>
      <c r="R24" s="3"/>
      <c r="S24" s="3"/>
      <c r="T24" s="3"/>
      <c r="U24" s="3"/>
    </row>
    <row r="25" spans="1:21" x14ac:dyDescent="0.25">
      <c r="A25" s="3">
        <v>10000000</v>
      </c>
      <c r="B25" s="3">
        <v>4.5530000000000001E-4</v>
      </c>
      <c r="C25" s="3">
        <v>5.1409999999999997E-4</v>
      </c>
      <c r="D25" s="3">
        <v>-1.181E-3</v>
      </c>
      <c r="E25" s="3">
        <v>0</v>
      </c>
      <c r="F25" s="3">
        <v>0</v>
      </c>
      <c r="G25" s="3">
        <v>0</v>
      </c>
      <c r="H25" s="3">
        <v>1.0327638E-4</v>
      </c>
      <c r="I25" s="3">
        <v>6.6386481999999996E-5</v>
      </c>
      <c r="J25" s="3">
        <v>-2.6223260999999999E-4</v>
      </c>
      <c r="K25" s="3"/>
      <c r="L25" s="3">
        <f t="shared" si="0"/>
        <v>0.38552074513124474</v>
      </c>
      <c r="M25" s="3"/>
      <c r="N25" s="2">
        <f>IF('Modell einstellen'!$B$1="Voll",H25/0.35,H25/0.35*2)</f>
        <v>5.9015074285714288E-4</v>
      </c>
      <c r="O25" s="2">
        <f>IF('Modell einstellen'!$B$1="Voll",J25/0.35,J25/0.35*2)</f>
        <v>-1.4984720571428571E-3</v>
      </c>
      <c r="P25" s="3">
        <f t="shared" si="1"/>
        <v>0.39383500015501505</v>
      </c>
      <c r="Q25" s="3"/>
      <c r="R25" s="3"/>
      <c r="S25" s="3"/>
      <c r="T25" s="3"/>
      <c r="U25" s="3"/>
    </row>
    <row r="26" spans="1:21" x14ac:dyDescent="0.25">
      <c r="A26" s="3">
        <v>100000000</v>
      </c>
      <c r="B26" s="3">
        <v>5.5699999999999999E-4</v>
      </c>
      <c r="C26" s="3">
        <v>6.4990000000000002E-4</v>
      </c>
      <c r="D26" s="3">
        <v>-1.4109999999999999E-3</v>
      </c>
      <c r="E26" s="3">
        <v>0</v>
      </c>
      <c r="F26" s="3">
        <v>0</v>
      </c>
      <c r="G26" s="3">
        <v>0</v>
      </c>
      <c r="H26" s="3">
        <v>1.2783229000000001E-4</v>
      </c>
      <c r="I26" s="3">
        <v>8.7155153E-5</v>
      </c>
      <c r="J26" s="3">
        <v>-3.2717534000000002E-4</v>
      </c>
      <c r="K26" s="3"/>
      <c r="L26" s="3">
        <f t="shared" si="0"/>
        <v>0.3947554925584692</v>
      </c>
      <c r="M26" s="3"/>
      <c r="N26" s="2">
        <f>IF('Modell einstellen'!$B$1="Voll",H26/0.35,H26/0.35*2)</f>
        <v>7.304702285714287E-4</v>
      </c>
      <c r="O26" s="2">
        <f>IF('Modell einstellen'!$B$1="Voll",J26/0.35,J26/0.35*2)</f>
        <v>-1.8695733714285717E-3</v>
      </c>
      <c r="P26" s="3">
        <f t="shared" si="1"/>
        <v>0.39071492979880451</v>
      </c>
      <c r="Q26" s="3"/>
      <c r="R26" s="3"/>
      <c r="S26" s="3"/>
      <c r="T26" s="3"/>
      <c r="U26" s="3"/>
    </row>
    <row r="27" spans="1:21" x14ac:dyDescent="0.25">
      <c r="A27" s="3">
        <v>1000000000</v>
      </c>
      <c r="B27" s="3">
        <v>6.7469999999999997E-4</v>
      </c>
      <c r="C27" s="3">
        <v>8.719E-4</v>
      </c>
      <c r="D27" s="3">
        <v>-1.7440000000000001E-3</v>
      </c>
      <c r="E27" s="3">
        <v>0</v>
      </c>
      <c r="F27" s="3">
        <v>0</v>
      </c>
      <c r="G27" s="3">
        <v>0</v>
      </c>
      <c r="H27" s="3">
        <v>1.7068718999999999E-4</v>
      </c>
      <c r="I27" s="3">
        <v>1.2305441999999999E-4</v>
      </c>
      <c r="J27" s="3">
        <v>-4.3990875999999998E-4</v>
      </c>
      <c r="K27" s="3"/>
      <c r="L27" s="3">
        <f t="shared" si="0"/>
        <v>0.38686926605504585</v>
      </c>
      <c r="M27" s="3"/>
      <c r="N27" s="2">
        <f>IF('Modell einstellen'!$B$1="Voll",H27/0.35,H27/0.35*2)</f>
        <v>9.753553714285714E-4</v>
      </c>
      <c r="O27" s="2">
        <f>IF('Modell einstellen'!$B$1="Voll",J27/0.35,J27/0.35*2)</f>
        <v>-2.5137643428571428E-3</v>
      </c>
      <c r="P27" s="3">
        <f t="shared" si="1"/>
        <v>0.38800589013048981</v>
      </c>
      <c r="Q27" s="3"/>
      <c r="R27" s="3"/>
      <c r="S27" s="3"/>
      <c r="T27" s="3"/>
      <c r="U27" s="3"/>
    </row>
    <row r="28" spans="1:21" x14ac:dyDescent="0.25">
      <c r="A28" s="3">
        <v>10000000000</v>
      </c>
      <c r="B28" s="3">
        <v>8.3339999999999998E-4</v>
      </c>
      <c r="C28" s="3">
        <v>1.3190000000000001E-3</v>
      </c>
      <c r="D28" s="3">
        <v>-2.3410000000000002E-3</v>
      </c>
      <c r="E28" s="3">
        <v>0</v>
      </c>
      <c r="F28" s="3">
        <v>0</v>
      </c>
      <c r="G28" s="3">
        <v>0</v>
      </c>
      <c r="H28" s="3">
        <v>2.6275638E-4</v>
      </c>
      <c r="I28" s="3">
        <v>1.9931851E-4</v>
      </c>
      <c r="J28" s="3">
        <v>-6.7975323000000001E-4</v>
      </c>
      <c r="K28" s="3"/>
      <c r="L28" s="3">
        <f t="shared" si="0"/>
        <v>0.35600170867150788</v>
      </c>
      <c r="M28" s="3"/>
      <c r="N28" s="2">
        <f>IF('Modell einstellen'!$B$1="Voll",H28/0.35,H28/0.35*2)</f>
        <v>1.5014650285714286E-3</v>
      </c>
      <c r="O28" s="2">
        <f>IF('Modell einstellen'!$B$1="Voll",J28/0.35,J28/0.35*2)</f>
        <v>-3.8843041714285717E-3</v>
      </c>
      <c r="P28" s="3">
        <f t="shared" si="1"/>
        <v>0.38654671784347389</v>
      </c>
      <c r="Q28" s="3"/>
      <c r="R28" s="3"/>
      <c r="S28" s="3"/>
      <c r="T28" s="3"/>
      <c r="U28" s="3"/>
    </row>
    <row r="29" spans="1:21" x14ac:dyDescent="0.25">
      <c r="A29" s="3">
        <v>100000000000</v>
      </c>
      <c r="B29" s="3">
        <v>1.059E-3</v>
      </c>
      <c r="C29" s="3">
        <v>2.1909999999999998E-3</v>
      </c>
      <c r="D29" s="3">
        <v>-3.4229999999999998E-3</v>
      </c>
      <c r="E29" s="3">
        <v>0</v>
      </c>
      <c r="F29" s="3">
        <v>0</v>
      </c>
      <c r="G29" s="3">
        <v>0</v>
      </c>
      <c r="H29" s="3">
        <v>4.5099427999999999E-4</v>
      </c>
      <c r="I29" s="3">
        <v>3.5489464000000001E-4</v>
      </c>
      <c r="J29" s="3">
        <v>-1.1670462E-3</v>
      </c>
      <c r="K29" s="3"/>
      <c r="L29" s="3">
        <f t="shared" si="0"/>
        <v>0.30937773882559161</v>
      </c>
      <c r="M29" s="3"/>
      <c r="N29" s="2">
        <f>IF('Modell einstellen'!$B$1="Voll",H29/0.35,H29/0.35*2)</f>
        <v>2.5771101714285715E-3</v>
      </c>
      <c r="O29" s="2">
        <f>IF('Modell einstellen'!$B$1="Voll",J29/0.35,J29/0.35*2)</f>
        <v>-6.6688354285714289E-3</v>
      </c>
      <c r="P29" s="3">
        <f t="shared" si="1"/>
        <v>0.38644081099788508</v>
      </c>
      <c r="Q29" s="3"/>
      <c r="R29" s="3"/>
      <c r="S29" s="3"/>
      <c r="T29" s="3"/>
      <c r="U29" s="3"/>
    </row>
    <row r="30" spans="1:21" x14ac:dyDescent="0.25">
      <c r="A30" s="3">
        <v>1000000000000</v>
      </c>
      <c r="B30" s="3">
        <v>1.462E-3</v>
      </c>
      <c r="C30" s="3">
        <v>3.774E-3</v>
      </c>
      <c r="D30" s="3">
        <v>-5.3969999999999999E-3</v>
      </c>
      <c r="E30" s="3">
        <v>0</v>
      </c>
      <c r="F30" s="3">
        <v>0</v>
      </c>
      <c r="G30" s="3">
        <v>0</v>
      </c>
      <c r="H30" s="3">
        <v>8.0981333000000003E-4</v>
      </c>
      <c r="I30" s="3">
        <v>6.4990255000000002E-4</v>
      </c>
      <c r="J30" s="3">
        <v>-2.0864999999999998E-3</v>
      </c>
      <c r="K30" s="3"/>
      <c r="L30" s="3">
        <f t="shared" si="0"/>
        <v>0.2708912358717806</v>
      </c>
      <c r="M30" s="3"/>
      <c r="N30" s="2">
        <f>IF('Modell einstellen'!$B$1="Voll",H30/0.35,H30/0.35*2)</f>
        <v>4.6275047428571432E-3</v>
      </c>
      <c r="O30" s="2">
        <f>IF('Modell einstellen'!$B$1="Voll",J30/0.35,J30/0.35*2)</f>
        <v>-1.1922857142857143E-2</v>
      </c>
      <c r="P30" s="3">
        <f t="shared" si="1"/>
        <v>0.38812045530793199</v>
      </c>
      <c r="Q30" s="3"/>
      <c r="R30" s="3"/>
      <c r="S30" s="3"/>
      <c r="T30" s="3"/>
      <c r="U30" s="3"/>
    </row>
    <row r="31" spans="1:21" x14ac:dyDescent="0.25">
      <c r="A31" s="3">
        <v>10000000000000</v>
      </c>
      <c r="B31" s="3">
        <v>2.3189999999999999E-3</v>
      </c>
      <c r="C31" s="3">
        <v>6.4910000000000002E-3</v>
      </c>
      <c r="D31" s="3">
        <v>-8.9610000000000002E-3</v>
      </c>
      <c r="E31" s="3">
        <v>0</v>
      </c>
      <c r="F31" s="3">
        <v>0</v>
      </c>
      <c r="G31" s="3">
        <v>0</v>
      </c>
      <c r="H31" s="3">
        <v>1.4683027999999999E-3</v>
      </c>
      <c r="I31" s="3">
        <v>1.1844543E-3</v>
      </c>
      <c r="J31" s="3">
        <v>-3.7413925999999998E-3</v>
      </c>
      <c r="K31" s="3"/>
      <c r="L31" s="3">
        <f t="shared" si="0"/>
        <v>0.25878808168731166</v>
      </c>
      <c r="M31" s="3"/>
      <c r="N31" s="2">
        <f>IF('Modell einstellen'!$B$1="Voll",H31/0.35,H31/0.35*2)</f>
        <v>8.390301714285715E-3</v>
      </c>
      <c r="O31" s="2">
        <f>IF('Modell einstellen'!$B$1="Voll",J31/0.35,J31/0.35*2)</f>
        <v>-2.1379386285714286E-2</v>
      </c>
      <c r="P31" s="3">
        <f t="shared" si="1"/>
        <v>0.39244820230841321</v>
      </c>
      <c r="Q31" s="3"/>
      <c r="R31" s="3"/>
      <c r="S31" s="3"/>
      <c r="T31" s="3"/>
      <c r="U31" s="3"/>
    </row>
    <row r="32" spans="1:21" x14ac:dyDescent="0.25">
      <c r="A32" s="3">
        <v>100000000000000</v>
      </c>
      <c r="B32" s="3">
        <v>3.5100000000000001E-3</v>
      </c>
      <c r="C32" s="3">
        <v>9.1649999999999995E-3</v>
      </c>
      <c r="D32" s="3">
        <v>-1.282E-2</v>
      </c>
      <c r="E32" s="3">
        <v>0</v>
      </c>
      <c r="F32" s="3">
        <v>0</v>
      </c>
      <c r="G32" s="3">
        <v>0</v>
      </c>
      <c r="H32" s="3">
        <v>2.1488995999999999E-3</v>
      </c>
      <c r="I32" s="3">
        <v>1.7352221000000001E-3</v>
      </c>
      <c r="J32" s="3">
        <v>-5.4231942999999998E-3</v>
      </c>
      <c r="K32" s="3"/>
      <c r="L32" s="3">
        <f t="shared" si="0"/>
        <v>0.27379095163806555</v>
      </c>
      <c r="M32" s="3"/>
      <c r="N32" s="2">
        <f>IF('Modell einstellen'!$B$1="Voll",H32/0.35,H32/0.35*2)</f>
        <v>1.2279426285714285E-2</v>
      </c>
      <c r="O32" s="2">
        <f>IF('Modell einstellen'!$B$1="Voll",J32/0.35,J32/0.35*2)</f>
        <v>-3.0989681714285715E-2</v>
      </c>
      <c r="P32" s="3">
        <f t="shared" si="1"/>
        <v>0.39624241381135833</v>
      </c>
      <c r="Q32" s="3"/>
      <c r="R32" s="3"/>
      <c r="S32" s="3"/>
      <c r="T32" s="3"/>
      <c r="U32" s="3"/>
    </row>
    <row r="33" spans="1:21" x14ac:dyDescent="0.25">
      <c r="A33" s="2">
        <v>1000000000000000</v>
      </c>
      <c r="B33" s="3">
        <v>4.372E-3</v>
      </c>
      <c r="C33" s="3">
        <v>1.047E-2</v>
      </c>
      <c r="D33" s="3">
        <v>-1.498E-2</v>
      </c>
      <c r="E33" s="3">
        <v>0</v>
      </c>
      <c r="F33" s="3">
        <v>0</v>
      </c>
      <c r="G33" s="3">
        <v>0</v>
      </c>
      <c r="H33" s="3">
        <v>2.4733943E-3</v>
      </c>
      <c r="I33" s="3">
        <v>2.0055725999999999E-3</v>
      </c>
      <c r="J33" s="3">
        <v>-6.2303406999999998E-3</v>
      </c>
      <c r="K33" s="3"/>
      <c r="L33" s="3">
        <f t="shared" si="0"/>
        <v>0.29185580774365821</v>
      </c>
      <c r="M33" s="3"/>
      <c r="N33" s="2">
        <f>IF('Modell einstellen'!$B$1="Voll",H33/0.35,H33/0.35*2)</f>
        <v>1.4133681714285714E-2</v>
      </c>
      <c r="O33" s="2">
        <f>IF('Modell einstellen'!$B$1="Voll",J33/0.35,J33/0.35*2)</f>
        <v>-3.5601946857142859E-2</v>
      </c>
      <c r="P33" s="3">
        <f t="shared" si="1"/>
        <v>0.3969918210090822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9.815E-6</v>
      </c>
      <c r="C3" s="3">
        <v>1.4219999999999999E-4</v>
      </c>
      <c r="D3" s="3">
        <v>-4.258E-4</v>
      </c>
      <c r="E3" s="3">
        <v>0</v>
      </c>
      <c r="F3" s="3">
        <v>0</v>
      </c>
      <c r="G3" s="3">
        <v>0</v>
      </c>
      <c r="H3" s="3">
        <v>3.1652941999999998E-5</v>
      </c>
      <c r="I3" s="3">
        <v>1.3180135E-5</v>
      </c>
      <c r="J3" s="3">
        <v>-8.9315717000000003E-5</v>
      </c>
      <c r="K3" s="2"/>
      <c r="L3" s="3"/>
      <c r="M3" s="3"/>
      <c r="N3" s="2">
        <f>IF('Modell einstellen'!$B$1="Voll",H3/0.35,H3/0.35*2)</f>
        <v>1.8087395428571429E-4</v>
      </c>
      <c r="O3" s="2">
        <f>IF('Modell einstellen'!$B$1="Voll",J3/0.35,J3/0.35*2)</f>
        <v>-5.1037552571428578E-4</v>
      </c>
      <c r="P3" s="3">
        <f>-N3/O3</f>
        <v>0.35439386328836164</v>
      </c>
      <c r="Q3" s="3"/>
      <c r="R3" s="3"/>
      <c r="S3" s="3"/>
      <c r="T3" s="3"/>
      <c r="U3" s="3"/>
    </row>
    <row r="4" spans="1:21" x14ac:dyDescent="0.25">
      <c r="A4" s="3">
        <v>1E-14</v>
      </c>
      <c r="B4" s="3">
        <v>9.8060000000000006E-6</v>
      </c>
      <c r="C4" s="3">
        <v>1.4219999999999999E-4</v>
      </c>
      <c r="D4" s="3">
        <v>-4.258E-4</v>
      </c>
      <c r="E4" s="3">
        <v>0</v>
      </c>
      <c r="F4" s="3">
        <v>0</v>
      </c>
      <c r="G4" s="3">
        <v>0</v>
      </c>
      <c r="H4" s="3">
        <v>3.1653221000000001E-5</v>
      </c>
      <c r="I4" s="3">
        <v>1.3181014E-5</v>
      </c>
      <c r="J4" s="3">
        <v>-8.9314347999999998E-5</v>
      </c>
      <c r="K4" s="2"/>
      <c r="L4" s="3"/>
      <c r="M4" s="3"/>
      <c r="N4" s="2">
        <f>IF('Modell einstellen'!$B$1="Voll",H4/0.35,H4/0.35*2)</f>
        <v>1.8087554857142859E-4</v>
      </c>
      <c r="O4" s="2">
        <f>IF('Modell einstellen'!$B$1="Voll",J4/0.35,J4/0.35*2)</f>
        <v>-5.1036770285714289E-4</v>
      </c>
      <c r="P4" s="3">
        <f t="shared" ref="P4:P33" si="0">-N4/O4</f>
        <v>0.35440241919473009</v>
      </c>
      <c r="Q4" s="3"/>
      <c r="R4" s="3"/>
      <c r="S4" s="3"/>
      <c r="T4" s="3"/>
      <c r="U4" s="3"/>
    </row>
    <row r="5" spans="1:21" x14ac:dyDescent="0.25">
      <c r="A5" s="3">
        <v>1E-13</v>
      </c>
      <c r="B5" s="3">
        <v>9.8060000000000006E-6</v>
      </c>
      <c r="C5" s="3">
        <v>1.4219999999999999E-4</v>
      </c>
      <c r="D5" s="3">
        <v>-4.258E-4</v>
      </c>
      <c r="E5" s="3">
        <v>0</v>
      </c>
      <c r="F5" s="3">
        <v>0</v>
      </c>
      <c r="G5" s="3">
        <v>0</v>
      </c>
      <c r="H5" s="3">
        <v>3.1653772000000002E-5</v>
      </c>
      <c r="I5" s="3">
        <v>1.3181237E-5</v>
      </c>
      <c r="J5" s="3">
        <v>-8.9315401000000005E-5</v>
      </c>
      <c r="K5" s="2"/>
      <c r="L5" s="3"/>
      <c r="M5" s="3"/>
      <c r="N5" s="2">
        <f>IF('Modell einstellen'!$B$1="Voll",H5/0.35,H5/0.35*2)</f>
        <v>1.8087869714285715E-4</v>
      </c>
      <c r="O5" s="2">
        <f>IF('Modell einstellen'!$B$1="Voll",J5/0.35,J5/0.35*2)</f>
        <v>-5.1037372000000011E-4</v>
      </c>
      <c r="P5" s="3">
        <f t="shared" si="0"/>
        <v>0.35440441005241635</v>
      </c>
      <c r="Q5" s="3"/>
      <c r="R5" s="3"/>
      <c r="S5" s="3"/>
      <c r="T5" s="3"/>
      <c r="U5" s="3"/>
    </row>
    <row r="6" spans="1:21" x14ac:dyDescent="0.25">
      <c r="A6" s="3">
        <v>9.9999999999999998E-13</v>
      </c>
      <c r="B6" s="3">
        <v>9.7890000000000006E-6</v>
      </c>
      <c r="C6" s="3">
        <v>1.4219999999999999E-4</v>
      </c>
      <c r="D6" s="3">
        <v>-4.258E-4</v>
      </c>
      <c r="E6" s="3">
        <v>0</v>
      </c>
      <c r="F6" s="3">
        <v>0</v>
      </c>
      <c r="G6" s="3">
        <v>0</v>
      </c>
      <c r="H6" s="3">
        <v>3.1657552999999998E-5</v>
      </c>
      <c r="I6" s="3">
        <v>1.3181976E-5</v>
      </c>
      <c r="J6" s="3">
        <v>-8.9321379999999994E-5</v>
      </c>
      <c r="K6" s="2"/>
      <c r="L6" s="3"/>
      <c r="M6" s="3"/>
      <c r="N6" s="2">
        <f>IF('Modell einstellen'!$B$1="Voll",H6/0.35,H6/0.35*2)</f>
        <v>1.8090030285714285E-4</v>
      </c>
      <c r="O6" s="2">
        <f>IF('Modell einstellen'!$B$1="Voll",J6/0.35,J6/0.35*2)</f>
        <v>-5.1040788571428571E-4</v>
      </c>
      <c r="P6" s="3">
        <f t="shared" si="0"/>
        <v>0.35442301719924163</v>
      </c>
      <c r="Q6" s="3"/>
      <c r="R6" s="3"/>
      <c r="S6" s="3"/>
      <c r="T6" s="3"/>
      <c r="U6" s="3"/>
    </row>
    <row r="7" spans="1:21" x14ac:dyDescent="0.25">
      <c r="A7" s="3">
        <v>9.9999999999999994E-12</v>
      </c>
      <c r="B7" s="3">
        <v>9.6150000000000003E-6</v>
      </c>
      <c r="C7" s="3">
        <v>1.4229999999999999E-4</v>
      </c>
      <c r="D7" s="3">
        <v>-4.258E-4</v>
      </c>
      <c r="E7" s="3">
        <v>0</v>
      </c>
      <c r="F7" s="3">
        <v>0</v>
      </c>
      <c r="G7" s="3">
        <v>0</v>
      </c>
      <c r="H7" s="3">
        <v>3.1694277999999999E-5</v>
      </c>
      <c r="I7" s="3">
        <v>1.3188841E-5</v>
      </c>
      <c r="J7" s="3">
        <v>-8.9378961000000006E-5</v>
      </c>
      <c r="K7" s="2"/>
      <c r="L7" s="3"/>
      <c r="M7" s="3"/>
      <c r="N7" s="2">
        <f>IF('Modell einstellen'!$B$1="Voll",H7/0.35,H7/0.35*2)</f>
        <v>1.8111016000000002E-4</v>
      </c>
      <c r="O7" s="2">
        <f>IF('Modell einstellen'!$B$1="Voll",J7/0.35,J7/0.35*2)</f>
        <v>-5.1073692000000003E-4</v>
      </c>
      <c r="P7" s="3">
        <f t="shared" si="0"/>
        <v>0.35460557658529956</v>
      </c>
      <c r="Q7" s="3"/>
      <c r="R7" s="3"/>
      <c r="S7" s="3"/>
      <c r="T7" s="3"/>
      <c r="U7" s="3"/>
    </row>
    <row r="8" spans="1:21" x14ac:dyDescent="0.25">
      <c r="A8" s="3">
        <v>1E-10</v>
      </c>
      <c r="B8" s="3">
        <v>8.1470000000000001E-6</v>
      </c>
      <c r="C8" s="3">
        <v>1.429E-4</v>
      </c>
      <c r="D8" s="3">
        <v>-4.2569999999999999E-4</v>
      </c>
      <c r="E8" s="3">
        <v>0</v>
      </c>
      <c r="F8" s="3">
        <v>0</v>
      </c>
      <c r="G8" s="3">
        <v>0</v>
      </c>
      <c r="H8" s="3">
        <v>3.2003678E-5</v>
      </c>
      <c r="I8" s="3">
        <v>1.3246435999999999E-5</v>
      </c>
      <c r="J8" s="3">
        <v>-8.986334E-5</v>
      </c>
      <c r="K8" s="2"/>
      <c r="L8" s="3"/>
      <c r="M8" s="3"/>
      <c r="N8" s="2">
        <f>IF('Modell einstellen'!$B$1="Voll",H8/0.35,H8/0.35*2)</f>
        <v>1.8287816000000002E-4</v>
      </c>
      <c r="O8" s="2">
        <f>IF('Modell einstellen'!$B$1="Voll",J8/0.35,J8/0.35*2)</f>
        <v>-5.1350480000000008E-4</v>
      </c>
      <c r="P8" s="3">
        <f t="shared" si="0"/>
        <v>0.35613719677011779</v>
      </c>
      <c r="Q8" s="3"/>
      <c r="R8" s="3"/>
      <c r="S8" s="3"/>
      <c r="T8" s="3"/>
      <c r="U8" s="3"/>
    </row>
    <row r="9" spans="1:21" x14ac:dyDescent="0.25">
      <c r="A9" s="3">
        <v>1.0000000000000001E-9</v>
      </c>
      <c r="B9" s="3">
        <v>3.6550000000000002E-6</v>
      </c>
      <c r="C9" s="3">
        <v>1.4459999999999999E-4</v>
      </c>
      <c r="D9" s="3">
        <v>-4.2509999999999998E-4</v>
      </c>
      <c r="E9" s="3">
        <v>0</v>
      </c>
      <c r="F9" s="3">
        <v>0</v>
      </c>
      <c r="G9" s="3">
        <v>0</v>
      </c>
      <c r="H9" s="3">
        <v>3.2933245999999998E-5</v>
      </c>
      <c r="I9" s="3">
        <v>1.3417502E-5</v>
      </c>
      <c r="J9" s="3">
        <v>-9.1309432999999994E-5</v>
      </c>
      <c r="K9" s="2"/>
      <c r="L9" s="3"/>
      <c r="M9" s="3"/>
      <c r="N9" s="2">
        <f>IF('Modell einstellen'!$B$1="Voll",H9/0.35,H9/0.35*2)</f>
        <v>1.8818997714285714E-4</v>
      </c>
      <c r="O9" s="2">
        <f>IF('Modell einstellen'!$B$1="Voll",J9/0.35,J9/0.35*2)</f>
        <v>-5.2176818857142858E-4</v>
      </c>
      <c r="P9" s="3">
        <f t="shared" si="0"/>
        <v>0.36067736835032149</v>
      </c>
      <c r="Q9" s="3"/>
      <c r="R9" s="3"/>
      <c r="S9" s="3"/>
      <c r="T9" s="3"/>
      <c r="U9" s="3"/>
    </row>
    <row r="10" spans="1:21" x14ac:dyDescent="0.25">
      <c r="A10" s="3">
        <v>1E-8</v>
      </c>
      <c r="B10" s="3">
        <v>-1.4619999999999999E-6</v>
      </c>
      <c r="C10" s="3">
        <v>1.4650000000000001E-4</v>
      </c>
      <c r="D10" s="3">
        <v>-4.2420000000000001E-4</v>
      </c>
      <c r="E10" s="3">
        <v>0</v>
      </c>
      <c r="F10" s="3">
        <v>0</v>
      </c>
      <c r="G10" s="3">
        <v>0</v>
      </c>
      <c r="H10" s="3">
        <v>3.3966993000000003E-5</v>
      </c>
      <c r="I10" s="3">
        <v>1.3607483999999999E-5</v>
      </c>
      <c r="J10" s="3">
        <v>-9.2905826999999995E-5</v>
      </c>
      <c r="K10" s="2"/>
      <c r="L10" s="3"/>
      <c r="M10" s="3"/>
      <c r="N10" s="2">
        <f>IF('Modell einstellen'!$B$1="Voll",H10/0.35,H10/0.35*2)</f>
        <v>1.940971028571429E-4</v>
      </c>
      <c r="O10" s="2">
        <f>IF('Modell einstellen'!$B$1="Voll",J10/0.35,J10/0.35*2)</f>
        <v>-5.3089043999999998E-4</v>
      </c>
      <c r="P10" s="3">
        <f t="shared" si="0"/>
        <v>0.3656067019348529</v>
      </c>
      <c r="Q10" s="3"/>
      <c r="R10" s="3"/>
      <c r="S10" s="3"/>
      <c r="T10" s="3"/>
      <c r="U10" s="3"/>
    </row>
    <row r="11" spans="1:21" x14ac:dyDescent="0.25">
      <c r="A11" s="3">
        <v>9.9999999999999995E-8</v>
      </c>
      <c r="B11" s="3">
        <v>-7.9859999999999994E-6</v>
      </c>
      <c r="C11" s="3">
        <v>1.4880000000000001E-4</v>
      </c>
      <c r="D11" s="3">
        <v>-4.2269999999999997E-4</v>
      </c>
      <c r="E11" s="3">
        <v>0</v>
      </c>
      <c r="F11" s="3">
        <v>0</v>
      </c>
      <c r="G11" s="3">
        <v>0</v>
      </c>
      <c r="H11" s="3">
        <v>3.5224342999999998E-5</v>
      </c>
      <c r="I11" s="3">
        <v>1.3831321E-5</v>
      </c>
      <c r="J11" s="3">
        <v>-9.4823137000000005E-5</v>
      </c>
      <c r="K11" s="2"/>
      <c r="L11" s="3"/>
      <c r="M11" s="3"/>
      <c r="N11" s="2">
        <f>IF('Modell einstellen'!$B$1="Voll",H11/0.35,H11/0.35*2)</f>
        <v>2.0128196E-4</v>
      </c>
      <c r="O11" s="2">
        <f>IF('Modell einstellen'!$B$1="Voll",J11/0.35,J11/0.35*2)</f>
        <v>-5.4184649714285717E-4</v>
      </c>
      <c r="P11" s="3">
        <f t="shared" si="0"/>
        <v>0.37147413716127109</v>
      </c>
      <c r="Q11" s="3"/>
      <c r="R11" s="3"/>
      <c r="S11" s="3"/>
      <c r="T11" s="3"/>
      <c r="U11" s="3"/>
    </row>
    <row r="12" spans="1:21" x14ac:dyDescent="0.25">
      <c r="A12" s="3">
        <v>9.9999999999999995E-7</v>
      </c>
      <c r="B12" s="3">
        <v>-1.643E-5</v>
      </c>
      <c r="C12" s="3">
        <v>1.5239999999999999E-4</v>
      </c>
      <c r="D12" s="3">
        <v>-4.2099999999999999E-4</v>
      </c>
      <c r="E12" s="3">
        <v>0</v>
      </c>
      <c r="F12" s="3">
        <v>0</v>
      </c>
      <c r="G12" s="3">
        <v>0</v>
      </c>
      <c r="H12" s="3">
        <v>3.6837091000000002E-5</v>
      </c>
      <c r="I12" s="3">
        <v>1.4144876999999999E-5</v>
      </c>
      <c r="J12" s="3">
        <v>-9.7308816999999999E-5</v>
      </c>
      <c r="K12" s="2"/>
      <c r="L12" s="3"/>
      <c r="M12" s="3"/>
      <c r="N12" s="2">
        <f>IF('Modell einstellen'!$B$1="Voll",H12/0.35,H12/0.35*2)</f>
        <v>2.1049766285714287E-4</v>
      </c>
      <c r="O12" s="2">
        <f>IF('Modell einstellen'!$B$1="Voll",J12/0.35,J12/0.35*2)</f>
        <v>-5.560503828571429E-4</v>
      </c>
      <c r="P12" s="3">
        <f t="shared" si="0"/>
        <v>0.37855861509445748</v>
      </c>
      <c r="Q12" s="3"/>
      <c r="R12" s="3"/>
      <c r="S12" s="3"/>
      <c r="T12" s="3"/>
      <c r="U12" s="3"/>
    </row>
    <row r="13" spans="1:21" x14ac:dyDescent="0.25">
      <c r="A13" s="3">
        <v>1.0000000000000001E-5</v>
      </c>
      <c r="B13" s="3">
        <v>-2.6769999999999999E-5</v>
      </c>
      <c r="C13" s="3">
        <v>1.548E-4</v>
      </c>
      <c r="D13" s="3">
        <v>-4.1649999999999999E-4</v>
      </c>
      <c r="E13" s="3">
        <v>0</v>
      </c>
      <c r="F13" s="3">
        <v>0</v>
      </c>
      <c r="G13" s="3">
        <v>0</v>
      </c>
      <c r="H13" s="3">
        <v>3.8559917000000003E-5</v>
      </c>
      <c r="I13" s="3">
        <v>1.4399725E-5</v>
      </c>
      <c r="J13" s="3">
        <v>-9.9806980999999996E-5</v>
      </c>
      <c r="K13" s="2"/>
      <c r="L13" s="3"/>
      <c r="M13" s="3"/>
      <c r="N13" s="2">
        <f>IF('Modell einstellen'!$B$1="Voll",H13/0.35,H13/0.35*2)</f>
        <v>2.2034238285714288E-4</v>
      </c>
      <c r="O13" s="2">
        <f>IF('Modell einstellen'!$B$1="Voll",J13/0.35,J13/0.35*2)</f>
        <v>-5.7032560571428569E-4</v>
      </c>
      <c r="P13" s="3">
        <f t="shared" si="0"/>
        <v>0.38634488904137881</v>
      </c>
      <c r="Q13" s="3"/>
      <c r="R13" s="3"/>
      <c r="S13" s="3"/>
      <c r="T13" s="3"/>
      <c r="U13" s="3"/>
    </row>
    <row r="14" spans="1:21" x14ac:dyDescent="0.25">
      <c r="A14" s="3">
        <v>1E-4</v>
      </c>
      <c r="B14" s="3">
        <v>-4.1480000000000003E-5</v>
      </c>
      <c r="C14" s="3">
        <v>1.594E-4</v>
      </c>
      <c r="D14" s="3">
        <v>-4.1070000000000001E-4</v>
      </c>
      <c r="E14" s="3">
        <v>0</v>
      </c>
      <c r="F14" s="3">
        <v>0</v>
      </c>
      <c r="G14" s="3">
        <v>0</v>
      </c>
      <c r="H14" s="3">
        <v>4.0987532000000001E-5</v>
      </c>
      <c r="I14" s="3">
        <v>1.4807876E-5</v>
      </c>
      <c r="J14" s="3">
        <v>-1.0338152E-4</v>
      </c>
      <c r="K14" s="2"/>
      <c r="L14" s="3"/>
      <c r="M14" s="3"/>
      <c r="N14" s="2">
        <f>IF('Modell einstellen'!$B$1="Voll",H14/0.35,H14/0.35*2)</f>
        <v>2.342144685714286E-4</v>
      </c>
      <c r="O14" s="2">
        <f>IF('Modell einstellen'!$B$1="Voll",J14/0.35,J14/0.35*2)</f>
        <v>-5.9075154285714285E-4</v>
      </c>
      <c r="P14" s="3">
        <f t="shared" si="0"/>
        <v>0.39646865319836666</v>
      </c>
      <c r="Q14" s="3"/>
      <c r="R14" s="3"/>
      <c r="S14" s="3"/>
      <c r="T14" s="3"/>
      <c r="U14" s="3"/>
    </row>
    <row r="15" spans="1:21" x14ac:dyDescent="0.25">
      <c r="A15" s="3">
        <v>1E-3</v>
      </c>
      <c r="B15" s="3">
        <v>-6.1130000000000006E-5</v>
      </c>
      <c r="C15" s="3">
        <v>1.638E-4</v>
      </c>
      <c r="D15" s="3">
        <v>-4.0030000000000003E-4</v>
      </c>
      <c r="E15" s="3">
        <v>0</v>
      </c>
      <c r="F15" s="3">
        <v>0</v>
      </c>
      <c r="G15" s="3">
        <v>0</v>
      </c>
      <c r="H15" s="3">
        <v>4.3931526000000002E-5</v>
      </c>
      <c r="I15" s="3">
        <v>1.5227194000000001E-5</v>
      </c>
      <c r="J15" s="3">
        <v>-1.0753779E-4</v>
      </c>
      <c r="K15" s="2"/>
      <c r="L15" s="3"/>
      <c r="M15" s="3"/>
      <c r="N15" s="2">
        <f>IF('Modell einstellen'!$B$1="Voll",H15/0.35,H15/0.35*2)</f>
        <v>2.5103729142857145E-4</v>
      </c>
      <c r="O15" s="2">
        <f>IF('Modell einstellen'!$B$1="Voll",J15/0.35,J15/0.35*2)</f>
        <v>-6.1450165714285721E-4</v>
      </c>
      <c r="P15" s="3">
        <f t="shared" si="0"/>
        <v>0.40852174849418049</v>
      </c>
      <c r="Q15" s="3"/>
      <c r="R15" s="3"/>
      <c r="S15" s="3"/>
      <c r="T15" s="3"/>
      <c r="U15" s="3"/>
    </row>
    <row r="16" spans="1:21" x14ac:dyDescent="0.25">
      <c r="A16" s="3">
        <v>0.01</v>
      </c>
      <c r="B16" s="3">
        <v>-8.4530000000000006E-5</v>
      </c>
      <c r="C16" s="3">
        <v>1.683E-4</v>
      </c>
      <c r="D16" s="3">
        <v>-3.8620000000000001E-4</v>
      </c>
      <c r="E16" s="3">
        <v>0</v>
      </c>
      <c r="F16" s="3">
        <v>0</v>
      </c>
      <c r="G16" s="3">
        <v>0</v>
      </c>
      <c r="H16" s="3">
        <v>4.7196700000000002E-5</v>
      </c>
      <c r="I16" s="3">
        <v>1.5647878E-5</v>
      </c>
      <c r="J16" s="3">
        <v>-1.1201673E-4</v>
      </c>
      <c r="K16" s="2"/>
      <c r="L16" s="3"/>
      <c r="M16" s="3"/>
      <c r="N16" s="2">
        <f>IF('Modell einstellen'!$B$1="Voll",H16/0.35,H16/0.35*2)</f>
        <v>2.6969542857142859E-4</v>
      </c>
      <c r="O16" s="2">
        <f>IF('Modell einstellen'!$B$1="Voll",J16/0.35,J16/0.35*2)</f>
        <v>-6.4009560000000002E-4</v>
      </c>
      <c r="P16" s="3">
        <f t="shared" si="0"/>
        <v>0.42133617005245555</v>
      </c>
      <c r="Q16" s="3"/>
      <c r="R16" s="3"/>
      <c r="S16" s="3"/>
      <c r="T16" s="3"/>
      <c r="U16" s="3"/>
    </row>
    <row r="17" spans="1:21" x14ac:dyDescent="0.25">
      <c r="A17" s="3">
        <v>0.1</v>
      </c>
      <c r="B17" s="3">
        <v>-1.1510000000000001E-4</v>
      </c>
      <c r="C17" s="3">
        <v>1.7330000000000001E-4</v>
      </c>
      <c r="D17" s="3">
        <v>-3.6600000000000001E-4</v>
      </c>
      <c r="E17" s="3">
        <v>0</v>
      </c>
      <c r="F17" s="3">
        <v>0</v>
      </c>
      <c r="G17" s="3">
        <v>0</v>
      </c>
      <c r="H17" s="3">
        <v>5.1226999E-5</v>
      </c>
      <c r="I17" s="3">
        <v>1.6126944999999999E-5</v>
      </c>
      <c r="J17" s="3">
        <v>-1.1741195E-4</v>
      </c>
      <c r="K17" s="2"/>
      <c r="L17" s="3"/>
      <c r="M17" s="3"/>
      <c r="N17" s="2">
        <f>IF('Modell einstellen'!$B$1="Voll",H17/0.35,H17/0.35*2)</f>
        <v>2.9272570857142861E-4</v>
      </c>
      <c r="O17" s="2">
        <f>IF('Modell einstellen'!$B$1="Voll",J17/0.35,J17/0.35*2)</f>
        <v>-6.7092542857142862E-4</v>
      </c>
      <c r="P17" s="3">
        <f t="shared" si="0"/>
        <v>0.43630140713956289</v>
      </c>
      <c r="Q17" s="3"/>
      <c r="R17" s="3"/>
      <c r="S17" s="3"/>
      <c r="T17" s="3"/>
      <c r="U17" s="3"/>
    </row>
    <row r="18" spans="1:21" x14ac:dyDescent="0.25">
      <c r="A18" s="3">
        <v>1</v>
      </c>
      <c r="B18" s="3">
        <v>-1.5249999999999999E-4</v>
      </c>
      <c r="C18" s="3">
        <v>1.797E-4</v>
      </c>
      <c r="D18" s="3">
        <v>-3.4029999999999998E-4</v>
      </c>
      <c r="E18" s="3">
        <v>0</v>
      </c>
      <c r="F18" s="3">
        <v>0</v>
      </c>
      <c r="G18" s="3">
        <v>0</v>
      </c>
      <c r="H18" s="3">
        <v>5.6306510999999997E-5</v>
      </c>
      <c r="I18" s="3">
        <v>1.6805689000000001E-5</v>
      </c>
      <c r="J18" s="3">
        <v>-1.2424822E-4</v>
      </c>
      <c r="K18" s="2"/>
      <c r="L18" s="3"/>
      <c r="M18" s="3"/>
      <c r="N18" s="2">
        <f>IF('Modell einstellen'!$B$1="Voll",H18/0.35,H18/0.35*2)</f>
        <v>3.2175149142857145E-4</v>
      </c>
      <c r="O18" s="2">
        <f>IF('Modell einstellen'!$B$1="Voll",J18/0.35,J18/0.35*2)</f>
        <v>-7.0998982857142855E-4</v>
      </c>
      <c r="P18" s="3">
        <f t="shared" si="0"/>
        <v>0.45317760689046493</v>
      </c>
      <c r="Q18" s="3"/>
      <c r="R18" s="3"/>
      <c r="S18" s="3"/>
      <c r="T18" s="3"/>
      <c r="U18" s="3"/>
    </row>
    <row r="19" spans="1:21" x14ac:dyDescent="0.25">
      <c r="A19" s="3">
        <v>10</v>
      </c>
      <c r="B19" s="3">
        <v>-1.9100000000000001E-4</v>
      </c>
      <c r="C19" s="3">
        <v>1.962E-4</v>
      </c>
      <c r="D19" s="3">
        <v>-3.2180000000000002E-4</v>
      </c>
      <c r="E19" s="3">
        <v>0</v>
      </c>
      <c r="F19" s="3">
        <v>0</v>
      </c>
      <c r="G19" s="3">
        <v>0</v>
      </c>
      <c r="H19" s="3">
        <v>6.5207122999999997E-5</v>
      </c>
      <c r="I19" s="3">
        <v>1.9079733999999999E-5</v>
      </c>
      <c r="J19" s="3">
        <v>-1.3792549E-4</v>
      </c>
      <c r="K19" s="2"/>
      <c r="L19" s="3"/>
      <c r="M19" s="3"/>
      <c r="N19" s="2">
        <f>IF('Modell einstellen'!$B$1="Voll",H19/0.35,H19/0.35*2)</f>
        <v>3.7261213142857145E-4</v>
      </c>
      <c r="O19" s="2">
        <f>IF('Modell einstellen'!$B$1="Voll",J19/0.35,J19/0.35*2)</f>
        <v>-7.8814565714285714E-4</v>
      </c>
      <c r="P19" s="3">
        <f t="shared" si="0"/>
        <v>0.47277064594804052</v>
      </c>
      <c r="Q19" s="3"/>
      <c r="R19" s="3"/>
      <c r="S19" s="3"/>
      <c r="T19" s="3"/>
      <c r="U19" s="3"/>
    </row>
    <row r="20" spans="1:21" x14ac:dyDescent="0.25">
      <c r="A20" s="3">
        <v>100</v>
      </c>
      <c r="B20" s="3">
        <v>-1.8330000000000001E-4</v>
      </c>
      <c r="C20" s="3">
        <v>2.4369999999999999E-4</v>
      </c>
      <c r="D20" s="3">
        <v>-3.6989999999999999E-4</v>
      </c>
      <c r="E20" s="3">
        <v>0</v>
      </c>
      <c r="F20" s="3">
        <v>0</v>
      </c>
      <c r="G20" s="3">
        <v>0</v>
      </c>
      <c r="H20" s="3">
        <v>8.3454366000000006E-5</v>
      </c>
      <c r="I20" s="3">
        <v>2.7358458000000001E-5</v>
      </c>
      <c r="J20" s="3">
        <v>-1.7207672000000001E-4</v>
      </c>
      <c r="K20" s="2"/>
      <c r="L20" s="3"/>
      <c r="M20" s="3"/>
      <c r="N20" s="2">
        <f>IF('Modell einstellen'!$B$1="Voll",H20/0.35,H20/0.35*2)</f>
        <v>4.7688209142857151E-4</v>
      </c>
      <c r="O20" s="2">
        <f>IF('Modell einstellen'!$B$1="Voll",J20/0.35,J20/0.35*2)</f>
        <v>-9.8329554285714305E-4</v>
      </c>
      <c r="P20" s="3">
        <f t="shared" si="0"/>
        <v>0.48498347713740708</v>
      </c>
      <c r="Q20" s="3"/>
      <c r="R20" s="3"/>
      <c r="S20" s="3"/>
      <c r="T20" s="3"/>
      <c r="U20" s="3"/>
    </row>
    <row r="21" spans="1:21" x14ac:dyDescent="0.25">
      <c r="A21" s="3">
        <v>1000</v>
      </c>
      <c r="B21" s="3">
        <v>-1.2870000000000001E-4</v>
      </c>
      <c r="C21" s="3">
        <v>3.3950000000000001E-4</v>
      </c>
      <c r="D21" s="3">
        <v>-5.0409999999999995E-4</v>
      </c>
      <c r="E21" s="3">
        <v>0</v>
      </c>
      <c r="F21" s="3">
        <v>0</v>
      </c>
      <c r="G21" s="3">
        <v>0</v>
      </c>
      <c r="H21" s="3">
        <v>1.1632172E-4</v>
      </c>
      <c r="I21" s="3">
        <v>4.5574551000000002E-5</v>
      </c>
      <c r="J21" s="3">
        <v>-2.3971225E-4</v>
      </c>
      <c r="K21" s="2"/>
      <c r="L21" s="3"/>
      <c r="M21" s="3"/>
      <c r="N21" s="2">
        <f>IF('Modell einstellen'!$B$1="Voll",H21/0.35,H21/0.35*2)</f>
        <v>6.646955428571429E-4</v>
      </c>
      <c r="O21" s="2">
        <f>IF('Modell einstellen'!$B$1="Voll",J21/0.35,J21/0.35*2)</f>
        <v>-1.3697842857142858E-3</v>
      </c>
      <c r="P21" s="3">
        <f t="shared" si="0"/>
        <v>0.48525563462025828</v>
      </c>
      <c r="Q21" s="3"/>
      <c r="R21" s="3"/>
      <c r="S21" s="3"/>
      <c r="T21" s="3"/>
      <c r="U21" s="3"/>
    </row>
    <row r="22" spans="1:21" x14ac:dyDescent="0.25">
      <c r="A22" s="3">
        <v>10000</v>
      </c>
      <c r="B22" s="3">
        <v>-1.0450000000000001E-4</v>
      </c>
      <c r="C22" s="3">
        <v>5.1139999999999996E-4</v>
      </c>
      <c r="D22" s="3">
        <v>-6.8320000000000002E-4</v>
      </c>
      <c r="E22" s="3">
        <v>0</v>
      </c>
      <c r="F22" s="3">
        <v>0</v>
      </c>
      <c r="G22" s="3">
        <v>0</v>
      </c>
      <c r="H22" s="3">
        <v>1.7684100000000001E-4</v>
      </c>
      <c r="I22" s="3">
        <v>7.9905722000000003E-5</v>
      </c>
      <c r="J22" s="3">
        <v>-3.6632057E-4</v>
      </c>
      <c r="K22" s="2"/>
      <c r="L22" s="3"/>
      <c r="M22" s="3"/>
      <c r="N22" s="2">
        <f>IF('Modell einstellen'!$B$1="Voll",H22/0.35,H22/0.35*2)</f>
        <v>1.0105200000000002E-3</v>
      </c>
      <c r="O22" s="2">
        <f>IF('Modell einstellen'!$B$1="Voll",J22/0.35,J22/0.35*2)</f>
        <v>-2.0932604000000001E-3</v>
      </c>
      <c r="P22" s="3">
        <f t="shared" si="0"/>
        <v>0.48274930343114508</v>
      </c>
      <c r="Q22" s="3"/>
      <c r="R22" s="3"/>
      <c r="S22" s="3"/>
      <c r="T22" s="3"/>
      <c r="U22" s="3"/>
    </row>
    <row r="23" spans="1:21" x14ac:dyDescent="0.25">
      <c r="A23" s="3">
        <v>100000</v>
      </c>
      <c r="B23" s="3">
        <v>-2.195E-4</v>
      </c>
      <c r="C23" s="3">
        <v>8.6390000000000002E-4</v>
      </c>
      <c r="D23" s="3">
        <v>-9.0140000000000001E-4</v>
      </c>
      <c r="E23" s="3">
        <v>0</v>
      </c>
      <c r="F23" s="3">
        <v>0</v>
      </c>
      <c r="G23" s="3">
        <v>0</v>
      </c>
      <c r="H23" s="3">
        <v>2.9911602000000002E-4</v>
      </c>
      <c r="I23" s="3">
        <v>1.5278574999999999E-4</v>
      </c>
      <c r="J23" s="3">
        <v>-6.2907773000000003E-4</v>
      </c>
      <c r="K23" s="2"/>
      <c r="L23" s="3"/>
      <c r="M23" s="3"/>
      <c r="N23" s="2">
        <f>IF('Modell einstellen'!$B$1="Voll",H23/0.35,H23/0.35*2)</f>
        <v>1.7092344000000002E-3</v>
      </c>
      <c r="O23" s="2">
        <f>IF('Modell einstellen'!$B$1="Voll",J23/0.35,J23/0.35*2)</f>
        <v>-3.5947298857142863E-3</v>
      </c>
      <c r="P23" s="3">
        <f t="shared" si="0"/>
        <v>0.47548340329898497</v>
      </c>
      <c r="Q23" s="3"/>
      <c r="R23" s="3"/>
      <c r="S23" s="3"/>
      <c r="T23" s="3"/>
      <c r="U23" s="3"/>
    </row>
    <row r="24" spans="1:21" x14ac:dyDescent="0.25">
      <c r="A24" s="3">
        <v>1000000</v>
      </c>
      <c r="B24" s="3">
        <v>-5.4109999999999998E-4</v>
      </c>
      <c r="C24" s="3">
        <v>1.621E-3</v>
      </c>
      <c r="D24" s="3">
        <v>-1.312E-3</v>
      </c>
      <c r="E24" s="3">
        <v>0</v>
      </c>
      <c r="F24" s="3">
        <v>0</v>
      </c>
      <c r="G24" s="3">
        <v>0</v>
      </c>
      <c r="H24" s="3">
        <v>5.4113543999999996E-4</v>
      </c>
      <c r="I24" s="3">
        <v>3.1056739E-4</v>
      </c>
      <c r="J24" s="3">
        <v>-1.1734592E-3</v>
      </c>
      <c r="K24" s="2"/>
      <c r="L24" s="3"/>
      <c r="M24" s="3"/>
      <c r="N24" s="2">
        <f>IF('Modell einstellen'!$B$1="Voll",H24/0.35,H24/0.35*2)</f>
        <v>3.0922025142857143E-3</v>
      </c>
      <c r="O24" s="2">
        <f>IF('Modell einstellen'!$B$1="Voll",J24/0.35,J24/0.35*2)</f>
        <v>-6.7054811428571438E-3</v>
      </c>
      <c r="P24" s="3">
        <f t="shared" si="0"/>
        <v>0.46114550893631406</v>
      </c>
      <c r="Q24" s="3"/>
      <c r="R24" s="3"/>
      <c r="S24" s="3"/>
      <c r="T24" s="3"/>
      <c r="U24" s="3"/>
    </row>
    <row r="25" spans="1:21" x14ac:dyDescent="0.25">
      <c r="A25" s="3">
        <v>10000000</v>
      </c>
      <c r="B25" s="3">
        <v>-9.7570000000000003E-4</v>
      </c>
      <c r="C25" s="3">
        <v>3.124E-3</v>
      </c>
      <c r="D25" s="3">
        <v>-2.356E-3</v>
      </c>
      <c r="E25" s="3">
        <v>0</v>
      </c>
      <c r="F25" s="3">
        <v>0</v>
      </c>
      <c r="G25" s="3">
        <v>0</v>
      </c>
      <c r="H25" s="3">
        <v>9.9570147999999991E-4</v>
      </c>
      <c r="I25" s="3">
        <v>6.2772071999999996E-4</v>
      </c>
      <c r="J25" s="3">
        <v>-2.2287062000000001E-3</v>
      </c>
      <c r="K25" s="2"/>
      <c r="L25" s="3"/>
      <c r="M25" s="3"/>
      <c r="N25" s="2">
        <f>IF('Modell einstellen'!$B$1="Voll",H25/0.35,H25/0.35*2)</f>
        <v>5.6897227428571425E-3</v>
      </c>
      <c r="O25" s="2">
        <f>IF('Modell einstellen'!$B$1="Voll",J25/0.35,J25/0.35*2)</f>
        <v>-1.2735464000000002E-2</v>
      </c>
      <c r="P25" s="3">
        <f t="shared" si="0"/>
        <v>0.4467621079889309</v>
      </c>
      <c r="Q25" s="3"/>
      <c r="R25" s="3"/>
      <c r="S25" s="3"/>
      <c r="T25" s="3"/>
      <c r="U25" s="3"/>
    </row>
    <row r="26" spans="1:21" x14ac:dyDescent="0.25">
      <c r="A26" s="3">
        <v>100000000</v>
      </c>
      <c r="B26" s="3">
        <v>-1.0510000000000001E-3</v>
      </c>
      <c r="C26" s="3">
        <v>5.6959999999999997E-3</v>
      </c>
      <c r="D26" s="3">
        <v>-4.8339999999999998E-3</v>
      </c>
      <c r="E26" s="3">
        <v>0</v>
      </c>
      <c r="F26" s="3">
        <v>0</v>
      </c>
      <c r="G26" s="3">
        <v>0</v>
      </c>
      <c r="H26" s="3">
        <v>1.7423353999999999E-3</v>
      </c>
      <c r="I26" s="3">
        <v>1.1784457E-3</v>
      </c>
      <c r="J26" s="3">
        <v>-3.9970075999999997E-3</v>
      </c>
      <c r="K26" s="2"/>
      <c r="L26" s="3"/>
      <c r="M26" s="3"/>
      <c r="N26" s="2">
        <f>IF('Modell einstellen'!$B$1="Voll",H26/0.35,H26/0.35*2)</f>
        <v>9.9562022857142864E-3</v>
      </c>
      <c r="O26" s="2">
        <f>IF('Modell einstellen'!$B$1="Voll",J26/0.35,J26/0.35*2)</f>
        <v>-2.2840043428571429E-2</v>
      </c>
      <c r="P26" s="3">
        <f t="shared" si="0"/>
        <v>0.43590995423676454</v>
      </c>
      <c r="Q26" s="3"/>
      <c r="R26" s="3"/>
      <c r="S26" s="3"/>
      <c r="T26" s="3"/>
      <c r="U26" s="3"/>
    </row>
    <row r="27" spans="1:21" x14ac:dyDescent="0.25">
      <c r="A27" s="3">
        <v>1000000000</v>
      </c>
      <c r="B27" s="3">
        <v>3.1070000000000002E-4</v>
      </c>
      <c r="C27" s="3">
        <v>7.9909999999999998E-3</v>
      </c>
      <c r="D27" s="3">
        <v>-8.4729999999999996E-3</v>
      </c>
      <c r="E27" s="3">
        <v>0</v>
      </c>
      <c r="F27" s="3">
        <v>0</v>
      </c>
      <c r="G27" s="3">
        <v>0</v>
      </c>
      <c r="H27" s="3">
        <v>2.2717483000000002E-3</v>
      </c>
      <c r="I27" s="3">
        <v>1.6430052E-3</v>
      </c>
      <c r="J27" s="3">
        <v>-5.3711554999999996E-3</v>
      </c>
      <c r="K27" s="2"/>
      <c r="L27" s="3"/>
      <c r="M27" s="3"/>
      <c r="N27" s="2">
        <f>IF('Modell einstellen'!$B$1="Voll",H27/0.35,H27/0.35*2)</f>
        <v>1.2981418857142858E-2</v>
      </c>
      <c r="O27" s="2">
        <f>IF('Modell einstellen'!$B$1="Voll",J27/0.35,J27/0.35*2)</f>
        <v>-3.0692317142857143E-2</v>
      </c>
      <c r="P27" s="3">
        <f t="shared" si="0"/>
        <v>0.42295336636595238</v>
      </c>
      <c r="Q27" s="3"/>
      <c r="R27" s="3"/>
      <c r="S27" s="3"/>
      <c r="T27" s="3"/>
      <c r="U27" s="3"/>
    </row>
    <row r="28" spans="1:21" x14ac:dyDescent="0.25">
      <c r="A28" s="3">
        <v>10000000000</v>
      </c>
      <c r="B28" s="3">
        <v>1.933E-3</v>
      </c>
      <c r="C28" s="3">
        <v>9.4789999999999996E-3</v>
      </c>
      <c r="D28" s="3">
        <v>-1.157E-2</v>
      </c>
      <c r="E28" s="3">
        <v>0</v>
      </c>
      <c r="F28" s="3">
        <v>0</v>
      </c>
      <c r="G28" s="3">
        <v>0</v>
      </c>
      <c r="H28" s="3">
        <v>2.5303447000000001E-3</v>
      </c>
      <c r="I28" s="3">
        <v>1.9196551E-3</v>
      </c>
      <c r="J28" s="3">
        <v>-6.1274346000000004E-3</v>
      </c>
      <c r="K28" s="2"/>
      <c r="L28" s="3"/>
      <c r="M28" s="3"/>
      <c r="N28" s="2">
        <f>IF('Modell einstellen'!$B$1="Voll",H28/0.35,H28/0.35*2)</f>
        <v>1.4459112571428573E-2</v>
      </c>
      <c r="O28" s="2">
        <f>IF('Modell einstellen'!$B$1="Voll",J28/0.35,J28/0.35*2)</f>
        <v>-3.5013912000000001E-2</v>
      </c>
      <c r="P28" s="3">
        <f t="shared" si="0"/>
        <v>0.4129533589799555</v>
      </c>
      <c r="Q28" s="3"/>
      <c r="R28" s="3"/>
      <c r="S28" s="3"/>
      <c r="T28" s="3"/>
      <c r="U28" s="3"/>
    </row>
    <row r="29" spans="1:21" x14ac:dyDescent="0.25">
      <c r="A29" s="3">
        <v>100000000000</v>
      </c>
      <c r="B29" s="3">
        <v>3.1970000000000002E-3</v>
      </c>
      <c r="C29" s="3">
        <v>1.059E-2</v>
      </c>
      <c r="D29" s="3">
        <v>-1.3939999999999999E-2</v>
      </c>
      <c r="E29" s="3">
        <v>0</v>
      </c>
      <c r="F29" s="3">
        <v>0</v>
      </c>
      <c r="G29" s="3">
        <v>0</v>
      </c>
      <c r="H29" s="3">
        <v>2.7226395E-3</v>
      </c>
      <c r="I29" s="3">
        <v>2.1217938000000001E-3</v>
      </c>
      <c r="J29" s="3">
        <v>-6.6799088000000003E-3</v>
      </c>
      <c r="K29" s="2"/>
      <c r="L29" s="3"/>
      <c r="M29" s="3"/>
      <c r="N29" s="2">
        <f>IF('Modell einstellen'!$B$1="Voll",H29/0.35,H29/0.35*2)</f>
        <v>1.5557940000000001E-2</v>
      </c>
      <c r="O29" s="2">
        <f>IF('Modell einstellen'!$B$1="Voll",J29/0.35,J29/0.35*2)</f>
        <v>-3.8170907428571432E-2</v>
      </c>
      <c r="P29" s="3">
        <f t="shared" si="0"/>
        <v>0.40758632812471929</v>
      </c>
      <c r="Q29" s="3"/>
      <c r="R29" s="3"/>
      <c r="S29" s="3"/>
      <c r="T29" s="3"/>
      <c r="U29" s="3"/>
    </row>
    <row r="30" spans="1:21" x14ac:dyDescent="0.25">
      <c r="A30" s="3">
        <v>1000000000000</v>
      </c>
      <c r="B30" s="3">
        <v>3.434E-3</v>
      </c>
      <c r="C30" s="3">
        <v>1.0699999999999999E-2</v>
      </c>
      <c r="D30" s="3">
        <v>-1.4279999999999999E-2</v>
      </c>
      <c r="E30" s="3">
        <v>0</v>
      </c>
      <c r="F30" s="3">
        <v>0</v>
      </c>
      <c r="G30" s="3">
        <v>0</v>
      </c>
      <c r="H30" s="3">
        <v>2.7290113E-3</v>
      </c>
      <c r="I30" s="3">
        <v>2.1388269999999998E-3</v>
      </c>
      <c r="J30" s="3">
        <v>-6.7169717000000002E-3</v>
      </c>
      <c r="K30" s="2"/>
      <c r="L30" s="3"/>
      <c r="M30" s="3"/>
      <c r="N30" s="2">
        <f>IF('Modell einstellen'!$B$1="Voll",H30/0.35,H30/0.35*2)</f>
        <v>1.5594350285714287E-2</v>
      </c>
      <c r="O30" s="2">
        <f>IF('Modell einstellen'!$B$1="Voll",J30/0.35,J30/0.35*2)</f>
        <v>-3.838269542857143E-2</v>
      </c>
      <c r="P30" s="3">
        <f t="shared" si="0"/>
        <v>0.40628596068076334</v>
      </c>
      <c r="Q30" s="3"/>
      <c r="R30" s="3"/>
      <c r="S30" s="3"/>
      <c r="T30" s="3"/>
      <c r="U30" s="3"/>
    </row>
    <row r="31" spans="1:21" x14ac:dyDescent="0.25">
      <c r="A31" s="3">
        <v>10000000000000</v>
      </c>
      <c r="B31" s="3">
        <v>4.4270000000000004E-3</v>
      </c>
      <c r="C31" s="3">
        <v>1.115E-2</v>
      </c>
      <c r="D31" s="3">
        <v>-1.5720000000000001E-2</v>
      </c>
      <c r="E31" s="3">
        <v>0</v>
      </c>
      <c r="F31" s="3">
        <v>0</v>
      </c>
      <c r="G31" s="3">
        <v>0</v>
      </c>
      <c r="H31" s="3">
        <v>2.7446698999999998E-3</v>
      </c>
      <c r="I31" s="3">
        <v>2.2017149999999999E-3</v>
      </c>
      <c r="J31" s="3">
        <v>-6.8463387999999998E-3</v>
      </c>
      <c r="K31" s="2"/>
      <c r="L31" s="3"/>
      <c r="M31" s="3"/>
      <c r="N31" s="2">
        <f>IF('Modell einstellen'!$B$1="Voll",H31/0.35,H31/0.35*2)</f>
        <v>1.5683828E-2</v>
      </c>
      <c r="O31" s="2">
        <f>IF('Modell einstellen'!$B$1="Voll",J31/0.35,J31/0.35*2)</f>
        <v>-3.9121936000000003E-2</v>
      </c>
      <c r="P31" s="3">
        <f t="shared" si="0"/>
        <v>0.40089600882737497</v>
      </c>
      <c r="Q31" s="3"/>
      <c r="R31" s="3"/>
      <c r="S31" s="3"/>
      <c r="T31" s="3"/>
      <c r="U31" s="3"/>
    </row>
    <row r="32" spans="1:21" x14ac:dyDescent="0.25">
      <c r="A32" s="3">
        <v>100000000000000</v>
      </c>
      <c r="B32" s="3">
        <v>4.4429999999999999E-3</v>
      </c>
      <c r="C32" s="3">
        <v>1.115E-2</v>
      </c>
      <c r="D32" s="3">
        <v>-1.5740000000000001E-2</v>
      </c>
      <c r="E32" s="3">
        <v>0</v>
      </c>
      <c r="F32" s="3">
        <v>0</v>
      </c>
      <c r="G32" s="3">
        <v>0</v>
      </c>
      <c r="H32" s="3">
        <v>2.7449293999999998E-3</v>
      </c>
      <c r="I32" s="3">
        <v>2.2026876999999999E-3</v>
      </c>
      <c r="J32" s="3">
        <v>-6.8483262999999997E-3</v>
      </c>
      <c r="K32" s="2"/>
      <c r="L32" s="3"/>
      <c r="M32" s="3"/>
      <c r="N32" s="2">
        <f>IF('Modell einstellen'!$B$1="Voll",H32/0.35,H32/0.35*2)</f>
        <v>1.5685310857142858E-2</v>
      </c>
      <c r="O32" s="2">
        <f>IF('Modell einstellen'!$B$1="Voll",J32/0.35,J32/0.35*2)</f>
        <v>-3.9133293142857142E-2</v>
      </c>
      <c r="P32" s="3">
        <f t="shared" si="0"/>
        <v>0.40081755450233147</v>
      </c>
      <c r="Q32" s="3"/>
      <c r="R32" s="3"/>
      <c r="S32" s="3"/>
      <c r="T32" s="3"/>
      <c r="U32" s="3"/>
    </row>
    <row r="33" spans="1:21" x14ac:dyDescent="0.25">
      <c r="A33" s="2">
        <v>1000000000000000</v>
      </c>
      <c r="B33" s="3">
        <v>5.169E-3</v>
      </c>
      <c r="C33" s="3">
        <v>1.153E-2</v>
      </c>
      <c r="D33" s="3">
        <v>-1.6840000000000001E-2</v>
      </c>
      <c r="E33" s="3">
        <v>0</v>
      </c>
      <c r="F33" s="3">
        <v>0</v>
      </c>
      <c r="G33" s="3">
        <v>0</v>
      </c>
      <c r="H33" s="3">
        <v>2.7574240000000001E-3</v>
      </c>
      <c r="I33" s="3">
        <v>2.2423740000000001E-3</v>
      </c>
      <c r="J33" s="3">
        <v>-6.9323309999999999E-3</v>
      </c>
      <c r="K33" s="2"/>
      <c r="L33" s="3"/>
      <c r="M33" s="3"/>
      <c r="N33" s="2">
        <f>IF('Modell einstellen'!$B$1="Voll",H33/0.35,H33/0.35*2)</f>
        <v>1.5756708571428572E-2</v>
      </c>
      <c r="O33" s="2">
        <f>IF('Modell einstellen'!$B$1="Voll",J33/0.35,J33/0.35*2)</f>
        <v>-3.961332E-2</v>
      </c>
      <c r="P33" s="3">
        <f t="shared" si="0"/>
        <v>0.39776288812522081</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-3.9820000000000002E-6</v>
      </c>
      <c r="C3" s="3">
        <v>1.529E-4</v>
      </c>
      <c r="D3" s="3">
        <v>-4.305E-4</v>
      </c>
      <c r="E3" s="3">
        <v>0</v>
      </c>
      <c r="F3" s="3">
        <v>0</v>
      </c>
      <c r="G3" s="3">
        <v>0</v>
      </c>
      <c r="H3" s="3">
        <v>3.6088516000000002E-5</v>
      </c>
      <c r="I3" s="3">
        <v>1.4323003999999999E-5</v>
      </c>
      <c r="J3" s="3">
        <v>-9.6774266999999996E-5</v>
      </c>
      <c r="L3" s="3">
        <f>-B3/D3</f>
        <v>-9.2497096399535433E-3</v>
      </c>
      <c r="M3" s="3"/>
      <c r="N3" s="2">
        <f>IF('Modell einstellen'!$B$1="Voll",H3/0.35,H3/0.35*2)</f>
        <v>2.0622009142857146E-4</v>
      </c>
      <c r="O3" s="2">
        <f>IF('Modell einstellen'!$B$1="Voll",J3/0.35,J3/0.35*2)</f>
        <v>-5.5299581142857139E-4</v>
      </c>
      <c r="P3" s="3">
        <f>-N3/O3</f>
        <v>0.37291438229131724</v>
      </c>
    </row>
    <row r="4" spans="1:16" x14ac:dyDescent="0.25">
      <c r="A4" s="3">
        <v>1E-14</v>
      </c>
      <c r="B4" s="3">
        <v>-1.5299999999999999E-5</v>
      </c>
      <c r="C4" s="3">
        <v>1.5669999999999999E-4</v>
      </c>
      <c r="D4" s="3">
        <v>-4.2709999999999997E-4</v>
      </c>
      <c r="E4" s="3">
        <v>0</v>
      </c>
      <c r="F4" s="3">
        <v>0</v>
      </c>
      <c r="G4" s="3">
        <v>0</v>
      </c>
      <c r="H4" s="3">
        <v>3.8194961000000003E-5</v>
      </c>
      <c r="I4" s="3">
        <v>1.4693423E-5</v>
      </c>
      <c r="J4" s="3">
        <v>-9.9940050999999995E-5</v>
      </c>
      <c r="L4" s="3">
        <f t="shared" ref="L4:L33" si="0">-B4/D4</f>
        <v>-3.5822992273472257E-2</v>
      </c>
      <c r="M4" s="3"/>
      <c r="N4" s="2">
        <f>IF('Modell einstellen'!$B$1="Voll",H4/0.35,H4/0.35*2)</f>
        <v>2.1825692000000004E-4</v>
      </c>
      <c r="O4" s="2">
        <f>IF('Modell einstellen'!$B$1="Voll",J4/0.35,J4/0.35*2)</f>
        <v>-5.7108600571428576E-4</v>
      </c>
      <c r="P4" s="3">
        <f t="shared" ref="P4:P33" si="1">-N4/O4</f>
        <v>0.38217872232224498</v>
      </c>
    </row>
    <row r="5" spans="1:16" x14ac:dyDescent="0.25">
      <c r="A5" s="3">
        <v>1E-13</v>
      </c>
      <c r="B5" s="3">
        <v>-2.7990000000000001E-5</v>
      </c>
      <c r="C5" s="3">
        <v>1.6029999999999999E-4</v>
      </c>
      <c r="D5" s="3">
        <v>-4.2200000000000001E-4</v>
      </c>
      <c r="E5" s="3">
        <v>0</v>
      </c>
      <c r="F5" s="3">
        <v>0</v>
      </c>
      <c r="G5" s="3">
        <v>0</v>
      </c>
      <c r="H5" s="3">
        <v>4.0366698000000002E-5</v>
      </c>
      <c r="I5" s="3">
        <v>1.5049380000000001E-5</v>
      </c>
      <c r="J5" s="3">
        <v>-1.0312975999999999E-4</v>
      </c>
      <c r="L5" s="3">
        <f t="shared" si="0"/>
        <v>-6.6327014218009475E-2</v>
      </c>
      <c r="M5" s="3"/>
      <c r="N5" s="2">
        <f>IF('Modell einstellen'!$B$1="Voll",H5/0.35,H5/0.35*2)</f>
        <v>2.3066684571428574E-4</v>
      </c>
      <c r="O5" s="2">
        <f>IF('Modell einstellen'!$B$1="Voll",J5/0.35,J5/0.35*2)</f>
        <v>-5.8931291428571423E-4</v>
      </c>
      <c r="P5" s="3">
        <f t="shared" si="1"/>
        <v>0.39141658043226329</v>
      </c>
    </row>
    <row r="6" spans="1:16" x14ac:dyDescent="0.25">
      <c r="A6" s="3">
        <v>9.9999999999999998E-13</v>
      </c>
      <c r="B6" s="3">
        <v>-4.5380000000000003E-5</v>
      </c>
      <c r="C6" s="3">
        <v>1.6459999999999999E-4</v>
      </c>
      <c r="D6" s="3">
        <v>-4.1360000000000002E-4</v>
      </c>
      <c r="E6" s="3">
        <v>0</v>
      </c>
      <c r="F6" s="3">
        <v>0</v>
      </c>
      <c r="G6" s="3">
        <v>0</v>
      </c>
      <c r="H6" s="3">
        <v>4.3124345E-5</v>
      </c>
      <c r="I6" s="3">
        <v>1.5467859999999999E-5</v>
      </c>
      <c r="J6" s="3">
        <v>-1.0708143E-4</v>
      </c>
      <c r="L6" s="3">
        <f t="shared" si="0"/>
        <v>-0.10971953578336557</v>
      </c>
      <c r="M6" s="3"/>
      <c r="N6" s="2">
        <f>IF('Modell einstellen'!$B$1="Voll",H6/0.35,H6/0.35*2)</f>
        <v>2.4642482857142856E-4</v>
      </c>
      <c r="O6" s="2">
        <f>IF('Modell einstellen'!$B$1="Voll",J6/0.35,J6/0.35*2)</f>
        <v>-6.1189388571428573E-4</v>
      </c>
      <c r="P6" s="3">
        <f t="shared" si="1"/>
        <v>0.40272477683572211</v>
      </c>
    </row>
    <row r="7" spans="1:16" x14ac:dyDescent="0.25">
      <c r="A7" s="3">
        <v>9.9999999999999994E-12</v>
      </c>
      <c r="B7" s="3">
        <v>-6.6870000000000002E-5</v>
      </c>
      <c r="C7" s="3">
        <v>1.6899999999999999E-4</v>
      </c>
      <c r="D7" s="3">
        <v>-4.014E-4</v>
      </c>
      <c r="E7" s="3">
        <v>0</v>
      </c>
      <c r="F7" s="3">
        <v>0</v>
      </c>
      <c r="G7" s="3">
        <v>0</v>
      </c>
      <c r="H7" s="3">
        <v>4.6274225E-5</v>
      </c>
      <c r="I7" s="3">
        <v>1.5903182000000001E-5</v>
      </c>
      <c r="J7" s="3">
        <v>-1.114706E-4</v>
      </c>
      <c r="L7" s="3">
        <f t="shared" si="0"/>
        <v>-0.16659192825112107</v>
      </c>
      <c r="M7" s="3"/>
      <c r="N7" s="2">
        <f>IF('Modell einstellen'!$B$1="Voll",H7/0.35,H7/0.35*2)</f>
        <v>2.6442414285714286E-4</v>
      </c>
      <c r="O7" s="2">
        <f>IF('Modell einstellen'!$B$1="Voll",J7/0.35,J7/0.35*2)</f>
        <v>-6.3697485714285724E-4</v>
      </c>
      <c r="P7" s="3">
        <f t="shared" si="1"/>
        <v>0.41512492980211818</v>
      </c>
    </row>
    <row r="8" spans="1:16" x14ac:dyDescent="0.25">
      <c r="A8" s="3">
        <v>1E-10</v>
      </c>
      <c r="B8" s="3">
        <v>-9.3900000000000006E-5</v>
      </c>
      <c r="C8" s="3">
        <v>1.7369999999999999E-4</v>
      </c>
      <c r="D8" s="3">
        <v>-3.8420000000000001E-4</v>
      </c>
      <c r="E8" s="3">
        <v>0</v>
      </c>
      <c r="F8" s="3">
        <v>0</v>
      </c>
      <c r="G8" s="3">
        <v>0</v>
      </c>
      <c r="H8" s="3">
        <v>4.9963563000000003E-5</v>
      </c>
      <c r="I8" s="3">
        <v>1.6364337E-5</v>
      </c>
      <c r="J8" s="3">
        <v>-1.1647065000000001E-4</v>
      </c>
      <c r="L8" s="3">
        <f t="shared" si="0"/>
        <v>-0.24440395627277461</v>
      </c>
      <c r="M8" s="3"/>
      <c r="N8" s="2">
        <f>IF('Modell einstellen'!$B$1="Voll",H8/0.35,H8/0.35*2)</f>
        <v>2.8550607428571434E-4</v>
      </c>
      <c r="O8" s="2">
        <f>IF('Modell einstellen'!$B$1="Voll",J8/0.35,J8/0.35*2)</f>
        <v>-6.6554657142857149E-4</v>
      </c>
      <c r="P8" s="3">
        <f t="shared" si="1"/>
        <v>0.42897985887431728</v>
      </c>
    </row>
    <row r="9" spans="1:16" x14ac:dyDescent="0.25">
      <c r="A9" s="3">
        <v>1.0000000000000001E-9</v>
      </c>
      <c r="B9" s="3">
        <v>-1.2980000000000001E-4</v>
      </c>
      <c r="C9" s="3">
        <v>1.7890000000000001E-4</v>
      </c>
      <c r="D9" s="3">
        <v>-3.59E-4</v>
      </c>
      <c r="E9" s="3">
        <v>0</v>
      </c>
      <c r="F9" s="3">
        <v>0</v>
      </c>
      <c r="G9" s="3">
        <v>0</v>
      </c>
      <c r="H9" s="3">
        <v>5.4530251000000001E-5</v>
      </c>
      <c r="I9" s="3">
        <v>1.6870294E-5</v>
      </c>
      <c r="J9" s="3">
        <v>-1.2247336999999999E-4</v>
      </c>
      <c r="L9" s="3">
        <f t="shared" si="0"/>
        <v>-0.3615598885793872</v>
      </c>
      <c r="M9" s="3"/>
      <c r="N9" s="2">
        <f>IF('Modell einstellen'!$B$1="Voll",H9/0.35,H9/0.35*2)</f>
        <v>3.1160143428571432E-4</v>
      </c>
      <c r="O9" s="2">
        <f>IF('Modell einstellen'!$B$1="Voll",J9/0.35,J9/0.35*2)</f>
        <v>-6.9984782857142856E-4</v>
      </c>
      <c r="P9" s="3">
        <f t="shared" si="1"/>
        <v>0.4452416962152671</v>
      </c>
    </row>
    <row r="10" spans="1:16" x14ac:dyDescent="0.25">
      <c r="A10" s="3">
        <v>1E-8</v>
      </c>
      <c r="B10" s="3">
        <v>-1.8320000000000001E-4</v>
      </c>
      <c r="C10" s="3">
        <v>1.85E-4</v>
      </c>
      <c r="D10" s="3">
        <v>-3.1859999999999999E-4</v>
      </c>
      <c r="E10" s="3">
        <v>0</v>
      </c>
      <c r="F10" s="3">
        <v>0</v>
      </c>
      <c r="G10" s="3">
        <v>0</v>
      </c>
      <c r="H10" s="3">
        <v>6.0834756999999998E-5</v>
      </c>
      <c r="I10" s="3">
        <v>1.7475927E-5</v>
      </c>
      <c r="J10" s="3">
        <v>-1.3049458E-4</v>
      </c>
      <c r="L10" s="3">
        <f t="shared" si="0"/>
        <v>-0.57501569365976146</v>
      </c>
      <c r="M10" s="3"/>
      <c r="N10" s="2">
        <f>IF('Modell einstellen'!$B$1="Voll",H10/0.35,H10/0.35*2)</f>
        <v>3.4762718285714288E-4</v>
      </c>
      <c r="O10" s="2">
        <f>IF('Modell einstellen'!$B$1="Voll",J10/0.35,J10/0.35*2)</f>
        <v>-7.4568331428571434E-4</v>
      </c>
      <c r="P10" s="3">
        <f t="shared" si="1"/>
        <v>0.46618608221123053</v>
      </c>
    </row>
    <row r="11" spans="1:16" x14ac:dyDescent="0.25">
      <c r="A11" s="3">
        <v>9.9999999999999995E-8</v>
      </c>
      <c r="B11" s="3">
        <v>-2.7920000000000001E-4</v>
      </c>
      <c r="C11" s="3">
        <v>1.931E-4</v>
      </c>
      <c r="D11" s="3">
        <v>-2.398E-4</v>
      </c>
      <c r="E11" s="3">
        <v>0</v>
      </c>
      <c r="F11" s="3">
        <v>0</v>
      </c>
      <c r="G11" s="3">
        <v>0</v>
      </c>
      <c r="H11" s="3">
        <v>7.1269202000000004E-5</v>
      </c>
      <c r="I11" s="3">
        <v>1.8289100000000001E-5</v>
      </c>
      <c r="J11" s="3">
        <v>-1.4322974999999999E-4</v>
      </c>
      <c r="L11" s="3">
        <f t="shared" si="0"/>
        <v>-1.1643035863219351</v>
      </c>
      <c r="M11" s="3"/>
      <c r="N11" s="2">
        <f>IF('Modell einstellen'!$B$1="Voll",H11/0.35,H11/0.35*2)</f>
        <v>4.072525828571429E-4</v>
      </c>
      <c r="O11" s="2">
        <f>IF('Modell einstellen'!$B$1="Voll",J11/0.35,J11/0.35*2)</f>
        <v>-8.1845571428571429E-4</v>
      </c>
      <c r="P11" s="3">
        <f t="shared" si="1"/>
        <v>0.49758658379282245</v>
      </c>
    </row>
    <row r="12" spans="1:16" x14ac:dyDescent="0.25">
      <c r="A12" s="3">
        <v>9.9999999999999995E-7</v>
      </c>
      <c r="B12" s="3">
        <v>-4.5980000000000001E-4</v>
      </c>
      <c r="C12" s="3">
        <v>2.031E-4</v>
      </c>
      <c r="D12" s="3">
        <v>-8.0469999999999994E-5</v>
      </c>
      <c r="E12" s="3">
        <v>0</v>
      </c>
      <c r="F12" s="3">
        <v>0</v>
      </c>
      <c r="G12" s="3">
        <v>0</v>
      </c>
      <c r="H12" s="3">
        <v>8.9070209000000004E-5</v>
      </c>
      <c r="I12" s="3">
        <v>1.9298368000000001E-5</v>
      </c>
      <c r="J12" s="3">
        <v>-1.6387481000000001E-4</v>
      </c>
      <c r="L12" s="3">
        <f t="shared" si="0"/>
        <v>-5.7139306573878468</v>
      </c>
      <c r="M12" s="3"/>
      <c r="N12" s="2">
        <f>IF('Modell einstellen'!$B$1="Voll",H12/0.35,H12/0.35*2)</f>
        <v>5.0897262285714293E-4</v>
      </c>
      <c r="O12" s="2">
        <f>IF('Modell einstellen'!$B$1="Voll",J12/0.35,J12/0.35*2)</f>
        <v>-9.3642748571428583E-4</v>
      </c>
      <c r="P12" s="3">
        <f t="shared" si="1"/>
        <v>0.54352593299726781</v>
      </c>
    </row>
    <row r="13" spans="1:16" x14ac:dyDescent="0.25">
      <c r="A13" s="3">
        <v>1.0000000000000001E-5</v>
      </c>
      <c r="B13" s="3">
        <v>-8.3750000000000003E-4</v>
      </c>
      <c r="C13" s="3">
        <v>2.1450000000000001E-4</v>
      </c>
      <c r="D13" s="3">
        <v>2.7250000000000001E-4</v>
      </c>
      <c r="E13" s="3">
        <v>0</v>
      </c>
      <c r="F13" s="3">
        <v>0</v>
      </c>
      <c r="G13" s="3">
        <v>0</v>
      </c>
      <c r="H13" s="3">
        <v>1.2280542E-4</v>
      </c>
      <c r="I13" s="3">
        <v>2.0484498000000001E-5</v>
      </c>
      <c r="J13" s="3">
        <v>-2.0091921000000001E-4</v>
      </c>
      <c r="L13" s="3">
        <f t="shared" si="0"/>
        <v>3.073394495412844</v>
      </c>
      <c r="M13" s="3"/>
      <c r="N13" s="2">
        <f>IF('Modell einstellen'!$B$1="Voll",H13/0.35,H13/0.35*2)</f>
        <v>7.0174525714285718E-4</v>
      </c>
      <c r="O13" s="2">
        <f>IF('Modell einstellen'!$B$1="Voll",J13/0.35,J13/0.35*2)</f>
        <v>-1.1481097714285714E-3</v>
      </c>
      <c r="P13" s="3">
        <f t="shared" si="1"/>
        <v>0.61121791191593877</v>
      </c>
    </row>
    <row r="14" spans="1:16" x14ac:dyDescent="0.25">
      <c r="A14" s="3">
        <v>1E-4</v>
      </c>
      <c r="B14" s="3">
        <v>-1.758E-3</v>
      </c>
      <c r="C14" s="3">
        <v>2.2580000000000001E-4</v>
      </c>
      <c r="D14" s="3">
        <v>1.168E-3</v>
      </c>
      <c r="E14" s="3">
        <v>0</v>
      </c>
      <c r="F14" s="3">
        <v>0</v>
      </c>
      <c r="G14" s="3">
        <v>0</v>
      </c>
      <c r="H14" s="3">
        <v>1.9808076E-4</v>
      </c>
      <c r="I14" s="3">
        <v>2.1716536E-5</v>
      </c>
      <c r="J14" s="3">
        <v>-2.7949974000000003E-4</v>
      </c>
      <c r="L14" s="3">
        <f t="shared" si="0"/>
        <v>1.5051369863013699</v>
      </c>
      <c r="M14" s="3"/>
      <c r="N14" s="2">
        <f>IF('Modell einstellen'!$B$1="Voll",H14/0.35,H14/0.35*2)</f>
        <v>1.1318900571428573E-3</v>
      </c>
      <c r="O14" s="2">
        <f>IF('Modell einstellen'!$B$1="Voll",J14/0.35,J14/0.35*2)</f>
        <v>-1.5971413714285718E-3</v>
      </c>
      <c r="P14" s="3">
        <f t="shared" si="1"/>
        <v>0.70869747499586222</v>
      </c>
    </row>
    <row r="15" spans="1:16" x14ac:dyDescent="0.25">
      <c r="A15" s="3">
        <v>1E-3</v>
      </c>
      <c r="B15" s="3">
        <v>-3.7780000000000001E-3</v>
      </c>
      <c r="C15" s="3">
        <v>2.329E-4</v>
      </c>
      <c r="D15" s="3">
        <v>3.1719999999999999E-3</v>
      </c>
      <c r="E15" s="3">
        <v>0</v>
      </c>
      <c r="F15" s="3">
        <v>0</v>
      </c>
      <c r="G15" s="3">
        <v>0</v>
      </c>
      <c r="H15" s="3">
        <v>3.5425465999999999E-4</v>
      </c>
      <c r="I15" s="3">
        <v>2.2581611000000001E-5</v>
      </c>
      <c r="J15" s="3">
        <v>-4.3750034000000001E-4</v>
      </c>
      <c r="L15" s="3">
        <f t="shared" si="0"/>
        <v>1.1910466582597732</v>
      </c>
      <c r="M15" s="3"/>
      <c r="N15" s="2">
        <f>IF('Modell einstellen'!$B$1="Voll",H15/0.35,H15/0.35*2)</f>
        <v>2.0243123428571427E-3</v>
      </c>
      <c r="O15" s="2">
        <f>IF('Modell einstellen'!$B$1="Voll",J15/0.35,J15/0.35*2)</f>
        <v>-2.500001942857143E-3</v>
      </c>
      <c r="P15" s="3">
        <f t="shared" si="1"/>
        <v>0.80972430787139493</v>
      </c>
    </row>
    <row r="16" spans="1:16" x14ac:dyDescent="0.25">
      <c r="A16" s="3">
        <v>0.01</v>
      </c>
      <c r="B16" s="3">
        <v>-7.7359999999999998E-3</v>
      </c>
      <c r="C16" s="3">
        <v>2.363E-4</v>
      </c>
      <c r="D16" s="3">
        <v>7.123E-3</v>
      </c>
      <c r="E16" s="3">
        <v>0</v>
      </c>
      <c r="F16" s="3">
        <v>0</v>
      </c>
      <c r="G16" s="3">
        <v>0</v>
      </c>
      <c r="H16" s="3">
        <v>6.5204946000000004E-4</v>
      </c>
      <c r="I16" s="3">
        <v>2.3130958000000001E-5</v>
      </c>
      <c r="J16" s="3">
        <v>-7.3481703999999997E-4</v>
      </c>
      <c r="L16" s="3">
        <f t="shared" si="0"/>
        <v>1.0860592447002668</v>
      </c>
      <c r="M16" s="3"/>
      <c r="N16" s="2">
        <f>IF('Modell einstellen'!$B$1="Voll",H16/0.35,H16/0.35*2)</f>
        <v>3.7259969142857149E-3</v>
      </c>
      <c r="O16" s="2">
        <f>IF('Modell einstellen'!$B$1="Voll",J16/0.35,J16/0.35*2)</f>
        <v>-4.1989545142857142E-3</v>
      </c>
      <c r="P16" s="3">
        <f t="shared" si="1"/>
        <v>0.88736300943701596</v>
      </c>
    </row>
    <row r="17" spans="1:16" x14ac:dyDescent="0.25">
      <c r="A17" s="3">
        <v>0.1</v>
      </c>
      <c r="B17" s="3">
        <v>-1.5049999999999999E-2</v>
      </c>
      <c r="C17" s="3">
        <v>2.3939999999999999E-4</v>
      </c>
      <c r="D17" s="3">
        <v>1.444E-2</v>
      </c>
      <c r="E17" s="3">
        <v>0</v>
      </c>
      <c r="F17" s="3">
        <v>0</v>
      </c>
      <c r="G17" s="3">
        <v>0</v>
      </c>
      <c r="H17" s="3">
        <v>1.1954507000000001E-3</v>
      </c>
      <c r="I17" s="3">
        <v>2.4191381000000002E-5</v>
      </c>
      <c r="J17" s="3">
        <v>-1.2742957E-3</v>
      </c>
      <c r="L17" s="3">
        <f t="shared" si="0"/>
        <v>1.0422437673130194</v>
      </c>
      <c r="M17" s="3"/>
      <c r="N17" s="2">
        <f>IF('Modell einstellen'!$B$1="Voll",H17/0.35,H17/0.35*2)</f>
        <v>6.8311468571428582E-3</v>
      </c>
      <c r="O17" s="2">
        <f>IF('Modell einstellen'!$B$1="Voll",J17/0.35,J17/0.35*2)</f>
        <v>-7.2816897142857148E-3</v>
      </c>
      <c r="P17" s="3">
        <f t="shared" si="1"/>
        <v>0.93812660593612618</v>
      </c>
    </row>
    <row r="18" spans="1:16" x14ac:dyDescent="0.25">
      <c r="A18" s="3">
        <v>1</v>
      </c>
      <c r="B18" s="3">
        <v>-2.2040000000000001E-2</v>
      </c>
      <c r="C18" s="3">
        <v>2.4830000000000002E-4</v>
      </c>
      <c r="D18" s="3">
        <v>2.1430000000000001E-2</v>
      </c>
      <c r="E18" s="3">
        <v>0</v>
      </c>
      <c r="F18" s="3">
        <v>0</v>
      </c>
      <c r="G18" s="3">
        <v>0</v>
      </c>
      <c r="H18" s="3">
        <v>1.7218644E-3</v>
      </c>
      <c r="I18" s="3">
        <v>3.0265786999999999E-5</v>
      </c>
      <c r="J18" s="3">
        <v>-1.8031843999999999E-3</v>
      </c>
      <c r="L18" s="3">
        <f t="shared" si="0"/>
        <v>1.028464769015399</v>
      </c>
      <c r="M18" s="3"/>
      <c r="N18" s="2">
        <f>IF('Modell einstellen'!$B$1="Voll",H18/0.35,H18/0.35*2)</f>
        <v>9.8392251428571428E-3</v>
      </c>
      <c r="O18" s="2">
        <f>IF('Modell einstellen'!$B$1="Voll",J18/0.35,J18/0.35*2)</f>
        <v>-1.0303910857142858E-2</v>
      </c>
      <c r="P18" s="3">
        <f t="shared" si="1"/>
        <v>0.9549020055852302</v>
      </c>
    </row>
    <row r="19" spans="1:16" x14ac:dyDescent="0.25">
      <c r="A19" s="3">
        <v>10</v>
      </c>
      <c r="B19" s="3">
        <v>-2.477E-2</v>
      </c>
      <c r="C19" s="3">
        <v>2.855E-4</v>
      </c>
      <c r="D19" s="3">
        <v>2.4119999999999999E-2</v>
      </c>
      <c r="E19" s="3">
        <v>0</v>
      </c>
      <c r="F19" s="3">
        <v>0</v>
      </c>
      <c r="G19" s="3">
        <v>0</v>
      </c>
      <c r="H19" s="3">
        <v>1.9756383000000001E-3</v>
      </c>
      <c r="I19" s="3">
        <v>5.6931766000000003E-5</v>
      </c>
      <c r="J19" s="3">
        <v>-2.1021944000000001E-3</v>
      </c>
      <c r="L19" s="3">
        <f t="shared" si="0"/>
        <v>1.0269485903814262</v>
      </c>
      <c r="M19" s="3"/>
      <c r="N19" s="2">
        <f>IF('Modell einstellen'!$B$1="Voll",H19/0.35,H19/0.35*2)</f>
        <v>1.1289361714285715E-2</v>
      </c>
      <c r="O19" s="2">
        <f>IF('Modell einstellen'!$B$1="Voll",J19/0.35,J19/0.35*2)</f>
        <v>-1.2012539428571429E-2</v>
      </c>
      <c r="P19" s="3">
        <f t="shared" si="1"/>
        <v>0.93979809859640007</v>
      </c>
    </row>
    <row r="20" spans="1:16" x14ac:dyDescent="0.25">
      <c r="A20" s="3">
        <v>100</v>
      </c>
      <c r="B20" s="3">
        <v>-2.5479999999999999E-2</v>
      </c>
      <c r="C20" s="3">
        <v>4.5249999999999999E-4</v>
      </c>
      <c r="D20" s="3">
        <v>2.4680000000000001E-2</v>
      </c>
      <c r="E20" s="3">
        <v>0</v>
      </c>
      <c r="F20" s="3">
        <v>0</v>
      </c>
      <c r="G20" s="3">
        <v>0</v>
      </c>
      <c r="H20" s="3">
        <v>2.2039817000000001E-3</v>
      </c>
      <c r="I20" s="3">
        <v>1.5254369999999999E-4</v>
      </c>
      <c r="J20" s="3">
        <v>-2.5072618000000001E-3</v>
      </c>
      <c r="L20" s="3">
        <f t="shared" si="0"/>
        <v>1.0324149108589951</v>
      </c>
      <c r="M20" s="3"/>
      <c r="N20" s="2">
        <f>IF('Modell einstellen'!$B$1="Voll",H20/0.35,H20/0.35*2)</f>
        <v>1.2594181142857144E-2</v>
      </c>
      <c r="O20" s="2">
        <f>IF('Modell einstellen'!$B$1="Voll",J20/0.35,J20/0.35*2)</f>
        <v>-1.4327210285714287E-2</v>
      </c>
      <c r="P20" s="3">
        <f t="shared" si="1"/>
        <v>0.87903931691536952</v>
      </c>
    </row>
    <row r="21" spans="1:16" x14ac:dyDescent="0.25">
      <c r="A21" s="3">
        <v>1000</v>
      </c>
      <c r="B21" s="3">
        <v>-2.1049999999999999E-2</v>
      </c>
      <c r="C21" s="3">
        <v>1.1800000000000001E-3</v>
      </c>
      <c r="D21" s="3">
        <v>1.9539999999999998E-2</v>
      </c>
      <c r="E21" s="3">
        <v>0</v>
      </c>
      <c r="F21" s="3">
        <v>0</v>
      </c>
      <c r="G21" s="3">
        <v>0</v>
      </c>
      <c r="H21" s="3">
        <v>2.3460327999999999E-3</v>
      </c>
      <c r="I21" s="3">
        <v>4.3811729E-4</v>
      </c>
      <c r="J21" s="3">
        <v>-3.1885587E-3</v>
      </c>
      <c r="L21" s="3">
        <f t="shared" si="0"/>
        <v>1.0772773797338793</v>
      </c>
      <c r="M21" s="3"/>
      <c r="N21" s="2">
        <f>IF('Modell einstellen'!$B$1="Voll",H21/0.35,H21/0.35*2)</f>
        <v>1.3405901714285715E-2</v>
      </c>
      <c r="O21" s="2">
        <f>IF('Modell einstellen'!$B$1="Voll",J21/0.35,J21/0.35*2)</f>
        <v>-1.8220335428571429E-2</v>
      </c>
      <c r="P21" s="3">
        <f t="shared" si="1"/>
        <v>0.73576591204044639</v>
      </c>
    </row>
    <row r="22" spans="1:16" x14ac:dyDescent="0.25">
      <c r="A22" s="3">
        <v>10000</v>
      </c>
      <c r="B22" s="3">
        <v>-1.4540000000000001E-2</v>
      </c>
      <c r="C22" s="3">
        <v>2.7260000000000001E-3</v>
      </c>
      <c r="D22" s="3">
        <v>1.154E-2</v>
      </c>
      <c r="E22" s="3">
        <v>0</v>
      </c>
      <c r="F22" s="3">
        <v>0</v>
      </c>
      <c r="G22" s="3">
        <v>0</v>
      </c>
      <c r="H22" s="3">
        <v>2.4849113999999999E-3</v>
      </c>
      <c r="I22" s="3">
        <v>8.6106205000000002E-4</v>
      </c>
      <c r="J22" s="3">
        <v>-4.1206532999999998E-3</v>
      </c>
      <c r="L22" s="3">
        <f t="shared" si="0"/>
        <v>1.2599653379549394</v>
      </c>
      <c r="M22" s="3"/>
      <c r="N22" s="2">
        <f>IF('Modell einstellen'!$B$1="Voll",H22/0.35,H22/0.35*2)</f>
        <v>1.4199493714285714E-2</v>
      </c>
      <c r="O22" s="2">
        <f>IF('Modell einstellen'!$B$1="Voll",J22/0.35,J22/0.35*2)</f>
        <v>-2.3546590285714285E-2</v>
      </c>
      <c r="P22" s="3">
        <f t="shared" si="1"/>
        <v>0.6030382124116096</v>
      </c>
    </row>
    <row r="23" spans="1:16" x14ac:dyDescent="0.25">
      <c r="A23" s="3">
        <v>100000</v>
      </c>
      <c r="B23" s="3">
        <v>-8.7290000000000006E-3</v>
      </c>
      <c r="C23" s="3">
        <v>4.6360000000000004E-3</v>
      </c>
      <c r="D23" s="3">
        <v>3.859E-3</v>
      </c>
      <c r="E23" s="3">
        <v>0</v>
      </c>
      <c r="F23" s="3">
        <v>0</v>
      </c>
      <c r="G23" s="3">
        <v>0</v>
      </c>
      <c r="H23" s="3">
        <v>2.5886529999999998E-3</v>
      </c>
      <c r="I23" s="3">
        <v>1.2665103999999999E-3</v>
      </c>
      <c r="J23" s="3">
        <v>-4.9776906999999997E-3</v>
      </c>
      <c r="L23" s="3">
        <f t="shared" si="0"/>
        <v>2.2619849701995336</v>
      </c>
      <c r="M23" s="3"/>
      <c r="N23" s="2">
        <f>IF('Modell einstellen'!$B$1="Voll",H23/0.35,H23/0.35*2)</f>
        <v>1.4792302857142857E-2</v>
      </c>
      <c r="O23" s="2">
        <f>IF('Modell einstellen'!$B$1="Voll",J23/0.35,J23/0.35*2)</f>
        <v>-2.8443946857142858E-2</v>
      </c>
      <c r="P23" s="3">
        <f t="shared" si="1"/>
        <v>0.52005099473135197</v>
      </c>
    </row>
    <row r="24" spans="1:16" x14ac:dyDescent="0.25">
      <c r="A24" s="3">
        <v>1000000</v>
      </c>
      <c r="B24" s="3">
        <v>-4.3810000000000003E-3</v>
      </c>
      <c r="C24" s="3">
        <v>6.4270000000000004E-3</v>
      </c>
      <c r="D24" s="3">
        <v>-2.248E-3</v>
      </c>
      <c r="E24" s="3">
        <v>0</v>
      </c>
      <c r="F24" s="3">
        <v>0</v>
      </c>
      <c r="G24" s="3">
        <v>0</v>
      </c>
      <c r="H24" s="3">
        <v>2.6513077000000001E-3</v>
      </c>
      <c r="I24" s="3">
        <v>1.5844959999999999E-3</v>
      </c>
      <c r="J24" s="3">
        <v>-5.6265682999999999E-3</v>
      </c>
      <c r="L24" s="3">
        <f t="shared" si="0"/>
        <v>-1.9488434163701069</v>
      </c>
      <c r="M24" s="3"/>
      <c r="N24" s="2">
        <f>IF('Modell einstellen'!$B$1="Voll",H24/0.35,H24/0.35*2)</f>
        <v>1.5150329714285716E-2</v>
      </c>
      <c r="O24" s="2">
        <f>IF('Modell einstellen'!$B$1="Voll",J24/0.35,J24/0.35*2)</f>
        <v>-3.2151818857142855E-2</v>
      </c>
      <c r="P24" s="3">
        <f t="shared" si="1"/>
        <v>0.47121221295758564</v>
      </c>
    </row>
    <row r="25" spans="1:16" x14ac:dyDescent="0.25">
      <c r="A25" s="3">
        <v>10000000</v>
      </c>
      <c r="B25" s="3">
        <v>-1.3209999999999999E-3</v>
      </c>
      <c r="C25" s="3">
        <v>7.9150000000000002E-3</v>
      </c>
      <c r="D25" s="3">
        <v>-6.7730000000000004E-3</v>
      </c>
      <c r="E25" s="3">
        <v>0</v>
      </c>
      <c r="F25" s="3">
        <v>0</v>
      </c>
      <c r="G25" s="3">
        <v>0</v>
      </c>
      <c r="H25" s="3">
        <v>2.6878577999999999E-3</v>
      </c>
      <c r="I25" s="3">
        <v>1.8132357999999999E-3</v>
      </c>
      <c r="J25" s="3">
        <v>-6.0823963999999996E-3</v>
      </c>
      <c r="L25" s="3">
        <f t="shared" si="0"/>
        <v>-0.19503912594123723</v>
      </c>
      <c r="M25" s="3"/>
      <c r="N25" s="2">
        <f>IF('Modell einstellen'!$B$1="Voll",H25/0.35,H25/0.35*2)</f>
        <v>1.535918742857143E-2</v>
      </c>
      <c r="O25" s="2">
        <f>IF('Modell einstellen'!$B$1="Voll",J25/0.35,J25/0.35*2)</f>
        <v>-3.4756550857142854E-2</v>
      </c>
      <c r="P25" s="3">
        <f t="shared" si="1"/>
        <v>0.44190769940610913</v>
      </c>
    </row>
    <row r="26" spans="1:16" x14ac:dyDescent="0.25">
      <c r="A26" s="3">
        <v>100000000</v>
      </c>
      <c r="B26" s="3">
        <v>7.7749999999999998E-4</v>
      </c>
      <c r="C26" s="3">
        <v>9.0430000000000007E-3</v>
      </c>
      <c r="D26" s="3">
        <v>-9.9860000000000001E-3</v>
      </c>
      <c r="E26" s="3">
        <v>0</v>
      </c>
      <c r="F26" s="3">
        <v>0</v>
      </c>
      <c r="G26" s="3">
        <v>0</v>
      </c>
      <c r="H26" s="3">
        <v>2.7103927000000001E-3</v>
      </c>
      <c r="I26" s="3">
        <v>1.9688056999999999E-3</v>
      </c>
      <c r="J26" s="3">
        <v>-6.3888968999999997E-3</v>
      </c>
      <c r="L26" s="3">
        <f t="shared" si="0"/>
        <v>7.7859002603645103E-2</v>
      </c>
      <c r="M26" s="3"/>
      <c r="N26" s="2">
        <f>IF('Modell einstellen'!$B$1="Voll",H26/0.35,H26/0.35*2)</f>
        <v>1.5487958285714287E-2</v>
      </c>
      <c r="O26" s="2">
        <f>IF('Modell einstellen'!$B$1="Voll",J26/0.35,J26/0.35*2)</f>
        <v>-3.6507982285714287E-2</v>
      </c>
      <c r="P26" s="3">
        <f t="shared" si="1"/>
        <v>0.42423484717682641</v>
      </c>
    </row>
    <row r="27" spans="1:16" x14ac:dyDescent="0.25">
      <c r="A27" s="3">
        <v>1000000000</v>
      </c>
      <c r="B27" s="3">
        <v>2.2529999999999998E-3</v>
      </c>
      <c r="C27" s="3">
        <v>9.9000000000000008E-3</v>
      </c>
      <c r="D27" s="3">
        <v>-1.231E-2</v>
      </c>
      <c r="E27" s="3">
        <v>0</v>
      </c>
      <c r="F27" s="3">
        <v>0</v>
      </c>
      <c r="G27" s="3">
        <v>0</v>
      </c>
      <c r="H27" s="3">
        <v>2.7259112999999998E-3</v>
      </c>
      <c r="I27" s="3">
        <v>2.0742222999999998E-3</v>
      </c>
      <c r="J27" s="3">
        <v>-6.5962043999999997E-3</v>
      </c>
      <c r="L27" s="3">
        <f t="shared" si="0"/>
        <v>0.18302193338748984</v>
      </c>
      <c r="M27" s="3"/>
      <c r="N27" s="2">
        <f>IF('Modell einstellen'!$B$1="Voll",H27/0.35,H27/0.35*2)</f>
        <v>1.5576636E-2</v>
      </c>
      <c r="O27" s="2">
        <f>IF('Modell einstellen'!$B$1="Voll",J27/0.35,J27/0.35*2)</f>
        <v>-3.7692596571428573E-2</v>
      </c>
      <c r="P27" s="3">
        <f t="shared" si="1"/>
        <v>0.41325452255542594</v>
      </c>
    </row>
    <row r="28" spans="1:16" x14ac:dyDescent="0.25">
      <c r="A28" s="3">
        <v>10000000000</v>
      </c>
      <c r="B28" s="3">
        <v>3.3050000000000002E-3</v>
      </c>
      <c r="C28" s="3">
        <v>1.052E-2</v>
      </c>
      <c r="D28" s="3">
        <v>-1.397E-2</v>
      </c>
      <c r="E28" s="3">
        <v>0</v>
      </c>
      <c r="F28" s="3">
        <v>0</v>
      </c>
      <c r="G28" s="3">
        <v>0</v>
      </c>
      <c r="H28" s="3">
        <v>2.7376398999999999E-3</v>
      </c>
      <c r="I28" s="3">
        <v>2.1436985E-3</v>
      </c>
      <c r="J28" s="3">
        <v>-6.7339888000000001E-3</v>
      </c>
      <c r="L28" s="3">
        <f t="shared" si="0"/>
        <v>0.23657838224767361</v>
      </c>
      <c r="M28" s="3"/>
      <c r="N28" s="2">
        <f>IF('Modell einstellen'!$B$1="Voll",H28/0.35,H28/0.35*2)</f>
        <v>1.5643656571428573E-2</v>
      </c>
      <c r="O28" s="2">
        <f>IF('Modell einstellen'!$B$1="Voll",J28/0.35,J28/0.35*2)</f>
        <v>-3.8479935999999999E-2</v>
      </c>
      <c r="P28" s="3">
        <f t="shared" si="1"/>
        <v>0.40654060784894686</v>
      </c>
    </row>
    <row r="29" spans="1:16" x14ac:dyDescent="0.25">
      <c r="A29" s="3">
        <v>100000000000</v>
      </c>
      <c r="B29" s="3">
        <v>3.4970000000000001E-3</v>
      </c>
      <c r="C29" s="3">
        <v>1.0630000000000001E-2</v>
      </c>
      <c r="D29" s="3">
        <v>-1.427E-2</v>
      </c>
      <c r="E29" s="3">
        <v>0</v>
      </c>
      <c r="F29" s="3">
        <v>0</v>
      </c>
      <c r="G29" s="3">
        <v>0</v>
      </c>
      <c r="H29" s="3">
        <v>2.7396120000000002E-3</v>
      </c>
      <c r="I29" s="3">
        <v>2.1559679999999999E-3</v>
      </c>
      <c r="J29" s="3">
        <v>-6.7581941E-3</v>
      </c>
      <c r="L29" s="3">
        <f t="shared" si="0"/>
        <v>0.24505956552207431</v>
      </c>
      <c r="M29" s="3"/>
      <c r="N29" s="2">
        <f>IF('Modell einstellen'!$B$1="Voll",H29/0.35,H29/0.35*2)</f>
        <v>1.5654925714285717E-2</v>
      </c>
      <c r="O29" s="2">
        <f>IF('Modell einstellen'!$B$1="Voll",J29/0.35,J29/0.35*2)</f>
        <v>-3.8618251999999999E-2</v>
      </c>
      <c r="P29" s="3">
        <f t="shared" si="1"/>
        <v>0.40537634158805835</v>
      </c>
    </row>
    <row r="30" spans="1:16" x14ac:dyDescent="0.25">
      <c r="A30" s="3">
        <v>1000000000000</v>
      </c>
      <c r="B30" s="3">
        <v>4.3140000000000001E-3</v>
      </c>
      <c r="C30" s="3">
        <v>1.11E-2</v>
      </c>
      <c r="D30" s="3">
        <v>-1.5559999999999999E-2</v>
      </c>
      <c r="E30" s="3">
        <v>0</v>
      </c>
      <c r="F30" s="3">
        <v>0</v>
      </c>
      <c r="G30" s="3">
        <v>0</v>
      </c>
      <c r="H30" s="3">
        <v>2.7493212E-3</v>
      </c>
      <c r="I30" s="3">
        <v>2.2051655E-3</v>
      </c>
      <c r="J30" s="3">
        <v>-6.8569566000000002E-3</v>
      </c>
      <c r="L30" s="3">
        <f t="shared" si="0"/>
        <v>0.27724935732647815</v>
      </c>
      <c r="M30" s="3"/>
      <c r="N30" s="2">
        <f>IF('Modell einstellen'!$B$1="Voll",H30/0.35,H30/0.35*2)</f>
        <v>1.5710406857142856E-2</v>
      </c>
      <c r="O30" s="2">
        <f>IF('Modell einstellen'!$B$1="Voll",J30/0.35,J30/0.35*2)</f>
        <v>-3.918260914285715E-2</v>
      </c>
      <c r="P30" s="3">
        <f t="shared" si="1"/>
        <v>0.40095356590123371</v>
      </c>
    </row>
    <row r="31" spans="1:16" x14ac:dyDescent="0.25">
      <c r="A31" s="3">
        <v>10000000000000</v>
      </c>
      <c r="B31" s="3">
        <v>4.4860000000000004E-3</v>
      </c>
      <c r="C31" s="3">
        <v>1.12E-2</v>
      </c>
      <c r="D31" s="3">
        <v>-1.583E-2</v>
      </c>
      <c r="E31" s="3">
        <v>0</v>
      </c>
      <c r="F31" s="3">
        <v>0</v>
      </c>
      <c r="G31" s="3">
        <v>0</v>
      </c>
      <c r="H31" s="3">
        <v>2.7512914E-3</v>
      </c>
      <c r="I31" s="3">
        <v>2.2146653999999999E-3</v>
      </c>
      <c r="J31" s="3">
        <v>-6.8760825999999997E-3</v>
      </c>
      <c r="L31" s="3">
        <f t="shared" si="0"/>
        <v>0.2833859759949463</v>
      </c>
      <c r="M31" s="3"/>
      <c r="N31" s="2">
        <f>IF('Modell einstellen'!$B$1="Voll",H31/0.35,H31/0.35*2)</f>
        <v>1.5721665142857146E-2</v>
      </c>
      <c r="O31" s="2">
        <f>IF('Modell einstellen'!$B$1="Voll",J31/0.35,J31/0.35*2)</f>
        <v>-3.9291900571428576E-2</v>
      </c>
      <c r="P31" s="3">
        <f t="shared" si="1"/>
        <v>0.40012483270634358</v>
      </c>
    </row>
    <row r="32" spans="1:16" x14ac:dyDescent="0.25">
      <c r="A32" s="3">
        <v>100000000000000</v>
      </c>
      <c r="B32" s="3">
        <v>5.0619999999999997E-3</v>
      </c>
      <c r="C32" s="3">
        <v>1.1509999999999999E-2</v>
      </c>
      <c r="D32" s="3">
        <v>-1.6719999999999999E-2</v>
      </c>
      <c r="E32" s="3">
        <v>0</v>
      </c>
      <c r="F32" s="3">
        <v>0</v>
      </c>
      <c r="G32" s="3">
        <v>0</v>
      </c>
      <c r="H32" s="3">
        <v>2.7584379000000002E-3</v>
      </c>
      <c r="I32" s="3">
        <v>2.2419889999999998E-3</v>
      </c>
      <c r="J32" s="3">
        <v>-6.9325254000000003E-3</v>
      </c>
      <c r="L32" s="3">
        <f t="shared" si="0"/>
        <v>0.30275119617224883</v>
      </c>
      <c r="M32" s="3"/>
      <c r="N32" s="2">
        <f>IF('Modell einstellen'!$B$1="Voll",H32/0.35,H32/0.35*2)</f>
        <v>1.5762502285714287E-2</v>
      </c>
      <c r="O32" s="2">
        <f>IF('Modell einstellen'!$B$1="Voll",J32/0.35,J32/0.35*2)</f>
        <v>-3.9614430857142863E-2</v>
      </c>
      <c r="P32" s="3">
        <f t="shared" si="1"/>
        <v>0.39789798678559474</v>
      </c>
    </row>
    <row r="33" spans="1:16" x14ac:dyDescent="0.25">
      <c r="A33" s="3">
        <v>1000000000000000</v>
      </c>
      <c r="B33" s="3">
        <v>5.3249999999999999E-3</v>
      </c>
      <c r="C33" s="3">
        <v>1.1639999999999999E-2</v>
      </c>
      <c r="D33" s="3">
        <v>-1.711E-2</v>
      </c>
      <c r="E33" s="3">
        <v>0</v>
      </c>
      <c r="F33" s="3">
        <v>0</v>
      </c>
      <c r="G33" s="3">
        <v>0</v>
      </c>
      <c r="H33" s="3">
        <v>2.7616021000000002E-3</v>
      </c>
      <c r="I33" s="3">
        <v>2.2524566000000001E-3</v>
      </c>
      <c r="J33" s="3">
        <v>-6.954539E-3</v>
      </c>
      <c r="L33" s="3">
        <f t="shared" si="0"/>
        <v>0.31122150789012271</v>
      </c>
      <c r="M33" s="3"/>
      <c r="N33" s="2">
        <f>IF('Modell einstellen'!$B$1="Voll",H33/0.35,H33/0.35*2)</f>
        <v>1.5780583428571429E-2</v>
      </c>
      <c r="O33" s="2">
        <f>IF('Modell einstellen'!$B$1="Voll",J33/0.35,J33/0.35*2)</f>
        <v>-3.9740222857142862E-2</v>
      </c>
      <c r="P33" s="3">
        <f t="shared" si="1"/>
        <v>0.39709348096257707</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-1.56E-5</v>
      </c>
      <c r="C3" s="3">
        <v>1.605E-4</v>
      </c>
      <c r="D3" s="3">
        <v>-4.3150000000000003E-4</v>
      </c>
      <c r="E3" s="3">
        <v>0</v>
      </c>
      <c r="F3" s="3">
        <v>0</v>
      </c>
      <c r="G3" s="3">
        <v>0</v>
      </c>
      <c r="H3" s="3">
        <v>3.9528162000000002E-5</v>
      </c>
      <c r="I3" s="3">
        <v>1.5186251E-5</v>
      </c>
      <c r="J3" s="3">
        <v>-1.0242702E-4</v>
      </c>
      <c r="L3" s="3">
        <f>-B3/D3</f>
        <v>-3.6152954808806488E-2</v>
      </c>
      <c r="M3" s="3"/>
      <c r="N3" s="2">
        <f>IF('Modell einstellen'!$B$1="Voll",H3/0.35,H3/0.35*2)</f>
        <v>2.2587521142857146E-4</v>
      </c>
      <c r="O3" s="2">
        <f>IF('Modell einstellen'!$B$1="Voll",J3/0.35,J3/0.35*2)</f>
        <v>-5.8529725714285717E-4</v>
      </c>
      <c r="P3" s="3">
        <f>-N3/O3</f>
        <v>0.38591537662620667</v>
      </c>
    </row>
    <row r="4" spans="1:16" x14ac:dyDescent="0.25">
      <c r="A4" s="3">
        <v>1E-14</v>
      </c>
      <c r="B4" s="3">
        <v>-3.451E-5</v>
      </c>
      <c r="C4" s="3">
        <v>1.6559999999999999E-4</v>
      </c>
      <c r="D4" s="3">
        <v>-4.2319999999999999E-4</v>
      </c>
      <c r="E4" s="3">
        <v>0</v>
      </c>
      <c r="F4" s="3">
        <v>0</v>
      </c>
      <c r="G4" s="3">
        <v>0</v>
      </c>
      <c r="H4" s="3">
        <v>4.2715893000000003E-5</v>
      </c>
      <c r="I4" s="3">
        <v>1.5699430999999999E-5</v>
      </c>
      <c r="J4" s="3">
        <v>-1.070612E-4</v>
      </c>
      <c r="L4" s="3">
        <f t="shared" ref="L4:L33" si="0">-B4/D4</f>
        <v>-8.1545368620037806E-2</v>
      </c>
      <c r="M4" s="3"/>
      <c r="N4" s="2">
        <f>IF('Modell einstellen'!$B$1="Voll",H4/0.35,H4/0.35*2)</f>
        <v>2.4409081714285718E-4</v>
      </c>
      <c r="O4" s="2">
        <f>IF('Modell einstellen'!$B$1="Voll",J4/0.35,J4/0.35*2)</f>
        <v>-6.1177828571428578E-4</v>
      </c>
      <c r="P4" s="3">
        <f t="shared" ref="P4:P33" si="1">-N4/O4</f>
        <v>0.39898574833833361</v>
      </c>
    </row>
    <row r="5" spans="1:16" x14ac:dyDescent="0.25">
      <c r="A5" s="3">
        <v>1E-13</v>
      </c>
      <c r="B5" s="3">
        <v>-5.5390000000000003E-5</v>
      </c>
      <c r="C5" s="3">
        <v>1.7019999999999999E-4</v>
      </c>
      <c r="D5" s="3">
        <v>-4.1189999999999998E-4</v>
      </c>
      <c r="E5" s="3">
        <v>0</v>
      </c>
      <c r="F5" s="3">
        <v>0</v>
      </c>
      <c r="G5" s="3">
        <v>0</v>
      </c>
      <c r="H5" s="3">
        <v>4.5898932999999999E-5</v>
      </c>
      <c r="I5" s="3">
        <v>1.6161128999999999E-5</v>
      </c>
      <c r="J5" s="3">
        <v>-1.1154370999999999E-4</v>
      </c>
      <c r="L5" s="3">
        <f t="shared" si="0"/>
        <v>-0.13447438698713282</v>
      </c>
      <c r="M5" s="3"/>
      <c r="N5" s="2">
        <f>IF('Modell einstellen'!$B$1="Voll",H5/0.35,H5/0.35*2)</f>
        <v>2.6227961714285714E-4</v>
      </c>
      <c r="O5" s="2">
        <f>IF('Modell einstellen'!$B$1="Voll",J5/0.35,J5/0.35*2)</f>
        <v>-6.373926285714286E-4</v>
      </c>
      <c r="P5" s="3">
        <f t="shared" si="1"/>
        <v>0.41148831251892193</v>
      </c>
    </row>
    <row r="6" spans="1:16" x14ac:dyDescent="0.25">
      <c r="A6" s="3">
        <v>9.9999999999999998E-13</v>
      </c>
      <c r="B6" s="3">
        <v>-8.0560000000000001E-5</v>
      </c>
      <c r="C6" s="3">
        <v>1.7479999999999999E-4</v>
      </c>
      <c r="D6" s="3">
        <v>-3.9639999999999999E-4</v>
      </c>
      <c r="E6" s="3">
        <v>0</v>
      </c>
      <c r="F6" s="3">
        <v>0</v>
      </c>
      <c r="G6" s="3">
        <v>0</v>
      </c>
      <c r="H6" s="3">
        <v>4.9451974000000002E-5</v>
      </c>
      <c r="I6" s="3">
        <v>1.6628665999999999E-5</v>
      </c>
      <c r="J6" s="3">
        <v>-1.1640967E-4</v>
      </c>
      <c r="L6" s="3">
        <f t="shared" si="0"/>
        <v>-0.20322906155398587</v>
      </c>
      <c r="M6" s="3"/>
      <c r="N6" s="2">
        <f>IF('Modell einstellen'!$B$1="Voll",H6/0.35,H6/0.35*2)</f>
        <v>2.8258270857142861E-4</v>
      </c>
      <c r="O6" s="2">
        <f>IF('Modell einstellen'!$B$1="Voll",J6/0.35,J6/0.35*2)</f>
        <v>-6.6519811428571434E-4</v>
      </c>
      <c r="P6" s="3">
        <f t="shared" si="1"/>
        <v>0.42480984612360811</v>
      </c>
    </row>
    <row r="7" spans="1:16" x14ac:dyDescent="0.25">
      <c r="A7" s="3">
        <v>9.9999999999999994E-12</v>
      </c>
      <c r="B7" s="3">
        <v>-1.144E-4</v>
      </c>
      <c r="C7" s="3">
        <v>1.8000000000000001E-4</v>
      </c>
      <c r="D7" s="3">
        <v>-3.7330000000000002E-4</v>
      </c>
      <c r="E7" s="3">
        <v>0</v>
      </c>
      <c r="F7" s="3">
        <v>0</v>
      </c>
      <c r="G7" s="3">
        <v>0</v>
      </c>
      <c r="H7" s="3">
        <v>5.3883111000000003E-5</v>
      </c>
      <c r="I7" s="3">
        <v>1.7149515999999999E-5</v>
      </c>
      <c r="J7" s="3">
        <v>-1.2230077E-4</v>
      </c>
      <c r="L7" s="3">
        <f t="shared" si="0"/>
        <v>-0.30645593356549689</v>
      </c>
      <c r="M7" s="3"/>
      <c r="N7" s="2">
        <f>IF('Modell einstellen'!$B$1="Voll",H7/0.35,H7/0.35*2)</f>
        <v>3.0790349142857144E-4</v>
      </c>
      <c r="O7" s="2">
        <f>IF('Modell einstellen'!$B$1="Voll",J7/0.35,J7/0.35*2)</f>
        <v>-6.9886154285714298E-4</v>
      </c>
      <c r="P7" s="3">
        <f t="shared" si="1"/>
        <v>0.44057867338038831</v>
      </c>
    </row>
    <row r="8" spans="1:16" x14ac:dyDescent="0.25">
      <c r="A8" s="3">
        <v>1E-10</v>
      </c>
      <c r="B8" s="3">
        <v>-1.617E-4</v>
      </c>
      <c r="C8" s="3">
        <v>1.8579999999999999E-4</v>
      </c>
      <c r="D8" s="3">
        <v>-3.3819999999999998E-4</v>
      </c>
      <c r="E8" s="3">
        <v>0</v>
      </c>
      <c r="F8" s="3">
        <v>0</v>
      </c>
      <c r="G8" s="3">
        <v>0</v>
      </c>
      <c r="H8" s="3">
        <v>5.9640411999999999E-5</v>
      </c>
      <c r="I8" s="3">
        <v>1.7740571000000002E-5</v>
      </c>
      <c r="J8" s="3">
        <v>-1.297119E-4</v>
      </c>
      <c r="L8" s="3">
        <f t="shared" si="0"/>
        <v>-0.47811945594322891</v>
      </c>
      <c r="M8" s="3"/>
      <c r="N8" s="2">
        <f>IF('Modell einstellen'!$B$1="Voll",H8/0.35,H8/0.35*2)</f>
        <v>3.4080235428571429E-4</v>
      </c>
      <c r="O8" s="2">
        <f>IF('Modell einstellen'!$B$1="Voll",J8/0.35,J8/0.35*2)</f>
        <v>-7.4121085714285719E-4</v>
      </c>
      <c r="P8" s="3">
        <f t="shared" si="1"/>
        <v>0.45979136840952911</v>
      </c>
    </row>
    <row r="9" spans="1:16" x14ac:dyDescent="0.25">
      <c r="A9" s="3">
        <v>1.0000000000000001E-9</v>
      </c>
      <c r="B9" s="3">
        <v>-2.4640000000000003E-4</v>
      </c>
      <c r="C9" s="3">
        <v>1.9359999999999999E-4</v>
      </c>
      <c r="D9" s="3">
        <v>-2.7E-4</v>
      </c>
      <c r="E9" s="3">
        <v>0</v>
      </c>
      <c r="F9" s="3">
        <v>0</v>
      </c>
      <c r="G9" s="3">
        <v>0</v>
      </c>
      <c r="H9" s="3">
        <v>6.9119901000000005E-5</v>
      </c>
      <c r="I9" s="3">
        <v>1.8547626E-5</v>
      </c>
      <c r="J9" s="3">
        <v>-1.4144556000000001E-4</v>
      </c>
      <c r="L9" s="3">
        <f t="shared" si="0"/>
        <v>-0.91259259259259273</v>
      </c>
      <c r="M9" s="3"/>
      <c r="N9" s="2">
        <f>IF('Modell einstellen'!$B$1="Voll",H9/0.35,H9/0.35*2)</f>
        <v>3.9497086285714291E-4</v>
      </c>
      <c r="O9" s="2">
        <f>IF('Modell einstellen'!$B$1="Voll",J9/0.35,J9/0.35*2)</f>
        <v>-8.0826034285714295E-4</v>
      </c>
      <c r="P9" s="3">
        <f t="shared" si="1"/>
        <v>0.48866787335000123</v>
      </c>
    </row>
    <row r="10" spans="1:16" x14ac:dyDescent="0.25">
      <c r="A10" s="3">
        <v>1E-8</v>
      </c>
      <c r="B10" s="3">
        <v>-4.038E-4</v>
      </c>
      <c r="C10" s="3">
        <v>2.0330000000000001E-4</v>
      </c>
      <c r="D10" s="3">
        <v>-1.3339999999999999E-4</v>
      </c>
      <c r="E10" s="3">
        <v>0</v>
      </c>
      <c r="F10" s="3">
        <v>0</v>
      </c>
      <c r="G10" s="3">
        <v>0</v>
      </c>
      <c r="H10" s="3">
        <v>8.5082203999999994E-5</v>
      </c>
      <c r="I10" s="3">
        <v>1.9564406000000002E-5</v>
      </c>
      <c r="J10" s="3">
        <v>-1.6023761999999999E-4</v>
      </c>
      <c r="L10" s="3">
        <f t="shared" si="0"/>
        <v>-3.0269865067466268</v>
      </c>
      <c r="M10" s="3"/>
      <c r="N10" s="2">
        <f>IF('Modell einstellen'!$B$1="Voll",H10/0.35,H10/0.35*2)</f>
        <v>4.8618402285714285E-4</v>
      </c>
      <c r="O10" s="2">
        <f>IF('Modell einstellen'!$B$1="Voll",J10/0.35,J10/0.35*2)</f>
        <v>-9.1564354285714287E-4</v>
      </c>
      <c r="P10" s="3">
        <f t="shared" si="1"/>
        <v>0.53097521044059437</v>
      </c>
    </row>
    <row r="11" spans="1:16" x14ac:dyDescent="0.25">
      <c r="A11" s="3">
        <v>9.9999999999999995E-8</v>
      </c>
      <c r="B11" s="3">
        <v>-7.2179999999999998E-4</v>
      </c>
      <c r="C11" s="3">
        <v>2.1440000000000001E-4</v>
      </c>
      <c r="D11" s="3">
        <v>1.604E-4</v>
      </c>
      <c r="E11" s="3">
        <v>0</v>
      </c>
      <c r="F11" s="3">
        <v>0</v>
      </c>
      <c r="G11" s="3">
        <v>0</v>
      </c>
      <c r="H11" s="3">
        <v>1.1422035E-4</v>
      </c>
      <c r="I11" s="3">
        <v>2.0766750999999998E-5</v>
      </c>
      <c r="J11" s="3">
        <v>-1.9269544999999999E-4</v>
      </c>
      <c r="L11" s="3">
        <f t="shared" si="0"/>
        <v>4.5</v>
      </c>
      <c r="M11" s="3"/>
      <c r="N11" s="2">
        <f>IF('Modell einstellen'!$B$1="Voll",H11/0.35,H11/0.35*2)</f>
        <v>6.5268771428571434E-4</v>
      </c>
      <c r="O11" s="2">
        <f>IF('Modell einstellen'!$B$1="Voll",J11/0.35,J11/0.35*2)</f>
        <v>-1.1011168571428572E-3</v>
      </c>
      <c r="P11" s="3">
        <f t="shared" si="1"/>
        <v>0.59275063318827714</v>
      </c>
    </row>
    <row r="12" spans="1:16" x14ac:dyDescent="0.25">
      <c r="A12" s="3">
        <v>9.9999999999999995E-7</v>
      </c>
      <c r="B12" s="3">
        <v>-1.48E-3</v>
      </c>
      <c r="C12" s="3">
        <v>2.2589999999999999E-4</v>
      </c>
      <c r="D12" s="3">
        <v>8.9240000000000001E-4</v>
      </c>
      <c r="E12" s="3">
        <v>0</v>
      </c>
      <c r="F12" s="3">
        <v>0</v>
      </c>
      <c r="G12" s="3">
        <v>0</v>
      </c>
      <c r="H12" s="3">
        <v>1.7745976000000001E-4</v>
      </c>
      <c r="I12" s="3">
        <v>2.2086192E-5</v>
      </c>
      <c r="J12" s="3">
        <v>-2.5948056000000001E-4</v>
      </c>
      <c r="L12" s="3">
        <f t="shared" si="0"/>
        <v>1.6584491259524876</v>
      </c>
      <c r="M12" s="3"/>
      <c r="N12" s="2">
        <f>IF('Modell einstellen'!$B$1="Voll",H12/0.35,H12/0.35*2)</f>
        <v>1.0140557714285714E-3</v>
      </c>
      <c r="O12" s="2">
        <f>IF('Modell einstellen'!$B$1="Voll",J12/0.35,J12/0.35*2)</f>
        <v>-1.4827460571428574E-3</v>
      </c>
      <c r="P12" s="3">
        <f t="shared" si="1"/>
        <v>0.68390387318417989</v>
      </c>
    </row>
    <row r="13" spans="1:16" x14ac:dyDescent="0.25">
      <c r="A13" s="3">
        <v>1.0000000000000001E-5</v>
      </c>
      <c r="B13" s="3">
        <v>-3.1619999999999999E-3</v>
      </c>
      <c r="C13" s="3">
        <v>2.3360000000000001E-4</v>
      </c>
      <c r="D13" s="3">
        <v>2.5569999999999998E-3</v>
      </c>
      <c r="E13" s="3">
        <v>0</v>
      </c>
      <c r="F13" s="3">
        <v>0</v>
      </c>
      <c r="G13" s="3">
        <v>0</v>
      </c>
      <c r="H13" s="3">
        <v>3.0883351999999998E-4</v>
      </c>
      <c r="I13" s="3">
        <v>2.3063506999999999E-5</v>
      </c>
      <c r="J13" s="3">
        <v>-3.9311707E-4</v>
      </c>
      <c r="L13" s="3">
        <f t="shared" si="0"/>
        <v>1.2366053969495503</v>
      </c>
      <c r="M13" s="3"/>
      <c r="N13" s="2">
        <f>IF('Modell einstellen'!$B$1="Voll",H13/0.35,H13/0.35*2)</f>
        <v>1.7647629714285715E-3</v>
      </c>
      <c r="O13" s="2">
        <f>IF('Modell einstellen'!$B$1="Voll",J13/0.35,J13/0.35*2)</f>
        <v>-2.2463832571428572E-3</v>
      </c>
      <c r="P13" s="3">
        <f t="shared" si="1"/>
        <v>0.78560190734022317</v>
      </c>
    </row>
    <row r="14" spans="1:16" x14ac:dyDescent="0.25">
      <c r="A14" s="3">
        <v>1E-4</v>
      </c>
      <c r="B14" s="3">
        <v>-6.5389999999999997E-3</v>
      </c>
      <c r="C14" s="3">
        <v>2.3709999999999999E-4</v>
      </c>
      <c r="D14" s="3">
        <v>5.9259999999999998E-3</v>
      </c>
      <c r="E14" s="3">
        <v>0</v>
      </c>
      <c r="F14" s="3">
        <v>0</v>
      </c>
      <c r="G14" s="3">
        <v>0</v>
      </c>
      <c r="H14" s="3">
        <v>5.6409511999999998E-4</v>
      </c>
      <c r="I14" s="3">
        <v>2.3620962999999998E-5</v>
      </c>
      <c r="J14" s="3">
        <v>-6.4844822999999998E-4</v>
      </c>
      <c r="L14" s="3">
        <f t="shared" si="0"/>
        <v>1.1034424569692878</v>
      </c>
      <c r="M14" s="3"/>
      <c r="N14" s="2">
        <f>IF('Modell einstellen'!$B$1="Voll",H14/0.35,H14/0.35*2)</f>
        <v>3.2234006857142857E-3</v>
      </c>
      <c r="O14" s="2">
        <f>IF('Modell einstellen'!$B$1="Voll",J14/0.35,J14/0.35*2)</f>
        <v>-3.7054184571428572E-3</v>
      </c>
      <c r="P14" s="3">
        <f t="shared" si="1"/>
        <v>0.86991542871510341</v>
      </c>
    </row>
    <row r="15" spans="1:16" x14ac:dyDescent="0.25">
      <c r="A15" s="3">
        <v>1E-3</v>
      </c>
      <c r="B15" s="3">
        <v>-1.2959999999999999E-2</v>
      </c>
      <c r="C15" s="3">
        <v>2.385E-4</v>
      </c>
      <c r="D15" s="3">
        <v>1.234E-2</v>
      </c>
      <c r="E15" s="3">
        <v>0</v>
      </c>
      <c r="F15" s="3">
        <v>0</v>
      </c>
      <c r="G15" s="3">
        <v>0</v>
      </c>
      <c r="H15" s="3">
        <v>1.0407458000000001E-3</v>
      </c>
      <c r="I15" s="3">
        <v>2.3938111E-5</v>
      </c>
      <c r="J15" s="3">
        <v>-1.1212088999999999E-3</v>
      </c>
      <c r="L15" s="3">
        <f t="shared" si="0"/>
        <v>1.0502431118314424</v>
      </c>
      <c r="M15" s="3"/>
      <c r="N15" s="2">
        <f>IF('Modell einstellen'!$B$1="Voll",H15/0.35,H15/0.35*2)</f>
        <v>5.9471188571428579E-3</v>
      </c>
      <c r="O15" s="2">
        <f>IF('Modell einstellen'!$B$1="Voll",J15/0.35,J15/0.35*2)</f>
        <v>-6.4069080000000002E-3</v>
      </c>
      <c r="P15" s="3">
        <f t="shared" si="1"/>
        <v>0.92823540733577847</v>
      </c>
    </row>
    <row r="16" spans="1:16" x14ac:dyDescent="0.25">
      <c r="A16" s="3">
        <v>0.01</v>
      </c>
      <c r="B16" s="3">
        <v>-2.0760000000000001E-2</v>
      </c>
      <c r="C16" s="3">
        <v>2.3890000000000001E-4</v>
      </c>
      <c r="D16" s="3">
        <v>2.0150000000000001E-2</v>
      </c>
      <c r="E16" s="3">
        <v>0</v>
      </c>
      <c r="F16" s="3">
        <v>0</v>
      </c>
      <c r="G16" s="3">
        <v>0</v>
      </c>
      <c r="H16" s="3">
        <v>1.614388E-3</v>
      </c>
      <c r="I16" s="3">
        <v>2.4345226E-5</v>
      </c>
      <c r="J16" s="3">
        <v>-1.6866044000000001E-3</v>
      </c>
      <c r="L16" s="3">
        <f t="shared" si="0"/>
        <v>1.0302729528535979</v>
      </c>
      <c r="M16" s="3"/>
      <c r="N16" s="2">
        <f>IF('Modell einstellen'!$B$1="Voll",H16/0.35,H16/0.35*2)</f>
        <v>9.2250742857142871E-3</v>
      </c>
      <c r="O16" s="2">
        <f>IF('Modell einstellen'!$B$1="Voll",J16/0.35,J16/0.35*2)</f>
        <v>-9.6377394285714294E-3</v>
      </c>
      <c r="P16" s="3">
        <f t="shared" si="1"/>
        <v>0.95718237187096167</v>
      </c>
    </row>
    <row r="17" spans="1:16" x14ac:dyDescent="0.25">
      <c r="A17" s="3">
        <v>0.1</v>
      </c>
      <c r="B17" s="3">
        <v>-2.478E-2</v>
      </c>
      <c r="C17" s="3">
        <v>2.4369999999999999E-4</v>
      </c>
      <c r="D17" s="3">
        <v>2.4160000000000001E-2</v>
      </c>
      <c r="E17" s="3">
        <v>0</v>
      </c>
      <c r="F17" s="3">
        <v>0</v>
      </c>
      <c r="G17" s="3">
        <v>0</v>
      </c>
      <c r="H17" s="3">
        <v>1.9140813000000001E-3</v>
      </c>
      <c r="I17" s="3">
        <v>2.7028480999999998E-5</v>
      </c>
      <c r="J17" s="3">
        <v>-1.9851928E-3</v>
      </c>
      <c r="L17" s="3">
        <f t="shared" si="0"/>
        <v>1.0256622516556291</v>
      </c>
      <c r="M17" s="3"/>
      <c r="N17" s="2">
        <f>IF('Modell einstellen'!$B$1="Voll",H17/0.35,H17/0.35*2)</f>
        <v>1.093760742857143E-2</v>
      </c>
      <c r="O17" s="2">
        <f>IF('Modell einstellen'!$B$1="Voll",J17/0.35,J17/0.35*2)</f>
        <v>-1.1343958857142858E-2</v>
      </c>
      <c r="P17" s="3">
        <f t="shared" si="1"/>
        <v>0.9641790459848536</v>
      </c>
    </row>
    <row r="18" spans="1:16" x14ac:dyDescent="0.25">
      <c r="A18" s="3">
        <v>1</v>
      </c>
      <c r="B18" s="3">
        <v>-2.7060000000000001E-2</v>
      </c>
      <c r="C18" s="3">
        <v>2.6259999999999999E-4</v>
      </c>
      <c r="D18" s="3">
        <v>2.6429999999999999E-2</v>
      </c>
      <c r="E18" s="3">
        <v>0</v>
      </c>
      <c r="F18" s="3">
        <v>0</v>
      </c>
      <c r="G18" s="3">
        <v>0</v>
      </c>
      <c r="H18" s="3">
        <v>2.1131793999999999E-3</v>
      </c>
      <c r="I18" s="3">
        <v>4.1968645E-5</v>
      </c>
      <c r="J18" s="3">
        <v>-2.2079793000000002E-3</v>
      </c>
      <c r="L18" s="3">
        <f t="shared" si="0"/>
        <v>1.0238365493757096</v>
      </c>
      <c r="M18" s="3"/>
      <c r="N18" s="2">
        <f>IF('Modell einstellen'!$B$1="Voll",H18/0.35,H18/0.35*2)</f>
        <v>1.2075310857142857E-2</v>
      </c>
      <c r="O18" s="2">
        <f>IF('Modell einstellen'!$B$1="Voll",J18/0.35,J18/0.35*2)</f>
        <v>-1.2617024571428574E-2</v>
      </c>
      <c r="P18" s="3">
        <f t="shared" si="1"/>
        <v>0.95706486016422332</v>
      </c>
    </row>
    <row r="19" spans="1:16" x14ac:dyDescent="0.25">
      <c r="A19" s="3">
        <v>10</v>
      </c>
      <c r="B19" s="3">
        <v>-2.6839999999999999E-2</v>
      </c>
      <c r="C19" s="3">
        <v>3.5110000000000002E-4</v>
      </c>
      <c r="D19" s="3">
        <v>2.613E-2</v>
      </c>
      <c r="E19" s="3">
        <v>0</v>
      </c>
      <c r="F19" s="3">
        <v>0</v>
      </c>
      <c r="G19" s="3">
        <v>0</v>
      </c>
      <c r="H19" s="3">
        <v>2.2048676999999999E-3</v>
      </c>
      <c r="I19" s="3">
        <v>9.8150253000000006E-5</v>
      </c>
      <c r="J19" s="3">
        <v>-2.4043322E-3</v>
      </c>
      <c r="L19" s="3">
        <f t="shared" si="0"/>
        <v>1.0271718331419823</v>
      </c>
      <c r="M19" s="3"/>
      <c r="N19" s="2">
        <f>IF('Modell einstellen'!$B$1="Voll",H19/0.35,H19/0.35*2)</f>
        <v>1.2599244000000001E-2</v>
      </c>
      <c r="O19" s="2">
        <f>IF('Modell einstellen'!$B$1="Voll",J19/0.35,J19/0.35*2)</f>
        <v>-1.3739041142857143E-2</v>
      </c>
      <c r="P19" s="3">
        <f t="shared" si="1"/>
        <v>0.91703954220635575</v>
      </c>
    </row>
    <row r="20" spans="1:16" x14ac:dyDescent="0.25">
      <c r="A20" s="3">
        <v>100</v>
      </c>
      <c r="B20" s="3">
        <v>-2.341E-2</v>
      </c>
      <c r="C20" s="3">
        <v>7.7280000000000003E-4</v>
      </c>
      <c r="D20" s="3">
        <v>2.23E-2</v>
      </c>
      <c r="E20" s="3">
        <v>0</v>
      </c>
      <c r="F20" s="3">
        <v>0</v>
      </c>
      <c r="G20" s="3">
        <v>0</v>
      </c>
      <c r="H20" s="3">
        <v>2.2903513E-3</v>
      </c>
      <c r="I20" s="3">
        <v>2.9405417E-4</v>
      </c>
      <c r="J20" s="3">
        <v>-2.8608623000000001E-3</v>
      </c>
      <c r="L20" s="3">
        <f t="shared" si="0"/>
        <v>1.0497757847533633</v>
      </c>
      <c r="M20" s="3"/>
      <c r="N20" s="2">
        <f>IF('Modell einstellen'!$B$1="Voll",H20/0.35,H20/0.35*2)</f>
        <v>1.3087721714285716E-2</v>
      </c>
      <c r="O20" s="2">
        <f>IF('Modell einstellen'!$B$1="Voll",J20/0.35,J20/0.35*2)</f>
        <v>-1.6347784571428572E-2</v>
      </c>
      <c r="P20" s="3">
        <f t="shared" si="1"/>
        <v>0.80058075497027603</v>
      </c>
    </row>
    <row r="21" spans="1:16" x14ac:dyDescent="0.25">
      <c r="A21" s="3">
        <v>1000</v>
      </c>
      <c r="B21" s="3">
        <v>-1.7299999999999999E-2</v>
      </c>
      <c r="C21" s="3">
        <v>1.9940000000000001E-3</v>
      </c>
      <c r="D21" s="3">
        <v>1.5010000000000001E-2</v>
      </c>
      <c r="E21" s="3">
        <v>0</v>
      </c>
      <c r="F21" s="3">
        <v>0</v>
      </c>
      <c r="G21" s="3">
        <v>0</v>
      </c>
      <c r="H21" s="3">
        <v>2.4284323E-3</v>
      </c>
      <c r="I21" s="3">
        <v>6.7749719999999995E-4</v>
      </c>
      <c r="J21" s="3">
        <v>-3.7208227000000002E-3</v>
      </c>
      <c r="L21" s="3">
        <f t="shared" si="0"/>
        <v>1.1525649566955363</v>
      </c>
      <c r="M21" s="3"/>
      <c r="N21" s="2">
        <f>IF('Modell einstellen'!$B$1="Voll",H21/0.35,H21/0.35*2)</f>
        <v>1.3876756000000001E-2</v>
      </c>
      <c r="O21" s="2">
        <f>IF('Modell einstellen'!$B$1="Voll",J21/0.35,J21/0.35*2)</f>
        <v>-2.1261844000000002E-2</v>
      </c>
      <c r="P21" s="3">
        <f t="shared" si="1"/>
        <v>0.65266004209230388</v>
      </c>
    </row>
    <row r="22" spans="1:16" x14ac:dyDescent="0.25">
      <c r="A22" s="3">
        <v>10000</v>
      </c>
      <c r="B22" s="3">
        <v>-1.1010000000000001E-2</v>
      </c>
      <c r="C22" s="3">
        <v>3.8219999999999999E-3</v>
      </c>
      <c r="D22" s="3">
        <v>6.9430000000000004E-3</v>
      </c>
      <c r="E22" s="3">
        <v>0</v>
      </c>
      <c r="F22" s="3">
        <v>0</v>
      </c>
      <c r="G22" s="3">
        <v>0</v>
      </c>
      <c r="H22" s="3">
        <v>2.5502474E-3</v>
      </c>
      <c r="I22" s="3">
        <v>1.1042630000000001E-3</v>
      </c>
      <c r="J22" s="3">
        <v>-4.6386066999999998E-3</v>
      </c>
      <c r="L22" s="3">
        <f t="shared" si="0"/>
        <v>1.5857698401267464</v>
      </c>
      <c r="M22" s="3"/>
      <c r="N22" s="2">
        <f>IF('Modell einstellen'!$B$1="Voll",H22/0.35,H22/0.35*2)</f>
        <v>1.4572842285714286E-2</v>
      </c>
      <c r="O22" s="2">
        <f>IF('Modell einstellen'!$B$1="Voll",J22/0.35,J22/0.35*2)</f>
        <v>-2.6506324000000001E-2</v>
      </c>
      <c r="P22" s="3">
        <f t="shared" si="1"/>
        <v>0.5497873747304336</v>
      </c>
    </row>
    <row r="23" spans="1:16" x14ac:dyDescent="0.25">
      <c r="A23" s="3">
        <v>100000</v>
      </c>
      <c r="B23" s="3">
        <v>-6.0439999999999999E-3</v>
      </c>
      <c r="C23" s="3">
        <v>5.7019999999999996E-3</v>
      </c>
      <c r="D23" s="3">
        <v>1.281E-4</v>
      </c>
      <c r="E23" s="3">
        <v>0</v>
      </c>
      <c r="F23" s="3">
        <v>0</v>
      </c>
      <c r="G23" s="3">
        <v>0</v>
      </c>
      <c r="H23" s="3">
        <v>2.6287938000000002E-3</v>
      </c>
      <c r="I23" s="3">
        <v>1.4618589E-3</v>
      </c>
      <c r="J23" s="3">
        <v>-5.3783956000000004E-3</v>
      </c>
      <c r="L23" s="3">
        <f t="shared" si="0"/>
        <v>47.181889149102261</v>
      </c>
      <c r="M23" s="3"/>
      <c r="N23" s="2">
        <f>IF('Modell einstellen'!$B$1="Voll",H23/0.35,H23/0.35*2)</f>
        <v>1.5021678857142859E-2</v>
      </c>
      <c r="O23" s="2">
        <f>IF('Modell einstellen'!$B$1="Voll",J23/0.35,J23/0.35*2)</f>
        <v>-3.0733689142857148E-2</v>
      </c>
      <c r="P23" s="3">
        <f t="shared" si="1"/>
        <v>0.48876914148896</v>
      </c>
    </row>
    <row r="24" spans="1:16" x14ac:dyDescent="0.25">
      <c r="A24" s="3">
        <v>1000000</v>
      </c>
      <c r="B24" s="3">
        <v>-2.483E-3</v>
      </c>
      <c r="C24" s="3">
        <v>7.3270000000000002E-3</v>
      </c>
      <c r="D24" s="3">
        <v>-5.032E-3</v>
      </c>
      <c r="E24" s="3">
        <v>0</v>
      </c>
      <c r="F24" s="3">
        <v>0</v>
      </c>
      <c r="G24" s="3">
        <v>0</v>
      </c>
      <c r="H24" s="3">
        <v>2.6745401E-3</v>
      </c>
      <c r="I24" s="3">
        <v>1.7264957E-3</v>
      </c>
      <c r="J24" s="3">
        <v>-5.9102924000000003E-3</v>
      </c>
      <c r="L24" s="3">
        <f t="shared" si="0"/>
        <v>-0.49344197138314783</v>
      </c>
      <c r="M24" s="3"/>
      <c r="N24" s="2">
        <f>IF('Modell einstellen'!$B$1="Voll",H24/0.35,H24/0.35*2)</f>
        <v>1.5283086285714287E-2</v>
      </c>
      <c r="O24" s="2">
        <f>IF('Modell einstellen'!$B$1="Voll",J24/0.35,J24/0.35*2)</f>
        <v>-3.3773099428571429E-2</v>
      </c>
      <c r="P24" s="3">
        <f t="shared" si="1"/>
        <v>0.45252246741633295</v>
      </c>
    </row>
    <row r="25" spans="1:16" x14ac:dyDescent="0.25">
      <c r="A25" s="3">
        <v>10000000</v>
      </c>
      <c r="B25" s="3">
        <v>-3.0499999999999999E-5</v>
      </c>
      <c r="C25" s="3">
        <v>8.5920000000000007E-3</v>
      </c>
      <c r="D25" s="3">
        <v>-8.7320000000000002E-3</v>
      </c>
      <c r="E25" s="3">
        <v>0</v>
      </c>
      <c r="F25" s="3">
        <v>0</v>
      </c>
      <c r="G25" s="3">
        <v>0</v>
      </c>
      <c r="H25" s="3">
        <v>2.7019044999999999E-3</v>
      </c>
      <c r="I25" s="3">
        <v>1.9095472E-3</v>
      </c>
      <c r="J25" s="3">
        <v>-6.2723357999999998E-3</v>
      </c>
      <c r="L25" s="3">
        <f t="shared" si="0"/>
        <v>-3.4928996793403572E-3</v>
      </c>
      <c r="M25" s="3"/>
      <c r="N25" s="2">
        <f>IF('Modell einstellen'!$B$1="Voll",H25/0.35,H25/0.35*2)</f>
        <v>1.5439454285714286E-2</v>
      </c>
      <c r="O25" s="2">
        <f>IF('Modell einstellen'!$B$1="Voll",J25/0.35,J25/0.35*2)</f>
        <v>-3.5841918857142857E-2</v>
      </c>
      <c r="P25" s="3">
        <f t="shared" si="1"/>
        <v>0.43076528205010961</v>
      </c>
    </row>
    <row r="26" spans="1:16" x14ac:dyDescent="0.25">
      <c r="A26" s="3">
        <v>100000000</v>
      </c>
      <c r="B26" s="3">
        <v>1.686E-3</v>
      </c>
      <c r="C26" s="3">
        <v>9.5670000000000009E-3</v>
      </c>
      <c r="D26" s="3">
        <v>-1.141E-2</v>
      </c>
      <c r="E26" s="3">
        <v>0</v>
      </c>
      <c r="F26" s="3">
        <v>0</v>
      </c>
      <c r="G26" s="3">
        <v>0</v>
      </c>
      <c r="H26" s="3">
        <v>2.7199062999999999E-3</v>
      </c>
      <c r="I26" s="3">
        <v>2.0348168999999999E-3</v>
      </c>
      <c r="J26" s="3">
        <v>-6.5185399999999998E-3</v>
      </c>
      <c r="L26" s="3">
        <f t="shared" si="0"/>
        <v>0.14776511831726555</v>
      </c>
      <c r="M26" s="3"/>
      <c r="N26" s="2">
        <f>IF('Modell einstellen'!$B$1="Voll",H26/0.35,H26/0.35*2)</f>
        <v>1.5542321714285715E-2</v>
      </c>
      <c r="O26" s="2">
        <f>IF('Modell einstellen'!$B$1="Voll",J26/0.35,J26/0.35*2)</f>
        <v>-3.7248799999999999E-2</v>
      </c>
      <c r="P26" s="3">
        <f t="shared" si="1"/>
        <v>0.41725697778950505</v>
      </c>
    </row>
    <row r="27" spans="1:16" x14ac:dyDescent="0.25">
      <c r="A27" s="3">
        <v>1000000000</v>
      </c>
      <c r="B27" s="3">
        <v>2.8999999999999998E-3</v>
      </c>
      <c r="C27" s="3">
        <v>1.0279999999999999E-2</v>
      </c>
      <c r="D27" s="3">
        <v>-1.333E-2</v>
      </c>
      <c r="E27" s="3">
        <v>0</v>
      </c>
      <c r="F27" s="3">
        <v>0</v>
      </c>
      <c r="G27" s="3">
        <v>0</v>
      </c>
      <c r="H27" s="3">
        <v>2.7330431000000001E-3</v>
      </c>
      <c r="I27" s="3">
        <v>2.1179617E-3</v>
      </c>
      <c r="J27" s="3">
        <v>-6.6827008999999996E-3</v>
      </c>
      <c r="L27" s="3">
        <f t="shared" si="0"/>
        <v>0.21755438859714926</v>
      </c>
      <c r="M27" s="3"/>
      <c r="N27" s="2">
        <f>IF('Modell einstellen'!$B$1="Voll",H27/0.35,H27/0.35*2)</f>
        <v>1.5617389142857145E-2</v>
      </c>
      <c r="O27" s="2">
        <f>IF('Modell einstellen'!$B$1="Voll",J27/0.35,J27/0.35*2)</f>
        <v>-3.8186862285714288E-2</v>
      </c>
      <c r="P27" s="3">
        <f t="shared" si="1"/>
        <v>0.40897283013220004</v>
      </c>
    </row>
    <row r="28" spans="1:16" x14ac:dyDescent="0.25">
      <c r="A28" s="3">
        <v>10000000000</v>
      </c>
      <c r="B28" s="3">
        <v>3.5760000000000002E-3</v>
      </c>
      <c r="C28" s="3">
        <v>1.068E-2</v>
      </c>
      <c r="D28" s="3">
        <v>-1.44E-2</v>
      </c>
      <c r="E28" s="3">
        <v>0</v>
      </c>
      <c r="F28" s="3">
        <v>0</v>
      </c>
      <c r="G28" s="3">
        <v>0</v>
      </c>
      <c r="H28" s="3">
        <v>2.7404955000000001E-3</v>
      </c>
      <c r="I28" s="3">
        <v>2.1618522999999998E-3</v>
      </c>
      <c r="J28" s="3">
        <v>-6.7697343999999996E-3</v>
      </c>
      <c r="L28" s="3">
        <f t="shared" si="0"/>
        <v>0.24833333333333335</v>
      </c>
      <c r="M28" s="3"/>
      <c r="N28" s="2">
        <f>IF('Modell einstellen'!$B$1="Voll",H28/0.35,H28/0.35*2)</f>
        <v>1.5659974285714286E-2</v>
      </c>
      <c r="O28" s="2">
        <f>IF('Modell einstellen'!$B$1="Voll",J28/0.35,J28/0.35*2)</f>
        <v>-3.8684196571428568E-2</v>
      </c>
      <c r="P28" s="3">
        <f t="shared" si="1"/>
        <v>0.40481580784026033</v>
      </c>
    </row>
    <row r="29" spans="1:16" x14ac:dyDescent="0.25">
      <c r="A29" s="3">
        <v>100000000000</v>
      </c>
      <c r="B29" s="3">
        <v>3.7580000000000001E-3</v>
      </c>
      <c r="C29" s="3">
        <v>1.0789999999999999E-2</v>
      </c>
      <c r="D29" s="3">
        <v>-1.469E-2</v>
      </c>
      <c r="E29" s="3">
        <v>0</v>
      </c>
      <c r="F29" s="3">
        <v>0</v>
      </c>
      <c r="G29" s="3">
        <v>0</v>
      </c>
      <c r="H29" s="3">
        <v>2.7425311999999999E-3</v>
      </c>
      <c r="I29" s="3">
        <v>2.1735116000000001E-3</v>
      </c>
      <c r="J29" s="3">
        <v>-6.7928746999999998E-3</v>
      </c>
      <c r="L29" s="3">
        <f t="shared" si="0"/>
        <v>0.25582028590878148</v>
      </c>
      <c r="M29" s="3"/>
      <c r="N29" s="2">
        <f>IF('Modell einstellen'!$B$1="Voll",H29/0.35,H29/0.35*2)</f>
        <v>1.5671606857142858E-2</v>
      </c>
      <c r="O29" s="2">
        <f>IF('Modell einstellen'!$B$1="Voll",J29/0.35,J29/0.35*2)</f>
        <v>-3.8816426857142858E-2</v>
      </c>
      <c r="P29" s="3">
        <f t="shared" si="1"/>
        <v>0.4037364622668515</v>
      </c>
    </row>
    <row r="30" spans="1:16" x14ac:dyDescent="0.25">
      <c r="A30" s="3">
        <v>1000000000000</v>
      </c>
      <c r="B30" s="3">
        <v>4.542E-3</v>
      </c>
      <c r="C30" s="3">
        <v>1.124E-2</v>
      </c>
      <c r="D30" s="3">
        <v>-1.593E-2</v>
      </c>
      <c r="E30" s="3">
        <v>0</v>
      </c>
      <c r="F30" s="3">
        <v>0</v>
      </c>
      <c r="G30" s="3">
        <v>0</v>
      </c>
      <c r="H30" s="3">
        <v>2.7528019999999999E-3</v>
      </c>
      <c r="I30" s="3">
        <v>2.2175544999999998E-3</v>
      </c>
      <c r="J30" s="3">
        <v>-6.8827463999999996E-3</v>
      </c>
      <c r="L30" s="3">
        <f t="shared" si="0"/>
        <v>0.28512241054613935</v>
      </c>
      <c r="M30" s="3"/>
      <c r="N30" s="2">
        <f>IF('Modell einstellen'!$B$1="Voll",H30/0.35,H30/0.35*2)</f>
        <v>1.5730297142857144E-2</v>
      </c>
      <c r="O30" s="2">
        <f>IF('Modell einstellen'!$B$1="Voll",J30/0.35,J30/0.35*2)</f>
        <v>-3.9329979428571429E-2</v>
      </c>
      <c r="P30" s="3">
        <f t="shared" si="1"/>
        <v>0.39995691254874655</v>
      </c>
    </row>
    <row r="31" spans="1:16" x14ac:dyDescent="0.25">
      <c r="A31" s="3">
        <v>10000000000000</v>
      </c>
      <c r="B31" s="3">
        <v>4.5570000000000003E-3</v>
      </c>
      <c r="C31" s="3">
        <v>1.125E-2</v>
      </c>
      <c r="D31" s="3">
        <v>-1.5949999999999999E-2</v>
      </c>
      <c r="E31" s="3">
        <v>0</v>
      </c>
      <c r="F31" s="3">
        <v>0</v>
      </c>
      <c r="G31" s="3">
        <v>0</v>
      </c>
      <c r="H31" s="3">
        <v>2.7529590000000001E-3</v>
      </c>
      <c r="I31" s="3">
        <v>2.2182738E-3</v>
      </c>
      <c r="J31" s="3">
        <v>-6.8841952999999997E-3</v>
      </c>
      <c r="L31" s="3">
        <f t="shared" si="0"/>
        <v>0.28570532915360508</v>
      </c>
      <c r="M31" s="3"/>
      <c r="N31" s="2">
        <f>IF('Modell einstellen'!$B$1="Voll",H31/0.35,H31/0.35*2)</f>
        <v>1.5731194285714286E-2</v>
      </c>
      <c r="O31" s="2">
        <f>IF('Modell einstellen'!$B$1="Voll",J31/0.35,J31/0.35*2)</f>
        <v>-3.9338258857142858E-2</v>
      </c>
      <c r="P31" s="3">
        <f t="shared" si="1"/>
        <v>0.39989554044174197</v>
      </c>
    </row>
    <row r="32" spans="1:16" x14ac:dyDescent="0.25">
      <c r="A32" s="3">
        <v>100000000000000</v>
      </c>
      <c r="B32" s="3">
        <v>5.2449999999999997E-3</v>
      </c>
      <c r="C32" s="3">
        <v>1.159E-2</v>
      </c>
      <c r="D32" s="3">
        <v>-1.6969999999999999E-2</v>
      </c>
      <c r="E32" s="3">
        <v>0</v>
      </c>
      <c r="F32" s="3">
        <v>0</v>
      </c>
      <c r="G32" s="3">
        <v>0</v>
      </c>
      <c r="H32" s="3">
        <v>2.7614880999999999E-3</v>
      </c>
      <c r="I32" s="3">
        <v>2.2465963000000001E-3</v>
      </c>
      <c r="J32" s="3">
        <v>-6.9437474999999999E-3</v>
      </c>
      <c r="L32" s="3">
        <f t="shared" si="0"/>
        <v>0.30907483794932233</v>
      </c>
      <c r="M32" s="3"/>
      <c r="N32" s="2">
        <f>IF('Modell einstellen'!$B$1="Voll",H32/0.35,H32/0.35*2)</f>
        <v>1.5779932E-2</v>
      </c>
      <c r="O32" s="2">
        <f>IF('Modell einstellen'!$B$1="Voll",J32/0.35,J32/0.35*2)</f>
        <v>-3.9678557142857146E-2</v>
      </c>
      <c r="P32" s="3">
        <f t="shared" si="1"/>
        <v>0.39769419898981057</v>
      </c>
    </row>
    <row r="33" spans="1:16" x14ac:dyDescent="0.25">
      <c r="A33" s="3">
        <v>1000000000000000</v>
      </c>
      <c r="B33" s="3">
        <v>5.5230000000000001E-3</v>
      </c>
      <c r="C33" s="3">
        <v>1.174E-2</v>
      </c>
      <c r="D33" s="3">
        <v>-1.7399999999999999E-2</v>
      </c>
      <c r="E33" s="3">
        <v>0</v>
      </c>
      <c r="F33" s="3">
        <v>0</v>
      </c>
      <c r="G33" s="3">
        <v>0</v>
      </c>
      <c r="H33" s="3">
        <v>2.7630939999999998E-3</v>
      </c>
      <c r="I33" s="3">
        <v>2.2593770999999999E-3</v>
      </c>
      <c r="J33" s="3">
        <v>-6.9684884000000002E-3</v>
      </c>
      <c r="L33" s="3">
        <f t="shared" si="0"/>
        <v>0.31741379310344831</v>
      </c>
      <c r="M33" s="3"/>
      <c r="N33" s="2">
        <f>IF('Modell einstellen'!$B$1="Voll",H33/0.35,H33/0.35*2)</f>
        <v>1.5789108571428571E-2</v>
      </c>
      <c r="O33" s="2">
        <f>IF('Modell einstellen'!$B$1="Voll",J33/0.35,J33/0.35*2)</f>
        <v>-3.9819933714285716E-2</v>
      </c>
      <c r="P33" s="3">
        <f t="shared" si="1"/>
        <v>0.39651267841674243</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2022-01-12T07:40:46Z</dcterms:modified>
</cp:coreProperties>
</file>