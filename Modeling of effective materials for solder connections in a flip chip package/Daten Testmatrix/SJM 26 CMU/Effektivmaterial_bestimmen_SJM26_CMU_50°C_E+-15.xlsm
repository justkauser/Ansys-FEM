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A67" i="43"/>
  <c r="F431" i="43" l="1"/>
  <c r="F430" i="43"/>
  <c r="F419" i="43"/>
  <c r="F427" i="43"/>
  <c r="F416" i="43"/>
  <c r="F404" i="43"/>
  <c r="F424" i="43"/>
  <c r="F410" i="43"/>
  <c r="G416" i="43"/>
  <c r="G434" i="43"/>
  <c r="F423" i="43"/>
  <c r="F434" i="43"/>
  <c r="F420" i="43"/>
  <c r="C405" i="43"/>
  <c r="C423" i="43"/>
  <c r="C427" i="43"/>
  <c r="G431" i="43"/>
  <c r="G413" i="43"/>
  <c r="E422" i="43"/>
  <c r="D420" i="43"/>
  <c r="E431" i="43"/>
  <c r="D415" i="43"/>
  <c r="E420" i="43"/>
  <c r="C426" i="43"/>
  <c r="C404" i="43"/>
  <c r="D413" i="43"/>
  <c r="D405" i="43"/>
  <c r="D410" i="43"/>
  <c r="D433" i="43"/>
  <c r="D431" i="43"/>
  <c r="D422" i="43"/>
  <c r="C419" i="43"/>
  <c r="C415" i="43"/>
  <c r="C410" i="43"/>
  <c r="C433" i="43"/>
  <c r="C431" i="43"/>
  <c r="D424" i="43"/>
  <c r="C421" i="43"/>
  <c r="C418" i="43"/>
  <c r="C414" i="43"/>
  <c r="C409" i="43"/>
  <c r="C432" i="43"/>
  <c r="C424" i="43"/>
  <c r="C417" i="43"/>
  <c r="D408" i="43"/>
  <c r="C430" i="43"/>
  <c r="C425" i="43"/>
  <c r="C412" i="43"/>
  <c r="C408" i="43"/>
  <c r="C429" i="43"/>
  <c r="C420" i="43"/>
  <c r="C434" i="43"/>
  <c r="C428" i="43"/>
  <c r="C422" i="43"/>
  <c r="C407" i="43"/>
  <c r="D412" i="43"/>
  <c r="E410" i="43"/>
  <c r="E429" i="43"/>
  <c r="E418" i="43"/>
  <c r="E434" i="43"/>
  <c r="D432" i="43"/>
  <c r="D429" i="43"/>
  <c r="D427" i="43"/>
  <c r="D425" i="43"/>
  <c r="D418" i="43"/>
  <c r="D414" i="43"/>
  <c r="D407" i="43"/>
  <c r="D434" i="43"/>
  <c r="E423" i="43"/>
  <c r="D421" i="43"/>
  <c r="E416" i="43"/>
  <c r="E411" i="43"/>
  <c r="D409" i="43"/>
  <c r="E426" i="43"/>
  <c r="D423" i="43"/>
  <c r="E419" i="43"/>
  <c r="E417" i="43"/>
  <c r="D416" i="43"/>
  <c r="D411" i="43"/>
  <c r="E406" i="43"/>
  <c r="E427" i="43"/>
  <c r="E425" i="43"/>
  <c r="E404" i="43"/>
  <c r="D404" i="43"/>
  <c r="E430" i="43"/>
  <c r="D428" i="43"/>
  <c r="E433" i="43"/>
  <c r="D430" i="43"/>
  <c r="D426" i="43"/>
  <c r="E424"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<sst xmlns="http://schemas.openxmlformats.org/spreadsheetml/2006/main" count="311" uniqueCount="164">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</sst>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77416848"/>
        <c:axId val="577425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77416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25864"/>
        <c:crossesAt val="-8.0000000000000019E-3"/>
        <c:crossBetween val="midCat"/>
      </c:valAx>
      <c:valAx>
        <c:axId val="57742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74168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7974600"/>
        <c:axId val="477980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7974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80872"/>
        <c:crosses val="autoZero"/>
        <c:crossBetween val="midCat"/>
      </c:valAx>
      <c:valAx>
        <c:axId val="47798087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797460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79706176"/>
        <c:axId val="429181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7970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29181696"/>
        <c:crosses val="autoZero"/>
        <c:crossBetween val="midCat"/>
        <c:majorUnit val="10000"/>
      </c:valAx>
      <c:valAx>
        <c:axId val="42918169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70617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04818608"/>
        <c:axId val="6048170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86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7040"/>
        <c:crosses val="autoZero"/>
        <c:crossBetween val="midCat"/>
        <c:majorUnit val="10000"/>
      </c:valAx>
      <c:valAx>
        <c:axId val="60481704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0481860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04810376"/>
        <c:axId val="6048190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048103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9000"/>
        <c:crosses val="autoZero"/>
        <c:crossBetween val="midCat"/>
        <c:majorUnit val="10000"/>
      </c:valAx>
      <c:valAx>
        <c:axId val="60481900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376"/>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6.4553115572410022E-6</c:v>
                </c:pt>
                <c:pt idx="1">
                  <c:v>3.4887183318556005E-6</c:v>
                </c:pt>
                <c:pt idx="2">
                  <c:v>1.8413806233887663E-6</c:v>
                </c:pt>
                <c:pt idx="3">
                  <c:v>3.215229432830142E-6</c:v>
                </c:pt>
                <c:pt idx="4">
                  <c:v>3.6034037148644884E-6</c:v>
                </c:pt>
                <c:pt idx="5">
                  <c:v>3.7207411976317337E-6</c:v>
                </c:pt>
                <c:pt idx="6">
                  <c:v>3.7364837639704192E-6</c:v>
                </c:pt>
                <c:pt idx="7">
                  <c:v>3.4863900840669675E-6</c:v>
                </c:pt>
                <c:pt idx="8">
                  <c:v>9.2556900103284314E-7</c:v>
                </c:pt>
                <c:pt idx="9">
                  <c:v>2.1205307188212623E-5</c:v>
                </c:pt>
                <c:pt idx="10">
                  <c:v>1.4484412435119317E-5</c:v>
                </c:pt>
                <c:pt idx="11">
                  <c:v>3.0263318961548981E-5</c:v>
                </c:pt>
                <c:pt idx="12">
                  <c:v>3.9892121502632246E-5</c:v>
                </c:pt>
                <c:pt idx="13">
                  <c:v>4.3623597542640157E-5</c:v>
                </c:pt>
                <c:pt idx="14">
                  <c:v>4.0018425305950115E-5</c:v>
                </c:pt>
                <c:pt idx="15">
                  <c:v>3.1101094216116021E-5</c:v>
                </c:pt>
                <c:pt idx="16">
                  <c:v>2.1034923358539052E-5</c:v>
                </c:pt>
                <c:pt idx="17">
                  <c:v>1.3192253916111908E-5</c:v>
                </c:pt>
                <c:pt idx="18">
                  <c:v>8.2312679580392323E-6</c:v>
                </c:pt>
                <c:pt idx="19">
                  <c:v>5.0151798491761667E-6</c:v>
                </c:pt>
                <c:pt idx="20">
                  <c:v>2.8831966901130563E-6</c:v>
                </c:pt>
                <c:pt idx="21">
                  <c:v>1.9672984974437129E-6</c:v>
                </c:pt>
                <c:pt idx="22">
                  <c:v>2.9628213595646227E-6</c:v>
                </c:pt>
                <c:pt idx="23">
                  <c:v>5.1881779006038324E-6</c:v>
                </c:pt>
                <c:pt idx="24">
                  <c:v>7.5509540033898464E-6</c:v>
                </c:pt>
                <c:pt idx="25">
                  <c:v>1.2221597667432687E-5</c:v>
                </c:pt>
                <c:pt idx="26">
                  <c:v>2.601076964373969E-5</c:v>
                </c:pt>
                <c:pt idx="27">
                  <c:v>6.4471191262258581E-5</c:v>
                </c:pt>
                <c:pt idx="28">
                  <c:v>1.5886304062206206E-4</c:v>
                </c:pt>
                <c:pt idx="29">
                  <c:v>3.0366251511459216E-4</c:v>
                </c:pt>
                <c:pt idx="30">
                  <c:v>2.056185122654294E-4</c:v>
                </c:pt>
              </c:numCache>
            </c:numRef>
          </c:yVal>
          <c:smooth val="1"/>
        </c:ser>
        <c:dLbls>
          <c:showLegendKey val="0"/>
          <c:showVal val="0"/>
          <c:showCatName val="0"/>
          <c:showSerName val="0"/>
          <c:showPercent val="0"/>
          <c:showBubbleSize val="0"/>
        </c:dLbls>
        <c:axId val="604810768"/>
        <c:axId val="604817432"/>
      </c:scatterChart>
      <c:valAx>
        <c:axId val="604810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432"/>
        <c:crossesAt val="-1.5000000000000005E-3"/>
        <c:crossBetween val="midCat"/>
      </c:valAx>
      <c:valAx>
        <c:axId val="604817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07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7287.2891982826222</c:v>
                </c:pt>
                <c:pt idx="1">
                  <c:v>7287.2891982588853</c:v>
                </c:pt>
                <c:pt idx="2">
                  <c:v>7287.2891980215209</c:v>
                </c:pt>
                <c:pt idx="3">
                  <c:v>7287.2891956478752</c:v>
                </c:pt>
                <c:pt idx="4">
                  <c:v>7287.289171911425</c:v>
                </c:pt>
                <c:pt idx="5">
                  <c:v>7287.2889345473377</c:v>
                </c:pt>
                <c:pt idx="6">
                  <c:v>7287.2865609487162</c:v>
                </c:pt>
                <c:pt idx="7">
                  <c:v>7287.2628291862602</c:v>
                </c:pt>
                <c:pt idx="8">
                  <c:v>7287.0259326431087</c:v>
                </c:pt>
                <c:pt idx="9">
                  <c:v>7284.6978168855394</c:v>
                </c:pt>
                <c:pt idx="10">
                  <c:v>7264.5257553345609</c:v>
                </c:pt>
                <c:pt idx="11">
                  <c:v>7153.8643736390295</c:v>
                </c:pt>
                <c:pt idx="12">
                  <c:v>7011.7176919328949</c:v>
                </c:pt>
                <c:pt idx="13">
                  <c:v>6855.0699056416097</c:v>
                </c:pt>
                <c:pt idx="14">
                  <c:v>6667.0699875438713</c:v>
                </c:pt>
                <c:pt idx="15">
                  <c:v>6458.0741613421114</c:v>
                </c:pt>
                <c:pt idx="16">
                  <c:v>6197.0091502858468</c:v>
                </c:pt>
                <c:pt idx="17">
                  <c:v>5728.7607244893079</c:v>
                </c:pt>
                <c:pt idx="18">
                  <c:v>4909.3702737098383</c:v>
                </c:pt>
                <c:pt idx="19">
                  <c:v>4054.7059305785556</c:v>
                </c:pt>
                <c:pt idx="20">
                  <c:v>3384.7279274075818</c:v>
                </c:pt>
                <c:pt idx="21">
                  <c:v>2867.8187301762346</c:v>
                </c:pt>
                <c:pt idx="22">
                  <c:v>2393.9148734243458</c:v>
                </c:pt>
                <c:pt idx="23">
                  <c:v>1923.0546521948713</c:v>
                </c:pt>
                <c:pt idx="24">
                  <c:v>1433.0153891706077</c:v>
                </c:pt>
                <c:pt idx="25">
                  <c:v>928.38384310793288</c:v>
                </c:pt>
                <c:pt idx="26">
                  <c:v>540.76350461674588</c:v>
                </c:pt>
                <c:pt idx="27">
                  <c:v>302.12767494059574</c:v>
                </c:pt>
                <c:pt idx="28">
                  <c:v>167.92939465126034</c:v>
                </c:pt>
                <c:pt idx="29">
                  <c:v>115.59097341631293</c:v>
                </c:pt>
                <c:pt idx="30">
                  <c:v>100.51088225937114</c:v>
                </c:pt>
              </c:numCache>
            </c:numRef>
          </c:yVal>
          <c:smooth val="1"/>
        </c:ser>
        <c:dLbls>
          <c:showLegendKey val="0"/>
          <c:showVal val="0"/>
          <c:showCatName val="0"/>
          <c:showSerName val="0"/>
          <c:showPercent val="0"/>
          <c:showBubbleSize val="0"/>
        </c:dLbls>
        <c:axId val="604813904"/>
        <c:axId val="604811160"/>
      </c:scatterChart>
      <c:valAx>
        <c:axId val="6048139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160"/>
        <c:crosses val="autoZero"/>
        <c:crossBetween val="midCat"/>
      </c:valAx>
      <c:valAx>
        <c:axId val="604811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39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2.048746733962634E-2</c:v>
                </c:pt>
                <c:pt idx="1">
                  <c:v>2.0497577932868119E-2</c:v>
                </c:pt>
                <c:pt idx="2">
                  <c:v>2.0492339412976231E-2</c:v>
                </c:pt>
                <c:pt idx="3">
                  <c:v>2.0490981895104936E-2</c:v>
                </c:pt>
                <c:pt idx="4">
                  <c:v>2.0490582135265147E-2</c:v>
                </c:pt>
                <c:pt idx="5">
                  <c:v>2.0490457210554969E-2</c:v>
                </c:pt>
                <c:pt idx="6">
                  <c:v>2.0490423899705637E-2</c:v>
                </c:pt>
                <c:pt idx="7">
                  <c:v>2.0490415596103276E-2</c:v>
                </c:pt>
                <c:pt idx="8">
                  <c:v>2.0490407515055042E-2</c:v>
                </c:pt>
                <c:pt idx="9">
                  <c:v>2.049040998787563E-2</c:v>
                </c:pt>
                <c:pt idx="10">
                  <c:v>2.0490434716049732E-2</c:v>
                </c:pt>
                <c:pt idx="11">
                  <c:v>2.0490665337719885E-2</c:v>
                </c:pt>
                <c:pt idx="12">
                  <c:v>2.0493046168580404E-2</c:v>
                </c:pt>
                <c:pt idx="13">
                  <c:v>2.0516770508094334E-2</c:v>
                </c:pt>
                <c:pt idx="14">
                  <c:v>2.0750693248229913E-2</c:v>
                </c:pt>
                <c:pt idx="15">
                  <c:v>2.2822939950962441E-2</c:v>
                </c:pt>
                <c:pt idx="16">
                  <c:v>3.4773957528591033E-2</c:v>
                </c:pt>
                <c:pt idx="17">
                  <c:v>4.715578649540577E-2</c:v>
                </c:pt>
                <c:pt idx="18">
                  <c:v>4.8829668151564538E-2</c:v>
                </c:pt>
                <c:pt idx="19">
                  <c:v>5.3413285196553917E-2</c:v>
                </c:pt>
                <c:pt idx="20">
                  <c:v>4.1480196888491888E-2</c:v>
                </c:pt>
                <c:pt idx="21">
                  <c:v>2.4946037723384384E-2</c:v>
                </c:pt>
                <c:pt idx="22">
                  <c:v>0.12581678392537282</c:v>
                </c:pt>
                <c:pt idx="23">
                  <c:v>0.14850641917905297</c:v>
                </c:pt>
                <c:pt idx="24">
                  <c:v>9.7103009711292598E-2</c:v>
                </c:pt>
                <c:pt idx="25">
                  <c:v>3.1431613480145809E-2</c:v>
                </c:pt>
                <c:pt idx="26">
                  <c:v>2.8443597697186278E-2</c:v>
                </c:pt>
                <c:pt idx="27">
                  <c:v>9.1087360105194248E-2</c:v>
                </c:pt>
                <c:pt idx="28">
                  <c:v>0.16892348019140424</c:v>
                </c:pt>
                <c:pt idx="29">
                  <c:v>0.25901582409290447</c:v>
                </c:pt>
                <c:pt idx="30">
                  <c:v>0.38207456292089675</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6.4553115572410022E-6</c:v>
                </c:pt>
                <c:pt idx="1">
                  <c:v>3.4887183318556005E-6</c:v>
                </c:pt>
                <c:pt idx="2">
                  <c:v>1.8413806222655136E-6</c:v>
                </c:pt>
                <c:pt idx="3">
                  <c:v>3.2152294202247328E-6</c:v>
                </c:pt>
                <c:pt idx="4">
                  <c:v>3.6034035893095743E-6</c:v>
                </c:pt>
                <c:pt idx="5">
                  <c:v>3.7207399425816279E-6</c:v>
                </c:pt>
                <c:pt idx="6">
                  <c:v>3.7364712133402669E-6</c:v>
                </c:pt>
                <c:pt idx="7">
                  <c:v>3.4862646186990607E-6</c:v>
                </c:pt>
                <c:pt idx="8">
                  <c:v>9.2431835225808169E-7</c:v>
                </c:pt>
                <c:pt idx="9">
                  <c:v>2.1217430914254051E-5</c:v>
                </c:pt>
                <c:pt idx="10">
                  <c:v>1.4579991589682259E-5</c:v>
                </c:pt>
                <c:pt idx="11">
                  <c:v>2.9883994151161382E-5</c:v>
                </c:pt>
                <c:pt idx="12">
                  <c:v>4.0190658008169294E-5</c:v>
                </c:pt>
                <c:pt idx="13">
                  <c:v>4.3187627655513255E-5</c:v>
                </c:pt>
                <c:pt idx="14">
                  <c:v>4.0458229655715673E-5</c:v>
                </c:pt>
                <c:pt idx="15">
                  <c:v>3.0554719198764839E-5</c:v>
                </c:pt>
                <c:pt idx="16">
                  <c:v>2.1754037932547435E-5</c:v>
                </c:pt>
                <c:pt idx="17">
                  <c:v>1.136198228377386E-5</c:v>
                </c:pt>
                <c:pt idx="18">
                  <c:v>1.068637331118778E-5</c:v>
                </c:pt>
                <c:pt idx="19">
                  <c:v>2.6685898981302518E-6</c:v>
                </c:pt>
                <c:pt idx="20">
                  <c:v>5.093033272528539E-6</c:v>
                </c:pt>
                <c:pt idx="21">
                  <c:v>6.5498424829616783E-8</c:v>
                </c:pt>
                <c:pt idx="22">
                  <c:v>6.386918776891432E-6</c:v>
                </c:pt>
                <c:pt idx="23">
                  <c:v>1.1273166858210681E-6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7.4669702738101983E-3</c:v>
                </c:pt>
                <c:pt idx="1">
                  <c:v>7.4578607944690194E-3</c:v>
                </c:pt>
                <c:pt idx="2">
                  <c:v>7.4709034462298396E-3</c:v>
                </c:pt>
                <c:pt idx="3">
                  <c:v>7.5490283111046509E-3</c:v>
                </c:pt>
                <c:pt idx="4">
                  <c:v>8.3028703887488165E-3</c:v>
                </c:pt>
                <c:pt idx="5">
                  <c:v>1.4601039505628364E-2</c:v>
                </c:pt>
                <c:pt idx="6">
                  <c:v>3.1607647729835688E-2</c:v>
                </c:pt>
                <c:pt idx="7">
                  <c:v>3.7719883506563537E-2</c:v>
                </c:pt>
                <c:pt idx="8">
                  <c:v>4.2458224229714597E-2</c:v>
                </c:pt>
                <c:pt idx="9">
                  <c:v>5.1444187420538218E-2</c:v>
                </c:pt>
                <c:pt idx="10">
                  <c:v>5.4789316824711276E-2</c:v>
                </c:pt>
                <c:pt idx="11">
                  <c:v>6.6167655049494387E-2</c:v>
                </c:pt>
                <c:pt idx="12">
                  <c:v>7.3582798933011492E-2</c:v>
                </c:pt>
                <c:pt idx="13">
                  <c:v>4.4454139011978103E-2</c:v>
                </c:pt>
                <c:pt idx="14">
                  <c:v>5.1299713303383392E-2</c:v>
                </c:pt>
                <c:pt idx="15">
                  <c:v>0.16118056297149155</c:v>
                </c:pt>
                <c:pt idx="16">
                  <c:v>0.21233449666023982</c:v>
                </c:pt>
                <c:pt idx="17">
                  <c:v>0.16074995079235296</c:v>
                </c:pt>
                <c:pt idx="18">
                  <c:v>2.2286432303112891E-2</c:v>
                </c:pt>
                <c:pt idx="19">
                  <c:v>0.19900661702647826</c:v>
                </c:pt>
                <c:pt idx="20">
                  <c:v>0.52952228149566116</c:v>
                </c:pt>
                <c:pt idx="21">
                  <c:v>0.83632720527627591</c:v>
                </c:pt>
                <c:pt idx="22">
                  <c:v>1.0114995729232212</c:v>
                </c:pt>
                <c:pt idx="23">
                  <c:v>1.0036077516630995</c:v>
                </c:pt>
                <c:pt idx="24">
                  <c:v>0.47959332639952706</c:v>
                </c:pt>
                <c:pt idx="25">
                  <c:v>0.14801314810325999</c:v>
                </c:pt>
                <c:pt idx="26">
                  <c:v>8.1821886581583236E-2</c:v>
                </c:pt>
                <c:pt idx="27">
                  <c:v>0.18846201932936735</c:v>
                </c:pt>
                <c:pt idx="28">
                  <c:v>0.3786527663248534</c:v>
                </c:pt>
                <c:pt idx="29">
                  <c:v>0.3785421204286058</c:v>
                </c:pt>
                <c:pt idx="30">
                  <c:v>0.3722908276210844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8.8098709289938321E-2</c:v>
                </c:pt>
                <c:pt idx="1">
                  <c:v>0.11363541542473776</c:v>
                </c:pt>
                <c:pt idx="2">
                  <c:v>0.12577724184847958</c:v>
                </c:pt>
                <c:pt idx="3">
                  <c:v>0.11219655323972695</c:v>
                </c:pt>
                <c:pt idx="4">
                  <c:v>2.3234181862025052E-2</c:v>
                </c:pt>
                <c:pt idx="5">
                  <c:v>9.02043470151042E-2</c:v>
                </c:pt>
                <c:pt idx="6">
                  <c:v>0.15636999771905263</c:v>
                </c:pt>
                <c:pt idx="7">
                  <c:v>0.17007485618242582</c:v>
                </c:pt>
                <c:pt idx="8">
                  <c:v>0.11675828436088159</c:v>
                </c:pt>
                <c:pt idx="9">
                  <c:v>1.4462144963797569E-2</c:v>
                </c:pt>
                <c:pt idx="10">
                  <c:v>0.24057129167091984</c:v>
                </c:pt>
                <c:pt idx="11">
                  <c:v>0.44407172461810984</c:v>
                </c:pt>
                <c:pt idx="12">
                  <c:v>0.5007237309990733</c:v>
                </c:pt>
                <c:pt idx="13">
                  <c:v>0.30524891000374071</c:v>
                </c:pt>
                <c:pt idx="14">
                  <c:v>0.16474474830647462</c:v>
                </c:pt>
                <c:pt idx="15">
                  <c:v>0.40013970743832072</c:v>
                </c:pt>
                <c:pt idx="16">
                  <c:v>0.46065176829871574</c:v>
                </c:pt>
                <c:pt idx="17">
                  <c:v>0.50931550554247396</c:v>
                </c:pt>
                <c:pt idx="18">
                  <c:v>0.60077615664375661</c:v>
                </c:pt>
                <c:pt idx="19">
                  <c:v>0.53430095420743107</c:v>
                </c:pt>
                <c:pt idx="20">
                  <c:v>0.48128861551657115</c:v>
                </c:pt>
                <c:pt idx="21">
                  <c:v>0.44386848753279962</c:v>
                </c:pt>
                <c:pt idx="22">
                  <c:v>0.41864237522594627</c:v>
                </c:pt>
                <c:pt idx="23">
                  <c:v>0.40152692394801992</c:v>
                </c:pt>
                <c:pt idx="24">
                  <c:v>0.39004145372388249</c:v>
                </c:pt>
                <c:pt idx="25">
                  <c:v>0.38392059039034354</c:v>
                </c:pt>
                <c:pt idx="26">
                  <c:v>0.38228967132956104</c:v>
                </c:pt>
                <c:pt idx="27">
                  <c:v>0.375802369452996</c:v>
                </c:pt>
                <c:pt idx="28">
                  <c:v>0.37569833811681436</c:v>
                </c:pt>
                <c:pt idx="29">
                  <c:v>0.37128798341976771</c:v>
                </c:pt>
                <c:pt idx="30">
                  <c:v>0.36958121910809705</c:v>
                </c:pt>
              </c:numCache>
            </c:numRef>
          </c:yVal>
          <c:smooth val="1"/>
        </c:ser>
        <c:dLbls>
          <c:showLegendKey val="0"/>
          <c:showVal val="0"/>
          <c:showCatName val="0"/>
          <c:showSerName val="0"/>
          <c:showPercent val="0"/>
          <c:showBubbleSize val="0"/>
        </c:dLbls>
        <c:axId val="604811944"/>
        <c:axId val="604817824"/>
      </c:scatterChart>
      <c:valAx>
        <c:axId val="604811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7824"/>
        <c:crossesAt val="1.0000000000000005E-9"/>
        <c:crossBetween val="midCat"/>
      </c:valAx>
      <c:valAx>
        <c:axId val="604817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19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-11.767742998078067</c:v>
                </c:pt>
                <c:pt idx="1">
                  <c:v>-7.8587380955255552</c:v>
                </c:pt>
                <c:pt idx="2">
                  <c:v>-4.6620536661082976</c:v>
                </c:pt>
                <c:pt idx="3">
                  <c:v>0</c:v>
                </c:pt>
                <c:pt idx="4">
                  <c:v>9.1725755939683662</c:v>
                </c:pt>
                <c:pt idx="5">
                  <c:v>27.880082733000094</c:v>
                </c:pt>
                <c:pt idx="6">
                  <c:v>31.720099532500878</c:v>
                </c:pt>
              </c:numCache>
            </c:numRef>
          </c:yVal>
          <c:smooth val="0"/>
        </c:ser>
        <c:dLbls>
          <c:showLegendKey val="0"/>
          <c:showVal val="0"/>
          <c:showCatName val="0"/>
          <c:showSerName val="0"/>
          <c:showPercent val="0"/>
          <c:showBubbleSize val="0"/>
        </c:dLbls>
        <c:axId val="604812728"/>
        <c:axId val="604818216"/>
      </c:scatterChart>
      <c:valAx>
        <c:axId val="604812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8216"/>
        <c:crossesAt val="-100"/>
        <c:crossBetween val="midCat"/>
      </c:valAx>
      <c:valAx>
        <c:axId val="604818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2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604815080"/>
        <c:axId val="604808808"/>
      </c:scatterChart>
      <c:valAx>
        <c:axId val="6048150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8808"/>
        <c:crosses val="autoZero"/>
        <c:crossBetween val="midCat"/>
      </c:valAx>
      <c:valAx>
        <c:axId val="604808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0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7.7505790746703311E-21</c:v>
                </c:pt>
                <c:pt idx="1">
                  <c:v>7.7505790746703311E-20</c:v>
                </c:pt>
                <c:pt idx="2">
                  <c:v>7.7505790746703308E-19</c:v>
                </c:pt>
                <c:pt idx="3">
                  <c:v>7.7505790746703304E-18</c:v>
                </c:pt>
                <c:pt idx="4">
                  <c:v>7.7505790746703298E-17</c:v>
                </c:pt>
                <c:pt idx="5">
                  <c:v>7.7505790746703311E-16</c:v>
                </c:pt>
                <c:pt idx="6">
                  <c:v>7.7505790746703311E-15</c:v>
                </c:pt>
                <c:pt idx="7">
                  <c:v>7.7505790746703311E-14</c:v>
                </c:pt>
                <c:pt idx="8">
                  <c:v>7.7505790746703303E-13</c:v>
                </c:pt>
                <c:pt idx="9">
                  <c:v>7.7505790746703311E-12</c:v>
                </c:pt>
                <c:pt idx="10">
                  <c:v>7.7505790746703318E-11</c:v>
                </c:pt>
                <c:pt idx="11">
                  <c:v>7.7505790746703307E-10</c:v>
                </c:pt>
                <c:pt idx="12">
                  <c:v>7.7505790746703309E-9</c:v>
                </c:pt>
                <c:pt idx="13">
                  <c:v>7.7505790746703309E-8</c:v>
                </c:pt>
                <c:pt idx="14">
                  <c:v>7.7505790746703309E-7</c:v>
                </c:pt>
                <c:pt idx="15">
                  <c:v>7.7505790746703309E-6</c:v>
                </c:pt>
                <c:pt idx="16">
                  <c:v>7.7505790746703303E-5</c:v>
                </c:pt>
                <c:pt idx="17">
                  <c:v>7.7505790746703305E-4</c:v>
                </c:pt>
                <c:pt idx="18">
                  <c:v>7.7505790746703303E-3</c:v>
                </c:pt>
                <c:pt idx="19">
                  <c:v>7.7505790746703301E-2</c:v>
                </c:pt>
                <c:pt idx="20">
                  <c:v>0.77505790746703307</c:v>
                </c:pt>
                <c:pt idx="21">
                  <c:v>7.7505790746703305</c:v>
                </c:pt>
                <c:pt idx="22">
                  <c:v>77.505790746703312</c:v>
                </c:pt>
                <c:pt idx="23">
                  <c:v>775.05790746703303</c:v>
                </c:pt>
                <c:pt idx="24">
                  <c:v>7750.5790746703306</c:v>
                </c:pt>
                <c:pt idx="25">
                  <c:v>77505.790746703307</c:v>
                </c:pt>
                <c:pt idx="26">
                  <c:v>775057.90746703302</c:v>
                </c:pt>
                <c:pt idx="27">
                  <c:v>7750579.0746703306</c:v>
                </c:pt>
                <c:pt idx="28">
                  <c:v>77505790.746703312</c:v>
                </c:pt>
                <c:pt idx="29">
                  <c:v>775057907.46703303</c:v>
                </c:pt>
                <c:pt idx="30">
                  <c:v>7750579074.670331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3.8636111469951679E-19</c:v>
                </c:pt>
                <c:pt idx="1">
                  <c:v>3.8636111469951678E-18</c:v>
                </c:pt>
                <c:pt idx="2">
                  <c:v>3.8636111469951678E-17</c:v>
                </c:pt>
                <c:pt idx="3">
                  <c:v>3.8636111469951675E-16</c:v>
                </c:pt>
                <c:pt idx="4">
                  <c:v>3.8636111469951675E-15</c:v>
                </c:pt>
                <c:pt idx="5">
                  <c:v>3.8636111469951679E-14</c:v>
                </c:pt>
                <c:pt idx="6">
                  <c:v>3.8636111469951679E-13</c:v>
                </c:pt>
                <c:pt idx="7">
                  <c:v>3.8636111469951677E-12</c:v>
                </c:pt>
                <c:pt idx="8">
                  <c:v>3.8636111469951672E-11</c:v>
                </c:pt>
                <c:pt idx="9">
                  <c:v>3.8636111469951672E-10</c:v>
                </c:pt>
                <c:pt idx="10">
                  <c:v>3.863611146995168E-9</c:v>
                </c:pt>
                <c:pt idx="11">
                  <c:v>3.8636111469951675E-8</c:v>
                </c:pt>
                <c:pt idx="12">
                  <c:v>3.8636111469951675E-7</c:v>
                </c:pt>
                <c:pt idx="13">
                  <c:v>3.8636111469951673E-6</c:v>
                </c:pt>
                <c:pt idx="14">
                  <c:v>3.8636111469951678E-5</c:v>
                </c:pt>
                <c:pt idx="15">
                  <c:v>3.8636111469951675E-4</c:v>
                </c:pt>
                <c:pt idx="16">
                  <c:v>3.8636111469951676E-3</c:v>
                </c:pt>
                <c:pt idx="17">
                  <c:v>3.8636111469951676E-2</c:v>
                </c:pt>
                <c:pt idx="18">
                  <c:v>0.38636111469951673</c:v>
                </c:pt>
                <c:pt idx="19">
                  <c:v>3.8636111469951673</c:v>
                </c:pt>
                <c:pt idx="20">
                  <c:v>38.636111469951672</c:v>
                </c:pt>
                <c:pt idx="21">
                  <c:v>386.36111469951675</c:v>
                </c:pt>
                <c:pt idx="22">
                  <c:v>3863.6111469951675</c:v>
                </c:pt>
                <c:pt idx="23">
                  <c:v>38636.111469951677</c:v>
                </c:pt>
                <c:pt idx="24">
                  <c:v>386361.11469951674</c:v>
                </c:pt>
                <c:pt idx="25">
                  <c:v>3863611.1469951672</c:v>
                </c:pt>
                <c:pt idx="26">
                  <c:v>38636111.469951674</c:v>
                </c:pt>
                <c:pt idx="27">
                  <c:v>386361114.69951677</c:v>
                </c:pt>
                <c:pt idx="28">
                  <c:v>3863611146.9951673</c:v>
                </c:pt>
                <c:pt idx="29">
                  <c:v>38636111469.951675</c:v>
                </c:pt>
                <c:pt idx="30">
                  <c:v>386361114699.51672</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9.4470413976651035E-18</c:v>
                </c:pt>
                <c:pt idx="1">
                  <c:v>9.4470413976651025E-17</c:v>
                </c:pt>
                <c:pt idx="2">
                  <c:v>9.4470413976651018E-16</c:v>
                </c:pt>
                <c:pt idx="3">
                  <c:v>9.4470413976651022E-15</c:v>
                </c:pt>
                <c:pt idx="4">
                  <c:v>9.4470413976651019E-14</c:v>
                </c:pt>
                <c:pt idx="5">
                  <c:v>9.4470413976651019E-13</c:v>
                </c:pt>
                <c:pt idx="6">
                  <c:v>9.4470413976651035E-12</c:v>
                </c:pt>
                <c:pt idx="7">
                  <c:v>9.4470413976651022E-11</c:v>
                </c:pt>
                <c:pt idx="8">
                  <c:v>9.4470413976651017E-10</c:v>
                </c:pt>
                <c:pt idx="9">
                  <c:v>9.4470413976651025E-9</c:v>
                </c:pt>
                <c:pt idx="10">
                  <c:v>9.4470413976651025E-8</c:v>
                </c:pt>
                <c:pt idx="11">
                  <c:v>9.447041397665103E-7</c:v>
                </c:pt>
                <c:pt idx="12">
                  <c:v>9.4470413976651026E-6</c:v>
                </c:pt>
                <c:pt idx="13">
                  <c:v>9.4470413976651023E-5</c:v>
                </c:pt>
                <c:pt idx="14">
                  <c:v>9.4470413976651031E-4</c:v>
                </c:pt>
                <c:pt idx="15">
                  <c:v>9.447041397665102E-3</c:v>
                </c:pt>
                <c:pt idx="16">
                  <c:v>9.4470413976651027E-2</c:v>
                </c:pt>
                <c:pt idx="17">
                  <c:v>0.94470413976651024</c:v>
                </c:pt>
                <c:pt idx="18">
                  <c:v>9.4470413976651013</c:v>
                </c:pt>
                <c:pt idx="19">
                  <c:v>94.470413976651017</c:v>
                </c:pt>
                <c:pt idx="20">
                  <c:v>944.70413976651025</c:v>
                </c:pt>
                <c:pt idx="21">
                  <c:v>9447.0413976651016</c:v>
                </c:pt>
                <c:pt idx="22">
                  <c:v>94470.41397665102</c:v>
                </c:pt>
                <c:pt idx="23">
                  <c:v>944704.13976651023</c:v>
                </c:pt>
                <c:pt idx="24">
                  <c:v>9447041.397665102</c:v>
                </c:pt>
                <c:pt idx="25">
                  <c:v>94470413.976651028</c:v>
                </c:pt>
                <c:pt idx="26">
                  <c:v>944704139.76651025</c:v>
                </c:pt>
                <c:pt idx="27">
                  <c:v>9447041397.665102</c:v>
                </c:pt>
                <c:pt idx="28">
                  <c:v>94470413976.651016</c:v>
                </c:pt>
                <c:pt idx="29">
                  <c:v>944704139766.51025</c:v>
                </c:pt>
                <c:pt idx="30">
                  <c:v>9447041397665.1016</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9.6293941878230282E-12</c:v>
                </c:pt>
                <c:pt idx="1">
                  <c:v>9.6293941878230275E-11</c:v>
                </c:pt>
                <c:pt idx="2">
                  <c:v>9.6293941878230275E-10</c:v>
                </c:pt>
                <c:pt idx="3">
                  <c:v>9.6293941878230275E-9</c:v>
                </c:pt>
                <c:pt idx="4">
                  <c:v>9.6293941878230282E-8</c:v>
                </c:pt>
                <c:pt idx="5">
                  <c:v>9.6293941878230287E-7</c:v>
                </c:pt>
                <c:pt idx="6">
                  <c:v>9.6293941878230287E-6</c:v>
                </c:pt>
                <c:pt idx="7">
                  <c:v>9.6293941878230284E-5</c:v>
                </c:pt>
                <c:pt idx="8">
                  <c:v>9.6293941878230279E-4</c:v>
                </c:pt>
                <c:pt idx="9">
                  <c:v>9.6293941878230274E-3</c:v>
                </c:pt>
                <c:pt idx="10">
                  <c:v>9.6293941878230288E-2</c:v>
                </c:pt>
                <c:pt idx="11">
                  <c:v>0.96293941878230283</c:v>
                </c:pt>
                <c:pt idx="12">
                  <c:v>9.6293941878230278</c:v>
                </c:pt>
                <c:pt idx="13">
                  <c:v>96.293941878230285</c:v>
                </c:pt>
                <c:pt idx="14">
                  <c:v>962.93941878230282</c:v>
                </c:pt>
                <c:pt idx="15">
                  <c:v>9629.3941878230289</c:v>
                </c:pt>
                <c:pt idx="16">
                  <c:v>96293.941878230282</c:v>
                </c:pt>
                <c:pt idx="17">
                  <c:v>962939.41878230276</c:v>
                </c:pt>
                <c:pt idx="18">
                  <c:v>9629394.1878230274</c:v>
                </c:pt>
                <c:pt idx="19">
                  <c:v>96293941.878230289</c:v>
                </c:pt>
                <c:pt idx="20">
                  <c:v>962939418.78230286</c:v>
                </c:pt>
                <c:pt idx="21">
                  <c:v>9629394187.8230286</c:v>
                </c:pt>
                <c:pt idx="22">
                  <c:v>96293941878.230286</c:v>
                </c:pt>
                <c:pt idx="23">
                  <c:v>962939418782.30286</c:v>
                </c:pt>
                <c:pt idx="24">
                  <c:v>9629394187823.0273</c:v>
                </c:pt>
                <c:pt idx="25">
                  <c:v>96293941878230.281</c:v>
                </c:pt>
                <c:pt idx="26">
                  <c:v>962939418782302.87</c:v>
                </c:pt>
                <c:pt idx="27">
                  <c:v>9629394187823028</c:v>
                </c:pt>
                <c:pt idx="28">
                  <c:v>9.6293941878230288E+16</c:v>
                </c:pt>
                <c:pt idx="29">
                  <c:v>9.6293941878230285E+17</c:v>
                </c:pt>
                <c:pt idx="30">
                  <c:v>9.6293941878230282E+18</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1.2828210743125582E-3</c:v>
                </c:pt>
                <c:pt idx="1">
                  <c:v>1.2828210743125582E-2</c:v>
                </c:pt>
                <c:pt idx="2">
                  <c:v>0.12828210743125582</c:v>
                </c:pt>
                <c:pt idx="3">
                  <c:v>1.2828210743125581</c:v>
                </c:pt>
                <c:pt idx="4">
                  <c:v>12.828210743125579</c:v>
                </c:pt>
                <c:pt idx="5">
                  <c:v>128.28210743125581</c:v>
                </c:pt>
                <c:pt idx="6">
                  <c:v>1282.8210743125583</c:v>
                </c:pt>
                <c:pt idx="7">
                  <c:v>12828.210743125581</c:v>
                </c:pt>
                <c:pt idx="8">
                  <c:v>128282.1074312558</c:v>
                </c:pt>
                <c:pt idx="9">
                  <c:v>1282821.0743125579</c:v>
                </c:pt>
                <c:pt idx="10">
                  <c:v>12828210.743125582</c:v>
                </c:pt>
                <c:pt idx="11">
                  <c:v>128282107.43125582</c:v>
                </c:pt>
                <c:pt idx="12">
                  <c:v>1282821074.3125582</c:v>
                </c:pt>
                <c:pt idx="13">
                  <c:v>12828210743.125582</c:v>
                </c:pt>
                <c:pt idx="14">
                  <c:v>128282107431.25581</c:v>
                </c:pt>
                <c:pt idx="15">
                  <c:v>1282821074312.5581</c:v>
                </c:pt>
                <c:pt idx="16">
                  <c:v>12828210743125.58</c:v>
                </c:pt>
                <c:pt idx="17">
                  <c:v>128282107431255.81</c:v>
                </c:pt>
                <c:pt idx="18">
                  <c:v>1282821074312558</c:v>
                </c:pt>
                <c:pt idx="19">
                  <c:v>1.282821074312558E+16</c:v>
                </c:pt>
                <c:pt idx="20">
                  <c:v>1.2828210743125581E+17</c:v>
                </c:pt>
                <c:pt idx="21">
                  <c:v>1.2828210743125581E+18</c:v>
                </c:pt>
                <c:pt idx="22">
                  <c:v>1.282821074312558E+19</c:v>
                </c:pt>
                <c:pt idx="23">
                  <c:v>1.282821074312558E+20</c:v>
                </c:pt>
                <c:pt idx="24">
                  <c:v>1.282821074312558E+21</c:v>
                </c:pt>
                <c:pt idx="25">
                  <c:v>1.282821074312558E+22</c:v>
                </c:pt>
                <c:pt idx="26">
                  <c:v>1.282821074312558E+23</c:v>
                </c:pt>
                <c:pt idx="27">
                  <c:v>1.2828210743125582E+24</c:v>
                </c:pt>
                <c:pt idx="28">
                  <c:v>1.282821074312558E+25</c:v>
                </c:pt>
                <c:pt idx="29">
                  <c:v>1.2828210743125582E+26</c:v>
                </c:pt>
                <c:pt idx="30">
                  <c:v>1.2828210743125582E+27</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5.9684861771211795E-2</c:v>
                </c:pt>
                <c:pt idx="1">
                  <c:v>0.59684861771211795</c:v>
                </c:pt>
                <c:pt idx="2">
                  <c:v>5.9684861771211795</c:v>
                </c:pt>
                <c:pt idx="3">
                  <c:v>59.684861771211793</c:v>
                </c:pt>
                <c:pt idx="4">
                  <c:v>596.84861771211786</c:v>
                </c:pt>
                <c:pt idx="5">
                  <c:v>5968.486177121179</c:v>
                </c:pt>
                <c:pt idx="6">
                  <c:v>59684.861771211792</c:v>
                </c:pt>
                <c:pt idx="7">
                  <c:v>596848.61771211796</c:v>
                </c:pt>
                <c:pt idx="8">
                  <c:v>5968486.1771211792</c:v>
                </c:pt>
                <c:pt idx="9">
                  <c:v>59684861.771211788</c:v>
                </c:pt>
                <c:pt idx="10">
                  <c:v>596848617.71211791</c:v>
                </c:pt>
                <c:pt idx="11">
                  <c:v>5968486177.1211796</c:v>
                </c:pt>
                <c:pt idx="12">
                  <c:v>59684861771.211792</c:v>
                </c:pt>
                <c:pt idx="13">
                  <c:v>596848617712.11792</c:v>
                </c:pt>
                <c:pt idx="14">
                  <c:v>5968486177121.1797</c:v>
                </c:pt>
                <c:pt idx="15">
                  <c:v>59684861771211.789</c:v>
                </c:pt>
                <c:pt idx="16">
                  <c:v>596848617712117.87</c:v>
                </c:pt>
                <c:pt idx="17">
                  <c:v>5968486177121179</c:v>
                </c:pt>
                <c:pt idx="18">
                  <c:v>5.9684861771211792E+16</c:v>
                </c:pt>
                <c:pt idx="19">
                  <c:v>5.9684861771211789E+17</c:v>
                </c:pt>
                <c:pt idx="20">
                  <c:v>5.9684861771211796E+18</c:v>
                </c:pt>
                <c:pt idx="21">
                  <c:v>5.9684861771211792E+19</c:v>
                </c:pt>
                <c:pt idx="22">
                  <c:v>5.9684861771211787E+20</c:v>
                </c:pt>
                <c:pt idx="23">
                  <c:v>5.9684861771211793E+21</c:v>
                </c:pt>
                <c:pt idx="24">
                  <c:v>5.9684861771211791E+22</c:v>
                </c:pt>
                <c:pt idx="25">
                  <c:v>5.9684861771211789E+23</c:v>
                </c:pt>
                <c:pt idx="26">
                  <c:v>5.9684861771211786E+24</c:v>
                </c:pt>
                <c:pt idx="27">
                  <c:v>5.9684861771211788E+25</c:v>
                </c:pt>
                <c:pt idx="28">
                  <c:v>5.968486177121179E+26</c:v>
                </c:pt>
                <c:pt idx="29">
                  <c:v>5.9684861771211787E+27</c:v>
                </c:pt>
                <c:pt idx="30">
                  <c:v>5.968486177121179E+28</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09200"/>
        <c:axId val="604807240"/>
      </c:scatterChart>
      <c:valAx>
        <c:axId val="604809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7240"/>
        <c:crosses val="autoZero"/>
        <c:crossBetween val="midCat"/>
      </c:valAx>
      <c:valAx>
        <c:axId val="604807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7.7505790746703311E-21</c:v>
                </c:pt>
                <c:pt idx="1">
                  <c:v>7.7505790746703311E-20</c:v>
                </c:pt>
                <c:pt idx="2">
                  <c:v>7.7505790746703308E-19</c:v>
                </c:pt>
                <c:pt idx="3">
                  <c:v>7.7505790746703304E-18</c:v>
                </c:pt>
                <c:pt idx="4">
                  <c:v>7.7505790746703298E-17</c:v>
                </c:pt>
                <c:pt idx="5">
                  <c:v>7.7505790746703311E-16</c:v>
                </c:pt>
                <c:pt idx="6">
                  <c:v>7.7505790746703311E-15</c:v>
                </c:pt>
                <c:pt idx="7">
                  <c:v>7.7505790746703311E-14</c:v>
                </c:pt>
                <c:pt idx="8">
                  <c:v>7.7505790746703303E-13</c:v>
                </c:pt>
                <c:pt idx="9">
                  <c:v>7.7505790746703311E-12</c:v>
                </c:pt>
                <c:pt idx="10">
                  <c:v>7.7505790746703318E-11</c:v>
                </c:pt>
                <c:pt idx="11">
                  <c:v>7.7505790746703307E-10</c:v>
                </c:pt>
                <c:pt idx="12">
                  <c:v>7.7505790746703309E-9</c:v>
                </c:pt>
                <c:pt idx="13">
                  <c:v>7.7505790746703309E-8</c:v>
                </c:pt>
                <c:pt idx="14">
                  <c:v>7.7505790746703309E-7</c:v>
                </c:pt>
                <c:pt idx="15">
                  <c:v>7.7505790746703309E-6</c:v>
                </c:pt>
                <c:pt idx="16">
                  <c:v>7.7505790746703303E-5</c:v>
                </c:pt>
                <c:pt idx="17">
                  <c:v>7.7505790746703305E-4</c:v>
                </c:pt>
                <c:pt idx="18">
                  <c:v>7.7505790746703303E-3</c:v>
                </c:pt>
                <c:pt idx="19">
                  <c:v>7.7505790746703301E-2</c:v>
                </c:pt>
                <c:pt idx="20">
                  <c:v>0.77505790746703307</c:v>
                </c:pt>
                <c:pt idx="21">
                  <c:v>7.7505790746703305</c:v>
                </c:pt>
                <c:pt idx="22">
                  <c:v>77.505790746703312</c:v>
                </c:pt>
                <c:pt idx="23">
                  <c:v>775.05790746703303</c:v>
                </c:pt>
                <c:pt idx="24">
                  <c:v>7750.5790746703306</c:v>
                </c:pt>
                <c:pt idx="25">
                  <c:v>77505.790746703307</c:v>
                </c:pt>
                <c:pt idx="26">
                  <c:v>775057.90746703302</c:v>
                </c:pt>
                <c:pt idx="27">
                  <c:v>7750579.0746703306</c:v>
                </c:pt>
                <c:pt idx="28">
                  <c:v>77505790.746703312</c:v>
                </c:pt>
                <c:pt idx="29">
                  <c:v>775057907.46703303</c:v>
                </c:pt>
                <c:pt idx="30">
                  <c:v>7750579074.670331</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3.8636111469951679E-19</c:v>
                </c:pt>
                <c:pt idx="1">
                  <c:v>3.8636111469951678E-18</c:v>
                </c:pt>
                <c:pt idx="2">
                  <c:v>3.8636111469951678E-17</c:v>
                </c:pt>
                <c:pt idx="3">
                  <c:v>3.8636111469951675E-16</c:v>
                </c:pt>
                <c:pt idx="4">
                  <c:v>3.8636111469951675E-15</c:v>
                </c:pt>
                <c:pt idx="5">
                  <c:v>3.8636111469951679E-14</c:v>
                </c:pt>
                <c:pt idx="6">
                  <c:v>3.8636111469951679E-13</c:v>
                </c:pt>
                <c:pt idx="7">
                  <c:v>3.8636111469951677E-12</c:v>
                </c:pt>
                <c:pt idx="8">
                  <c:v>3.8636111469951672E-11</c:v>
                </c:pt>
                <c:pt idx="9">
                  <c:v>3.8636111469951672E-10</c:v>
                </c:pt>
                <c:pt idx="10">
                  <c:v>3.863611146995168E-9</c:v>
                </c:pt>
                <c:pt idx="11">
                  <c:v>3.8636111469951675E-8</c:v>
                </c:pt>
                <c:pt idx="12">
                  <c:v>3.8636111469951675E-7</c:v>
                </c:pt>
                <c:pt idx="13">
                  <c:v>3.8636111469951673E-6</c:v>
                </c:pt>
                <c:pt idx="14">
                  <c:v>3.8636111469951678E-5</c:v>
                </c:pt>
                <c:pt idx="15">
                  <c:v>3.8636111469951675E-4</c:v>
                </c:pt>
                <c:pt idx="16">
                  <c:v>3.8636111469951676E-3</c:v>
                </c:pt>
                <c:pt idx="17">
                  <c:v>3.8636111469951676E-2</c:v>
                </c:pt>
                <c:pt idx="18">
                  <c:v>0.38636111469951673</c:v>
                </c:pt>
                <c:pt idx="19">
                  <c:v>3.8636111469951673</c:v>
                </c:pt>
                <c:pt idx="20">
                  <c:v>38.636111469951672</c:v>
                </c:pt>
                <c:pt idx="21">
                  <c:v>386.36111469951675</c:v>
                </c:pt>
                <c:pt idx="22">
                  <c:v>3863.6111469951675</c:v>
                </c:pt>
                <c:pt idx="23">
                  <c:v>38636.111469951677</c:v>
                </c:pt>
                <c:pt idx="24">
                  <c:v>386361.11469951674</c:v>
                </c:pt>
                <c:pt idx="25">
                  <c:v>3863611.1469951672</c:v>
                </c:pt>
                <c:pt idx="26">
                  <c:v>38636111.469951674</c:v>
                </c:pt>
                <c:pt idx="27">
                  <c:v>386361114.69951677</c:v>
                </c:pt>
                <c:pt idx="28">
                  <c:v>3863611146.9951673</c:v>
                </c:pt>
                <c:pt idx="29">
                  <c:v>38636111469.951675</c:v>
                </c:pt>
                <c:pt idx="30">
                  <c:v>386361114699.51672</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9.4470413976651035E-18</c:v>
                </c:pt>
                <c:pt idx="1">
                  <c:v>9.4470413976651025E-17</c:v>
                </c:pt>
                <c:pt idx="2">
                  <c:v>9.4470413976651018E-16</c:v>
                </c:pt>
                <c:pt idx="3">
                  <c:v>9.4470413976651022E-15</c:v>
                </c:pt>
                <c:pt idx="4">
                  <c:v>9.4470413976651019E-14</c:v>
                </c:pt>
                <c:pt idx="5">
                  <c:v>9.4470413976651019E-13</c:v>
                </c:pt>
                <c:pt idx="6">
                  <c:v>9.4470413976651035E-12</c:v>
                </c:pt>
                <c:pt idx="7">
                  <c:v>9.4470413976651022E-11</c:v>
                </c:pt>
                <c:pt idx="8">
                  <c:v>9.4470413976651017E-10</c:v>
                </c:pt>
                <c:pt idx="9">
                  <c:v>9.4470413976651025E-9</c:v>
                </c:pt>
                <c:pt idx="10">
                  <c:v>9.4470413976651025E-8</c:v>
                </c:pt>
                <c:pt idx="11">
                  <c:v>9.447041397665103E-7</c:v>
                </c:pt>
                <c:pt idx="12">
                  <c:v>9.4470413976651026E-6</c:v>
                </c:pt>
                <c:pt idx="13">
                  <c:v>9.4470413976651023E-5</c:v>
                </c:pt>
                <c:pt idx="14">
                  <c:v>9.4470413976651031E-4</c:v>
                </c:pt>
                <c:pt idx="15">
                  <c:v>9.447041397665102E-3</c:v>
                </c:pt>
                <c:pt idx="16">
                  <c:v>9.4470413976651027E-2</c:v>
                </c:pt>
                <c:pt idx="17">
                  <c:v>0.94470413976651024</c:v>
                </c:pt>
                <c:pt idx="18">
                  <c:v>9.4470413976651013</c:v>
                </c:pt>
                <c:pt idx="19">
                  <c:v>94.470413976651017</c:v>
                </c:pt>
                <c:pt idx="20">
                  <c:v>944.70413976651025</c:v>
                </c:pt>
                <c:pt idx="21">
                  <c:v>9447.0413976651016</c:v>
                </c:pt>
                <c:pt idx="22">
                  <c:v>94470.41397665102</c:v>
                </c:pt>
                <c:pt idx="23">
                  <c:v>944704.13976651023</c:v>
                </c:pt>
                <c:pt idx="24">
                  <c:v>9447041.397665102</c:v>
                </c:pt>
                <c:pt idx="25">
                  <c:v>94470413.976651028</c:v>
                </c:pt>
                <c:pt idx="26">
                  <c:v>944704139.76651025</c:v>
                </c:pt>
                <c:pt idx="27">
                  <c:v>9447041397.665102</c:v>
                </c:pt>
                <c:pt idx="28">
                  <c:v>94470413976.651016</c:v>
                </c:pt>
                <c:pt idx="29">
                  <c:v>944704139766.51025</c:v>
                </c:pt>
                <c:pt idx="30">
                  <c:v>9447041397665.1016</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9.6293941878230282E-12</c:v>
                </c:pt>
                <c:pt idx="1">
                  <c:v>9.6293941878230275E-11</c:v>
                </c:pt>
                <c:pt idx="2">
                  <c:v>9.6293941878230275E-10</c:v>
                </c:pt>
                <c:pt idx="3">
                  <c:v>9.6293941878230275E-9</c:v>
                </c:pt>
                <c:pt idx="4">
                  <c:v>9.6293941878230282E-8</c:v>
                </c:pt>
                <c:pt idx="5">
                  <c:v>9.6293941878230287E-7</c:v>
                </c:pt>
                <c:pt idx="6">
                  <c:v>9.6293941878230287E-6</c:v>
                </c:pt>
                <c:pt idx="7">
                  <c:v>9.6293941878230284E-5</c:v>
                </c:pt>
                <c:pt idx="8">
                  <c:v>9.6293941878230279E-4</c:v>
                </c:pt>
                <c:pt idx="9">
                  <c:v>9.6293941878230274E-3</c:v>
                </c:pt>
                <c:pt idx="10">
                  <c:v>9.6293941878230288E-2</c:v>
                </c:pt>
                <c:pt idx="11">
                  <c:v>0.96293941878230283</c:v>
                </c:pt>
                <c:pt idx="12">
                  <c:v>9.6293941878230278</c:v>
                </c:pt>
                <c:pt idx="13">
                  <c:v>96.293941878230285</c:v>
                </c:pt>
                <c:pt idx="14">
                  <c:v>962.93941878230282</c:v>
                </c:pt>
                <c:pt idx="15">
                  <c:v>9629.3941878230289</c:v>
                </c:pt>
                <c:pt idx="16">
                  <c:v>96293.941878230282</c:v>
                </c:pt>
                <c:pt idx="17">
                  <c:v>962939.41878230276</c:v>
                </c:pt>
                <c:pt idx="18">
                  <c:v>9629394.1878230274</c:v>
                </c:pt>
                <c:pt idx="19">
                  <c:v>96293941.878230289</c:v>
                </c:pt>
                <c:pt idx="20">
                  <c:v>962939418.78230286</c:v>
                </c:pt>
                <c:pt idx="21">
                  <c:v>9629394187.8230286</c:v>
                </c:pt>
                <c:pt idx="22">
                  <c:v>96293941878.230286</c:v>
                </c:pt>
                <c:pt idx="23">
                  <c:v>962939418782.30286</c:v>
                </c:pt>
                <c:pt idx="24">
                  <c:v>9629394187823.0273</c:v>
                </c:pt>
                <c:pt idx="25">
                  <c:v>96293941878230.281</c:v>
                </c:pt>
                <c:pt idx="26">
                  <c:v>962939418782302.87</c:v>
                </c:pt>
                <c:pt idx="27">
                  <c:v>9629394187823028</c:v>
                </c:pt>
                <c:pt idx="28">
                  <c:v>9.6293941878230288E+16</c:v>
                </c:pt>
                <c:pt idx="29">
                  <c:v>9.6293941878230285E+17</c:v>
                </c:pt>
                <c:pt idx="30">
                  <c:v>9.6293941878230282E+18</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1.2828210743125582E-3</c:v>
                </c:pt>
                <c:pt idx="1">
                  <c:v>1.2828210743125582E-2</c:v>
                </c:pt>
                <c:pt idx="2">
                  <c:v>0.12828210743125582</c:v>
                </c:pt>
                <c:pt idx="3">
                  <c:v>1.2828210743125581</c:v>
                </c:pt>
                <c:pt idx="4">
                  <c:v>12.828210743125579</c:v>
                </c:pt>
                <c:pt idx="5">
                  <c:v>128.28210743125581</c:v>
                </c:pt>
                <c:pt idx="6">
                  <c:v>1282.8210743125583</c:v>
                </c:pt>
                <c:pt idx="7">
                  <c:v>12828.210743125581</c:v>
                </c:pt>
                <c:pt idx="8">
                  <c:v>128282.1074312558</c:v>
                </c:pt>
                <c:pt idx="9">
                  <c:v>1282821.0743125579</c:v>
                </c:pt>
                <c:pt idx="10">
                  <c:v>12828210.743125582</c:v>
                </c:pt>
                <c:pt idx="11">
                  <c:v>128282107.43125582</c:v>
                </c:pt>
                <c:pt idx="12">
                  <c:v>1282821074.3125582</c:v>
                </c:pt>
                <c:pt idx="13">
                  <c:v>12828210743.125582</c:v>
                </c:pt>
                <c:pt idx="14">
                  <c:v>128282107431.25581</c:v>
                </c:pt>
                <c:pt idx="15">
                  <c:v>1282821074312.5581</c:v>
                </c:pt>
                <c:pt idx="16">
                  <c:v>12828210743125.58</c:v>
                </c:pt>
                <c:pt idx="17">
                  <c:v>128282107431255.81</c:v>
                </c:pt>
                <c:pt idx="18">
                  <c:v>1282821074312558</c:v>
                </c:pt>
                <c:pt idx="19">
                  <c:v>1.282821074312558E+16</c:v>
                </c:pt>
                <c:pt idx="20">
                  <c:v>1.2828210743125581E+17</c:v>
                </c:pt>
                <c:pt idx="21">
                  <c:v>1.2828210743125581E+18</c:v>
                </c:pt>
                <c:pt idx="22">
                  <c:v>1.282821074312558E+19</c:v>
                </c:pt>
                <c:pt idx="23">
                  <c:v>1.282821074312558E+20</c:v>
                </c:pt>
                <c:pt idx="24">
                  <c:v>1.282821074312558E+21</c:v>
                </c:pt>
                <c:pt idx="25">
                  <c:v>1.282821074312558E+22</c:v>
                </c:pt>
                <c:pt idx="26">
                  <c:v>1.282821074312558E+23</c:v>
                </c:pt>
                <c:pt idx="27">
                  <c:v>1.2828210743125582E+24</c:v>
                </c:pt>
                <c:pt idx="28">
                  <c:v>1.282821074312558E+25</c:v>
                </c:pt>
                <c:pt idx="29">
                  <c:v>1.2828210743125582E+26</c:v>
                </c:pt>
                <c:pt idx="30">
                  <c:v>1.2828210743125582E+27</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5.9684861771211795E-2</c:v>
                </c:pt>
                <c:pt idx="1">
                  <c:v>0.59684861771211795</c:v>
                </c:pt>
                <c:pt idx="2">
                  <c:v>5.9684861771211795</c:v>
                </c:pt>
                <c:pt idx="3">
                  <c:v>59.684861771211793</c:v>
                </c:pt>
                <c:pt idx="4">
                  <c:v>596.84861771211786</c:v>
                </c:pt>
                <c:pt idx="5">
                  <c:v>5968.486177121179</c:v>
                </c:pt>
                <c:pt idx="6">
                  <c:v>59684.861771211792</c:v>
                </c:pt>
                <c:pt idx="7">
                  <c:v>596848.61771211796</c:v>
                </c:pt>
                <c:pt idx="8">
                  <c:v>5968486.1771211792</c:v>
                </c:pt>
                <c:pt idx="9">
                  <c:v>59684861.771211788</c:v>
                </c:pt>
                <c:pt idx="10">
                  <c:v>596848617.71211791</c:v>
                </c:pt>
                <c:pt idx="11">
                  <c:v>5968486177.1211796</c:v>
                </c:pt>
                <c:pt idx="12">
                  <c:v>59684861771.211792</c:v>
                </c:pt>
                <c:pt idx="13">
                  <c:v>596848617712.11792</c:v>
                </c:pt>
                <c:pt idx="14">
                  <c:v>5968486177121.1797</c:v>
                </c:pt>
                <c:pt idx="15">
                  <c:v>59684861771211.789</c:v>
                </c:pt>
                <c:pt idx="16">
                  <c:v>596848617712117.87</c:v>
                </c:pt>
                <c:pt idx="17">
                  <c:v>5968486177121179</c:v>
                </c:pt>
                <c:pt idx="18">
                  <c:v>5.9684861771211792E+16</c:v>
                </c:pt>
                <c:pt idx="19">
                  <c:v>5.9684861771211789E+17</c:v>
                </c:pt>
                <c:pt idx="20">
                  <c:v>5.9684861771211796E+18</c:v>
                </c:pt>
                <c:pt idx="21">
                  <c:v>5.9684861771211792E+19</c:v>
                </c:pt>
                <c:pt idx="22">
                  <c:v>5.9684861771211787E+20</c:v>
                </c:pt>
                <c:pt idx="23">
                  <c:v>5.9684861771211793E+21</c:v>
                </c:pt>
                <c:pt idx="24">
                  <c:v>5.9684861771211791E+22</c:v>
                </c:pt>
                <c:pt idx="25">
                  <c:v>5.9684861771211789E+23</c:v>
                </c:pt>
                <c:pt idx="26">
                  <c:v>5.9684861771211786E+24</c:v>
                </c:pt>
                <c:pt idx="27">
                  <c:v>5.9684861771211788E+25</c:v>
                </c:pt>
                <c:pt idx="28">
                  <c:v>5.968486177121179E+26</c:v>
                </c:pt>
                <c:pt idx="29">
                  <c:v>5.9684861771211787E+27</c:v>
                </c:pt>
                <c:pt idx="30">
                  <c:v>5.968486177121179E+28</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604814688"/>
        <c:axId val="604815864"/>
      </c:scatterChart>
      <c:valAx>
        <c:axId val="60481468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864"/>
        <c:crosses val="autoZero"/>
        <c:crossBetween val="midCat"/>
      </c:valAx>
      <c:valAx>
        <c:axId val="604815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468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-11.767742998078067</c:v>
                </c:pt>
                <c:pt idx="1">
                  <c:v>-11.688514464042477</c:v>
                </c:pt>
                <c:pt idx="2">
                  <c:v>-11.609216524421416</c:v>
                </c:pt>
                <c:pt idx="3">
                  <c:v>-11.529779773629413</c:v>
                </c:pt>
                <c:pt idx="4">
                  <c:v>-11.450134806080994</c:v>
                </c:pt>
                <c:pt idx="5">
                  <c:v>-11.370212216190685</c:v>
                </c:pt>
                <c:pt idx="6">
                  <c:v>-11.289942598373022</c:v>
                </c:pt>
                <c:pt idx="7">
                  <c:v>-11.209256547042525</c:v>
                </c:pt>
                <c:pt idx="8">
                  <c:v>-11.128084656613728</c:v>
                </c:pt>
                <c:pt idx="9">
                  <c:v>-11.046357521501157</c:v>
                </c:pt>
                <c:pt idx="10">
                  <c:v>-10.964005736119338</c:v>
                </c:pt>
                <c:pt idx="11">
                  <c:v>-10.880959894882803</c:v>
                </c:pt>
                <c:pt idx="12">
                  <c:v>-10.797150592206076</c:v>
                </c:pt>
                <c:pt idx="13">
                  <c:v>-10.712508422503692</c:v>
                </c:pt>
                <c:pt idx="14">
                  <c:v>-10.626963980190173</c:v>
                </c:pt>
                <c:pt idx="15">
                  <c:v>-10.54044785968005</c:v>
                </c:pt>
                <c:pt idx="16">
                  <c:v>-10.452890655387849</c:v>
                </c:pt>
                <c:pt idx="17">
                  <c:v>-10.3642229617281</c:v>
                </c:pt>
                <c:pt idx="18">
                  <c:v>-10.274375373115333</c:v>
                </c:pt>
                <c:pt idx="19">
                  <c:v>-10.183278483964074</c:v>
                </c:pt>
                <c:pt idx="20">
                  <c:v>-10.09086288868885</c:v>
                </c:pt>
                <c:pt idx="21">
                  <c:v>-9.9970591817041914</c:v>
                </c:pt>
                <c:pt idx="22">
                  <c:v>-9.9017979574246269</c:v>
                </c:pt>
                <c:pt idx="23">
                  <c:v>-9.8050098102646821</c:v>
                </c:pt>
                <c:pt idx="24">
                  <c:v>-9.706625334638888</c:v>
                </c:pt>
                <c:pt idx="25">
                  <c:v>-9.6065751249617719</c:v>
                </c:pt>
                <c:pt idx="26">
                  <c:v>-9.5047897756478612</c:v>
                </c:pt>
                <c:pt idx="27">
                  <c:v>-9.4011998811116833</c:v>
                </c:pt>
                <c:pt idx="28">
                  <c:v>-9.2957360357677707</c:v>
                </c:pt>
                <c:pt idx="29">
                  <c:v>-9.1883288340306457</c:v>
                </c:pt>
                <c:pt idx="30">
                  <c:v>-9.0789088703148426</c:v>
                </c:pt>
                <c:pt idx="31">
                  <c:v>-8.9674067390348853</c:v>
                </c:pt>
                <c:pt idx="32">
                  <c:v>-8.8537530346053028</c:v>
                </c:pt>
                <c:pt idx="33">
                  <c:v>-8.7378783514406262</c:v>
                </c:pt>
                <c:pt idx="34">
                  <c:v>-8.6197132839553792</c:v>
                </c:pt>
                <c:pt idx="35">
                  <c:v>-8.4991884265640945</c:v>
                </c:pt>
                <c:pt idx="36">
                  <c:v>-8.3762343736812959</c:v>
                </c:pt>
                <c:pt idx="37">
                  <c:v>-8.2507817197215161</c:v>
                </c:pt>
                <c:pt idx="38">
                  <c:v>-8.1227610590992789</c:v>
                </c:pt>
                <c:pt idx="39">
                  <c:v>-7.9921029862291162</c:v>
                </c:pt>
                <c:pt idx="40">
                  <c:v>-7.8587380955255552</c:v>
                </c:pt>
                <c:pt idx="41">
                  <c:v>-7.7602263016302135</c:v>
                </c:pt>
                <c:pt idx="42">
                  <c:v>-7.658976352563549</c:v>
                </c:pt>
                <c:pt idx="43">
                  <c:v>-7.5550263165731124</c:v>
                </c:pt>
                <c:pt idx="44">
                  <c:v>-7.4484142619064535</c:v>
                </c:pt>
                <c:pt idx="45">
                  <c:v>-7.3391782568111186</c:v>
                </c:pt>
                <c:pt idx="46">
                  <c:v>-7.2273563695346592</c:v>
                </c:pt>
                <c:pt idx="47">
                  <c:v>-7.1129866683246252</c:v>
                </c:pt>
                <c:pt idx="48">
                  <c:v>-6.9961072214285611</c:v>
                </c:pt>
                <c:pt idx="49">
                  <c:v>-6.8767560970940202</c:v>
                </c:pt>
                <c:pt idx="50">
                  <c:v>-6.7549713635685489</c:v>
                </c:pt>
                <c:pt idx="51">
                  <c:v>-6.6307910890996986</c:v>
                </c:pt>
                <c:pt idx="52">
                  <c:v>-6.5042533419350175</c:v>
                </c:pt>
                <c:pt idx="53">
                  <c:v>-6.3753961903220517</c:v>
                </c:pt>
                <c:pt idx="54">
                  <c:v>-6.2442577025083548</c:v>
                </c:pt>
                <c:pt idx="55">
                  <c:v>-6.1108759467414719</c:v>
                </c:pt>
                <c:pt idx="56">
                  <c:v>-5.9752889912689549</c:v>
                </c:pt>
                <c:pt idx="57">
                  <c:v>-5.8375349043383506</c:v>
                </c:pt>
                <c:pt idx="58">
                  <c:v>-5.69765175419721</c:v>
                </c:pt>
                <c:pt idx="59">
                  <c:v>-5.5556776090930811</c:v>
                </c:pt>
                <c:pt idx="60">
                  <c:v>-5.4116505372735126</c:v>
                </c:pt>
                <c:pt idx="61">
                  <c:v>-5.2656086069860537</c:v>
                </c:pt>
                <c:pt idx="62">
                  <c:v>-5.117589886478255</c:v>
                </c:pt>
                <c:pt idx="63">
                  <c:v>-4.9676324439976618</c:v>
                </c:pt>
                <c:pt idx="64">
                  <c:v>-4.8157743477918267</c:v>
                </c:pt>
                <c:pt idx="65">
                  <c:v>-4.6620536661082976</c:v>
                </c:pt>
                <c:pt idx="66">
                  <c:v>-4.5064876642526812</c:v>
                </c:pt>
                <c:pt idx="67">
                  <c:v>-4.3490103957628126</c:v>
                </c:pt>
                <c:pt idx="68">
                  <c:v>-4.1895351112345889</c:v>
                </c:pt>
                <c:pt idx="69">
                  <c:v>-4.0279750612639029</c:v>
                </c:pt>
                <c:pt idx="70">
                  <c:v>-3.8642434964466505</c:v>
                </c:pt>
                <c:pt idx="71">
                  <c:v>-3.6982536673787254</c:v>
                </c:pt>
                <c:pt idx="72">
                  <c:v>-3.5299188246560211</c:v>
                </c:pt>
                <c:pt idx="73">
                  <c:v>-3.3591522188744336</c:v>
                </c:pt>
                <c:pt idx="74">
                  <c:v>-3.1858671006298569</c:v>
                </c:pt>
                <c:pt idx="75">
                  <c:v>-3.0099767205181855</c:v>
                </c:pt>
                <c:pt idx="76">
                  <c:v>-2.8313943291353141</c:v>
                </c:pt>
                <c:pt idx="77">
                  <c:v>-2.6500331770771361</c:v>
                </c:pt>
                <c:pt idx="78">
                  <c:v>-2.4658065149395476</c:v>
                </c:pt>
                <c:pt idx="79">
                  <c:v>-2.2786275933184421</c:v>
                </c:pt>
                <c:pt idx="80">
                  <c:v>-2.0884096628097142</c:v>
                </c:pt>
                <c:pt idx="81">
                  <c:v>-1.8950659740092586</c:v>
                </c:pt>
                <c:pt idx="82">
                  <c:v>-1.6985097775129696</c:v>
                </c:pt>
                <c:pt idx="83">
                  <c:v>-1.4986543239167425</c:v>
                </c:pt>
                <c:pt idx="84">
                  <c:v>-1.2954128638164701</c:v>
                </c:pt>
                <c:pt idx="85">
                  <c:v>-1.0886986478080485</c:v>
                </c:pt>
                <c:pt idx="86">
                  <c:v>-0.87842492648737136</c:v>
                </c:pt>
                <c:pt idx="87">
                  <c:v>-0.66450495045033353</c:v>
                </c:pt>
                <c:pt idx="88">
                  <c:v>-0.44685197029282936</c:v>
                </c:pt>
                <c:pt idx="89">
                  <c:v>-0.22537923661075326</c:v>
                </c:pt>
                <c:pt idx="90">
                  <c:v>5.5511151231257827E-17</c:v>
                </c:pt>
                <c:pt idx="91">
                  <c:v>0.22937857774314535</c:v>
                </c:pt>
                <c:pt idx="92">
                  <c:v>0.46287369002083401</c:v>
                </c:pt>
                <c:pt idx="93">
                  <c:v>0.70060861903482641</c:v>
                </c:pt>
                <c:pt idx="94">
                  <c:v>0.94270664698688345</c:v>
                </c:pt>
                <c:pt idx="95">
                  <c:v>1.1892910560787653</c:v>
                </c:pt>
                <c:pt idx="96">
                  <c:v>1.4404851285122322</c:v>
                </c:pt>
                <c:pt idx="97">
                  <c:v>1.6964121464890451</c:v>
                </c:pt>
                <c:pt idx="98">
                  <c:v>1.9571953922109646</c:v>
                </c:pt>
                <c:pt idx="99">
                  <c:v>2.2229581478797509</c:v>
                </c:pt>
                <c:pt idx="100">
                  <c:v>2.4938236956971647</c:v>
                </c:pt>
                <c:pt idx="101">
                  <c:v>2.769915317864966</c:v>
                </c:pt>
                <c:pt idx="102">
                  <c:v>3.0513562965849155</c:v>
                </c:pt>
                <c:pt idx="103">
                  <c:v>3.3382699140587744</c:v>
                </c:pt>
                <c:pt idx="104">
                  <c:v>3.6307794524883028</c:v>
                </c:pt>
                <c:pt idx="105">
                  <c:v>3.9290081940752608</c:v>
                </c:pt>
                <c:pt idx="106">
                  <c:v>4.2330794210214098</c:v>
                </c:pt>
                <c:pt idx="107">
                  <c:v>4.5431164155285089</c:v>
                </c:pt>
                <c:pt idx="108">
                  <c:v>4.8592424597983204</c:v>
                </c:pt>
                <c:pt idx="109">
                  <c:v>5.1815808360326026</c:v>
                </c:pt>
                <c:pt idx="110">
                  <c:v>5.5102548264331181</c:v>
                </c:pt>
                <c:pt idx="111">
                  <c:v>5.8453877132016263</c:v>
                </c:pt>
                <c:pt idx="112">
                  <c:v>6.187102778539888</c:v>
                </c:pt>
                <c:pt idx="113">
                  <c:v>6.5355233046496641</c:v>
                </c:pt>
                <c:pt idx="114">
                  <c:v>6.890772573732713</c:v>
                </c:pt>
                <c:pt idx="115">
                  <c:v>7.2529738679907982</c:v>
                </c:pt>
                <c:pt idx="116">
                  <c:v>7.622250469625679</c:v>
                </c:pt>
                <c:pt idx="117">
                  <c:v>7.9987256608391153</c:v>
                </c:pt>
                <c:pt idx="118">
                  <c:v>8.382522723832869</c:v>
                </c:pt>
                <c:pt idx="119">
                  <c:v>8.7737649408086984</c:v>
                </c:pt>
                <c:pt idx="120">
                  <c:v>9.1725755939683662</c:v>
                </c:pt>
                <c:pt idx="121">
                  <c:v>9.578978417369818</c:v>
                </c:pt>
                <c:pt idx="122">
                  <c:v>9.9925989524957508</c:v>
                </c:pt>
                <c:pt idx="123">
                  <c:v>10.412963192685044</c:v>
                </c:pt>
                <c:pt idx="124">
                  <c:v>10.83959713127658</c:v>
                </c:pt>
                <c:pt idx="125">
                  <c:v>11.272026761609242</c:v>
                </c:pt>
                <c:pt idx="126">
                  <c:v>11.709778077021911</c:v>
                </c:pt>
                <c:pt idx="127">
                  <c:v>12.152377070853465</c:v>
                </c:pt>
                <c:pt idx="128">
                  <c:v>12.599349736442793</c:v>
                </c:pt>
                <c:pt idx="129">
                  <c:v>13.05022206712877</c:v>
                </c:pt>
                <c:pt idx="130">
                  <c:v>13.50452005625028</c:v>
                </c:pt>
                <c:pt idx="131">
                  <c:v>13.961769697146208</c:v>
                </c:pt>
                <c:pt idx="132">
                  <c:v>14.421496983155432</c:v>
                </c:pt>
                <c:pt idx="133">
                  <c:v>14.883227907616831</c:v>
                </c:pt>
                <c:pt idx="134">
                  <c:v>15.346488463869294</c:v>
                </c:pt>
                <c:pt idx="135">
                  <c:v>15.810804645251697</c:v>
                </c:pt>
                <c:pt idx="136">
                  <c:v>16.275702445102926</c:v>
                </c:pt>
                <c:pt idx="137">
                  <c:v>16.740707856761858</c:v>
                </c:pt>
                <c:pt idx="138">
                  <c:v>17.205346873567379</c:v>
                </c:pt>
                <c:pt idx="139">
                  <c:v>17.669145488858366</c:v>
                </c:pt>
                <c:pt idx="140">
                  <c:v>18.131629695973704</c:v>
                </c:pt>
                <c:pt idx="141">
                  <c:v>18.592325488252278</c:v>
                </c:pt>
                <c:pt idx="142">
                  <c:v>19.05075885903296</c:v>
                </c:pt>
                <c:pt idx="143">
                  <c:v>19.506455801654642</c:v>
                </c:pt>
                <c:pt idx="144">
                  <c:v>19.958942309456202</c:v>
                </c:pt>
                <c:pt idx="145">
                  <c:v>20.40774437577652</c:v>
                </c:pt>
                <c:pt idx="146">
                  <c:v>20.852387993954476</c:v>
                </c:pt>
                <c:pt idx="147">
                  <c:v>21.292399157328958</c:v>
                </c:pt>
                <c:pt idx="148">
                  <c:v>21.727303859238841</c:v>
                </c:pt>
                <c:pt idx="149">
                  <c:v>22.156628093023013</c:v>
                </c:pt>
                <c:pt idx="150">
                  <c:v>22.579897852020352</c:v>
                </c:pt>
                <c:pt idx="151">
                  <c:v>22.996639129569736</c:v>
                </c:pt>
                <c:pt idx="152">
                  <c:v>23.406377919010055</c:v>
                </c:pt>
                <c:pt idx="153">
                  <c:v>23.808640213680185</c:v>
                </c:pt>
                <c:pt idx="154">
                  <c:v>24.202952006919013</c:v>
                </c:pt>
                <c:pt idx="155">
                  <c:v>24.588839292065412</c:v>
                </c:pt>
                <c:pt idx="156">
                  <c:v>24.965828062458272</c:v>
                </c:pt>
                <c:pt idx="157">
                  <c:v>25.333444311436473</c:v>
                </c:pt>
                <c:pt idx="158">
                  <c:v>25.691214032338891</c:v>
                </c:pt>
                <c:pt idx="159">
                  <c:v>26.038663218504414</c:v>
                </c:pt>
                <c:pt idx="160">
                  <c:v>26.375317863271924</c:v>
                </c:pt>
                <c:pt idx="161">
                  <c:v>26.700703959980302</c:v>
                </c:pt>
                <c:pt idx="162">
                  <c:v>27.014347501968423</c:v>
                </c:pt>
                <c:pt idx="163">
                  <c:v>27.315774482575176</c:v>
                </c:pt>
                <c:pt idx="164">
                  <c:v>27.604510895139441</c:v>
                </c:pt>
                <c:pt idx="165">
                  <c:v>27.880082733000094</c:v>
                </c:pt>
                <c:pt idx="166">
                  <c:v>28.142159936231756</c:v>
                </c:pt>
                <c:pt idx="167">
                  <c:v>28.390988231851978</c:v>
                </c:pt>
                <c:pt idx="168">
                  <c:v>28.626957293614023</c:v>
                </c:pt>
                <c:pt idx="169">
                  <c:v>28.850456795271182</c:v>
                </c:pt>
                <c:pt idx="170">
                  <c:v>29.061876410576723</c:v>
                </c:pt>
                <c:pt idx="171">
                  <c:v>29.261605813283929</c:v>
                </c:pt>
                <c:pt idx="172">
                  <c:v>29.450034677146082</c:v>
                </c:pt>
                <c:pt idx="173">
                  <c:v>29.627552675916455</c:v>
                </c:pt>
                <c:pt idx="174">
                  <c:v>29.79454948334832</c:v>
                </c:pt>
                <c:pt idx="175">
                  <c:v>29.951414773194962</c:v>
                </c:pt>
                <c:pt idx="176">
                  <c:v>30.098538219209662</c:v>
                </c:pt>
                <c:pt idx="177">
                  <c:v>30.236309495145687</c:v>
                </c:pt>
                <c:pt idx="178">
                  <c:v>30.365118274756327</c:v>
                </c:pt>
                <c:pt idx="179">
                  <c:v>30.485354231794851</c:v>
                </c:pt>
                <c:pt idx="180">
                  <c:v>30.597407040014538</c:v>
                </c:pt>
                <c:pt idx="181">
                  <c:v>30.701666373168674</c:v>
                </c:pt>
                <c:pt idx="182">
                  <c:v>30.798521905010524</c:v>
                </c:pt>
                <c:pt idx="183">
                  <c:v>30.888363309293378</c:v>
                </c:pt>
                <c:pt idx="184">
                  <c:v>30.971580259770505</c:v>
                </c:pt>
                <c:pt idx="185">
                  <c:v>31.04856243019519</c:v>
                </c:pt>
                <c:pt idx="186">
                  <c:v>31.119699494320702</c:v>
                </c:pt>
                <c:pt idx="187">
                  <c:v>31.185381125900328</c:v>
                </c:pt>
                <c:pt idx="188">
                  <c:v>31.245996998687339</c:v>
                </c:pt>
                <c:pt idx="189">
                  <c:v>31.301936786435014</c:v>
                </c:pt>
                <c:pt idx="190">
                  <c:v>31.353590162896637</c:v>
                </c:pt>
                <c:pt idx="191">
                  <c:v>31.401346801825479</c:v>
                </c:pt>
                <c:pt idx="192">
                  <c:v>31.445596376974827</c:v>
                </c:pt>
                <c:pt idx="193">
                  <c:v>31.486728562097944</c:v>
                </c:pt>
                <c:pt idx="194">
                  <c:v>31.525133030948119</c:v>
                </c:pt>
                <c:pt idx="195">
                  <c:v>31.561199457278626</c:v>
                </c:pt>
                <c:pt idx="196">
                  <c:v>31.595317514842744</c:v>
                </c:pt>
                <c:pt idx="197">
                  <c:v>31.627876877393749</c:v>
                </c:pt>
                <c:pt idx="198">
                  <c:v>31.659267218684921</c:v>
                </c:pt>
                <c:pt idx="199">
                  <c:v>31.689878212469541</c:v>
                </c:pt>
                <c:pt idx="200">
                  <c:v>31.720099532500878</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-11.767742998078067</c:v>
                </c:pt>
                <c:pt idx="1">
                  <c:v>-7.8587380955255552</c:v>
                </c:pt>
                <c:pt idx="2">
                  <c:v>-4.6620536661082976</c:v>
                </c:pt>
                <c:pt idx="3">
                  <c:v>0</c:v>
                </c:pt>
                <c:pt idx="4">
                  <c:v>9.1725755939683662</c:v>
                </c:pt>
                <c:pt idx="5">
                  <c:v>27.880082733000094</c:v>
                </c:pt>
                <c:pt idx="6">
                  <c:v>31.720099532500878</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-11.844507561952318</c:v>
                </c:pt>
                <c:pt idx="1">
                  <c:v>-11.739656297563865</c:v>
                </c:pt>
                <c:pt idx="2">
                  <c:v>-11.638901314289553</c:v>
                </c:pt>
                <c:pt idx="3">
                  <c:v>-11.541729308562276</c:v>
                </c:pt>
                <c:pt idx="4">
                  <c:v>-11.447657910691486</c:v>
                </c:pt>
                <c:pt idx="5">
                  <c:v>-11.356234742236348</c:v>
                </c:pt>
                <c:pt idx="6">
                  <c:v>-11.267036468500699</c:v>
                </c:pt>
                <c:pt idx="7">
                  <c:v>-11.179667847323467</c:v>
                </c:pt>
                <c:pt idx="8">
                  <c:v>-11.093760775314118</c:v>
                </c:pt>
                <c:pt idx="9">
                  <c:v>-11.008973332659108</c:v>
                </c:pt>
                <c:pt idx="10">
                  <c:v>-10.924988827601013</c:v>
                </c:pt>
                <c:pt idx="11">
                  <c:v>-10.8415148416682</c:v>
                </c:pt>
                <c:pt idx="12">
                  <c:v>-10.758282276709092</c:v>
                </c:pt>
                <c:pt idx="13">
                  <c:v>-10.675044404760826</c:v>
                </c:pt>
                <c:pt idx="14">
                  <c:v>-10.591575921758439</c:v>
                </c:pt>
                <c:pt idx="15">
                  <c:v>-10.507672006066638</c:v>
                </c:pt>
                <c:pt idx="16">
                  <c:v>-10.423147382792257</c:v>
                </c:pt>
                <c:pt idx="17">
                  <c:v>-10.337835394811577</c:v>
                </c:pt>
                <c:pt idx="18">
                  <c:v>-10.251587081422761</c:v>
                </c:pt>
                <c:pt idx="19">
                  <c:v>-10.164270265509696</c:v>
                </c:pt>
                <c:pt idx="20">
                  <c:v>-10.0757686500795</c:v>
                </c:pt>
                <c:pt idx="21">
                  <c:v>-9.9859809250121785</c:v>
                </c:pt>
                <c:pt idx="22">
                  <c:v>-9.8948198848368047</c:v>
                </c:pt>
                <c:pt idx="23">
                  <c:v>-9.8022115583246947</c:v>
                </c:pt>
                <c:pt idx="24">
                  <c:v>-9.7080943506661939</c:v>
                </c:pt>
                <c:pt idx="25">
                  <c:v>-9.6124181989735771</c:v>
                </c:pt>
                <c:pt idx="26">
                  <c:v>-9.5151437418287586</c:v>
                </c:pt>
                <c:pt idx="27">
                  <c:v>-9.416241503570479</c:v>
                </c:pt>
                <c:pt idx="28">
                  <c:v>-9.3156910939917541</c:v>
                </c:pt>
                <c:pt idx="29">
                  <c:v>-9.2134804240943016</c:v>
                </c:pt>
                <c:pt idx="30">
                  <c:v>-9.1096049385229048</c:v>
                </c:pt>
                <c:pt idx="31">
                  <c:v>-9.0040668652784888</c:v>
                </c:pt>
                <c:pt idx="32">
                  <c:v>-8.8968744832850053</c:v>
                </c:pt>
                <c:pt idx="33">
                  <c:v>-8.7880414083609715</c:v>
                </c:pt>
                <c:pt idx="34">
                  <c:v>-8.6775858981228158</c:v>
                </c:pt>
                <c:pt idx="35">
                  <c:v>-8.5655301763231559</c:v>
                </c:pt>
                <c:pt idx="36">
                  <c:v>-8.4518997771030975</c:v>
                </c:pt>
                <c:pt idx="37">
                  <c:v>-8.3367229096137461</c:v>
                </c:pt>
                <c:pt idx="38">
                  <c:v>-8.2200298434383416</c:v>
                </c:pt>
                <c:pt idx="39">
                  <c:v>-8.101852315222132</c:v>
                </c:pt>
                <c:pt idx="40">
                  <c:v>-7.9822229568934819</c:v>
                </c:pt>
                <c:pt idx="41">
                  <c:v>-7.8611747458356005</c:v>
                </c:pt>
                <c:pt idx="42">
                  <c:v>-7.7387404773443302</c:v>
                </c:pt>
                <c:pt idx="43">
                  <c:v>-7.6149522596835473</c:v>
                </c:pt>
                <c:pt idx="44">
                  <c:v>-7.4898410320257067</c:v>
                </c:pt>
                <c:pt idx="45">
                  <c:v>-7.3634361055412185</c:v>
                </c:pt>
                <c:pt idx="46">
                  <c:v>-7.235764727876254</c:v>
                </c:pt>
                <c:pt idx="47">
                  <c:v>-7.1068516712347449</c:v>
                </c:pt>
                <c:pt idx="48">
                  <c:v>-6.976718844256367</c:v>
                </c:pt>
                <c:pt idx="49">
                  <c:v>-6.845384927858305</c:v>
                </c:pt>
                <c:pt idx="50">
                  <c:v>-6.7128650351846826</c:v>
                </c:pt>
                <c:pt idx="51">
                  <c:v>-6.5791703957836178</c:v>
                </c:pt>
                <c:pt idx="52">
                  <c:v>-6.4443080641078598</c:v>
                </c:pt>
                <c:pt idx="53">
                  <c:v>-6.3082806524110433</c:v>
                </c:pt>
                <c:pt idx="54">
                  <c:v>-6.1710860880876481</c:v>
                </c:pt>
                <c:pt idx="55">
                  <c:v>-6.0327173954808417</c:v>
                </c:pt>
                <c:pt idx="56">
                  <c:v>-5.8931625021583018</c:v>
                </c:pt>
                <c:pt idx="57">
                  <c:v>-5.7524040696323722</c:v>
                </c:pt>
                <c:pt idx="58">
                  <c:v>-5.6104193484767491</c:v>
                </c:pt>
                <c:pt idx="59">
                  <c:v>-5.4671800577681138</c:v>
                </c:pt>
                <c:pt idx="60">
                  <c:v>-5.32265228875705</c:v>
                </c:pt>
                <c:pt idx="61">
                  <c:v>-5.1767964326487386</c:v>
                </c:pt>
                <c:pt idx="62">
                  <c:v>-5.0295671323498992</c:v>
                </c:pt>
                <c:pt idx="63">
                  <c:v>-4.8809132580145507</c:v>
                </c:pt>
                <c:pt idx="64">
                  <c:v>-4.7307779061971607</c:v>
                </c:pt>
                <c:pt idx="65">
                  <c:v>-4.5790984223978919</c:v>
                </c:pt>
                <c:pt idx="66">
                  <c:v>-4.4258064467605855</c:v>
                </c:pt>
                <c:pt idx="67">
                  <c:v>-4.2708279826602871</c:v>
                </c:pt>
                <c:pt idx="68">
                  <c:v>-4.1140834878931161</c:v>
                </c:pt>
                <c:pt idx="69">
                  <c:v>-3.9554879881573015</c:v>
                </c:pt>
                <c:pt idx="70">
                  <c:v>-3.7949512124903624</c:v>
                </c:pt>
                <c:pt idx="71">
                  <c:v>-3.6323777503033248</c:v>
                </c:pt>
                <c:pt idx="72">
                  <c:v>-3.4676672296290425</c:v>
                </c:pt>
                <c:pt idx="73">
                  <c:v>-3.3007145161776696</c:v>
                </c:pt>
                <c:pt idx="74">
                  <c:v>-3.1314099327683862</c:v>
                </c:pt>
                <c:pt idx="75">
                  <c:v>-2.9596394986825869</c:v>
                </c:pt>
                <c:pt idx="76">
                  <c:v>-2.7852851884597127</c:v>
                </c:pt>
                <c:pt idx="77">
                  <c:v>-2.6082252096330234</c:v>
                </c:pt>
                <c:pt idx="78">
                  <c:v>-2.428334298878625</c:v>
                </c:pt>
                <c:pt idx="79">
                  <c:v>-2.2454840360271335</c:v>
                </c:pt>
                <c:pt idx="80">
                  <c:v>-2.0595431753633999</c:v>
                </c:pt>
                <c:pt idx="81">
                  <c:v>-1.8703779936157736</c:v>
                </c:pt>
                <c:pt idx="82">
                  <c:v>-1.6778526540124428</c:v>
                </c:pt>
                <c:pt idx="83">
                  <c:v>-1.4818295857584189</c:v>
                </c:pt>
                <c:pt idx="84">
                  <c:v>-1.2821698782628221</c:v>
                </c:pt>
                <c:pt idx="85">
                  <c:v>-1.0787336894221289</c:v>
                </c:pt>
                <c:pt idx="86">
                  <c:v>-0.87138066724113838</c:v>
                </c:pt>
                <c:pt idx="87">
                  <c:v>-0.65997038404943187</c:v>
                </c:pt>
                <c:pt idx="88">
                  <c:v>-0.44436278254717715</c:v>
                </c:pt>
                <c:pt idx="89">
                  <c:v>-0.22441863289016117</c:v>
                </c:pt>
                <c:pt idx="90">
                  <c:v>0</c:v>
                </c:pt>
                <c:pt idx="91">
                  <c:v>0.22902927973848208</c:v>
                </c:pt>
                <c:pt idx="92">
                  <c:v>0.46280311325465601</c:v>
                </c:pt>
                <c:pt idx="93">
                  <c:v>0.70145265793017619</c:v>
                </c:pt>
                <c:pt idx="94">
                  <c:v>0.94510582200760296</c:v>
                </c:pt>
                <c:pt idx="95">
                  <c:v>1.1938867592033602</c:v>
                </c:pt>
                <c:pt idx="96">
                  <c:v>1.4479153584827702</c:v>
                </c:pt>
                <c:pt idx="97">
                  <c:v>1.7073067299788671</c:v>
                </c:pt>
                <c:pt idx="98">
                  <c:v>1.9721706880606289</c:v>
                </c:pt>
                <c:pt idx="99">
                  <c:v>2.2426112325802192</c:v>
                </c:pt>
                <c:pt idx="100">
                  <c:v>2.5187260293527869</c:v>
                </c:pt>
                <c:pt idx="101">
                  <c:v>2.8006058909462963</c:v>
                </c:pt>
                <c:pt idx="102">
                  <c:v>3.0883342588828469</c:v>
                </c:pt>
                <c:pt idx="103">
                  <c:v>3.3819866883768541</c:v>
                </c:pt>
                <c:pt idx="104">
                  <c:v>3.6816303367594259</c:v>
                </c:pt>
                <c:pt idx="105">
                  <c:v>3.98732345676222</c:v>
                </c:pt>
                <c:pt idx="106">
                  <c:v>4.2991148958580219</c:v>
                </c:pt>
                <c:pt idx="107">
                  <c:v>4.6170436028792041</c:v>
                </c:pt>
                <c:pt idx="108">
                  <c:v>4.9411381431592165</c:v>
                </c:pt>
                <c:pt idx="109">
                  <c:v>5.2714162234661517</c:v>
                </c:pt>
                <c:pt idx="110">
                  <c:v>5.6078842280214625</c:v>
                </c:pt>
                <c:pt idx="111">
                  <c:v>5.9505367669207443</c:v>
                </c:pt>
                <c:pt idx="112">
                  <c:v>6.2993562382975599</c:v>
                </c:pt>
                <c:pt idx="113">
                  <c:v>6.6543124055951077</c:v>
                </c:pt>
                <c:pt idx="114">
                  <c:v>7.015361991334645</c:v>
                </c:pt>
                <c:pt idx="115">
                  <c:v>7.3824482887933511</c:v>
                </c:pt>
                <c:pt idx="116">
                  <c:v>7.7555007930283706</c:v>
                </c:pt>
                <c:pt idx="117">
                  <c:v>8.1344348527077326</c:v>
                </c:pt>
                <c:pt idx="118">
                  <c:v>8.5191513442326983</c:v>
                </c:pt>
                <c:pt idx="119">
                  <c:v>8.9095363696601666</c:v>
                </c:pt>
                <c:pt idx="120">
                  <c:v>9.3054609799575765</c:v>
                </c:pt>
                <c:pt idx="121">
                  <c:v>9.7067809251468091</c:v>
                </c:pt>
                <c:pt idx="122">
                  <c:v>10.1133364329175</c:v>
                </c:pt>
                <c:pt idx="123">
                  <c:v>10.524952017314058</c:v>
                </c:pt>
                <c:pt idx="124">
                  <c:v>10.941436319124799</c:v>
                </c:pt>
                <c:pt idx="125">
                  <c:v>11.362581979625288</c:v>
                </c:pt>
                <c:pt idx="126">
                  <c:v>11.788165549352282</c:v>
                </c:pt>
                <c:pt idx="127">
                  <c:v>12.217947433608236</c:v>
                </c:pt>
                <c:pt idx="128">
                  <c:v>12.651671876420611</c:v>
                </c:pt>
                <c:pt idx="129">
                  <c:v>13.08906698470393</c:v>
                </c:pt>
                <c:pt idx="130">
                  <c:v>13.529844794396647</c:v>
                </c:pt>
                <c:pt idx="131">
                  <c:v>13.973701380368714</c:v>
                </c:pt>
                <c:pt idx="132">
                  <c:v>14.420317011919762</c:v>
                </c:pt>
                <c:pt idx="133">
                  <c:v>14.869356355711762</c:v>
                </c:pt>
                <c:pt idx="134">
                  <c:v>15.320468728003874</c:v>
                </c:pt>
                <c:pt idx="135">
                  <c:v>15.773288398081315</c:v>
                </c:pt>
                <c:pt idx="136">
                  <c:v>16.227434944793846</c:v>
                </c:pt>
                <c:pt idx="137">
                  <c:v>16.682513668143564</c:v>
                </c:pt>
                <c:pt idx="138">
                  <c:v>17.138116057885576</c:v>
                </c:pt>
                <c:pt idx="139">
                  <c:v>17.593820321128991</c:v>
                </c:pt>
                <c:pt idx="140">
                  <c:v>18.049191970949934</c:v>
                </c:pt>
                <c:pt idx="141">
                  <c:v>18.503784478051699</c:v>
                </c:pt>
                <c:pt idx="142">
                  <c:v>18.957139987531662</c:v>
                </c:pt>
                <c:pt idx="143">
                  <c:v>19.408790102838172</c:v>
                </c:pt>
                <c:pt idx="144">
                  <c:v>19.858256739024704</c:v>
                </c:pt>
                <c:pt idx="145">
                  <c:v>20.305053047432494</c:v>
                </c:pt>
                <c:pt idx="146">
                  <c:v>20.748684413956816</c:v>
                </c:pt>
                <c:pt idx="147">
                  <c:v>21.188649533076084</c:v>
                </c:pt>
                <c:pt idx="148">
                  <c:v>21.624441559846655</c:v>
                </c:pt>
                <c:pt idx="149">
                  <c:v>22.055549342090643</c:v>
                </c:pt>
                <c:pt idx="150">
                  <c:v>22.481458735027417</c:v>
                </c:pt>
                <c:pt idx="151">
                  <c:v>22.901654000623846</c:v>
                </c:pt>
                <c:pt idx="152">
                  <c:v>23.31561929396214</c:v>
                </c:pt>
                <c:pt idx="153">
                  <c:v>23.722840238948052</c:v>
                </c:pt>
                <c:pt idx="154">
                  <c:v>24.122805595706225</c:v>
                </c:pt>
                <c:pt idx="155">
                  <c:v>24.515009022033333</c:v>
                </c:pt>
                <c:pt idx="156">
                  <c:v>24.898950931303762</c:v>
                </c:pt>
                <c:pt idx="157">
                  <c:v>25.274140449246417</c:v>
                </c:pt>
                <c:pt idx="158">
                  <c:v>25.64009747203502</c:v>
                </c:pt>
                <c:pt idx="159">
                  <c:v>25.99635482815868</c:v>
                </c:pt>
                <c:pt idx="160">
                  <c:v>26.342460546563029</c:v>
                </c:pt>
                <c:pt idx="161">
                  <c:v>26.677980233576232</c:v>
                </c:pt>
                <c:pt idx="162">
                  <c:v>27.002499561158412</c:v>
                </c:pt>
                <c:pt idx="163">
                  <c:v>27.315626869036667</c:v>
                </c:pt>
                <c:pt idx="164">
                  <c:v>27.616995883311894</c:v>
                </c:pt>
                <c:pt idx="165">
                  <c:v>27.906268554147619</c:v>
                </c:pt>
                <c:pt idx="166">
                  <c:v>28.183138015175135</c:v>
                </c:pt>
                <c:pt idx="167">
                  <c:v>28.447331667272692</c:v>
                </c:pt>
                <c:pt idx="168">
                  <c:v>28.698614389401136</c:v>
                </c:pt>
                <c:pt idx="169">
                  <c:v>28.936791879201742</c:v>
                </c:pt>
                <c:pt idx="170">
                  <c:v>29.16171412608621</c:v>
                </c:pt>
                <c:pt idx="171">
                  <c:v>29.373279019572824</c:v>
                </c:pt>
                <c:pt idx="172">
                  <c:v>29.571436095646451</c:v>
                </c:pt>
                <c:pt idx="173">
                  <c:v>29.756190423944126</c:v>
                </c:pt>
                <c:pt idx="174">
                  <c:v>29.927606638592316</c:v>
                </c:pt>
                <c:pt idx="175">
                  <c:v>30.085813115544862</c:v>
                </c:pt>
                <c:pt idx="176">
                  <c:v>30.231006299295927</c:v>
                </c:pt>
                <c:pt idx="177">
                  <c:v>30.363455181865028</c:v>
                </c:pt>
                <c:pt idx="178">
                  <c:v>30.48350593697592</c:v>
                </c:pt>
                <c:pt idx="179">
                  <c:v>30.591586712374664</c:v>
                </c:pt>
                <c:pt idx="180">
                  <c:v>30.688212583256398</c:v>
                </c:pt>
                <c:pt idx="181">
                  <c:v>30.773990669794046</c:v>
                </c:pt>
                <c:pt idx="182">
                  <c:v>30.849625421786445</c:v>
                </c:pt>
                <c:pt idx="183">
                  <c:v>30.915924073466979</c:v>
                </c:pt>
                <c:pt idx="184">
                  <c:v>30.973802271537991</c:v>
                </c:pt>
                <c:pt idx="185">
                  <c:v>31.024289879520264</c:v>
                </c:pt>
                <c:pt idx="186">
                  <c:v>31.068536961530342</c:v>
                </c:pt>
                <c:pt idx="187">
                  <c:v>31.107819948623138</c:v>
                </c:pt>
                <c:pt idx="188">
                  <c:v>31.143547990860604</c:v>
                </c:pt>
                <c:pt idx="189">
                  <c:v>31.177269498291306</c:v>
                </c:pt>
                <c:pt idx="190">
                  <c:v>31.210678874050174</c:v>
                </c:pt>
                <c:pt idx="191">
                  <c:v>31.245623442810874</c:v>
                </c:pt>
                <c:pt idx="192">
                  <c:v>31.284110577847784</c:v>
                </c:pt>
                <c:pt idx="193">
                  <c:v>31.32831502998846</c:v>
                </c:pt>
                <c:pt idx="194">
                  <c:v>31.380586461760874</c:v>
                </c:pt>
                <c:pt idx="195">
                  <c:v>31.443457190064578</c:v>
                </c:pt>
                <c:pt idx="196">
                  <c:v>31.519650140717786</c:v>
                </c:pt>
                <c:pt idx="197">
                  <c:v>31.61208701825764</c:v>
                </c:pt>
                <c:pt idx="198">
                  <c:v>31.723896694393449</c:v>
                </c:pt>
                <c:pt idx="199">
                  <c:v>31.858423818537762</c:v>
                </c:pt>
                <c:pt idx="200">
                  <c:v>32.019237653863414</c:v>
                </c:pt>
              </c:numCache>
            </c:numRef>
          </c:yVal>
          <c:smooth val="1"/>
        </c:ser>
        <c:dLbls>
          <c:showLegendKey val="0"/>
          <c:showVal val="0"/>
          <c:showCatName val="0"/>
          <c:showSerName val="0"/>
          <c:showPercent val="0"/>
          <c:showBubbleSize val="0"/>
        </c:dLbls>
        <c:axId val="604815472"/>
        <c:axId val="604809592"/>
      </c:scatterChart>
      <c:valAx>
        <c:axId val="6048154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09592"/>
        <c:crossesAt val="-1000"/>
        <c:crossBetween val="midCat"/>
      </c:valAx>
      <c:valAx>
        <c:axId val="604809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048154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0.22670143412778754</v>
      </c>
      <c r="D59" s="55">
        <v>1</v>
      </c>
    </row>
    <row r="60" spans="1:4" s="11" customFormat="1" x14ac:dyDescent="0.25">
      <c r="A60" s="54">
        <v>2</v>
      </c>
      <c r="B60" s="56">
        <f>'Shiftfunktion bestimmen'!N2</f>
        <v>2.3054174102736438E-3</v>
      </c>
      <c r="D60" s="55">
        <v>2</v>
      </c>
    </row>
    <row r="61" spans="1:4" s="11" customFormat="1" x14ac:dyDescent="0.25">
      <c r="A61" s="54">
        <v>3</v>
      </c>
      <c r="B61" s="56">
        <f>'Shiftfunktion bestimmen'!N3</f>
        <v>2.2526264202162082E-5</v>
      </c>
      <c r="D61" s="55">
        <v>3</v>
      </c>
    </row>
    <row r="62" spans="1:4" s="11" customFormat="1" x14ac:dyDescent="0.25">
      <c r="A62" s="54">
        <v>4</v>
      </c>
      <c r="B62" s="56">
        <f>'Shiftfunktion bestimmen'!N4</f>
        <v>-9.3975495295630713E-8</v>
      </c>
      <c r="D62" s="55">
        <v>4</v>
      </c>
    </row>
    <row r="63" spans="1:4" s="11" customFormat="1" x14ac:dyDescent="0.25">
      <c r="A63" s="54">
        <v>5</v>
      </c>
      <c r="B63" s="56">
        <f>'Shiftfunktion bestimmen'!N5</f>
        <v>-4.0778462178845704E-9</v>
      </c>
      <c r="D63" s="55">
        <v>5</v>
      </c>
    </row>
    <row r="64" spans="1:4" s="11" customFormat="1" x14ac:dyDescent="0.25">
      <c r="A64" s="54">
        <v>6</v>
      </c>
      <c r="B64" s="56">
        <f>'Shiftfunktion bestimmen'!N6</f>
        <v>-1.0618475574250024E-11</v>
      </c>
      <c r="D64" s="55">
        <v>6</v>
      </c>
    </row>
    <row r="65" spans="1:5" s="11" customFormat="1" x14ac:dyDescent="0.25">
      <c r="A65" s="54">
        <v>7</v>
      </c>
      <c r="B65" s="56">
        <f>'Shiftfunktion bestimmen'!N7</f>
        <v>1.781499844492808E-13</v>
      </c>
      <c r="D65" s="55">
        <v>7</v>
      </c>
    </row>
    <row r="66" spans="1:5" x14ac:dyDescent="0.25">
      <c r="A66" s="54">
        <v>8</v>
      </c>
      <c r="B66" s="56">
        <f>'Shiftfunktion bestimmen'!N8</f>
        <v>5.9395859941036192E-16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5.9601287994759033E-3</v>
      </c>
      <c r="D74" s="51">
        <v>1</v>
      </c>
      <c r="E74" s="56">
        <f>'Mastercurve bestimmen'!A18</f>
        <v>1.0000000000000001E-30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8.2357212069048761E-4</v>
      </c>
      <c r="C83" s="11"/>
      <c r="D83" s="51">
        <f t="shared" ref="D83:D104" si="1">A83</f>
        <v>10</v>
      </c>
      <c r="E83" s="56">
        <f>'Mastercurve bestimmen'!A27</f>
        <v>8.9027742702096099E-6</v>
      </c>
    </row>
    <row r="84" spans="1:5" x14ac:dyDescent="0.25">
      <c r="A84" s="50">
        <f t="shared" si="0"/>
        <v>11</v>
      </c>
      <c r="B84" s="56">
        <f>'Mastercurve bestimmen'!C28</f>
        <v>2.4665844117639606E-2</v>
      </c>
      <c r="C84" s="11"/>
      <c r="D84" s="51">
        <f t="shared" si="1"/>
        <v>11</v>
      </c>
      <c r="E84" s="56">
        <f>'Mastercurve bestimmen'!A28</f>
        <v>9.86912775817142E-5</v>
      </c>
    </row>
    <row r="85" spans="1:5" x14ac:dyDescent="0.25">
      <c r="A85" s="50">
        <f t="shared" si="0"/>
        <v>12</v>
      </c>
      <c r="B85" s="56">
        <f>'Mastercurve bestimmen'!C29</f>
        <v>1.6291197925316764E-2</v>
      </c>
      <c r="C85" s="11"/>
      <c r="D85" s="51">
        <f t="shared" si="1"/>
        <v>12</v>
      </c>
      <c r="E85" s="56">
        <f>'Mastercurve bestimmen'!A29</f>
        <v>1.0940374286813801E-3</v>
      </c>
    </row>
    <row r="86" spans="1:5" x14ac:dyDescent="0.25">
      <c r="A86" s="50">
        <f t="shared" si="0"/>
        <v>13</v>
      </c>
      <c r="B86" s="56">
        <f>'Mastercurve bestimmen'!C30</f>
        <v>2.6847553865855696E-2</v>
      </c>
      <c r="C86" s="11"/>
      <c r="D86" s="51">
        <f t="shared" si="1"/>
        <v>13</v>
      </c>
      <c r="E86" s="56">
        <f>'Mastercurve bestimmen'!A30</f>
        <v>1.2127899493091E-2</v>
      </c>
    </row>
    <row r="87" spans="1:5" x14ac:dyDescent="0.25">
      <c r="A87" s="50">
        <f t="shared" si="0"/>
        <v>14</v>
      </c>
      <c r="B87" s="56">
        <f>'Mastercurve bestimmen'!C31</f>
        <v>2.5906186741603665E-2</v>
      </c>
      <c r="C87" s="11"/>
      <c r="D87" s="51">
        <f t="shared" si="1"/>
        <v>14</v>
      </c>
      <c r="E87" s="56">
        <f>'Mastercurve bestimmen'!A31</f>
        <v>0.13444324870292301</v>
      </c>
    </row>
    <row r="88" spans="1:5" x14ac:dyDescent="0.25">
      <c r="A88" s="50">
        <f t="shared" si="0"/>
        <v>15</v>
      </c>
      <c r="B88" s="56">
        <f>'Mastercurve bestimmen'!C32</f>
        <v>3.2694648537282267E-2</v>
      </c>
      <c r="C88" s="11"/>
      <c r="D88" s="51">
        <f t="shared" si="1"/>
        <v>15</v>
      </c>
      <c r="E88" s="56">
        <f>'Mastercurve bestimmen'!A32</f>
        <v>1.49036419143257</v>
      </c>
    </row>
    <row r="89" spans="1:5" x14ac:dyDescent="0.25">
      <c r="A89" s="50">
        <f t="shared" si="0"/>
        <v>16</v>
      </c>
      <c r="B89" s="56">
        <f>'Mastercurve bestimmen'!C33</f>
        <v>3.3282078428276948E-2</v>
      </c>
      <c r="C89" s="11"/>
      <c r="D89" s="51">
        <f t="shared" si="1"/>
        <v>16</v>
      </c>
      <c r="E89" s="56">
        <f>'Mastercurve bestimmen'!A33</f>
        <v>16.521360830937301</v>
      </c>
    </row>
    <row r="90" spans="1:5" x14ac:dyDescent="0.25">
      <c r="A90" s="50">
        <f t="shared" si="0"/>
        <v>17</v>
      </c>
      <c r="B90" s="56">
        <f>'Mastercurve bestimmen'!C34</f>
        <v>0.1075539898267141</v>
      </c>
      <c r="C90" s="11"/>
      <c r="D90" s="51">
        <f t="shared" si="1"/>
        <v>17</v>
      </c>
      <c r="E90" s="56">
        <f>'Mastercurve bestimmen'!A34</f>
        <v>183.146753843879</v>
      </c>
    </row>
    <row r="91" spans="1:5" x14ac:dyDescent="0.25">
      <c r="A91" s="50">
        <f t="shared" si="0"/>
        <v>18</v>
      </c>
      <c r="B91" s="56">
        <f>'Mastercurve bestimmen'!C35</f>
        <v>0.13355176295714186</v>
      </c>
      <c r="C91" s="11"/>
      <c r="D91" s="51">
        <f t="shared" si="1"/>
        <v>18</v>
      </c>
      <c r="E91" s="56">
        <f>'Mastercurve bestimmen'!A35</f>
        <v>2030.26456396616</v>
      </c>
    </row>
    <row r="92" spans="1:5" x14ac:dyDescent="0.25">
      <c r="A92" s="50">
        <f t="shared" si="0"/>
        <v>19</v>
      </c>
      <c r="B92" s="56">
        <f>'Mastercurve bestimmen'!C36</f>
        <v>0.10276653551975504</v>
      </c>
      <c r="C92" s="11"/>
      <c r="D92" s="51">
        <f t="shared" si="1"/>
        <v>19</v>
      </c>
      <c r="E92" s="56">
        <f>'Mastercurve bestimmen'!A36</f>
        <v>22506.400540467101</v>
      </c>
    </row>
    <row r="93" spans="1:5" x14ac:dyDescent="0.25">
      <c r="A93" s="50">
        <f t="shared" si="0"/>
        <v>20</v>
      </c>
      <c r="B93" s="56">
        <f>'Mastercurve bestimmen'!C37</f>
        <v>8.2308697100650766E-2</v>
      </c>
      <c r="C93" s="11"/>
      <c r="D93" s="51">
        <f t="shared" si="1"/>
        <v>20</v>
      </c>
      <c r="E93" s="56">
        <f>'Mastercurve bestimmen'!A37</f>
        <v>249493.62476110301</v>
      </c>
    </row>
    <row r="94" spans="1:5" x14ac:dyDescent="0.25">
      <c r="A94" s="50">
        <f t="shared" si="0"/>
        <v>21</v>
      </c>
      <c r="B94" s="56">
        <f>'Mastercurve bestimmen'!C38</f>
        <v>3.7013792035783422E-2</v>
      </c>
      <c r="C94" s="11"/>
      <c r="D94" s="51">
        <f t="shared" si="1"/>
        <v>21</v>
      </c>
      <c r="E94" s="56">
        <f>'Mastercurve bestimmen'!A38</f>
        <v>2765749.6224023802</v>
      </c>
    </row>
    <row r="95" spans="1:5" x14ac:dyDescent="0.25">
      <c r="A95" s="50">
        <f t="shared" si="0"/>
        <v>22</v>
      </c>
      <c r="B95" s="56">
        <f>'Mastercurve bestimmen'!C39</f>
        <v>5.9919400803358086E-2</v>
      </c>
      <c r="C95" s="11"/>
      <c r="D95" s="51">
        <f t="shared" si="1"/>
        <v>22</v>
      </c>
      <c r="E95" s="56">
        <f>'Mastercurve bestimmen'!A39</f>
        <v>10000000</v>
      </c>
    </row>
    <row r="96" spans="1:5" x14ac:dyDescent="0.25">
      <c r="A96" s="50">
        <f t="shared" si="0"/>
        <v>23</v>
      </c>
      <c r="B96" s="56">
        <f>'Mastercurve bestimmen'!C40</f>
        <v>6.4670451984415095E-2</v>
      </c>
      <c r="C96" s="11"/>
      <c r="D96" s="51">
        <f t="shared" si="1"/>
        <v>23</v>
      </c>
      <c r="E96" s="56">
        <f>'Mastercurve bestimmen'!A40</f>
        <v>100000000</v>
      </c>
    </row>
    <row r="97" spans="1:5" x14ac:dyDescent="0.25">
      <c r="A97" s="50">
        <f t="shared" si="0"/>
        <v>24</v>
      </c>
      <c r="B97" s="56">
        <f>'Mastercurve bestimmen'!C41</f>
        <v>6.7576207998846588E-2</v>
      </c>
      <c r="C97" s="11"/>
      <c r="D97" s="51">
        <f t="shared" si="1"/>
        <v>24</v>
      </c>
      <c r="E97" s="56">
        <f>'Mastercurve bestimmen'!A41</f>
        <v>1000000000</v>
      </c>
    </row>
    <row r="98" spans="1:5" x14ac:dyDescent="0.25">
      <c r="A98" s="50">
        <f t="shared" si="0"/>
        <v>25</v>
      </c>
      <c r="B98" s="56">
        <f>'Mastercurve bestimmen'!C42</f>
        <v>7.4650772379504848E-2</v>
      </c>
      <c r="C98" s="11"/>
      <c r="D98" s="51">
        <f t="shared" si="1"/>
        <v>25</v>
      </c>
      <c r="E98" s="56">
        <f>'Mastercurve bestimmen'!A42</f>
        <v>10000000000</v>
      </c>
    </row>
    <row r="99" spans="1:5" x14ac:dyDescent="0.25">
      <c r="A99" s="50">
        <f t="shared" si="0"/>
        <v>26</v>
      </c>
      <c r="B99" s="56">
        <f>'Mastercurve bestimmen'!C43</f>
        <v>4.2437426023751848E-2</v>
      </c>
      <c r="C99" s="11"/>
      <c r="D99" s="51">
        <f t="shared" si="1"/>
        <v>26</v>
      </c>
      <c r="E99" s="56">
        <f>'Mastercurve bestimmen'!A43</f>
        <v>100000000000</v>
      </c>
    </row>
    <row r="100" spans="1:5" x14ac:dyDescent="0.25">
      <c r="A100" s="50">
        <f t="shared" si="0"/>
        <v>27</v>
      </c>
      <c r="B100" s="56">
        <f>'Mastercurve bestimmen'!C44</f>
        <v>2.9362775672931045E-2</v>
      </c>
      <c r="C100" s="11"/>
      <c r="D100" s="51">
        <f t="shared" si="1"/>
        <v>27</v>
      </c>
      <c r="E100" s="56">
        <f>'Mastercurve bestimmen'!A44</f>
        <v>1000000000000</v>
      </c>
    </row>
    <row r="101" spans="1:5" x14ac:dyDescent="0.25">
      <c r="A101" s="50">
        <f t="shared" si="0"/>
        <v>28</v>
      </c>
      <c r="B101" s="56">
        <f>'Mastercurve bestimmen'!C45</f>
        <v>1.3317924951321973E-2</v>
      </c>
      <c r="C101" s="11"/>
      <c r="D101" s="51">
        <f t="shared" si="1"/>
        <v>28</v>
      </c>
      <c r="E101" s="56">
        <f>'Mastercurve bestimmen'!A45</f>
        <v>10000000000000</v>
      </c>
    </row>
    <row r="102" spans="1:5" x14ac:dyDescent="0.25">
      <c r="A102" s="50">
        <f t="shared" si="0"/>
        <v>29</v>
      </c>
      <c r="B102" s="56">
        <f>'Mastercurve bestimmen'!C46</f>
        <v>4.0600750332731679E-3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6.6069827735831333E-3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3: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E10" sqref="E1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7287.2421568641066</v>
      </c>
      <c r="G16" s="26">
        <f>INDEX(Comparison!$AM$3:$AS$33,G14,$B$3)</f>
        <v>7287.3146216469959</v>
      </c>
      <c r="H16" s="26">
        <f>INDEX(Comparison!$AM$3:$AS$33,H14,$B$3)</f>
        <v>7287.2757793731034</v>
      </c>
      <c r="I16" s="26">
        <f>INDEX(Comparison!$AM$3:$AS$33,I14,$B$3)</f>
        <v>7287.2657654165014</v>
      </c>
      <c r="J16" s="26">
        <f>INDEX(Comparison!$AM$3:$AS$33,J14,$B$3)</f>
        <v>7287.2629129611732</v>
      </c>
      <c r="K16" s="26">
        <f>INDEX(Comparison!$AM$3:$AS$33,K14,$B$3)</f>
        <v>7287.2618205320641</v>
      </c>
      <c r="L16" s="26">
        <f>INDEX(Comparison!$AM$3:$AS$33,L14,$B$3)</f>
        <v>7287.2593322225375</v>
      </c>
      <c r="M16" s="26">
        <f>INDEX(Comparison!$AM$3:$AS$33,M14,$B$3)</f>
        <v>7287.2374230339683</v>
      </c>
      <c r="N16" s="26">
        <f>INDEX(Comparison!$AM$3:$AS$33,N14,$B$3)</f>
        <v>7287.0191880040384</v>
      </c>
      <c r="O16" s="26">
        <f>INDEX(Comparison!$AM$3:$AS$33,O14,$B$3)</f>
        <v>7284.8522944162632</v>
      </c>
      <c r="P16" s="26">
        <f>INDEX(Comparison!$AM$3:$AS$33,P14,$B$3)</f>
        <v>7264.6309792458533</v>
      </c>
      <c r="Q16" s="26">
        <f>INDEX(Comparison!$AM$3:$AS$33,Q14,$B$3)</f>
        <v>7153.647880511483</v>
      </c>
      <c r="R16" s="26">
        <f>INDEX(Comparison!$AM$3:$AS$33,R14,$B$3)</f>
        <v>7011.9974153857656</v>
      </c>
      <c r="S16" s="26">
        <f>INDEX(Comparison!$AM$3:$AS$33,S14,$B$3)</f>
        <v>6854.7708758756735</v>
      </c>
      <c r="T16" s="26">
        <f>INDEX(Comparison!$AM$3:$AS$33,T14,$B$3)</f>
        <v>6667.3368038637464</v>
      </c>
      <c r="U16" s="26">
        <f>INDEX(Comparison!$AM$3:$AS$33,U14,$B$3)</f>
        <v>6457.8733144157241</v>
      </c>
      <c r="V16" s="26">
        <f>INDEX(Comparison!$AM$3:$AS$33,V14,$B$3)</f>
        <v>6197.1395066404111</v>
      </c>
      <c r="W16" s="26">
        <f>INDEX(Comparison!$AM$3:$AS$33,W14,$B$3)</f>
        <v>5728.6851502202007</v>
      </c>
      <c r="X16" s="26">
        <f>INDEX(Comparison!$AM$3:$AS$33,X14,$B$3)</f>
        <v>4909.4106843846976</v>
      </c>
      <c r="Y16" s="26">
        <f>INDEX(Comparison!$AM$3:$AS$33,Y14,$B$3)</f>
        <v>4054.6855956010618</v>
      </c>
      <c r="Z16" s="26">
        <f>INDEX(Comparison!$AM$3:$AS$33,Z14,$B$3)</f>
        <v>3384.7376862720757</v>
      </c>
      <c r="AA16" s="26">
        <f>INDEX(Comparison!$AM$3:$AS$33,AA14,$B$3)</f>
        <v>2867.8130883318549</v>
      </c>
      <c r="AB16" s="26">
        <f>INDEX(Comparison!$AM$3:$AS$33,AB14,$B$3)</f>
        <v>2393.9219661874804</v>
      </c>
      <c r="AC16" s="26">
        <f>INDEX(Comparison!$AM$3:$AS$33,AC14,$B$3)</f>
        <v>1923.0446750969861</v>
      </c>
      <c r="AD16" s="26">
        <f>INDEX(Comparison!$AM$3:$AS$33,AD14,$B$3)</f>
        <v>1433.0262098856042</v>
      </c>
      <c r="AE16" s="26">
        <f>INDEX(Comparison!$AM$3:$AS$33,AE14,$B$3)</f>
        <v>928.3724969127901</v>
      </c>
      <c r="AF16" s="26">
        <f>INDEX(Comparison!$AM$3:$AS$33,AF14,$B$3)</f>
        <v>540.77757065756475</v>
      </c>
      <c r="AG16" s="26">
        <f>INDEX(Comparison!$AM$3:$AS$33,AG14,$B$3)</f>
        <v>302.10819766520217</v>
      </c>
      <c r="AH16" s="26">
        <f>INDEX(Comparison!$AM$3:$AS$33,AH14,$B$3)</f>
        <v>167.95607666429018</v>
      </c>
      <c r="AI16" s="26">
        <f>INDEX(Comparison!$AM$3:$AS$33,AI14,$B$3)</f>
        <v>115.55588342611547</v>
      </c>
      <c r="AJ16" s="26">
        <f>INDEX(Comparison!$AM$3:$AS$33,AJ14,$B$3)</f>
        <v>100.53155340781859</v>
      </c>
    </row>
    <row r="17" spans="1:36" x14ac:dyDescent="0.25">
      <c r="A17" s="14" t="s">
        <v>20</v>
      </c>
      <c r="B17" s="105">
        <v>8.9646700320236052E-3</v>
      </c>
      <c r="C17" s="18">
        <f t="shared" ref="C17:C48" si="3">ABS(B17/$B$49)</f>
        <v>7.7319944028278438E-3</v>
      </c>
      <c r="D17" s="66"/>
      <c r="E17" s="65" t="s">
        <v>22</v>
      </c>
      <c r="F17" s="27">
        <f>($C$17+SUM(F18:F48))*$B$51</f>
        <v>7287.2891982826222</v>
      </c>
      <c r="G17" s="27">
        <f t="shared" ref="G17:M17" si="4">($C$17+SUM(G18:G48))*$B$51</f>
        <v>7287.2891982588853</v>
      </c>
      <c r="H17" s="27">
        <f t="shared" si="4"/>
        <v>7287.2891980215209</v>
      </c>
      <c r="I17" s="27">
        <f t="shared" si="4"/>
        <v>7287.2891956478752</v>
      </c>
      <c r="J17" s="27">
        <f t="shared" si="4"/>
        <v>7287.289171911425</v>
      </c>
      <c r="K17" s="27">
        <f t="shared" si="4"/>
        <v>7287.2889345473377</v>
      </c>
      <c r="L17" s="27">
        <f t="shared" si="4"/>
        <v>7287.2865609487162</v>
      </c>
      <c r="M17" s="27">
        <f t="shared" si="4"/>
        <v>7287.2628291862602</v>
      </c>
      <c r="N17" s="27">
        <f t="shared" ref="N17" si="5">($C$17+SUM(N18:N48))*$B$51</f>
        <v>7287.0259326431087</v>
      </c>
      <c r="O17" s="27">
        <f t="shared" ref="O17" si="6">($C$17+SUM(O18:O48))*$B$51</f>
        <v>7284.6978168855394</v>
      </c>
      <c r="P17" s="27">
        <f t="shared" ref="P17" si="7">($C$17+SUM(P18:P48))*$B$51</f>
        <v>7264.5257553345609</v>
      </c>
      <c r="Q17" s="27">
        <f t="shared" ref="Q17" si="8">($C$17+SUM(Q18:Q48))*$B$51</f>
        <v>7153.8643736390295</v>
      </c>
      <c r="R17" s="27">
        <f t="shared" ref="R17" si="9">($C$17+SUM(R18:R48))*$B$51</f>
        <v>7011.7176919328949</v>
      </c>
      <c r="S17" s="27">
        <f t="shared" ref="S17:T17" si="10">($C$17+SUM(S18:S48))*$B$51</f>
        <v>6855.0699056416097</v>
      </c>
      <c r="T17" s="27">
        <f t="shared" si="10"/>
        <v>6667.0699875438713</v>
      </c>
      <c r="U17" s="27">
        <f t="shared" ref="U17" si="11">($C$17+SUM(U18:U48))*$B$51</f>
        <v>6458.0741613421114</v>
      </c>
      <c r="V17" s="27">
        <f t="shared" ref="V17" si="12">($C$17+SUM(V18:V48))*$B$51</f>
        <v>6197.0091502858468</v>
      </c>
      <c r="W17" s="27">
        <f t="shared" ref="W17" si="13">($C$17+SUM(W18:W48))*$B$51</f>
        <v>5728.7607244893079</v>
      </c>
      <c r="X17" s="27">
        <f t="shared" ref="X17" si="14">($C$17+SUM(X18:X48))*$B$51</f>
        <v>4909.3702737098383</v>
      </c>
      <c r="Y17" s="27">
        <f t="shared" ref="Y17" si="15">($C$17+SUM(Y18:Y48))*$B$51</f>
        <v>4054.7059305785556</v>
      </c>
      <c r="Z17" s="27">
        <f t="shared" ref="Z17:AA17" si="16">($C$17+SUM(Z18:Z48))*$B$51</f>
        <v>3384.7279274075818</v>
      </c>
      <c r="AA17" s="27">
        <f t="shared" si="16"/>
        <v>2867.8187301762346</v>
      </c>
      <c r="AB17" s="27">
        <f t="shared" ref="AB17" si="17">($C$17+SUM(AB18:AB48))*$B$51</f>
        <v>2393.9148734243458</v>
      </c>
      <c r="AC17" s="27">
        <f t="shared" ref="AC17" si="18">($C$17+SUM(AC18:AC48))*$B$51</f>
        <v>1923.0546521948713</v>
      </c>
      <c r="AD17" s="27">
        <f t="shared" ref="AD17" si="19">($C$17+SUM(AD18:AD48))*$B$51</f>
        <v>1433.0153891706077</v>
      </c>
      <c r="AE17" s="27">
        <f t="shared" ref="AE17" si="20">($C$17+SUM(AE18:AE48))*$B$51</f>
        <v>928.38384310793288</v>
      </c>
      <c r="AF17" s="27">
        <f t="shared" ref="AF17" si="21">($C$17+SUM(AF18:AF48))*$B$51</f>
        <v>540.76350461674588</v>
      </c>
      <c r="AG17" s="27">
        <f t="shared" ref="AG17:AH17" si="22">($C$17+SUM(AG18:AG48))*$B$51</f>
        <v>302.12767494059574</v>
      </c>
      <c r="AH17" s="27">
        <f t="shared" si="22"/>
        <v>167.92939465126034</v>
      </c>
      <c r="AI17" s="27">
        <f t="shared" ref="AI17" si="23">($C$17+SUM(AI18:AI48))*$B$51</f>
        <v>115.59097341631293</v>
      </c>
      <c r="AJ17" s="27">
        <f t="shared" ref="AJ17" si="24">($C$17+SUM(AJ18:AJ48))*$B$51</f>
        <v>100.51088225937114</v>
      </c>
    </row>
    <row r="18" spans="1:36" x14ac:dyDescent="0.25">
      <c r="A18" s="3">
        <f>0.000000000000001/10^15</f>
        <v>1.0000000000000001E-30</v>
      </c>
      <c r="B18" s="106">
        <v>6.9103241999400747E-3</v>
      </c>
      <c r="C18" s="18">
        <f t="shared" si="3"/>
        <v>5.9601287994759033E-3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9.548703639599012E-4</v>
      </c>
      <c r="C27" s="18">
        <f t="shared" si="3"/>
        <v>8.2357212069048761E-4</v>
      </c>
      <c r="D27" s="17"/>
      <c r="F27" s="3">
        <f t="shared" si="25"/>
        <v>8.2357212059798034E-4</v>
      </c>
      <c r="G27" s="3">
        <f t="shared" si="25"/>
        <v>8.2357211976541401E-4</v>
      </c>
      <c r="H27" s="3">
        <f t="shared" si="25"/>
        <v>8.2357211143975191E-4</v>
      </c>
      <c r="I27" s="3">
        <f t="shared" si="25"/>
        <v>8.2357202818313547E-4</v>
      </c>
      <c r="J27" s="3">
        <f t="shared" si="25"/>
        <v>8.2357119561743376E-4</v>
      </c>
      <c r="K27" s="3">
        <f t="shared" si="25"/>
        <v>8.2356287000670818E-4</v>
      </c>
      <c r="L27" s="3">
        <f t="shared" si="25"/>
        <v>8.2347961852838076E-4</v>
      </c>
      <c r="M27" s="3">
        <f t="shared" si="25"/>
        <v>8.2264756646496914E-4</v>
      </c>
      <c r="N27" s="3">
        <f t="shared" si="25"/>
        <v>8.1437314520799229E-4</v>
      </c>
      <c r="O27" s="3">
        <f t="shared" si="25"/>
        <v>7.3607100392576654E-4</v>
      </c>
      <c r="P27" s="3">
        <f t="shared" si="25"/>
        <v>2.6784427593738139E-4</v>
      </c>
      <c r="Q27" s="3">
        <f t="shared" si="25"/>
        <v>1.0902070001700549E-8</v>
      </c>
      <c r="R27" s="3">
        <f t="shared" si="25"/>
        <v>1.3607393173858519E-52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2.8598204041003734E-2</v>
      </c>
      <c r="C28" s="18">
        <f t="shared" si="3"/>
        <v>2.4665844117639606E-2</v>
      </c>
      <c r="D28" s="17"/>
      <c r="F28" s="3">
        <f t="shared" si="25"/>
        <v>2.4665844117389677E-2</v>
      </c>
      <c r="G28" s="3">
        <f t="shared" si="25"/>
        <v>2.4665844115140313E-2</v>
      </c>
      <c r="H28" s="3">
        <f t="shared" si="25"/>
        <v>2.4665844092646671E-2</v>
      </c>
      <c r="I28" s="3">
        <f t="shared" si="25"/>
        <v>2.4665843867710285E-2</v>
      </c>
      <c r="J28" s="3">
        <f t="shared" si="25"/>
        <v>2.466584161834651E-2</v>
      </c>
      <c r="K28" s="3">
        <f t="shared" si="25"/>
        <v>2.4665819124720045E-2</v>
      </c>
      <c r="L28" s="3">
        <f t="shared" si="25"/>
        <v>2.4665594189583574E-2</v>
      </c>
      <c r="M28" s="3">
        <f t="shared" si="25"/>
        <v>2.4663344951034654E-2</v>
      </c>
      <c r="N28" s="3">
        <f t="shared" si="25"/>
        <v>2.464086384331823E-2</v>
      </c>
      <c r="O28" s="3">
        <f t="shared" si="25"/>
        <v>2.4417176747396931E-2</v>
      </c>
      <c r="P28" s="3">
        <f t="shared" si="25"/>
        <v>2.2289002163981546E-2</v>
      </c>
      <c r="Q28" s="3">
        <f t="shared" si="25"/>
        <v>8.954522272638132E-3</v>
      </c>
      <c r="R28" s="3">
        <f t="shared" si="25"/>
        <v>9.8075463075206441E-7</v>
      </c>
      <c r="S28" s="3">
        <f t="shared" si="25"/>
        <v>2.436350857728665E-46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1.8888427256677633E-2</v>
      </c>
      <c r="C29" s="18">
        <f t="shared" si="3"/>
        <v>1.6291197925316764E-2</v>
      </c>
      <c r="D29" s="17"/>
      <c r="F29" s="3">
        <f t="shared" si="25"/>
        <v>1.6291197925301874E-2</v>
      </c>
      <c r="G29" s="3">
        <f t="shared" si="25"/>
        <v>1.6291197925167856E-2</v>
      </c>
      <c r="H29" s="3">
        <f t="shared" si="25"/>
        <v>1.6291197923827674E-2</v>
      </c>
      <c r="I29" s="3">
        <f t="shared" si="25"/>
        <v>1.6291197910425867E-2</v>
      </c>
      <c r="J29" s="3">
        <f t="shared" si="25"/>
        <v>1.6291197776407803E-2</v>
      </c>
      <c r="K29" s="3">
        <f t="shared" si="25"/>
        <v>1.6291196436227201E-2</v>
      </c>
      <c r="L29" s="3">
        <f t="shared" si="25"/>
        <v>1.6291183034427247E-2</v>
      </c>
      <c r="M29" s="3">
        <f t="shared" si="25"/>
        <v>1.6291049017034067E-2</v>
      </c>
      <c r="N29" s="3">
        <f t="shared" si="25"/>
        <v>1.6289708903737054E-2</v>
      </c>
      <c r="O29" s="3">
        <f t="shared" si="25"/>
        <v>1.6276313832397974E-2</v>
      </c>
      <c r="P29" s="3">
        <f t="shared" si="25"/>
        <v>1.6142967441144997E-2</v>
      </c>
      <c r="Q29" s="3">
        <f t="shared" si="25"/>
        <v>1.4868136100680348E-2</v>
      </c>
      <c r="R29" s="3">
        <f t="shared" si="25"/>
        <v>6.5311265456217222E-3</v>
      </c>
      <c r="S29" s="3">
        <f t="shared" si="25"/>
        <v>1.747043850693191E-6</v>
      </c>
      <c r="T29" s="3">
        <f t="shared" si="25"/>
        <v>3.2768825704828486E-42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3.1127733549102372E-2</v>
      </c>
      <c r="C30" s="18">
        <f t="shared" si="3"/>
        <v>2.6847553865855696E-2</v>
      </c>
      <c r="D30" s="17"/>
      <c r="F30" s="3">
        <f t="shared" si="25"/>
        <v>2.6847553865853482E-2</v>
      </c>
      <c r="G30" s="3">
        <f t="shared" si="25"/>
        <v>2.6847553865833557E-2</v>
      </c>
      <c r="H30" s="3">
        <f t="shared" si="25"/>
        <v>2.6847553865634328E-2</v>
      </c>
      <c r="I30" s="3">
        <f t="shared" si="25"/>
        <v>2.6847553863641994E-2</v>
      </c>
      <c r="J30" s="3">
        <f t="shared" si="25"/>
        <v>2.6847553843718678E-2</v>
      </c>
      <c r="K30" s="3">
        <f t="shared" si="25"/>
        <v>2.684755364448551E-2</v>
      </c>
      <c r="L30" s="3">
        <f t="shared" si="25"/>
        <v>2.6847551652153911E-2</v>
      </c>
      <c r="M30" s="3">
        <f t="shared" si="25"/>
        <v>2.6847531728846057E-2</v>
      </c>
      <c r="N30" s="3">
        <f t="shared" si="25"/>
        <v>2.6847332496580691E-2</v>
      </c>
      <c r="O30" s="3">
        <f t="shared" si="25"/>
        <v>2.6845340255241538E-2</v>
      </c>
      <c r="P30" s="3">
        <f t="shared" si="25"/>
        <v>2.68254259710679E-2</v>
      </c>
      <c r="Q30" s="3">
        <f t="shared" si="25"/>
        <v>2.6627093823476843E-2</v>
      </c>
      <c r="R30" s="3">
        <f t="shared" si="25"/>
        <v>2.4722659306798442E-2</v>
      </c>
      <c r="S30" s="3">
        <f t="shared" si="25"/>
        <v>1.1770891024041488E-2</v>
      </c>
      <c r="T30" s="3">
        <f t="shared" si="25"/>
        <v>7.0461338392953746E-6</v>
      </c>
      <c r="U30" s="3">
        <f t="shared" si="25"/>
        <v>4.1626163009853151E-38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3.0036288676246803E-2</v>
      </c>
      <c r="C31" s="18">
        <f t="shared" si="3"/>
        <v>2.5906186741603665E-2</v>
      </c>
      <c r="D31" s="17"/>
      <c r="F31" s="3">
        <f t="shared" si="25"/>
        <v>2.5906186741603471E-2</v>
      </c>
      <c r="G31" s="3">
        <f t="shared" si="25"/>
        <v>2.590618674160174E-2</v>
      </c>
      <c r="H31" s="3">
        <f t="shared" si="25"/>
        <v>2.5906186741584396E-2</v>
      </c>
      <c r="I31" s="3">
        <f t="shared" si="25"/>
        <v>2.5906186741410972E-2</v>
      </c>
      <c r="J31" s="3">
        <f t="shared" si="25"/>
        <v>2.5906186739676741E-2</v>
      </c>
      <c r="K31" s="3">
        <f t="shared" si="25"/>
        <v>2.590618672233443E-2</v>
      </c>
      <c r="L31" s="3">
        <f t="shared" si="25"/>
        <v>2.5906186548911306E-2</v>
      </c>
      <c r="M31" s="3">
        <f t="shared" si="25"/>
        <v>2.5906184814680148E-2</v>
      </c>
      <c r="N31" s="3">
        <f t="shared" si="25"/>
        <v>2.5906167472374935E-2</v>
      </c>
      <c r="O31" s="3">
        <f t="shared" si="25"/>
        <v>2.5905994049961314E-2</v>
      </c>
      <c r="P31" s="3">
        <f t="shared" si="25"/>
        <v>2.5904259889675166E-2</v>
      </c>
      <c r="Q31" s="3">
        <f t="shared" si="25"/>
        <v>2.5886924670237624E-2</v>
      </c>
      <c r="R31" s="3">
        <f t="shared" si="25"/>
        <v>2.5714209239984687E-2</v>
      </c>
      <c r="S31" s="3">
        <f t="shared" si="25"/>
        <v>2.4049182004452229E-2</v>
      </c>
      <c r="T31" s="3">
        <f t="shared" si="25"/>
        <v>1.2313220742294106E-2</v>
      </c>
      <c r="U31" s="3">
        <f t="shared" si="25"/>
        <v>1.5243518657839488E-5</v>
      </c>
      <c r="V31" s="3">
        <f t="shared" si="26"/>
        <v>1.2889047994156682E-34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3.7907003119728548E-2</v>
      </c>
      <c r="C32" s="18">
        <f t="shared" si="3"/>
        <v>3.2694648537282267E-2</v>
      </c>
      <c r="D32" s="17"/>
      <c r="F32" s="3">
        <f t="shared" si="25"/>
        <v>3.2694648537282246E-2</v>
      </c>
      <c r="G32" s="3">
        <f t="shared" si="25"/>
        <v>3.2694648537282052E-2</v>
      </c>
      <c r="H32" s="3">
        <f t="shared" si="25"/>
        <v>3.2694648537280074E-2</v>
      </c>
      <c r="I32" s="3">
        <f t="shared" si="25"/>
        <v>3.2694648537260326E-2</v>
      </c>
      <c r="J32" s="3">
        <f t="shared" si="25"/>
        <v>3.2694648537062894E-2</v>
      </c>
      <c r="K32" s="3">
        <f t="shared" si="25"/>
        <v>3.2694648535088536E-2</v>
      </c>
      <c r="L32" s="3">
        <f t="shared" si="25"/>
        <v>3.2694648515344912E-2</v>
      </c>
      <c r="M32" s="3">
        <f t="shared" si="25"/>
        <v>3.269464831790872E-2</v>
      </c>
      <c r="N32" s="3">
        <f t="shared" si="25"/>
        <v>3.2694646343546831E-2</v>
      </c>
      <c r="O32" s="3">
        <f t="shared" si="25"/>
        <v>3.2694626599934502E-2</v>
      </c>
      <c r="P32" s="3">
        <f t="shared" si="25"/>
        <v>3.2694429164466958E-2</v>
      </c>
      <c r="Q32" s="3">
        <f t="shared" si="25"/>
        <v>3.269245487536513E-2</v>
      </c>
      <c r="R32" s="3">
        <f t="shared" si="25"/>
        <v>3.2672718540238302E-2</v>
      </c>
      <c r="S32" s="3">
        <f t="shared" si="25"/>
        <v>3.2476009315659006E-2</v>
      </c>
      <c r="T32" s="3">
        <f t="shared" si="25"/>
        <v>3.0572891497042495E-2</v>
      </c>
      <c r="U32" s="3">
        <f t="shared" si="25"/>
        <v>1.6713795802285263E-2</v>
      </c>
      <c r="V32" s="3">
        <f t="shared" si="26"/>
        <v>3.9852985521718944E-5</v>
      </c>
      <c r="W32" s="3">
        <f t="shared" si="26"/>
        <v>2.3676557420593564E-31</v>
      </c>
      <c r="X32" s="3">
        <f t="shared" si="26"/>
        <v>1.2968671890861184E-293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3.8588084205067784E-2</v>
      </c>
      <c r="C33" s="18">
        <f t="shared" si="3"/>
        <v>3.3282078428276948E-2</v>
      </c>
      <c r="D33" s="17"/>
      <c r="F33" s="3">
        <f t="shared" si="25"/>
        <v>3.3282078428276941E-2</v>
      </c>
      <c r="G33" s="3">
        <f t="shared" si="25"/>
        <v>3.3282078428276927E-2</v>
      </c>
      <c r="H33" s="3">
        <f t="shared" si="25"/>
        <v>3.3282078428276747E-2</v>
      </c>
      <c r="I33" s="3">
        <f t="shared" si="25"/>
        <v>3.3282078428274936E-2</v>
      </c>
      <c r="J33" s="3">
        <f t="shared" si="25"/>
        <v>3.3282078428256805E-2</v>
      </c>
      <c r="K33" s="3">
        <f t="shared" si="25"/>
        <v>3.3282078428075498E-2</v>
      </c>
      <c r="L33" s="3">
        <f t="shared" si="25"/>
        <v>3.3282078426262462E-2</v>
      </c>
      <c r="M33" s="3">
        <f t="shared" si="25"/>
        <v>3.3282078408132069E-2</v>
      </c>
      <c r="N33" s="3">
        <f t="shared" si="25"/>
        <v>3.3282078226828174E-2</v>
      </c>
      <c r="O33" s="3">
        <f t="shared" si="25"/>
        <v>3.3282076413789295E-2</v>
      </c>
      <c r="P33" s="3">
        <f t="shared" si="25"/>
        <v>3.3282058283405899E-2</v>
      </c>
      <c r="Q33" s="3">
        <f t="shared" si="25"/>
        <v>3.3281876980115109E-2</v>
      </c>
      <c r="R33" s="3">
        <f t="shared" si="25"/>
        <v>3.3280064001526916E-2</v>
      </c>
      <c r="S33" s="3">
        <f t="shared" si="25"/>
        <v>3.3261939646513104E-2</v>
      </c>
      <c r="T33" s="3">
        <f t="shared" si="25"/>
        <v>3.3081238090150719E-2</v>
      </c>
      <c r="U33" s="3">
        <f t="shared" ref="P33:AE48" si="27">$C33*EXP(-U$15/$A33)</f>
        <v>3.1327345211880533E-2</v>
      </c>
      <c r="V33" s="3">
        <f t="shared" si="27"/>
        <v>1.8169457949737643E-2</v>
      </c>
      <c r="W33" s="3">
        <f t="shared" si="27"/>
        <v>7.8257461231728029E-5</v>
      </c>
      <c r="X33" s="3">
        <f t="shared" si="27"/>
        <v>1.7193472188044366E-28</v>
      </c>
      <c r="Y33" s="3">
        <f t="shared" si="27"/>
        <v>4.5054891445729625E-265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0.12470081833885979</v>
      </c>
      <c r="C34" s="18">
        <f t="shared" si="3"/>
        <v>0.1075539898267141</v>
      </c>
      <c r="D34" s="17"/>
      <c r="F34" s="3">
        <f t="shared" ref="F34:O48" si="28">$C34*EXP(-F$15/$A34)</f>
        <v>0.1075539898267141</v>
      </c>
      <c r="G34" s="3">
        <f t="shared" si="28"/>
        <v>0.1075539898267141</v>
      </c>
      <c r="H34" s="3">
        <f t="shared" si="28"/>
        <v>0.10755398982671405</v>
      </c>
      <c r="I34" s="3">
        <f t="shared" si="28"/>
        <v>0.10755398982671352</v>
      </c>
      <c r="J34" s="3">
        <f t="shared" si="28"/>
        <v>0.10755398982670823</v>
      </c>
      <c r="K34" s="3">
        <f t="shared" si="28"/>
        <v>0.10755398982665537</v>
      </c>
      <c r="L34" s="3">
        <f t="shared" si="28"/>
        <v>0.10755398982612685</v>
      </c>
      <c r="M34" s="3">
        <f t="shared" si="28"/>
        <v>0.10755398982084155</v>
      </c>
      <c r="N34" s="3">
        <f t="shared" si="28"/>
        <v>0.10755398976798852</v>
      </c>
      <c r="O34" s="3">
        <f t="shared" si="28"/>
        <v>0.10755398923945832</v>
      </c>
      <c r="P34" s="3">
        <f t="shared" si="27"/>
        <v>0.10755398395415647</v>
      </c>
      <c r="Q34" s="3">
        <f t="shared" si="27"/>
        <v>0.10755393110115211</v>
      </c>
      <c r="R34" s="3">
        <f t="shared" si="27"/>
        <v>0.10755340257253709</v>
      </c>
      <c r="S34" s="3">
        <f t="shared" si="27"/>
        <v>0.10754811742923262</v>
      </c>
      <c r="T34" s="3">
        <f t="shared" si="27"/>
        <v>0.10749528027815571</v>
      </c>
      <c r="U34" s="3">
        <f t="shared" si="27"/>
        <v>0.10696833437080522</v>
      </c>
      <c r="V34" s="3">
        <f t="shared" si="27"/>
        <v>0.101838877305609</v>
      </c>
      <c r="W34" s="3">
        <f t="shared" si="27"/>
        <v>6.2301327199916365E-2</v>
      </c>
      <c r="X34" s="3">
        <f t="shared" si="27"/>
        <v>4.5744012251352448E-4</v>
      </c>
      <c r="Y34" s="3">
        <f t="shared" si="27"/>
        <v>2.0830697521051761E-25</v>
      </c>
      <c r="Z34" s="3">
        <f t="shared" si="27"/>
        <v>7.9872889500547281E-239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0.15484329459265223</v>
      </c>
      <c r="C35" s="18">
        <f t="shared" si="3"/>
        <v>0.13355176295714186</v>
      </c>
      <c r="D35" s="17"/>
      <c r="F35" s="3">
        <f t="shared" si="28"/>
        <v>0.13355176295714186</v>
      </c>
      <c r="G35" s="3">
        <f t="shared" si="28"/>
        <v>0.13355176295714186</v>
      </c>
      <c r="H35" s="3">
        <f t="shared" si="28"/>
        <v>0.13355176295714186</v>
      </c>
      <c r="I35" s="3">
        <f t="shared" si="28"/>
        <v>0.1335517629571418</v>
      </c>
      <c r="J35" s="3">
        <f t="shared" si="28"/>
        <v>0.13355176295714119</v>
      </c>
      <c r="K35" s="3">
        <f t="shared" si="28"/>
        <v>0.13355176295713528</v>
      </c>
      <c r="L35" s="3">
        <f t="shared" si="28"/>
        <v>0.13355176295707608</v>
      </c>
      <c r="M35" s="3">
        <f t="shared" si="28"/>
        <v>0.13355176295648405</v>
      </c>
      <c r="N35" s="3">
        <f t="shared" si="28"/>
        <v>0.13355176295056381</v>
      </c>
      <c r="O35" s="3">
        <f t="shared" si="28"/>
        <v>0.13355176289136139</v>
      </c>
      <c r="P35" s="3">
        <f t="shared" si="27"/>
        <v>0.13355176229933713</v>
      </c>
      <c r="Q35" s="3">
        <f t="shared" si="27"/>
        <v>0.13355175637909472</v>
      </c>
      <c r="R35" s="3">
        <f t="shared" si="27"/>
        <v>0.13355169717668525</v>
      </c>
      <c r="S35" s="3">
        <f t="shared" si="27"/>
        <v>0.13355110515403371</v>
      </c>
      <c r="T35" s="3">
        <f t="shared" si="27"/>
        <v>0.13354518507185748</v>
      </c>
      <c r="U35" s="3">
        <f t="shared" si="27"/>
        <v>0.1334859986816431</v>
      </c>
      <c r="V35" s="3">
        <f t="shared" si="27"/>
        <v>0.13289557557007681</v>
      </c>
      <c r="W35" s="3">
        <f t="shared" si="27"/>
        <v>0.12713308811506188</v>
      </c>
      <c r="X35" s="3">
        <f t="shared" si="27"/>
        <v>8.1609240332050109E-2</v>
      </c>
      <c r="Y35" s="3">
        <f t="shared" si="27"/>
        <v>9.694975682611708E-4</v>
      </c>
      <c r="Z35" s="3">
        <f t="shared" si="27"/>
        <v>5.4277597116396731E-23</v>
      </c>
      <c r="AA35" s="3">
        <f t="shared" si="27"/>
        <v>1.6419483927647446E-215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0.11915012262966712</v>
      </c>
      <c r="C36" s="18">
        <f t="shared" si="3"/>
        <v>0.10276653551975504</v>
      </c>
      <c r="D36" s="17"/>
      <c r="F36" s="3">
        <f t="shared" si="28"/>
        <v>0.10276653551975504</v>
      </c>
      <c r="G36" s="3">
        <f t="shared" si="28"/>
        <v>0.10276653551975504</v>
      </c>
      <c r="H36" s="3">
        <f t="shared" si="28"/>
        <v>0.10276653551975504</v>
      </c>
      <c r="I36" s="3">
        <f t="shared" si="28"/>
        <v>0.10276653551975504</v>
      </c>
      <c r="J36" s="3">
        <f t="shared" si="28"/>
        <v>0.102766535519755</v>
      </c>
      <c r="K36" s="3">
        <f t="shared" si="28"/>
        <v>0.10276653551975458</v>
      </c>
      <c r="L36" s="3">
        <f t="shared" si="28"/>
        <v>0.10276653551975047</v>
      </c>
      <c r="M36" s="3">
        <f t="shared" si="28"/>
        <v>0.10276653551970938</v>
      </c>
      <c r="N36" s="3">
        <f t="shared" si="28"/>
        <v>0.10276653551929842</v>
      </c>
      <c r="O36" s="3">
        <f t="shared" si="28"/>
        <v>0.10276653551518894</v>
      </c>
      <c r="P36" s="3">
        <f t="shared" si="27"/>
        <v>0.10276653547409401</v>
      </c>
      <c r="Q36" s="3">
        <f t="shared" si="27"/>
        <v>0.10276653506314477</v>
      </c>
      <c r="R36" s="3">
        <f t="shared" si="27"/>
        <v>0.10276653095365247</v>
      </c>
      <c r="S36" s="3">
        <f t="shared" si="27"/>
        <v>0.10276648985873853</v>
      </c>
      <c r="T36" s="3">
        <f t="shared" si="27"/>
        <v>0.10276607891050279</v>
      </c>
      <c r="U36" s="3">
        <f t="shared" si="27"/>
        <v>0.10276196951852719</v>
      </c>
      <c r="V36" s="3">
        <f t="shared" si="27"/>
        <v>0.10272088463559759</v>
      </c>
      <c r="W36" s="3">
        <f t="shared" si="27"/>
        <v>0.10231093815330614</v>
      </c>
      <c r="X36" s="3">
        <f t="shared" si="27"/>
        <v>9.8300387097415509E-2</v>
      </c>
      <c r="Y36" s="3">
        <f t="shared" si="27"/>
        <v>6.5900216058910888E-2</v>
      </c>
      <c r="Z36" s="3">
        <f t="shared" si="27"/>
        <v>1.2083783696206327E-3</v>
      </c>
      <c r="AA36" s="3">
        <f t="shared" si="27"/>
        <v>5.1923503029812691E-21</v>
      </c>
      <c r="AB36" s="3">
        <f t="shared" si="27"/>
        <v>1.1142288610648964E-194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9.543078691356123E-2</v>
      </c>
      <c r="C37" s="18">
        <f t="shared" si="3"/>
        <v>8.2308697100650766E-2</v>
      </c>
      <c r="D37" s="17"/>
      <c r="F37" s="3">
        <f t="shared" si="28"/>
        <v>8.2308697100650766E-2</v>
      </c>
      <c r="G37" s="3">
        <f t="shared" si="28"/>
        <v>8.2308697100650766E-2</v>
      </c>
      <c r="H37" s="3">
        <f t="shared" si="28"/>
        <v>8.2308697100650766E-2</v>
      </c>
      <c r="I37" s="3">
        <f t="shared" si="28"/>
        <v>8.2308697100650766E-2</v>
      </c>
      <c r="J37" s="3">
        <f t="shared" si="28"/>
        <v>8.2308697100650766E-2</v>
      </c>
      <c r="K37" s="3">
        <f t="shared" si="28"/>
        <v>8.2308697100650724E-2</v>
      </c>
      <c r="L37" s="3">
        <f t="shared" si="28"/>
        <v>8.2308697100650433E-2</v>
      </c>
      <c r="M37" s="3">
        <f t="shared" si="28"/>
        <v>8.2308697100647463E-2</v>
      </c>
      <c r="N37" s="3">
        <f t="shared" si="28"/>
        <v>8.2308697100617778E-2</v>
      </c>
      <c r="O37" s="3">
        <f t="shared" si="28"/>
        <v>8.2308697100320863E-2</v>
      </c>
      <c r="P37" s="3">
        <f t="shared" si="27"/>
        <v>8.2308697097351738E-2</v>
      </c>
      <c r="Q37" s="3">
        <f t="shared" si="27"/>
        <v>8.2308697067660461E-2</v>
      </c>
      <c r="R37" s="3">
        <f t="shared" si="27"/>
        <v>8.2308696770747758E-2</v>
      </c>
      <c r="S37" s="3">
        <f t="shared" si="27"/>
        <v>8.2308693801620758E-2</v>
      </c>
      <c r="T37" s="3">
        <f t="shared" si="27"/>
        <v>8.2308664110356658E-2</v>
      </c>
      <c r="U37" s="3">
        <f t="shared" si="27"/>
        <v>8.2308367198304658E-2</v>
      </c>
      <c r="V37" s="3">
        <f t="shared" si="27"/>
        <v>8.2305398136691812E-2</v>
      </c>
      <c r="W37" s="3">
        <f t="shared" si="27"/>
        <v>8.2275713410493279E-2</v>
      </c>
      <c r="X37" s="3">
        <f t="shared" si="27"/>
        <v>8.1979454356124748E-2</v>
      </c>
      <c r="Y37" s="3">
        <f t="shared" si="27"/>
        <v>7.9074907009091741E-2</v>
      </c>
      <c r="Z37" s="3">
        <f t="shared" si="27"/>
        <v>5.5128395757355966E-2</v>
      </c>
      <c r="AA37" s="3">
        <f t="shared" si="27"/>
        <v>1.4953470643080033E-3</v>
      </c>
      <c r="AB37" s="3">
        <f t="shared" si="27"/>
        <v>3.2240998278210598E-19</v>
      </c>
      <c r="AC37" s="3">
        <f t="shared" si="27"/>
        <v>6.9996006053768253E-176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4.2914727423158182E-2</v>
      </c>
      <c r="C38" s="18">
        <f t="shared" si="3"/>
        <v>3.7013792035783422E-2</v>
      </c>
      <c r="D38" s="17"/>
      <c r="F38" s="3">
        <f t="shared" si="28"/>
        <v>3.7013792035783422E-2</v>
      </c>
      <c r="G38" s="3">
        <f t="shared" si="28"/>
        <v>3.7013792035783422E-2</v>
      </c>
      <c r="H38" s="3">
        <f t="shared" si="28"/>
        <v>3.7013792035783422E-2</v>
      </c>
      <c r="I38" s="3">
        <f t="shared" si="28"/>
        <v>3.7013792035783422E-2</v>
      </c>
      <c r="J38" s="3">
        <f t="shared" si="28"/>
        <v>3.7013792035783422E-2</v>
      </c>
      <c r="K38" s="3">
        <f t="shared" si="28"/>
        <v>3.7013792035783422E-2</v>
      </c>
      <c r="L38" s="3">
        <f t="shared" si="28"/>
        <v>3.7013792035783408E-2</v>
      </c>
      <c r="M38" s="3">
        <f t="shared" si="28"/>
        <v>3.7013792035783283E-2</v>
      </c>
      <c r="N38" s="3">
        <f t="shared" si="28"/>
        <v>3.7013792035782082E-2</v>
      </c>
      <c r="O38" s="3">
        <f t="shared" si="28"/>
        <v>3.7013792035770036E-2</v>
      </c>
      <c r="P38" s="3">
        <f t="shared" si="27"/>
        <v>3.7013792035649591E-2</v>
      </c>
      <c r="Q38" s="3">
        <f t="shared" si="27"/>
        <v>3.7013792034445131E-2</v>
      </c>
      <c r="R38" s="3">
        <f t="shared" si="27"/>
        <v>3.7013792022400502E-2</v>
      </c>
      <c r="S38" s="3">
        <f t="shared" si="27"/>
        <v>3.7013791901954272E-2</v>
      </c>
      <c r="T38" s="3">
        <f t="shared" si="27"/>
        <v>3.7013790697491951E-2</v>
      </c>
      <c r="U38" s="3">
        <f t="shared" si="27"/>
        <v>3.7013778652870866E-2</v>
      </c>
      <c r="V38" s="3">
        <f t="shared" si="27"/>
        <v>3.7013658206875626E-2</v>
      </c>
      <c r="W38" s="3">
        <f t="shared" si="27"/>
        <v>3.7012453768479746E-2</v>
      </c>
      <c r="X38" s="3">
        <f t="shared" si="27"/>
        <v>3.7000411539918961E-2</v>
      </c>
      <c r="Y38" s="3">
        <f t="shared" si="27"/>
        <v>3.6880204534819841E-2</v>
      </c>
      <c r="Z38" s="3">
        <f t="shared" si="27"/>
        <v>3.5699405574730211E-2</v>
      </c>
      <c r="AA38" s="3">
        <f t="shared" si="27"/>
        <v>2.5783247842133171E-2</v>
      </c>
      <c r="AB38" s="3">
        <f t="shared" si="27"/>
        <v>9.9564383344851359E-4</v>
      </c>
      <c r="AC38" s="3">
        <f t="shared" si="27"/>
        <v>7.3412135578108635E-18</v>
      </c>
      <c r="AD38" s="3">
        <f t="shared" si="27"/>
        <v>3.4866339546071994E-159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6.9472070042138054E-2</v>
      </c>
      <c r="C39" s="18">
        <f t="shared" si="3"/>
        <v>5.9919400803358086E-2</v>
      </c>
      <c r="D39" s="17"/>
      <c r="F39" s="3">
        <f t="shared" si="28"/>
        <v>5.9919400803358086E-2</v>
      </c>
      <c r="G39" s="3">
        <f t="shared" si="28"/>
        <v>5.9919400803358086E-2</v>
      </c>
      <c r="H39" s="3">
        <f t="shared" si="28"/>
        <v>5.9919400803358086E-2</v>
      </c>
      <c r="I39" s="3">
        <f t="shared" si="28"/>
        <v>5.9919400803358086E-2</v>
      </c>
      <c r="J39" s="3">
        <f t="shared" si="28"/>
        <v>5.9919400803358086E-2</v>
      </c>
      <c r="K39" s="3">
        <f t="shared" si="28"/>
        <v>5.9919400803358086E-2</v>
      </c>
      <c r="L39" s="3">
        <f t="shared" si="28"/>
        <v>5.9919400803358079E-2</v>
      </c>
      <c r="M39" s="3">
        <f t="shared" si="28"/>
        <v>5.9919400803358024E-2</v>
      </c>
      <c r="N39" s="3">
        <f t="shared" si="28"/>
        <v>5.9919400803357489E-2</v>
      </c>
      <c r="O39" s="3">
        <f t="shared" si="28"/>
        <v>5.9919400803352091E-2</v>
      </c>
      <c r="P39" s="3">
        <f t="shared" si="27"/>
        <v>5.9919400803298169E-2</v>
      </c>
      <c r="Q39" s="3">
        <f t="shared" si="27"/>
        <v>5.9919400802758892E-2</v>
      </c>
      <c r="R39" s="3">
        <f t="shared" si="27"/>
        <v>5.9919400797366143E-2</v>
      </c>
      <c r="S39" s="3">
        <f t="shared" si="27"/>
        <v>5.991940074343869E-2</v>
      </c>
      <c r="T39" s="3">
        <f t="shared" si="27"/>
        <v>5.9919400204164079E-2</v>
      </c>
      <c r="U39" s="3">
        <f t="shared" si="27"/>
        <v>5.9919394811418308E-2</v>
      </c>
      <c r="V39" s="3">
        <f t="shared" si="27"/>
        <v>5.9919340883987246E-2</v>
      </c>
      <c r="W39" s="3">
        <f t="shared" si="27"/>
        <v>5.9918801612346015E-2</v>
      </c>
      <c r="X39" s="3">
        <f t="shared" si="27"/>
        <v>5.9913409162864771E-2</v>
      </c>
      <c r="Y39" s="3">
        <f t="shared" si="27"/>
        <v>5.9859511352271064E-2</v>
      </c>
      <c r="Z39" s="3">
        <f t="shared" si="27"/>
        <v>5.9323192803714446E-2</v>
      </c>
      <c r="AA39" s="3">
        <f t="shared" si="27"/>
        <v>5.4217315913172331E-2</v>
      </c>
      <c r="AB39" s="3">
        <f t="shared" si="27"/>
        <v>2.2043115682867046E-2</v>
      </c>
      <c r="AC39" s="3">
        <f t="shared" si="27"/>
        <v>2.7203365878826357E-6</v>
      </c>
      <c r="AD39" s="3">
        <f t="shared" si="27"/>
        <v>2.2290472342613599E-45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7.498055904568092E-2</v>
      </c>
      <c r="C40" s="18">
        <f t="shared" si="3"/>
        <v>6.4670451984415095E-2</v>
      </c>
      <c r="D40" s="17"/>
      <c r="F40" s="3">
        <f t="shared" si="28"/>
        <v>6.4670451984415095E-2</v>
      </c>
      <c r="G40" s="3">
        <f t="shared" si="28"/>
        <v>6.4670451984415095E-2</v>
      </c>
      <c r="H40" s="3">
        <f t="shared" si="28"/>
        <v>6.4670451984415095E-2</v>
      </c>
      <c r="I40" s="3">
        <f t="shared" si="28"/>
        <v>6.4670451984415095E-2</v>
      </c>
      <c r="J40" s="3">
        <f t="shared" si="28"/>
        <v>6.4670451984415095E-2</v>
      </c>
      <c r="K40" s="3">
        <f t="shared" si="28"/>
        <v>6.4670451984415095E-2</v>
      </c>
      <c r="L40" s="3">
        <f t="shared" si="28"/>
        <v>6.4670451984415095E-2</v>
      </c>
      <c r="M40" s="3">
        <f t="shared" si="28"/>
        <v>6.4670451984415081E-2</v>
      </c>
      <c r="N40" s="3">
        <f t="shared" si="28"/>
        <v>6.4670451984415026E-2</v>
      </c>
      <c r="O40" s="3">
        <f t="shared" si="28"/>
        <v>6.4670451984414443E-2</v>
      </c>
      <c r="P40" s="3">
        <f t="shared" si="27"/>
        <v>6.4670451984408628E-2</v>
      </c>
      <c r="Q40" s="3">
        <f t="shared" si="27"/>
        <v>6.4670451984350424E-2</v>
      </c>
      <c r="R40" s="3">
        <f t="shared" si="27"/>
        <v>6.467045198376839E-2</v>
      </c>
      <c r="S40" s="3">
        <f t="shared" si="27"/>
        <v>6.4670451977948046E-2</v>
      </c>
      <c r="T40" s="3">
        <f t="shared" si="27"/>
        <v>6.4670451919744645E-2</v>
      </c>
      <c r="U40" s="3">
        <f t="shared" si="27"/>
        <v>6.4670451337710586E-2</v>
      </c>
      <c r="V40" s="3">
        <f t="shared" si="27"/>
        <v>6.4670445517370223E-2</v>
      </c>
      <c r="W40" s="3">
        <f t="shared" si="27"/>
        <v>6.467038731399545E-2</v>
      </c>
      <c r="X40" s="3">
        <f t="shared" si="27"/>
        <v>6.4669805283128767E-2</v>
      </c>
      <c r="Y40" s="3">
        <f t="shared" si="27"/>
        <v>6.4663985262558135E-2</v>
      </c>
      <c r="Z40" s="3">
        <f t="shared" si="27"/>
        <v>6.4605813856880953E-2</v>
      </c>
      <c r="AA40" s="3">
        <f t="shared" si="27"/>
        <v>6.4026970235653721E-2</v>
      </c>
      <c r="AB40" s="3">
        <f t="shared" si="27"/>
        <v>5.8516244796796651E-2</v>
      </c>
      <c r="AC40" s="3">
        <f t="shared" si="27"/>
        <v>2.3790929736331221E-2</v>
      </c>
      <c r="AD40" s="3">
        <f t="shared" si="27"/>
        <v>2.9360339778005946E-6</v>
      </c>
      <c r="AE40" s="3">
        <f t="shared" si="27"/>
        <v>2.4057899478563159E-45</v>
      </c>
      <c r="AF40" s="3">
        <f t="shared" si="29"/>
        <v>0</v>
      </c>
      <c r="AG40" s="3">
        <f t="shared" si="29"/>
        <v>0</v>
      </c>
      <c r="AH40" s="3">
        <f t="shared" si="29"/>
        <v>0</v>
      </c>
      <c r="AI40" s="3">
        <f t="shared" si="29"/>
        <v>0</v>
      </c>
      <c r="AJ40" s="3">
        <f t="shared" si="29"/>
        <v>0</v>
      </c>
    </row>
    <row r="41" spans="1:36" x14ac:dyDescent="0.25">
      <c r="A41" s="3">
        <f t="shared" si="30"/>
        <v>1000000000</v>
      </c>
      <c r="B41" s="106">
        <v>7.8349566122744935E-2</v>
      </c>
      <c r="C41" s="18">
        <f t="shared" si="3"/>
        <v>6.7576207998846588E-2</v>
      </c>
      <c r="D41" s="17"/>
      <c r="F41" s="3">
        <f t="shared" si="28"/>
        <v>6.7576207998846588E-2</v>
      </c>
      <c r="G41" s="3">
        <f t="shared" si="28"/>
        <v>6.7576207998846588E-2</v>
      </c>
      <c r="H41" s="3">
        <f t="shared" si="28"/>
        <v>6.7576207998846588E-2</v>
      </c>
      <c r="I41" s="3">
        <f t="shared" si="28"/>
        <v>6.7576207998846588E-2</v>
      </c>
      <c r="J41" s="3">
        <f t="shared" si="28"/>
        <v>6.7576207998846588E-2</v>
      </c>
      <c r="K41" s="3">
        <f t="shared" si="28"/>
        <v>6.7576207998846588E-2</v>
      </c>
      <c r="L41" s="3">
        <f t="shared" si="28"/>
        <v>6.7576207998846588E-2</v>
      </c>
      <c r="M41" s="3">
        <f t="shared" si="28"/>
        <v>6.7576207998846588E-2</v>
      </c>
      <c r="N41" s="3">
        <f t="shared" si="28"/>
        <v>6.7576207998846574E-2</v>
      </c>
      <c r="O41" s="3">
        <f t="shared" si="28"/>
        <v>6.7576207998846519E-2</v>
      </c>
      <c r="P41" s="3">
        <f t="shared" si="27"/>
        <v>6.7576207998845908E-2</v>
      </c>
      <c r="Q41" s="3">
        <f t="shared" si="27"/>
        <v>6.757620799883983E-2</v>
      </c>
      <c r="R41" s="3">
        <f t="shared" si="27"/>
        <v>6.7576207998779017E-2</v>
      </c>
      <c r="S41" s="3">
        <f t="shared" si="27"/>
        <v>6.7576207998170823E-2</v>
      </c>
      <c r="T41" s="3">
        <f t="shared" si="27"/>
        <v>6.7576207992088966E-2</v>
      </c>
      <c r="U41" s="3">
        <f t="shared" si="27"/>
        <v>6.757620793127038E-2</v>
      </c>
      <c r="V41" s="3">
        <f t="shared" si="27"/>
        <v>6.7576207323084517E-2</v>
      </c>
      <c r="W41" s="3">
        <f t="shared" si="27"/>
        <v>6.7576201241226125E-2</v>
      </c>
      <c r="X41" s="3">
        <f t="shared" si="27"/>
        <v>6.7576140422672376E-2</v>
      </c>
      <c r="Y41" s="3">
        <f t="shared" si="27"/>
        <v>6.7575532240145397E-2</v>
      </c>
      <c r="Z41" s="3">
        <f t="shared" si="27"/>
        <v>6.7569450715916482E-2</v>
      </c>
      <c r="AA41" s="3">
        <f t="shared" si="27"/>
        <v>6.7508665567691861E-2</v>
      </c>
      <c r="AB41" s="3">
        <f t="shared" si="27"/>
        <v>6.6903813494657266E-2</v>
      </c>
      <c r="AC41" s="3">
        <f t="shared" si="27"/>
        <v>6.1145481566337305E-2</v>
      </c>
      <c r="AD41" s="3">
        <f t="shared" si="27"/>
        <v>2.4859897635100835E-2</v>
      </c>
      <c r="AE41" s="3">
        <f t="shared" si="27"/>
        <v>3.0679550967627022E-6</v>
      </c>
      <c r="AF41" s="3">
        <f t="shared" si="29"/>
        <v>2.5138862792709626E-45</v>
      </c>
      <c r="AG41" s="3">
        <f t="shared" si="29"/>
        <v>0</v>
      </c>
      <c r="AH41" s="3">
        <f t="shared" si="29"/>
        <v>0</v>
      </c>
      <c r="AI41" s="3">
        <f t="shared" si="29"/>
        <v>0</v>
      </c>
      <c r="AJ41" s="3">
        <f t="shared" si="29"/>
        <v>0</v>
      </c>
    </row>
    <row r="42" spans="1:36" x14ac:dyDescent="0.25">
      <c r="A42" s="3">
        <f t="shared" si="30"/>
        <v>10000000000</v>
      </c>
      <c r="B42" s="106">
        <v>8.6551995145419031E-2</v>
      </c>
      <c r="C42" s="18">
        <f t="shared" si="3"/>
        <v>7.4650772379504848E-2</v>
      </c>
      <c r="D42" s="17"/>
      <c r="F42" s="3">
        <f t="shared" si="28"/>
        <v>7.4650772379504848E-2</v>
      </c>
      <c r="G42" s="3">
        <f t="shared" si="28"/>
        <v>7.4650772379504848E-2</v>
      </c>
      <c r="H42" s="3">
        <f t="shared" si="28"/>
        <v>7.4650772379504848E-2</v>
      </c>
      <c r="I42" s="3">
        <f t="shared" si="28"/>
        <v>7.4650772379504848E-2</v>
      </c>
      <c r="J42" s="3">
        <f t="shared" si="28"/>
        <v>7.4650772379504848E-2</v>
      </c>
      <c r="K42" s="3">
        <f t="shared" si="28"/>
        <v>7.4650772379504848E-2</v>
      </c>
      <c r="L42" s="3">
        <f t="shared" si="28"/>
        <v>7.4650772379504848E-2</v>
      </c>
      <c r="M42" s="3">
        <f t="shared" si="28"/>
        <v>7.4650772379504848E-2</v>
      </c>
      <c r="N42" s="3">
        <f t="shared" si="28"/>
        <v>7.4650772379504848E-2</v>
      </c>
      <c r="O42" s="3">
        <f t="shared" si="28"/>
        <v>7.4650772379504834E-2</v>
      </c>
      <c r="P42" s="3">
        <f t="shared" si="27"/>
        <v>7.4650772379504779E-2</v>
      </c>
      <c r="Q42" s="3">
        <f t="shared" si="27"/>
        <v>7.4650772379504099E-2</v>
      </c>
      <c r="R42" s="3">
        <f t="shared" si="27"/>
        <v>7.4650772379497382E-2</v>
      </c>
      <c r="S42" s="3">
        <f t="shared" si="27"/>
        <v>7.46507723794302E-2</v>
      </c>
      <c r="T42" s="3">
        <f t="shared" si="27"/>
        <v>7.4650772378758334E-2</v>
      </c>
      <c r="U42" s="3">
        <f t="shared" si="27"/>
        <v>7.4650772372039764E-2</v>
      </c>
      <c r="V42" s="3">
        <f t="shared" si="27"/>
        <v>7.4650772304854077E-2</v>
      </c>
      <c r="W42" s="3">
        <f t="shared" si="27"/>
        <v>7.4650771632997132E-2</v>
      </c>
      <c r="X42" s="3">
        <f t="shared" si="27"/>
        <v>7.4650764914427986E-2</v>
      </c>
      <c r="Y42" s="3">
        <f t="shared" si="27"/>
        <v>7.4650697728769796E-2</v>
      </c>
      <c r="Z42" s="3">
        <f t="shared" si="27"/>
        <v>7.4650025875513573E-2</v>
      </c>
      <c r="AA42" s="3">
        <f t="shared" si="27"/>
        <v>7.4643307675508322E-2</v>
      </c>
      <c r="AB42" s="3">
        <f t="shared" si="27"/>
        <v>7.4576158920072855E-2</v>
      </c>
      <c r="AC42" s="3">
        <f t="shared" si="27"/>
        <v>7.390798478357577E-2</v>
      </c>
      <c r="AD42" s="3">
        <f t="shared" si="27"/>
        <v>6.7546812134261294E-2</v>
      </c>
      <c r="AE42" s="3">
        <f t="shared" si="27"/>
        <v>2.7462484425988785E-2</v>
      </c>
      <c r="AF42" s="3">
        <f t="shared" si="29"/>
        <v>3.3891398227447644E-6</v>
      </c>
      <c r="AG42" s="3">
        <f t="shared" si="29"/>
        <v>2.7770654492039576E-45</v>
      </c>
      <c r="AH42" s="3">
        <f t="shared" si="29"/>
        <v>0</v>
      </c>
      <c r="AI42" s="3">
        <f t="shared" si="29"/>
        <v>0</v>
      </c>
      <c r="AJ42" s="3">
        <f t="shared" si="29"/>
        <v>0</v>
      </c>
    </row>
    <row r="43" spans="1:36" x14ac:dyDescent="0.25">
      <c r="A43" s="3">
        <f t="shared" si="30"/>
        <v>100000000000</v>
      </c>
      <c r="B43" s="106">
        <v>4.9203025958245439E-2</v>
      </c>
      <c r="C43" s="18">
        <f t="shared" si="3"/>
        <v>4.2437426023751848E-2</v>
      </c>
      <c r="D43" s="17"/>
      <c r="F43" s="3">
        <f t="shared" si="28"/>
        <v>4.2437426023751848E-2</v>
      </c>
      <c r="G43" s="3">
        <f t="shared" si="28"/>
        <v>4.2437426023751848E-2</v>
      </c>
      <c r="H43" s="3">
        <f t="shared" si="28"/>
        <v>4.2437426023751848E-2</v>
      </c>
      <c r="I43" s="3">
        <f t="shared" si="28"/>
        <v>4.2437426023751848E-2</v>
      </c>
      <c r="J43" s="3">
        <f t="shared" si="28"/>
        <v>4.2437426023751848E-2</v>
      </c>
      <c r="K43" s="3">
        <f t="shared" si="28"/>
        <v>4.2437426023751848E-2</v>
      </c>
      <c r="L43" s="3">
        <f t="shared" si="28"/>
        <v>4.2437426023751848E-2</v>
      </c>
      <c r="M43" s="3">
        <f t="shared" si="28"/>
        <v>4.2437426023751848E-2</v>
      </c>
      <c r="N43" s="3">
        <f t="shared" si="28"/>
        <v>4.2437426023751848E-2</v>
      </c>
      <c r="O43" s="3">
        <f t="shared" si="28"/>
        <v>4.2437426023751848E-2</v>
      </c>
      <c r="P43" s="3">
        <f t="shared" si="27"/>
        <v>4.2437426023751841E-2</v>
      </c>
      <c r="Q43" s="3">
        <f t="shared" si="27"/>
        <v>4.2437426023751806E-2</v>
      </c>
      <c r="R43" s="3">
        <f t="shared" si="27"/>
        <v>4.2437426023751425E-2</v>
      </c>
      <c r="S43" s="3">
        <f t="shared" si="27"/>
        <v>4.2437426023747601E-2</v>
      </c>
      <c r="T43" s="3">
        <f t="shared" si="27"/>
        <v>4.243742602370941E-2</v>
      </c>
      <c r="U43" s="3">
        <f t="shared" si="27"/>
        <v>4.2437426023327472E-2</v>
      </c>
      <c r="V43" s="3">
        <f t="shared" si="27"/>
        <v>4.2437426019508104E-2</v>
      </c>
      <c r="W43" s="3">
        <f t="shared" si="27"/>
        <v>4.2437425981314426E-2</v>
      </c>
      <c r="X43" s="3">
        <f t="shared" si="27"/>
        <v>4.243742559937759E-2</v>
      </c>
      <c r="Y43" s="3">
        <f t="shared" si="27"/>
        <v>4.2437421780009463E-2</v>
      </c>
      <c r="Z43" s="3">
        <f t="shared" si="27"/>
        <v>4.2437383586347042E-2</v>
      </c>
      <c r="AA43" s="3">
        <f t="shared" si="27"/>
        <v>4.2437001651613473E-2</v>
      </c>
      <c r="AB43" s="3">
        <f t="shared" si="27"/>
        <v>4.243318249332953E-2</v>
      </c>
      <c r="AC43" s="3">
        <f t="shared" si="27"/>
        <v>4.2395009809369971E-2</v>
      </c>
      <c r="AD43" s="3">
        <f t="shared" si="27"/>
        <v>4.2015166579558137E-2</v>
      </c>
      <c r="AE43" s="3">
        <f t="shared" si="27"/>
        <v>3.8398970991423656E-2</v>
      </c>
      <c r="AF43" s="3">
        <f t="shared" si="29"/>
        <v>1.5611856570372253E-2</v>
      </c>
      <c r="AG43" s="3">
        <f t="shared" si="29"/>
        <v>1.926656160778981E-6</v>
      </c>
      <c r="AH43" s="3">
        <f t="shared" si="29"/>
        <v>1.578704490351207E-45</v>
      </c>
      <c r="AI43" s="3">
        <f t="shared" si="29"/>
        <v>0</v>
      </c>
      <c r="AJ43" s="3">
        <f t="shared" si="29"/>
        <v>0</v>
      </c>
    </row>
    <row r="44" spans="1:36" x14ac:dyDescent="0.25">
      <c r="A44" s="3">
        <f t="shared" si="30"/>
        <v>1000000000000</v>
      </c>
      <c r="B44" s="106">
        <v>3.4043945380494031E-2</v>
      </c>
      <c r="C44" s="18">
        <f t="shared" si="3"/>
        <v>2.9362775672931045E-2</v>
      </c>
      <c r="D44" s="17"/>
      <c r="F44" s="3">
        <f t="shared" si="28"/>
        <v>2.9362775672931045E-2</v>
      </c>
      <c r="G44" s="3">
        <f t="shared" si="28"/>
        <v>2.9362775672931045E-2</v>
      </c>
      <c r="H44" s="3">
        <f t="shared" si="28"/>
        <v>2.9362775672931045E-2</v>
      </c>
      <c r="I44" s="3">
        <f t="shared" si="28"/>
        <v>2.9362775672931045E-2</v>
      </c>
      <c r="J44" s="3">
        <f t="shared" si="28"/>
        <v>2.9362775672931045E-2</v>
      </c>
      <c r="K44" s="3">
        <f t="shared" si="28"/>
        <v>2.9362775672931045E-2</v>
      </c>
      <c r="L44" s="3">
        <f t="shared" si="28"/>
        <v>2.9362775672931045E-2</v>
      </c>
      <c r="M44" s="3">
        <f t="shared" si="28"/>
        <v>2.9362775672931045E-2</v>
      </c>
      <c r="N44" s="3">
        <f t="shared" si="28"/>
        <v>2.9362775672931045E-2</v>
      </c>
      <c r="O44" s="3">
        <f t="shared" si="28"/>
        <v>2.9362775672931045E-2</v>
      </c>
      <c r="P44" s="3">
        <f t="shared" si="27"/>
        <v>2.9362775672931045E-2</v>
      </c>
      <c r="Q44" s="3">
        <f t="shared" si="27"/>
        <v>2.9362775672931041E-2</v>
      </c>
      <c r="R44" s="3">
        <f t="shared" si="27"/>
        <v>2.9362775672931017E-2</v>
      </c>
      <c r="S44" s="3">
        <f t="shared" si="27"/>
        <v>2.936277567293075E-2</v>
      </c>
      <c r="T44" s="3">
        <f t="shared" si="27"/>
        <v>2.9362775672928106E-2</v>
      </c>
      <c r="U44" s="3">
        <f t="shared" si="27"/>
        <v>2.9362775672901683E-2</v>
      </c>
      <c r="V44" s="3">
        <f t="shared" si="27"/>
        <v>2.9362775672637419E-2</v>
      </c>
      <c r="W44" s="3">
        <f t="shared" si="27"/>
        <v>2.9362775669994769E-2</v>
      </c>
      <c r="X44" s="3">
        <f t="shared" si="27"/>
        <v>2.9362775643568269E-2</v>
      </c>
      <c r="Y44" s="3">
        <f t="shared" si="27"/>
        <v>2.9362775379303291E-2</v>
      </c>
      <c r="Z44" s="3">
        <f t="shared" si="27"/>
        <v>2.9362772736653626E-2</v>
      </c>
      <c r="AA44" s="3">
        <f t="shared" si="27"/>
        <v>2.9362746310170055E-2</v>
      </c>
      <c r="AB44" s="3">
        <f t="shared" si="27"/>
        <v>2.9362482046642449E-2</v>
      </c>
      <c r="AC44" s="3">
        <f t="shared" si="27"/>
        <v>2.9359839542172736E-2</v>
      </c>
      <c r="AD44" s="3">
        <f t="shared" si="27"/>
        <v>2.9333427573753377E-2</v>
      </c>
      <c r="AE44" s="3">
        <f t="shared" si="27"/>
        <v>2.9070611173399499E-2</v>
      </c>
      <c r="AF44" s="3">
        <f t="shared" si="29"/>
        <v>2.6568538126264009E-2</v>
      </c>
      <c r="AG44" s="3">
        <f t="shared" si="29"/>
        <v>1.0801961505800295E-2</v>
      </c>
      <c r="AH44" s="3">
        <f t="shared" si="29"/>
        <v>1.3330679531826685E-6</v>
      </c>
      <c r="AI44" s="3">
        <f t="shared" si="29"/>
        <v>1.0923175637015982E-45</v>
      </c>
      <c r="AJ44" s="3">
        <f t="shared" si="29"/>
        <v>0</v>
      </c>
    </row>
    <row r="45" spans="1:36" x14ac:dyDescent="0.25">
      <c r="A45" s="3">
        <f t="shared" si="30"/>
        <v>10000000000000</v>
      </c>
      <c r="B45" s="106">
        <v>1.5441139307626812E-2</v>
      </c>
      <c r="C45" s="18">
        <f t="shared" si="3"/>
        <v>1.3317924951321973E-2</v>
      </c>
      <c r="D45" s="17"/>
      <c r="F45" s="3">
        <f t="shared" si="28"/>
        <v>1.3317924951321973E-2</v>
      </c>
      <c r="G45" s="3">
        <f t="shared" si="28"/>
        <v>1.3317924951321973E-2</v>
      </c>
      <c r="H45" s="3">
        <f t="shared" si="28"/>
        <v>1.3317924951321973E-2</v>
      </c>
      <c r="I45" s="3">
        <f t="shared" si="28"/>
        <v>1.3317924951321973E-2</v>
      </c>
      <c r="J45" s="3">
        <f t="shared" si="28"/>
        <v>1.3317924951321973E-2</v>
      </c>
      <c r="K45" s="3">
        <f t="shared" si="28"/>
        <v>1.3317924951321973E-2</v>
      </c>
      <c r="L45" s="3">
        <f t="shared" si="28"/>
        <v>1.3317924951321973E-2</v>
      </c>
      <c r="M45" s="3">
        <f t="shared" si="28"/>
        <v>1.3317924951321973E-2</v>
      </c>
      <c r="N45" s="3">
        <f t="shared" si="28"/>
        <v>1.3317924951321973E-2</v>
      </c>
      <c r="O45" s="3">
        <f t="shared" si="28"/>
        <v>1.3317924951321973E-2</v>
      </c>
      <c r="P45" s="3">
        <f t="shared" si="27"/>
        <v>1.3317924951321973E-2</v>
      </c>
      <c r="Q45" s="3">
        <f t="shared" si="27"/>
        <v>1.3317924951321973E-2</v>
      </c>
      <c r="R45" s="3">
        <f t="shared" si="27"/>
        <v>1.3317924951321971E-2</v>
      </c>
      <c r="S45" s="3">
        <f t="shared" si="27"/>
        <v>1.3317924951321959E-2</v>
      </c>
      <c r="T45" s="3">
        <f t="shared" si="27"/>
        <v>1.3317924951321839E-2</v>
      </c>
      <c r="U45" s="3">
        <f t="shared" si="27"/>
        <v>1.331792495132064E-2</v>
      </c>
      <c r="V45" s="3">
        <f t="shared" si="27"/>
        <v>1.3317924951308655E-2</v>
      </c>
      <c r="W45" s="3">
        <f t="shared" si="27"/>
        <v>1.3317924951188793E-2</v>
      </c>
      <c r="X45" s="3">
        <f t="shared" si="27"/>
        <v>1.331792494999018E-2</v>
      </c>
      <c r="Y45" s="3">
        <f t="shared" si="27"/>
        <v>1.3317924938004048E-2</v>
      </c>
      <c r="Z45" s="3">
        <f t="shared" si="27"/>
        <v>1.3317924818142724E-2</v>
      </c>
      <c r="AA45" s="3">
        <f t="shared" si="27"/>
        <v>1.3317923619529545E-2</v>
      </c>
      <c r="AB45" s="3">
        <f t="shared" si="27"/>
        <v>1.331791163340368E-2</v>
      </c>
      <c r="AC45" s="3">
        <f t="shared" si="27"/>
        <v>1.3317791772738353E-2</v>
      </c>
      <c r="AD45" s="3">
        <f t="shared" si="27"/>
        <v>1.3316593225414246E-2</v>
      </c>
      <c r="AE45" s="3">
        <f t="shared" si="27"/>
        <v>1.3304613683114027E-2</v>
      </c>
      <c r="AF45" s="3">
        <f t="shared" si="29"/>
        <v>1.3185409383940217E-2</v>
      </c>
      <c r="AG45" s="3">
        <f t="shared" si="29"/>
        <v>1.2050556826550856E-2</v>
      </c>
      <c r="AH45" s="3">
        <f t="shared" si="29"/>
        <v>4.8993907886555358E-3</v>
      </c>
      <c r="AI45" s="3">
        <f t="shared" si="29"/>
        <v>6.0463285737206205E-7</v>
      </c>
      <c r="AJ45" s="3">
        <f t="shared" si="29"/>
        <v>4.9543692661861332E-46</v>
      </c>
    </row>
    <row r="46" spans="1:36" x14ac:dyDescent="0.25">
      <c r="A46" s="3">
        <f t="shared" si="30"/>
        <v>100000000000000</v>
      </c>
      <c r="B46" s="106">
        <v>4.707353766996979E-3</v>
      </c>
      <c r="C46" s="18">
        <f t="shared" si="3"/>
        <v>4.0600750332731679E-3</v>
      </c>
      <c r="D46" s="17"/>
      <c r="F46" s="3">
        <f t="shared" si="28"/>
        <v>4.0600750332731679E-3</v>
      </c>
      <c r="G46" s="3">
        <f t="shared" si="28"/>
        <v>4.0600750332731679E-3</v>
      </c>
      <c r="H46" s="3">
        <f t="shared" si="28"/>
        <v>4.0600750332731679E-3</v>
      </c>
      <c r="I46" s="3">
        <f t="shared" si="28"/>
        <v>4.0600750332731679E-3</v>
      </c>
      <c r="J46" s="3">
        <f t="shared" si="28"/>
        <v>4.0600750332731679E-3</v>
      </c>
      <c r="K46" s="3">
        <f t="shared" si="28"/>
        <v>4.0600750332731679E-3</v>
      </c>
      <c r="L46" s="3">
        <f t="shared" si="28"/>
        <v>4.0600750332731679E-3</v>
      </c>
      <c r="M46" s="3">
        <f t="shared" si="28"/>
        <v>4.0600750332731679E-3</v>
      </c>
      <c r="N46" s="3">
        <f t="shared" si="28"/>
        <v>4.0600750332731679E-3</v>
      </c>
      <c r="O46" s="3">
        <f t="shared" si="28"/>
        <v>4.0600750332731679E-3</v>
      </c>
      <c r="P46" s="3">
        <f t="shared" si="27"/>
        <v>4.0600750332731679E-3</v>
      </c>
      <c r="Q46" s="3">
        <f t="shared" si="27"/>
        <v>4.0600750332731679E-3</v>
      </c>
      <c r="R46" s="3">
        <f t="shared" si="27"/>
        <v>4.0600750332731679E-3</v>
      </c>
      <c r="S46" s="3">
        <f t="shared" si="27"/>
        <v>4.060075033273167E-3</v>
      </c>
      <c r="T46" s="3">
        <f t="shared" si="27"/>
        <v>4.0600750332731635E-3</v>
      </c>
      <c r="U46" s="3">
        <f t="shared" si="27"/>
        <v>4.0600750332731271E-3</v>
      </c>
      <c r="V46" s="3">
        <f t="shared" si="27"/>
        <v>4.0600750332727619E-3</v>
      </c>
      <c r="W46" s="3">
        <f t="shared" si="27"/>
        <v>4.0600750332691077E-3</v>
      </c>
      <c r="X46" s="3">
        <f t="shared" si="27"/>
        <v>4.0600750332325675E-3</v>
      </c>
      <c r="Y46" s="3">
        <f t="shared" si="27"/>
        <v>4.0600750328671602E-3</v>
      </c>
      <c r="Z46" s="3">
        <f t="shared" si="27"/>
        <v>4.0600750292130927E-3</v>
      </c>
      <c r="AA46" s="3">
        <f t="shared" si="27"/>
        <v>4.0600749926724177E-3</v>
      </c>
      <c r="AB46" s="3">
        <f t="shared" si="27"/>
        <v>4.060074627265685E-3</v>
      </c>
      <c r="AC46" s="3">
        <f t="shared" si="27"/>
        <v>4.0600709732001644E-3</v>
      </c>
      <c r="AD46" s="3">
        <f t="shared" si="27"/>
        <v>4.0600344327258384E-3</v>
      </c>
      <c r="AE46" s="3">
        <f t="shared" si="27"/>
        <v>4.0596690460695389E-3</v>
      </c>
      <c r="AF46" s="3">
        <f t="shared" si="29"/>
        <v>4.0560169876009012E-3</v>
      </c>
      <c r="AG46" s="3">
        <f t="shared" si="29"/>
        <v>4.0196766117012476E-3</v>
      </c>
      <c r="AH46" s="3">
        <f t="shared" si="29"/>
        <v>3.6737078101391554E-3</v>
      </c>
      <c r="AI46" s="3">
        <f t="shared" si="29"/>
        <v>1.4936181343546582E-3</v>
      </c>
      <c r="AJ46" s="3">
        <f t="shared" si="29"/>
        <v>1.8432712134102017E-7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7.6603030714526609E-3</v>
      </c>
      <c r="C48" s="18">
        <f t="shared" si="3"/>
        <v>6.6069827735831333E-3</v>
      </c>
      <c r="D48" s="17"/>
      <c r="F48" s="3">
        <f t="shared" si="28"/>
        <v>6.6069827735831333E-3</v>
      </c>
      <c r="G48" s="3">
        <f t="shared" si="28"/>
        <v>6.6069827735831333E-3</v>
      </c>
      <c r="H48" s="3">
        <f t="shared" si="28"/>
        <v>6.6069827735831333E-3</v>
      </c>
      <c r="I48" s="3">
        <f t="shared" si="28"/>
        <v>6.6069827735831333E-3</v>
      </c>
      <c r="J48" s="3">
        <f t="shared" si="28"/>
        <v>6.6069827735831333E-3</v>
      </c>
      <c r="K48" s="3">
        <f t="shared" si="28"/>
        <v>6.6069827735831333E-3</v>
      </c>
      <c r="L48" s="3">
        <f t="shared" si="28"/>
        <v>6.6069827735831333E-3</v>
      </c>
      <c r="M48" s="3">
        <f t="shared" si="28"/>
        <v>6.6069827735831333E-3</v>
      </c>
      <c r="N48" s="3">
        <f t="shared" si="28"/>
        <v>6.6069827735831333E-3</v>
      </c>
      <c r="O48" s="3">
        <f t="shared" si="28"/>
        <v>6.6069827735831333E-3</v>
      </c>
      <c r="P48" s="3">
        <f t="shared" si="27"/>
        <v>6.6069827735831333E-3</v>
      </c>
      <c r="Q48" s="3">
        <f t="shared" si="27"/>
        <v>6.6069827735831333E-3</v>
      </c>
      <c r="R48" s="3">
        <f t="shared" si="27"/>
        <v>6.6069827735831333E-3</v>
      </c>
      <c r="S48" s="3">
        <f t="shared" si="27"/>
        <v>6.6069827735831333E-3</v>
      </c>
      <c r="T48" s="3">
        <f t="shared" si="27"/>
        <v>6.6069827735831333E-3</v>
      </c>
      <c r="U48" s="3">
        <f t="shared" si="27"/>
        <v>6.6069827735831324E-3</v>
      </c>
      <c r="V48" s="3">
        <f t="shared" si="27"/>
        <v>6.6069827735831263E-3</v>
      </c>
      <c r="W48" s="3">
        <f t="shared" si="27"/>
        <v>6.6069827735830674E-3</v>
      </c>
      <c r="X48" s="3">
        <f t="shared" si="27"/>
        <v>6.6069827735824723E-3</v>
      </c>
      <c r="Y48" s="3">
        <f t="shared" si="27"/>
        <v>6.6069827735765266E-3</v>
      </c>
      <c r="Z48" s="3">
        <f t="shared" si="27"/>
        <v>6.6069827735170637E-3</v>
      </c>
      <c r="AA48" s="3">
        <f t="shared" si="27"/>
        <v>6.6069827729224352E-3</v>
      </c>
      <c r="AB48" s="3">
        <f t="shared" si="27"/>
        <v>6.606982766976151E-3</v>
      </c>
      <c r="AC48" s="3">
        <f t="shared" si="27"/>
        <v>6.6069827075133057E-3</v>
      </c>
      <c r="AD48" s="3">
        <f t="shared" si="27"/>
        <v>6.6069821128848889E-3</v>
      </c>
      <c r="AE48" s="3">
        <f t="shared" si="27"/>
        <v>6.6069761666036637E-3</v>
      </c>
      <c r="AF48" s="3">
        <f t="shared" si="29"/>
        <v>6.6069167040857454E-3</v>
      </c>
      <c r="AG48" s="3">
        <f t="shared" si="29"/>
        <v>6.6063221083395877E-3</v>
      </c>
      <c r="AH48" s="3">
        <f t="shared" si="29"/>
        <v>6.6003790932000483E-3</v>
      </c>
      <c r="AI48" s="3">
        <f t="shared" si="29"/>
        <v>6.5412421965695983E-3</v>
      </c>
      <c r="AJ48" s="3">
        <f t="shared" si="29"/>
        <v>5.978245233857025E-3</v>
      </c>
    </row>
    <row r="49" spans="1:36" x14ac:dyDescent="0.25">
      <c r="B49" s="16">
        <f>SUM(B17:B48)</f>
        <v>1.1594253131824477</v>
      </c>
      <c r="C49" s="18">
        <f>SUM(C17:C48)</f>
        <v>1.0000000000000002</v>
      </c>
      <c r="F49" s="3">
        <f t="shared" ref="F49:AJ49" si="31">F16-F17</f>
        <v>-4.7041418515618716E-2</v>
      </c>
      <c r="G49" s="3">
        <f t="shared" si="31"/>
        <v>2.5423388110539236E-2</v>
      </c>
      <c r="H49" s="3">
        <f t="shared" si="31"/>
        <v>-1.3418648417427903E-2</v>
      </c>
      <c r="I49" s="3">
        <f t="shared" si="31"/>
        <v>-2.3430231373822608E-2</v>
      </c>
      <c r="J49" s="3">
        <f t="shared" si="31"/>
        <v>-2.6258950251758506E-2</v>
      </c>
      <c r="K49" s="3">
        <f t="shared" si="31"/>
        <v>-2.7114015273582481E-2</v>
      </c>
      <c r="L49" s="3">
        <f t="shared" si="31"/>
        <v>-2.7228726178691431E-2</v>
      </c>
      <c r="M49" s="3">
        <f t="shared" si="31"/>
        <v>-2.5406152291907347E-2</v>
      </c>
      <c r="N49" s="3">
        <f t="shared" si="31"/>
        <v>-6.7446390703480574E-3</v>
      </c>
      <c r="O49" s="3">
        <f t="shared" si="31"/>
        <v>0.1544775307238524</v>
      </c>
      <c r="P49" s="3">
        <f t="shared" si="31"/>
        <v>0.10522391129234165</v>
      </c>
      <c r="Q49" s="3">
        <f t="shared" si="31"/>
        <v>-0.21649312754652783</v>
      </c>
      <c r="R49" s="3">
        <f t="shared" si="31"/>
        <v>0.27972345287071221</v>
      </c>
      <c r="S49" s="3">
        <f t="shared" si="31"/>
        <v>-0.29902976593621133</v>
      </c>
      <c r="T49" s="3">
        <f t="shared" si="31"/>
        <v>0.26681631987503351</v>
      </c>
      <c r="U49" s="3">
        <f t="shared" si="31"/>
        <v>-0.20084692638738488</v>
      </c>
      <c r="V49" s="3">
        <f t="shared" si="31"/>
        <v>0.13035635456435557</v>
      </c>
      <c r="W49" s="3">
        <f t="shared" si="31"/>
        <v>-7.5574269107164582E-2</v>
      </c>
      <c r="X49" s="3">
        <f t="shared" si="31"/>
        <v>4.0410674859231221E-2</v>
      </c>
      <c r="Y49" s="3">
        <f t="shared" si="31"/>
        <v>-2.0334977493803308E-2</v>
      </c>
      <c r="Z49" s="3">
        <f t="shared" si="31"/>
        <v>9.7588644939605729E-3</v>
      </c>
      <c r="AA49" s="3">
        <f t="shared" si="31"/>
        <v>-5.641844379624672E-3</v>
      </c>
      <c r="AB49" s="3">
        <f t="shared" si="31"/>
        <v>7.0927631345512054E-3</v>
      </c>
      <c r="AC49" s="3">
        <f t="shared" si="31"/>
        <v>-9.9770978852120606E-3</v>
      </c>
      <c r="AD49" s="3">
        <f t="shared" si="31"/>
        <v>1.0820714996498282E-2</v>
      </c>
      <c r="AE49" s="3">
        <f t="shared" si="31"/>
        <v>-1.1346195142778015E-2</v>
      </c>
      <c r="AF49" s="3">
        <f t="shared" si="31"/>
        <v>1.4066040818875081E-2</v>
      </c>
      <c r="AG49" s="3">
        <f t="shared" si="31"/>
        <v>-1.9477275393569471E-2</v>
      </c>
      <c r="AH49" s="3">
        <f t="shared" si="31"/>
        <v>2.6682013029841301E-2</v>
      </c>
      <c r="AI49" s="3">
        <f t="shared" si="31"/>
        <v>-3.5089990197462839E-2</v>
      </c>
      <c r="AJ49" s="3">
        <f t="shared" si="31"/>
        <v>2.0671148447448218E-2</v>
      </c>
    </row>
    <row r="50" spans="1:36" x14ac:dyDescent="0.25">
      <c r="F50" s="57">
        <f t="shared" ref="F50:AJ50" si="32">F49/F17</f>
        <v>-6.4552698864626995E-6</v>
      </c>
      <c r="G50" s="57">
        <f t="shared" si="32"/>
        <v>3.4887305030536616E-6</v>
      </c>
      <c r="H50" s="57">
        <f t="shared" si="32"/>
        <v>-1.8413772327124096E-6</v>
      </c>
      <c r="I50" s="57">
        <f t="shared" si="32"/>
        <v>-3.2152190951630742E-6</v>
      </c>
      <c r="J50" s="57">
        <f t="shared" si="32"/>
        <v>-3.6033907303929446E-6</v>
      </c>
      <c r="K50" s="57">
        <f t="shared" si="32"/>
        <v>-3.7207273537681833E-6</v>
      </c>
      <c r="L50" s="57">
        <f t="shared" si="32"/>
        <v>-3.736469802711667E-6</v>
      </c>
      <c r="M50" s="57">
        <f t="shared" si="32"/>
        <v>-3.4863779291935255E-6</v>
      </c>
      <c r="N50" s="57">
        <f t="shared" si="32"/>
        <v>-9.2556814435566039E-7</v>
      </c>
      <c r="O50" s="57">
        <f t="shared" si="32"/>
        <v>2.1205756862801054E-5</v>
      </c>
      <c r="P50" s="57">
        <f t="shared" si="32"/>
        <v>1.4484622236361754E-5</v>
      </c>
      <c r="Q50" s="57">
        <f t="shared" si="32"/>
        <v>-3.0262403120790793E-5</v>
      </c>
      <c r="R50" s="57">
        <f t="shared" si="32"/>
        <v>3.9893712947476337E-5</v>
      </c>
      <c r="S50" s="57">
        <f t="shared" si="32"/>
        <v>-4.3621694607390474E-5</v>
      </c>
      <c r="T50" s="57">
        <f t="shared" si="32"/>
        <v>4.002002684440513E-5</v>
      </c>
      <c r="U50" s="57">
        <f t="shared" si="32"/>
        <v>-3.1100126968137051E-5</v>
      </c>
      <c r="V50" s="57">
        <f t="shared" si="32"/>
        <v>2.103536583584723E-5</v>
      </c>
      <c r="W50" s="57">
        <f t="shared" si="32"/>
        <v>-1.3192079882844412E-5</v>
      </c>
      <c r="X50" s="57">
        <f t="shared" si="32"/>
        <v>8.231335712369133E-6</v>
      </c>
      <c r="Y50" s="57">
        <f t="shared" si="32"/>
        <v>-5.0151546972733885E-6</v>
      </c>
      <c r="Z50" s="57">
        <f t="shared" si="32"/>
        <v>2.8832050029601778E-6</v>
      </c>
      <c r="AA50" s="57">
        <f t="shared" si="32"/>
        <v>-1.9672946271879489E-6</v>
      </c>
      <c r="AB50" s="57">
        <f t="shared" si="32"/>
        <v>2.96283013790104E-6</v>
      </c>
      <c r="AC50" s="57">
        <f t="shared" si="32"/>
        <v>-5.188150983553555E-6</v>
      </c>
      <c r="AD50" s="57">
        <f t="shared" si="32"/>
        <v>7.5510110207267432E-6</v>
      </c>
      <c r="AE50" s="57">
        <f t="shared" si="32"/>
        <v>-1.222144830180863E-5</v>
      </c>
      <c r="AF50" s="57">
        <f t="shared" si="32"/>
        <v>2.6011446221475459E-5</v>
      </c>
      <c r="AG50" s="57">
        <f t="shared" si="32"/>
        <v>-6.446703499571526E-5</v>
      </c>
      <c r="AH50" s="57">
        <f t="shared" si="32"/>
        <v>1.5888828209767531E-4</v>
      </c>
      <c r="AI50" s="57">
        <f t="shared" si="32"/>
        <v>-3.0357033218400699E-4</v>
      </c>
      <c r="AJ50" s="57">
        <f t="shared" si="32"/>
        <v>2.0566079993314298E-4</v>
      </c>
    </row>
    <row r="51" spans="1:36" x14ac:dyDescent="0.25">
      <c r="A51" s="13" t="s">
        <v>21</v>
      </c>
      <c r="B51" s="3">
        <f>STUTT!D8</f>
        <v>7330.9827999999998</v>
      </c>
      <c r="E51" s="11" t="s">
        <v>24</v>
      </c>
      <c r="F51" s="20">
        <f t="shared" ref="F51:AJ51" si="33">(F16-F17)^2</f>
        <v>2.2128950559615955E-3</v>
      </c>
      <c r="G51" s="20">
        <f t="shared" si="33"/>
        <v>6.4634866301910775E-4</v>
      </c>
      <c r="H51" s="20">
        <f t="shared" si="33"/>
        <v>1.8006012535054037E-4</v>
      </c>
      <c r="I51" s="20">
        <f t="shared" si="33"/>
        <v>5.4897574223086124E-4</v>
      </c>
      <c r="J51" s="20">
        <f t="shared" si="33"/>
        <v>6.8953246832432807E-4</v>
      </c>
      <c r="K51" s="20">
        <f t="shared" si="33"/>
        <v>7.3516982425606405E-4</v>
      </c>
      <c r="L51" s="20">
        <f t="shared" si="33"/>
        <v>7.4140352931415605E-4</v>
      </c>
      <c r="M51" s="20">
        <f t="shared" si="33"/>
        <v>6.4547257427958896E-4</v>
      </c>
      <c r="N51" s="20">
        <f t="shared" si="33"/>
        <v>4.5490156189265507E-5</v>
      </c>
      <c r="O51" s="20">
        <f t="shared" si="33"/>
        <v>2.3863307498538763E-2</v>
      </c>
      <c r="P51" s="20">
        <f t="shared" si="33"/>
        <v>1.1072071507658586E-2</v>
      </c>
      <c r="Q51" s="20">
        <f t="shared" si="33"/>
        <v>4.6869274274877165E-2</v>
      </c>
      <c r="R51" s="20">
        <f t="shared" si="33"/>
        <v>7.824521008591355E-2</v>
      </c>
      <c r="S51" s="20">
        <f t="shared" si="33"/>
        <v>8.9418800915865335E-2</v>
      </c>
      <c r="T51" s="20">
        <f t="shared" si="33"/>
        <v>7.1190948551656211E-2</v>
      </c>
      <c r="U51" s="20">
        <f t="shared" si="33"/>
        <v>4.03394878392596E-2</v>
      </c>
      <c r="V51" s="20">
        <f t="shared" si="33"/>
        <v>1.6992779175307986E-2</v>
      </c>
      <c r="W51" s="20">
        <f t="shared" si="33"/>
        <v>5.7114701510821309E-3</v>
      </c>
      <c r="X51" s="20">
        <f t="shared" si="33"/>
        <v>1.6330226425785024E-3</v>
      </c>
      <c r="Y51" s="20">
        <f t="shared" si="33"/>
        <v>4.1351130967348708E-4</v>
      </c>
      <c r="Z51" s="20">
        <f t="shared" si="33"/>
        <v>9.5235436211484352E-5</v>
      </c>
      <c r="AA51" s="20">
        <f t="shared" si="33"/>
        <v>3.1830408003902499E-5</v>
      </c>
      <c r="AB51" s="20">
        <f t="shared" si="33"/>
        <v>5.0307288882848644E-5</v>
      </c>
      <c r="AC51" s="20">
        <f t="shared" si="33"/>
        <v>9.9542482211102974E-5</v>
      </c>
      <c r="AD51" s="20">
        <f t="shared" si="33"/>
        <v>1.1708787303544281E-4</v>
      </c>
      <c r="AE51" s="20">
        <f t="shared" si="33"/>
        <v>1.2873614421799942E-4</v>
      </c>
      <c r="AF51" s="20">
        <f t="shared" si="33"/>
        <v>1.9785350431825995E-4</v>
      </c>
      <c r="AG51" s="20">
        <f t="shared" si="33"/>
        <v>3.7936425675694679E-4</v>
      </c>
      <c r="AH51" s="20">
        <f t="shared" si="33"/>
        <v>7.1192981932462099E-4</v>
      </c>
      <c r="AI51" s="20">
        <f t="shared" si="33"/>
        <v>1.2313074120580381E-3</v>
      </c>
      <c r="AJ51" s="20">
        <f t="shared" si="33"/>
        <v>4.2729637813644086E-4</v>
      </c>
    </row>
    <row r="52" spans="1:36" x14ac:dyDescent="0.25">
      <c r="A52" s="13"/>
    </row>
    <row r="53" spans="1:36" x14ac:dyDescent="0.25">
      <c r="E53" s="118" t="s">
        <v>25</v>
      </c>
      <c r="F53" s="118"/>
      <c r="G53" s="104">
        <f>SUM(F51:AJ51)</f>
        <v>0.39566572309449394</v>
      </c>
      <c r="I53" s="3">
        <f>G53+C123</f>
        <v>0.39566572309449394</v>
      </c>
      <c r="K53" s="3">
        <f>SUM(Z51:AJ51)</f>
        <v>3.470491003157087E-3</v>
      </c>
    </row>
    <row r="55" spans="1:36" x14ac:dyDescent="0.25">
      <c r="E55" s="30" t="s">
        <v>30</v>
      </c>
      <c r="F55" s="31">
        <f t="shared" ref="F55:AJ55" si="34">ABS(F17-F16)/F16</f>
        <v>6.4553115572410022E-6</v>
      </c>
      <c r="G55" s="31">
        <f t="shared" si="34"/>
        <v>3.4887183318556005E-6</v>
      </c>
      <c r="H55" s="31">
        <f t="shared" si="34"/>
        <v>1.8413806233887663E-6</v>
      </c>
      <c r="I55" s="31">
        <f t="shared" si="34"/>
        <v>3.215229432830142E-6</v>
      </c>
      <c r="J55" s="31">
        <f t="shared" si="34"/>
        <v>3.6034037148644884E-6</v>
      </c>
      <c r="K55" s="31">
        <f t="shared" si="34"/>
        <v>3.7207411976317337E-6</v>
      </c>
      <c r="L55" s="31">
        <f t="shared" si="34"/>
        <v>3.7364837639704192E-6</v>
      </c>
      <c r="M55" s="31">
        <f t="shared" si="34"/>
        <v>3.4863900840669675E-6</v>
      </c>
      <c r="N55" s="31">
        <f t="shared" si="34"/>
        <v>9.2556900103284314E-7</v>
      </c>
      <c r="O55" s="31">
        <f t="shared" si="34"/>
        <v>2.1205307188212623E-5</v>
      </c>
      <c r="P55" s="31">
        <f t="shared" si="34"/>
        <v>1.4484412435119317E-5</v>
      </c>
      <c r="Q55" s="31">
        <f t="shared" si="34"/>
        <v>3.0263318961548981E-5</v>
      </c>
      <c r="R55" s="31">
        <f t="shared" si="34"/>
        <v>3.9892121502632246E-5</v>
      </c>
      <c r="S55" s="31">
        <f t="shared" si="34"/>
        <v>4.3623597542640157E-5</v>
      </c>
      <c r="T55" s="31">
        <f t="shared" si="34"/>
        <v>4.0018425305950115E-5</v>
      </c>
      <c r="U55" s="31">
        <f t="shared" si="34"/>
        <v>3.1101094216116021E-5</v>
      </c>
      <c r="V55" s="31">
        <f t="shared" si="34"/>
        <v>2.1034923358539052E-5</v>
      </c>
      <c r="W55" s="31">
        <f t="shared" si="34"/>
        <v>1.3192253916111908E-5</v>
      </c>
      <c r="X55" s="31">
        <f t="shared" si="34"/>
        <v>8.2312679580392323E-6</v>
      </c>
      <c r="Y55" s="31">
        <f t="shared" si="34"/>
        <v>5.0151798491761667E-6</v>
      </c>
      <c r="Z55" s="31">
        <f t="shared" si="34"/>
        <v>2.8831966901130563E-6</v>
      </c>
      <c r="AA55" s="31">
        <f t="shared" si="34"/>
        <v>1.9672984974437129E-6</v>
      </c>
      <c r="AB55" s="31">
        <f t="shared" si="34"/>
        <v>2.9628213595646227E-6</v>
      </c>
      <c r="AC55" s="31">
        <f t="shared" si="34"/>
        <v>5.1881779006038324E-6</v>
      </c>
      <c r="AD55" s="31">
        <f t="shared" si="34"/>
        <v>7.5509540033898464E-6</v>
      </c>
      <c r="AE55" s="31">
        <f t="shared" si="34"/>
        <v>1.2221597667432687E-5</v>
      </c>
      <c r="AF55" s="31">
        <f t="shared" si="34"/>
        <v>2.601076964373969E-5</v>
      </c>
      <c r="AG55" s="31">
        <f t="shared" si="34"/>
        <v>6.4471191262258581E-5</v>
      </c>
      <c r="AH55" s="31">
        <f t="shared" si="34"/>
        <v>1.5886304062206206E-4</v>
      </c>
      <c r="AI55" s="31">
        <f t="shared" si="34"/>
        <v>3.0366251511459216E-4</v>
      </c>
      <c r="AJ55" s="31">
        <f t="shared" si="34"/>
        <v>2.056185122654294E-4</v>
      </c>
    </row>
    <row r="56" spans="1:36" x14ac:dyDescent="0.25">
      <c r="E56" s="13" t="s">
        <v>31</v>
      </c>
      <c r="F56" s="32">
        <f>AVERAGE(F55:AJ55)</f>
        <v>3.5159200160245075E-5</v>
      </c>
    </row>
    <row r="57" spans="1:36" x14ac:dyDescent="0.25">
      <c r="A57" s="42"/>
      <c r="B57" s="15"/>
      <c r="C57" s="15"/>
      <c r="D57" s="15"/>
      <c r="F57" s="60">
        <f>AVERAGE(S55:X55)</f>
        <v>2.6200260382899415E-5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-11.767742998078067</v>
      </c>
    </row>
    <row r="119" spans="1:14" x14ac:dyDescent="0.25">
      <c r="L119" s="11">
        <f>L118+1</f>
        <v>2</v>
      </c>
      <c r="M119" s="11">
        <f t="shared" ref="M119:M124" si="35">INDEX($B$125:$K$126,1,L119)</f>
        <v>0</v>
      </c>
      <c r="N119" s="11">
        <f t="shared" ref="N119:N124" si="36">IF(L119=$B$3,0,INDEX($B$125:$K$126,2,L119))</f>
        <v>-7.8587380955255552</v>
      </c>
    </row>
    <row r="120" spans="1:14" x14ac:dyDescent="0.25">
      <c r="L120" s="11">
        <f t="shared" ref="L120:L124" si="37">L119+1</f>
        <v>3</v>
      </c>
      <c r="M120" s="11">
        <f t="shared" si="35"/>
        <v>25</v>
      </c>
      <c r="N120" s="11">
        <f t="shared" si="36"/>
        <v>-4.6620536661082976</v>
      </c>
    </row>
    <row r="121" spans="1:14" x14ac:dyDescent="0.25">
      <c r="A121" s="103">
        <f>(A165+A204+A243+A282+A321+A360+A399)*10^9</f>
        <v>1.6880178101094306E+16</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9.1725755939683662</v>
      </c>
    </row>
    <row r="123" spans="1:14" x14ac:dyDescent="0.25">
      <c r="A123" s="118"/>
      <c r="B123" s="118"/>
      <c r="C123" s="3"/>
      <c r="D123" s="3"/>
      <c r="E123" s="3"/>
      <c r="F123" s="3"/>
      <c r="G123" s="3"/>
      <c r="H123" s="3"/>
      <c r="I123" s="3"/>
      <c r="J123" s="3"/>
      <c r="K123" s="3"/>
      <c r="L123" s="11">
        <f t="shared" si="37"/>
        <v>6</v>
      </c>
      <c r="M123" s="11">
        <f t="shared" si="35"/>
        <v>125</v>
      </c>
      <c r="N123" s="11">
        <f t="shared" si="36"/>
        <v>27.880082733000094</v>
      </c>
    </row>
    <row r="124" spans="1:14" x14ac:dyDescent="0.25">
      <c r="B124" s="3"/>
      <c r="C124" s="3"/>
      <c r="D124" s="3"/>
      <c r="E124" s="3"/>
      <c r="F124" s="3"/>
      <c r="G124" s="3"/>
      <c r="H124" s="3"/>
      <c r="I124" s="3"/>
      <c r="J124" s="3"/>
      <c r="K124" s="3"/>
      <c r="L124" s="11">
        <f t="shared" si="37"/>
        <v>7</v>
      </c>
      <c r="M124" s="11">
        <f t="shared" si="35"/>
        <v>160</v>
      </c>
      <c r="N124" s="11">
        <f t="shared" si="36"/>
        <v>31.720099532500878</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-11.767742998078067</v>
      </c>
      <c r="C126" s="107">
        <v>-7.8587380955255552</v>
      </c>
      <c r="D126" s="107">
        <v>-4.6620536661082976</v>
      </c>
      <c r="E126" s="107">
        <v>3.4678619420300055E-5</v>
      </c>
      <c r="F126" s="107">
        <v>9.1725755939683662</v>
      </c>
      <c r="G126" s="107">
        <v>27.880082733000094</v>
      </c>
      <c r="H126" s="107">
        <v>31.720099532500878</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7287.2891982852598</v>
      </c>
      <c r="C131" s="27">
        <f t="shared" ref="C131:AF131" si="40">($C$17+SUM(C132:C162))*$B$51</f>
        <v>7287.2891982852598</v>
      </c>
      <c r="D131" s="27">
        <f t="shared" si="40"/>
        <v>7287.289198285258</v>
      </c>
      <c r="E131" s="27">
        <f t="shared" si="40"/>
        <v>7287.2891982852398</v>
      </c>
      <c r="F131" s="27">
        <f t="shared" si="40"/>
        <v>7287.289198285056</v>
      </c>
      <c r="G131" s="27">
        <f t="shared" si="40"/>
        <v>7287.2891982832152</v>
      </c>
      <c r="H131" s="27">
        <f t="shared" si="40"/>
        <v>7287.2891982648189</v>
      </c>
      <c r="I131" s="27">
        <f t="shared" si="40"/>
        <v>7287.2891980808481</v>
      </c>
      <c r="J131" s="27">
        <f t="shared" si="40"/>
        <v>7287.2891962411331</v>
      </c>
      <c r="K131" s="27">
        <f t="shared" si="40"/>
        <v>7287.2891778440098</v>
      </c>
      <c r="L131" s="27">
        <f t="shared" si="40"/>
        <v>7287.2889938730132</v>
      </c>
      <c r="M131" s="27">
        <f t="shared" si="40"/>
        <v>7287.2871541884506</v>
      </c>
      <c r="N131" s="27">
        <f t="shared" si="40"/>
        <v>7287.2687598802695</v>
      </c>
      <c r="O131" s="27">
        <f t="shared" si="40"/>
        <v>7287.0850699421007</v>
      </c>
      <c r="P131" s="27">
        <f t="shared" si="40"/>
        <v>7285.2728950028704</v>
      </c>
      <c r="Q131" s="27">
        <f t="shared" si="40"/>
        <v>7269.1408891441988</v>
      </c>
      <c r="R131" s="27">
        <f t="shared" si="40"/>
        <v>7173.3324241028331</v>
      </c>
      <c r="S131" s="27">
        <f t="shared" si="40"/>
        <v>7026.4594206203365</v>
      </c>
      <c r="T131" s="27">
        <f t="shared" si="40"/>
        <v>6876.1209653021751</v>
      </c>
      <c r="U131" s="27">
        <f t="shared" si="40"/>
        <v>6687.6358212316081</v>
      </c>
      <c r="V131" s="27">
        <f t="shared" si="40"/>
        <v>6482.7483420744393</v>
      </c>
      <c r="W131" s="27">
        <f t="shared" si="40"/>
        <v>6227.8538133271104</v>
      </c>
      <c r="X131" s="27">
        <f t="shared" si="40"/>
        <v>5801.3031964325774</v>
      </c>
      <c r="Y131" s="27">
        <f t="shared" si="40"/>
        <v>4995.3802632661282</v>
      </c>
      <c r="Z131" s="27">
        <f t="shared" si="40"/>
        <v>4125.4819038591531</v>
      </c>
      <c r="AA131" s="27">
        <f t="shared" si="40"/>
        <v>3441.3026565135769</v>
      </c>
      <c r="AB131" s="27">
        <f t="shared" si="40"/>
        <v>2910.1012990563186</v>
      </c>
      <c r="AC131" s="27">
        <f t="shared" si="40"/>
        <v>2454.8348838673942</v>
      </c>
      <c r="AD131" s="27">
        <f t="shared" si="40"/>
        <v>1978.7115676059273</v>
      </c>
      <c r="AE131" s="27">
        <f t="shared" si="40"/>
        <v>1491.179203856959</v>
      </c>
      <c r="AF131" s="27">
        <f t="shared" si="40"/>
        <v>986.26586961335408</v>
      </c>
    </row>
    <row r="132" spans="1:33" x14ac:dyDescent="0.25">
      <c r="B132" s="3">
        <f t="shared" ref="B132:Z133" si="41">$C18*EXP(-B$129/$A18/EXP(-$B$126))</f>
        <v>0</v>
      </c>
      <c r="C132" s="3">
        <f t="shared" ref="C132:AF132" si="42">$C18*EXP(-C$129/$A18/EXP(-$B$126))</f>
        <v>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8.2357212069048686E-4</v>
      </c>
      <c r="C141" s="3">
        <f t="shared" si="59"/>
        <v>8.2357212069048046E-4</v>
      </c>
      <c r="D141" s="3">
        <f t="shared" si="59"/>
        <v>8.2357212069041595E-4</v>
      </c>
      <c r="E141" s="3">
        <f t="shared" si="59"/>
        <v>8.2357212068977063E-4</v>
      </c>
      <c r="F141" s="3">
        <f t="shared" si="59"/>
        <v>8.2357212068331779E-4</v>
      </c>
      <c r="G141" s="3">
        <f t="shared" si="59"/>
        <v>8.23572120618789E-4</v>
      </c>
      <c r="H141" s="3">
        <f t="shared" si="59"/>
        <v>8.2357211997350212E-4</v>
      </c>
      <c r="I141" s="3">
        <f t="shared" si="59"/>
        <v>8.2357211352063176E-4</v>
      </c>
      <c r="J141" s="3">
        <f t="shared" si="59"/>
        <v>8.2357204899193188E-4</v>
      </c>
      <c r="K141" s="3">
        <f t="shared" si="59"/>
        <v>8.2357140370521167E-4</v>
      </c>
      <c r="L141" s="3">
        <f t="shared" si="59"/>
        <v>8.2356495086581701E-4</v>
      </c>
      <c r="M141" s="3">
        <f t="shared" si="59"/>
        <v>8.2350042525256267E-4</v>
      </c>
      <c r="N141" s="3">
        <f t="shared" si="59"/>
        <v>8.2285544710865343E-4</v>
      </c>
      <c r="O141" s="3">
        <f t="shared" si="59"/>
        <v>8.1643338411179617E-4</v>
      </c>
      <c r="P141" s="3">
        <f t="shared" si="59"/>
        <v>7.5490589813490439E-4</v>
      </c>
      <c r="Q141" s="3">
        <f t="shared" si="59"/>
        <v>3.448366808741985E-4</v>
      </c>
      <c r="R141" s="3">
        <f t="shared" si="59"/>
        <v>1.3640171579041288E-7</v>
      </c>
      <c r="S141" s="3">
        <f t="shared" si="59"/>
        <v>1.2790384606810396E-41</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2.4665844117639602E-2</v>
      </c>
      <c r="C142" s="3">
        <f t="shared" si="61"/>
        <v>2.4665844117639585E-2</v>
      </c>
      <c r="D142" s="3">
        <f t="shared" si="61"/>
        <v>2.4665844117639411E-2</v>
      </c>
      <c r="E142" s="3">
        <f t="shared" si="61"/>
        <v>2.466584411763767E-2</v>
      </c>
      <c r="F142" s="3">
        <f t="shared" si="61"/>
        <v>2.4665844117620232E-2</v>
      </c>
      <c r="G142" s="3">
        <f t="shared" si="61"/>
        <v>2.4665844117445896E-2</v>
      </c>
      <c r="H142" s="3">
        <f t="shared" si="61"/>
        <v>2.4665844115702506E-2</v>
      </c>
      <c r="I142" s="3">
        <f t="shared" si="61"/>
        <v>2.4665844098268636E-2</v>
      </c>
      <c r="J142" s="3">
        <f t="shared" si="61"/>
        <v>2.4665843923929908E-2</v>
      </c>
      <c r="K142" s="3">
        <f t="shared" si="61"/>
        <v>2.4665842180542706E-2</v>
      </c>
      <c r="L142" s="3">
        <f t="shared" si="61"/>
        <v>2.4665824746677459E-2</v>
      </c>
      <c r="M142" s="3">
        <f t="shared" si="61"/>
        <v>2.4665650408702722E-2</v>
      </c>
      <c r="N142" s="3">
        <f t="shared" si="61"/>
        <v>2.4663907096726043E-2</v>
      </c>
      <c r="O142" s="3">
        <f t="shared" si="61"/>
        <v>2.4646480752255062E-2</v>
      </c>
      <c r="P142" s="3">
        <f t="shared" si="61"/>
        <v>2.4472893068621163E-2</v>
      </c>
      <c r="Q142" s="3">
        <f t="shared" si="61"/>
        <v>2.2802858025941012E-2</v>
      </c>
      <c r="R142" s="3">
        <f t="shared" si="61"/>
        <v>1.1246800459652257E-2</v>
      </c>
      <c r="S142" s="3">
        <f t="shared" si="61"/>
        <v>9.5813357036990687E-6</v>
      </c>
      <c r="T142" s="3">
        <f t="shared" si="61"/>
        <v>1.9292865044908519E-36</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1.6291197925316764E-2</v>
      </c>
      <c r="C143" s="3">
        <f t="shared" si="63"/>
        <v>1.6291197925316761E-2</v>
      </c>
      <c r="D143" s="3">
        <f t="shared" si="63"/>
        <v>1.6291197925316754E-2</v>
      </c>
      <c r="E143" s="3">
        <f t="shared" si="63"/>
        <v>1.629119792531665E-2</v>
      </c>
      <c r="F143" s="3">
        <f t="shared" si="63"/>
        <v>1.6291197925315609E-2</v>
      </c>
      <c r="G143" s="3">
        <f t="shared" si="63"/>
        <v>1.6291197925305222E-2</v>
      </c>
      <c r="H143" s="3">
        <f t="shared" si="63"/>
        <v>1.6291197925201353E-2</v>
      </c>
      <c r="I143" s="3">
        <f t="shared" si="63"/>
        <v>1.6291197924162636E-2</v>
      </c>
      <c r="J143" s="3">
        <f t="shared" si="63"/>
        <v>1.6291197913775458E-2</v>
      </c>
      <c r="K143" s="3">
        <f t="shared" si="63"/>
        <v>1.6291197809903697E-2</v>
      </c>
      <c r="L143" s="3">
        <f t="shared" si="63"/>
        <v>1.6291196771186109E-2</v>
      </c>
      <c r="M143" s="3">
        <f t="shared" si="63"/>
        <v>1.6291186384013907E-2</v>
      </c>
      <c r="N143" s="3">
        <f t="shared" si="63"/>
        <v>1.6291082512656124E-2</v>
      </c>
      <c r="O143" s="3">
        <f t="shared" si="63"/>
        <v>1.6290043835502775E-2</v>
      </c>
      <c r="P143" s="3">
        <f t="shared" si="63"/>
        <v>1.6279660705557534E-2</v>
      </c>
      <c r="Q143" s="3">
        <f t="shared" si="63"/>
        <v>1.617619270730597E-2</v>
      </c>
      <c r="R143" s="3">
        <f t="shared" si="63"/>
        <v>1.5177000202288465E-2</v>
      </c>
      <c r="S143" s="3">
        <f t="shared" si="63"/>
        <v>8.0219918924412884E-3</v>
      </c>
      <c r="T143" s="3">
        <f t="shared" si="63"/>
        <v>1.3653531818115522E-5</v>
      </c>
      <c r="U143" s="3">
        <f t="shared" si="63"/>
        <v>2.7853058220673585E-33</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2.6847553865855696E-2</v>
      </c>
      <c r="C144" s="3">
        <f t="shared" si="65"/>
        <v>2.6847553865855696E-2</v>
      </c>
      <c r="D144" s="3">
        <f t="shared" si="65"/>
        <v>2.6847553865855692E-2</v>
      </c>
      <c r="E144" s="3">
        <f t="shared" si="65"/>
        <v>2.6847553865855679E-2</v>
      </c>
      <c r="F144" s="3">
        <f t="shared" si="65"/>
        <v>2.6847553865855522E-2</v>
      </c>
      <c r="G144" s="3">
        <f t="shared" si="65"/>
        <v>2.6847553865853978E-2</v>
      </c>
      <c r="H144" s="3">
        <f t="shared" si="65"/>
        <v>2.6847553865838539E-2</v>
      </c>
      <c r="I144" s="3">
        <f t="shared" si="65"/>
        <v>2.6847553865684121E-2</v>
      </c>
      <c r="J144" s="3">
        <f t="shared" si="65"/>
        <v>2.684755386413995E-2</v>
      </c>
      <c r="K144" s="3">
        <f t="shared" si="65"/>
        <v>2.6847553848698223E-2</v>
      </c>
      <c r="L144" s="3">
        <f t="shared" si="65"/>
        <v>2.684755369428098E-2</v>
      </c>
      <c r="M144" s="3">
        <f t="shared" si="65"/>
        <v>2.6847552150108606E-2</v>
      </c>
      <c r="N144" s="3">
        <f t="shared" si="65"/>
        <v>2.6847536708389737E-2</v>
      </c>
      <c r="O144" s="3">
        <f t="shared" si="65"/>
        <v>2.6847382291689523E-2</v>
      </c>
      <c r="P144" s="3">
        <f t="shared" si="65"/>
        <v>2.6845838173534513E-2</v>
      </c>
      <c r="Q144" s="3">
        <f t="shared" si="65"/>
        <v>2.6830401875660739E-2</v>
      </c>
      <c r="R144" s="3">
        <f t="shared" si="65"/>
        <v>2.6676526226850742E-2</v>
      </c>
      <c r="S144" s="3">
        <f t="shared" si="65"/>
        <v>2.5185481405143099E-2</v>
      </c>
      <c r="T144" s="3">
        <f t="shared" si="65"/>
        <v>1.4169680696853952E-2</v>
      </c>
      <c r="U144" s="3">
        <f t="shared" si="65"/>
        <v>4.5025457769803052E-5</v>
      </c>
      <c r="V144" s="3">
        <f t="shared" si="65"/>
        <v>4.7254031650932745E-30</v>
      </c>
      <c r="W144" s="3">
        <f t="shared" si="65"/>
        <v>7.6603070320495035E-280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2.5906186741603665E-2</v>
      </c>
      <c r="C145" s="3">
        <f t="shared" si="68"/>
        <v>2.5906186741603665E-2</v>
      </c>
      <c r="D145" s="3">
        <f t="shared" si="68"/>
        <v>2.5906186741603665E-2</v>
      </c>
      <c r="E145" s="3">
        <f t="shared" si="68"/>
        <v>2.5906186741603662E-2</v>
      </c>
      <c r="F145" s="3">
        <f t="shared" si="68"/>
        <v>2.5906186741603651E-2</v>
      </c>
      <c r="G145" s="3">
        <f t="shared" si="68"/>
        <v>2.5906186741603516E-2</v>
      </c>
      <c r="H145" s="3">
        <f t="shared" si="68"/>
        <v>2.5906186741602173E-2</v>
      </c>
      <c r="I145" s="3">
        <f t="shared" si="68"/>
        <v>2.5906186741588729E-2</v>
      </c>
      <c r="J145" s="3">
        <f t="shared" si="68"/>
        <v>2.5906186741454316E-2</v>
      </c>
      <c r="K145" s="3">
        <f t="shared" si="68"/>
        <v>2.590618674011019E-2</v>
      </c>
      <c r="L145" s="3">
        <f t="shared" si="68"/>
        <v>2.5906186726668889E-2</v>
      </c>
      <c r="M145" s="3">
        <f t="shared" si="68"/>
        <v>2.590618659225593E-2</v>
      </c>
      <c r="N145" s="3">
        <f t="shared" si="68"/>
        <v>2.5906185248126344E-2</v>
      </c>
      <c r="O145" s="3">
        <f t="shared" si="68"/>
        <v>2.5906171806834317E-2</v>
      </c>
      <c r="P145" s="3">
        <f t="shared" si="68"/>
        <v>2.5906037394297619E-2</v>
      </c>
      <c r="Q145" s="3">
        <f t="shared" si="68"/>
        <v>2.5904693307286546E-2</v>
      </c>
      <c r="R145" s="3">
        <f t="shared" si="68"/>
        <v>2.5891256272030167E-2</v>
      </c>
      <c r="S145" s="3">
        <f t="shared" si="68"/>
        <v>2.5757268669734826E-2</v>
      </c>
      <c r="T145" s="3">
        <f t="shared" si="68"/>
        <v>2.4454942983826014E-2</v>
      </c>
      <c r="U145" s="3">
        <f t="shared" si="68"/>
        <v>1.4555767845165846E-2</v>
      </c>
      <c r="V145" s="3">
        <f t="shared" si="68"/>
        <v>8.1230621632381482E-5</v>
      </c>
      <c r="W145" s="3">
        <f t="shared" si="68"/>
        <v>2.3799418275897844E-27</v>
      </c>
      <c r="X145" s="3">
        <f t="shared" si="68"/>
        <v>1.1092565257482844E-252</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3.2694648537282267E-2</v>
      </c>
      <c r="C146" s="3">
        <f t="shared" si="70"/>
        <v>3.2694648537282267E-2</v>
      </c>
      <c r="D146" s="3">
        <f t="shared" si="70"/>
        <v>3.2694648537282267E-2</v>
      </c>
      <c r="E146" s="3">
        <f t="shared" si="70"/>
        <v>3.2694648537282267E-2</v>
      </c>
      <c r="F146" s="3">
        <f t="shared" si="70"/>
        <v>3.2694648537282267E-2</v>
      </c>
      <c r="G146" s="3">
        <f t="shared" si="70"/>
        <v>3.2694648537282246E-2</v>
      </c>
      <c r="H146" s="3">
        <f t="shared" si="70"/>
        <v>3.2694648537282094E-2</v>
      </c>
      <c r="I146" s="3">
        <f t="shared" si="70"/>
        <v>3.2694648537280567E-2</v>
      </c>
      <c r="J146" s="3">
        <f t="shared" si="70"/>
        <v>3.2694648537265267E-2</v>
      </c>
      <c r="K146" s="3">
        <f t="shared" si="70"/>
        <v>3.2694648537112236E-2</v>
      </c>
      <c r="L146" s="3">
        <f t="shared" si="70"/>
        <v>3.2694648535581995E-2</v>
      </c>
      <c r="M146" s="3">
        <f t="shared" si="70"/>
        <v>3.2694648520279548E-2</v>
      </c>
      <c r="N146" s="3">
        <f t="shared" si="70"/>
        <v>3.2694648367255059E-2</v>
      </c>
      <c r="O146" s="3">
        <f t="shared" si="70"/>
        <v>3.2694646837010254E-2</v>
      </c>
      <c r="P146" s="3">
        <f t="shared" si="70"/>
        <v>3.2694631534566129E-2</v>
      </c>
      <c r="Q146" s="3">
        <f t="shared" si="70"/>
        <v>3.2694478510518772E-2</v>
      </c>
      <c r="R146" s="3">
        <f t="shared" si="70"/>
        <v>3.2692948309436407E-2</v>
      </c>
      <c r="S146" s="3">
        <f t="shared" si="70"/>
        <v>3.267765023705347E-2</v>
      </c>
      <c r="T146" s="3">
        <f t="shared" si="70"/>
        <v>3.2525062676103063E-2</v>
      </c>
      <c r="U146" s="3">
        <f t="shared" si="70"/>
        <v>3.1037830933416194E-2</v>
      </c>
      <c r="V146" s="3">
        <f t="shared" si="70"/>
        <v>1.9436746629184754E-2</v>
      </c>
      <c r="W146" s="3">
        <f t="shared" si="70"/>
        <v>1.8027922224194277E-4</v>
      </c>
      <c r="X146" s="3">
        <f t="shared" si="70"/>
        <v>8.4950648717684412E-25</v>
      </c>
      <c r="Y146" s="3">
        <f t="shared" si="70"/>
        <v>4.5853969585570384E-228</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3.3282078428276948E-2</v>
      </c>
      <c r="C147" s="3">
        <f t="shared" si="72"/>
        <v>3.3282078428276948E-2</v>
      </c>
      <c r="D147" s="3">
        <f t="shared" si="72"/>
        <v>3.3282078428276948E-2</v>
      </c>
      <c r="E147" s="3">
        <f t="shared" si="72"/>
        <v>3.3282078428276948E-2</v>
      </c>
      <c r="F147" s="3">
        <f t="shared" si="72"/>
        <v>3.3282078428276948E-2</v>
      </c>
      <c r="G147" s="3">
        <f t="shared" si="72"/>
        <v>3.3282078428276948E-2</v>
      </c>
      <c r="H147" s="3">
        <f t="shared" si="72"/>
        <v>3.3282078428276934E-2</v>
      </c>
      <c r="I147" s="3">
        <f t="shared" si="72"/>
        <v>3.3282078428276796E-2</v>
      </c>
      <c r="J147" s="3">
        <f t="shared" si="72"/>
        <v>3.3282078428275387E-2</v>
      </c>
      <c r="K147" s="3">
        <f t="shared" si="72"/>
        <v>3.3282078428261336E-2</v>
      </c>
      <c r="L147" s="3">
        <f t="shared" si="72"/>
        <v>3.3282078428120816E-2</v>
      </c>
      <c r="M147" s="3">
        <f t="shared" si="72"/>
        <v>3.3282078426715607E-2</v>
      </c>
      <c r="N147" s="3">
        <f t="shared" si="72"/>
        <v>3.32820784126635E-2</v>
      </c>
      <c r="O147" s="3">
        <f t="shared" si="72"/>
        <v>3.3282078272142482E-2</v>
      </c>
      <c r="P147" s="3">
        <f t="shared" si="72"/>
        <v>3.3282076866932353E-2</v>
      </c>
      <c r="Q147" s="3">
        <f t="shared" si="72"/>
        <v>3.3282062814834285E-2</v>
      </c>
      <c r="R147" s="3">
        <f t="shared" si="72"/>
        <v>3.328192229417988E-2</v>
      </c>
      <c r="S147" s="3">
        <f t="shared" si="72"/>
        <v>3.3280517120266674E-2</v>
      </c>
      <c r="T147" s="3">
        <f t="shared" si="72"/>
        <v>3.3266468643701565E-2</v>
      </c>
      <c r="U147" s="3">
        <f t="shared" si="72"/>
        <v>3.312630962565085E-2</v>
      </c>
      <c r="V147" s="3">
        <f t="shared" si="72"/>
        <v>3.1756791022973845E-2</v>
      </c>
      <c r="W147" s="3">
        <f t="shared" si="72"/>
        <v>2.0819589129261844E-2</v>
      </c>
      <c r="X147" s="3">
        <f t="shared" si="72"/>
        <v>3.0537085733821833E-4</v>
      </c>
      <c r="Y147" s="3">
        <f t="shared" si="72"/>
        <v>1.4072845728953094E-22</v>
      </c>
      <c r="Z147" s="3">
        <f t="shared" si="72"/>
        <v>6.0803042481497172E-206</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0.1075539898267141</v>
      </c>
      <c r="C148" s="3">
        <f t="shared" si="74"/>
        <v>0.1075539898267141</v>
      </c>
      <c r="D148" s="3">
        <f t="shared" si="74"/>
        <v>0.1075539898267141</v>
      </c>
      <c r="E148" s="3">
        <f t="shared" si="74"/>
        <v>0.1075539898267141</v>
      </c>
      <c r="F148" s="3">
        <f t="shared" si="74"/>
        <v>0.1075539898267141</v>
      </c>
      <c r="G148" s="3">
        <f t="shared" si="74"/>
        <v>0.1075539898267141</v>
      </c>
      <c r="H148" s="3">
        <f t="shared" si="74"/>
        <v>0.1075539898267141</v>
      </c>
      <c r="I148" s="3">
        <f t="shared" si="74"/>
        <v>0.10755398982671406</v>
      </c>
      <c r="J148" s="3">
        <f t="shared" si="74"/>
        <v>0.10755398982671364</v>
      </c>
      <c r="K148" s="3">
        <f t="shared" si="74"/>
        <v>0.10755398982670955</v>
      </c>
      <c r="L148" s="3">
        <f t="shared" si="74"/>
        <v>0.10755398982666858</v>
      </c>
      <c r="M148" s="3">
        <f t="shared" si="74"/>
        <v>0.10755398982625894</v>
      </c>
      <c r="N148" s="3">
        <f t="shared" si="74"/>
        <v>0.10755398982216254</v>
      </c>
      <c r="O148" s="3">
        <f t="shared" si="74"/>
        <v>0.10755398978119837</v>
      </c>
      <c r="P148" s="3">
        <f t="shared" si="74"/>
        <v>0.10755398937155687</v>
      </c>
      <c r="Q148" s="3">
        <f t="shared" si="74"/>
        <v>0.10755398527514183</v>
      </c>
      <c r="R148" s="3">
        <f t="shared" si="74"/>
        <v>0.10755394431100011</v>
      </c>
      <c r="S148" s="3">
        <f t="shared" si="74"/>
        <v>0.10755353467044101</v>
      </c>
      <c r="T148" s="3">
        <f t="shared" si="74"/>
        <v>0.10754943835065983</v>
      </c>
      <c r="U148" s="3">
        <f t="shared" si="74"/>
        <v>0.10750848373262684</v>
      </c>
      <c r="V148" s="3">
        <f t="shared" si="74"/>
        <v>0.10709979432231684</v>
      </c>
      <c r="W148" s="3">
        <f t="shared" si="74"/>
        <v>0.10309738204451881</v>
      </c>
      <c r="X148" s="3">
        <f t="shared" si="74"/>
        <v>7.0442967525502484E-2</v>
      </c>
      <c r="Y148" s="3">
        <f t="shared" si="74"/>
        <v>1.5622038358490413E-3</v>
      </c>
      <c r="Z148" s="3">
        <f t="shared" si="74"/>
        <v>4.4950887190977749E-20</v>
      </c>
      <c r="AA148" s="3">
        <f>$C34*EXP(-AA$129/$A34/EXP(-$B$126))</f>
        <v>1.7488153120123988E-185</v>
      </c>
      <c r="AB148" s="3">
        <f t="shared" si="67"/>
        <v>0</v>
      </c>
      <c r="AC148" s="3">
        <f t="shared" si="67"/>
        <v>0</v>
      </c>
      <c r="AD148" s="3">
        <f t="shared" si="67"/>
        <v>0</v>
      </c>
      <c r="AE148" s="3">
        <f t="shared" si="67"/>
        <v>0</v>
      </c>
      <c r="AF148" s="3">
        <f t="shared" si="67"/>
        <v>0</v>
      </c>
    </row>
    <row r="149" spans="1:32" x14ac:dyDescent="0.25">
      <c r="B149" s="3">
        <f t="shared" ref="B149:Z149" si="75">$C35*EXP(-B$129/$A35/EXP(-$B$126))</f>
        <v>0.13355176295714186</v>
      </c>
      <c r="C149" s="3">
        <f t="shared" si="75"/>
        <v>0.13355176295714186</v>
      </c>
      <c r="D149" s="3">
        <f t="shared" si="75"/>
        <v>0.13355176295714186</v>
      </c>
      <c r="E149" s="3">
        <f t="shared" si="75"/>
        <v>0.13355176295714186</v>
      </c>
      <c r="F149" s="3">
        <f t="shared" si="75"/>
        <v>0.13355176295714186</v>
      </c>
      <c r="G149" s="3">
        <f t="shared" si="75"/>
        <v>0.13355176295714186</v>
      </c>
      <c r="H149" s="3">
        <f t="shared" si="75"/>
        <v>0.13355176295714186</v>
      </c>
      <c r="I149" s="3">
        <f t="shared" si="75"/>
        <v>0.13355176295714186</v>
      </c>
      <c r="J149" s="3">
        <f t="shared" si="75"/>
        <v>0.1335517629571418</v>
      </c>
      <c r="K149" s="3">
        <f t="shared" si="75"/>
        <v>0.13355176295714136</v>
      </c>
      <c r="L149" s="3">
        <f t="shared" si="75"/>
        <v>0.13355176295713675</v>
      </c>
      <c r="M149" s="3">
        <f t="shared" si="75"/>
        <v>0.13355176295709087</v>
      </c>
      <c r="N149" s="3">
        <f t="shared" si="75"/>
        <v>0.13355176295663201</v>
      </c>
      <c r="O149" s="3">
        <f t="shared" si="75"/>
        <v>0.13355176295204349</v>
      </c>
      <c r="P149" s="3">
        <f t="shared" si="75"/>
        <v>0.13355176290615817</v>
      </c>
      <c r="Q149" s="3">
        <f t="shared" si="75"/>
        <v>0.1335517624473051</v>
      </c>
      <c r="R149" s="3">
        <f t="shared" si="75"/>
        <v>0.13355175785877438</v>
      </c>
      <c r="S149" s="3">
        <f t="shared" si="75"/>
        <v>0.13355171197347598</v>
      </c>
      <c r="T149" s="3">
        <f t="shared" si="75"/>
        <v>0.13355125312135888</v>
      </c>
      <c r="U149" s="3">
        <f t="shared" si="75"/>
        <v>0.13354666468689505</v>
      </c>
      <c r="V149" s="3">
        <f t="shared" si="75"/>
        <v>0.13350078901185594</v>
      </c>
      <c r="W149" s="3">
        <f t="shared" si="75"/>
        <v>0.13304289812029832</v>
      </c>
      <c r="X149" s="3">
        <f t="shared" si="75"/>
        <v>0.12854948442075853</v>
      </c>
      <c r="Y149" s="3">
        <f t="shared" si="75"/>
        <v>9.117100947479409E-2</v>
      </c>
      <c r="Z149" s="3">
        <f t="shared" si="75"/>
        <v>2.9357630957472011E-3</v>
      </c>
      <c r="AA149" s="3">
        <f t="shared" ref="AA149" si="76">$C35*EXP(-AA$129/$A35/EXP(-$B$126))</f>
        <v>3.5185476798445262E-18</v>
      </c>
      <c r="AB149" s="3">
        <f t="shared" si="67"/>
        <v>2.1517300120135084E-167</v>
      </c>
      <c r="AC149" s="3">
        <f t="shared" si="67"/>
        <v>0</v>
      </c>
      <c r="AD149" s="3">
        <f t="shared" si="67"/>
        <v>0</v>
      </c>
      <c r="AE149" s="3">
        <f t="shared" si="67"/>
        <v>0</v>
      </c>
      <c r="AF149" s="3">
        <f t="shared" si="67"/>
        <v>0</v>
      </c>
    </row>
    <row r="150" spans="1:32" x14ac:dyDescent="0.25">
      <c r="B150" s="3">
        <f t="shared" ref="B150:Z150" si="77">$C36*EXP(-B$129/$A36/EXP(-$B$126))</f>
        <v>0.10276653551975504</v>
      </c>
      <c r="C150" s="3">
        <f t="shared" si="77"/>
        <v>0.10276653551975504</v>
      </c>
      <c r="D150" s="3">
        <f t="shared" si="77"/>
        <v>0.10276653551975504</v>
      </c>
      <c r="E150" s="3">
        <f t="shared" si="77"/>
        <v>0.10276653551975504</v>
      </c>
      <c r="F150" s="3">
        <f t="shared" si="77"/>
        <v>0.10276653551975504</v>
      </c>
      <c r="G150" s="3">
        <f t="shared" si="77"/>
        <v>0.10276653551975504</v>
      </c>
      <c r="H150" s="3">
        <f t="shared" si="77"/>
        <v>0.10276653551975504</v>
      </c>
      <c r="I150" s="3">
        <f t="shared" si="77"/>
        <v>0.10276653551975504</v>
      </c>
      <c r="J150" s="3">
        <f t="shared" si="77"/>
        <v>0.10276653551975504</v>
      </c>
      <c r="K150" s="3">
        <f t="shared" si="77"/>
        <v>0.10276653551975501</v>
      </c>
      <c r="L150" s="3">
        <f t="shared" si="77"/>
        <v>0.10276653551975469</v>
      </c>
      <c r="M150" s="3">
        <f t="shared" si="77"/>
        <v>0.1027665355197515</v>
      </c>
      <c r="N150" s="3">
        <f t="shared" si="77"/>
        <v>0.10276653551971965</v>
      </c>
      <c r="O150" s="3">
        <f t="shared" si="77"/>
        <v>0.10276653551940114</v>
      </c>
      <c r="P150" s="3">
        <f t="shared" si="77"/>
        <v>0.10276653551621605</v>
      </c>
      <c r="Q150" s="3">
        <f t="shared" si="77"/>
        <v>0.1027665354843651</v>
      </c>
      <c r="R150" s="3">
        <f t="shared" si="77"/>
        <v>0.10276653516585564</v>
      </c>
      <c r="S150" s="3">
        <f t="shared" si="77"/>
        <v>0.10276653198076112</v>
      </c>
      <c r="T150" s="3">
        <f t="shared" si="77"/>
        <v>0.10276650012982134</v>
      </c>
      <c r="U150" s="3">
        <f t="shared" si="77"/>
        <v>0.10276618162096661</v>
      </c>
      <c r="V150" s="3">
        <f t="shared" si="77"/>
        <v>0.10276299658671297</v>
      </c>
      <c r="W150" s="3">
        <f t="shared" si="77"/>
        <v>0.10273115167293234</v>
      </c>
      <c r="X150" s="3">
        <f t="shared" si="77"/>
        <v>0.10241324478867156</v>
      </c>
      <c r="Y150" s="3">
        <f t="shared" si="77"/>
        <v>9.9287784587766881E-2</v>
      </c>
      <c r="Z150" s="3">
        <f t="shared" si="77"/>
        <v>7.28270572738135E-2</v>
      </c>
      <c r="AA150" s="3">
        <f t="shared" ref="AA150" si="78">$C36*EXP(-AA$129/$A36/EXP(-$B$126))</f>
        <v>3.2829341795973881E-3</v>
      </c>
      <c r="AB150" s="3">
        <f t="shared" si="67"/>
        <v>1.1375128551057241E-16</v>
      </c>
      <c r="AC150" s="3">
        <f t="shared" si="67"/>
        <v>2.8372505670312025E-151</v>
      </c>
      <c r="AD150" s="3">
        <f t="shared" si="67"/>
        <v>0</v>
      </c>
      <c r="AE150" s="3">
        <f t="shared" si="67"/>
        <v>0</v>
      </c>
      <c r="AF150" s="3">
        <f t="shared" si="67"/>
        <v>0</v>
      </c>
    </row>
    <row r="151" spans="1:32" x14ac:dyDescent="0.25">
      <c r="B151" s="3">
        <f t="shared" ref="B151:Z151" si="79">$C37*EXP(-B$129/$A37/EXP(-$B$126))</f>
        <v>8.2308697100650766E-2</v>
      </c>
      <c r="C151" s="3">
        <f t="shared" si="79"/>
        <v>8.2308697100650766E-2</v>
      </c>
      <c r="D151" s="3">
        <f t="shared" si="79"/>
        <v>8.2308697100650766E-2</v>
      </c>
      <c r="E151" s="3">
        <f t="shared" si="79"/>
        <v>8.2308697100650766E-2</v>
      </c>
      <c r="F151" s="3">
        <f t="shared" si="79"/>
        <v>8.2308697100650766E-2</v>
      </c>
      <c r="G151" s="3">
        <f t="shared" si="79"/>
        <v>8.2308697100650766E-2</v>
      </c>
      <c r="H151" s="3">
        <f t="shared" si="79"/>
        <v>8.2308697100650766E-2</v>
      </c>
      <c r="I151" s="3">
        <f t="shared" si="79"/>
        <v>8.2308697100650766E-2</v>
      </c>
      <c r="J151" s="3">
        <f t="shared" si="79"/>
        <v>8.2308697100650766E-2</v>
      </c>
      <c r="K151" s="3">
        <f t="shared" si="79"/>
        <v>8.2308697100650766E-2</v>
      </c>
      <c r="L151" s="3">
        <f t="shared" si="79"/>
        <v>8.2308697100650738E-2</v>
      </c>
      <c r="M151" s="3">
        <f t="shared" si="79"/>
        <v>8.2308697100650516E-2</v>
      </c>
      <c r="N151" s="3">
        <f t="shared" si="79"/>
        <v>8.2308697100648212E-2</v>
      </c>
      <c r="O151" s="3">
        <f t="shared" si="79"/>
        <v>8.2308697100625203E-2</v>
      </c>
      <c r="P151" s="3">
        <f t="shared" si="79"/>
        <v>8.2308697100395067E-2</v>
      </c>
      <c r="Q151" s="3">
        <f t="shared" si="79"/>
        <v>8.2308697098093825E-2</v>
      </c>
      <c r="R151" s="3">
        <f t="shared" si="79"/>
        <v>8.2308697075081372E-2</v>
      </c>
      <c r="S151" s="3">
        <f t="shared" si="79"/>
        <v>8.2308696844956827E-2</v>
      </c>
      <c r="T151" s="3">
        <f t="shared" si="79"/>
        <v>8.2308694543711466E-2</v>
      </c>
      <c r="U151" s="3">
        <f t="shared" si="79"/>
        <v>8.2308671531261299E-2</v>
      </c>
      <c r="V151" s="3">
        <f t="shared" si="79"/>
        <v>8.230844140711345E-2</v>
      </c>
      <c r="W151" s="3">
        <f t="shared" si="79"/>
        <v>8.2306140201021588E-2</v>
      </c>
      <c r="X151" s="3">
        <f t="shared" si="79"/>
        <v>8.2283131678388799E-2</v>
      </c>
      <c r="Y151" s="3">
        <f t="shared" si="79"/>
        <v>8.2053399914893563E-2</v>
      </c>
      <c r="Z151" s="3">
        <f t="shared" si="79"/>
        <v>7.9791065634061215E-2</v>
      </c>
      <c r="AA151" s="3">
        <f t="shared" ref="AA151" si="80">$C37*EXP(-AA$129/$A37/EXP(-$B$126))</f>
        <v>6.0329692048300437E-2</v>
      </c>
      <c r="AB151" s="3">
        <f t="shared" si="67"/>
        <v>3.683829664257511E-3</v>
      </c>
      <c r="AC151" s="3">
        <f t="shared" si="67"/>
        <v>2.6545069300361495E-15</v>
      </c>
      <c r="AD151" s="3">
        <f t="shared" si="67"/>
        <v>1.0019062614993973E-136</v>
      </c>
      <c r="AE151" s="3">
        <f t="shared" si="67"/>
        <v>0</v>
      </c>
      <c r="AF151" s="3">
        <f t="shared" si="67"/>
        <v>0</v>
      </c>
    </row>
    <row r="152" spans="1:32" x14ac:dyDescent="0.25">
      <c r="B152" s="3">
        <f t="shared" ref="B152:Z152" si="81">$C38*EXP(-B$129/$A38/EXP(-$B$126))</f>
        <v>3.7013792035783422E-2</v>
      </c>
      <c r="C152" s="3">
        <f t="shared" si="81"/>
        <v>3.7013792035783422E-2</v>
      </c>
      <c r="D152" s="3">
        <f t="shared" si="81"/>
        <v>3.7013792035783422E-2</v>
      </c>
      <c r="E152" s="3">
        <f t="shared" si="81"/>
        <v>3.7013792035783422E-2</v>
      </c>
      <c r="F152" s="3">
        <f t="shared" si="81"/>
        <v>3.7013792035783422E-2</v>
      </c>
      <c r="G152" s="3">
        <f t="shared" si="81"/>
        <v>3.7013792035783422E-2</v>
      </c>
      <c r="H152" s="3">
        <f t="shared" si="81"/>
        <v>3.7013792035783422E-2</v>
      </c>
      <c r="I152" s="3">
        <f t="shared" si="81"/>
        <v>3.7013792035783422E-2</v>
      </c>
      <c r="J152" s="3">
        <f t="shared" si="81"/>
        <v>3.7013792035783422E-2</v>
      </c>
      <c r="K152" s="3">
        <f t="shared" si="81"/>
        <v>3.7013792035783422E-2</v>
      </c>
      <c r="L152" s="3">
        <f t="shared" si="81"/>
        <v>3.7013792035783422E-2</v>
      </c>
      <c r="M152" s="3">
        <f t="shared" si="81"/>
        <v>3.7013792035783408E-2</v>
      </c>
      <c r="N152" s="3">
        <f t="shared" si="81"/>
        <v>3.7013792035783318E-2</v>
      </c>
      <c r="O152" s="3">
        <f t="shared" si="81"/>
        <v>3.7013792035782388E-2</v>
      </c>
      <c r="P152" s="3">
        <f t="shared" si="81"/>
        <v>3.7013792035773048E-2</v>
      </c>
      <c r="Q152" s="3">
        <f t="shared" si="81"/>
        <v>3.7013792035679699E-2</v>
      </c>
      <c r="R152" s="3">
        <f t="shared" si="81"/>
        <v>3.7013792034746168E-2</v>
      </c>
      <c r="S152" s="3">
        <f t="shared" si="81"/>
        <v>3.7013792025410885E-2</v>
      </c>
      <c r="T152" s="3">
        <f t="shared" si="81"/>
        <v>3.7013791932058081E-2</v>
      </c>
      <c r="U152" s="3">
        <f t="shared" si="81"/>
        <v>3.7013790998530027E-2</v>
      </c>
      <c r="V152" s="3">
        <f t="shared" si="81"/>
        <v>3.7013781663250797E-2</v>
      </c>
      <c r="W152" s="3">
        <f t="shared" si="81"/>
        <v>3.7013688310588003E-2</v>
      </c>
      <c r="X152" s="3">
        <f t="shared" si="81"/>
        <v>3.7012754796909436E-2</v>
      </c>
      <c r="Y152" s="3">
        <f t="shared" si="81"/>
        <v>3.7003420954942079E-2</v>
      </c>
      <c r="Z152" s="3">
        <f t="shared" si="81"/>
        <v>3.6910211896353032E-2</v>
      </c>
      <c r="AA152" s="3">
        <f t="shared" ref="AA152" si="82">$C38*EXP(-AA$129/$A38/EXP(-$B$126))</f>
        <v>3.5990937511778995E-2</v>
      </c>
      <c r="AB152" s="3">
        <f t="shared" si="67"/>
        <v>2.7967868610568377E-2</v>
      </c>
      <c r="AC152" s="3">
        <f t="shared" si="67"/>
        <v>2.2455435505199773E-3</v>
      </c>
      <c r="AD152" s="3">
        <f t="shared" si="67"/>
        <v>2.5000149055280894E-14</v>
      </c>
      <c r="AE152" s="3">
        <f t="shared" si="67"/>
        <v>7.3139797818106039E-124</v>
      </c>
      <c r="AF152" s="3">
        <f t="shared" si="67"/>
        <v>0</v>
      </c>
    </row>
    <row r="153" spans="1:32" x14ac:dyDescent="0.25">
      <c r="B153" s="3">
        <f t="shared" ref="B153:Z153" si="83">$C39*EXP(-B$129/$A39/EXP(-$B$126))</f>
        <v>5.9919400803358086E-2</v>
      </c>
      <c r="C153" s="3">
        <f t="shared" si="83"/>
        <v>5.9919400803358086E-2</v>
      </c>
      <c r="D153" s="3">
        <f t="shared" si="83"/>
        <v>5.9919400803358086E-2</v>
      </c>
      <c r="E153" s="3">
        <f t="shared" si="83"/>
        <v>5.9919400803358086E-2</v>
      </c>
      <c r="F153" s="3">
        <f t="shared" si="83"/>
        <v>5.9919400803358086E-2</v>
      </c>
      <c r="G153" s="3">
        <f t="shared" si="83"/>
        <v>5.9919400803358086E-2</v>
      </c>
      <c r="H153" s="3">
        <f t="shared" si="83"/>
        <v>5.9919400803358086E-2</v>
      </c>
      <c r="I153" s="3">
        <f t="shared" si="83"/>
        <v>5.9919400803358086E-2</v>
      </c>
      <c r="J153" s="3">
        <f t="shared" si="83"/>
        <v>5.9919400803358086E-2</v>
      </c>
      <c r="K153" s="3">
        <f t="shared" si="83"/>
        <v>5.9919400803358086E-2</v>
      </c>
      <c r="L153" s="3">
        <f t="shared" si="83"/>
        <v>5.9919400803358086E-2</v>
      </c>
      <c r="M153" s="3">
        <f t="shared" si="83"/>
        <v>5.9919400803358079E-2</v>
      </c>
      <c r="N153" s="3">
        <f t="shared" si="83"/>
        <v>5.9919400803358037E-2</v>
      </c>
      <c r="O153" s="3">
        <f t="shared" si="83"/>
        <v>5.9919400803357621E-2</v>
      </c>
      <c r="P153" s="3">
        <f t="shared" si="83"/>
        <v>5.9919400803353444E-2</v>
      </c>
      <c r="Q153" s="3">
        <f t="shared" si="83"/>
        <v>5.9919400803311644E-2</v>
      </c>
      <c r="R153" s="3">
        <f t="shared" si="83"/>
        <v>5.9919400802893673E-2</v>
      </c>
      <c r="S153" s="3">
        <f t="shared" si="83"/>
        <v>5.9919400798713988E-2</v>
      </c>
      <c r="T153" s="3">
        <f t="shared" si="83"/>
        <v>5.9919400756917082E-2</v>
      </c>
      <c r="U153" s="3">
        <f t="shared" si="83"/>
        <v>5.9919400338948034E-2</v>
      </c>
      <c r="V153" s="3">
        <f t="shared" si="83"/>
        <v>5.9919396159257725E-2</v>
      </c>
      <c r="W153" s="3">
        <f t="shared" si="83"/>
        <v>5.9919354362370683E-2</v>
      </c>
      <c r="X153" s="3">
        <f t="shared" si="83"/>
        <v>5.9918936395103768E-2</v>
      </c>
      <c r="Y153" s="3">
        <f t="shared" si="83"/>
        <v>5.9914756882785448E-2</v>
      </c>
      <c r="Z153" s="3">
        <f t="shared" si="83"/>
        <v>5.9872977790540259E-2</v>
      </c>
      <c r="AA153" s="3">
        <f t="shared" ref="AA153" si="84">$C39*EXP(-AA$129/$A39/EXP(-$B$126))</f>
        <v>5.9456785832110712E-2</v>
      </c>
      <c r="AB153" s="3">
        <f t="shared" si="67"/>
        <v>5.5450711687125523E-2</v>
      </c>
      <c r="AC153" s="3">
        <f t="shared" si="67"/>
        <v>2.7603496010482367E-2</v>
      </c>
      <c r="AD153" s="3">
        <f t="shared" si="67"/>
        <v>2.5794893436695138E-5</v>
      </c>
      <c r="AE153" s="3">
        <f t="shared" si="67"/>
        <v>1.3098761206092678E-35</v>
      </c>
      <c r="AF153" s="3">
        <f t="shared" si="67"/>
        <v>0</v>
      </c>
    </row>
    <row r="154" spans="1:32" x14ac:dyDescent="0.25">
      <c r="B154" s="3">
        <f t="shared" ref="B154:Z154" si="85">$C40*EXP(-B$129/$A40/EXP(-$B$126))</f>
        <v>6.4670451984415095E-2</v>
      </c>
      <c r="C154" s="3">
        <f t="shared" si="85"/>
        <v>6.4670451984415095E-2</v>
      </c>
      <c r="D154" s="3">
        <f t="shared" si="85"/>
        <v>6.4670451984415095E-2</v>
      </c>
      <c r="E154" s="3">
        <f t="shared" si="85"/>
        <v>6.4670451984415095E-2</v>
      </c>
      <c r="F154" s="3">
        <f t="shared" si="85"/>
        <v>6.4670451984415095E-2</v>
      </c>
      <c r="G154" s="3">
        <f t="shared" si="85"/>
        <v>6.4670451984415095E-2</v>
      </c>
      <c r="H154" s="3">
        <f t="shared" si="85"/>
        <v>6.4670451984415095E-2</v>
      </c>
      <c r="I154" s="3">
        <f t="shared" si="85"/>
        <v>6.4670451984415095E-2</v>
      </c>
      <c r="J154" s="3">
        <f t="shared" si="85"/>
        <v>6.4670451984415095E-2</v>
      </c>
      <c r="K154" s="3">
        <f t="shared" si="85"/>
        <v>6.4670451984415095E-2</v>
      </c>
      <c r="L154" s="3">
        <f t="shared" si="85"/>
        <v>6.4670451984415095E-2</v>
      </c>
      <c r="M154" s="3">
        <f t="shared" si="85"/>
        <v>6.4670451984415095E-2</v>
      </c>
      <c r="N154" s="3">
        <f t="shared" si="85"/>
        <v>6.4670451984415081E-2</v>
      </c>
      <c r="O154" s="3">
        <f t="shared" si="85"/>
        <v>6.4670451984415039E-2</v>
      </c>
      <c r="P154" s="3">
        <f t="shared" si="85"/>
        <v>6.4670451984414595E-2</v>
      </c>
      <c r="Q154" s="3">
        <f t="shared" si="85"/>
        <v>6.4670451984410085E-2</v>
      </c>
      <c r="R154" s="3">
        <f t="shared" si="85"/>
        <v>6.4670451984364968E-2</v>
      </c>
      <c r="S154" s="3">
        <f t="shared" si="85"/>
        <v>6.4670451983913857E-2</v>
      </c>
      <c r="T154" s="3">
        <f t="shared" si="85"/>
        <v>6.4670451979402757E-2</v>
      </c>
      <c r="U154" s="3">
        <f t="shared" si="85"/>
        <v>6.4670451934291745E-2</v>
      </c>
      <c r="V154" s="3">
        <f t="shared" si="85"/>
        <v>6.4670451483181637E-2</v>
      </c>
      <c r="W154" s="3">
        <f t="shared" si="85"/>
        <v>6.467044697208077E-2</v>
      </c>
      <c r="X154" s="3">
        <f t="shared" si="85"/>
        <v>6.4670401861089327E-2</v>
      </c>
      <c r="Y154" s="3">
        <f t="shared" si="85"/>
        <v>6.4669950752905617E-2</v>
      </c>
      <c r="Z154" s="3">
        <f t="shared" si="85"/>
        <v>6.466543984413356E-2</v>
      </c>
      <c r="AA154" s="3">
        <f t="shared" ref="AA154:AF154" si="86">$C40*EXP(-AA$129/$A40/EXP(-$B$126))</f>
        <v>6.462034805845529E-2</v>
      </c>
      <c r="AB154" s="3">
        <f t="shared" si="86"/>
        <v>6.4171155948670219E-2</v>
      </c>
      <c r="AC154" s="3">
        <f t="shared" si="86"/>
        <v>5.984743738396868E-2</v>
      </c>
      <c r="AD154" s="3">
        <f t="shared" si="86"/>
        <v>2.9792196507543327E-2</v>
      </c>
      <c r="AE154" s="3">
        <f t="shared" si="86"/>
        <v>2.7840188571234966E-5</v>
      </c>
      <c r="AF154" s="3">
        <f t="shared" si="86"/>
        <v>1.413737113984059E-35</v>
      </c>
    </row>
    <row r="155" spans="1:32" x14ac:dyDescent="0.25">
      <c r="B155" s="3">
        <f t="shared" ref="B155:Z155" si="87">$C41*EXP(-B$129/$A41/EXP(-$B$126))</f>
        <v>6.7576207998846588E-2</v>
      </c>
      <c r="C155" s="3">
        <f t="shared" si="87"/>
        <v>6.7576207998846588E-2</v>
      </c>
      <c r="D155" s="3">
        <f t="shared" si="87"/>
        <v>6.7576207998846588E-2</v>
      </c>
      <c r="E155" s="3">
        <f t="shared" si="87"/>
        <v>6.7576207998846588E-2</v>
      </c>
      <c r="F155" s="3">
        <f t="shared" si="87"/>
        <v>6.7576207998846588E-2</v>
      </c>
      <c r="G155" s="3">
        <f t="shared" si="87"/>
        <v>6.7576207998846588E-2</v>
      </c>
      <c r="H155" s="3">
        <f t="shared" si="87"/>
        <v>6.7576207998846588E-2</v>
      </c>
      <c r="I155" s="3">
        <f t="shared" si="87"/>
        <v>6.7576207998846588E-2</v>
      </c>
      <c r="J155" s="3">
        <f t="shared" si="87"/>
        <v>6.7576207998846588E-2</v>
      </c>
      <c r="K155" s="3">
        <f t="shared" si="87"/>
        <v>6.7576207998846588E-2</v>
      </c>
      <c r="L155" s="3">
        <f t="shared" si="87"/>
        <v>6.7576207998846588E-2</v>
      </c>
      <c r="M155" s="3">
        <f t="shared" si="87"/>
        <v>6.7576207998846588E-2</v>
      </c>
      <c r="N155" s="3">
        <f t="shared" si="87"/>
        <v>6.7576207998846588E-2</v>
      </c>
      <c r="O155" s="3">
        <f t="shared" si="87"/>
        <v>6.7576207998846574E-2</v>
      </c>
      <c r="P155" s="3">
        <f t="shared" si="87"/>
        <v>6.7576207998846533E-2</v>
      </c>
      <c r="Q155" s="3">
        <f t="shared" si="87"/>
        <v>6.7576207998846061E-2</v>
      </c>
      <c r="R155" s="3">
        <f t="shared" si="87"/>
        <v>6.7576207998841356E-2</v>
      </c>
      <c r="S155" s="3">
        <f t="shared" si="87"/>
        <v>6.7576207998794213E-2</v>
      </c>
      <c r="T155" s="3">
        <f t="shared" si="87"/>
        <v>6.7576207998322826E-2</v>
      </c>
      <c r="U155" s="3">
        <f t="shared" si="87"/>
        <v>6.7576207993609042E-2</v>
      </c>
      <c r="V155" s="3">
        <f t="shared" si="87"/>
        <v>6.7576207946471109E-2</v>
      </c>
      <c r="W155" s="3">
        <f t="shared" si="87"/>
        <v>6.757620747509184E-2</v>
      </c>
      <c r="X155" s="3">
        <f t="shared" si="87"/>
        <v>6.7576202761299345E-2</v>
      </c>
      <c r="Y155" s="3">
        <f t="shared" si="87"/>
        <v>6.7576155623392517E-2</v>
      </c>
      <c r="Z155" s="3">
        <f t="shared" si="87"/>
        <v>6.7575684246132625E-2</v>
      </c>
      <c r="AA155" s="3">
        <f t="shared" ref="AA155:AF155" si="88">$C41*EXP(-AA$129/$A41/EXP(-$B$126))</f>
        <v>6.7570970654374854E-2</v>
      </c>
      <c r="AB155" s="3">
        <f t="shared" si="88"/>
        <v>6.7523852816250451E-2</v>
      </c>
      <c r="AC155" s="3">
        <f t="shared" si="88"/>
        <v>6.7054477722821512E-2</v>
      </c>
      <c r="AD155" s="3">
        <f t="shared" si="88"/>
        <v>6.2536486954376636E-2</v>
      </c>
      <c r="AE155" s="3">
        <f t="shared" si="88"/>
        <v>3.113081177198869E-2</v>
      </c>
      <c r="AF155" s="3">
        <f t="shared" si="88"/>
        <v>2.9091096720187879E-5</v>
      </c>
    </row>
    <row r="156" spans="1:32" x14ac:dyDescent="0.25">
      <c r="B156" s="3">
        <f t="shared" ref="B156:Z156" si="89">$C42*EXP(-B$129/$A42/EXP(-$B$126))</f>
        <v>7.4650772379504848E-2</v>
      </c>
      <c r="C156" s="3">
        <f t="shared" si="89"/>
        <v>7.4650772379504848E-2</v>
      </c>
      <c r="D156" s="3">
        <f t="shared" si="89"/>
        <v>7.4650772379504848E-2</v>
      </c>
      <c r="E156" s="3">
        <f t="shared" si="89"/>
        <v>7.4650772379504848E-2</v>
      </c>
      <c r="F156" s="3">
        <f t="shared" si="89"/>
        <v>7.4650772379504848E-2</v>
      </c>
      <c r="G156" s="3">
        <f t="shared" si="89"/>
        <v>7.4650772379504848E-2</v>
      </c>
      <c r="H156" s="3">
        <f t="shared" si="89"/>
        <v>7.4650772379504848E-2</v>
      </c>
      <c r="I156" s="3">
        <f t="shared" si="89"/>
        <v>7.4650772379504848E-2</v>
      </c>
      <c r="J156" s="3">
        <f t="shared" si="89"/>
        <v>7.4650772379504848E-2</v>
      </c>
      <c r="K156" s="3">
        <f t="shared" si="89"/>
        <v>7.4650772379504848E-2</v>
      </c>
      <c r="L156" s="3">
        <f t="shared" si="89"/>
        <v>7.4650772379504848E-2</v>
      </c>
      <c r="M156" s="3">
        <f t="shared" si="89"/>
        <v>7.4650772379504848E-2</v>
      </c>
      <c r="N156" s="3">
        <f t="shared" si="89"/>
        <v>7.4650772379504848E-2</v>
      </c>
      <c r="O156" s="3">
        <f t="shared" si="89"/>
        <v>7.4650772379504848E-2</v>
      </c>
      <c r="P156" s="3">
        <f t="shared" si="89"/>
        <v>7.4650772379504834E-2</v>
      </c>
      <c r="Q156" s="3">
        <f t="shared" si="89"/>
        <v>7.4650772379504793E-2</v>
      </c>
      <c r="R156" s="3">
        <f t="shared" si="89"/>
        <v>7.4650772379504265E-2</v>
      </c>
      <c r="S156" s="3">
        <f t="shared" si="89"/>
        <v>7.4650772379499061E-2</v>
      </c>
      <c r="T156" s="3">
        <f t="shared" si="89"/>
        <v>7.4650772379446992E-2</v>
      </c>
      <c r="U156" s="3">
        <f t="shared" si="89"/>
        <v>7.4650772378926256E-2</v>
      </c>
      <c r="V156" s="3">
        <f t="shared" si="89"/>
        <v>7.4650772373718977E-2</v>
      </c>
      <c r="W156" s="3">
        <f t="shared" si="89"/>
        <v>7.4650772321646172E-2</v>
      </c>
      <c r="X156" s="3">
        <f t="shared" si="89"/>
        <v>7.4650771800918128E-2</v>
      </c>
      <c r="Y156" s="3">
        <f t="shared" si="89"/>
        <v>7.4650766593637924E-2</v>
      </c>
      <c r="Z156" s="3">
        <f t="shared" si="89"/>
        <v>7.4650714520855838E-2</v>
      </c>
      <c r="AA156" s="3">
        <f t="shared" ref="AA156:AF156" si="90">$C42*EXP(-AA$129/$A42/EXP(-$B$126))</f>
        <v>7.4650193795032724E-2</v>
      </c>
      <c r="AB156" s="3">
        <f t="shared" si="90"/>
        <v>7.4644986736575034E-2</v>
      </c>
      <c r="AC156" s="3">
        <f t="shared" si="90"/>
        <v>7.4592936124192349E-2</v>
      </c>
      <c r="AD156" s="3">
        <f t="shared" si="90"/>
        <v>7.4074422074679971E-2</v>
      </c>
      <c r="AE156" s="3">
        <f t="shared" si="90"/>
        <v>6.9083442106202902E-2</v>
      </c>
      <c r="AF156" s="3">
        <f t="shared" si="90"/>
        <v>3.4389901599977367E-2</v>
      </c>
    </row>
    <row r="157" spans="1:32" x14ac:dyDescent="0.25">
      <c r="B157" s="3">
        <f t="shared" ref="B157:Z157" si="91">$C43*EXP(-B$129/$A43/EXP(-$B$126))</f>
        <v>4.2437426023751848E-2</v>
      </c>
      <c r="C157" s="3">
        <f t="shared" si="91"/>
        <v>4.2437426023751848E-2</v>
      </c>
      <c r="D157" s="3">
        <f t="shared" si="91"/>
        <v>4.2437426023751848E-2</v>
      </c>
      <c r="E157" s="3">
        <f t="shared" si="91"/>
        <v>4.2437426023751848E-2</v>
      </c>
      <c r="F157" s="3">
        <f t="shared" si="91"/>
        <v>4.2437426023751848E-2</v>
      </c>
      <c r="G157" s="3">
        <f t="shared" si="91"/>
        <v>4.2437426023751848E-2</v>
      </c>
      <c r="H157" s="3">
        <f t="shared" si="91"/>
        <v>4.2437426023751848E-2</v>
      </c>
      <c r="I157" s="3">
        <f t="shared" si="91"/>
        <v>4.2437426023751848E-2</v>
      </c>
      <c r="J157" s="3">
        <f t="shared" si="91"/>
        <v>4.2437426023751848E-2</v>
      </c>
      <c r="K157" s="3">
        <f t="shared" si="91"/>
        <v>4.2437426023751848E-2</v>
      </c>
      <c r="L157" s="3">
        <f t="shared" si="91"/>
        <v>4.2437426023751848E-2</v>
      </c>
      <c r="M157" s="3">
        <f t="shared" si="91"/>
        <v>4.2437426023751848E-2</v>
      </c>
      <c r="N157" s="3">
        <f t="shared" si="91"/>
        <v>4.2437426023751848E-2</v>
      </c>
      <c r="O157" s="3">
        <f t="shared" si="91"/>
        <v>4.2437426023751848E-2</v>
      </c>
      <c r="P157" s="3">
        <f t="shared" si="91"/>
        <v>4.2437426023751848E-2</v>
      </c>
      <c r="Q157" s="3">
        <f t="shared" si="91"/>
        <v>4.2437426023751841E-2</v>
      </c>
      <c r="R157" s="3">
        <f t="shared" si="91"/>
        <v>4.2437426023751813E-2</v>
      </c>
      <c r="S157" s="3">
        <f t="shared" si="91"/>
        <v>4.2437426023751515E-2</v>
      </c>
      <c r="T157" s="3">
        <f t="shared" si="91"/>
        <v>4.2437426023748559E-2</v>
      </c>
      <c r="U157" s="3">
        <f t="shared" si="91"/>
        <v>4.2437426023718958E-2</v>
      </c>
      <c r="V157" s="3">
        <f t="shared" si="91"/>
        <v>4.2437426023422931E-2</v>
      </c>
      <c r="W157" s="3">
        <f t="shared" si="91"/>
        <v>4.2437426020462701E-2</v>
      </c>
      <c r="X157" s="3">
        <f t="shared" si="91"/>
        <v>4.2437425990860388E-2</v>
      </c>
      <c r="Y157" s="3">
        <f t="shared" si="91"/>
        <v>4.2437425694837223E-2</v>
      </c>
      <c r="Z157" s="3">
        <f t="shared" si="91"/>
        <v>4.2437422734605712E-2</v>
      </c>
      <c r="AA157" s="3">
        <f t="shared" ref="AA157:AF157" si="92">$C43*EXP(-AA$129/$A43/EXP(-$B$126))</f>
        <v>4.2437393132301986E-2</v>
      </c>
      <c r="AB157" s="3">
        <f t="shared" si="92"/>
        <v>4.2437097110400362E-2</v>
      </c>
      <c r="AC157" s="3">
        <f t="shared" si="92"/>
        <v>4.2434137004951272E-2</v>
      </c>
      <c r="AD157" s="3">
        <f t="shared" si="92"/>
        <v>4.2404547304241258E-2</v>
      </c>
      <c r="AE157" s="3">
        <f t="shared" si="92"/>
        <v>4.2109782750344979E-2</v>
      </c>
      <c r="AF157" s="3">
        <f t="shared" si="92"/>
        <v>3.9272513470376705E-2</v>
      </c>
    </row>
    <row r="158" spans="1:32" x14ac:dyDescent="0.25">
      <c r="B158" s="3">
        <f t="shared" ref="B158:Z158" si="93">$C44*EXP(-B$129/$A44/EXP(-$B$126))</f>
        <v>2.9362775672931045E-2</v>
      </c>
      <c r="C158" s="3">
        <f t="shared" si="93"/>
        <v>2.9362775672931045E-2</v>
      </c>
      <c r="D158" s="3">
        <f t="shared" si="93"/>
        <v>2.9362775672931045E-2</v>
      </c>
      <c r="E158" s="3">
        <f t="shared" si="93"/>
        <v>2.9362775672931045E-2</v>
      </c>
      <c r="F158" s="3">
        <f t="shared" si="93"/>
        <v>2.9362775672931045E-2</v>
      </c>
      <c r="G158" s="3">
        <f t="shared" si="93"/>
        <v>2.9362775672931045E-2</v>
      </c>
      <c r="H158" s="3">
        <f t="shared" si="93"/>
        <v>2.9362775672931045E-2</v>
      </c>
      <c r="I158" s="3">
        <f t="shared" si="93"/>
        <v>2.9362775672931045E-2</v>
      </c>
      <c r="J158" s="3">
        <f t="shared" si="93"/>
        <v>2.9362775672931045E-2</v>
      </c>
      <c r="K158" s="3">
        <f t="shared" si="93"/>
        <v>2.9362775672931045E-2</v>
      </c>
      <c r="L158" s="3">
        <f t="shared" si="93"/>
        <v>2.9362775672931045E-2</v>
      </c>
      <c r="M158" s="3">
        <f t="shared" si="93"/>
        <v>2.9362775672931045E-2</v>
      </c>
      <c r="N158" s="3">
        <f t="shared" si="93"/>
        <v>2.9362775672931045E-2</v>
      </c>
      <c r="O158" s="3">
        <f t="shared" si="93"/>
        <v>2.9362775672931045E-2</v>
      </c>
      <c r="P158" s="3">
        <f t="shared" si="93"/>
        <v>2.9362775672931045E-2</v>
      </c>
      <c r="Q158" s="3">
        <f t="shared" si="93"/>
        <v>2.9362775672931045E-2</v>
      </c>
      <c r="R158" s="3">
        <f t="shared" si="93"/>
        <v>2.9362775672931041E-2</v>
      </c>
      <c r="S158" s="3">
        <f t="shared" si="93"/>
        <v>2.9362775672931021E-2</v>
      </c>
      <c r="T158" s="3">
        <f t="shared" si="93"/>
        <v>2.9362775672930816E-2</v>
      </c>
      <c r="U158" s="3">
        <f t="shared" si="93"/>
        <v>2.9362775672928769E-2</v>
      </c>
      <c r="V158" s="3">
        <f t="shared" si="93"/>
        <v>2.9362775672908289E-2</v>
      </c>
      <c r="W158" s="3">
        <f t="shared" si="93"/>
        <v>2.9362775672703467E-2</v>
      </c>
      <c r="X158" s="3">
        <f t="shared" si="93"/>
        <v>2.9362775670655261E-2</v>
      </c>
      <c r="Y158" s="3">
        <f t="shared" si="93"/>
        <v>2.9362775650173194E-2</v>
      </c>
      <c r="Z158" s="3">
        <f t="shared" si="93"/>
        <v>2.936277544535253E-2</v>
      </c>
      <c r="AA158" s="3">
        <f t="shared" ref="AA158:AF158" si="94">$C44*EXP(-AA$129/$A44/EXP(-$B$126))</f>
        <v>2.9362773397145984E-2</v>
      </c>
      <c r="AB158" s="3">
        <f t="shared" si="94"/>
        <v>2.9362752915088393E-2</v>
      </c>
      <c r="AC158" s="3">
        <f t="shared" si="94"/>
        <v>2.9362548095298271E-2</v>
      </c>
      <c r="AD158" s="3">
        <f t="shared" si="94"/>
        <v>2.9360499975974983E-2</v>
      </c>
      <c r="AE158" s="3">
        <f t="shared" si="94"/>
        <v>2.9340026638508872E-2</v>
      </c>
      <c r="AF158" s="3">
        <f t="shared" si="94"/>
        <v>2.9136076816775013E-2</v>
      </c>
    </row>
    <row r="159" spans="1:32" x14ac:dyDescent="0.25">
      <c r="A159" s="11" t="s">
        <v>75</v>
      </c>
      <c r="B159" s="3">
        <f t="shared" ref="B159:Z159" si="95">$C45*EXP(-B$129/$A45/EXP(-$B$126))</f>
        <v>1.3317924951321973E-2</v>
      </c>
      <c r="C159" s="3">
        <f t="shared" si="95"/>
        <v>1.3317924951321973E-2</v>
      </c>
      <c r="D159" s="3">
        <f t="shared" si="95"/>
        <v>1.3317924951321973E-2</v>
      </c>
      <c r="E159" s="3">
        <f t="shared" si="95"/>
        <v>1.3317924951321973E-2</v>
      </c>
      <c r="F159" s="3">
        <f t="shared" si="95"/>
        <v>1.3317924951321973E-2</v>
      </c>
      <c r="G159" s="3">
        <f t="shared" si="95"/>
        <v>1.3317924951321973E-2</v>
      </c>
      <c r="H159" s="3">
        <f t="shared" si="95"/>
        <v>1.3317924951321973E-2</v>
      </c>
      <c r="I159" s="3">
        <f t="shared" si="95"/>
        <v>1.3317924951321973E-2</v>
      </c>
      <c r="J159" s="3">
        <f t="shared" si="95"/>
        <v>1.3317924951321973E-2</v>
      </c>
      <c r="K159" s="3">
        <f t="shared" si="95"/>
        <v>1.3317924951321973E-2</v>
      </c>
      <c r="L159" s="3">
        <f t="shared" si="95"/>
        <v>1.3317924951321973E-2</v>
      </c>
      <c r="M159" s="3">
        <f t="shared" si="95"/>
        <v>1.3317924951321973E-2</v>
      </c>
      <c r="N159" s="3">
        <f t="shared" si="95"/>
        <v>1.3317924951321973E-2</v>
      </c>
      <c r="O159" s="3">
        <f t="shared" si="95"/>
        <v>1.3317924951321973E-2</v>
      </c>
      <c r="P159" s="3">
        <f t="shared" si="95"/>
        <v>1.3317924951321973E-2</v>
      </c>
      <c r="Q159" s="3">
        <f t="shared" si="95"/>
        <v>1.3317924951321973E-2</v>
      </c>
      <c r="R159" s="3">
        <f t="shared" si="95"/>
        <v>1.3317924951321973E-2</v>
      </c>
      <c r="S159" s="3">
        <f t="shared" si="95"/>
        <v>1.3317924951321971E-2</v>
      </c>
      <c r="T159" s="3">
        <f t="shared" si="95"/>
        <v>1.3317924951321962E-2</v>
      </c>
      <c r="U159" s="3">
        <f t="shared" si="95"/>
        <v>1.3317924951321869E-2</v>
      </c>
      <c r="V159" s="3">
        <f t="shared" si="95"/>
        <v>1.3317924951320941E-2</v>
      </c>
      <c r="W159" s="3">
        <f t="shared" si="95"/>
        <v>1.3317924951311651E-2</v>
      </c>
      <c r="X159" s="3">
        <f t="shared" si="95"/>
        <v>1.3317924951218751E-2</v>
      </c>
      <c r="Y159" s="3">
        <f t="shared" si="95"/>
        <v>1.3317924950289757E-2</v>
      </c>
      <c r="Z159" s="3">
        <f t="shared" si="95"/>
        <v>1.3317924940999809E-2</v>
      </c>
      <c r="AA159" s="3">
        <f t="shared" ref="AA159:AF159" si="96">$C45*EXP(-AA$129/$A45/EXP(-$B$126))</f>
        <v>1.3317924848100342E-2</v>
      </c>
      <c r="AB159" s="3">
        <f t="shared" si="96"/>
        <v>1.3317923919105707E-2</v>
      </c>
      <c r="AC159" s="3">
        <f t="shared" si="96"/>
        <v>1.3317914629162928E-2</v>
      </c>
      <c r="AD159" s="3">
        <f t="shared" si="96"/>
        <v>1.331782173009154E-2</v>
      </c>
      <c r="AE159" s="3">
        <f t="shared" si="96"/>
        <v>1.3316892775017852E-2</v>
      </c>
      <c r="AF159" s="3">
        <f t="shared" si="96"/>
        <v>1.3307606787381196E-2</v>
      </c>
    </row>
    <row r="160" spans="1:32" x14ac:dyDescent="0.25">
      <c r="B160" s="3">
        <f t="shared" ref="B160:Z160" si="97">$C46*EXP(-B$129/$A46/EXP(-$B$126))</f>
        <v>4.0600750332731679E-3</v>
      </c>
      <c r="C160" s="3">
        <f t="shared" si="97"/>
        <v>4.0600750332731679E-3</v>
      </c>
      <c r="D160" s="3">
        <f t="shared" si="97"/>
        <v>4.0600750332731679E-3</v>
      </c>
      <c r="E160" s="3">
        <f t="shared" si="97"/>
        <v>4.0600750332731679E-3</v>
      </c>
      <c r="F160" s="3">
        <f t="shared" si="97"/>
        <v>4.0600750332731679E-3</v>
      </c>
      <c r="G160" s="3">
        <f t="shared" si="97"/>
        <v>4.0600750332731679E-3</v>
      </c>
      <c r="H160" s="3">
        <f t="shared" si="97"/>
        <v>4.0600750332731679E-3</v>
      </c>
      <c r="I160" s="3">
        <f t="shared" si="97"/>
        <v>4.0600750332731679E-3</v>
      </c>
      <c r="J160" s="3">
        <f t="shared" si="97"/>
        <v>4.0600750332731679E-3</v>
      </c>
      <c r="K160" s="3">
        <f t="shared" si="97"/>
        <v>4.0600750332731679E-3</v>
      </c>
      <c r="L160" s="3">
        <f t="shared" si="97"/>
        <v>4.0600750332731679E-3</v>
      </c>
      <c r="M160" s="3">
        <f t="shared" si="97"/>
        <v>4.0600750332731679E-3</v>
      </c>
      <c r="N160" s="3">
        <f t="shared" si="97"/>
        <v>4.0600750332731679E-3</v>
      </c>
      <c r="O160" s="3">
        <f t="shared" si="97"/>
        <v>4.0600750332731679E-3</v>
      </c>
      <c r="P160" s="3">
        <f t="shared" si="97"/>
        <v>4.0600750332731679E-3</v>
      </c>
      <c r="Q160" s="3">
        <f t="shared" si="97"/>
        <v>4.0600750332731679E-3</v>
      </c>
      <c r="R160" s="3">
        <f t="shared" si="97"/>
        <v>4.0600750332731679E-3</v>
      </c>
      <c r="S160" s="3">
        <f t="shared" si="97"/>
        <v>4.0600750332731679E-3</v>
      </c>
      <c r="T160" s="3">
        <f t="shared" si="97"/>
        <v>4.060075033273167E-3</v>
      </c>
      <c r="U160" s="3">
        <f t="shared" si="97"/>
        <v>4.0600750332731644E-3</v>
      </c>
      <c r="V160" s="3">
        <f t="shared" si="97"/>
        <v>4.0600750332731366E-3</v>
      </c>
      <c r="W160" s="3">
        <f t="shared" si="97"/>
        <v>4.060075033272853E-3</v>
      </c>
      <c r="X160" s="3">
        <f t="shared" si="97"/>
        <v>4.0600750332700211E-3</v>
      </c>
      <c r="Y160" s="3">
        <f t="shared" si="97"/>
        <v>4.0600750332417E-3</v>
      </c>
      <c r="Z160" s="3">
        <f t="shared" si="97"/>
        <v>4.0600750329584882E-3</v>
      </c>
      <c r="AA160" s="3">
        <f t="shared" ref="AA160:AF160" si="98">$C46*EXP(-AA$129/$A46/EXP(-$B$126))</f>
        <v>4.0600750301263743E-3</v>
      </c>
      <c r="AB160" s="3">
        <f t="shared" si="98"/>
        <v>4.0600750018052354E-3</v>
      </c>
      <c r="AC160" s="3">
        <f t="shared" si="98"/>
        <v>4.060074718593854E-3</v>
      </c>
      <c r="AD160" s="3">
        <f t="shared" si="98"/>
        <v>4.0600718864811283E-3</v>
      </c>
      <c r="AE160" s="3">
        <f t="shared" si="98"/>
        <v>4.0600435654625207E-3</v>
      </c>
      <c r="AF160" s="3">
        <f t="shared" si="98"/>
        <v>4.059760366141643E-3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6.6069827735831333E-3</v>
      </c>
      <c r="C162" s="3">
        <f t="shared" si="101"/>
        <v>6.6069827735831333E-3</v>
      </c>
      <c r="D162" s="3">
        <f t="shared" si="101"/>
        <v>6.6069827735831333E-3</v>
      </c>
      <c r="E162" s="3">
        <f t="shared" si="101"/>
        <v>6.6069827735831333E-3</v>
      </c>
      <c r="F162" s="3">
        <f t="shared" si="101"/>
        <v>6.6069827735831333E-3</v>
      </c>
      <c r="G162" s="3">
        <f t="shared" si="101"/>
        <v>6.6069827735831333E-3</v>
      </c>
      <c r="H162" s="3">
        <f t="shared" si="101"/>
        <v>6.6069827735831333E-3</v>
      </c>
      <c r="I162" s="3">
        <f t="shared" si="101"/>
        <v>6.6069827735831333E-3</v>
      </c>
      <c r="J162" s="3">
        <f t="shared" si="101"/>
        <v>6.6069827735831333E-3</v>
      </c>
      <c r="K162" s="3">
        <f t="shared" si="101"/>
        <v>6.6069827735831333E-3</v>
      </c>
      <c r="L162" s="3">
        <f t="shared" si="101"/>
        <v>6.6069827735831333E-3</v>
      </c>
      <c r="M162" s="3">
        <f t="shared" si="101"/>
        <v>6.6069827735831333E-3</v>
      </c>
      <c r="N162" s="3">
        <f t="shared" si="101"/>
        <v>6.6069827735831333E-3</v>
      </c>
      <c r="O162" s="3">
        <f t="shared" si="101"/>
        <v>6.6069827735831333E-3</v>
      </c>
      <c r="P162" s="3">
        <f t="shared" si="101"/>
        <v>6.6069827735831333E-3</v>
      </c>
      <c r="Q162" s="3">
        <f t="shared" si="101"/>
        <v>6.6069827735831333E-3</v>
      </c>
      <c r="R162" s="3">
        <f t="shared" si="101"/>
        <v>6.6069827735831333E-3</v>
      </c>
      <c r="S162" s="3">
        <f t="shared" si="101"/>
        <v>6.6069827735831333E-3</v>
      </c>
      <c r="T162" s="3">
        <f t="shared" si="101"/>
        <v>6.6069827735831333E-3</v>
      </c>
      <c r="U162" s="3">
        <f t="shared" si="101"/>
        <v>6.6069827735831333E-3</v>
      </c>
      <c r="V162" s="3">
        <f t="shared" si="101"/>
        <v>6.6069827735831324E-3</v>
      </c>
      <c r="W162" s="3">
        <f t="shared" si="101"/>
        <v>6.6069827735831281E-3</v>
      </c>
      <c r="X162" s="3">
        <f t="shared" si="101"/>
        <v>6.6069827735830821E-3</v>
      </c>
      <c r="Y162" s="3">
        <f t="shared" si="101"/>
        <v>6.6069827735826215E-3</v>
      </c>
      <c r="Z162" s="3">
        <f t="shared" si="101"/>
        <v>6.6069827735780124E-3</v>
      </c>
      <c r="AA162" s="3">
        <f t="shared" ref="AA162:AF162" si="102">$C48*EXP(-AA$129/$A48/EXP(-$B$126))</f>
        <v>6.6069827735319251E-3</v>
      </c>
      <c r="AB162" s="3">
        <f t="shared" si="102"/>
        <v>6.6069827730710542E-3</v>
      </c>
      <c r="AC162" s="3">
        <f t="shared" si="102"/>
        <v>6.6069827684623389E-3</v>
      </c>
      <c r="AD162" s="3">
        <f t="shared" si="102"/>
        <v>6.6069827223751909E-3</v>
      </c>
      <c r="AE162" s="3">
        <f t="shared" si="102"/>
        <v>6.6069822615037284E-3</v>
      </c>
      <c r="AF162" s="3">
        <f t="shared" si="102"/>
        <v>6.6069776527908743E-3</v>
      </c>
    </row>
    <row r="163" spans="1:34" x14ac:dyDescent="0.25">
      <c r="A163" s="79">
        <f>AVERAGE(B163:AF163)</f>
        <v>6.172507084329721E-2</v>
      </c>
      <c r="B163" s="80">
        <f>IF($A$64&lt;=B129,IF($B$64&gt;=B129,ABS((B131-B130)/B130),0),0)</f>
        <v>2.048746733962634E-2</v>
      </c>
      <c r="C163" s="80">
        <f t="shared" ref="C163:AF163" si="103">IF($A$64&lt;=C129,IF($B$64&gt;=C129,ABS((C131-C130)/C130),0),0)</f>
        <v>2.0497577932868119E-2</v>
      </c>
      <c r="D163" s="80">
        <f t="shared" si="103"/>
        <v>2.0492339412976231E-2</v>
      </c>
      <c r="E163" s="80">
        <f t="shared" si="103"/>
        <v>2.0490981895104936E-2</v>
      </c>
      <c r="F163" s="80">
        <f t="shared" si="103"/>
        <v>2.0490582135265147E-2</v>
      </c>
      <c r="G163" s="80">
        <f t="shared" si="103"/>
        <v>2.0490457210554969E-2</v>
      </c>
      <c r="H163" s="80">
        <f t="shared" si="103"/>
        <v>2.0490423899705637E-2</v>
      </c>
      <c r="I163" s="80">
        <f t="shared" si="103"/>
        <v>2.0490415596103276E-2</v>
      </c>
      <c r="J163" s="80">
        <f t="shared" si="103"/>
        <v>2.0490407515055042E-2</v>
      </c>
      <c r="K163" s="80">
        <f t="shared" si="103"/>
        <v>2.049040998787563E-2</v>
      </c>
      <c r="L163" s="80">
        <f t="shared" si="103"/>
        <v>2.0490434716049732E-2</v>
      </c>
      <c r="M163" s="80">
        <f t="shared" si="103"/>
        <v>2.0490665337719885E-2</v>
      </c>
      <c r="N163" s="80">
        <f t="shared" si="103"/>
        <v>2.0493046168580404E-2</v>
      </c>
      <c r="O163" s="80">
        <f t="shared" si="103"/>
        <v>2.0516770508094334E-2</v>
      </c>
      <c r="P163" s="80">
        <f t="shared" si="103"/>
        <v>2.0750693248229913E-2</v>
      </c>
      <c r="Q163" s="80">
        <f t="shared" si="103"/>
        <v>2.2822939950962441E-2</v>
      </c>
      <c r="R163" s="80">
        <f t="shared" si="103"/>
        <v>3.4773957528591033E-2</v>
      </c>
      <c r="S163" s="80">
        <f t="shared" si="103"/>
        <v>4.715578649540577E-2</v>
      </c>
      <c r="T163" s="80">
        <f t="shared" si="103"/>
        <v>4.8829668151564538E-2</v>
      </c>
      <c r="U163" s="80">
        <f t="shared" si="103"/>
        <v>5.3413285196553917E-2</v>
      </c>
      <c r="V163" s="80">
        <f t="shared" si="103"/>
        <v>4.1480196888491888E-2</v>
      </c>
      <c r="W163" s="80">
        <f t="shared" si="103"/>
        <v>2.4946037723384384E-2</v>
      </c>
      <c r="X163" s="80">
        <f t="shared" si="103"/>
        <v>0.12581678392537282</v>
      </c>
      <c r="Y163" s="80">
        <f t="shared" si="103"/>
        <v>0.14850641917905297</v>
      </c>
      <c r="Z163" s="80">
        <f t="shared" si="103"/>
        <v>9.7103009711292598E-2</v>
      </c>
      <c r="AA163" s="80">
        <f t="shared" si="103"/>
        <v>3.1431613480145809E-2</v>
      </c>
      <c r="AB163" s="80">
        <f t="shared" si="103"/>
        <v>2.8443597697186278E-2</v>
      </c>
      <c r="AC163" s="80">
        <f t="shared" si="103"/>
        <v>9.1087360105194248E-2</v>
      </c>
      <c r="AD163" s="80">
        <f t="shared" si="103"/>
        <v>0.16892348019140424</v>
      </c>
      <c r="AE163" s="80">
        <f t="shared" si="103"/>
        <v>0.25901582409290447</v>
      </c>
      <c r="AF163" s="80">
        <f t="shared" si="103"/>
        <v>0.38207456292089675</v>
      </c>
    </row>
    <row r="164" spans="1:34" x14ac:dyDescent="0.25">
      <c r="B164" s="21">
        <f>(B131-B130)^2</f>
        <v>23232.105129553125</v>
      </c>
      <c r="C164" s="21">
        <f t="shared" ref="C164:AF164" si="104">(C131-C130)^2</f>
        <v>23255.521026676524</v>
      </c>
      <c r="D164" s="21">
        <f t="shared" si="104"/>
        <v>23243.387204573566</v>
      </c>
      <c r="E164" s="21">
        <f t="shared" si="104"/>
        <v>23240.243365531231</v>
      </c>
      <c r="F164" s="21">
        <f t="shared" si="104"/>
        <v>23239.317614681113</v>
      </c>
      <c r="G164" s="21">
        <f t="shared" si="104"/>
        <v>23239.028322020586</v>
      </c>
      <c r="H164" s="21">
        <f t="shared" si="104"/>
        <v>23238.951183086778</v>
      </c>
      <c r="I164" s="21">
        <f t="shared" si="104"/>
        <v>23238.931953062151</v>
      </c>
      <c r="J164" s="21">
        <f t="shared" si="104"/>
        <v>23238.913227859193</v>
      </c>
      <c r="K164" s="21">
        <f t="shared" si="104"/>
        <v>23238.918836890298</v>
      </c>
      <c r="L164" s="21">
        <f t="shared" si="104"/>
        <v>23238.97492716648</v>
      </c>
      <c r="M164" s="21">
        <f t="shared" si="104"/>
        <v>23239.497253200978</v>
      </c>
      <c r="N164" s="21">
        <f t="shared" si="104"/>
        <v>23244.893659611997</v>
      </c>
      <c r="O164" s="21">
        <f t="shared" si="104"/>
        <v>23298.699037138194</v>
      </c>
      <c r="P164" s="21">
        <f t="shared" si="104"/>
        <v>23832.539640980856</v>
      </c>
      <c r="Q164" s="21">
        <f t="shared" si="104"/>
        <v>28824.568973700756</v>
      </c>
      <c r="R164" s="21">
        <f t="shared" si="104"/>
        <v>66787.023895088525</v>
      </c>
      <c r="S164" s="21">
        <f t="shared" si="104"/>
        <v>120920.31462368561</v>
      </c>
      <c r="T164" s="21">
        <f t="shared" si="104"/>
        <v>124605.71764509489</v>
      </c>
      <c r="U164" s="21">
        <f t="shared" si="104"/>
        <v>142404.26650580575</v>
      </c>
      <c r="V164" s="21">
        <f t="shared" si="104"/>
        <v>78704.173765844243</v>
      </c>
      <c r="W164" s="21">
        <f t="shared" si="104"/>
        <v>22976.187535683021</v>
      </c>
      <c r="X164" s="21">
        <f t="shared" si="104"/>
        <v>420332.38231521199</v>
      </c>
      <c r="Y164" s="21">
        <f t="shared" si="104"/>
        <v>417215.76104359014</v>
      </c>
      <c r="Z164" s="21">
        <f t="shared" si="104"/>
        <v>133327.56334423512</v>
      </c>
      <c r="AA164" s="21">
        <f t="shared" si="104"/>
        <v>10997.607430099322</v>
      </c>
      <c r="AB164" s="21">
        <f t="shared" si="104"/>
        <v>7258.5392971276524</v>
      </c>
      <c r="AC164" s="21">
        <f t="shared" si="104"/>
        <v>60522.4523526212</v>
      </c>
      <c r="AD164" s="21">
        <f t="shared" si="104"/>
        <v>161756.9691498692</v>
      </c>
      <c r="AE164" s="21">
        <f t="shared" si="104"/>
        <v>271702.98160628427</v>
      </c>
      <c r="AF164" s="21">
        <f t="shared" si="104"/>
        <v>371887.95449196151</v>
      </c>
    </row>
    <row r="165" spans="1:34" x14ac:dyDescent="0.25">
      <c r="A165" s="71">
        <f>SUM(B165:AF165)</f>
        <v>2789484.3863579361</v>
      </c>
      <c r="B165" s="60">
        <f>IF($A$64&lt;=B129,IF($B$64&gt;=B129,ABS(B164),0),0)</f>
        <v>23232.105129553125</v>
      </c>
      <c r="C165" s="60">
        <f t="shared" ref="C165:AF165" si="105">IF($A$64&lt;=C129,IF($B$64&gt;=C129,ABS(C164),0),0)</f>
        <v>23255.521026676524</v>
      </c>
      <c r="D165" s="60">
        <f t="shared" si="105"/>
        <v>23243.387204573566</v>
      </c>
      <c r="E165" s="60">
        <f t="shared" si="105"/>
        <v>23240.243365531231</v>
      </c>
      <c r="F165" s="60">
        <f t="shared" si="105"/>
        <v>23239.317614681113</v>
      </c>
      <c r="G165" s="60">
        <f t="shared" si="105"/>
        <v>23239.028322020586</v>
      </c>
      <c r="H165" s="60">
        <f t="shared" si="105"/>
        <v>23238.951183086778</v>
      </c>
      <c r="I165" s="60">
        <f t="shared" si="105"/>
        <v>23238.931953062151</v>
      </c>
      <c r="J165" s="60">
        <f t="shared" si="105"/>
        <v>23238.913227859193</v>
      </c>
      <c r="K165" s="60">
        <f t="shared" si="105"/>
        <v>23238.918836890298</v>
      </c>
      <c r="L165" s="60">
        <f t="shared" si="105"/>
        <v>23238.97492716648</v>
      </c>
      <c r="M165" s="60">
        <f t="shared" si="105"/>
        <v>23239.497253200978</v>
      </c>
      <c r="N165" s="60">
        <f t="shared" si="105"/>
        <v>23244.893659611997</v>
      </c>
      <c r="O165" s="60">
        <f t="shared" si="105"/>
        <v>23298.699037138194</v>
      </c>
      <c r="P165" s="60">
        <f t="shared" si="105"/>
        <v>23832.539640980856</v>
      </c>
      <c r="Q165" s="60">
        <f t="shared" si="105"/>
        <v>28824.568973700756</v>
      </c>
      <c r="R165" s="60">
        <f t="shared" si="105"/>
        <v>66787.023895088525</v>
      </c>
      <c r="S165" s="60">
        <f t="shared" si="105"/>
        <v>120920.31462368561</v>
      </c>
      <c r="T165" s="60">
        <f t="shared" si="105"/>
        <v>124605.71764509489</v>
      </c>
      <c r="U165" s="60">
        <f t="shared" si="105"/>
        <v>142404.26650580575</v>
      </c>
      <c r="V165" s="60">
        <f t="shared" si="105"/>
        <v>78704.173765844243</v>
      </c>
      <c r="W165" s="60">
        <f t="shared" si="105"/>
        <v>22976.187535683021</v>
      </c>
      <c r="X165" s="60">
        <f t="shared" si="105"/>
        <v>420332.38231521199</v>
      </c>
      <c r="Y165" s="60">
        <f t="shared" si="105"/>
        <v>417215.76104359014</v>
      </c>
      <c r="Z165" s="60">
        <f t="shared" si="105"/>
        <v>133327.56334423512</v>
      </c>
      <c r="AA165" s="60">
        <f t="shared" si="105"/>
        <v>10997.607430099322</v>
      </c>
      <c r="AB165" s="60">
        <f t="shared" si="105"/>
        <v>7258.5392971276524</v>
      </c>
      <c r="AC165" s="60">
        <f t="shared" si="105"/>
        <v>60522.4523526212</v>
      </c>
      <c r="AD165" s="60">
        <f t="shared" si="105"/>
        <v>161756.9691498692</v>
      </c>
      <c r="AE165" s="60">
        <f t="shared" si="105"/>
        <v>271702.98160628427</v>
      </c>
      <c r="AF165" s="60">
        <f t="shared" si="105"/>
        <v>371887.95449196151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7287.289198285258</v>
      </c>
      <c r="C170" s="27">
        <f t="shared" ref="C170:AF170" si="106">($C$17+SUM(C171:C201))*$B$51</f>
        <v>7287.2891982852498</v>
      </c>
      <c r="D170" s="27">
        <f t="shared" si="106"/>
        <v>7287.289198285157</v>
      </c>
      <c r="E170" s="27">
        <f t="shared" si="106"/>
        <v>7287.2891982842402</v>
      </c>
      <c r="F170" s="27">
        <f t="shared" si="106"/>
        <v>7287.2891982750698</v>
      </c>
      <c r="G170" s="27">
        <f t="shared" si="106"/>
        <v>7287.2891981833618</v>
      </c>
      <c r="H170" s="27">
        <f t="shared" si="106"/>
        <v>7287.2891972662783</v>
      </c>
      <c r="I170" s="27">
        <f t="shared" si="106"/>
        <v>7287.289188095433</v>
      </c>
      <c r="J170" s="27">
        <f t="shared" si="106"/>
        <v>7287.2890963870695</v>
      </c>
      <c r="K170" s="27">
        <f t="shared" si="106"/>
        <v>7287.2881793097304</v>
      </c>
      <c r="L170" s="27">
        <f t="shared" si="106"/>
        <v>7287.2790091669749</v>
      </c>
      <c r="M170" s="27">
        <f t="shared" si="106"/>
        <v>7287.1873707278337</v>
      </c>
      <c r="N170" s="27">
        <f t="shared" si="106"/>
        <v>7286.2772112361909</v>
      </c>
      <c r="O170" s="27">
        <f t="shared" si="106"/>
        <v>7277.7314085478638</v>
      </c>
      <c r="P170" s="27">
        <f t="shared" si="106"/>
        <v>7217.9209063707322</v>
      </c>
      <c r="Q170" s="27">
        <f t="shared" si="106"/>
        <v>7061.712976403217</v>
      </c>
      <c r="R170" s="27">
        <f t="shared" si="106"/>
        <v>6924.7195916856263</v>
      </c>
      <c r="S170" s="27">
        <f t="shared" si="106"/>
        <v>6737.9892467383543</v>
      </c>
      <c r="T170" s="27">
        <f t="shared" si="106"/>
        <v>6542.7508185363931</v>
      </c>
      <c r="U170" s="27">
        <f t="shared" si="106"/>
        <v>6303.1759811588881</v>
      </c>
      <c r="V170" s="27">
        <f t="shared" si="106"/>
        <v>5964.3140633502289</v>
      </c>
      <c r="W170" s="27">
        <f t="shared" si="106"/>
        <v>5234.2678163554992</v>
      </c>
      <c r="X170" s="27">
        <f t="shared" si="106"/>
        <v>4360.3609658325704</v>
      </c>
      <c r="Y170" s="27">
        <f t="shared" si="106"/>
        <v>3632.788966071721</v>
      </c>
      <c r="Z170" s="27">
        <f t="shared" si="106"/>
        <v>3060.4455610755604</v>
      </c>
      <c r="AA170" s="27">
        <f t="shared" si="106"/>
        <v>2621.1533205742971</v>
      </c>
      <c r="AB170" s="27">
        <f t="shared" si="106"/>
        <v>2111.9145379019055</v>
      </c>
      <c r="AC170" s="27">
        <f t="shared" si="106"/>
        <v>1630.7076194404938</v>
      </c>
      <c r="AD170" s="27">
        <f t="shared" si="106"/>
        <v>1128.5017087473395</v>
      </c>
      <c r="AE170" s="27">
        <f t="shared" si="106"/>
        <v>662.1222321086434</v>
      </c>
      <c r="AF170" s="27">
        <f t="shared" si="106"/>
        <v>381.50374335546599</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8.2357212069045184E-4</v>
      </c>
      <c r="C180" s="3">
        <f t="shared" si="116"/>
        <v>8.2357212069013015E-4</v>
      </c>
      <c r="D180" s="3">
        <f t="shared" si="116"/>
        <v>8.2357212068691354E-4</v>
      </c>
      <c r="E180" s="3">
        <f t="shared" si="116"/>
        <v>8.2357212065474635E-4</v>
      </c>
      <c r="F180" s="3">
        <f t="shared" si="116"/>
        <v>8.2357212033307516E-4</v>
      </c>
      <c r="G180" s="3">
        <f t="shared" si="116"/>
        <v>8.2357211711636311E-4</v>
      </c>
      <c r="H180" s="3">
        <f t="shared" si="116"/>
        <v>8.2357208494924269E-4</v>
      </c>
      <c r="I180" s="3">
        <f t="shared" si="116"/>
        <v>8.2357176327810819E-4</v>
      </c>
      <c r="J180" s="3">
        <f t="shared" si="116"/>
        <v>8.2356854657367326E-4</v>
      </c>
      <c r="K180" s="3">
        <f t="shared" si="116"/>
        <v>8.2353638022032466E-4</v>
      </c>
      <c r="L180" s="3">
        <f t="shared" si="116"/>
        <v>8.2321478577692113E-4</v>
      </c>
      <c r="M180" s="3">
        <f t="shared" si="116"/>
        <v>8.2000574037697279E-4</v>
      </c>
      <c r="N180" s="3">
        <f t="shared" si="116"/>
        <v>7.8859532296727901E-4</v>
      </c>
      <c r="O180" s="3">
        <f t="shared" si="116"/>
        <v>5.3361403135397396E-4</v>
      </c>
      <c r="P180" s="3">
        <f t="shared" si="116"/>
        <v>1.073884759078268E-5</v>
      </c>
      <c r="Q180" s="3">
        <f t="shared" si="116"/>
        <v>1.1702052936860533E-22</v>
      </c>
      <c r="R180" s="3">
        <f t="shared" si="116"/>
        <v>2.7625226961079224E-192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2.4665844117639509E-2</v>
      </c>
      <c r="C181" s="3">
        <f t="shared" si="117"/>
        <v>2.4665844117638638E-2</v>
      </c>
      <c r="D181" s="3">
        <f t="shared" si="117"/>
        <v>2.466584411762995E-2</v>
      </c>
      <c r="E181" s="3">
        <f t="shared" si="117"/>
        <v>2.4665844117543041E-2</v>
      </c>
      <c r="F181" s="3">
        <f t="shared" si="117"/>
        <v>2.4665844116673975E-2</v>
      </c>
      <c r="G181" s="3">
        <f t="shared" si="117"/>
        <v>2.4665844107983309E-2</v>
      </c>
      <c r="H181" s="3">
        <f t="shared" si="117"/>
        <v>2.4665844021076636E-2</v>
      </c>
      <c r="I181" s="3">
        <f t="shared" si="117"/>
        <v>2.4665843152009908E-2</v>
      </c>
      <c r="J181" s="3">
        <f t="shared" si="117"/>
        <v>2.4665834461344342E-2</v>
      </c>
      <c r="K181" s="3">
        <f t="shared" si="117"/>
        <v>2.4665747554857079E-2</v>
      </c>
      <c r="L181" s="3">
        <f t="shared" si="117"/>
        <v>2.4664878506825423E-2</v>
      </c>
      <c r="M181" s="3">
        <f t="shared" si="117"/>
        <v>2.4656189710384673E-2</v>
      </c>
      <c r="N181" s="3">
        <f t="shared" si="117"/>
        <v>2.4569469914249856E-2</v>
      </c>
      <c r="O181" s="3">
        <f t="shared" si="117"/>
        <v>2.3718871599482032E-2</v>
      </c>
      <c r="P181" s="3">
        <f t="shared" si="117"/>
        <v>1.6675405285528865E-2</v>
      </c>
      <c r="Q181" s="3">
        <f t="shared" si="117"/>
        <v>4.9192640760066693E-4</v>
      </c>
      <c r="R181" s="3">
        <f t="shared" si="117"/>
        <v>2.4554863660584149E-19</v>
      </c>
      <c r="S181" s="3">
        <f t="shared" si="117"/>
        <v>2.3578242388081332E-172</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1.6291197925316758E-2</v>
      </c>
      <c r="C182" s="3">
        <f t="shared" si="118"/>
        <v>1.6291197925316706E-2</v>
      </c>
      <c r="D182" s="3">
        <f t="shared" si="118"/>
        <v>1.6291197925316189E-2</v>
      </c>
      <c r="E182" s="3">
        <f t="shared" si="118"/>
        <v>1.6291197925311012E-2</v>
      </c>
      <c r="F182" s="3">
        <f t="shared" si="118"/>
        <v>1.6291197925259231E-2</v>
      </c>
      <c r="G182" s="3">
        <f t="shared" si="118"/>
        <v>1.6291197924741437E-2</v>
      </c>
      <c r="H182" s="3">
        <f t="shared" si="118"/>
        <v>1.6291197919563502E-2</v>
      </c>
      <c r="I182" s="3">
        <f t="shared" si="118"/>
        <v>1.6291197867784133E-2</v>
      </c>
      <c r="J182" s="3">
        <f t="shared" si="118"/>
        <v>1.6291197349990447E-2</v>
      </c>
      <c r="K182" s="3">
        <f t="shared" si="118"/>
        <v>1.6291192172054478E-2</v>
      </c>
      <c r="L182" s="3">
        <f t="shared" si="118"/>
        <v>1.6291140392785328E-2</v>
      </c>
      <c r="M182" s="3">
        <f t="shared" si="118"/>
        <v>1.6290622609145246E-2</v>
      </c>
      <c r="N182" s="3">
        <f t="shared" si="118"/>
        <v>1.6285445677781677E-2</v>
      </c>
      <c r="O182" s="3">
        <f t="shared" si="118"/>
        <v>1.6233766761527036E-2</v>
      </c>
      <c r="P182" s="3">
        <f t="shared" si="118"/>
        <v>1.5725911927955364E-2</v>
      </c>
      <c r="Q182" s="3">
        <f t="shared" si="118"/>
        <v>1.1444088575381125E-2</v>
      </c>
      <c r="R182" s="3">
        <f t="shared" si="118"/>
        <v>4.7668877429379728E-4</v>
      </c>
      <c r="S182" s="3">
        <f t="shared" si="118"/>
        <v>7.4950074097711828E-18</v>
      </c>
      <c r="T182" s="3">
        <f t="shared" si="118"/>
        <v>6.9205958016330261E-156</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2.6847553865855696E-2</v>
      </c>
      <c r="C183" s="3">
        <f t="shared" si="119"/>
        <v>2.6847553865855685E-2</v>
      </c>
      <c r="D183" s="3">
        <f t="shared" si="119"/>
        <v>2.6847553865855609E-2</v>
      </c>
      <c r="E183" s="3">
        <f t="shared" si="119"/>
        <v>2.6847553865854839E-2</v>
      </c>
      <c r="F183" s="3">
        <f t="shared" si="119"/>
        <v>2.6847553865847144E-2</v>
      </c>
      <c r="G183" s="3">
        <f t="shared" si="119"/>
        <v>2.6847553865770167E-2</v>
      </c>
      <c r="H183" s="3">
        <f t="shared" si="119"/>
        <v>2.6847553865000408E-2</v>
      </c>
      <c r="I183" s="3">
        <f t="shared" si="119"/>
        <v>2.6847553857302812E-2</v>
      </c>
      <c r="J183" s="3">
        <f t="shared" si="119"/>
        <v>2.6847553780326865E-2</v>
      </c>
      <c r="K183" s="3">
        <f t="shared" si="119"/>
        <v>2.6847553010567387E-2</v>
      </c>
      <c r="L183" s="3">
        <f t="shared" si="119"/>
        <v>2.684754531297381E-2</v>
      </c>
      <c r="M183" s="3">
        <f t="shared" si="119"/>
        <v>2.684746833715947E-2</v>
      </c>
      <c r="N183" s="3">
        <f t="shared" si="119"/>
        <v>2.6846698591154489E-2</v>
      </c>
      <c r="O183" s="3">
        <f t="shared" si="119"/>
        <v>2.6839002344820118E-2</v>
      </c>
      <c r="P183" s="3">
        <f t="shared" si="119"/>
        <v>2.6762161124364494E-2</v>
      </c>
      <c r="Q183" s="3">
        <f t="shared" si="119"/>
        <v>2.6005745569125539E-2</v>
      </c>
      <c r="R183" s="3">
        <f t="shared" si="119"/>
        <v>1.9523181460322635E-2</v>
      </c>
      <c r="S183" s="3">
        <f t="shared" si="119"/>
        <v>1.1101033349172715E-3</v>
      </c>
      <c r="T183" s="3">
        <f t="shared" si="119"/>
        <v>3.9218553524512579E-16</v>
      </c>
      <c r="U183" s="3">
        <f t="shared" si="119"/>
        <v>1.1878817669389498E-140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2.5906186741603665E-2</v>
      </c>
      <c r="C184" s="3">
        <f t="shared" si="120"/>
        <v>2.5906186741603665E-2</v>
      </c>
      <c r="D184" s="3">
        <f t="shared" si="120"/>
        <v>2.5906186741603658E-2</v>
      </c>
      <c r="E184" s="3">
        <f t="shared" si="120"/>
        <v>2.5906186741603589E-2</v>
      </c>
      <c r="F184" s="3">
        <f t="shared" si="120"/>
        <v>2.5906186741602919E-2</v>
      </c>
      <c r="G184" s="3">
        <f t="shared" si="120"/>
        <v>2.5906186741596223E-2</v>
      </c>
      <c r="H184" s="3">
        <f t="shared" si="120"/>
        <v>2.5906186741529214E-2</v>
      </c>
      <c r="I184" s="3">
        <f t="shared" si="120"/>
        <v>2.5906186740859177E-2</v>
      </c>
      <c r="J184" s="3">
        <f t="shared" si="120"/>
        <v>2.5906186734158784E-2</v>
      </c>
      <c r="K184" s="3">
        <f t="shared" si="120"/>
        <v>2.5906186667154833E-2</v>
      </c>
      <c r="L184" s="3">
        <f t="shared" si="120"/>
        <v>2.590618599711533E-2</v>
      </c>
      <c r="M184" s="3">
        <f t="shared" si="120"/>
        <v>2.5906179296721274E-2</v>
      </c>
      <c r="N184" s="3">
        <f t="shared" si="120"/>
        <v>2.5906112292876031E-2</v>
      </c>
      <c r="O184" s="3">
        <f t="shared" si="120"/>
        <v>2.5905442263954963E-2</v>
      </c>
      <c r="P184" s="3">
        <f t="shared" si="120"/>
        <v>2.5898742927790271E-2</v>
      </c>
      <c r="Q184" s="3">
        <f t="shared" si="120"/>
        <v>2.5831844779599138E-2</v>
      </c>
      <c r="R184" s="3">
        <f t="shared" si="120"/>
        <v>2.5172294153715594E-2</v>
      </c>
      <c r="S184" s="3">
        <f t="shared" si="120"/>
        <v>1.9435537473652967E-2</v>
      </c>
      <c r="T184" s="3">
        <f t="shared" si="120"/>
        <v>1.4633025385831369E-3</v>
      </c>
      <c r="U184" s="3">
        <f t="shared" si="120"/>
        <v>8.5646542296149807E-15</v>
      </c>
      <c r="V184" s="3">
        <f t="shared" si="120"/>
        <v>4.0407959318996974E-127</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3.2694648537282267E-2</v>
      </c>
      <c r="C185" s="3">
        <f t="shared" si="121"/>
        <v>3.2694648537282267E-2</v>
      </c>
      <c r="D185" s="3">
        <f t="shared" si="121"/>
        <v>3.2694648537282267E-2</v>
      </c>
      <c r="E185" s="3">
        <f t="shared" si="121"/>
        <v>3.269464853728226E-2</v>
      </c>
      <c r="F185" s="3">
        <f t="shared" si="121"/>
        <v>3.2694648537282184E-2</v>
      </c>
      <c r="G185" s="3">
        <f t="shared" si="121"/>
        <v>3.2694648537281421E-2</v>
      </c>
      <c r="H185" s="3">
        <f t="shared" si="121"/>
        <v>3.2694648537273795E-2</v>
      </c>
      <c r="I185" s="3">
        <f t="shared" si="121"/>
        <v>3.2694648537197508E-2</v>
      </c>
      <c r="J185" s="3">
        <f t="shared" si="121"/>
        <v>3.2694648536434695E-2</v>
      </c>
      <c r="K185" s="3">
        <f t="shared" si="121"/>
        <v>3.2694648528806526E-2</v>
      </c>
      <c r="L185" s="3">
        <f t="shared" si="121"/>
        <v>3.2694648452524858E-2</v>
      </c>
      <c r="M185" s="3">
        <f t="shared" si="121"/>
        <v>3.269464768970818E-2</v>
      </c>
      <c r="N185" s="3">
        <f t="shared" si="121"/>
        <v>3.2694640061542386E-2</v>
      </c>
      <c r="O185" s="3">
        <f t="shared" si="121"/>
        <v>3.2694563779982325E-2</v>
      </c>
      <c r="P185" s="3">
        <f t="shared" si="121"/>
        <v>3.269380097417033E-2</v>
      </c>
      <c r="Q185" s="3">
        <f t="shared" si="121"/>
        <v>3.2686173894829577E-2</v>
      </c>
      <c r="R185" s="3">
        <f t="shared" si="121"/>
        <v>3.2610000894899932E-2</v>
      </c>
      <c r="S185" s="3">
        <f t="shared" si="121"/>
        <v>3.1857966345768048E-2</v>
      </c>
      <c r="T185" s="3">
        <f t="shared" si="121"/>
        <v>2.5228442128237057E-2</v>
      </c>
      <c r="U185" s="3">
        <f t="shared" si="121"/>
        <v>2.4468890409947192E-3</v>
      </c>
      <c r="V185" s="3">
        <f t="shared" si="121"/>
        <v>1.8024063156891603E-13</v>
      </c>
      <c r="W185" s="3">
        <f t="shared" si="121"/>
        <v>8.4768977942190902E-115</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3.3282078428276948E-2</v>
      </c>
      <c r="C186" s="3">
        <f t="shared" si="122"/>
        <v>3.3282078428276948E-2</v>
      </c>
      <c r="D186" s="3">
        <f t="shared" si="122"/>
        <v>3.3282078428276948E-2</v>
      </c>
      <c r="E186" s="3">
        <f t="shared" si="122"/>
        <v>3.3282078428276948E-2</v>
      </c>
      <c r="F186" s="3">
        <f t="shared" si="122"/>
        <v>3.3282078428276941E-2</v>
      </c>
      <c r="G186" s="3">
        <f t="shared" si="122"/>
        <v>3.3282078428276872E-2</v>
      </c>
      <c r="H186" s="3">
        <f t="shared" si="122"/>
        <v>3.3282078428276171E-2</v>
      </c>
      <c r="I186" s="3">
        <f t="shared" si="122"/>
        <v>3.328207842826917E-2</v>
      </c>
      <c r="J186" s="3">
        <f t="shared" si="122"/>
        <v>3.3282078428199115E-2</v>
      </c>
      <c r="K186" s="3">
        <f t="shared" si="122"/>
        <v>3.3282078427498626E-2</v>
      </c>
      <c r="L186" s="3">
        <f t="shared" si="122"/>
        <v>3.3282078420493751E-2</v>
      </c>
      <c r="M186" s="3">
        <f t="shared" si="122"/>
        <v>3.3282078350444978E-2</v>
      </c>
      <c r="N186" s="3">
        <f t="shared" si="122"/>
        <v>3.3282077649957234E-2</v>
      </c>
      <c r="O186" s="3">
        <f t="shared" si="122"/>
        <v>3.3282070645080666E-2</v>
      </c>
      <c r="P186" s="3">
        <f t="shared" si="122"/>
        <v>3.3282000596396043E-2</v>
      </c>
      <c r="Q186" s="3">
        <f t="shared" si="122"/>
        <v>3.3281300117658494E-2</v>
      </c>
      <c r="R186" s="3">
        <f t="shared" si="122"/>
        <v>3.3274296141086769E-2</v>
      </c>
      <c r="S186" s="3">
        <f t="shared" si="122"/>
        <v>3.3204337392641448E-2</v>
      </c>
      <c r="T186" s="3">
        <f t="shared" si="122"/>
        <v>3.2512788897706153E-2</v>
      </c>
      <c r="U186" s="3">
        <f t="shared" si="122"/>
        <v>2.6341972083318729E-2</v>
      </c>
      <c r="V186" s="3">
        <f t="shared" si="122"/>
        <v>3.2106199103900035E-3</v>
      </c>
      <c r="W186" s="3">
        <f t="shared" si="122"/>
        <v>2.3227099965764678E-12</v>
      </c>
      <c r="X186" s="3">
        <f t="shared" si="122"/>
        <v>9.1212830678862302E-104</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0.1075539898267141</v>
      </c>
      <c r="C187" s="3">
        <f t="shared" si="123"/>
        <v>0.1075539898267141</v>
      </c>
      <c r="D187" s="3">
        <f t="shared" si="123"/>
        <v>0.1075539898267141</v>
      </c>
      <c r="E187" s="3">
        <f t="shared" si="123"/>
        <v>0.1075539898267141</v>
      </c>
      <c r="F187" s="3">
        <f t="shared" si="123"/>
        <v>0.1075539898267141</v>
      </c>
      <c r="G187" s="3">
        <f t="shared" si="123"/>
        <v>0.10755398982671407</v>
      </c>
      <c r="H187" s="3">
        <f t="shared" si="123"/>
        <v>0.10755398982671388</v>
      </c>
      <c r="I187" s="3">
        <f t="shared" si="123"/>
        <v>0.10755398982671184</v>
      </c>
      <c r="J187" s="3">
        <f t="shared" si="123"/>
        <v>0.10755398982669141</v>
      </c>
      <c r="K187" s="3">
        <f t="shared" si="123"/>
        <v>0.10755398982648721</v>
      </c>
      <c r="L187" s="3">
        <f t="shared" si="123"/>
        <v>0.10755398982444518</v>
      </c>
      <c r="M187" s="3">
        <f t="shared" si="123"/>
        <v>0.10755398980402482</v>
      </c>
      <c r="N187" s="3">
        <f t="shared" si="123"/>
        <v>0.10755398959982131</v>
      </c>
      <c r="O187" s="3">
        <f t="shared" si="123"/>
        <v>0.10755398755778615</v>
      </c>
      <c r="P187" s="3">
        <f t="shared" si="123"/>
        <v>0.10755396713743672</v>
      </c>
      <c r="Q187" s="3">
        <f t="shared" si="123"/>
        <v>0.10755376293415556</v>
      </c>
      <c r="R187" s="3">
        <f t="shared" si="123"/>
        <v>0.10755172092266758</v>
      </c>
      <c r="S187" s="3">
        <f t="shared" si="123"/>
        <v>0.1075313029399917</v>
      </c>
      <c r="T187" s="3">
        <f t="shared" si="123"/>
        <v>0.10732733618390071</v>
      </c>
      <c r="U187" s="3">
        <f t="shared" si="123"/>
        <v>0.10530882676748406</v>
      </c>
      <c r="V187" s="3">
        <f t="shared" si="123"/>
        <v>8.709816656342971E-2</v>
      </c>
      <c r="W187" s="3">
        <f t="shared" si="123"/>
        <v>1.3045219783398388E-2</v>
      </c>
      <c r="X187" s="3">
        <f t="shared" si="123"/>
        <v>7.4109737240259494E-11</v>
      </c>
      <c r="Y187" s="3">
        <f t="shared" si="123"/>
        <v>2.5948604333379657E-93</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0.13355176295714186</v>
      </c>
      <c r="C188" s="3">
        <f t="shared" si="124"/>
        <v>0.13355176295714186</v>
      </c>
      <c r="D188" s="3">
        <f t="shared" si="124"/>
        <v>0.13355176295714186</v>
      </c>
      <c r="E188" s="3">
        <f t="shared" si="124"/>
        <v>0.13355176295714186</v>
      </c>
      <c r="F188" s="3">
        <f t="shared" si="124"/>
        <v>0.13355176295714186</v>
      </c>
      <c r="G188" s="3">
        <f t="shared" si="124"/>
        <v>0.13355176295714186</v>
      </c>
      <c r="H188" s="3">
        <f t="shared" si="124"/>
        <v>0.13355176295714183</v>
      </c>
      <c r="I188" s="3">
        <f t="shared" si="124"/>
        <v>0.13355176295714161</v>
      </c>
      <c r="J188" s="3">
        <f t="shared" si="124"/>
        <v>0.13355176295713933</v>
      </c>
      <c r="K188" s="3">
        <f t="shared" si="124"/>
        <v>0.13355176295711643</v>
      </c>
      <c r="L188" s="3">
        <f t="shared" si="124"/>
        <v>0.1335517629568877</v>
      </c>
      <c r="M188" s="3">
        <f t="shared" si="124"/>
        <v>0.13355176295460036</v>
      </c>
      <c r="N188" s="3">
        <f t="shared" si="124"/>
        <v>0.13355176293172683</v>
      </c>
      <c r="O188" s="3">
        <f t="shared" si="124"/>
        <v>0.13355176270299168</v>
      </c>
      <c r="P188" s="3">
        <f t="shared" si="124"/>
        <v>0.13355176041564021</v>
      </c>
      <c r="Q188" s="3">
        <f t="shared" si="124"/>
        <v>0.13355173754212746</v>
      </c>
      <c r="R188" s="3">
        <f t="shared" si="124"/>
        <v>0.13355150880721567</v>
      </c>
      <c r="S188" s="3">
        <f t="shared" si="124"/>
        <v>0.13354922147964399</v>
      </c>
      <c r="T188" s="3">
        <f t="shared" si="124"/>
        <v>0.13352635035843613</v>
      </c>
      <c r="U188" s="3">
        <f t="shared" si="124"/>
        <v>0.13329785446078557</v>
      </c>
      <c r="V188" s="3">
        <f t="shared" si="124"/>
        <v>0.13103429110474754</v>
      </c>
      <c r="W188" s="3">
        <f t="shared" si="124"/>
        <v>0.11040862648999723</v>
      </c>
      <c r="X188" s="3">
        <f t="shared" si="124"/>
        <v>1.9915143676634928E-2</v>
      </c>
      <c r="Y188" s="3">
        <f t="shared" si="124"/>
        <v>7.2608557965449201E-10</v>
      </c>
      <c r="Z188" s="3">
        <f t="shared" si="124"/>
        <v>3.013224486010096E-84</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0.10276653551975504</v>
      </c>
      <c r="C189" s="3">
        <f t="shared" si="125"/>
        <v>0.10276653551975504</v>
      </c>
      <c r="D189" s="3">
        <f t="shared" si="125"/>
        <v>0.10276653551975504</v>
      </c>
      <c r="E189" s="3">
        <f t="shared" si="125"/>
        <v>0.10276653551975504</v>
      </c>
      <c r="F189" s="3">
        <f t="shared" si="125"/>
        <v>0.10276653551975504</v>
      </c>
      <c r="G189" s="3">
        <f t="shared" si="125"/>
        <v>0.10276653551975504</v>
      </c>
      <c r="H189" s="3">
        <f t="shared" si="125"/>
        <v>0.10276653551975504</v>
      </c>
      <c r="I189" s="3">
        <f t="shared" si="125"/>
        <v>0.10276653551975501</v>
      </c>
      <c r="J189" s="3">
        <f t="shared" si="125"/>
        <v>0.10276653551975487</v>
      </c>
      <c r="K189" s="3">
        <f t="shared" si="125"/>
        <v>0.10276653551975327</v>
      </c>
      <c r="L189" s="3">
        <f t="shared" si="125"/>
        <v>0.1027665355197374</v>
      </c>
      <c r="M189" s="3">
        <f t="shared" si="125"/>
        <v>0.10276653551957862</v>
      </c>
      <c r="N189" s="3">
        <f t="shared" si="125"/>
        <v>0.10276653551799088</v>
      </c>
      <c r="O189" s="3">
        <f t="shared" si="125"/>
        <v>0.10276653550211338</v>
      </c>
      <c r="P189" s="3">
        <f t="shared" si="125"/>
        <v>0.10276653534333859</v>
      </c>
      <c r="Q189" s="3">
        <f t="shared" si="125"/>
        <v>0.10276653375559053</v>
      </c>
      <c r="R189" s="3">
        <f t="shared" si="125"/>
        <v>0.10276651787811139</v>
      </c>
      <c r="S189" s="3">
        <f t="shared" si="125"/>
        <v>0.10276635910345486</v>
      </c>
      <c r="T189" s="3">
        <f t="shared" si="125"/>
        <v>0.10276477137038137</v>
      </c>
      <c r="U189" s="3">
        <f t="shared" si="125"/>
        <v>0.10274889538875408</v>
      </c>
      <c r="V189" s="3">
        <f t="shared" si="125"/>
        <v>0.10259027040614611</v>
      </c>
      <c r="W189" s="3">
        <f t="shared" si="125"/>
        <v>0.10101742718615664</v>
      </c>
      <c r="X189" s="3">
        <f t="shared" si="125"/>
        <v>8.6556082200876822E-2</v>
      </c>
      <c r="Y189" s="3">
        <f t="shared" si="125"/>
        <v>1.8463348399536377E-2</v>
      </c>
      <c r="Z189" s="3">
        <f t="shared" si="125"/>
        <v>3.6011333711906602E-9</v>
      </c>
      <c r="AA189" s="3">
        <f t="shared" si="125"/>
        <v>2.8689740466543002E-76</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8.2308697100650766E-2</v>
      </c>
      <c r="C190" s="3">
        <f t="shared" si="126"/>
        <v>8.2308697100650766E-2</v>
      </c>
      <c r="D190" s="3">
        <f t="shared" si="126"/>
        <v>8.2308697100650766E-2</v>
      </c>
      <c r="E190" s="3">
        <f t="shared" si="126"/>
        <v>8.2308697100650766E-2</v>
      </c>
      <c r="F190" s="3">
        <f t="shared" si="126"/>
        <v>8.2308697100650766E-2</v>
      </c>
      <c r="G190" s="3">
        <f t="shared" si="126"/>
        <v>8.2308697100650766E-2</v>
      </c>
      <c r="H190" s="3">
        <f t="shared" si="126"/>
        <v>8.2308697100650766E-2</v>
      </c>
      <c r="I190" s="3">
        <f t="shared" si="126"/>
        <v>8.2308697100650766E-2</v>
      </c>
      <c r="J190" s="3">
        <f t="shared" si="126"/>
        <v>8.2308697100650752E-2</v>
      </c>
      <c r="K190" s="3">
        <f t="shared" si="126"/>
        <v>8.2308697100650641E-2</v>
      </c>
      <c r="L190" s="3">
        <f t="shared" si="126"/>
        <v>8.2308697100649489E-2</v>
      </c>
      <c r="M190" s="3">
        <f t="shared" si="126"/>
        <v>8.2308697100638012E-2</v>
      </c>
      <c r="N190" s="3">
        <f t="shared" si="126"/>
        <v>8.2308697100523312E-2</v>
      </c>
      <c r="O190" s="3">
        <f t="shared" si="126"/>
        <v>8.2308697099376146E-2</v>
      </c>
      <c r="P190" s="3">
        <f t="shared" si="126"/>
        <v>8.23086970879046E-2</v>
      </c>
      <c r="Q190" s="3">
        <f t="shared" si="126"/>
        <v>8.2308696973189072E-2</v>
      </c>
      <c r="R190" s="3">
        <f t="shared" si="126"/>
        <v>8.230869582603384E-2</v>
      </c>
      <c r="S190" s="3">
        <f t="shared" si="126"/>
        <v>8.2308684354482395E-2</v>
      </c>
      <c r="T190" s="3">
        <f t="shared" si="126"/>
        <v>8.2308569639055834E-2</v>
      </c>
      <c r="U190" s="3">
        <f t="shared" si="126"/>
        <v>8.2307422493583679E-2</v>
      </c>
      <c r="V190" s="3">
        <f t="shared" si="126"/>
        <v>8.2295951918160942E-2</v>
      </c>
      <c r="W190" s="3">
        <f t="shared" si="126"/>
        <v>8.2181334048484336E-2</v>
      </c>
      <c r="X190" s="3">
        <f t="shared" si="126"/>
        <v>8.1043898655167312E-2</v>
      </c>
      <c r="Y190" s="3">
        <f t="shared" si="126"/>
        <v>7.0500419951047749E-2</v>
      </c>
      <c r="Z190" s="3">
        <f t="shared" si="126"/>
        <v>1.7494659560170208E-2</v>
      </c>
      <c r="AA190" s="3">
        <f t="shared" si="126"/>
        <v>1.5489714491444231E-8</v>
      </c>
      <c r="AB190" s="3">
        <f t="shared" si="126"/>
        <v>4.5858789264803962E-69</v>
      </c>
      <c r="AC190" s="3">
        <f t="shared" si="126"/>
        <v>0</v>
      </c>
      <c r="AD190" s="3">
        <f t="shared" si="126"/>
        <v>0</v>
      </c>
      <c r="AE190" s="3">
        <f t="shared" si="126"/>
        <v>0</v>
      </c>
      <c r="AF190" s="3">
        <f t="shared" si="126"/>
        <v>0</v>
      </c>
      <c r="AG190" s="3"/>
      <c r="AH190" s="3"/>
    </row>
    <row r="191" spans="2:34" x14ac:dyDescent="0.25">
      <c r="B191" s="3">
        <f t="shared" ref="B191:AF191" si="127">$C38*EXP(-B$168/$A38/EXP(-$C$126))</f>
        <v>3.7013792035783422E-2</v>
      </c>
      <c r="C191" s="3">
        <f t="shared" si="127"/>
        <v>3.7013792035783422E-2</v>
      </c>
      <c r="D191" s="3">
        <f t="shared" si="127"/>
        <v>3.7013792035783422E-2</v>
      </c>
      <c r="E191" s="3">
        <f t="shared" si="127"/>
        <v>3.7013792035783422E-2</v>
      </c>
      <c r="F191" s="3">
        <f t="shared" si="127"/>
        <v>3.7013792035783422E-2</v>
      </c>
      <c r="G191" s="3">
        <f t="shared" si="127"/>
        <v>3.7013792035783422E-2</v>
      </c>
      <c r="H191" s="3">
        <f t="shared" si="127"/>
        <v>3.7013792035783422E-2</v>
      </c>
      <c r="I191" s="3">
        <f t="shared" si="127"/>
        <v>3.7013792035783422E-2</v>
      </c>
      <c r="J191" s="3">
        <f t="shared" si="127"/>
        <v>3.7013792035783422E-2</v>
      </c>
      <c r="K191" s="3">
        <f t="shared" si="127"/>
        <v>3.7013792035783415E-2</v>
      </c>
      <c r="L191" s="3">
        <f t="shared" si="127"/>
        <v>3.7013792035783366E-2</v>
      </c>
      <c r="M191" s="3">
        <f t="shared" si="127"/>
        <v>3.7013792035782901E-2</v>
      </c>
      <c r="N191" s="3">
        <f t="shared" si="127"/>
        <v>3.7013792035778252E-2</v>
      </c>
      <c r="O191" s="3">
        <f t="shared" si="127"/>
        <v>3.7013792035731713E-2</v>
      </c>
      <c r="P191" s="3">
        <f t="shared" si="127"/>
        <v>3.7013792035266356E-2</v>
      </c>
      <c r="Q191" s="3">
        <f t="shared" si="127"/>
        <v>3.701379203061278E-2</v>
      </c>
      <c r="R191" s="3">
        <f t="shared" si="127"/>
        <v>3.7013791984077039E-2</v>
      </c>
      <c r="S191" s="3">
        <f t="shared" si="127"/>
        <v>3.7013791518719634E-2</v>
      </c>
      <c r="T191" s="3">
        <f t="shared" si="127"/>
        <v>3.7013786865145837E-2</v>
      </c>
      <c r="U191" s="3">
        <f t="shared" si="127"/>
        <v>3.7013740329440062E-2</v>
      </c>
      <c r="V191" s="3">
        <f t="shared" si="127"/>
        <v>3.7013274975600238E-2</v>
      </c>
      <c r="W191" s="3">
        <f t="shared" si="127"/>
        <v>3.7008621758975221E-2</v>
      </c>
      <c r="X191" s="3">
        <f t="shared" si="127"/>
        <v>3.6962121755086869E-2</v>
      </c>
      <c r="Y191" s="3">
        <f t="shared" si="127"/>
        <v>3.6500323041149092E-2</v>
      </c>
      <c r="Z191" s="3">
        <f t="shared" si="127"/>
        <v>3.2188064035917917E-2</v>
      </c>
      <c r="AA191" s="3">
        <f t="shared" si="127"/>
        <v>9.1553793071690037E-3</v>
      </c>
      <c r="AB191" s="3">
        <f t="shared" si="127"/>
        <v>3.1731543188056785E-8</v>
      </c>
      <c r="AC191" s="3">
        <f t="shared" si="127"/>
        <v>7.9366953493375034E-63</v>
      </c>
      <c r="AD191" s="3">
        <f t="shared" si="127"/>
        <v>0</v>
      </c>
      <c r="AE191" s="3">
        <f t="shared" si="127"/>
        <v>0</v>
      </c>
      <c r="AF191" s="3">
        <f t="shared" si="127"/>
        <v>0</v>
      </c>
      <c r="AG191" s="3"/>
      <c r="AH191" s="3"/>
    </row>
    <row r="192" spans="2:34" x14ac:dyDescent="0.25">
      <c r="B192" s="3">
        <f t="shared" ref="B192:AF192" si="128">$C39*EXP(-B$168/$A39/EXP(-$C$126))</f>
        <v>5.9919400803358086E-2</v>
      </c>
      <c r="C192" s="3">
        <f t="shared" si="128"/>
        <v>5.9919400803358086E-2</v>
      </c>
      <c r="D192" s="3">
        <f t="shared" si="128"/>
        <v>5.9919400803358086E-2</v>
      </c>
      <c r="E192" s="3">
        <f t="shared" si="128"/>
        <v>5.9919400803358086E-2</v>
      </c>
      <c r="F192" s="3">
        <f t="shared" si="128"/>
        <v>5.9919400803358086E-2</v>
      </c>
      <c r="G192" s="3">
        <f t="shared" si="128"/>
        <v>5.9919400803358086E-2</v>
      </c>
      <c r="H192" s="3">
        <f t="shared" si="128"/>
        <v>5.9919400803358086E-2</v>
      </c>
      <c r="I192" s="3">
        <f t="shared" si="128"/>
        <v>5.9919400803358086E-2</v>
      </c>
      <c r="J192" s="3">
        <f t="shared" si="128"/>
        <v>5.9919400803358086E-2</v>
      </c>
      <c r="K192" s="3">
        <f t="shared" si="128"/>
        <v>5.9919400803358086E-2</v>
      </c>
      <c r="L192" s="3">
        <f t="shared" si="128"/>
        <v>5.9919400803358065E-2</v>
      </c>
      <c r="M192" s="3">
        <f t="shared" si="128"/>
        <v>5.991940080335785E-2</v>
      </c>
      <c r="N192" s="3">
        <f t="shared" si="128"/>
        <v>5.9919400803355768E-2</v>
      </c>
      <c r="O192" s="3">
        <f t="shared" si="128"/>
        <v>5.9919400803334938E-2</v>
      </c>
      <c r="P192" s="3">
        <f t="shared" si="128"/>
        <v>5.9919400803126584E-2</v>
      </c>
      <c r="Q192" s="3">
        <f t="shared" si="128"/>
        <v>5.9919400801043035E-2</v>
      </c>
      <c r="R192" s="3">
        <f t="shared" si="128"/>
        <v>5.9919400780207556E-2</v>
      </c>
      <c r="S192" s="3">
        <f t="shared" si="128"/>
        <v>5.9919400571852827E-2</v>
      </c>
      <c r="T192" s="3">
        <f t="shared" si="128"/>
        <v>5.9919398488305478E-2</v>
      </c>
      <c r="U192" s="3">
        <f t="shared" si="128"/>
        <v>5.9919377652836073E-2</v>
      </c>
      <c r="V192" s="3">
        <f t="shared" si="128"/>
        <v>5.9919169298540444E-2</v>
      </c>
      <c r="W192" s="3">
        <f t="shared" si="128"/>
        <v>5.9917085795431181E-2</v>
      </c>
      <c r="X192" s="3">
        <f t="shared" si="128"/>
        <v>5.9896254748527271E-2</v>
      </c>
      <c r="Y192" s="3">
        <f t="shared" si="128"/>
        <v>5.9688342186244352E-2</v>
      </c>
      <c r="Z192" s="3">
        <f t="shared" si="128"/>
        <v>5.7648500025892752E-2</v>
      </c>
      <c r="AA192" s="3">
        <f t="shared" si="128"/>
        <v>4.071673651534783E-2</v>
      </c>
      <c r="AB192" s="3">
        <f t="shared" si="128"/>
        <v>1.2578314819866206E-3</v>
      </c>
      <c r="AC192" s="3">
        <f t="shared" si="128"/>
        <v>9.9567464558115866E-19</v>
      </c>
      <c r="AD192" s="3">
        <f t="shared" si="128"/>
        <v>9.6176136223891408E-170</v>
      </c>
      <c r="AE192" s="3">
        <f t="shared" si="128"/>
        <v>0</v>
      </c>
      <c r="AF192" s="3">
        <f t="shared" si="128"/>
        <v>0</v>
      </c>
      <c r="AG192" s="3"/>
      <c r="AH192" s="3"/>
    </row>
    <row r="193" spans="1:34" x14ac:dyDescent="0.25">
      <c r="B193" s="3">
        <f t="shared" ref="B193:AF193" si="129">$C40*EXP(-B$168/$A40/EXP(-$C$126))</f>
        <v>6.4670451984415095E-2</v>
      </c>
      <c r="C193" s="3">
        <f t="shared" si="129"/>
        <v>6.4670451984415095E-2</v>
      </c>
      <c r="D193" s="3">
        <f t="shared" si="129"/>
        <v>6.4670451984415095E-2</v>
      </c>
      <c r="E193" s="3">
        <f t="shared" si="129"/>
        <v>6.4670451984415095E-2</v>
      </c>
      <c r="F193" s="3">
        <f t="shared" si="129"/>
        <v>6.4670451984415095E-2</v>
      </c>
      <c r="G193" s="3">
        <f t="shared" si="129"/>
        <v>6.4670451984415095E-2</v>
      </c>
      <c r="H193" s="3">
        <f t="shared" si="129"/>
        <v>6.4670451984415095E-2</v>
      </c>
      <c r="I193" s="3">
        <f t="shared" si="129"/>
        <v>6.4670451984415095E-2</v>
      </c>
      <c r="J193" s="3">
        <f t="shared" si="129"/>
        <v>6.4670451984415095E-2</v>
      </c>
      <c r="K193" s="3">
        <f t="shared" si="129"/>
        <v>6.4670451984415095E-2</v>
      </c>
      <c r="L193" s="3">
        <f t="shared" si="129"/>
        <v>6.4670451984415095E-2</v>
      </c>
      <c r="M193" s="3">
        <f t="shared" si="129"/>
        <v>6.4670451984415067E-2</v>
      </c>
      <c r="N193" s="3">
        <f t="shared" si="129"/>
        <v>6.4670451984414845E-2</v>
      </c>
      <c r="O193" s="3">
        <f t="shared" si="129"/>
        <v>6.4670451984412597E-2</v>
      </c>
      <c r="P193" s="3">
        <f t="shared" si="129"/>
        <v>6.4670451984390115E-2</v>
      </c>
      <c r="Q193" s="3">
        <f t="shared" si="129"/>
        <v>6.4670451984165239E-2</v>
      </c>
      <c r="R193" s="3">
        <f t="shared" si="129"/>
        <v>6.4670451981916482E-2</v>
      </c>
      <c r="S193" s="3">
        <f t="shared" si="129"/>
        <v>6.4670451959428943E-2</v>
      </c>
      <c r="T193" s="3">
        <f t="shared" si="129"/>
        <v>6.4670451734553616E-2</v>
      </c>
      <c r="U193" s="3">
        <f t="shared" si="129"/>
        <v>6.4670449485800349E-2</v>
      </c>
      <c r="V193" s="3">
        <f t="shared" si="129"/>
        <v>6.467042699827201E-2</v>
      </c>
      <c r="W193" s="3">
        <f t="shared" si="129"/>
        <v>6.4670202123418619E-2</v>
      </c>
      <c r="X193" s="3">
        <f t="shared" si="129"/>
        <v>6.466795341789118E-2</v>
      </c>
      <c r="Y193" s="3">
        <f t="shared" si="129"/>
        <v>6.4645470662714685E-2</v>
      </c>
      <c r="Z193" s="3">
        <f t="shared" si="129"/>
        <v>6.4421072568010759E-2</v>
      </c>
      <c r="AA193" s="3">
        <f t="shared" si="129"/>
        <v>6.2219489896653157E-2</v>
      </c>
      <c r="AB193" s="3">
        <f t="shared" si="129"/>
        <v>4.3945195019879285E-2</v>
      </c>
      <c r="AC193" s="3">
        <f t="shared" si="129"/>
        <v>1.3575658195791338E-3</v>
      </c>
      <c r="AD193" s="3">
        <f t="shared" si="129"/>
        <v>1.0746223843337759E-18</v>
      </c>
      <c r="AE193" s="3">
        <f t="shared" si="129"/>
        <v>1.038020093045583E-169</v>
      </c>
      <c r="AF193" s="3">
        <f t="shared" si="129"/>
        <v>0</v>
      </c>
      <c r="AG193" s="3"/>
      <c r="AH193" s="3"/>
    </row>
    <row r="194" spans="1:34" x14ac:dyDescent="0.25">
      <c r="B194" s="3">
        <f t="shared" ref="B194:AF194" si="130">$C41*EXP(-B$168/$A41/EXP(-$C$126))</f>
        <v>6.7576207998846588E-2</v>
      </c>
      <c r="C194" s="3">
        <f t="shared" si="130"/>
        <v>6.7576207998846588E-2</v>
      </c>
      <c r="D194" s="3">
        <f t="shared" si="130"/>
        <v>6.7576207998846588E-2</v>
      </c>
      <c r="E194" s="3">
        <f t="shared" si="130"/>
        <v>6.7576207998846588E-2</v>
      </c>
      <c r="F194" s="3">
        <f t="shared" si="130"/>
        <v>6.7576207998846588E-2</v>
      </c>
      <c r="G194" s="3">
        <f t="shared" si="130"/>
        <v>6.7576207998846588E-2</v>
      </c>
      <c r="H194" s="3">
        <f t="shared" si="130"/>
        <v>6.7576207998846588E-2</v>
      </c>
      <c r="I194" s="3">
        <f t="shared" si="130"/>
        <v>6.7576207998846588E-2</v>
      </c>
      <c r="J194" s="3">
        <f t="shared" si="130"/>
        <v>6.7576207998846588E-2</v>
      </c>
      <c r="K194" s="3">
        <f t="shared" si="130"/>
        <v>6.7576207998846588E-2</v>
      </c>
      <c r="L194" s="3">
        <f t="shared" si="130"/>
        <v>6.7576207998846588E-2</v>
      </c>
      <c r="M194" s="3">
        <f t="shared" si="130"/>
        <v>6.7576207998846588E-2</v>
      </c>
      <c r="N194" s="3">
        <f t="shared" si="130"/>
        <v>6.757620799884656E-2</v>
      </c>
      <c r="O194" s="3">
        <f t="shared" si="130"/>
        <v>6.7576207998846324E-2</v>
      </c>
      <c r="P194" s="3">
        <f t="shared" si="130"/>
        <v>6.7576207998843979E-2</v>
      </c>
      <c r="Q194" s="3">
        <f t="shared" si="130"/>
        <v>6.7576207998820484E-2</v>
      </c>
      <c r="R194" s="3">
        <f t="shared" si="130"/>
        <v>6.7576207998585505E-2</v>
      </c>
      <c r="S194" s="3">
        <f t="shared" si="130"/>
        <v>6.7576207996235704E-2</v>
      </c>
      <c r="T194" s="3">
        <f t="shared" si="130"/>
        <v>6.7576207972737765E-2</v>
      </c>
      <c r="U194" s="3">
        <f t="shared" si="130"/>
        <v>6.7576207737758395E-2</v>
      </c>
      <c r="V194" s="3">
        <f t="shared" si="130"/>
        <v>6.757620538796473E-2</v>
      </c>
      <c r="W194" s="3">
        <f t="shared" si="130"/>
        <v>6.7576181890032588E-2</v>
      </c>
      <c r="X194" s="3">
        <f t="shared" si="130"/>
        <v>6.7575946911160464E-2</v>
      </c>
      <c r="Y194" s="3">
        <f t="shared" si="130"/>
        <v>6.7573597167378138E-2</v>
      </c>
      <c r="Z194" s="3">
        <f t="shared" si="130"/>
        <v>6.7550104222863699E-2</v>
      </c>
      <c r="AA194" s="3">
        <f t="shared" si="130"/>
        <v>6.7315623531033805E-2</v>
      </c>
      <c r="AB194" s="3">
        <f t="shared" si="130"/>
        <v>6.5015119916768505E-2</v>
      </c>
      <c r="AC194" s="3">
        <f t="shared" si="130"/>
        <v>4.59197291512497E-2</v>
      </c>
      <c r="AD194" s="3">
        <f t="shared" si="130"/>
        <v>1.4185636157006041E-3</v>
      </c>
      <c r="AE194" s="3">
        <f t="shared" si="130"/>
        <v>1.1229070392372718E-18</v>
      </c>
      <c r="AF194" s="3">
        <f t="shared" si="130"/>
        <v>1.0846601432681301E-169</v>
      </c>
      <c r="AG194" s="3"/>
      <c r="AH194" s="3"/>
    </row>
    <row r="195" spans="1:34" x14ac:dyDescent="0.25">
      <c r="B195" s="3">
        <f t="shared" ref="B195:AF195" si="131">$C42*EXP(-B$168/$A42/EXP(-$C$126))</f>
        <v>7.4650772379504848E-2</v>
      </c>
      <c r="C195" s="3">
        <f t="shared" si="131"/>
        <v>7.4650772379504848E-2</v>
      </c>
      <c r="D195" s="3">
        <f t="shared" si="131"/>
        <v>7.4650772379504848E-2</v>
      </c>
      <c r="E195" s="3">
        <f t="shared" si="131"/>
        <v>7.4650772379504848E-2</v>
      </c>
      <c r="F195" s="3">
        <f t="shared" si="131"/>
        <v>7.4650772379504848E-2</v>
      </c>
      <c r="G195" s="3">
        <f t="shared" si="131"/>
        <v>7.4650772379504848E-2</v>
      </c>
      <c r="H195" s="3">
        <f t="shared" si="131"/>
        <v>7.4650772379504848E-2</v>
      </c>
      <c r="I195" s="3">
        <f t="shared" si="131"/>
        <v>7.4650772379504848E-2</v>
      </c>
      <c r="J195" s="3">
        <f t="shared" si="131"/>
        <v>7.4650772379504848E-2</v>
      </c>
      <c r="K195" s="3">
        <f t="shared" si="131"/>
        <v>7.4650772379504848E-2</v>
      </c>
      <c r="L195" s="3">
        <f t="shared" si="131"/>
        <v>7.4650772379504848E-2</v>
      </c>
      <c r="M195" s="3">
        <f t="shared" si="131"/>
        <v>7.4650772379504848E-2</v>
      </c>
      <c r="N195" s="3">
        <f t="shared" si="131"/>
        <v>7.4650772379504848E-2</v>
      </c>
      <c r="O195" s="3">
        <f t="shared" si="131"/>
        <v>7.4650772379504821E-2</v>
      </c>
      <c r="P195" s="3">
        <f t="shared" si="131"/>
        <v>7.4650772379504557E-2</v>
      </c>
      <c r="Q195" s="3">
        <f t="shared" si="131"/>
        <v>7.4650772379501962E-2</v>
      </c>
      <c r="R195" s="3">
        <f t="shared" si="131"/>
        <v>7.465077237947601E-2</v>
      </c>
      <c r="S195" s="3">
        <f t="shared" si="131"/>
        <v>7.4650772379216426E-2</v>
      </c>
      <c r="T195" s="3">
        <f t="shared" si="131"/>
        <v>7.4650772376620628E-2</v>
      </c>
      <c r="U195" s="3">
        <f t="shared" si="131"/>
        <v>7.4650772350662684E-2</v>
      </c>
      <c r="V195" s="3">
        <f t="shared" si="131"/>
        <v>7.4650772091083298E-2</v>
      </c>
      <c r="W195" s="3">
        <f t="shared" si="131"/>
        <v>7.4650769495289343E-2</v>
      </c>
      <c r="X195" s="3">
        <f t="shared" si="131"/>
        <v>7.4650743537354791E-2</v>
      </c>
      <c r="Y195" s="3">
        <f t="shared" si="131"/>
        <v>7.4650483958505723E-2</v>
      </c>
      <c r="Z195" s="3">
        <f t="shared" si="131"/>
        <v>7.4647888219658592E-2</v>
      </c>
      <c r="AA195" s="3">
        <f t="shared" si="131"/>
        <v>7.4621935794901326E-2</v>
      </c>
      <c r="AB195" s="3">
        <f t="shared" si="131"/>
        <v>7.4362907280701759E-2</v>
      </c>
      <c r="AC195" s="3">
        <f t="shared" si="131"/>
        <v>7.182156356295899E-2</v>
      </c>
      <c r="AD195" s="3">
        <f t="shared" si="131"/>
        <v>5.0727073183167722E-2</v>
      </c>
      <c r="AE195" s="3">
        <f t="shared" si="131"/>
        <v>1.5670732750100549E-3</v>
      </c>
      <c r="AF195" s="3">
        <f t="shared" si="131"/>
        <v>1.2404643627070058E-18</v>
      </c>
      <c r="AG195" s="3"/>
      <c r="AH195" s="3"/>
    </row>
    <row r="196" spans="1:34" x14ac:dyDescent="0.25">
      <c r="B196" s="3">
        <f t="shared" ref="B196:AF196" si="132">$C43*EXP(-B$168/$A43/EXP(-$C$126))</f>
        <v>4.2437426023751848E-2</v>
      </c>
      <c r="C196" s="3">
        <f t="shared" si="132"/>
        <v>4.2437426023751848E-2</v>
      </c>
      <c r="D196" s="3">
        <f t="shared" si="132"/>
        <v>4.2437426023751848E-2</v>
      </c>
      <c r="E196" s="3">
        <f t="shared" si="132"/>
        <v>4.2437426023751848E-2</v>
      </c>
      <c r="F196" s="3">
        <f t="shared" si="132"/>
        <v>4.2437426023751848E-2</v>
      </c>
      <c r="G196" s="3">
        <f t="shared" si="132"/>
        <v>4.2437426023751848E-2</v>
      </c>
      <c r="H196" s="3">
        <f t="shared" si="132"/>
        <v>4.2437426023751848E-2</v>
      </c>
      <c r="I196" s="3">
        <f t="shared" si="132"/>
        <v>4.2437426023751848E-2</v>
      </c>
      <c r="J196" s="3">
        <f t="shared" si="132"/>
        <v>4.2437426023751848E-2</v>
      </c>
      <c r="K196" s="3">
        <f t="shared" si="132"/>
        <v>4.2437426023751848E-2</v>
      </c>
      <c r="L196" s="3">
        <f t="shared" si="132"/>
        <v>4.2437426023751848E-2</v>
      </c>
      <c r="M196" s="3">
        <f t="shared" si="132"/>
        <v>4.2437426023751848E-2</v>
      </c>
      <c r="N196" s="3">
        <f t="shared" si="132"/>
        <v>4.2437426023751848E-2</v>
      </c>
      <c r="O196" s="3">
        <f t="shared" si="132"/>
        <v>4.2437426023751848E-2</v>
      </c>
      <c r="P196" s="3">
        <f t="shared" si="132"/>
        <v>4.2437426023751834E-2</v>
      </c>
      <c r="Q196" s="3">
        <f t="shared" si="132"/>
        <v>4.2437426023751681E-2</v>
      </c>
      <c r="R196" s="3">
        <f t="shared" si="132"/>
        <v>4.243742602375021E-2</v>
      </c>
      <c r="S196" s="3">
        <f t="shared" si="132"/>
        <v>4.2437426023735451E-2</v>
      </c>
      <c r="T196" s="3">
        <f t="shared" si="132"/>
        <v>4.2437426023587889E-2</v>
      </c>
      <c r="U196" s="3">
        <f t="shared" si="132"/>
        <v>4.2437426022112229E-2</v>
      </c>
      <c r="V196" s="3">
        <f t="shared" si="132"/>
        <v>4.2437426007355672E-2</v>
      </c>
      <c r="W196" s="3">
        <f t="shared" si="132"/>
        <v>4.2437425859790136E-2</v>
      </c>
      <c r="X196" s="3">
        <f t="shared" si="132"/>
        <v>4.2437424384134753E-2</v>
      </c>
      <c r="Y196" s="3">
        <f t="shared" si="132"/>
        <v>4.2437409627583793E-2</v>
      </c>
      <c r="Z196" s="3">
        <f t="shared" si="132"/>
        <v>4.243726206235636E-2</v>
      </c>
      <c r="AA196" s="3">
        <f t="shared" si="132"/>
        <v>4.2435786438303306E-2</v>
      </c>
      <c r="AB196" s="3">
        <f t="shared" si="132"/>
        <v>4.2421033019541941E-2</v>
      </c>
      <c r="AC196" s="3">
        <f t="shared" si="132"/>
        <v>4.2273780646137106E-2</v>
      </c>
      <c r="AD196" s="3">
        <f t="shared" si="132"/>
        <v>4.0829079103407398E-2</v>
      </c>
      <c r="AE196" s="3">
        <f t="shared" si="132"/>
        <v>2.8837295944752355E-2</v>
      </c>
      <c r="AF196" s="3">
        <f t="shared" si="132"/>
        <v>8.908488695060819E-4</v>
      </c>
      <c r="AG196" s="3"/>
      <c r="AH196" s="3"/>
    </row>
    <row r="197" spans="1:34" x14ac:dyDescent="0.25">
      <c r="B197" s="3">
        <f t="shared" ref="B197:AF197" si="133">$C44*EXP(-B$168/$A44/EXP(-$C$126))</f>
        <v>2.9362775672931045E-2</v>
      </c>
      <c r="C197" s="3">
        <f t="shared" si="133"/>
        <v>2.9362775672931045E-2</v>
      </c>
      <c r="D197" s="3">
        <f t="shared" si="133"/>
        <v>2.9362775672931045E-2</v>
      </c>
      <c r="E197" s="3">
        <f t="shared" si="133"/>
        <v>2.9362775672931045E-2</v>
      </c>
      <c r="F197" s="3">
        <f t="shared" si="133"/>
        <v>2.9362775672931045E-2</v>
      </c>
      <c r="G197" s="3">
        <f t="shared" si="133"/>
        <v>2.9362775672931045E-2</v>
      </c>
      <c r="H197" s="3">
        <f t="shared" si="133"/>
        <v>2.9362775672931045E-2</v>
      </c>
      <c r="I197" s="3">
        <f t="shared" si="133"/>
        <v>2.9362775672931045E-2</v>
      </c>
      <c r="J197" s="3">
        <f t="shared" si="133"/>
        <v>2.9362775672931045E-2</v>
      </c>
      <c r="K197" s="3">
        <f t="shared" si="133"/>
        <v>2.9362775672931045E-2</v>
      </c>
      <c r="L197" s="3">
        <f t="shared" si="133"/>
        <v>2.9362775672931045E-2</v>
      </c>
      <c r="M197" s="3">
        <f t="shared" si="133"/>
        <v>2.9362775672931045E-2</v>
      </c>
      <c r="N197" s="3">
        <f t="shared" si="133"/>
        <v>2.9362775672931045E-2</v>
      </c>
      <c r="O197" s="3">
        <f t="shared" si="133"/>
        <v>2.9362775672931045E-2</v>
      </c>
      <c r="P197" s="3">
        <f t="shared" si="133"/>
        <v>2.9362775672931045E-2</v>
      </c>
      <c r="Q197" s="3">
        <f t="shared" si="133"/>
        <v>2.9362775672931034E-2</v>
      </c>
      <c r="R197" s="3">
        <f t="shared" si="133"/>
        <v>2.936277567293093E-2</v>
      </c>
      <c r="S197" s="3">
        <f t="shared" si="133"/>
        <v>2.936277567292991E-2</v>
      </c>
      <c r="T197" s="3">
        <f t="shared" si="133"/>
        <v>2.93627756729197E-2</v>
      </c>
      <c r="U197" s="3">
        <f t="shared" si="133"/>
        <v>2.9362775672817601E-2</v>
      </c>
      <c r="V197" s="3">
        <f t="shared" si="133"/>
        <v>2.9362775671796581E-2</v>
      </c>
      <c r="W197" s="3">
        <f t="shared" si="133"/>
        <v>2.9362775661586408E-2</v>
      </c>
      <c r="X197" s="3">
        <f t="shared" si="133"/>
        <v>2.9362775559484699E-2</v>
      </c>
      <c r="Y197" s="3">
        <f t="shared" si="133"/>
        <v>2.9362774538467591E-2</v>
      </c>
      <c r="Z197" s="3">
        <f t="shared" si="133"/>
        <v>2.9362764328298496E-2</v>
      </c>
      <c r="AA197" s="3">
        <f t="shared" si="133"/>
        <v>2.9362662226802807E-2</v>
      </c>
      <c r="AB197" s="3">
        <f t="shared" si="133"/>
        <v>2.9361641231372426E-2</v>
      </c>
      <c r="AC197" s="3">
        <f t="shared" si="133"/>
        <v>2.9351433229472024E-2</v>
      </c>
      <c r="AD197" s="3">
        <f t="shared" si="133"/>
        <v>2.9249548199848104E-2</v>
      </c>
      <c r="AE197" s="3">
        <f t="shared" si="133"/>
        <v>2.8249948287973909E-2</v>
      </c>
      <c r="AF197" s="3">
        <f t="shared" si="133"/>
        <v>1.9952742924742254E-2</v>
      </c>
      <c r="AG197" s="3"/>
      <c r="AH197" s="3"/>
    </row>
    <row r="198" spans="1:34" x14ac:dyDescent="0.25">
      <c r="B198" s="3">
        <f t="shared" ref="B198:AF198" si="134">$C45*EXP(-B$168/$A45/EXP(-$C$126))</f>
        <v>1.3317924951321973E-2</v>
      </c>
      <c r="C198" s="3">
        <f t="shared" si="134"/>
        <v>1.3317924951321973E-2</v>
      </c>
      <c r="D198" s="3">
        <f t="shared" si="134"/>
        <v>1.3317924951321973E-2</v>
      </c>
      <c r="E198" s="3">
        <f t="shared" si="134"/>
        <v>1.3317924951321973E-2</v>
      </c>
      <c r="F198" s="3">
        <f t="shared" si="134"/>
        <v>1.3317924951321973E-2</v>
      </c>
      <c r="G198" s="3">
        <f t="shared" si="134"/>
        <v>1.3317924951321973E-2</v>
      </c>
      <c r="H198" s="3">
        <f t="shared" si="134"/>
        <v>1.3317924951321973E-2</v>
      </c>
      <c r="I198" s="3">
        <f t="shared" si="134"/>
        <v>1.3317924951321973E-2</v>
      </c>
      <c r="J198" s="3">
        <f t="shared" si="134"/>
        <v>1.3317924951321973E-2</v>
      </c>
      <c r="K198" s="3">
        <f t="shared" si="134"/>
        <v>1.3317924951321973E-2</v>
      </c>
      <c r="L198" s="3">
        <f t="shared" si="134"/>
        <v>1.3317924951321973E-2</v>
      </c>
      <c r="M198" s="3">
        <f t="shared" si="134"/>
        <v>1.3317924951321973E-2</v>
      </c>
      <c r="N198" s="3">
        <f t="shared" si="134"/>
        <v>1.3317924951321973E-2</v>
      </c>
      <c r="O198" s="3">
        <f t="shared" si="134"/>
        <v>1.3317924951321973E-2</v>
      </c>
      <c r="P198" s="3">
        <f t="shared" si="134"/>
        <v>1.3317924951321973E-2</v>
      </c>
      <c r="Q198" s="3">
        <f t="shared" si="134"/>
        <v>1.3317924951321973E-2</v>
      </c>
      <c r="R198" s="3">
        <f t="shared" si="134"/>
        <v>1.3317924951321967E-2</v>
      </c>
      <c r="S198" s="3">
        <f t="shared" si="134"/>
        <v>1.3317924951321921E-2</v>
      </c>
      <c r="T198" s="3">
        <f t="shared" si="134"/>
        <v>1.3317924951321457E-2</v>
      </c>
      <c r="U198" s="3">
        <f t="shared" si="134"/>
        <v>1.3317924951316827E-2</v>
      </c>
      <c r="V198" s="3">
        <f t="shared" si="134"/>
        <v>1.3317924951270517E-2</v>
      </c>
      <c r="W198" s="3">
        <f t="shared" si="134"/>
        <v>1.3317924950807421E-2</v>
      </c>
      <c r="X198" s="3">
        <f t="shared" si="134"/>
        <v>1.3317924946176443E-2</v>
      </c>
      <c r="Y198" s="3">
        <f t="shared" si="134"/>
        <v>1.331792489986669E-2</v>
      </c>
      <c r="Z198" s="3">
        <f t="shared" si="134"/>
        <v>1.3317924436769149E-2</v>
      </c>
      <c r="AA198" s="3">
        <f t="shared" si="134"/>
        <v>1.3317919805794637E-2</v>
      </c>
      <c r="AB198" s="3">
        <f t="shared" si="134"/>
        <v>1.3317873496138078E-2</v>
      </c>
      <c r="AC198" s="3">
        <f t="shared" si="134"/>
        <v>1.3317410408429037E-2</v>
      </c>
      <c r="AD198" s="3">
        <f t="shared" si="134"/>
        <v>1.3312780416880322E-2</v>
      </c>
      <c r="AE198" s="3">
        <f t="shared" si="134"/>
        <v>1.3266568941735434E-2</v>
      </c>
      <c r="AF198" s="3">
        <f t="shared" si="134"/>
        <v>1.281318548929973E-2</v>
      </c>
      <c r="AG198" s="3"/>
      <c r="AH198" s="3"/>
    </row>
    <row r="199" spans="1:34" x14ac:dyDescent="0.25">
      <c r="B199" s="3">
        <f t="shared" ref="B199:AF199" si="135">$C46*EXP(-B$168/$A46/EXP(-$C$126))</f>
        <v>4.0600750332731679E-3</v>
      </c>
      <c r="C199" s="3">
        <f t="shared" si="135"/>
        <v>4.0600750332731679E-3</v>
      </c>
      <c r="D199" s="3">
        <f t="shared" si="135"/>
        <v>4.0600750332731679E-3</v>
      </c>
      <c r="E199" s="3">
        <f t="shared" si="135"/>
        <v>4.0600750332731679E-3</v>
      </c>
      <c r="F199" s="3">
        <f t="shared" si="135"/>
        <v>4.0600750332731679E-3</v>
      </c>
      <c r="G199" s="3">
        <f t="shared" si="135"/>
        <v>4.0600750332731679E-3</v>
      </c>
      <c r="H199" s="3">
        <f t="shared" si="135"/>
        <v>4.0600750332731679E-3</v>
      </c>
      <c r="I199" s="3">
        <f t="shared" si="135"/>
        <v>4.0600750332731679E-3</v>
      </c>
      <c r="J199" s="3">
        <f t="shared" si="135"/>
        <v>4.0600750332731679E-3</v>
      </c>
      <c r="K199" s="3">
        <f t="shared" si="135"/>
        <v>4.0600750332731679E-3</v>
      </c>
      <c r="L199" s="3">
        <f t="shared" si="135"/>
        <v>4.0600750332731679E-3</v>
      </c>
      <c r="M199" s="3">
        <f t="shared" si="135"/>
        <v>4.0600750332731679E-3</v>
      </c>
      <c r="N199" s="3">
        <f t="shared" si="135"/>
        <v>4.0600750332731679E-3</v>
      </c>
      <c r="O199" s="3">
        <f t="shared" si="135"/>
        <v>4.0600750332731679E-3</v>
      </c>
      <c r="P199" s="3">
        <f t="shared" si="135"/>
        <v>4.0600750332731679E-3</v>
      </c>
      <c r="Q199" s="3">
        <f t="shared" si="135"/>
        <v>4.0600750332731679E-3</v>
      </c>
      <c r="R199" s="3">
        <f t="shared" si="135"/>
        <v>4.0600750332731679E-3</v>
      </c>
      <c r="S199" s="3">
        <f t="shared" si="135"/>
        <v>4.0600750332731661E-3</v>
      </c>
      <c r="T199" s="3">
        <f t="shared" si="135"/>
        <v>4.0600750332731523E-3</v>
      </c>
      <c r="U199" s="3">
        <f t="shared" si="135"/>
        <v>4.0600750332730109E-3</v>
      </c>
      <c r="V199" s="3">
        <f t="shared" si="135"/>
        <v>4.0600750332715988E-3</v>
      </c>
      <c r="W199" s="3">
        <f t="shared" si="135"/>
        <v>4.0600750332574816E-3</v>
      </c>
      <c r="X199" s="3">
        <f t="shared" si="135"/>
        <v>4.060075033116302E-3</v>
      </c>
      <c r="Y199" s="3">
        <f t="shared" si="135"/>
        <v>4.0600750317045129E-3</v>
      </c>
      <c r="Z199" s="3">
        <f t="shared" si="135"/>
        <v>4.0600750175866169E-3</v>
      </c>
      <c r="AA199" s="3">
        <f t="shared" si="135"/>
        <v>4.0600748764076594E-3</v>
      </c>
      <c r="AB199" s="3">
        <f t="shared" si="135"/>
        <v>4.0600734646183551E-3</v>
      </c>
      <c r="AC199" s="3">
        <f t="shared" si="135"/>
        <v>4.0600593467523156E-3</v>
      </c>
      <c r="AD199" s="3">
        <f t="shared" si="135"/>
        <v>4.0599181707919041E-3</v>
      </c>
      <c r="AE199" s="3">
        <f t="shared" si="135"/>
        <v>4.0585066811521953E-3</v>
      </c>
      <c r="AF199" s="3">
        <f t="shared" si="135"/>
        <v>4.0444187464947871E-3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6.6069827735831333E-3</v>
      </c>
      <c r="C201" s="3">
        <f t="shared" si="137"/>
        <v>6.6069827735831333E-3</v>
      </c>
      <c r="D201" s="3">
        <f t="shared" si="137"/>
        <v>6.6069827735831333E-3</v>
      </c>
      <c r="E201" s="3">
        <f t="shared" si="137"/>
        <v>6.6069827735831333E-3</v>
      </c>
      <c r="F201" s="3">
        <f t="shared" si="137"/>
        <v>6.6069827735831333E-3</v>
      </c>
      <c r="G201" s="3">
        <f t="shared" si="137"/>
        <v>6.6069827735831333E-3</v>
      </c>
      <c r="H201" s="3">
        <f t="shared" si="137"/>
        <v>6.6069827735831333E-3</v>
      </c>
      <c r="I201" s="3">
        <f t="shared" si="137"/>
        <v>6.6069827735831333E-3</v>
      </c>
      <c r="J201" s="3">
        <f t="shared" si="137"/>
        <v>6.6069827735831333E-3</v>
      </c>
      <c r="K201" s="3">
        <f t="shared" si="137"/>
        <v>6.6069827735831333E-3</v>
      </c>
      <c r="L201" s="3">
        <f t="shared" si="137"/>
        <v>6.6069827735831333E-3</v>
      </c>
      <c r="M201" s="3">
        <f t="shared" si="137"/>
        <v>6.6069827735831333E-3</v>
      </c>
      <c r="N201" s="3">
        <f t="shared" si="137"/>
        <v>6.6069827735831333E-3</v>
      </c>
      <c r="O201" s="3">
        <f t="shared" si="137"/>
        <v>6.6069827735831333E-3</v>
      </c>
      <c r="P201" s="3">
        <f t="shared" si="137"/>
        <v>6.6069827735831333E-3</v>
      </c>
      <c r="Q201" s="3">
        <f t="shared" si="137"/>
        <v>6.6069827735831333E-3</v>
      </c>
      <c r="R201" s="3">
        <f t="shared" si="137"/>
        <v>6.6069827735831333E-3</v>
      </c>
      <c r="S201" s="3">
        <f t="shared" si="137"/>
        <v>6.6069827735831333E-3</v>
      </c>
      <c r="T201" s="3">
        <f t="shared" si="137"/>
        <v>6.6069827735831333E-3</v>
      </c>
      <c r="U201" s="3">
        <f t="shared" si="137"/>
        <v>6.6069827735831307E-3</v>
      </c>
      <c r="V201" s="3">
        <f t="shared" si="137"/>
        <v>6.6069827735831073E-3</v>
      </c>
      <c r="W201" s="3">
        <f t="shared" si="137"/>
        <v>6.6069827735828783E-3</v>
      </c>
      <c r="X201" s="3">
        <f t="shared" si="137"/>
        <v>6.6069827735805806E-3</v>
      </c>
      <c r="Y201" s="3">
        <f t="shared" si="137"/>
        <v>6.6069827735576068E-3</v>
      </c>
      <c r="Z201" s="3">
        <f t="shared" si="137"/>
        <v>6.6069827733278652E-3</v>
      </c>
      <c r="AA201" s="3">
        <f t="shared" si="137"/>
        <v>6.6069827710304521E-3</v>
      </c>
      <c r="AB201" s="3">
        <f t="shared" si="137"/>
        <v>6.6069827480563217E-3</v>
      </c>
      <c r="AC201" s="3">
        <f t="shared" si="137"/>
        <v>6.606982518315015E-3</v>
      </c>
      <c r="AD201" s="3">
        <f t="shared" si="137"/>
        <v>6.6069802209023972E-3</v>
      </c>
      <c r="AE201" s="3">
        <f t="shared" si="137"/>
        <v>6.6069572468201547E-3</v>
      </c>
      <c r="AF201" s="3">
        <f t="shared" si="137"/>
        <v>6.6067275103914337E-3</v>
      </c>
      <c r="AG201" s="3"/>
      <c r="AH201" s="3"/>
    </row>
    <row r="202" spans="1:34" x14ac:dyDescent="0.25">
      <c r="A202" s="79">
        <f>AVERAGE(B202:AF202)</f>
        <v>8.7356409263987952E-2</v>
      </c>
      <c r="B202" s="80">
        <f>IF($A$64&lt;=B168,IF($B$64&gt;=B168,ABS((B170-B169)/B169),0),0)</f>
        <v>1.1707649701897084E-2</v>
      </c>
      <c r="C202" s="80">
        <f t="shared" ref="C202:AF202" si="138">IF($A$64&lt;=C168,IF($B$64&gt;=C168,ABS((C170-C169)/C169),0),0)</f>
        <v>1.171769366849597E-2</v>
      </c>
      <c r="D202" s="80">
        <f t="shared" si="138"/>
        <v>1.1712413506963584E-2</v>
      </c>
      <c r="E202" s="80">
        <f t="shared" si="138"/>
        <v>1.1711047660883914E-2</v>
      </c>
      <c r="F202" s="80">
        <f t="shared" si="138"/>
        <v>1.1710656230593402E-2</v>
      </c>
      <c r="G202" s="80">
        <f t="shared" si="138"/>
        <v>1.1710531318072825E-2</v>
      </c>
      <c r="H202" s="80">
        <f t="shared" si="138"/>
        <v>1.1710498129124215E-2</v>
      </c>
      <c r="I202" s="80">
        <f t="shared" si="138"/>
        <v>1.1710482716197408E-2</v>
      </c>
      <c r="J202" s="80">
        <f t="shared" si="138"/>
        <v>1.1710495153526563E-2</v>
      </c>
      <c r="K202" s="80">
        <f t="shared" si="138"/>
        <v>1.1710602869305505E-2</v>
      </c>
      <c r="L202" s="80">
        <f t="shared" si="138"/>
        <v>1.1711821523221422E-2</v>
      </c>
      <c r="M202" s="80">
        <f t="shared" si="138"/>
        <v>1.1723891256673955E-2</v>
      </c>
      <c r="N202" s="80">
        <f t="shared" si="138"/>
        <v>1.184377818175745E-2</v>
      </c>
      <c r="O202" s="80">
        <f t="shared" si="138"/>
        <v>1.2967392447450449E-2</v>
      </c>
      <c r="P202" s="80">
        <f t="shared" si="138"/>
        <v>2.0731216428113142E-2</v>
      </c>
      <c r="Q202" s="80">
        <f t="shared" si="138"/>
        <v>3.877625494197276E-2</v>
      </c>
      <c r="R202" s="80">
        <f t="shared" si="138"/>
        <v>4.1620573324959532E-2</v>
      </c>
      <c r="S202" s="80">
        <f t="shared" si="138"/>
        <v>4.7574993630997021E-2</v>
      </c>
      <c r="T202" s="80">
        <f t="shared" si="138"/>
        <v>4.3091676411457842E-2</v>
      </c>
      <c r="U202" s="80">
        <f t="shared" si="138"/>
        <v>2.1470350070148794E-3</v>
      </c>
      <c r="V202" s="80">
        <f t="shared" si="138"/>
        <v>0.10591649413897816</v>
      </c>
      <c r="W202" s="80">
        <f t="shared" si="138"/>
        <v>0.14818623646637619</v>
      </c>
      <c r="X202" s="80">
        <f t="shared" si="138"/>
        <v>0.11020295208107485</v>
      </c>
      <c r="Y202" s="80">
        <f t="shared" si="138"/>
        <v>4.666359196077409E-2</v>
      </c>
      <c r="Z202" s="80">
        <f t="shared" si="138"/>
        <v>1.8811062392953895E-2</v>
      </c>
      <c r="AA202" s="80">
        <f t="shared" si="138"/>
        <v>7.0336026446378513E-2</v>
      </c>
      <c r="AB202" s="80">
        <f t="shared" si="138"/>
        <v>0.16390144348492142</v>
      </c>
      <c r="AC202" s="80">
        <f t="shared" si="138"/>
        <v>0.25288263810713146</v>
      </c>
      <c r="AD202" s="80">
        <f t="shared" si="138"/>
        <v>0.368104689658033</v>
      </c>
      <c r="AE202" s="80">
        <f t="shared" si="138"/>
        <v>0.50503215231609688</v>
      </c>
      <c r="AF202" s="80">
        <f t="shared" si="138"/>
        <v>0.55871069602222934</v>
      </c>
    </row>
    <row r="203" spans="1:34" x14ac:dyDescent="0.25">
      <c r="B203" s="21">
        <f>(B170-B169)^2</f>
        <v>7452.4759243983699</v>
      </c>
      <c r="C203" s="21">
        <f t="shared" ref="C203:AF203" si="139">(C170-C169)^2</f>
        <v>7465.4200749476568</v>
      </c>
      <c r="D203" s="21">
        <f t="shared" si="139"/>
        <v>7458.6138397351251</v>
      </c>
      <c r="E203" s="21">
        <f t="shared" si="139"/>
        <v>7456.8537536139138</v>
      </c>
      <c r="F203" s="21">
        <f t="shared" si="139"/>
        <v>7456.3493794146871</v>
      </c>
      <c r="G203" s="21">
        <f t="shared" si="139"/>
        <v>7456.1884279326914</v>
      </c>
      <c r="H203" s="21">
        <f t="shared" si="139"/>
        <v>7456.1456619930577</v>
      </c>
      <c r="I203" s="21">
        <f t="shared" si="139"/>
        <v>7456.1257836652221</v>
      </c>
      <c r="J203" s="21">
        <f t="shared" si="139"/>
        <v>7456.1416214990786</v>
      </c>
      <c r="K203" s="21">
        <f t="shared" si="139"/>
        <v>7456.2785373420711</v>
      </c>
      <c r="L203" s="21">
        <f t="shared" si="139"/>
        <v>7457.8301035590348</v>
      </c>
      <c r="M203" s="21">
        <f t="shared" si="139"/>
        <v>7473.2040892501982</v>
      </c>
      <c r="N203" s="21">
        <f t="shared" si="139"/>
        <v>7626.7707375996661</v>
      </c>
      <c r="O203" s="21">
        <f t="shared" si="139"/>
        <v>9141.855571356482</v>
      </c>
      <c r="P203" s="21">
        <f t="shared" si="139"/>
        <v>23349.091522269995</v>
      </c>
      <c r="Q203" s="21">
        <f t="shared" si="139"/>
        <v>81152.679933546562</v>
      </c>
      <c r="R203" s="21">
        <f t="shared" si="139"/>
        <v>90436.872667007046</v>
      </c>
      <c r="S203" s="21">
        <f t="shared" si="139"/>
        <v>113280.85695906282</v>
      </c>
      <c r="T203" s="21">
        <f t="shared" si="139"/>
        <v>86809.424329046029</v>
      </c>
      <c r="U203" s="21">
        <f t="shared" si="139"/>
        <v>182.36194875199877</v>
      </c>
      <c r="V203" s="21">
        <f t="shared" si="139"/>
        <v>326289.82541532035</v>
      </c>
      <c r="W203" s="21">
        <f t="shared" si="139"/>
        <v>456355.13668894279</v>
      </c>
      <c r="X203" s="21">
        <f t="shared" si="139"/>
        <v>187338.30544683553</v>
      </c>
      <c r="Y203" s="21">
        <f t="shared" si="139"/>
        <v>26231.458357445732</v>
      </c>
      <c r="Z203" s="21">
        <f t="shared" si="139"/>
        <v>3442.6326159755408</v>
      </c>
      <c r="AA203" s="21">
        <f t="shared" si="139"/>
        <v>39326.79068975136</v>
      </c>
      <c r="AB203" s="21">
        <f t="shared" si="139"/>
        <v>171397.02882047501</v>
      </c>
      <c r="AC203" s="21">
        <f t="shared" si="139"/>
        <v>304657.9883060939</v>
      </c>
      <c r="AD203" s="21">
        <f t="shared" si="139"/>
        <v>432172.25118721917</v>
      </c>
      <c r="AE203" s="21">
        <f t="shared" si="139"/>
        <v>456415.53609454981</v>
      </c>
      <c r="AF203" s="21">
        <f t="shared" si="139"/>
        <v>233305.39217941798</v>
      </c>
      <c r="AG203" s="3"/>
      <c r="AH203" s="3"/>
    </row>
    <row r="204" spans="1:34" x14ac:dyDescent="0.25">
      <c r="A204" s="71">
        <f>SUM(B204:AF204)</f>
        <v>3138413.8866680185</v>
      </c>
      <c r="B204" s="60">
        <f>IF($A$64&lt;=B168,IF($B$64&gt;=B168,ABS(B203),0),0)</f>
        <v>7452.4759243983699</v>
      </c>
      <c r="C204" s="60">
        <f t="shared" ref="C204" si="140">IF($A$64&lt;=C168,IF($B$64&gt;=C168,ABS(C203),0),0)</f>
        <v>7465.4200749476568</v>
      </c>
      <c r="D204" s="60">
        <f t="shared" ref="D204" si="141">IF($A$64&lt;=D168,IF($B$64&gt;=D168,ABS(D203),0),0)</f>
        <v>7458.6138397351251</v>
      </c>
      <c r="E204" s="60">
        <f t="shared" ref="E204" si="142">IF($A$64&lt;=E168,IF($B$64&gt;=E168,ABS(E203),0),0)</f>
        <v>7456.8537536139138</v>
      </c>
      <c r="F204" s="60">
        <f t="shared" ref="F204" si="143">IF($A$64&lt;=F168,IF($B$64&gt;=F168,ABS(F203),0),0)</f>
        <v>7456.3493794146871</v>
      </c>
      <c r="G204" s="60">
        <f t="shared" ref="G204" si="144">IF($A$64&lt;=G168,IF($B$64&gt;=G168,ABS(G203),0),0)</f>
        <v>7456.1884279326914</v>
      </c>
      <c r="H204" s="60">
        <f t="shared" ref="H204" si="145">IF($A$64&lt;=H168,IF($B$64&gt;=H168,ABS(H203),0),0)</f>
        <v>7456.1456619930577</v>
      </c>
      <c r="I204" s="60">
        <f t="shared" ref="I204" si="146">IF($A$64&lt;=I168,IF($B$64&gt;=I168,ABS(I203),0),0)</f>
        <v>7456.1257836652221</v>
      </c>
      <c r="J204" s="60">
        <f t="shared" ref="J204" si="147">IF($A$64&lt;=J168,IF($B$64&gt;=J168,ABS(J203),0),0)</f>
        <v>7456.1416214990786</v>
      </c>
      <c r="K204" s="60">
        <f t="shared" ref="K204" si="148">IF($A$64&lt;=K168,IF($B$64&gt;=K168,ABS(K203),0),0)</f>
        <v>7456.2785373420711</v>
      </c>
      <c r="L204" s="60">
        <f t="shared" ref="L204" si="149">IF($A$64&lt;=L168,IF($B$64&gt;=L168,ABS(L203),0),0)</f>
        <v>7457.8301035590348</v>
      </c>
      <c r="M204" s="60">
        <f t="shared" ref="M204" si="150">IF($A$64&lt;=M168,IF($B$64&gt;=M168,ABS(M203),0),0)</f>
        <v>7473.2040892501982</v>
      </c>
      <c r="N204" s="60">
        <f t="shared" ref="N204" si="151">IF($A$64&lt;=N168,IF($B$64&gt;=N168,ABS(N203),0),0)</f>
        <v>7626.7707375996661</v>
      </c>
      <c r="O204" s="60">
        <f t="shared" ref="O204" si="152">IF($A$64&lt;=O168,IF($B$64&gt;=O168,ABS(O203),0),0)</f>
        <v>9141.855571356482</v>
      </c>
      <c r="P204" s="60">
        <f t="shared" ref="P204" si="153">IF($A$64&lt;=P168,IF($B$64&gt;=P168,ABS(P203),0),0)</f>
        <v>23349.091522269995</v>
      </c>
      <c r="Q204" s="60">
        <f t="shared" ref="Q204" si="154">IF($A$64&lt;=Q168,IF($B$64&gt;=Q168,ABS(Q203),0),0)</f>
        <v>81152.679933546562</v>
      </c>
      <c r="R204" s="60">
        <f t="shared" ref="R204" si="155">IF($A$64&lt;=R168,IF($B$64&gt;=R168,ABS(R203),0),0)</f>
        <v>90436.872667007046</v>
      </c>
      <c r="S204" s="60">
        <f t="shared" ref="S204" si="156">IF($A$64&lt;=S168,IF($B$64&gt;=S168,ABS(S203),0),0)</f>
        <v>113280.85695906282</v>
      </c>
      <c r="T204" s="60">
        <f t="shared" ref="T204" si="157">IF($A$64&lt;=T168,IF($B$64&gt;=T168,ABS(T203),0),0)</f>
        <v>86809.424329046029</v>
      </c>
      <c r="U204" s="60">
        <f t="shared" ref="U204" si="158">IF($A$64&lt;=U168,IF($B$64&gt;=U168,ABS(U203),0),0)</f>
        <v>182.36194875199877</v>
      </c>
      <c r="V204" s="60">
        <f t="shared" ref="V204" si="159">IF($A$64&lt;=V168,IF($B$64&gt;=V168,ABS(V203),0),0)</f>
        <v>326289.82541532035</v>
      </c>
      <c r="W204" s="60">
        <f t="shared" ref="W204" si="160">IF($A$64&lt;=W168,IF($B$64&gt;=W168,ABS(W203),0),0)</f>
        <v>456355.13668894279</v>
      </c>
      <c r="X204" s="60">
        <f t="shared" ref="X204" si="161">IF($A$64&lt;=X168,IF($B$64&gt;=X168,ABS(X203),0),0)</f>
        <v>187338.30544683553</v>
      </c>
      <c r="Y204" s="60">
        <f t="shared" ref="Y204" si="162">IF($A$64&lt;=Y168,IF($B$64&gt;=Y168,ABS(Y203),0),0)</f>
        <v>26231.458357445732</v>
      </c>
      <c r="Z204" s="60">
        <f t="shared" ref="Z204" si="163">IF($A$64&lt;=Z168,IF($B$64&gt;=Z168,ABS(Z203),0),0)</f>
        <v>3442.6326159755408</v>
      </c>
      <c r="AA204" s="60">
        <f t="shared" ref="AA204" si="164">IF($A$64&lt;=AA168,IF($B$64&gt;=AA168,ABS(AA203),0),0)</f>
        <v>39326.79068975136</v>
      </c>
      <c r="AB204" s="60">
        <f t="shared" ref="AB204" si="165">IF($A$64&lt;=AB168,IF($B$64&gt;=AB168,ABS(AB203),0),0)</f>
        <v>171397.02882047501</v>
      </c>
      <c r="AC204" s="60">
        <f t="shared" ref="AC204" si="166">IF($A$64&lt;=AC168,IF($B$64&gt;=AC168,ABS(AC203),0),0)</f>
        <v>304657.9883060939</v>
      </c>
      <c r="AD204" s="60">
        <f t="shared" ref="AD204" si="167">IF($A$64&lt;=AD168,IF($B$64&gt;=AD168,ABS(AD203),0),0)</f>
        <v>432172.25118721917</v>
      </c>
      <c r="AE204" s="60">
        <f t="shared" ref="AE204" si="168">IF($A$64&lt;=AE168,IF($B$64&gt;=AE168,ABS(AE203),0),0)</f>
        <v>456415.53609454981</v>
      </c>
      <c r="AF204" s="60">
        <f t="shared" ref="AF204" si="169">IF($A$64&lt;=AF168,IF($B$64&gt;=AF168,ABS(AF203),0),0)</f>
        <v>233305.39217941798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7287.2891982852352</v>
      </c>
      <c r="C209" s="27">
        <f t="shared" ref="C209:AF209" si="170">($C$17+SUM(C210:C240))*$B$51</f>
        <v>7287.2891982850106</v>
      </c>
      <c r="D209" s="27">
        <f t="shared" si="170"/>
        <v>7287.2891982827668</v>
      </c>
      <c r="E209" s="27">
        <f t="shared" si="170"/>
        <v>7287.2891982603442</v>
      </c>
      <c r="F209" s="27">
        <f t="shared" si="170"/>
        <v>7287.2891980361046</v>
      </c>
      <c r="G209" s="27">
        <f t="shared" si="170"/>
        <v>7287.2891957937118</v>
      </c>
      <c r="H209" s="27">
        <f t="shared" si="170"/>
        <v>7287.2891733697888</v>
      </c>
      <c r="I209" s="27">
        <f t="shared" si="170"/>
        <v>7287.2889491309279</v>
      </c>
      <c r="J209" s="27">
        <f t="shared" si="170"/>
        <v>7287.2867067800325</v>
      </c>
      <c r="K209" s="27">
        <f t="shared" si="170"/>
        <v>7287.2642870407017</v>
      </c>
      <c r="L209" s="27">
        <f t="shared" si="170"/>
        <v>7287.0404655189695</v>
      </c>
      <c r="M209" s="27">
        <f t="shared" si="170"/>
        <v>7284.8387746524622</v>
      </c>
      <c r="N209" s="27">
        <f t="shared" si="170"/>
        <v>7265.6393449513062</v>
      </c>
      <c r="O209" s="27">
        <f t="shared" si="170"/>
        <v>7158.2976171191876</v>
      </c>
      <c r="P209" s="27">
        <f t="shared" si="170"/>
        <v>7015.1210239522061</v>
      </c>
      <c r="Q209" s="27">
        <f t="shared" si="170"/>
        <v>6859.9296027867658</v>
      </c>
      <c r="R209" s="27">
        <f t="shared" si="170"/>
        <v>6671.8308703543789</v>
      </c>
      <c r="S209" s="27">
        <f t="shared" si="170"/>
        <v>6463.7978761901468</v>
      </c>
      <c r="T209" s="27">
        <f t="shared" si="170"/>
        <v>6204.2167383949782</v>
      </c>
      <c r="U209" s="27">
        <f t="shared" si="170"/>
        <v>5745.7290438207165</v>
      </c>
      <c r="V209" s="27">
        <f t="shared" si="170"/>
        <v>4928.9847359929836</v>
      </c>
      <c r="W209" s="27">
        <f t="shared" si="170"/>
        <v>4070.3150161225462</v>
      </c>
      <c r="X209" s="27">
        <f t="shared" si="170"/>
        <v>3397.0457983240162</v>
      </c>
      <c r="Y209" s="27">
        <f t="shared" si="170"/>
        <v>2876.8497909309499</v>
      </c>
      <c r="Z209" s="27">
        <f t="shared" si="170"/>
        <v>2407.3996632217245</v>
      </c>
      <c r="AA209" s="27">
        <f t="shared" si="170"/>
        <v>1935.7888602345149</v>
      </c>
      <c r="AB209" s="27">
        <f t="shared" si="170"/>
        <v>1446.3212066974206</v>
      </c>
      <c r="AC209" s="27">
        <f t="shared" si="170"/>
        <v>941.53088439675855</v>
      </c>
      <c r="AD209" s="27">
        <f t="shared" si="170"/>
        <v>548.42385504799847</v>
      </c>
      <c r="AE209" s="27">
        <f t="shared" si="170"/>
        <v>307.14667288297528</v>
      </c>
      <c r="AF209" s="27">
        <f t="shared" si="170"/>
        <v>170.13063911478051</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8.2357212068961364E-4</v>
      </c>
      <c r="C219" s="3">
        <f t="shared" si="180"/>
        <v>8.235721206817484E-4</v>
      </c>
      <c r="D219" s="3">
        <f t="shared" si="180"/>
        <v>8.235721206030955E-4</v>
      </c>
      <c r="E219" s="3">
        <f t="shared" si="180"/>
        <v>8.2357211981656678E-4</v>
      </c>
      <c r="F219" s="3">
        <f t="shared" si="180"/>
        <v>8.2357211195127936E-4</v>
      </c>
      <c r="G219" s="3">
        <f t="shared" si="180"/>
        <v>8.235720332984088E-4</v>
      </c>
      <c r="H219" s="3">
        <f t="shared" si="180"/>
        <v>8.2357124677011697E-4</v>
      </c>
      <c r="I219" s="3">
        <f t="shared" si="180"/>
        <v>8.235633815285115E-4</v>
      </c>
      <c r="J219" s="3">
        <f t="shared" si="180"/>
        <v>8.2348473324362801E-4</v>
      </c>
      <c r="K219" s="3">
        <f t="shared" si="180"/>
        <v>8.2269866336598548E-4</v>
      </c>
      <c r="L219" s="3">
        <f t="shared" si="180"/>
        <v>8.1487911615423208E-4</v>
      </c>
      <c r="M219" s="3">
        <f t="shared" si="180"/>
        <v>7.4065702856819624E-4</v>
      </c>
      <c r="N219" s="3">
        <f t="shared" si="180"/>
        <v>2.8500780641170487E-4</v>
      </c>
      <c r="O219" s="3">
        <f t="shared" si="180"/>
        <v>2.0288634872804123E-8</v>
      </c>
      <c r="P219" s="3">
        <f t="shared" si="180"/>
        <v>6.7797477311262437E-50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2.4665844117637246E-2</v>
      </c>
      <c r="C220" s="3">
        <f t="shared" si="181"/>
        <v>2.4665844117615996E-2</v>
      </c>
      <c r="D220" s="3">
        <f t="shared" si="181"/>
        <v>2.4665844117403496E-2</v>
      </c>
      <c r="E220" s="3">
        <f t="shared" si="181"/>
        <v>2.4665844115278512E-2</v>
      </c>
      <c r="F220" s="3">
        <f t="shared" si="181"/>
        <v>2.466584409402868E-2</v>
      </c>
      <c r="G220" s="3">
        <f t="shared" si="181"/>
        <v>2.4665843881530342E-2</v>
      </c>
      <c r="H220" s="3">
        <f t="shared" si="181"/>
        <v>2.4665841756547065E-2</v>
      </c>
      <c r="I220" s="3">
        <f t="shared" si="181"/>
        <v>2.4665820506724369E-2</v>
      </c>
      <c r="J220" s="3">
        <f t="shared" si="181"/>
        <v>2.4665608009504285E-2</v>
      </c>
      <c r="K220" s="3">
        <f t="shared" si="181"/>
        <v>2.4663483137987878E-2</v>
      </c>
      <c r="L220" s="3">
        <f t="shared" si="181"/>
        <v>2.4642244488060207E-2</v>
      </c>
      <c r="M220" s="3">
        <f t="shared" si="181"/>
        <v>2.4430861311426827E-2</v>
      </c>
      <c r="N220" s="3">
        <f t="shared" si="181"/>
        <v>2.2414236004484368E-2</v>
      </c>
      <c r="O220" s="3">
        <f t="shared" si="181"/>
        <v>9.4705578496367682E-3</v>
      </c>
      <c r="P220" s="3">
        <f t="shared" si="181"/>
        <v>1.71748032148456E-6</v>
      </c>
      <c r="Q220" s="3">
        <f t="shared" si="181"/>
        <v>6.6077538176856387E-44</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1.6291197925316622E-2</v>
      </c>
      <c r="C221" s="3">
        <f t="shared" si="182"/>
        <v>1.6291197925315356E-2</v>
      </c>
      <c r="D221" s="3">
        <f t="shared" si="182"/>
        <v>1.6291197925302696E-2</v>
      </c>
      <c r="E221" s="3">
        <f t="shared" si="182"/>
        <v>1.6291197925176089E-2</v>
      </c>
      <c r="F221" s="3">
        <f t="shared" si="182"/>
        <v>1.6291197923910015E-2</v>
      </c>
      <c r="G221" s="3">
        <f t="shared" si="182"/>
        <v>1.6291197911249274E-2</v>
      </c>
      <c r="H221" s="3">
        <f t="shared" si="182"/>
        <v>1.6291197784641852E-2</v>
      </c>
      <c r="I221" s="3">
        <f t="shared" si="182"/>
        <v>1.6291196518567686E-2</v>
      </c>
      <c r="J221" s="3">
        <f t="shared" si="182"/>
        <v>1.6291183857831435E-2</v>
      </c>
      <c r="K221" s="3">
        <f t="shared" si="182"/>
        <v>1.6291057251010106E-2</v>
      </c>
      <c r="L221" s="3">
        <f t="shared" si="182"/>
        <v>1.628979123691136E-2</v>
      </c>
      <c r="M221" s="3">
        <f t="shared" si="182"/>
        <v>1.6277136505824151E-2</v>
      </c>
      <c r="N221" s="3">
        <f t="shared" si="182"/>
        <v>1.615112863260898E-2</v>
      </c>
      <c r="O221" s="3">
        <f t="shared" si="182"/>
        <v>1.4943474251225745E-2</v>
      </c>
      <c r="P221" s="3">
        <f t="shared" si="182"/>
        <v>6.8697133445258466E-3</v>
      </c>
      <c r="Q221" s="3">
        <f t="shared" si="182"/>
        <v>2.8960694609177605E-6</v>
      </c>
      <c r="R221" s="3">
        <f t="shared" si="182"/>
        <v>5.1346702654736119E-40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2.6847553865855675E-2</v>
      </c>
      <c r="C222" s="3">
        <f t="shared" si="183"/>
        <v>2.6847553865855488E-2</v>
      </c>
      <c r="D222" s="3">
        <f t="shared" si="183"/>
        <v>2.6847553865853604E-2</v>
      </c>
      <c r="E222" s="3">
        <f t="shared" si="183"/>
        <v>2.6847553865834782E-2</v>
      </c>
      <c r="F222" s="3">
        <f t="shared" si="183"/>
        <v>2.6847553865646565E-2</v>
      </c>
      <c r="G222" s="3">
        <f t="shared" si="183"/>
        <v>2.6847553863764403E-2</v>
      </c>
      <c r="H222" s="3">
        <f t="shared" si="183"/>
        <v>2.6847553844942765E-2</v>
      </c>
      <c r="I222" s="3">
        <f t="shared" si="183"/>
        <v>2.6847553656726364E-2</v>
      </c>
      <c r="J222" s="3">
        <f t="shared" si="183"/>
        <v>2.684755177456245E-2</v>
      </c>
      <c r="K222" s="3">
        <f t="shared" si="183"/>
        <v>2.6847532952930572E-2</v>
      </c>
      <c r="L222" s="3">
        <f t="shared" si="183"/>
        <v>2.6847344737337506E-2</v>
      </c>
      <c r="M222" s="3">
        <f t="shared" si="183"/>
        <v>2.6845462653977411E-2</v>
      </c>
      <c r="N222" s="3">
        <f t="shared" si="183"/>
        <v>2.6826649075548686E-2</v>
      </c>
      <c r="O222" s="3">
        <f t="shared" si="183"/>
        <v>2.6639236930084683E-2</v>
      </c>
      <c r="P222" s="3">
        <f t="shared" si="183"/>
        <v>2.4835636986055423E-2</v>
      </c>
      <c r="Q222" s="3">
        <f t="shared" si="183"/>
        <v>1.2319994991022645E-2</v>
      </c>
      <c r="R222" s="3">
        <f t="shared" si="183"/>
        <v>1.1116365326862732E-5</v>
      </c>
      <c r="S222" s="3">
        <f t="shared" si="183"/>
        <v>3.9763591887846647E-36</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2.5906186741603662E-2</v>
      </c>
      <c r="C223" s="3">
        <f t="shared" si="184"/>
        <v>2.5906186741603648E-2</v>
      </c>
      <c r="D223" s="3">
        <f t="shared" si="184"/>
        <v>2.5906186741603485E-2</v>
      </c>
      <c r="E223" s="3">
        <f t="shared" si="184"/>
        <v>2.5906186741601844E-2</v>
      </c>
      <c r="F223" s="3">
        <f t="shared" si="184"/>
        <v>2.5906186741585461E-2</v>
      </c>
      <c r="G223" s="3">
        <f t="shared" si="184"/>
        <v>2.5906186741421627E-2</v>
      </c>
      <c r="H223" s="3">
        <f t="shared" si="184"/>
        <v>2.5906186739783291E-2</v>
      </c>
      <c r="I223" s="3">
        <f t="shared" si="184"/>
        <v>2.5906186723399938E-2</v>
      </c>
      <c r="J223" s="3">
        <f t="shared" si="184"/>
        <v>2.5906186559566398E-2</v>
      </c>
      <c r="K223" s="3">
        <f t="shared" si="184"/>
        <v>2.5906184921231038E-2</v>
      </c>
      <c r="L223" s="3">
        <f t="shared" si="184"/>
        <v>2.5906168537883138E-2</v>
      </c>
      <c r="M223" s="3">
        <f t="shared" si="184"/>
        <v>2.5906004704973999E-2</v>
      </c>
      <c r="N223" s="3">
        <f t="shared" si="184"/>
        <v>2.5904366432866723E-2</v>
      </c>
      <c r="O223" s="3">
        <f t="shared" si="184"/>
        <v>2.5887989408868883E-2</v>
      </c>
      <c r="P223" s="3">
        <f t="shared" si="184"/>
        <v>2.5724787545567708E-2</v>
      </c>
      <c r="Q223" s="3">
        <f t="shared" si="184"/>
        <v>2.4148298822593794E-2</v>
      </c>
      <c r="R223" s="3">
        <f t="shared" si="184"/>
        <v>1.2830216593347493E-2</v>
      </c>
      <c r="S223" s="3">
        <f t="shared" si="184"/>
        <v>2.2998973559928342E-5</v>
      </c>
      <c r="T223" s="3">
        <f t="shared" si="184"/>
        <v>7.8786736913780767E-33</v>
      </c>
      <c r="U223" s="3">
        <f t="shared" si="184"/>
        <v>1.7534755406515359E-307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3.2694648537282267E-2</v>
      </c>
      <c r="C224" s="3">
        <f t="shared" si="185"/>
        <v>3.269464853728226E-2</v>
      </c>
      <c r="D224" s="3">
        <f t="shared" si="185"/>
        <v>3.2694648537282246E-2</v>
      </c>
      <c r="E224" s="3">
        <f t="shared" si="185"/>
        <v>3.2694648537282059E-2</v>
      </c>
      <c r="F224" s="3">
        <f t="shared" si="185"/>
        <v>3.2694648537280192E-2</v>
      </c>
      <c r="G224" s="3">
        <f t="shared" si="185"/>
        <v>3.2694648537261548E-2</v>
      </c>
      <c r="H224" s="3">
        <f t="shared" si="185"/>
        <v>3.2694648537075023E-2</v>
      </c>
      <c r="I224" s="3">
        <f t="shared" si="185"/>
        <v>3.2694648535209835E-2</v>
      </c>
      <c r="J224" s="3">
        <f t="shared" si="185"/>
        <v>3.2694648516557956E-2</v>
      </c>
      <c r="K224" s="3">
        <f t="shared" si="185"/>
        <v>3.2694648330039169E-2</v>
      </c>
      <c r="L224" s="3">
        <f t="shared" si="185"/>
        <v>3.2694646464851311E-2</v>
      </c>
      <c r="M224" s="3">
        <f t="shared" si="185"/>
        <v>3.2694627812978633E-2</v>
      </c>
      <c r="N224" s="3">
        <f t="shared" si="185"/>
        <v>3.2694441294837048E-2</v>
      </c>
      <c r="O224" s="3">
        <f t="shared" si="185"/>
        <v>3.2692576171943474E-2</v>
      </c>
      <c r="P224" s="3">
        <f t="shared" si="185"/>
        <v>3.2673930793997705E-2</v>
      </c>
      <c r="Q224" s="3">
        <f t="shared" si="185"/>
        <v>3.2488060880387956E-2</v>
      </c>
      <c r="R224" s="3">
        <f t="shared" si="185"/>
        <v>3.0686534484128412E-2</v>
      </c>
      <c r="S224" s="3">
        <f t="shared" si="185"/>
        <v>1.7345562695466839E-2</v>
      </c>
      <c r="T224" s="3">
        <f t="shared" si="185"/>
        <v>5.7755569749731801E-5</v>
      </c>
      <c r="U224" s="3">
        <f t="shared" si="185"/>
        <v>9.6749486016523448E-30</v>
      </c>
      <c r="V224" s="3">
        <f t="shared" si="185"/>
        <v>1.6834359870043172E-277</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3.3282078428276948E-2</v>
      </c>
      <c r="C225" s="3">
        <f t="shared" si="186"/>
        <v>3.3282078428276948E-2</v>
      </c>
      <c r="D225" s="3">
        <f t="shared" si="186"/>
        <v>3.3282078428276941E-2</v>
      </c>
      <c r="E225" s="3">
        <f t="shared" si="186"/>
        <v>3.3282078428276927E-2</v>
      </c>
      <c r="F225" s="3">
        <f t="shared" si="186"/>
        <v>3.3282078428276754E-2</v>
      </c>
      <c r="G225" s="3">
        <f t="shared" si="186"/>
        <v>3.3282078428275047E-2</v>
      </c>
      <c r="H225" s="3">
        <f t="shared" si="186"/>
        <v>3.3282078428257922E-2</v>
      </c>
      <c r="I225" s="3">
        <f t="shared" si="186"/>
        <v>3.3282078428086635E-2</v>
      </c>
      <c r="J225" s="3">
        <f t="shared" si="186"/>
        <v>3.3282078426373853E-2</v>
      </c>
      <c r="K225" s="3">
        <f t="shared" si="186"/>
        <v>3.3282078409245998E-2</v>
      </c>
      <c r="L225" s="3">
        <f t="shared" si="186"/>
        <v>3.3282078237967458E-2</v>
      </c>
      <c r="M225" s="3">
        <f t="shared" si="186"/>
        <v>3.3282076525182121E-2</v>
      </c>
      <c r="N225" s="3">
        <f t="shared" si="186"/>
        <v>3.3282059397333551E-2</v>
      </c>
      <c r="O225" s="3">
        <f t="shared" si="186"/>
        <v>3.3281888119332664E-2</v>
      </c>
      <c r="P225" s="3">
        <f t="shared" si="186"/>
        <v>3.3280175387802299E-2</v>
      </c>
      <c r="Q225" s="3">
        <f t="shared" si="186"/>
        <v>3.3263052919423323E-2</v>
      </c>
      <c r="R225" s="3">
        <f t="shared" si="186"/>
        <v>3.3092312006459984E-2</v>
      </c>
      <c r="S225" s="3">
        <f t="shared" si="186"/>
        <v>3.1432371344744671E-2</v>
      </c>
      <c r="T225" s="3">
        <f t="shared" si="186"/>
        <v>1.8787868390066548E-2</v>
      </c>
      <c r="U225" s="3">
        <f t="shared" si="186"/>
        <v>1.0936569966267316E-4</v>
      </c>
      <c r="V225" s="3">
        <f t="shared" si="186"/>
        <v>4.8855942945812381E-27</v>
      </c>
      <c r="W225" s="3">
        <f t="shared" si="186"/>
        <v>1.5462511697123031E-250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0.1075539898267141</v>
      </c>
      <c r="C226" s="3">
        <f t="shared" si="187"/>
        <v>0.1075539898267141</v>
      </c>
      <c r="D226" s="3">
        <f t="shared" si="187"/>
        <v>0.1075539898267141</v>
      </c>
      <c r="E226" s="3">
        <f t="shared" si="187"/>
        <v>0.1075539898267141</v>
      </c>
      <c r="F226" s="3">
        <f t="shared" si="187"/>
        <v>0.10755398982671405</v>
      </c>
      <c r="G226" s="3">
        <f t="shared" si="187"/>
        <v>0.10755398982671355</v>
      </c>
      <c r="H226" s="3">
        <f t="shared" si="187"/>
        <v>0.10755398982670855</v>
      </c>
      <c r="I226" s="3">
        <f t="shared" si="187"/>
        <v>0.10755398982665862</v>
      </c>
      <c r="J226" s="3">
        <f t="shared" si="187"/>
        <v>0.10755398982615931</v>
      </c>
      <c r="K226" s="3">
        <f t="shared" si="187"/>
        <v>0.10755398982116626</v>
      </c>
      <c r="L226" s="3">
        <f t="shared" si="187"/>
        <v>0.1075539897712358</v>
      </c>
      <c r="M226" s="3">
        <f t="shared" si="187"/>
        <v>0.10755398927193113</v>
      </c>
      <c r="N226" s="3">
        <f t="shared" si="187"/>
        <v>0.10755398427888459</v>
      </c>
      <c r="O226" s="3">
        <f t="shared" si="187"/>
        <v>0.10755393434843175</v>
      </c>
      <c r="P226" s="3">
        <f t="shared" si="187"/>
        <v>0.10755343504517824</v>
      </c>
      <c r="Q226" s="3">
        <f t="shared" si="187"/>
        <v>0.10754844214012826</v>
      </c>
      <c r="R226" s="3">
        <f t="shared" si="187"/>
        <v>0.10749852583594025</v>
      </c>
      <c r="S226" s="3">
        <f t="shared" si="187"/>
        <v>0.10700063523855095</v>
      </c>
      <c r="T226" s="3">
        <f t="shared" si="187"/>
        <v>0.10214681494368226</v>
      </c>
      <c r="U226" s="3">
        <f t="shared" si="187"/>
        <v>6.4211019157864577E-2</v>
      </c>
      <c r="V226" s="3">
        <f t="shared" si="187"/>
        <v>6.1866692760084848E-4</v>
      </c>
      <c r="W226" s="3">
        <f t="shared" si="187"/>
        <v>4.2651103567342498E-24</v>
      </c>
      <c r="X226" s="3">
        <f t="shared" si="187"/>
        <v>1.0343416110803266E-225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0.13355176295714186</v>
      </c>
      <c r="C227" s="3">
        <f t="shared" si="188"/>
        <v>0.13355176295714186</v>
      </c>
      <c r="D227" s="3">
        <f t="shared" si="188"/>
        <v>0.13355176295714186</v>
      </c>
      <c r="E227" s="3">
        <f t="shared" si="188"/>
        <v>0.13355176295714186</v>
      </c>
      <c r="F227" s="3">
        <f t="shared" si="188"/>
        <v>0.13355176295714186</v>
      </c>
      <c r="G227" s="3">
        <f t="shared" si="188"/>
        <v>0.1335517629571418</v>
      </c>
      <c r="H227" s="3">
        <f t="shared" si="188"/>
        <v>0.13355176295714125</v>
      </c>
      <c r="I227" s="3">
        <f t="shared" si="188"/>
        <v>0.13355176295713564</v>
      </c>
      <c r="J227" s="3">
        <f t="shared" si="188"/>
        <v>0.13355176295707971</v>
      </c>
      <c r="K227" s="3">
        <f t="shared" si="188"/>
        <v>0.13355176295652044</v>
      </c>
      <c r="L227" s="3">
        <f t="shared" si="188"/>
        <v>0.13355176295092755</v>
      </c>
      <c r="M227" s="3">
        <f t="shared" si="188"/>
        <v>0.13355176289499876</v>
      </c>
      <c r="N227" s="3">
        <f t="shared" si="188"/>
        <v>0.13355176233571101</v>
      </c>
      <c r="O227" s="3">
        <f t="shared" si="188"/>
        <v>0.13355175674283351</v>
      </c>
      <c r="P227" s="3">
        <f t="shared" si="188"/>
        <v>0.13355170081407133</v>
      </c>
      <c r="Q227" s="3">
        <f t="shared" si="188"/>
        <v>0.13355114152773781</v>
      </c>
      <c r="R227" s="3">
        <f t="shared" si="188"/>
        <v>0.13354554879322048</v>
      </c>
      <c r="S227" s="3">
        <f t="shared" si="188"/>
        <v>0.13348963432784156</v>
      </c>
      <c r="T227" s="3">
        <f t="shared" si="188"/>
        <v>0.13293177566003031</v>
      </c>
      <c r="U227" s="3">
        <f t="shared" si="188"/>
        <v>0.12747981708739753</v>
      </c>
      <c r="V227" s="3">
        <f t="shared" si="188"/>
        <v>8.3862477565850094E-2</v>
      </c>
      <c r="W227" s="3">
        <f t="shared" si="188"/>
        <v>1.2730054388244245E-3</v>
      </c>
      <c r="X227" s="3">
        <f t="shared" si="188"/>
        <v>8.2690565808879809E-22</v>
      </c>
      <c r="Y227" s="3">
        <f t="shared" si="188"/>
        <v>1.1058927426108048E-203</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0.10276653551975504</v>
      </c>
      <c r="C228" s="3">
        <f t="shared" si="189"/>
        <v>0.10276653551975504</v>
      </c>
      <c r="D228" s="3">
        <f t="shared" si="189"/>
        <v>0.10276653551975504</v>
      </c>
      <c r="E228" s="3">
        <f t="shared" si="189"/>
        <v>0.10276653551975504</v>
      </c>
      <c r="F228" s="3">
        <f t="shared" si="189"/>
        <v>0.10276653551975504</v>
      </c>
      <c r="G228" s="3">
        <f t="shared" si="189"/>
        <v>0.10276653551975504</v>
      </c>
      <c r="H228" s="3">
        <f t="shared" si="189"/>
        <v>0.102766535519755</v>
      </c>
      <c r="I228" s="3">
        <f t="shared" si="189"/>
        <v>0.10276653551975461</v>
      </c>
      <c r="J228" s="3">
        <f t="shared" si="189"/>
        <v>0.10276653551975072</v>
      </c>
      <c r="K228" s="3">
        <f t="shared" si="189"/>
        <v>0.1027665355197119</v>
      </c>
      <c r="L228" s="3">
        <f t="shared" si="189"/>
        <v>0.10276653551932367</v>
      </c>
      <c r="M228" s="3">
        <f t="shared" si="189"/>
        <v>0.10276653551544143</v>
      </c>
      <c r="N228" s="3">
        <f t="shared" si="189"/>
        <v>0.10276653547661888</v>
      </c>
      <c r="O228" s="3">
        <f t="shared" si="189"/>
        <v>0.10276653508839342</v>
      </c>
      <c r="P228" s="3">
        <f t="shared" si="189"/>
        <v>0.10276653120613904</v>
      </c>
      <c r="Q228" s="3">
        <f t="shared" si="189"/>
        <v>0.10276649238360318</v>
      </c>
      <c r="R228" s="3">
        <f t="shared" si="189"/>
        <v>0.1027661041590512</v>
      </c>
      <c r="S228" s="3">
        <f t="shared" si="189"/>
        <v>0.10276222199419401</v>
      </c>
      <c r="T228" s="3">
        <f t="shared" si="189"/>
        <v>0.10272340841075503</v>
      </c>
      <c r="U228" s="3">
        <f t="shared" si="189"/>
        <v>0.10233607796347509</v>
      </c>
      <c r="V228" s="3">
        <f t="shared" si="189"/>
        <v>9.8542197745116342E-2</v>
      </c>
      <c r="W228" s="3">
        <f t="shared" si="189"/>
        <v>6.7539368768941663E-2</v>
      </c>
      <c r="X228" s="3">
        <f t="shared" si="189"/>
        <v>1.5449147923681983E-3</v>
      </c>
      <c r="Y228" s="3">
        <f t="shared" si="189"/>
        <v>6.0587059212488777E-20</v>
      </c>
      <c r="Z228" s="3">
        <f t="shared" si="189"/>
        <v>5.2135469552147662E-184</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8.2308697100650766E-2</v>
      </c>
      <c r="C229" s="3">
        <f t="shared" si="190"/>
        <v>8.2308697100650766E-2</v>
      </c>
      <c r="D229" s="3">
        <f t="shared" si="190"/>
        <v>8.2308697100650766E-2</v>
      </c>
      <c r="E229" s="3">
        <f t="shared" si="190"/>
        <v>8.2308697100650766E-2</v>
      </c>
      <c r="F229" s="3">
        <f t="shared" si="190"/>
        <v>8.2308697100650766E-2</v>
      </c>
      <c r="G229" s="3">
        <f t="shared" si="190"/>
        <v>8.2308697100650766E-2</v>
      </c>
      <c r="H229" s="3">
        <f t="shared" si="190"/>
        <v>8.2308697100650766E-2</v>
      </c>
      <c r="I229" s="3">
        <f t="shared" si="190"/>
        <v>8.2308697100650738E-2</v>
      </c>
      <c r="J229" s="3">
        <f t="shared" si="190"/>
        <v>8.230869710065046E-2</v>
      </c>
      <c r="K229" s="3">
        <f t="shared" si="190"/>
        <v>8.2308697100647643E-2</v>
      </c>
      <c r="L229" s="3">
        <f t="shared" si="190"/>
        <v>8.2308697100619596E-2</v>
      </c>
      <c r="M229" s="3">
        <f t="shared" si="190"/>
        <v>8.2308697100339098E-2</v>
      </c>
      <c r="N229" s="3">
        <f t="shared" si="190"/>
        <v>8.2308697097534161E-2</v>
      </c>
      <c r="O229" s="3">
        <f t="shared" si="190"/>
        <v>8.2308697069484696E-2</v>
      </c>
      <c r="P229" s="3">
        <f t="shared" si="190"/>
        <v>8.2308696788990027E-2</v>
      </c>
      <c r="Q229" s="3">
        <f t="shared" si="190"/>
        <v>8.230869398404346E-2</v>
      </c>
      <c r="R229" s="3">
        <f t="shared" si="190"/>
        <v>8.2308665934582997E-2</v>
      </c>
      <c r="S229" s="3">
        <f t="shared" si="190"/>
        <v>8.2308385440504131E-2</v>
      </c>
      <c r="T229" s="3">
        <f t="shared" si="190"/>
        <v>8.2305580552288177E-2</v>
      </c>
      <c r="U229" s="3">
        <f t="shared" si="190"/>
        <v>8.2277536926733411E-2</v>
      </c>
      <c r="V229" s="3">
        <f t="shared" si="190"/>
        <v>8.1997625669460214E-2</v>
      </c>
      <c r="W229" s="3">
        <f t="shared" si="190"/>
        <v>7.9250356944771214E-2</v>
      </c>
      <c r="X229" s="3">
        <f t="shared" si="190"/>
        <v>5.6363859756731763E-2</v>
      </c>
      <c r="Y229" s="3">
        <f t="shared" si="190"/>
        <v>1.8663612645756053E-3</v>
      </c>
      <c r="Z229" s="3">
        <f t="shared" si="190"/>
        <v>2.9576418247624954E-18</v>
      </c>
      <c r="AA229" s="3">
        <f t="shared" si="190"/>
        <v>2.9542296103064143E-166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3.7013792035783422E-2</v>
      </c>
      <c r="C230" s="3">
        <f t="shared" si="191"/>
        <v>3.7013792035783422E-2</v>
      </c>
      <c r="D230" s="3">
        <f t="shared" si="191"/>
        <v>3.7013792035783422E-2</v>
      </c>
      <c r="E230" s="3">
        <f t="shared" si="191"/>
        <v>3.7013792035783422E-2</v>
      </c>
      <c r="F230" s="3">
        <f t="shared" si="191"/>
        <v>3.7013792035783422E-2</v>
      </c>
      <c r="G230" s="3">
        <f t="shared" si="191"/>
        <v>3.7013792035783422E-2</v>
      </c>
      <c r="H230" s="3">
        <f t="shared" si="191"/>
        <v>3.7013792035783422E-2</v>
      </c>
      <c r="I230" s="3">
        <f t="shared" si="191"/>
        <v>3.7013792035783422E-2</v>
      </c>
      <c r="J230" s="3">
        <f t="shared" si="191"/>
        <v>3.7013792035783408E-2</v>
      </c>
      <c r="K230" s="3">
        <f t="shared" si="191"/>
        <v>3.7013792035783297E-2</v>
      </c>
      <c r="L230" s="3">
        <f t="shared" si="191"/>
        <v>3.7013792035782159E-2</v>
      </c>
      <c r="M230" s="3">
        <f t="shared" si="191"/>
        <v>3.7013792035770779E-2</v>
      </c>
      <c r="N230" s="3">
        <f t="shared" si="191"/>
        <v>3.7013792035656995E-2</v>
      </c>
      <c r="O230" s="3">
        <f t="shared" si="191"/>
        <v>3.7013792034519134E-2</v>
      </c>
      <c r="P230" s="3">
        <f t="shared" si="191"/>
        <v>3.7013792023140528E-2</v>
      </c>
      <c r="Q230" s="3">
        <f t="shared" si="191"/>
        <v>3.7013791909354471E-2</v>
      </c>
      <c r="R230" s="3">
        <f t="shared" si="191"/>
        <v>3.7013790771493922E-2</v>
      </c>
      <c r="S230" s="3">
        <f t="shared" si="191"/>
        <v>3.7013779392890404E-2</v>
      </c>
      <c r="T230" s="3">
        <f t="shared" si="191"/>
        <v>3.7013665607047566E-2</v>
      </c>
      <c r="U230" s="3">
        <f t="shared" si="191"/>
        <v>3.7012527767857704E-2</v>
      </c>
      <c r="V230" s="3">
        <f t="shared" si="191"/>
        <v>3.7001151299592534E-2</v>
      </c>
      <c r="W230" s="3">
        <f t="shared" si="191"/>
        <v>3.6887578761662848E-2</v>
      </c>
      <c r="X230" s="3">
        <f t="shared" si="191"/>
        <v>3.5770851087635974E-2</v>
      </c>
      <c r="Y230" s="3">
        <f t="shared" si="191"/>
        <v>2.6303922039429981E-2</v>
      </c>
      <c r="Z230" s="3">
        <f t="shared" si="191"/>
        <v>1.2159980041254281E-3</v>
      </c>
      <c r="AA230" s="3">
        <f t="shared" si="191"/>
        <v>5.4207127782103491E-17</v>
      </c>
      <c r="AB230" s="3">
        <f t="shared" si="191"/>
        <v>1.679932140024361E-150</v>
      </c>
      <c r="AC230" s="3">
        <f t="shared" si="191"/>
        <v>0</v>
      </c>
      <c r="AD230" s="3">
        <f t="shared" si="191"/>
        <v>0</v>
      </c>
      <c r="AE230" s="3">
        <f t="shared" si="191"/>
        <v>0</v>
      </c>
      <c r="AF230" s="3">
        <f t="shared" si="191"/>
        <v>0</v>
      </c>
      <c r="AG230" s="3"/>
      <c r="AH230" s="3"/>
    </row>
    <row r="231" spans="2:34" x14ac:dyDescent="0.25">
      <c r="B231" s="3">
        <f t="shared" ref="B231:AF231" si="192">$C39*EXP(-B$207/$A39/EXP(-$D$126))</f>
        <v>5.9919400803358086E-2</v>
      </c>
      <c r="C231" s="3">
        <f t="shared" si="192"/>
        <v>5.9919400803358086E-2</v>
      </c>
      <c r="D231" s="3">
        <f t="shared" si="192"/>
        <v>5.9919400803358086E-2</v>
      </c>
      <c r="E231" s="3">
        <f t="shared" si="192"/>
        <v>5.9919400803358086E-2</v>
      </c>
      <c r="F231" s="3">
        <f t="shared" si="192"/>
        <v>5.9919400803358086E-2</v>
      </c>
      <c r="G231" s="3">
        <f t="shared" si="192"/>
        <v>5.9919400803358086E-2</v>
      </c>
      <c r="H231" s="3">
        <f t="shared" si="192"/>
        <v>5.9919400803358086E-2</v>
      </c>
      <c r="I231" s="3">
        <f t="shared" si="192"/>
        <v>5.9919400803358086E-2</v>
      </c>
      <c r="J231" s="3">
        <f t="shared" si="192"/>
        <v>5.9919400803358079E-2</v>
      </c>
      <c r="K231" s="3">
        <f t="shared" si="192"/>
        <v>5.9919400803358024E-2</v>
      </c>
      <c r="L231" s="3">
        <f t="shared" si="192"/>
        <v>5.9919400803357524E-2</v>
      </c>
      <c r="M231" s="3">
        <f t="shared" si="192"/>
        <v>5.9919400803352424E-2</v>
      </c>
      <c r="N231" s="3">
        <f t="shared" si="192"/>
        <v>5.9919400803301479E-2</v>
      </c>
      <c r="O231" s="3">
        <f t="shared" si="192"/>
        <v>5.9919400802792025E-2</v>
      </c>
      <c r="P231" s="3">
        <f t="shared" si="192"/>
        <v>5.9919400797697475E-2</v>
      </c>
      <c r="Q231" s="3">
        <f t="shared" si="192"/>
        <v>5.9919400746751984E-2</v>
      </c>
      <c r="R231" s="3">
        <f t="shared" si="192"/>
        <v>5.9919400237297027E-2</v>
      </c>
      <c r="S231" s="3">
        <f t="shared" si="192"/>
        <v>5.9919395142747758E-2</v>
      </c>
      <c r="T231" s="3">
        <f t="shared" si="192"/>
        <v>5.9919344197278838E-2</v>
      </c>
      <c r="U231" s="3">
        <f t="shared" si="192"/>
        <v>5.9918834744971963E-2</v>
      </c>
      <c r="V231" s="3">
        <f t="shared" si="192"/>
        <v>5.9913740460130649E-2</v>
      </c>
      <c r="W231" s="3">
        <f t="shared" si="192"/>
        <v>5.9862821426960311E-2</v>
      </c>
      <c r="X231" s="3">
        <f t="shared" si="192"/>
        <v>5.9356005144590232E-2</v>
      </c>
      <c r="Y231" s="3">
        <f t="shared" si="192"/>
        <v>5.4517945638420565E-2</v>
      </c>
      <c r="Z231" s="3">
        <f t="shared" si="192"/>
        <v>2.3296338433565898E-2</v>
      </c>
      <c r="AA231" s="3">
        <f t="shared" si="192"/>
        <v>4.7290021605401615E-6</v>
      </c>
      <c r="AB231" s="3">
        <f t="shared" si="192"/>
        <v>5.6180806393494093E-43</v>
      </c>
      <c r="AC231" s="3">
        <f t="shared" si="192"/>
        <v>0</v>
      </c>
      <c r="AD231" s="3">
        <f t="shared" si="192"/>
        <v>0</v>
      </c>
      <c r="AE231" s="3">
        <f t="shared" si="192"/>
        <v>0</v>
      </c>
      <c r="AF231" s="3">
        <f t="shared" si="192"/>
        <v>0</v>
      </c>
      <c r="AG231" s="3"/>
      <c r="AH231" s="3"/>
    </row>
    <row r="232" spans="2:34" x14ac:dyDescent="0.25">
      <c r="B232" s="3">
        <f t="shared" ref="B232:AF232" si="193">$C40*EXP(-B$207/$A40/EXP(-$D$126))</f>
        <v>6.4670451984415095E-2</v>
      </c>
      <c r="C232" s="3">
        <f t="shared" si="193"/>
        <v>6.4670451984415095E-2</v>
      </c>
      <c r="D232" s="3">
        <f t="shared" si="193"/>
        <v>6.4670451984415095E-2</v>
      </c>
      <c r="E232" s="3">
        <f t="shared" si="193"/>
        <v>6.4670451984415095E-2</v>
      </c>
      <c r="F232" s="3">
        <f t="shared" si="193"/>
        <v>6.4670451984415095E-2</v>
      </c>
      <c r="G232" s="3">
        <f t="shared" si="193"/>
        <v>6.4670451984415095E-2</v>
      </c>
      <c r="H232" s="3">
        <f t="shared" si="193"/>
        <v>6.4670451984415095E-2</v>
      </c>
      <c r="I232" s="3">
        <f t="shared" si="193"/>
        <v>6.4670451984415095E-2</v>
      </c>
      <c r="J232" s="3">
        <f t="shared" si="193"/>
        <v>6.4670451984415095E-2</v>
      </c>
      <c r="K232" s="3">
        <f t="shared" si="193"/>
        <v>6.4670451984415081E-2</v>
      </c>
      <c r="L232" s="3">
        <f t="shared" si="193"/>
        <v>6.4670451984415026E-2</v>
      </c>
      <c r="M232" s="3">
        <f t="shared" si="193"/>
        <v>6.4670451984414484E-2</v>
      </c>
      <c r="N232" s="3">
        <f t="shared" si="193"/>
        <v>6.4670451984408989E-2</v>
      </c>
      <c r="O232" s="3">
        <f t="shared" si="193"/>
        <v>6.4670451984354005E-2</v>
      </c>
      <c r="P232" s="3">
        <f t="shared" si="193"/>
        <v>6.4670451983804153E-2</v>
      </c>
      <c r="Q232" s="3">
        <f t="shared" si="193"/>
        <v>6.4670451978305649E-2</v>
      </c>
      <c r="R232" s="3">
        <f t="shared" si="193"/>
        <v>6.467045192332066E-2</v>
      </c>
      <c r="S232" s="3">
        <f t="shared" si="193"/>
        <v>6.4670451373470661E-2</v>
      </c>
      <c r="T232" s="3">
        <f t="shared" si="193"/>
        <v>6.4670445874971019E-2</v>
      </c>
      <c r="U232" s="3">
        <f t="shared" si="193"/>
        <v>6.4670390890000248E-2</v>
      </c>
      <c r="V232" s="3">
        <f t="shared" si="193"/>
        <v>6.4669841042863788E-2</v>
      </c>
      <c r="W232" s="3">
        <f t="shared" si="193"/>
        <v>6.4664342828615856E-2</v>
      </c>
      <c r="X232" s="3">
        <f t="shared" si="193"/>
        <v>6.4609386389706494E-2</v>
      </c>
      <c r="Y232" s="3">
        <f t="shared" si="193"/>
        <v>6.4062384289977597E-2</v>
      </c>
      <c r="Z232" s="3">
        <f t="shared" si="193"/>
        <v>5.8840711663138617E-2</v>
      </c>
      <c r="AA232" s="3">
        <f t="shared" si="193"/>
        <v>2.5143521395096683E-2</v>
      </c>
      <c r="AB232" s="3">
        <f t="shared" si="193"/>
        <v>5.1039680480294157E-6</v>
      </c>
      <c r="AC232" s="3">
        <f t="shared" si="193"/>
        <v>6.0635421810035209E-43</v>
      </c>
      <c r="AD232" s="3">
        <f t="shared" si="193"/>
        <v>0</v>
      </c>
      <c r="AE232" s="3">
        <f t="shared" si="193"/>
        <v>0</v>
      </c>
      <c r="AF232" s="3">
        <f t="shared" si="193"/>
        <v>0</v>
      </c>
      <c r="AG232" s="3"/>
      <c r="AH232" s="3"/>
    </row>
    <row r="233" spans="2:34" x14ac:dyDescent="0.25">
      <c r="B233" s="3">
        <f t="shared" ref="B233:AF233" si="194">$C41*EXP(-B$207/$A41/EXP(-$D$126))</f>
        <v>6.7576207998846588E-2</v>
      </c>
      <c r="C233" s="3">
        <f t="shared" si="194"/>
        <v>6.7576207998846588E-2</v>
      </c>
      <c r="D233" s="3">
        <f t="shared" si="194"/>
        <v>6.7576207998846588E-2</v>
      </c>
      <c r="E233" s="3">
        <f t="shared" si="194"/>
        <v>6.7576207998846588E-2</v>
      </c>
      <c r="F233" s="3">
        <f t="shared" si="194"/>
        <v>6.7576207998846588E-2</v>
      </c>
      <c r="G233" s="3">
        <f t="shared" si="194"/>
        <v>6.7576207998846588E-2</v>
      </c>
      <c r="H233" s="3">
        <f t="shared" si="194"/>
        <v>6.7576207998846588E-2</v>
      </c>
      <c r="I233" s="3">
        <f t="shared" si="194"/>
        <v>6.7576207998846588E-2</v>
      </c>
      <c r="J233" s="3">
        <f t="shared" si="194"/>
        <v>6.7576207998846588E-2</v>
      </c>
      <c r="K233" s="3">
        <f t="shared" si="194"/>
        <v>6.7576207998846588E-2</v>
      </c>
      <c r="L233" s="3">
        <f t="shared" si="194"/>
        <v>6.7576207998846574E-2</v>
      </c>
      <c r="M233" s="3">
        <f t="shared" si="194"/>
        <v>6.7576207998846519E-2</v>
      </c>
      <c r="N233" s="3">
        <f t="shared" si="194"/>
        <v>6.757620799884595E-2</v>
      </c>
      <c r="O233" s="3">
        <f t="shared" si="194"/>
        <v>6.7576207998840204E-2</v>
      </c>
      <c r="P233" s="3">
        <f t="shared" si="194"/>
        <v>6.757620799878275E-2</v>
      </c>
      <c r="Q233" s="3">
        <f t="shared" si="194"/>
        <v>6.7576207998208196E-2</v>
      </c>
      <c r="R233" s="3">
        <f t="shared" si="194"/>
        <v>6.7576207992462639E-2</v>
      </c>
      <c r="S233" s="3">
        <f t="shared" si="194"/>
        <v>6.7576207935007071E-2</v>
      </c>
      <c r="T233" s="3">
        <f t="shared" si="194"/>
        <v>6.7576207360451349E-2</v>
      </c>
      <c r="U233" s="3">
        <f t="shared" si="194"/>
        <v>6.757620161489454E-2</v>
      </c>
      <c r="V233" s="3">
        <f t="shared" si="194"/>
        <v>6.7576144159353299E-2</v>
      </c>
      <c r="W233" s="3">
        <f t="shared" si="194"/>
        <v>6.7575569606627583E-2</v>
      </c>
      <c r="X233" s="3">
        <f t="shared" si="194"/>
        <v>6.7569824348039778E-2</v>
      </c>
      <c r="Y233" s="3">
        <f t="shared" si="194"/>
        <v>6.7512398620637876E-2</v>
      </c>
      <c r="Z233" s="3">
        <f t="shared" si="194"/>
        <v>6.6940818764106277E-2</v>
      </c>
      <c r="AA233" s="3">
        <f t="shared" si="194"/>
        <v>6.1484527293958667E-2</v>
      </c>
      <c r="AB233" s="3">
        <f t="shared" si="194"/>
        <v>2.6273263592281205E-2</v>
      </c>
      <c r="AC233" s="3">
        <f t="shared" si="194"/>
        <v>5.3332982196602205E-6</v>
      </c>
      <c r="AD233" s="3">
        <f t="shared" si="194"/>
        <v>6.3359876892776257E-43</v>
      </c>
      <c r="AE233" s="3">
        <f t="shared" si="194"/>
        <v>0</v>
      </c>
      <c r="AF233" s="3">
        <f t="shared" si="194"/>
        <v>0</v>
      </c>
      <c r="AG233" s="3"/>
      <c r="AH233" s="3"/>
    </row>
    <row r="234" spans="2:34" x14ac:dyDescent="0.25">
      <c r="B234" s="3">
        <f t="shared" ref="B234:AF234" si="195">$C42*EXP(-B$207/$A42/EXP(-$D$126))</f>
        <v>7.4650772379504848E-2</v>
      </c>
      <c r="C234" s="3">
        <f t="shared" si="195"/>
        <v>7.4650772379504848E-2</v>
      </c>
      <c r="D234" s="3">
        <f t="shared" si="195"/>
        <v>7.4650772379504848E-2</v>
      </c>
      <c r="E234" s="3">
        <f t="shared" si="195"/>
        <v>7.4650772379504848E-2</v>
      </c>
      <c r="F234" s="3">
        <f t="shared" si="195"/>
        <v>7.4650772379504848E-2</v>
      </c>
      <c r="G234" s="3">
        <f t="shared" si="195"/>
        <v>7.4650772379504848E-2</v>
      </c>
      <c r="H234" s="3">
        <f t="shared" si="195"/>
        <v>7.4650772379504848E-2</v>
      </c>
      <c r="I234" s="3">
        <f t="shared" si="195"/>
        <v>7.4650772379504848E-2</v>
      </c>
      <c r="J234" s="3">
        <f t="shared" si="195"/>
        <v>7.4650772379504848E-2</v>
      </c>
      <c r="K234" s="3">
        <f t="shared" si="195"/>
        <v>7.4650772379504848E-2</v>
      </c>
      <c r="L234" s="3">
        <f t="shared" si="195"/>
        <v>7.4650772379504848E-2</v>
      </c>
      <c r="M234" s="3">
        <f t="shared" si="195"/>
        <v>7.4650772379504834E-2</v>
      </c>
      <c r="N234" s="3">
        <f t="shared" si="195"/>
        <v>7.4650772379504779E-2</v>
      </c>
      <c r="O234" s="3">
        <f t="shared" si="195"/>
        <v>7.4650772379504141E-2</v>
      </c>
      <c r="P234" s="3">
        <f t="shared" si="195"/>
        <v>7.4650772379497798E-2</v>
      </c>
      <c r="Q234" s="3">
        <f t="shared" si="195"/>
        <v>7.4650772379434321E-2</v>
      </c>
      <c r="R234" s="3">
        <f t="shared" si="195"/>
        <v>7.4650772378799621E-2</v>
      </c>
      <c r="S234" s="3">
        <f t="shared" si="195"/>
        <v>7.4650772372452559E-2</v>
      </c>
      <c r="T234" s="3">
        <f t="shared" si="195"/>
        <v>7.4650772308981955E-2</v>
      </c>
      <c r="U234" s="3">
        <f t="shared" si="195"/>
        <v>7.4650771674275918E-2</v>
      </c>
      <c r="V234" s="3">
        <f t="shared" si="195"/>
        <v>7.4650765327215818E-2</v>
      </c>
      <c r="W234" s="3">
        <f t="shared" si="195"/>
        <v>7.4650701856644464E-2</v>
      </c>
      <c r="X234" s="3">
        <f t="shared" si="195"/>
        <v>7.4650067153898964E-2</v>
      </c>
      <c r="Y234" s="3">
        <f t="shared" si="195"/>
        <v>7.4643720423240342E-2</v>
      </c>
      <c r="Z234" s="3">
        <f t="shared" si="195"/>
        <v>7.4580282786948573E-2</v>
      </c>
      <c r="AA234" s="3">
        <f t="shared" si="195"/>
        <v>7.3948864140797571E-2</v>
      </c>
      <c r="AB234" s="3">
        <f t="shared" si="195"/>
        <v>6.7921352615126065E-2</v>
      </c>
      <c r="AC234" s="3">
        <f t="shared" si="195"/>
        <v>2.902381589874934E-2</v>
      </c>
      <c r="AD234" s="3">
        <f t="shared" si="195"/>
        <v>5.8916420914690724E-6</v>
      </c>
      <c r="AE234" s="3">
        <f t="shared" si="195"/>
        <v>6.9993032873297949E-43</v>
      </c>
      <c r="AF234" s="3">
        <f t="shared" si="195"/>
        <v>0</v>
      </c>
      <c r="AG234" s="3"/>
      <c r="AH234" s="3"/>
    </row>
    <row r="235" spans="2:34" x14ac:dyDescent="0.25">
      <c r="B235" s="3">
        <f t="shared" ref="B235:AF235" si="196">$C43*EXP(-B$207/$A43/EXP(-$D$126))</f>
        <v>4.2437426023751848E-2</v>
      </c>
      <c r="C235" s="3">
        <f t="shared" si="196"/>
        <v>4.2437426023751848E-2</v>
      </c>
      <c r="D235" s="3">
        <f t="shared" si="196"/>
        <v>4.2437426023751848E-2</v>
      </c>
      <c r="E235" s="3">
        <f t="shared" si="196"/>
        <v>4.2437426023751848E-2</v>
      </c>
      <c r="F235" s="3">
        <f t="shared" si="196"/>
        <v>4.2437426023751848E-2</v>
      </c>
      <c r="G235" s="3">
        <f t="shared" si="196"/>
        <v>4.2437426023751848E-2</v>
      </c>
      <c r="H235" s="3">
        <f t="shared" si="196"/>
        <v>4.2437426023751848E-2</v>
      </c>
      <c r="I235" s="3">
        <f t="shared" si="196"/>
        <v>4.2437426023751848E-2</v>
      </c>
      <c r="J235" s="3">
        <f t="shared" si="196"/>
        <v>4.2437426023751848E-2</v>
      </c>
      <c r="K235" s="3">
        <f t="shared" si="196"/>
        <v>4.2437426023751848E-2</v>
      </c>
      <c r="L235" s="3">
        <f t="shared" si="196"/>
        <v>4.2437426023751848E-2</v>
      </c>
      <c r="M235" s="3">
        <f t="shared" si="196"/>
        <v>4.2437426023751848E-2</v>
      </c>
      <c r="N235" s="3">
        <f t="shared" si="196"/>
        <v>4.2437426023751841E-2</v>
      </c>
      <c r="O235" s="3">
        <f t="shared" si="196"/>
        <v>4.2437426023751806E-2</v>
      </c>
      <c r="P235" s="3">
        <f t="shared" si="196"/>
        <v>4.2437426023751446E-2</v>
      </c>
      <c r="Q235" s="3">
        <f t="shared" si="196"/>
        <v>4.2437426023747837E-2</v>
      </c>
      <c r="R235" s="3">
        <f t="shared" si="196"/>
        <v>4.2437426023711755E-2</v>
      </c>
      <c r="S235" s="3">
        <f t="shared" si="196"/>
        <v>4.243742602335094E-2</v>
      </c>
      <c r="T235" s="3">
        <f t="shared" si="196"/>
        <v>4.2437426019742763E-2</v>
      </c>
      <c r="U235" s="3">
        <f t="shared" si="196"/>
        <v>4.2437425983661035E-2</v>
      </c>
      <c r="V235" s="3">
        <f t="shared" si="196"/>
        <v>4.2437425622843729E-2</v>
      </c>
      <c r="W235" s="3">
        <f t="shared" si="196"/>
        <v>4.2437422014670836E-2</v>
      </c>
      <c r="X235" s="3">
        <f t="shared" si="196"/>
        <v>4.2437385932958739E-2</v>
      </c>
      <c r="Y235" s="3">
        <f t="shared" si="196"/>
        <v>4.2437025117525083E-2</v>
      </c>
      <c r="Z235" s="3">
        <f t="shared" si="196"/>
        <v>4.2433417131911094E-2</v>
      </c>
      <c r="AA235" s="3">
        <f t="shared" si="196"/>
        <v>4.239735414272236E-2</v>
      </c>
      <c r="AB235" s="3">
        <f t="shared" si="196"/>
        <v>4.2038405651877171E-2</v>
      </c>
      <c r="AC235" s="3">
        <f t="shared" si="196"/>
        <v>3.8611889537916333E-2</v>
      </c>
      <c r="AD235" s="3">
        <f t="shared" si="196"/>
        <v>1.6499441343601241E-2</v>
      </c>
      <c r="AE235" s="3">
        <f t="shared" si="196"/>
        <v>3.3492771400150352E-6</v>
      </c>
      <c r="AF235" s="3">
        <f t="shared" si="196"/>
        <v>3.9789597080633914E-43</v>
      </c>
      <c r="AG235" s="3"/>
      <c r="AH235" s="3"/>
    </row>
    <row r="236" spans="2:34" x14ac:dyDescent="0.25">
      <c r="B236" s="3">
        <f t="shared" ref="B236:AF236" si="197">$C44*EXP(-B$207/$A44/EXP(-$D$126))</f>
        <v>2.9362775672931045E-2</v>
      </c>
      <c r="C236" s="3">
        <f t="shared" si="197"/>
        <v>2.9362775672931045E-2</v>
      </c>
      <c r="D236" s="3">
        <f t="shared" si="197"/>
        <v>2.9362775672931045E-2</v>
      </c>
      <c r="E236" s="3">
        <f t="shared" si="197"/>
        <v>2.9362775672931045E-2</v>
      </c>
      <c r="F236" s="3">
        <f t="shared" si="197"/>
        <v>2.9362775672931045E-2</v>
      </c>
      <c r="G236" s="3">
        <f t="shared" si="197"/>
        <v>2.9362775672931045E-2</v>
      </c>
      <c r="H236" s="3">
        <f t="shared" si="197"/>
        <v>2.9362775672931045E-2</v>
      </c>
      <c r="I236" s="3">
        <f t="shared" si="197"/>
        <v>2.9362775672931045E-2</v>
      </c>
      <c r="J236" s="3">
        <f t="shared" si="197"/>
        <v>2.9362775672931045E-2</v>
      </c>
      <c r="K236" s="3">
        <f t="shared" si="197"/>
        <v>2.9362775672931045E-2</v>
      </c>
      <c r="L236" s="3">
        <f t="shared" si="197"/>
        <v>2.9362775672931045E-2</v>
      </c>
      <c r="M236" s="3">
        <f t="shared" si="197"/>
        <v>2.9362775672931045E-2</v>
      </c>
      <c r="N236" s="3">
        <f t="shared" si="197"/>
        <v>2.9362775672931045E-2</v>
      </c>
      <c r="O236" s="3">
        <f t="shared" si="197"/>
        <v>2.9362775672931041E-2</v>
      </c>
      <c r="P236" s="3">
        <f t="shared" si="197"/>
        <v>2.9362775672931017E-2</v>
      </c>
      <c r="Q236" s="3">
        <f t="shared" si="197"/>
        <v>2.9362775672930767E-2</v>
      </c>
      <c r="R236" s="3">
        <f t="shared" si="197"/>
        <v>2.9362775672928269E-2</v>
      </c>
      <c r="S236" s="3">
        <f t="shared" si="197"/>
        <v>2.9362775672903307E-2</v>
      </c>
      <c r="T236" s="3">
        <f t="shared" si="197"/>
        <v>2.9362775672653656E-2</v>
      </c>
      <c r="U236" s="3">
        <f t="shared" si="197"/>
        <v>2.9362775670157132E-2</v>
      </c>
      <c r="V236" s="3">
        <f t="shared" si="197"/>
        <v>2.9362775645191911E-2</v>
      </c>
      <c r="W236" s="3">
        <f t="shared" si="197"/>
        <v>2.9362775395539688E-2</v>
      </c>
      <c r="X236" s="3">
        <f t="shared" si="197"/>
        <v>2.9362772899017602E-2</v>
      </c>
      <c r="Y236" s="3">
        <f t="shared" si="197"/>
        <v>2.9362747933808414E-2</v>
      </c>
      <c r="Z236" s="3">
        <f t="shared" si="197"/>
        <v>2.936249828288397E-2</v>
      </c>
      <c r="AA236" s="3">
        <f t="shared" si="197"/>
        <v>2.9360001890379975E-2</v>
      </c>
      <c r="AB236" s="3">
        <f t="shared" si="197"/>
        <v>2.9335049635710909E-2</v>
      </c>
      <c r="AC236" s="3">
        <f t="shared" si="197"/>
        <v>2.9086690463104036E-2</v>
      </c>
      <c r="AD236" s="3">
        <f t="shared" si="197"/>
        <v>2.6715858077143495E-2</v>
      </c>
      <c r="AE236" s="3">
        <f t="shared" si="197"/>
        <v>1.1416088115940257E-2</v>
      </c>
      <c r="AF236" s="3">
        <f t="shared" si="197"/>
        <v>2.3173901563609261E-6</v>
      </c>
      <c r="AG236" s="3"/>
      <c r="AH236" s="3"/>
    </row>
    <row r="237" spans="2:34" x14ac:dyDescent="0.25">
      <c r="B237" s="3">
        <f t="shared" ref="B237:AF237" si="198">$C45*EXP(-B$207/$A45/EXP(-$D$126))</f>
        <v>1.3317924951321973E-2</v>
      </c>
      <c r="C237" s="3">
        <f t="shared" si="198"/>
        <v>1.3317924951321973E-2</v>
      </c>
      <c r="D237" s="3">
        <f t="shared" si="198"/>
        <v>1.3317924951321973E-2</v>
      </c>
      <c r="E237" s="3">
        <f t="shared" si="198"/>
        <v>1.3317924951321973E-2</v>
      </c>
      <c r="F237" s="3">
        <f t="shared" si="198"/>
        <v>1.3317924951321973E-2</v>
      </c>
      <c r="G237" s="3">
        <f t="shared" si="198"/>
        <v>1.3317924951321973E-2</v>
      </c>
      <c r="H237" s="3">
        <f t="shared" si="198"/>
        <v>1.3317924951321973E-2</v>
      </c>
      <c r="I237" s="3">
        <f t="shared" si="198"/>
        <v>1.3317924951321973E-2</v>
      </c>
      <c r="J237" s="3">
        <f t="shared" si="198"/>
        <v>1.3317924951321973E-2</v>
      </c>
      <c r="K237" s="3">
        <f t="shared" si="198"/>
        <v>1.3317924951321973E-2</v>
      </c>
      <c r="L237" s="3">
        <f t="shared" si="198"/>
        <v>1.3317924951321973E-2</v>
      </c>
      <c r="M237" s="3">
        <f t="shared" si="198"/>
        <v>1.3317924951321973E-2</v>
      </c>
      <c r="N237" s="3">
        <f t="shared" si="198"/>
        <v>1.3317924951321973E-2</v>
      </c>
      <c r="O237" s="3">
        <f t="shared" si="198"/>
        <v>1.3317924951321973E-2</v>
      </c>
      <c r="P237" s="3">
        <f t="shared" si="198"/>
        <v>1.3317924951321971E-2</v>
      </c>
      <c r="Q237" s="3">
        <f t="shared" si="198"/>
        <v>1.3317924951321959E-2</v>
      </c>
      <c r="R237" s="3">
        <f t="shared" si="198"/>
        <v>1.3317924951321848E-2</v>
      </c>
      <c r="S237" s="3">
        <f t="shared" si="198"/>
        <v>1.3317924951320715E-2</v>
      </c>
      <c r="T237" s="3">
        <f t="shared" si="198"/>
        <v>1.3317924951309391E-2</v>
      </c>
      <c r="U237" s="3">
        <f t="shared" si="198"/>
        <v>1.3317924951196158E-2</v>
      </c>
      <c r="V237" s="3">
        <f t="shared" si="198"/>
        <v>1.3317924950063823E-2</v>
      </c>
      <c r="W237" s="3">
        <f t="shared" si="198"/>
        <v>1.3317924938740474E-2</v>
      </c>
      <c r="X237" s="3">
        <f t="shared" si="198"/>
        <v>1.3317924825506984E-2</v>
      </c>
      <c r="Y237" s="3">
        <f t="shared" si="198"/>
        <v>1.3317923693172149E-2</v>
      </c>
      <c r="Z237" s="3">
        <f t="shared" si="198"/>
        <v>1.3317912369829082E-2</v>
      </c>
      <c r="AA237" s="3">
        <f t="shared" si="198"/>
        <v>1.3317799136927913E-2</v>
      </c>
      <c r="AB237" s="3">
        <f t="shared" si="198"/>
        <v>1.3316666860865609E-2</v>
      </c>
      <c r="AC237" s="3">
        <f t="shared" si="198"/>
        <v>1.3305349393513391E-2</v>
      </c>
      <c r="AD237" s="3">
        <f t="shared" si="198"/>
        <v>1.3192702385662565E-2</v>
      </c>
      <c r="AE237" s="3">
        <f t="shared" si="198"/>
        <v>1.2117375988046346E-2</v>
      </c>
      <c r="AF237" s="3">
        <f t="shared" si="198"/>
        <v>5.1779370744548629E-3</v>
      </c>
      <c r="AG237" s="3"/>
      <c r="AH237" s="3"/>
    </row>
    <row r="238" spans="2:34" x14ac:dyDescent="0.25">
      <c r="B238" s="3">
        <f t="shared" ref="B238:AF238" si="199">$C46*EXP(-B$207/$A46/EXP(-$D$126))</f>
        <v>4.0600750332731679E-3</v>
      </c>
      <c r="C238" s="3">
        <f t="shared" si="199"/>
        <v>4.0600750332731679E-3</v>
      </c>
      <c r="D238" s="3">
        <f t="shared" si="199"/>
        <v>4.0600750332731679E-3</v>
      </c>
      <c r="E238" s="3">
        <f t="shared" si="199"/>
        <v>4.0600750332731679E-3</v>
      </c>
      <c r="F238" s="3">
        <f t="shared" si="199"/>
        <v>4.0600750332731679E-3</v>
      </c>
      <c r="G238" s="3">
        <f t="shared" si="199"/>
        <v>4.0600750332731679E-3</v>
      </c>
      <c r="H238" s="3">
        <f t="shared" si="199"/>
        <v>4.0600750332731679E-3</v>
      </c>
      <c r="I238" s="3">
        <f t="shared" si="199"/>
        <v>4.0600750332731679E-3</v>
      </c>
      <c r="J238" s="3">
        <f t="shared" si="199"/>
        <v>4.0600750332731679E-3</v>
      </c>
      <c r="K238" s="3">
        <f t="shared" si="199"/>
        <v>4.0600750332731679E-3</v>
      </c>
      <c r="L238" s="3">
        <f t="shared" si="199"/>
        <v>4.0600750332731679E-3</v>
      </c>
      <c r="M238" s="3">
        <f t="shared" si="199"/>
        <v>4.0600750332731679E-3</v>
      </c>
      <c r="N238" s="3">
        <f t="shared" si="199"/>
        <v>4.0600750332731679E-3</v>
      </c>
      <c r="O238" s="3">
        <f t="shared" si="199"/>
        <v>4.0600750332731679E-3</v>
      </c>
      <c r="P238" s="3">
        <f t="shared" si="199"/>
        <v>4.0600750332731679E-3</v>
      </c>
      <c r="Q238" s="3">
        <f t="shared" si="199"/>
        <v>4.060075033273167E-3</v>
      </c>
      <c r="R238" s="3">
        <f t="shared" si="199"/>
        <v>4.0600750332731635E-3</v>
      </c>
      <c r="S238" s="3">
        <f t="shared" si="199"/>
        <v>4.0600750332731297E-3</v>
      </c>
      <c r="T238" s="3">
        <f t="shared" si="199"/>
        <v>4.0600750332727845E-3</v>
      </c>
      <c r="U238" s="3">
        <f t="shared" si="199"/>
        <v>4.0600750332693324E-3</v>
      </c>
      <c r="V238" s="3">
        <f t="shared" si="199"/>
        <v>4.0600750332348123E-3</v>
      </c>
      <c r="W238" s="3">
        <f t="shared" si="199"/>
        <v>4.060075032889611E-3</v>
      </c>
      <c r="X238" s="3">
        <f t="shared" si="199"/>
        <v>4.060075029437598E-3</v>
      </c>
      <c r="Y238" s="3">
        <f t="shared" si="199"/>
        <v>4.0600749949174708E-3</v>
      </c>
      <c r="Z238" s="3">
        <f t="shared" si="199"/>
        <v>4.0600746497162169E-3</v>
      </c>
      <c r="AA238" s="3">
        <f t="shared" si="199"/>
        <v>4.0600711977052881E-3</v>
      </c>
      <c r="AB238" s="3">
        <f t="shared" si="199"/>
        <v>4.0600366777574243E-3</v>
      </c>
      <c r="AC238" s="3">
        <f t="shared" si="199"/>
        <v>4.0596914944208201E-3</v>
      </c>
      <c r="AD238" s="3">
        <f t="shared" si="199"/>
        <v>4.0562412747503713E-3</v>
      </c>
      <c r="AE238" s="3">
        <f t="shared" si="199"/>
        <v>4.0218999411102026E-3</v>
      </c>
      <c r="AF238" s="3">
        <f t="shared" si="199"/>
        <v>3.6940781614006077E-3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6.6069827735831333E-3</v>
      </c>
      <c r="C240" s="3">
        <f t="shared" si="201"/>
        <v>6.6069827735831333E-3</v>
      </c>
      <c r="D240" s="3">
        <f t="shared" si="201"/>
        <v>6.6069827735831333E-3</v>
      </c>
      <c r="E240" s="3">
        <f t="shared" si="201"/>
        <v>6.6069827735831333E-3</v>
      </c>
      <c r="F240" s="3">
        <f t="shared" si="201"/>
        <v>6.6069827735831333E-3</v>
      </c>
      <c r="G240" s="3">
        <f t="shared" si="201"/>
        <v>6.6069827735831333E-3</v>
      </c>
      <c r="H240" s="3">
        <f t="shared" si="201"/>
        <v>6.6069827735831333E-3</v>
      </c>
      <c r="I240" s="3">
        <f t="shared" si="201"/>
        <v>6.6069827735831333E-3</v>
      </c>
      <c r="J240" s="3">
        <f t="shared" si="201"/>
        <v>6.6069827735831333E-3</v>
      </c>
      <c r="K240" s="3">
        <f t="shared" si="201"/>
        <v>6.6069827735831333E-3</v>
      </c>
      <c r="L240" s="3">
        <f t="shared" si="201"/>
        <v>6.6069827735831333E-3</v>
      </c>
      <c r="M240" s="3">
        <f t="shared" si="201"/>
        <v>6.6069827735831333E-3</v>
      </c>
      <c r="N240" s="3">
        <f t="shared" si="201"/>
        <v>6.6069827735831333E-3</v>
      </c>
      <c r="O240" s="3">
        <f t="shared" si="201"/>
        <v>6.6069827735831333E-3</v>
      </c>
      <c r="P240" s="3">
        <f t="shared" si="201"/>
        <v>6.6069827735831333E-3</v>
      </c>
      <c r="Q240" s="3">
        <f t="shared" si="201"/>
        <v>6.6069827735831333E-3</v>
      </c>
      <c r="R240" s="3">
        <f t="shared" si="201"/>
        <v>6.6069827735831333E-3</v>
      </c>
      <c r="S240" s="3">
        <f t="shared" si="201"/>
        <v>6.6069827735831324E-3</v>
      </c>
      <c r="T240" s="3">
        <f t="shared" si="201"/>
        <v>6.6069827735831263E-3</v>
      </c>
      <c r="U240" s="3">
        <f t="shared" si="201"/>
        <v>6.6069827735830708E-3</v>
      </c>
      <c r="V240" s="3">
        <f t="shared" si="201"/>
        <v>6.6069827735825088E-3</v>
      </c>
      <c r="W240" s="3">
        <f t="shared" si="201"/>
        <v>6.6069827735768917E-3</v>
      </c>
      <c r="X240" s="3">
        <f t="shared" si="201"/>
        <v>6.6069827735207171E-3</v>
      </c>
      <c r="Y240" s="3">
        <f t="shared" si="201"/>
        <v>6.6069827729589685E-3</v>
      </c>
      <c r="Z240" s="3">
        <f t="shared" si="201"/>
        <v>6.6069827673414898E-3</v>
      </c>
      <c r="AA240" s="3">
        <f t="shared" si="201"/>
        <v>6.6069827111666941E-3</v>
      </c>
      <c r="AB240" s="3">
        <f t="shared" si="201"/>
        <v>6.6069821494187655E-3</v>
      </c>
      <c r="AC240" s="3">
        <f t="shared" si="201"/>
        <v>6.6069765319421046E-3</v>
      </c>
      <c r="AD240" s="3">
        <f t="shared" si="201"/>
        <v>6.606920357438182E-3</v>
      </c>
      <c r="AE240" s="3">
        <f t="shared" si="201"/>
        <v>6.6063586386669818E-3</v>
      </c>
      <c r="AF240" s="3">
        <f t="shared" si="201"/>
        <v>6.6007440769308258E-3</v>
      </c>
      <c r="AG240" s="3"/>
      <c r="AH240" s="3"/>
    </row>
    <row r="241" spans="1:34" x14ac:dyDescent="0.25">
      <c r="A241" s="79">
        <f>AVERAGE(B241:AF241)</f>
        <v>7.9564759470075574E-2</v>
      </c>
      <c r="B241" s="80">
        <f>IF($A$64&lt;=B207,IF($B$64&gt;=B207,ABS((B209-B208)/B208),0),0)</f>
        <v>5.9583782843176192E-3</v>
      </c>
      <c r="C241" s="80">
        <f t="shared" ref="C241:AF241" si="202">IF($A$64&lt;=C207,IF($B$64&gt;=C207,ABS((C209-C208)/C208),0),0)</f>
        <v>5.9683639526322326E-3</v>
      </c>
      <c r="D241" s="80">
        <f t="shared" si="202"/>
        <v>5.9630671347323085E-3</v>
      </c>
      <c r="E241" s="80">
        <f t="shared" si="202"/>
        <v>5.9617012915869566E-3</v>
      </c>
      <c r="F241" s="80">
        <f t="shared" si="202"/>
        <v>5.9613015623104096E-3</v>
      </c>
      <c r="G241" s="80">
        <f t="shared" si="202"/>
        <v>5.9611852715619534E-3</v>
      </c>
      <c r="H241" s="80">
        <f t="shared" si="202"/>
        <v>5.9611466886942549E-3</v>
      </c>
      <c r="I241" s="80">
        <f t="shared" si="202"/>
        <v>5.9611606198333661E-3</v>
      </c>
      <c r="J241" s="80">
        <f t="shared" si="202"/>
        <v>5.9614248510507081E-3</v>
      </c>
      <c r="K241" s="80">
        <f t="shared" si="202"/>
        <v>5.9641499334507483E-3</v>
      </c>
      <c r="L241" s="80">
        <f t="shared" si="202"/>
        <v>5.9913579264486956E-3</v>
      </c>
      <c r="M241" s="80">
        <f t="shared" si="202"/>
        <v>6.2584833640711218E-3</v>
      </c>
      <c r="N241" s="80">
        <f t="shared" si="202"/>
        <v>8.5488654699324377E-3</v>
      </c>
      <c r="O241" s="80">
        <f t="shared" si="202"/>
        <v>2.0187643187020543E-2</v>
      </c>
      <c r="P241" s="80">
        <f t="shared" si="202"/>
        <v>2.4184647663773699E-2</v>
      </c>
      <c r="Q241" s="80">
        <f t="shared" si="202"/>
        <v>2.631506116222658E-2</v>
      </c>
      <c r="R241" s="80">
        <f t="shared" si="202"/>
        <v>3.0429735926078262E-2</v>
      </c>
      <c r="S241" s="80">
        <f t="shared" si="202"/>
        <v>2.5549744879088017E-2</v>
      </c>
      <c r="T241" s="80">
        <f t="shared" si="202"/>
        <v>1.0122169364377541E-2</v>
      </c>
      <c r="U241" s="80">
        <f t="shared" si="202"/>
        <v>9.1666218330698643E-2</v>
      </c>
      <c r="V241" s="80">
        <f t="shared" si="202"/>
        <v>0.12044462573565756</v>
      </c>
      <c r="W241" s="80">
        <f t="shared" si="202"/>
        <v>8.3323617207464035E-2</v>
      </c>
      <c r="X241" s="80">
        <f t="shared" si="202"/>
        <v>3.2174922475870268E-2</v>
      </c>
      <c r="Y241" s="80">
        <f t="shared" si="202"/>
        <v>1.592018728520217E-2</v>
      </c>
      <c r="Z241" s="80">
        <f t="shared" si="202"/>
        <v>7.1167872547365341E-2</v>
      </c>
      <c r="AA241" s="80">
        <f t="shared" si="202"/>
        <v>0.13081805873317698</v>
      </c>
      <c r="AB241" s="80">
        <f t="shared" si="202"/>
        <v>0.20448953372364484</v>
      </c>
      <c r="AC241" s="80">
        <f t="shared" si="202"/>
        <v>0.30908018950772309</v>
      </c>
      <c r="AD241" s="80">
        <f t="shared" si="202"/>
        <v>0.37863067658954164</v>
      </c>
      <c r="AE241" s="80">
        <f t="shared" si="202"/>
        <v>0.40241260748949265</v>
      </c>
      <c r="AF241" s="80">
        <f t="shared" si="202"/>
        <v>0.40916944541331807</v>
      </c>
    </row>
    <row r="242" spans="1:34" x14ac:dyDescent="0.25">
      <c r="B242" s="21">
        <f>(B209-B208)^2</f>
        <v>1908.0028357812155</v>
      </c>
      <c r="C242" s="21">
        <f t="shared" ref="C242:AF242" si="203">(C209-C208)^2</f>
        <v>1914.4419157376842</v>
      </c>
      <c r="D242" s="21">
        <f t="shared" si="203"/>
        <v>1911.024990318075</v>
      </c>
      <c r="E242" s="21">
        <f t="shared" si="203"/>
        <v>1910.1443991200547</v>
      </c>
      <c r="F242" s="21">
        <f t="shared" si="203"/>
        <v>1909.8867229840462</v>
      </c>
      <c r="G242" s="21">
        <f t="shared" si="203"/>
        <v>1909.8117610325182</v>
      </c>
      <c r="H242" s="21">
        <f t="shared" si="203"/>
        <v>1909.7868791712954</v>
      </c>
      <c r="I242" s="21">
        <f t="shared" si="203"/>
        <v>1909.7957414835325</v>
      </c>
      <c r="J242" s="21">
        <f t="shared" si="203"/>
        <v>1909.9648903828806</v>
      </c>
      <c r="K242" s="21">
        <f t="shared" si="203"/>
        <v>1911.7101717950263</v>
      </c>
      <c r="L242" s="21">
        <f t="shared" si="203"/>
        <v>1929.1792077805596</v>
      </c>
      <c r="M242" s="21">
        <f t="shared" si="203"/>
        <v>2104.8988219123344</v>
      </c>
      <c r="N242" s="21">
        <f t="shared" si="203"/>
        <v>3924.8404807959837</v>
      </c>
      <c r="O242" s="21">
        <f t="shared" si="203"/>
        <v>21752.286635732529</v>
      </c>
      <c r="P242" s="21">
        <f t="shared" si="203"/>
        <v>30228.359046721023</v>
      </c>
      <c r="Q242" s="21">
        <f t="shared" si="203"/>
        <v>34372.504763979108</v>
      </c>
      <c r="R242" s="21">
        <f t="shared" si="203"/>
        <v>43845.784887930211</v>
      </c>
      <c r="S242" s="21">
        <f t="shared" si="203"/>
        <v>28722.968614474026</v>
      </c>
      <c r="T242" s="21">
        <f t="shared" si="203"/>
        <v>3865.2119709987987</v>
      </c>
      <c r="U242" s="21">
        <f t="shared" si="203"/>
        <v>232771.16006738532</v>
      </c>
      <c r="V242" s="21">
        <f t="shared" si="203"/>
        <v>280743.04349293618</v>
      </c>
      <c r="W242" s="21">
        <f t="shared" si="203"/>
        <v>98011.232846301195</v>
      </c>
      <c r="X242" s="21">
        <f t="shared" si="203"/>
        <v>11213.242532097796</v>
      </c>
      <c r="Y242" s="21">
        <f t="shared" si="203"/>
        <v>2166.0579557571773</v>
      </c>
      <c r="Z242" s="21">
        <f t="shared" si="203"/>
        <v>34024.354929083791</v>
      </c>
      <c r="AA242" s="21">
        <f t="shared" si="203"/>
        <v>84884.810583698476</v>
      </c>
      <c r="AB242" s="21">
        <f t="shared" si="203"/>
        <v>138222.86219731308</v>
      </c>
      <c r="AC242" s="21">
        <f t="shared" si="203"/>
        <v>177401.0516955801</v>
      </c>
      <c r="AD242" s="21">
        <f t="shared" si="203"/>
        <v>111677.23486794051</v>
      </c>
      <c r="AE242" s="21">
        <f t="shared" si="203"/>
        <v>42779.128693116298</v>
      </c>
      <c r="AF242" s="21">
        <f t="shared" si="203"/>
        <v>13881.793019398418</v>
      </c>
      <c r="AG242" s="3"/>
      <c r="AH242" s="3"/>
    </row>
    <row r="243" spans="1:34" x14ac:dyDescent="0.25">
      <c r="A243" s="71">
        <f>SUM(B243:AF243)</f>
        <v>1417626.5776187391</v>
      </c>
      <c r="B243" s="60">
        <f>IF($A$64&lt;=B207,IF($B$64&gt;=B207,ABS(B242),0),0)</f>
        <v>1908.0028357812155</v>
      </c>
      <c r="C243" s="60">
        <f t="shared" ref="C243" si="204">IF($A$64&lt;=C207,IF($B$64&gt;=C207,ABS(C242),0),0)</f>
        <v>1914.4419157376842</v>
      </c>
      <c r="D243" s="60">
        <f t="shared" ref="D243" si="205">IF($A$64&lt;=D207,IF($B$64&gt;=D207,ABS(D242),0),0)</f>
        <v>1911.024990318075</v>
      </c>
      <c r="E243" s="60">
        <f t="shared" ref="E243" si="206">IF($A$64&lt;=E207,IF($B$64&gt;=E207,ABS(E242),0),0)</f>
        <v>1910.1443991200547</v>
      </c>
      <c r="F243" s="60">
        <f t="shared" ref="F243" si="207">IF($A$64&lt;=F207,IF($B$64&gt;=F207,ABS(F242),0),0)</f>
        <v>1909.8867229840462</v>
      </c>
      <c r="G243" s="60">
        <f t="shared" ref="G243" si="208">IF($A$64&lt;=G207,IF($B$64&gt;=G207,ABS(G242),0),0)</f>
        <v>1909.8117610325182</v>
      </c>
      <c r="H243" s="60">
        <f t="shared" ref="H243" si="209">IF($A$64&lt;=H207,IF($B$64&gt;=H207,ABS(H242),0),0)</f>
        <v>1909.7868791712954</v>
      </c>
      <c r="I243" s="60">
        <f t="shared" ref="I243" si="210">IF($A$64&lt;=I207,IF($B$64&gt;=I207,ABS(I242),0),0)</f>
        <v>1909.7957414835325</v>
      </c>
      <c r="J243" s="60">
        <f t="shared" ref="J243" si="211">IF($A$64&lt;=J207,IF($B$64&gt;=J207,ABS(J242),0),0)</f>
        <v>1909.9648903828806</v>
      </c>
      <c r="K243" s="60">
        <f t="shared" ref="K243" si="212">IF($A$64&lt;=K207,IF($B$64&gt;=K207,ABS(K242),0),0)</f>
        <v>1911.7101717950263</v>
      </c>
      <c r="L243" s="60">
        <f t="shared" ref="L243" si="213">IF($A$64&lt;=L207,IF($B$64&gt;=L207,ABS(L242),0),0)</f>
        <v>1929.1792077805596</v>
      </c>
      <c r="M243" s="60">
        <f t="shared" ref="M243" si="214">IF($A$64&lt;=M207,IF($B$64&gt;=M207,ABS(M242),0),0)</f>
        <v>2104.8988219123344</v>
      </c>
      <c r="N243" s="60">
        <f t="shared" ref="N243" si="215">IF($A$64&lt;=N207,IF($B$64&gt;=N207,ABS(N242),0),0)</f>
        <v>3924.8404807959837</v>
      </c>
      <c r="O243" s="60">
        <f t="shared" ref="O243" si="216">IF($A$64&lt;=O207,IF($B$64&gt;=O207,ABS(O242),0),0)</f>
        <v>21752.286635732529</v>
      </c>
      <c r="P243" s="60">
        <f t="shared" ref="P243" si="217">IF($A$64&lt;=P207,IF($B$64&gt;=P207,ABS(P242),0),0)</f>
        <v>30228.359046721023</v>
      </c>
      <c r="Q243" s="60">
        <f t="shared" ref="Q243" si="218">IF($A$64&lt;=Q207,IF($B$64&gt;=Q207,ABS(Q242),0),0)</f>
        <v>34372.504763979108</v>
      </c>
      <c r="R243" s="60">
        <f t="shared" ref="R243" si="219">IF($A$64&lt;=R207,IF($B$64&gt;=R207,ABS(R242),0),0)</f>
        <v>43845.784887930211</v>
      </c>
      <c r="S243" s="60">
        <f t="shared" ref="S243" si="220">IF($A$64&lt;=S207,IF($B$64&gt;=S207,ABS(S242),0),0)</f>
        <v>28722.968614474026</v>
      </c>
      <c r="T243" s="60">
        <f t="shared" ref="T243" si="221">IF($A$64&lt;=T207,IF($B$64&gt;=T207,ABS(T242),0),0)</f>
        <v>3865.2119709987987</v>
      </c>
      <c r="U243" s="60">
        <f t="shared" ref="U243" si="222">IF($A$64&lt;=U207,IF($B$64&gt;=U207,ABS(U242),0),0)</f>
        <v>232771.16006738532</v>
      </c>
      <c r="V243" s="60">
        <f t="shared" ref="V243" si="223">IF($A$64&lt;=V207,IF($B$64&gt;=V207,ABS(V242),0),0)</f>
        <v>280743.04349293618</v>
      </c>
      <c r="W243" s="60">
        <f t="shared" ref="W243" si="224">IF($A$64&lt;=W207,IF($B$64&gt;=W207,ABS(W242),0),0)</f>
        <v>98011.232846301195</v>
      </c>
      <c r="X243" s="60">
        <f t="shared" ref="X243" si="225">IF($A$64&lt;=X207,IF($B$64&gt;=X207,ABS(X242),0),0)</f>
        <v>11213.242532097796</v>
      </c>
      <c r="Y243" s="60">
        <f t="shared" ref="Y243" si="226">IF($A$64&lt;=Y207,IF($B$64&gt;=Y207,ABS(Y242),0),0)</f>
        <v>2166.0579557571773</v>
      </c>
      <c r="Z243" s="60">
        <f t="shared" ref="Z243" si="227">IF($A$64&lt;=Z207,IF($B$64&gt;=Z207,ABS(Z242),0),0)</f>
        <v>34024.354929083791</v>
      </c>
      <c r="AA243" s="60">
        <f t="shared" ref="AA243" si="228">IF($A$64&lt;=AA207,IF($B$64&gt;=AA207,ABS(AA242),0),0)</f>
        <v>84884.810583698476</v>
      </c>
      <c r="AB243" s="60">
        <f t="shared" ref="AB243" si="229">IF($A$64&lt;=AB207,IF($B$64&gt;=AB207,ABS(AB242),0),0)</f>
        <v>138222.86219731308</v>
      </c>
      <c r="AC243" s="60">
        <f t="shared" ref="AC243" si="230">IF($A$64&lt;=AC207,IF($B$64&gt;=AC207,ABS(AC242),0),0)</f>
        <v>177401.0516955801</v>
      </c>
      <c r="AD243" s="60">
        <f t="shared" ref="AD243" si="231">IF($A$64&lt;=AD207,IF($B$64&gt;=AD207,ABS(AD242),0),0)</f>
        <v>111677.23486794051</v>
      </c>
      <c r="AE243" s="60">
        <f t="shared" ref="AE243" si="232">IF($A$64&lt;=AE207,IF($B$64&gt;=AE207,ABS(AE242),0),0)</f>
        <v>42779.128693116298</v>
      </c>
      <c r="AF243" s="60">
        <f t="shared" ref="AF243" si="233">IF($A$64&lt;=AF207,IF($B$64&gt;=AF207,ABS(AF242),0),0)</f>
        <v>13881.793019398418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7287.2891982826222</v>
      </c>
      <c r="C248" s="27">
        <f t="shared" ref="C248:AF248" si="234">($C$17+SUM(C249:C279))*$B$51</f>
        <v>7287.2891982588853</v>
      </c>
      <c r="D248" s="27">
        <f t="shared" si="234"/>
        <v>7287.2891980215127</v>
      </c>
      <c r="E248" s="27">
        <f t="shared" si="234"/>
        <v>7287.2891956477833</v>
      </c>
      <c r="F248" s="27">
        <f t="shared" si="234"/>
        <v>7287.28917191051</v>
      </c>
      <c r="G248" s="27">
        <f t="shared" si="234"/>
        <v>7287.2889345381918</v>
      </c>
      <c r="H248" s="27">
        <f t="shared" si="234"/>
        <v>7287.2865608572565</v>
      </c>
      <c r="I248" s="27">
        <f t="shared" si="234"/>
        <v>7287.2628282719643</v>
      </c>
      <c r="J248" s="27">
        <f t="shared" si="234"/>
        <v>7287.0259235296071</v>
      </c>
      <c r="K248" s="27">
        <f t="shared" si="234"/>
        <v>7284.6977285659859</v>
      </c>
      <c r="L248" s="27">
        <f t="shared" si="234"/>
        <v>7264.5250609872737</v>
      </c>
      <c r="M248" s="27">
        <f t="shared" si="234"/>
        <v>7153.8616600829037</v>
      </c>
      <c r="N248" s="27">
        <f t="shared" si="234"/>
        <v>7011.7155985956897</v>
      </c>
      <c r="O248" s="27">
        <f t="shared" si="234"/>
        <v>6855.0669171679247</v>
      </c>
      <c r="P248" s="27">
        <f t="shared" si="234"/>
        <v>6667.0670552201436</v>
      </c>
      <c r="Q248" s="27">
        <f t="shared" si="234"/>
        <v>6458.0706329214672</v>
      </c>
      <c r="R248" s="27">
        <f t="shared" si="234"/>
        <v>6197.0046938325104</v>
      </c>
      <c r="S248" s="27">
        <f t="shared" si="234"/>
        <v>5728.7502394393869</v>
      </c>
      <c r="T248" s="27">
        <f t="shared" si="234"/>
        <v>4909.3582205893863</v>
      </c>
      <c r="U248" s="27">
        <f t="shared" si="234"/>
        <v>4054.6964158940823</v>
      </c>
      <c r="V248" s="27">
        <f t="shared" si="234"/>
        <v>3384.7204476904208</v>
      </c>
      <c r="W248" s="27">
        <f t="shared" si="234"/>
        <v>2867.8132761690949</v>
      </c>
      <c r="X248" s="27">
        <f t="shared" si="234"/>
        <v>2393.9066764023241</v>
      </c>
      <c r="Y248" s="27">
        <f t="shared" si="234"/>
        <v>1923.0468429773359</v>
      </c>
      <c r="Z248" s="27">
        <f t="shared" si="234"/>
        <v>1433.0072297352694</v>
      </c>
      <c r="AA248" s="27">
        <f t="shared" si="234"/>
        <v>928.37579994674161</v>
      </c>
      <c r="AB248" s="27">
        <f t="shared" si="234"/>
        <v>540.75881699747504</v>
      </c>
      <c r="AC248" s="27">
        <f t="shared" si="234"/>
        <v>302.1246071268672</v>
      </c>
      <c r="AD248" s="27">
        <f t="shared" si="234"/>
        <v>167.92805062309293</v>
      </c>
      <c r="AE248" s="27">
        <f t="shared" si="234"/>
        <v>115.59057552933376</v>
      </c>
      <c r="AF248" s="27">
        <f t="shared" si="234"/>
        <v>100.51072980451102</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8.2357212059797698E-4</v>
      </c>
      <c r="C258" s="3">
        <f t="shared" si="244"/>
        <v>8.2357211976538192E-4</v>
      </c>
      <c r="D258" s="3">
        <f t="shared" si="244"/>
        <v>8.235721114394311E-4</v>
      </c>
      <c r="E258" s="3">
        <f t="shared" si="244"/>
        <v>8.2357202817992742E-4</v>
      </c>
      <c r="F258" s="3">
        <f t="shared" si="244"/>
        <v>8.2357119558535297E-4</v>
      </c>
      <c r="G258" s="3">
        <f t="shared" si="244"/>
        <v>8.2356286968590338E-4</v>
      </c>
      <c r="H258" s="3">
        <f t="shared" si="244"/>
        <v>8.2347961532065804E-4</v>
      </c>
      <c r="I258" s="3">
        <f t="shared" si="244"/>
        <v>8.2264753442015345E-4</v>
      </c>
      <c r="J258" s="3">
        <f t="shared" si="244"/>
        <v>8.143728279830498E-4</v>
      </c>
      <c r="K258" s="3">
        <f t="shared" si="244"/>
        <v>7.3606813669378616E-4</v>
      </c>
      <c r="L258" s="3">
        <f t="shared" si="244"/>
        <v>2.6783384272906246E-4</v>
      </c>
      <c r="M258" s="3">
        <f t="shared" si="244"/>
        <v>1.0897824115488634E-8</v>
      </c>
      <c r="N258" s="3">
        <f t="shared" si="244"/>
        <v>1.3554491024600179E-52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2.4665844117389667E-2</v>
      </c>
      <c r="C259" s="3">
        <f t="shared" si="245"/>
        <v>2.4665844115140226E-2</v>
      </c>
      <c r="D259" s="3">
        <f t="shared" si="245"/>
        <v>2.4665844092645807E-2</v>
      </c>
      <c r="E259" s="3">
        <f t="shared" si="245"/>
        <v>2.4665843867701619E-2</v>
      </c>
      <c r="F259" s="3">
        <f t="shared" si="245"/>
        <v>2.4665841618259837E-2</v>
      </c>
      <c r="G259" s="3">
        <f t="shared" si="245"/>
        <v>2.4665819123853308E-2</v>
      </c>
      <c r="H259" s="3">
        <f t="shared" si="245"/>
        <v>2.4665594180916305E-2</v>
      </c>
      <c r="I259" s="3">
        <f t="shared" si="245"/>
        <v>2.4663344864369895E-2</v>
      </c>
      <c r="J259" s="3">
        <f t="shared" si="245"/>
        <v>2.4640862977460615E-2</v>
      </c>
      <c r="K259" s="3">
        <f t="shared" si="245"/>
        <v>2.4417168167423765E-2</v>
      </c>
      <c r="L259" s="3">
        <f t="shared" si="245"/>
        <v>2.2288923842585087E-2</v>
      </c>
      <c r="M259" s="3">
        <f t="shared" si="245"/>
        <v>8.9542076243671522E-3</v>
      </c>
      <c r="N259" s="3">
        <f t="shared" si="245"/>
        <v>9.8041006300367522E-7</v>
      </c>
      <c r="O259" s="3">
        <f t="shared" si="245"/>
        <v>2.4278047654554975E-46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1.6291197925301874E-2</v>
      </c>
      <c r="C260" s="3">
        <f t="shared" si="246"/>
        <v>1.6291197925167849E-2</v>
      </c>
      <c r="D260" s="3">
        <f t="shared" si="246"/>
        <v>1.6291197923827622E-2</v>
      </c>
      <c r="E260" s="3">
        <f t="shared" si="246"/>
        <v>1.629119791042535E-2</v>
      </c>
      <c r="F260" s="3">
        <f t="shared" si="246"/>
        <v>1.6291197776402637E-2</v>
      </c>
      <c r="G260" s="3">
        <f t="shared" si="246"/>
        <v>1.6291196436175558E-2</v>
      </c>
      <c r="H260" s="3">
        <f t="shared" si="246"/>
        <v>1.629118303391084E-2</v>
      </c>
      <c r="I260" s="3">
        <f t="shared" si="246"/>
        <v>1.6291049011870069E-2</v>
      </c>
      <c r="J260" s="3">
        <f t="shared" si="246"/>
        <v>1.6289708852101306E-2</v>
      </c>
      <c r="K260" s="3">
        <f t="shared" si="246"/>
        <v>1.6276313316465105E-2</v>
      </c>
      <c r="L260" s="3">
        <f t="shared" si="246"/>
        <v>1.6142962324085672E-2</v>
      </c>
      <c r="M260" s="3">
        <f t="shared" si="246"/>
        <v>1.4868088971163299E-2</v>
      </c>
      <c r="N260" s="3">
        <f t="shared" si="246"/>
        <v>6.5309195227325218E-3</v>
      </c>
      <c r="O260" s="3">
        <f t="shared" si="246"/>
        <v>1.7464901537506578E-6</v>
      </c>
      <c r="P260" s="3">
        <f t="shared" si="246"/>
        <v>3.2665118270929739E-42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2.6847553865853482E-2</v>
      </c>
      <c r="C261" s="3">
        <f t="shared" si="247"/>
        <v>2.6847553865833557E-2</v>
      </c>
      <c r="D261" s="3">
        <f t="shared" si="247"/>
        <v>2.6847553865634317E-2</v>
      </c>
      <c r="E261" s="3">
        <f t="shared" si="247"/>
        <v>2.6847553863641918E-2</v>
      </c>
      <c r="F261" s="3">
        <f t="shared" si="247"/>
        <v>2.6847553843717911E-2</v>
      </c>
      <c r="G261" s="3">
        <f t="shared" si="247"/>
        <v>2.6847553644477832E-2</v>
      </c>
      <c r="H261" s="3">
        <f t="shared" si="247"/>
        <v>2.684755165207714E-2</v>
      </c>
      <c r="I261" s="3">
        <f t="shared" si="247"/>
        <v>2.6847531728078362E-2</v>
      </c>
      <c r="J261" s="3">
        <f t="shared" si="247"/>
        <v>2.6847332488903811E-2</v>
      </c>
      <c r="K261" s="3">
        <f t="shared" si="247"/>
        <v>2.6845340178478411E-2</v>
      </c>
      <c r="L261" s="3">
        <f t="shared" si="247"/>
        <v>2.6825425204006086E-2</v>
      </c>
      <c r="M261" s="3">
        <f t="shared" si="247"/>
        <v>2.6627086209571958E-2</v>
      </c>
      <c r="N261" s="3">
        <f t="shared" si="247"/>
        <v>2.4722588613490512E-2</v>
      </c>
      <c r="O261" s="3">
        <f t="shared" si="247"/>
        <v>1.1770554445154041E-2</v>
      </c>
      <c r="P261" s="3">
        <f t="shared" si="247"/>
        <v>7.0441193148666769E-6</v>
      </c>
      <c r="Q261" s="3">
        <f t="shared" si="247"/>
        <v>4.1507304755957363E-38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2.5906186741603471E-2</v>
      </c>
      <c r="C262" s="3">
        <f t="shared" si="248"/>
        <v>2.590618674160174E-2</v>
      </c>
      <c r="D262" s="3">
        <f t="shared" si="248"/>
        <v>2.5906186741584396E-2</v>
      </c>
      <c r="E262" s="3">
        <f t="shared" si="248"/>
        <v>2.5906186741410965E-2</v>
      </c>
      <c r="F262" s="3">
        <f t="shared" si="248"/>
        <v>2.5906186739676675E-2</v>
      </c>
      <c r="G262" s="3">
        <f t="shared" si="248"/>
        <v>2.590618672233376E-2</v>
      </c>
      <c r="H262" s="3">
        <f t="shared" si="248"/>
        <v>2.5906186548904624E-2</v>
      </c>
      <c r="I262" s="3">
        <f t="shared" si="248"/>
        <v>2.5906184814613323E-2</v>
      </c>
      <c r="J262" s="3">
        <f t="shared" si="248"/>
        <v>2.5906167471706692E-2</v>
      </c>
      <c r="K262" s="3">
        <f t="shared" si="248"/>
        <v>2.5905994043278941E-2</v>
      </c>
      <c r="L262" s="3">
        <f t="shared" si="248"/>
        <v>2.5904259822855928E-2</v>
      </c>
      <c r="M262" s="3">
        <f t="shared" si="248"/>
        <v>2.5886924002492408E-2</v>
      </c>
      <c r="N262" s="3">
        <f t="shared" si="248"/>
        <v>2.5714202607084694E-2</v>
      </c>
      <c r="O262" s="3">
        <f t="shared" si="248"/>
        <v>2.4049119970410093E-2</v>
      </c>
      <c r="P262" s="3">
        <f t="shared" si="248"/>
        <v>1.2312903130664769E-2</v>
      </c>
      <c r="Q262" s="3">
        <f t="shared" si="248"/>
        <v>1.523958714636875E-5</v>
      </c>
      <c r="R262" s="3">
        <f t="shared" si="248"/>
        <v>1.2855843935808581E-34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3.2694648537282246E-2</v>
      </c>
      <c r="C263" s="3">
        <f t="shared" si="249"/>
        <v>3.2694648537282052E-2</v>
      </c>
      <c r="D263" s="3">
        <f t="shared" si="249"/>
        <v>3.2694648537280074E-2</v>
      </c>
      <c r="E263" s="3">
        <f t="shared" si="249"/>
        <v>3.2694648537260326E-2</v>
      </c>
      <c r="F263" s="3">
        <f t="shared" si="249"/>
        <v>3.2694648537062887E-2</v>
      </c>
      <c r="G263" s="3">
        <f t="shared" si="249"/>
        <v>3.2694648535088459E-2</v>
      </c>
      <c r="H263" s="3">
        <f t="shared" si="249"/>
        <v>3.2694648515344149E-2</v>
      </c>
      <c r="I263" s="3">
        <f t="shared" si="249"/>
        <v>3.2694648317901108E-2</v>
      </c>
      <c r="J263" s="3">
        <f t="shared" si="249"/>
        <v>3.2694646343470753E-2</v>
      </c>
      <c r="K263" s="3">
        <f t="shared" si="249"/>
        <v>3.2694626599173729E-2</v>
      </c>
      <c r="L263" s="3">
        <f t="shared" si="249"/>
        <v>3.2694429156859307E-2</v>
      </c>
      <c r="M263" s="3">
        <f t="shared" si="249"/>
        <v>3.2692454799293197E-2</v>
      </c>
      <c r="N263" s="3">
        <f t="shared" si="249"/>
        <v>3.2672717779978218E-2</v>
      </c>
      <c r="O263" s="3">
        <f t="shared" si="249"/>
        <v>3.2476001758831148E-2</v>
      </c>
      <c r="P263" s="3">
        <f t="shared" si="249"/>
        <v>3.0572820357194587E-2</v>
      </c>
      <c r="Q263" s="3">
        <f t="shared" si="249"/>
        <v>1.6713406894209193E-2</v>
      </c>
      <c r="R263" s="3">
        <f t="shared" si="249"/>
        <v>3.9843713226360538E-5</v>
      </c>
      <c r="S263" s="3">
        <f t="shared" si="249"/>
        <v>2.3621528588239384E-31</v>
      </c>
      <c r="T263" s="3">
        <f t="shared" si="249"/>
        <v>1.267038825158397E-293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3.3282078428276941E-2</v>
      </c>
      <c r="C264" s="3">
        <f t="shared" si="250"/>
        <v>3.3282078428276927E-2</v>
      </c>
      <c r="D264" s="3">
        <f t="shared" si="250"/>
        <v>3.3282078428276747E-2</v>
      </c>
      <c r="E264" s="3">
        <f t="shared" si="250"/>
        <v>3.3282078428274936E-2</v>
      </c>
      <c r="F264" s="3">
        <f t="shared" si="250"/>
        <v>3.3282078428256805E-2</v>
      </c>
      <c r="G264" s="3">
        <f t="shared" si="250"/>
        <v>3.3282078428075491E-2</v>
      </c>
      <c r="H264" s="3">
        <f t="shared" si="250"/>
        <v>3.3282078426262393E-2</v>
      </c>
      <c r="I264" s="3">
        <f t="shared" si="250"/>
        <v>3.3282078408131369E-2</v>
      </c>
      <c r="J264" s="3">
        <f t="shared" si="250"/>
        <v>3.3282078226821193E-2</v>
      </c>
      <c r="K264" s="3">
        <f t="shared" si="250"/>
        <v>3.3282076413719434E-2</v>
      </c>
      <c r="L264" s="3">
        <f t="shared" si="250"/>
        <v>3.3282058282707284E-2</v>
      </c>
      <c r="M264" s="3">
        <f t="shared" si="250"/>
        <v>3.3281876973129065E-2</v>
      </c>
      <c r="N264" s="3">
        <f t="shared" si="250"/>
        <v>3.3280063931670281E-2</v>
      </c>
      <c r="O264" s="3">
        <f t="shared" si="250"/>
        <v>3.3261938948327192E-2</v>
      </c>
      <c r="P264" s="3">
        <f t="shared" si="250"/>
        <v>3.3081231146222502E-2</v>
      </c>
      <c r="Q264" s="3">
        <f t="shared" si="250"/>
        <v>3.1327279454175072E-2</v>
      </c>
      <c r="R264" s="3">
        <f t="shared" si="250"/>
        <v>1.8169076567092355E-2</v>
      </c>
      <c r="S264" s="3">
        <f t="shared" si="250"/>
        <v>7.8241036295624518E-5</v>
      </c>
      <c r="T264" s="3">
        <f t="shared" si="250"/>
        <v>1.7157420020550686E-28</v>
      </c>
      <c r="U264" s="3">
        <f t="shared" si="250"/>
        <v>4.4119021722727782E-265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0.1075539898267141</v>
      </c>
      <c r="C265" s="3">
        <f t="shared" si="251"/>
        <v>0.1075539898267141</v>
      </c>
      <c r="D265" s="3">
        <f t="shared" si="251"/>
        <v>0.10755398982671405</v>
      </c>
      <c r="E265" s="3">
        <f t="shared" si="251"/>
        <v>0.10755398982671352</v>
      </c>
      <c r="F265" s="3">
        <f t="shared" si="251"/>
        <v>0.10755398982670823</v>
      </c>
      <c r="G265" s="3">
        <f t="shared" si="251"/>
        <v>0.10755398982665537</v>
      </c>
      <c r="H265" s="3">
        <f t="shared" si="251"/>
        <v>0.10755398982612682</v>
      </c>
      <c r="I265" s="3">
        <f t="shared" si="251"/>
        <v>0.10755398982084134</v>
      </c>
      <c r="J265" s="3">
        <f t="shared" si="251"/>
        <v>0.1075539897679865</v>
      </c>
      <c r="K265" s="3">
        <f t="shared" si="251"/>
        <v>0.10755398923943796</v>
      </c>
      <c r="L265" s="3">
        <f t="shared" si="251"/>
        <v>0.1075539839539528</v>
      </c>
      <c r="M265" s="3">
        <f t="shared" si="251"/>
        <v>0.10755393109911555</v>
      </c>
      <c r="N265" s="3">
        <f t="shared" si="251"/>
        <v>0.10755340255217163</v>
      </c>
      <c r="O265" s="3">
        <f t="shared" si="251"/>
        <v>0.10754811722558803</v>
      </c>
      <c r="P265" s="3">
        <f t="shared" si="251"/>
        <v>0.10749527824271012</v>
      </c>
      <c r="Q265" s="3">
        <f t="shared" si="251"/>
        <v>0.10696831411612939</v>
      </c>
      <c r="R265" s="3">
        <f t="shared" si="251"/>
        <v>0.10183868447174835</v>
      </c>
      <c r="S265" s="3">
        <f t="shared" si="251"/>
        <v>6.2300147522429745E-2</v>
      </c>
      <c r="T265" s="3">
        <f t="shared" si="251"/>
        <v>4.5735351347005377E-4</v>
      </c>
      <c r="U265" s="3">
        <f t="shared" si="251"/>
        <v>2.0791291479660449E-25</v>
      </c>
      <c r="V265" s="3">
        <f t="shared" si="251"/>
        <v>7.8374708587024974E-239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0.13355176295714186</v>
      </c>
      <c r="C266" s="3">
        <f t="shared" si="252"/>
        <v>0.13355176295714186</v>
      </c>
      <c r="D266" s="3">
        <f t="shared" si="252"/>
        <v>0.13355176295714186</v>
      </c>
      <c r="E266" s="3">
        <f t="shared" si="252"/>
        <v>0.1335517629571418</v>
      </c>
      <c r="F266" s="3">
        <f t="shared" si="252"/>
        <v>0.13355176295714119</v>
      </c>
      <c r="G266" s="3">
        <f t="shared" si="252"/>
        <v>0.13355176295713528</v>
      </c>
      <c r="H266" s="3">
        <f t="shared" si="252"/>
        <v>0.13355176295707608</v>
      </c>
      <c r="I266" s="3">
        <f t="shared" si="252"/>
        <v>0.13355176295648402</v>
      </c>
      <c r="J266" s="3">
        <f t="shared" si="252"/>
        <v>0.13355176295056359</v>
      </c>
      <c r="K266" s="3">
        <f t="shared" si="252"/>
        <v>0.13355176289135909</v>
      </c>
      <c r="L266" s="3">
        <f t="shared" si="252"/>
        <v>0.13355176229931431</v>
      </c>
      <c r="M266" s="3">
        <f t="shared" si="252"/>
        <v>0.13355175637886663</v>
      </c>
      <c r="N266" s="3">
        <f t="shared" si="252"/>
        <v>0.13355169717440402</v>
      </c>
      <c r="O266" s="3">
        <f t="shared" si="252"/>
        <v>0.13355110513122168</v>
      </c>
      <c r="P266" s="3">
        <f t="shared" si="252"/>
        <v>0.13354518484374714</v>
      </c>
      <c r="Q266" s="3">
        <f t="shared" si="252"/>
        <v>0.1334859964015509</v>
      </c>
      <c r="R266" s="3">
        <f t="shared" si="252"/>
        <v>0.13289555287000762</v>
      </c>
      <c r="S266" s="3">
        <f t="shared" si="252"/>
        <v>0.1271328709575181</v>
      </c>
      <c r="T266" s="3">
        <f t="shared" si="252"/>
        <v>8.1607846365599396E-2</v>
      </c>
      <c r="U266" s="3">
        <f t="shared" si="252"/>
        <v>9.6933198122651652E-4</v>
      </c>
      <c r="V266" s="3">
        <f t="shared" si="252"/>
        <v>5.4184963962843724E-23</v>
      </c>
      <c r="W266" s="3">
        <f t="shared" si="252"/>
        <v>1.6141402261489755E-215</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0.10276653551975504</v>
      </c>
      <c r="C267" s="3">
        <f t="shared" si="253"/>
        <v>0.10276653551975504</v>
      </c>
      <c r="D267" s="3">
        <f t="shared" si="253"/>
        <v>0.10276653551975504</v>
      </c>
      <c r="E267" s="3">
        <f t="shared" si="253"/>
        <v>0.10276653551975504</v>
      </c>
      <c r="F267" s="3">
        <f t="shared" si="253"/>
        <v>0.102766535519755</v>
      </c>
      <c r="G267" s="3">
        <f t="shared" si="253"/>
        <v>0.10276653551975458</v>
      </c>
      <c r="H267" s="3">
        <f t="shared" si="253"/>
        <v>0.10276653551975047</v>
      </c>
      <c r="I267" s="3">
        <f t="shared" si="253"/>
        <v>0.10276653551970938</v>
      </c>
      <c r="J267" s="3">
        <f t="shared" si="253"/>
        <v>0.10276653551929842</v>
      </c>
      <c r="K267" s="3">
        <f t="shared" si="253"/>
        <v>0.10276653551518877</v>
      </c>
      <c r="L267" s="3">
        <f t="shared" si="253"/>
        <v>0.10276653547409242</v>
      </c>
      <c r="M267" s="3">
        <f t="shared" si="253"/>
        <v>0.10276653506312894</v>
      </c>
      <c r="N267" s="3">
        <f t="shared" si="253"/>
        <v>0.10276653095349413</v>
      </c>
      <c r="O267" s="3">
        <f t="shared" si="253"/>
        <v>0.10276648985715503</v>
      </c>
      <c r="P267" s="3">
        <f t="shared" si="253"/>
        <v>0.10276607889466798</v>
      </c>
      <c r="Q267" s="3">
        <f t="shared" si="253"/>
        <v>0.10276196936018533</v>
      </c>
      <c r="R267" s="3">
        <f t="shared" si="253"/>
        <v>0.1027208830528122</v>
      </c>
      <c r="S267" s="3">
        <f t="shared" si="253"/>
        <v>0.10231092238862032</v>
      </c>
      <c r="T267" s="3">
        <f t="shared" si="253"/>
        <v>9.8300235630361082E-2</v>
      </c>
      <c r="U267" s="3">
        <f t="shared" si="253"/>
        <v>6.5899200636419089E-2</v>
      </c>
      <c r="V267" s="3">
        <f t="shared" si="253"/>
        <v>1.2081921897303342E-3</v>
      </c>
      <c r="W267" s="3">
        <f t="shared" si="253"/>
        <v>5.1843557769628241E-21</v>
      </c>
      <c r="X267" s="3">
        <f t="shared" si="253"/>
        <v>1.0971917462414617E-194</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8.2308697100650766E-2</v>
      </c>
      <c r="C268" s="3">
        <f t="shared" si="254"/>
        <v>8.2308697100650766E-2</v>
      </c>
      <c r="D268" s="3">
        <f t="shared" si="254"/>
        <v>8.2308697100650766E-2</v>
      </c>
      <c r="E268" s="3">
        <f t="shared" si="254"/>
        <v>8.2308697100650766E-2</v>
      </c>
      <c r="F268" s="3">
        <f t="shared" si="254"/>
        <v>8.2308697100650766E-2</v>
      </c>
      <c r="G268" s="3">
        <f t="shared" si="254"/>
        <v>8.2308697100650724E-2</v>
      </c>
      <c r="H268" s="3">
        <f t="shared" si="254"/>
        <v>8.2308697100650433E-2</v>
      </c>
      <c r="I268" s="3">
        <f t="shared" si="254"/>
        <v>8.2308697100647463E-2</v>
      </c>
      <c r="J268" s="3">
        <f t="shared" si="254"/>
        <v>8.2308697100617778E-2</v>
      </c>
      <c r="K268" s="3">
        <f t="shared" si="254"/>
        <v>8.2308697100320849E-2</v>
      </c>
      <c r="L268" s="3">
        <f t="shared" si="254"/>
        <v>8.2308697097351613E-2</v>
      </c>
      <c r="M268" s="3">
        <f t="shared" si="254"/>
        <v>8.2308697067659323E-2</v>
      </c>
      <c r="N268" s="3">
        <f t="shared" si="254"/>
        <v>8.2308696770736323E-2</v>
      </c>
      <c r="O268" s="3">
        <f t="shared" si="254"/>
        <v>8.230869380150635E-2</v>
      </c>
      <c r="P268" s="3">
        <f t="shared" si="254"/>
        <v>8.2308664109212573E-2</v>
      </c>
      <c r="Q268" s="3">
        <f t="shared" si="254"/>
        <v>8.2308367186863921E-2</v>
      </c>
      <c r="R268" s="3">
        <f t="shared" si="254"/>
        <v>8.2305398022288603E-2</v>
      </c>
      <c r="S268" s="3">
        <f t="shared" si="254"/>
        <v>8.2275712266873843E-2</v>
      </c>
      <c r="T268" s="3">
        <f t="shared" si="254"/>
        <v>8.1979442961110552E-2</v>
      </c>
      <c r="U268" s="3">
        <f t="shared" si="254"/>
        <v>7.9074797096293309E-2</v>
      </c>
      <c r="V268" s="3">
        <f t="shared" si="254"/>
        <v>5.5127629486666704E-2</v>
      </c>
      <c r="W268" s="3">
        <f t="shared" si="254"/>
        <v>1.4951392278669915E-3</v>
      </c>
      <c r="X268" s="3">
        <f t="shared" si="254"/>
        <v>3.2196214929889348E-19</v>
      </c>
      <c r="Y268" s="3">
        <f t="shared" si="254"/>
        <v>6.9029803188507324E-176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3.7013792035783422E-2</v>
      </c>
      <c r="C269" s="3">
        <f t="shared" si="255"/>
        <v>3.7013792035783422E-2</v>
      </c>
      <c r="D269" s="3">
        <f t="shared" si="255"/>
        <v>3.7013792035783422E-2</v>
      </c>
      <c r="E269" s="3">
        <f t="shared" si="255"/>
        <v>3.7013792035783422E-2</v>
      </c>
      <c r="F269" s="3">
        <f t="shared" si="255"/>
        <v>3.7013792035783422E-2</v>
      </c>
      <c r="G269" s="3">
        <f t="shared" si="255"/>
        <v>3.7013792035783422E-2</v>
      </c>
      <c r="H269" s="3">
        <f t="shared" si="255"/>
        <v>3.7013792035783408E-2</v>
      </c>
      <c r="I269" s="3">
        <f t="shared" si="255"/>
        <v>3.7013792035783283E-2</v>
      </c>
      <c r="J269" s="3">
        <f t="shared" si="255"/>
        <v>3.7013792035782082E-2</v>
      </c>
      <c r="K269" s="3">
        <f t="shared" si="255"/>
        <v>3.7013792035770036E-2</v>
      </c>
      <c r="L269" s="3">
        <f t="shared" si="255"/>
        <v>3.7013792035649591E-2</v>
      </c>
      <c r="M269" s="3">
        <f t="shared" si="255"/>
        <v>3.7013792034445082E-2</v>
      </c>
      <c r="N269" s="3">
        <f t="shared" si="255"/>
        <v>3.7013792022400044E-2</v>
      </c>
      <c r="O269" s="3">
        <f t="shared" si="255"/>
        <v>3.701379190194963E-2</v>
      </c>
      <c r="P269" s="3">
        <f t="shared" si="255"/>
        <v>3.7013790697445537E-2</v>
      </c>
      <c r="Q269" s="3">
        <f t="shared" si="255"/>
        <v>3.7013778652406758E-2</v>
      </c>
      <c r="R269" s="3">
        <f t="shared" si="255"/>
        <v>3.7013658202234546E-2</v>
      </c>
      <c r="S269" s="3">
        <f t="shared" si="255"/>
        <v>3.7012453722070522E-2</v>
      </c>
      <c r="T269" s="3">
        <f t="shared" si="255"/>
        <v>3.7000411075977672E-2</v>
      </c>
      <c r="U269" s="3">
        <f t="shared" si="255"/>
        <v>3.6880199910479798E-2</v>
      </c>
      <c r="V269" s="3">
        <f t="shared" si="255"/>
        <v>3.5699360811936802E-2</v>
      </c>
      <c r="W269" s="3">
        <f t="shared" si="255"/>
        <v>2.5782924552804988E-2</v>
      </c>
      <c r="X269" s="3">
        <f t="shared" si="255"/>
        <v>9.9551899934433572E-4</v>
      </c>
      <c r="Y269" s="3">
        <f t="shared" si="255"/>
        <v>7.3320143150912201E-18</v>
      </c>
      <c r="Z269" s="3">
        <f t="shared" si="255"/>
        <v>3.443188644697919E-159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5.9919400803358086E-2</v>
      </c>
      <c r="C270" s="3">
        <f t="shared" si="256"/>
        <v>5.9919400803358086E-2</v>
      </c>
      <c r="D270" s="3">
        <f t="shared" si="256"/>
        <v>5.9919400803358086E-2</v>
      </c>
      <c r="E270" s="3">
        <f t="shared" si="256"/>
        <v>5.9919400803358086E-2</v>
      </c>
      <c r="F270" s="3">
        <f t="shared" si="256"/>
        <v>5.9919400803358086E-2</v>
      </c>
      <c r="G270" s="3">
        <f t="shared" si="256"/>
        <v>5.9919400803358086E-2</v>
      </c>
      <c r="H270" s="3">
        <f t="shared" si="256"/>
        <v>5.9919400803358079E-2</v>
      </c>
      <c r="I270" s="3">
        <f t="shared" si="256"/>
        <v>5.9919400803358024E-2</v>
      </c>
      <c r="J270" s="3">
        <f t="shared" si="256"/>
        <v>5.9919400803357489E-2</v>
      </c>
      <c r="K270" s="3">
        <f t="shared" si="256"/>
        <v>5.9919400803352091E-2</v>
      </c>
      <c r="L270" s="3">
        <f t="shared" si="256"/>
        <v>5.9919400803298162E-2</v>
      </c>
      <c r="M270" s="3">
        <f t="shared" si="256"/>
        <v>5.9919400802758871E-2</v>
      </c>
      <c r="N270" s="3">
        <f t="shared" si="256"/>
        <v>5.9919400797365942E-2</v>
      </c>
      <c r="O270" s="3">
        <f t="shared" si="256"/>
        <v>5.9919400743436602E-2</v>
      </c>
      <c r="P270" s="3">
        <f t="shared" si="256"/>
        <v>5.9919400204143297E-2</v>
      </c>
      <c r="Q270" s="3">
        <f t="shared" si="256"/>
        <v>5.9919394811210509E-2</v>
      </c>
      <c r="R270" s="3">
        <f t="shared" si="256"/>
        <v>5.991934088190929E-2</v>
      </c>
      <c r="S270" s="3">
        <f t="shared" si="256"/>
        <v>5.9918801591566644E-2</v>
      </c>
      <c r="T270" s="3">
        <f t="shared" si="256"/>
        <v>5.9913408955089731E-2</v>
      </c>
      <c r="U270" s="3">
        <f t="shared" si="256"/>
        <v>5.9859509276389888E-2</v>
      </c>
      <c r="V270" s="3">
        <f t="shared" si="256"/>
        <v>5.9323172230897031E-2</v>
      </c>
      <c r="W270" s="3">
        <f t="shared" si="256"/>
        <v>5.4217127892071761E-2</v>
      </c>
      <c r="X270" s="3">
        <f t="shared" si="256"/>
        <v>2.2042351258047595E-2</v>
      </c>
      <c r="Y270" s="3">
        <f t="shared" si="256"/>
        <v>2.7193933599142153E-6</v>
      </c>
      <c r="Z270" s="3">
        <f t="shared" si="256"/>
        <v>2.221330460474656E-45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6.4670451984415095E-2</v>
      </c>
      <c r="C271" s="3">
        <f t="shared" si="257"/>
        <v>6.4670451984415095E-2</v>
      </c>
      <c r="D271" s="3">
        <f t="shared" si="257"/>
        <v>6.4670451984415095E-2</v>
      </c>
      <c r="E271" s="3">
        <f t="shared" si="257"/>
        <v>6.4670451984415095E-2</v>
      </c>
      <c r="F271" s="3">
        <f t="shared" si="257"/>
        <v>6.4670451984415095E-2</v>
      </c>
      <c r="G271" s="3">
        <f t="shared" si="257"/>
        <v>6.4670451984415095E-2</v>
      </c>
      <c r="H271" s="3">
        <f t="shared" si="257"/>
        <v>6.4670451984415095E-2</v>
      </c>
      <c r="I271" s="3">
        <f t="shared" si="257"/>
        <v>6.4670451984415081E-2</v>
      </c>
      <c r="J271" s="3">
        <f t="shared" si="257"/>
        <v>6.4670451984415026E-2</v>
      </c>
      <c r="K271" s="3">
        <f t="shared" si="257"/>
        <v>6.4670451984414443E-2</v>
      </c>
      <c r="L271" s="3">
        <f t="shared" si="257"/>
        <v>6.4670451984408628E-2</v>
      </c>
      <c r="M271" s="3">
        <f t="shared" si="257"/>
        <v>6.4670451984350424E-2</v>
      </c>
      <c r="N271" s="3">
        <f t="shared" si="257"/>
        <v>6.4670451983768362E-2</v>
      </c>
      <c r="O271" s="3">
        <f t="shared" si="257"/>
        <v>6.4670451977947824E-2</v>
      </c>
      <c r="P271" s="3">
        <f t="shared" si="257"/>
        <v>6.4670451919742397E-2</v>
      </c>
      <c r="Q271" s="3">
        <f t="shared" si="257"/>
        <v>6.4670451337688145E-2</v>
      </c>
      <c r="R271" s="3">
        <f t="shared" si="257"/>
        <v>6.4670445517145944E-2</v>
      </c>
      <c r="S271" s="3">
        <f t="shared" si="257"/>
        <v>6.4670387311752731E-2</v>
      </c>
      <c r="T271" s="3">
        <f t="shared" si="257"/>
        <v>6.4669805260701776E-2</v>
      </c>
      <c r="U271" s="3">
        <f t="shared" si="257"/>
        <v>6.4663985038308475E-2</v>
      </c>
      <c r="V271" s="3">
        <f t="shared" si="257"/>
        <v>6.460581161640172E-2</v>
      </c>
      <c r="W271" s="3">
        <f t="shared" si="257"/>
        <v>6.4026948031603234E-2</v>
      </c>
      <c r="X271" s="3">
        <f t="shared" si="257"/>
        <v>5.8516041867371561E-2</v>
      </c>
      <c r="Y271" s="3">
        <f t="shared" si="257"/>
        <v>2.3790104699733403E-2</v>
      </c>
      <c r="Z271" s="3">
        <f t="shared" si="257"/>
        <v>2.9350159606271205E-6</v>
      </c>
      <c r="AA271" s="3">
        <f t="shared" si="257"/>
        <v>2.397461305681048E-45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6.7576207998846588E-2</v>
      </c>
      <c r="C272" s="3">
        <f t="shared" si="258"/>
        <v>6.7576207998846588E-2</v>
      </c>
      <c r="D272" s="3">
        <f t="shared" si="258"/>
        <v>6.7576207998846588E-2</v>
      </c>
      <c r="E272" s="3">
        <f t="shared" si="258"/>
        <v>6.7576207998846588E-2</v>
      </c>
      <c r="F272" s="3">
        <f t="shared" si="258"/>
        <v>6.7576207998846588E-2</v>
      </c>
      <c r="G272" s="3">
        <f t="shared" si="258"/>
        <v>6.7576207998846588E-2</v>
      </c>
      <c r="H272" s="3">
        <f t="shared" si="258"/>
        <v>6.7576207998846588E-2</v>
      </c>
      <c r="I272" s="3">
        <f t="shared" si="258"/>
        <v>6.7576207998846588E-2</v>
      </c>
      <c r="J272" s="3">
        <f t="shared" si="258"/>
        <v>6.7576207998846574E-2</v>
      </c>
      <c r="K272" s="3">
        <f t="shared" si="258"/>
        <v>6.7576207998846519E-2</v>
      </c>
      <c r="L272" s="3">
        <f t="shared" si="258"/>
        <v>6.7576207998845908E-2</v>
      </c>
      <c r="M272" s="3">
        <f t="shared" si="258"/>
        <v>6.757620799883983E-2</v>
      </c>
      <c r="N272" s="3">
        <f t="shared" si="258"/>
        <v>6.7576207998779003E-2</v>
      </c>
      <c r="O272" s="3">
        <f t="shared" si="258"/>
        <v>6.7576207998170809E-2</v>
      </c>
      <c r="P272" s="3">
        <f t="shared" si="258"/>
        <v>6.757620799208873E-2</v>
      </c>
      <c r="Q272" s="3">
        <f t="shared" si="258"/>
        <v>6.7576207931268034E-2</v>
      </c>
      <c r="R272" s="3">
        <f t="shared" si="258"/>
        <v>6.7576207323061077E-2</v>
      </c>
      <c r="S272" s="3">
        <f t="shared" si="258"/>
        <v>6.7576201240991771E-2</v>
      </c>
      <c r="T272" s="3">
        <f t="shared" si="258"/>
        <v>6.757614042032889E-2</v>
      </c>
      <c r="U272" s="3">
        <f t="shared" si="258"/>
        <v>6.7575532216710726E-2</v>
      </c>
      <c r="V272" s="3">
        <f t="shared" si="258"/>
        <v>6.7569450481590895E-2</v>
      </c>
      <c r="W272" s="3">
        <f t="shared" si="258"/>
        <v>6.7508663226543988E-2</v>
      </c>
      <c r="X272" s="3">
        <f t="shared" si="258"/>
        <v>6.6903790292940135E-2</v>
      </c>
      <c r="Y272" s="3">
        <f t="shared" si="258"/>
        <v>6.1145269518939796E-2</v>
      </c>
      <c r="Z272" s="3">
        <f t="shared" si="258"/>
        <v>2.4859035528172091E-2</v>
      </c>
      <c r="AA272" s="3">
        <f t="shared" si="258"/>
        <v>3.0668913383050118E-6</v>
      </c>
      <c r="AB272" s="3">
        <f t="shared" si="258"/>
        <v>2.5051834167005955E-45</v>
      </c>
      <c r="AC272" s="3">
        <f t="shared" si="258"/>
        <v>0</v>
      </c>
      <c r="AD272" s="3">
        <f t="shared" si="258"/>
        <v>0</v>
      </c>
      <c r="AE272" s="3">
        <f t="shared" si="258"/>
        <v>0</v>
      </c>
      <c r="AF272" s="3">
        <f t="shared" si="258"/>
        <v>0</v>
      </c>
      <c r="AG272" s="3"/>
      <c r="AH272" s="3"/>
    </row>
    <row r="273" spans="1:34" x14ac:dyDescent="0.25">
      <c r="B273" s="3">
        <f t="shared" ref="B273:AF273" si="259">$C42*EXP(-B$246/$A42/EXP(-$E$126))</f>
        <v>7.4650772379504848E-2</v>
      </c>
      <c r="C273" s="3">
        <f t="shared" si="259"/>
        <v>7.4650772379504848E-2</v>
      </c>
      <c r="D273" s="3">
        <f t="shared" si="259"/>
        <v>7.4650772379504848E-2</v>
      </c>
      <c r="E273" s="3">
        <f t="shared" si="259"/>
        <v>7.4650772379504848E-2</v>
      </c>
      <c r="F273" s="3">
        <f t="shared" si="259"/>
        <v>7.4650772379504848E-2</v>
      </c>
      <c r="G273" s="3">
        <f t="shared" si="259"/>
        <v>7.4650772379504848E-2</v>
      </c>
      <c r="H273" s="3">
        <f t="shared" si="259"/>
        <v>7.4650772379504848E-2</v>
      </c>
      <c r="I273" s="3">
        <f t="shared" si="259"/>
        <v>7.4650772379504848E-2</v>
      </c>
      <c r="J273" s="3">
        <f t="shared" si="259"/>
        <v>7.4650772379504848E-2</v>
      </c>
      <c r="K273" s="3">
        <f t="shared" si="259"/>
        <v>7.4650772379504834E-2</v>
      </c>
      <c r="L273" s="3">
        <f t="shared" si="259"/>
        <v>7.4650772379504779E-2</v>
      </c>
      <c r="M273" s="3">
        <f t="shared" si="259"/>
        <v>7.4650772379504099E-2</v>
      </c>
      <c r="N273" s="3">
        <f t="shared" si="259"/>
        <v>7.4650772379497382E-2</v>
      </c>
      <c r="O273" s="3">
        <f t="shared" si="259"/>
        <v>7.4650772379430186E-2</v>
      </c>
      <c r="P273" s="3">
        <f t="shared" si="259"/>
        <v>7.4650772378758321E-2</v>
      </c>
      <c r="Q273" s="3">
        <f t="shared" si="259"/>
        <v>7.4650772372039514E-2</v>
      </c>
      <c r="R273" s="3">
        <f t="shared" si="259"/>
        <v>7.4650772304851482E-2</v>
      </c>
      <c r="S273" s="3">
        <f t="shared" si="259"/>
        <v>7.4650771632971236E-2</v>
      </c>
      <c r="T273" s="3">
        <f t="shared" si="259"/>
        <v>7.4650764914169096E-2</v>
      </c>
      <c r="U273" s="3">
        <f t="shared" si="259"/>
        <v>7.4650697726180965E-2</v>
      </c>
      <c r="V273" s="3">
        <f t="shared" si="259"/>
        <v>7.4650025849625531E-2</v>
      </c>
      <c r="W273" s="3">
        <f t="shared" si="259"/>
        <v>7.4643307416651136E-2</v>
      </c>
      <c r="X273" s="3">
        <f t="shared" si="259"/>
        <v>7.4576156333829816E-2</v>
      </c>
      <c r="Y273" s="3">
        <f t="shared" si="259"/>
        <v>7.3907959152867034E-2</v>
      </c>
      <c r="Z273" s="3">
        <f t="shared" si="259"/>
        <v>6.7546577887586709E-2</v>
      </c>
      <c r="AA273" s="3">
        <f t="shared" si="259"/>
        <v>2.7461532064943232E-2</v>
      </c>
      <c r="AB273" s="3">
        <f t="shared" si="259"/>
        <v>3.3879646992383792E-6</v>
      </c>
      <c r="AC273" s="3">
        <f t="shared" si="259"/>
        <v>2.7674514825131709E-45</v>
      </c>
      <c r="AD273" s="3">
        <f t="shared" si="259"/>
        <v>0</v>
      </c>
      <c r="AE273" s="3">
        <f t="shared" si="259"/>
        <v>0</v>
      </c>
      <c r="AF273" s="3">
        <f t="shared" si="259"/>
        <v>0</v>
      </c>
      <c r="AG273" s="3"/>
      <c r="AH273" s="3"/>
    </row>
    <row r="274" spans="1:34" x14ac:dyDescent="0.25">
      <c r="B274" s="3">
        <f t="shared" ref="B274:AF274" si="260">$C43*EXP(-B$246/$A43/EXP(-$E$126))</f>
        <v>4.2437426023751848E-2</v>
      </c>
      <c r="C274" s="3">
        <f t="shared" si="260"/>
        <v>4.2437426023751848E-2</v>
      </c>
      <c r="D274" s="3">
        <f t="shared" si="260"/>
        <v>4.2437426023751848E-2</v>
      </c>
      <c r="E274" s="3">
        <f t="shared" si="260"/>
        <v>4.2437426023751848E-2</v>
      </c>
      <c r="F274" s="3">
        <f t="shared" si="260"/>
        <v>4.2437426023751848E-2</v>
      </c>
      <c r="G274" s="3">
        <f t="shared" si="260"/>
        <v>4.2437426023751848E-2</v>
      </c>
      <c r="H274" s="3">
        <f t="shared" si="260"/>
        <v>4.2437426023751848E-2</v>
      </c>
      <c r="I274" s="3">
        <f t="shared" si="260"/>
        <v>4.2437426023751848E-2</v>
      </c>
      <c r="J274" s="3">
        <f t="shared" si="260"/>
        <v>4.2437426023751848E-2</v>
      </c>
      <c r="K274" s="3">
        <f t="shared" si="260"/>
        <v>4.2437426023751848E-2</v>
      </c>
      <c r="L274" s="3">
        <f t="shared" si="260"/>
        <v>4.2437426023751841E-2</v>
      </c>
      <c r="M274" s="3">
        <f t="shared" si="260"/>
        <v>4.2437426023751806E-2</v>
      </c>
      <c r="N274" s="3">
        <f t="shared" si="260"/>
        <v>4.2437426023751425E-2</v>
      </c>
      <c r="O274" s="3">
        <f t="shared" si="260"/>
        <v>4.2437426023747601E-2</v>
      </c>
      <c r="P274" s="3">
        <f t="shared" si="260"/>
        <v>4.243742602370941E-2</v>
      </c>
      <c r="Q274" s="3">
        <f t="shared" si="260"/>
        <v>4.2437426023327458E-2</v>
      </c>
      <c r="R274" s="3">
        <f t="shared" si="260"/>
        <v>4.2437426019507958E-2</v>
      </c>
      <c r="S274" s="3">
        <f t="shared" si="260"/>
        <v>4.2437425981312948E-2</v>
      </c>
      <c r="T274" s="3">
        <f t="shared" si="260"/>
        <v>4.2437425599362873E-2</v>
      </c>
      <c r="U274" s="3">
        <f t="shared" si="260"/>
        <v>4.2437421779862289E-2</v>
      </c>
      <c r="V274" s="3">
        <f t="shared" si="260"/>
        <v>4.2437383584875352E-2</v>
      </c>
      <c r="W274" s="3">
        <f t="shared" si="260"/>
        <v>4.2437001636896655E-2</v>
      </c>
      <c r="X274" s="3">
        <f t="shared" si="260"/>
        <v>4.2433182346174561E-2</v>
      </c>
      <c r="Y274" s="3">
        <f t="shared" si="260"/>
        <v>4.23950083391441E-2</v>
      </c>
      <c r="Z274" s="3">
        <f t="shared" si="260"/>
        <v>4.2015152009028306E-2</v>
      </c>
      <c r="AA274" s="3">
        <f t="shared" si="260"/>
        <v>3.8398837827015482E-2</v>
      </c>
      <c r="AB274" s="3">
        <f t="shared" si="260"/>
        <v>1.5611315172739913E-2</v>
      </c>
      <c r="AC274" s="3">
        <f t="shared" si="260"/>
        <v>1.9259881272773653E-6</v>
      </c>
      <c r="AD274" s="3">
        <f t="shared" si="260"/>
        <v>1.5732391483697341E-45</v>
      </c>
      <c r="AE274" s="3">
        <f t="shared" si="260"/>
        <v>0</v>
      </c>
      <c r="AF274" s="3">
        <f t="shared" si="260"/>
        <v>0</v>
      </c>
      <c r="AG274" s="3"/>
      <c r="AH274" s="3"/>
    </row>
    <row r="275" spans="1:34" x14ac:dyDescent="0.25">
      <c r="B275" s="3">
        <f t="shared" ref="B275:AF275" si="261">$C44*EXP(-B$246/$A44/EXP(-$E$126))</f>
        <v>2.9362775672931045E-2</v>
      </c>
      <c r="C275" s="3">
        <f t="shared" si="261"/>
        <v>2.9362775672931045E-2</v>
      </c>
      <c r="D275" s="3">
        <f t="shared" si="261"/>
        <v>2.9362775672931045E-2</v>
      </c>
      <c r="E275" s="3">
        <f t="shared" si="261"/>
        <v>2.9362775672931045E-2</v>
      </c>
      <c r="F275" s="3">
        <f t="shared" si="261"/>
        <v>2.9362775672931045E-2</v>
      </c>
      <c r="G275" s="3">
        <f t="shared" si="261"/>
        <v>2.9362775672931045E-2</v>
      </c>
      <c r="H275" s="3">
        <f t="shared" si="261"/>
        <v>2.9362775672931045E-2</v>
      </c>
      <c r="I275" s="3">
        <f t="shared" si="261"/>
        <v>2.9362775672931045E-2</v>
      </c>
      <c r="J275" s="3">
        <f t="shared" si="261"/>
        <v>2.9362775672931045E-2</v>
      </c>
      <c r="K275" s="3">
        <f t="shared" si="261"/>
        <v>2.9362775672931045E-2</v>
      </c>
      <c r="L275" s="3">
        <f t="shared" si="261"/>
        <v>2.9362775672931045E-2</v>
      </c>
      <c r="M275" s="3">
        <f t="shared" si="261"/>
        <v>2.9362775672931041E-2</v>
      </c>
      <c r="N275" s="3">
        <f t="shared" si="261"/>
        <v>2.9362775672931017E-2</v>
      </c>
      <c r="O275" s="3">
        <f t="shared" si="261"/>
        <v>2.936277567293075E-2</v>
      </c>
      <c r="P275" s="3">
        <f t="shared" si="261"/>
        <v>2.9362775672928106E-2</v>
      </c>
      <c r="Q275" s="3">
        <f t="shared" si="261"/>
        <v>2.936277567290168E-2</v>
      </c>
      <c r="R275" s="3">
        <f t="shared" si="261"/>
        <v>2.9362775672637408E-2</v>
      </c>
      <c r="S275" s="3">
        <f t="shared" si="261"/>
        <v>2.9362775669994665E-2</v>
      </c>
      <c r="T275" s="3">
        <f t="shared" si="261"/>
        <v>2.9362775643567249E-2</v>
      </c>
      <c r="U275" s="3">
        <f t="shared" si="261"/>
        <v>2.9362775379293105E-2</v>
      </c>
      <c r="V275" s="3">
        <f t="shared" si="261"/>
        <v>2.9362772736551794E-2</v>
      </c>
      <c r="W275" s="3">
        <f t="shared" si="261"/>
        <v>2.9362746309151779E-2</v>
      </c>
      <c r="X275" s="3">
        <f t="shared" si="261"/>
        <v>2.9362482036459771E-2</v>
      </c>
      <c r="Y275" s="3">
        <f t="shared" si="261"/>
        <v>2.9359839440355098E-2</v>
      </c>
      <c r="Z275" s="3">
        <f t="shared" si="261"/>
        <v>2.9333426556492986E-2</v>
      </c>
      <c r="AA275" s="3">
        <f t="shared" si="261"/>
        <v>2.9070601091939829E-2</v>
      </c>
      <c r="AB275" s="3">
        <f t="shared" si="261"/>
        <v>2.6568445988803958E-2</v>
      </c>
      <c r="AC275" s="3">
        <f t="shared" si="261"/>
        <v>1.0801586908688317E-2</v>
      </c>
      <c r="AD275" s="3">
        <f t="shared" si="261"/>
        <v>1.3326057357560278E-6</v>
      </c>
      <c r="AE275" s="3">
        <f t="shared" si="261"/>
        <v>1.0885360522949446E-45</v>
      </c>
      <c r="AF275" s="3">
        <f t="shared" si="261"/>
        <v>0</v>
      </c>
      <c r="AG275" s="3"/>
      <c r="AH275" s="3"/>
    </row>
    <row r="276" spans="1:34" x14ac:dyDescent="0.25">
      <c r="B276" s="3">
        <f t="shared" ref="B276:AF276" si="262">$C45*EXP(-B$246/$A45/EXP(-$E$126))</f>
        <v>1.3317924951321973E-2</v>
      </c>
      <c r="C276" s="3">
        <f t="shared" si="262"/>
        <v>1.3317924951321973E-2</v>
      </c>
      <c r="D276" s="3">
        <f t="shared" si="262"/>
        <v>1.3317924951321973E-2</v>
      </c>
      <c r="E276" s="3">
        <f t="shared" si="262"/>
        <v>1.3317924951321973E-2</v>
      </c>
      <c r="F276" s="3">
        <f t="shared" si="262"/>
        <v>1.3317924951321973E-2</v>
      </c>
      <c r="G276" s="3">
        <f t="shared" si="262"/>
        <v>1.3317924951321973E-2</v>
      </c>
      <c r="H276" s="3">
        <f t="shared" si="262"/>
        <v>1.3317924951321973E-2</v>
      </c>
      <c r="I276" s="3">
        <f t="shared" si="262"/>
        <v>1.3317924951321973E-2</v>
      </c>
      <c r="J276" s="3">
        <f t="shared" si="262"/>
        <v>1.3317924951321973E-2</v>
      </c>
      <c r="K276" s="3">
        <f t="shared" si="262"/>
        <v>1.3317924951321973E-2</v>
      </c>
      <c r="L276" s="3">
        <f t="shared" si="262"/>
        <v>1.3317924951321973E-2</v>
      </c>
      <c r="M276" s="3">
        <f t="shared" si="262"/>
        <v>1.3317924951321973E-2</v>
      </c>
      <c r="N276" s="3">
        <f t="shared" si="262"/>
        <v>1.3317924951321971E-2</v>
      </c>
      <c r="O276" s="3">
        <f t="shared" si="262"/>
        <v>1.3317924951321959E-2</v>
      </c>
      <c r="P276" s="3">
        <f t="shared" si="262"/>
        <v>1.3317924951321839E-2</v>
      </c>
      <c r="Q276" s="3">
        <f t="shared" si="262"/>
        <v>1.331792495132064E-2</v>
      </c>
      <c r="R276" s="3">
        <f t="shared" si="262"/>
        <v>1.3317924951308653E-2</v>
      </c>
      <c r="S276" s="3">
        <f t="shared" si="262"/>
        <v>1.3317924951188789E-2</v>
      </c>
      <c r="T276" s="3">
        <f t="shared" si="262"/>
        <v>1.3317924949990134E-2</v>
      </c>
      <c r="U276" s="3">
        <f t="shared" si="262"/>
        <v>1.3317924938003585E-2</v>
      </c>
      <c r="V276" s="3">
        <f t="shared" si="262"/>
        <v>1.3317924818138104E-2</v>
      </c>
      <c r="W276" s="3">
        <f t="shared" si="262"/>
        <v>1.3317923619483358E-2</v>
      </c>
      <c r="X276" s="3">
        <f t="shared" si="262"/>
        <v>1.3317911632941826E-2</v>
      </c>
      <c r="Y276" s="3">
        <f t="shared" si="262"/>
        <v>1.3317791768119848E-2</v>
      </c>
      <c r="Z276" s="3">
        <f t="shared" si="262"/>
        <v>1.3316593179233338E-2</v>
      </c>
      <c r="AA276" s="3">
        <f t="shared" si="262"/>
        <v>1.3304613221720401E-2</v>
      </c>
      <c r="AB276" s="3">
        <f t="shared" si="262"/>
        <v>1.3185404811343785E-2</v>
      </c>
      <c r="AC276" s="3">
        <f t="shared" si="262"/>
        <v>1.2050515036231307E-2</v>
      </c>
      <c r="AD276" s="3">
        <f t="shared" si="262"/>
        <v>4.8992208845470182E-3</v>
      </c>
      <c r="AE276" s="3">
        <f t="shared" si="262"/>
        <v>6.0442321176267695E-7</v>
      </c>
      <c r="AF276" s="3">
        <f t="shared" si="262"/>
        <v>4.9372176570612481E-46</v>
      </c>
      <c r="AG276" s="3"/>
      <c r="AH276" s="3"/>
    </row>
    <row r="277" spans="1:34" x14ac:dyDescent="0.25">
      <c r="B277" s="3">
        <f t="shared" ref="B277:AF277" si="263">$C46*EXP(-B$246/$A46/EXP(-$E$126))</f>
        <v>4.0600750332731679E-3</v>
      </c>
      <c r="C277" s="3">
        <f t="shared" si="263"/>
        <v>4.0600750332731679E-3</v>
      </c>
      <c r="D277" s="3">
        <f t="shared" si="263"/>
        <v>4.0600750332731679E-3</v>
      </c>
      <c r="E277" s="3">
        <f t="shared" si="263"/>
        <v>4.0600750332731679E-3</v>
      </c>
      <c r="F277" s="3">
        <f t="shared" si="263"/>
        <v>4.0600750332731679E-3</v>
      </c>
      <c r="G277" s="3">
        <f t="shared" si="263"/>
        <v>4.0600750332731679E-3</v>
      </c>
      <c r="H277" s="3">
        <f t="shared" si="263"/>
        <v>4.0600750332731679E-3</v>
      </c>
      <c r="I277" s="3">
        <f t="shared" si="263"/>
        <v>4.0600750332731679E-3</v>
      </c>
      <c r="J277" s="3">
        <f t="shared" si="263"/>
        <v>4.0600750332731679E-3</v>
      </c>
      <c r="K277" s="3">
        <f t="shared" si="263"/>
        <v>4.0600750332731679E-3</v>
      </c>
      <c r="L277" s="3">
        <f t="shared" si="263"/>
        <v>4.0600750332731679E-3</v>
      </c>
      <c r="M277" s="3">
        <f t="shared" si="263"/>
        <v>4.0600750332731679E-3</v>
      </c>
      <c r="N277" s="3">
        <f t="shared" si="263"/>
        <v>4.0600750332731679E-3</v>
      </c>
      <c r="O277" s="3">
        <f t="shared" si="263"/>
        <v>4.060075033273167E-3</v>
      </c>
      <c r="P277" s="3">
        <f t="shared" si="263"/>
        <v>4.0600750332731635E-3</v>
      </c>
      <c r="Q277" s="3">
        <f t="shared" si="263"/>
        <v>4.0600750332731271E-3</v>
      </c>
      <c r="R277" s="3">
        <f t="shared" si="263"/>
        <v>4.0600750332727619E-3</v>
      </c>
      <c r="S277" s="3">
        <f t="shared" si="263"/>
        <v>4.0600750332691077E-3</v>
      </c>
      <c r="T277" s="3">
        <f t="shared" si="263"/>
        <v>4.0600750332325658E-3</v>
      </c>
      <c r="U277" s="3">
        <f t="shared" si="263"/>
        <v>4.0600750328671463E-3</v>
      </c>
      <c r="V277" s="3">
        <f t="shared" si="263"/>
        <v>4.0600750292129522E-3</v>
      </c>
      <c r="W277" s="3">
        <f t="shared" si="263"/>
        <v>4.0600749926710099E-3</v>
      </c>
      <c r="X277" s="3">
        <f t="shared" si="263"/>
        <v>4.0600746272516043E-3</v>
      </c>
      <c r="Y277" s="3">
        <f t="shared" si="263"/>
        <v>4.0600709730593647E-3</v>
      </c>
      <c r="Z277" s="3">
        <f t="shared" si="263"/>
        <v>4.0600344313178501E-3</v>
      </c>
      <c r="AA277" s="3">
        <f t="shared" si="263"/>
        <v>4.0596690319909231E-3</v>
      </c>
      <c r="AB277" s="3">
        <f t="shared" si="263"/>
        <v>4.0560168469413954E-3</v>
      </c>
      <c r="AC277" s="3">
        <f t="shared" si="263"/>
        <v>4.0196752177089649E-3</v>
      </c>
      <c r="AD277" s="3">
        <f t="shared" si="263"/>
        <v>3.6736950700288419E-3</v>
      </c>
      <c r="AE277" s="3">
        <f t="shared" si="263"/>
        <v>1.4935663377398278E-3</v>
      </c>
      <c r="AF277" s="3">
        <f t="shared" si="263"/>
        <v>1.8426320921449813E-7</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6.6069827735831333E-3</v>
      </c>
      <c r="C279" s="3">
        <f t="shared" si="265"/>
        <v>6.6069827735831333E-3</v>
      </c>
      <c r="D279" s="3">
        <f t="shared" si="265"/>
        <v>6.6069827735831333E-3</v>
      </c>
      <c r="E279" s="3">
        <f t="shared" si="265"/>
        <v>6.6069827735831333E-3</v>
      </c>
      <c r="F279" s="3">
        <f t="shared" si="265"/>
        <v>6.6069827735831333E-3</v>
      </c>
      <c r="G279" s="3">
        <f t="shared" si="265"/>
        <v>6.6069827735831333E-3</v>
      </c>
      <c r="H279" s="3">
        <f t="shared" si="265"/>
        <v>6.6069827735831333E-3</v>
      </c>
      <c r="I279" s="3">
        <f t="shared" si="265"/>
        <v>6.6069827735831333E-3</v>
      </c>
      <c r="J279" s="3">
        <f t="shared" si="265"/>
        <v>6.6069827735831333E-3</v>
      </c>
      <c r="K279" s="3">
        <f t="shared" si="265"/>
        <v>6.6069827735831333E-3</v>
      </c>
      <c r="L279" s="3">
        <f t="shared" si="265"/>
        <v>6.6069827735831333E-3</v>
      </c>
      <c r="M279" s="3">
        <f t="shared" si="265"/>
        <v>6.6069827735831333E-3</v>
      </c>
      <c r="N279" s="3">
        <f t="shared" si="265"/>
        <v>6.6069827735831333E-3</v>
      </c>
      <c r="O279" s="3">
        <f t="shared" si="265"/>
        <v>6.6069827735831333E-3</v>
      </c>
      <c r="P279" s="3">
        <f t="shared" si="265"/>
        <v>6.6069827735831333E-3</v>
      </c>
      <c r="Q279" s="3">
        <f t="shared" si="265"/>
        <v>6.6069827735831324E-3</v>
      </c>
      <c r="R279" s="3">
        <f t="shared" si="265"/>
        <v>6.6069827735831263E-3</v>
      </c>
      <c r="S279" s="3">
        <f t="shared" si="265"/>
        <v>6.6069827735830674E-3</v>
      </c>
      <c r="T279" s="3">
        <f t="shared" si="265"/>
        <v>6.6069827735824723E-3</v>
      </c>
      <c r="U279" s="3">
        <f t="shared" si="265"/>
        <v>6.6069827735765257E-3</v>
      </c>
      <c r="V279" s="3">
        <f t="shared" si="265"/>
        <v>6.6069827735170611E-3</v>
      </c>
      <c r="W279" s="3">
        <f t="shared" si="265"/>
        <v>6.6069827729224118E-3</v>
      </c>
      <c r="X279" s="3">
        <f t="shared" si="265"/>
        <v>6.6069827669759211E-3</v>
      </c>
      <c r="Y279" s="3">
        <f t="shared" si="265"/>
        <v>6.6069827075110141E-3</v>
      </c>
      <c r="Z279" s="3">
        <f t="shared" si="265"/>
        <v>6.6069821128619758E-3</v>
      </c>
      <c r="AA279" s="3">
        <f t="shared" si="265"/>
        <v>6.6069761663745388E-3</v>
      </c>
      <c r="AB279" s="3">
        <f t="shared" si="265"/>
        <v>6.6069167017945183E-3</v>
      </c>
      <c r="AC279" s="3">
        <f t="shared" si="265"/>
        <v>6.6063220854293775E-3</v>
      </c>
      <c r="AD279" s="3">
        <f t="shared" si="265"/>
        <v>6.600378864304049E-3</v>
      </c>
      <c r="AE279" s="3">
        <f t="shared" si="265"/>
        <v>6.5412399281181716E-3</v>
      </c>
      <c r="AF279" s="3">
        <f t="shared" si="265"/>
        <v>5.9782245018043696E-3</v>
      </c>
      <c r="AG279" s="3"/>
      <c r="AH279" s="3"/>
    </row>
    <row r="280" spans="1:34" x14ac:dyDescent="0.25">
      <c r="A280" s="79">
        <f>AVERAGE(B280:AF280)</f>
        <v>9.9899432066692307E-6</v>
      </c>
      <c r="B280" s="80">
        <f>IF($D$61&lt;=B246,IF($E$61&gt;=B246,ABS((B248-B247)/B247),0),0)</f>
        <v>6.4553115572410022E-6</v>
      </c>
      <c r="C280" s="80">
        <f t="shared" ref="C280:AF280" si="266">IF($D$61&lt;=C246,IF($E$61&gt;=C246,ABS((C248-C247)/C247),0),0)</f>
        <v>3.4887183318556005E-6</v>
      </c>
      <c r="D280" s="80">
        <f t="shared" si="266"/>
        <v>1.8413806222655136E-6</v>
      </c>
      <c r="E280" s="80">
        <f t="shared" si="266"/>
        <v>3.2152294202247328E-6</v>
      </c>
      <c r="F280" s="80">
        <f t="shared" si="266"/>
        <v>3.6034035893095743E-6</v>
      </c>
      <c r="G280" s="80">
        <f t="shared" si="266"/>
        <v>3.7207399425816279E-6</v>
      </c>
      <c r="H280" s="80">
        <f t="shared" si="266"/>
        <v>3.7364712133402669E-6</v>
      </c>
      <c r="I280" s="80">
        <f t="shared" si="266"/>
        <v>3.4862646186990607E-6</v>
      </c>
      <c r="J280" s="80">
        <f t="shared" si="266"/>
        <v>9.2431835225808169E-7</v>
      </c>
      <c r="K280" s="80">
        <f t="shared" si="266"/>
        <v>2.1217430914254051E-5</v>
      </c>
      <c r="L280" s="80">
        <f t="shared" si="266"/>
        <v>1.4579991589682259E-5</v>
      </c>
      <c r="M280" s="80">
        <f t="shared" si="266"/>
        <v>2.9883994151161382E-5</v>
      </c>
      <c r="N280" s="80">
        <f t="shared" si="266"/>
        <v>4.0190658008169294E-5</v>
      </c>
      <c r="O280" s="80">
        <f t="shared" si="266"/>
        <v>4.3187627655513255E-5</v>
      </c>
      <c r="P280" s="80">
        <f t="shared" si="266"/>
        <v>4.0458229655715673E-5</v>
      </c>
      <c r="Q280" s="80">
        <f t="shared" si="266"/>
        <v>3.0554719198764839E-5</v>
      </c>
      <c r="R280" s="80">
        <f t="shared" si="266"/>
        <v>2.1754037932547435E-5</v>
      </c>
      <c r="S280" s="80">
        <f t="shared" si="266"/>
        <v>1.136198228377386E-5</v>
      </c>
      <c r="T280" s="80">
        <f t="shared" si="266"/>
        <v>1.068637331118778E-5</v>
      </c>
      <c r="U280" s="80">
        <f t="shared" si="266"/>
        <v>2.6685898981302518E-6</v>
      </c>
      <c r="V280" s="80">
        <f t="shared" si="266"/>
        <v>5.093033272528539E-6</v>
      </c>
      <c r="W280" s="80">
        <f t="shared" si="266"/>
        <v>6.5498424829616783E-8</v>
      </c>
      <c r="X280" s="80">
        <f t="shared" si="266"/>
        <v>6.386918776891432E-6</v>
      </c>
      <c r="Y280" s="80">
        <f t="shared" si="266"/>
        <v>1.1273166858210681E-6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2.2128950559615955E-3</v>
      </c>
      <c r="C281" s="21">
        <f t="shared" ref="C281:AF281" si="267">(C248-C247)^2</f>
        <v>6.4634866301910775E-4</v>
      </c>
      <c r="D281" s="21">
        <f t="shared" si="267"/>
        <v>1.8006012513086496E-4</v>
      </c>
      <c r="E281" s="21">
        <f t="shared" si="267"/>
        <v>5.4897573792630767E-4</v>
      </c>
      <c r="F281" s="21">
        <f t="shared" si="267"/>
        <v>6.8953242027298815E-4</v>
      </c>
      <c r="G281" s="21">
        <f t="shared" si="267"/>
        <v>7.3516932829315702E-4</v>
      </c>
      <c r="H281" s="21">
        <f t="shared" si="267"/>
        <v>7.4139854866044498E-4</v>
      </c>
      <c r="I281" s="21">
        <f t="shared" si="267"/>
        <v>6.4542611763254048E-4</v>
      </c>
      <c r="J281" s="21">
        <f t="shared" si="267"/>
        <v>4.5367304687001006E-5</v>
      </c>
      <c r="K281" s="21">
        <f t="shared" si="267"/>
        <v>2.3890602071951574E-2</v>
      </c>
      <c r="L281" s="21">
        <f t="shared" si="267"/>
        <v>1.121867750052436E-2</v>
      </c>
      <c r="M281" s="21">
        <f t="shared" si="267"/>
        <v>4.5701705156806702E-2</v>
      </c>
      <c r="N281" s="21">
        <f t="shared" si="267"/>
        <v>7.9420703168704351E-2</v>
      </c>
      <c r="O281" s="21">
        <f t="shared" si="267"/>
        <v>8.7640446717745624E-2</v>
      </c>
      <c r="P281" s="21">
        <f t="shared" si="267"/>
        <v>7.2764330725509821E-2</v>
      </c>
      <c r="Q281" s="21">
        <f t="shared" si="267"/>
        <v>3.893459270871711E-2</v>
      </c>
      <c r="R281" s="21">
        <f t="shared" si="267"/>
        <v>1.8174493174082849E-2</v>
      </c>
      <c r="S281" s="21">
        <f t="shared" si="267"/>
        <v>4.2366064542588133E-3</v>
      </c>
      <c r="T281" s="21">
        <f t="shared" si="267"/>
        <v>2.7524498184627066E-3</v>
      </c>
      <c r="U281" s="21">
        <f t="shared" si="267"/>
        <v>1.1707874104981075E-4</v>
      </c>
      <c r="V281" s="21">
        <f t="shared" si="267"/>
        <v>2.9716869747489397E-4</v>
      </c>
      <c r="W281" s="21">
        <f t="shared" si="267"/>
        <v>3.5282828727622547E-8</v>
      </c>
      <c r="X281" s="21">
        <f t="shared" si="267"/>
        <v>2.3377753012445639E-4</v>
      </c>
      <c r="Y281" s="21">
        <f t="shared" si="267"/>
        <v>4.6997052111191534E-6</v>
      </c>
      <c r="Z281" s="21">
        <f t="shared" si="267"/>
        <v>3.6024610672991201E-4</v>
      </c>
      <c r="AA281" s="21">
        <f t="shared" si="267"/>
        <v>1.0910033284832851E-5</v>
      </c>
      <c r="AB281" s="21">
        <f t="shared" si="267"/>
        <v>3.5169976676055741E-4</v>
      </c>
      <c r="AC281" s="21">
        <f t="shared" si="267"/>
        <v>2.692704321362382E-4</v>
      </c>
      <c r="AD281" s="21">
        <f t="shared" si="267"/>
        <v>7.8545898518998824E-4</v>
      </c>
      <c r="AE281" s="21">
        <f t="shared" si="267"/>
        <v>1.203542025708524E-3</v>
      </c>
      <c r="AF281" s="21">
        <f t="shared" si="267"/>
        <v>4.3362245471130582E-4</v>
      </c>
      <c r="AG281" s="3"/>
      <c r="AH281" s="3"/>
    </row>
    <row r="282" spans="1:34" s="3" customFormat="1" x14ac:dyDescent="0.25">
      <c r="A282" s="71">
        <f>SUM(B282:AF282)</f>
        <v>0.39183254075503693</v>
      </c>
      <c r="B282" s="21">
        <f>IF($D$61&lt;=B246,IF($E$61&gt;=B246,ABS(B281),0),0)</f>
        <v>2.2128950559615955E-3</v>
      </c>
      <c r="C282" s="21">
        <f t="shared" ref="C282:AF282" si="268">IF($D$61&lt;=C246,IF($E$61&gt;=C246,ABS(C281),0),0)</f>
        <v>6.4634866301910775E-4</v>
      </c>
      <c r="D282" s="21">
        <f t="shared" si="268"/>
        <v>1.8006012513086496E-4</v>
      </c>
      <c r="E282" s="21">
        <f t="shared" si="268"/>
        <v>5.4897573792630767E-4</v>
      </c>
      <c r="F282" s="21">
        <f t="shared" si="268"/>
        <v>6.8953242027298815E-4</v>
      </c>
      <c r="G282" s="21">
        <f t="shared" si="268"/>
        <v>7.3516932829315702E-4</v>
      </c>
      <c r="H282" s="21">
        <f t="shared" si="268"/>
        <v>7.4139854866044498E-4</v>
      </c>
      <c r="I282" s="21">
        <f t="shared" si="268"/>
        <v>6.4542611763254048E-4</v>
      </c>
      <c r="J282" s="21">
        <f t="shared" si="268"/>
        <v>4.5367304687001006E-5</v>
      </c>
      <c r="K282" s="21">
        <f t="shared" si="268"/>
        <v>2.3890602071951574E-2</v>
      </c>
      <c r="L282" s="21">
        <f t="shared" si="268"/>
        <v>1.121867750052436E-2</v>
      </c>
      <c r="M282" s="21">
        <f t="shared" si="268"/>
        <v>4.5701705156806702E-2</v>
      </c>
      <c r="N282" s="21">
        <f t="shared" si="268"/>
        <v>7.9420703168704351E-2</v>
      </c>
      <c r="O282" s="21">
        <f t="shared" si="268"/>
        <v>8.7640446717745624E-2</v>
      </c>
      <c r="P282" s="21">
        <f t="shared" si="268"/>
        <v>7.2764330725509821E-2</v>
      </c>
      <c r="Q282" s="21">
        <f t="shared" si="268"/>
        <v>3.893459270871711E-2</v>
      </c>
      <c r="R282" s="21">
        <f t="shared" si="268"/>
        <v>1.8174493174082849E-2</v>
      </c>
      <c r="S282" s="21">
        <f t="shared" si="268"/>
        <v>4.2366064542588133E-3</v>
      </c>
      <c r="T282" s="21">
        <f t="shared" si="268"/>
        <v>2.7524498184627066E-3</v>
      </c>
      <c r="U282" s="21">
        <f t="shared" si="268"/>
        <v>1.1707874104981075E-4</v>
      </c>
      <c r="V282" s="21">
        <f t="shared" si="268"/>
        <v>2.9716869747489397E-4</v>
      </c>
      <c r="W282" s="21">
        <f t="shared" si="268"/>
        <v>3.5282828727622547E-8</v>
      </c>
      <c r="X282" s="21">
        <f t="shared" si="268"/>
        <v>2.3377753012445639E-4</v>
      </c>
      <c r="Y282" s="21">
        <f t="shared" si="268"/>
        <v>4.6997052111191534E-6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7287.2891728888535</v>
      </c>
      <c r="C287" s="27">
        <f t="shared" ref="C287:AF287" si="269">($C$17+SUM(C288:C318))*$B$51</f>
        <v>7287.2889443216</v>
      </c>
      <c r="D287" s="27">
        <f t="shared" si="269"/>
        <v>7287.2866586882501</v>
      </c>
      <c r="E287" s="27">
        <f t="shared" si="269"/>
        <v>7287.2638062712658</v>
      </c>
      <c r="F287" s="27">
        <f t="shared" si="269"/>
        <v>7287.0356725994188</v>
      </c>
      <c r="G287" s="27">
        <f t="shared" si="269"/>
        <v>7284.7922607528208</v>
      </c>
      <c r="H287" s="27">
        <f t="shared" si="269"/>
        <v>7265.2706705045066</v>
      </c>
      <c r="I287" s="27">
        <f t="shared" si="269"/>
        <v>7156.8118220139113</v>
      </c>
      <c r="J287" s="27">
        <f t="shared" si="269"/>
        <v>7013.9840172297081</v>
      </c>
      <c r="K287" s="27">
        <f t="shared" si="269"/>
        <v>6858.3058380951188</v>
      </c>
      <c r="L287" s="27">
        <f t="shared" si="269"/>
        <v>6670.2416948136142</v>
      </c>
      <c r="M287" s="27">
        <f t="shared" si="269"/>
        <v>6461.8883704265627</v>
      </c>
      <c r="N287" s="27">
        <f t="shared" si="269"/>
        <v>6201.8168027271277</v>
      </c>
      <c r="O287" s="27">
        <f t="shared" si="269"/>
        <v>5740.077150749662</v>
      </c>
      <c r="P287" s="27">
        <f t="shared" si="269"/>
        <v>4922.4260218767104</v>
      </c>
      <c r="Q287" s="27">
        <f t="shared" si="269"/>
        <v>4065.0666052054034</v>
      </c>
      <c r="R287" s="27">
        <f t="shared" si="269"/>
        <v>3392.8934662120951</v>
      </c>
      <c r="S287" s="27">
        <f t="shared" si="269"/>
        <v>2873.79435728102</v>
      </c>
      <c r="T287" s="27">
        <f t="shared" si="269"/>
        <v>2402.8588388202847</v>
      </c>
      <c r="U287" s="27">
        <f t="shared" si="269"/>
        <v>1931.5261753480979</v>
      </c>
      <c r="V287" s="27">
        <f t="shared" si="269"/>
        <v>1441.8670631090797</v>
      </c>
      <c r="W287" s="27">
        <f t="shared" si="269"/>
        <v>937.12313518998349</v>
      </c>
      <c r="X287" s="27">
        <f t="shared" si="269"/>
        <v>545.85595277698212</v>
      </c>
      <c r="Y287" s="27">
        <f t="shared" si="269"/>
        <v>305.46297419499268</v>
      </c>
      <c r="Z287" s="27">
        <f t="shared" si="269"/>
        <v>169.39165982955146</v>
      </c>
      <c r="AA287" s="27">
        <f t="shared" si="269"/>
        <v>116.02415235860222</v>
      </c>
      <c r="AB287" s="27">
        <f t="shared" si="269"/>
        <v>100.6742130491247</v>
      </c>
      <c r="AC287" s="27">
        <f t="shared" si="269"/>
        <v>75.174360687162306</v>
      </c>
      <c r="AD287" s="27">
        <f t="shared" si="269"/>
        <v>56.686303440195324</v>
      </c>
      <c r="AE287" s="27">
        <f t="shared" si="269"/>
        <v>56.683117976827191</v>
      </c>
      <c r="AF287" s="27">
        <f t="shared" si="269"/>
        <v>56.683117976827191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8.2357122990116033E-4</v>
      </c>
      <c r="C297" s="3">
        <f t="shared" si="279"/>
        <v>8.2356321284057159E-4</v>
      </c>
      <c r="D297" s="3">
        <f t="shared" si="279"/>
        <v>8.2348304652687639E-4</v>
      </c>
      <c r="E297" s="3">
        <f t="shared" si="279"/>
        <v>8.2268181245459982E-4</v>
      </c>
      <c r="F297" s="3">
        <f t="shared" si="279"/>
        <v>8.14712224061022E-4</v>
      </c>
      <c r="G297" s="3">
        <f t="shared" si="279"/>
        <v>7.3914151615055862E-4</v>
      </c>
      <c r="H297" s="3">
        <f t="shared" si="279"/>
        <v>2.7922945915193509E-4</v>
      </c>
      <c r="I297" s="3">
        <f t="shared" si="279"/>
        <v>1.6530942753855553E-8</v>
      </c>
      <c r="J297" s="3">
        <f t="shared" si="279"/>
        <v>8.7430203666256275E-51</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2.4665841710971758E-2</v>
      </c>
      <c r="C298" s="3">
        <f t="shared" si="280"/>
        <v>2.4665820050971718E-2</v>
      </c>
      <c r="D298" s="3">
        <f t="shared" si="280"/>
        <v>2.4665603452017404E-2</v>
      </c>
      <c r="E298" s="3">
        <f t="shared" si="280"/>
        <v>2.4663437567083127E-2</v>
      </c>
      <c r="F298" s="3">
        <f t="shared" si="280"/>
        <v>2.464178917522666E-2</v>
      </c>
      <c r="G298" s="3">
        <f t="shared" si="280"/>
        <v>2.4426347615505509E-2</v>
      </c>
      <c r="H298" s="3">
        <f t="shared" si="280"/>
        <v>2.2372859250330605E-2</v>
      </c>
      <c r="I298" s="3">
        <f t="shared" si="280"/>
        <v>9.2971761998404921E-3</v>
      </c>
      <c r="J298" s="3">
        <f t="shared" si="280"/>
        <v>1.4277322676126868E-6</v>
      </c>
      <c r="K298" s="3">
        <f t="shared" si="280"/>
        <v>1.0413672290520481E-44</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1.6291197781926454E-2</v>
      </c>
      <c r="C299" s="3">
        <f t="shared" si="281"/>
        <v>1.6291196491413723E-2</v>
      </c>
      <c r="D299" s="3">
        <f t="shared" si="281"/>
        <v>1.6291183586292023E-2</v>
      </c>
      <c r="E299" s="3">
        <f t="shared" si="281"/>
        <v>1.6291054535637287E-2</v>
      </c>
      <c r="F299" s="3">
        <f t="shared" si="281"/>
        <v>1.6289764085313709E-2</v>
      </c>
      <c r="G299" s="3">
        <f t="shared" si="281"/>
        <v>1.6276865202809892E-2</v>
      </c>
      <c r="H299" s="3">
        <f t="shared" si="281"/>
        <v>1.61484368070321E-2</v>
      </c>
      <c r="I299" s="3">
        <f t="shared" si="281"/>
        <v>1.491858740156778E-2</v>
      </c>
      <c r="J299" s="3">
        <f t="shared" si="281"/>
        <v>6.7561588071424457E-3</v>
      </c>
      <c r="K299" s="3">
        <f t="shared" si="281"/>
        <v>2.4514402529663941E-6</v>
      </c>
      <c r="L299" s="3">
        <f t="shared" si="281"/>
        <v>9.6969677103898317E-41</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2.6847553844539088E-2</v>
      </c>
      <c r="C300" s="3">
        <f t="shared" si="282"/>
        <v>2.6847553652689617E-2</v>
      </c>
      <c r="D300" s="3">
        <f t="shared" si="282"/>
        <v>2.6847551734194983E-2</v>
      </c>
      <c r="E300" s="3">
        <f t="shared" si="282"/>
        <v>2.6847532549256176E-2</v>
      </c>
      <c r="F300" s="3">
        <f t="shared" si="282"/>
        <v>2.6847340700622117E-2</v>
      </c>
      <c r="G300" s="3">
        <f t="shared" si="282"/>
        <v>2.6845422289680686E-2</v>
      </c>
      <c r="H300" s="3">
        <f t="shared" si="282"/>
        <v>2.6826245718187786E-2</v>
      </c>
      <c r="I300" s="3">
        <f t="shared" si="282"/>
        <v>2.6635231806194322E-2</v>
      </c>
      <c r="J300" s="3">
        <f t="shared" si="282"/>
        <v>2.4798322654224946E-2</v>
      </c>
      <c r="K300" s="3">
        <f t="shared" si="282"/>
        <v>1.2136139560888087E-2</v>
      </c>
      <c r="L300" s="3">
        <f t="shared" si="282"/>
        <v>9.5645186565229594E-6</v>
      </c>
      <c r="M300" s="3">
        <f t="shared" si="282"/>
        <v>8.8407413483004183E-37</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2.5906186739748153E-2</v>
      </c>
      <c r="C301" s="3">
        <f t="shared" si="283"/>
        <v>2.590618672304856E-2</v>
      </c>
      <c r="D301" s="3">
        <f t="shared" si="283"/>
        <v>2.5906186556052598E-2</v>
      </c>
      <c r="E301" s="3">
        <f t="shared" si="283"/>
        <v>2.5906184886093052E-2</v>
      </c>
      <c r="F301" s="3">
        <f t="shared" si="283"/>
        <v>2.5906168186503493E-2</v>
      </c>
      <c r="G301" s="3">
        <f t="shared" si="283"/>
        <v>2.5906001191200002E-2</v>
      </c>
      <c r="H301" s="3">
        <f t="shared" si="283"/>
        <v>2.5904331297370235E-2</v>
      </c>
      <c r="I301" s="3">
        <f t="shared" si="283"/>
        <v>2.588763827817761E-2</v>
      </c>
      <c r="J301" s="3">
        <f t="shared" si="283"/>
        <v>2.5721298587429168E-2</v>
      </c>
      <c r="K301" s="3">
        <f t="shared" si="283"/>
        <v>2.4115567356353666E-2</v>
      </c>
      <c r="L301" s="3">
        <f t="shared" si="283"/>
        <v>1.265736816149966E-2</v>
      </c>
      <c r="M301" s="3">
        <f t="shared" si="283"/>
        <v>2.008180284759948E-5</v>
      </c>
      <c r="N301" s="3">
        <f t="shared" si="283"/>
        <v>2.0295304193709274E-33</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3.2694648537071026E-2</v>
      </c>
      <c r="C302" s="3">
        <f t="shared" si="284"/>
        <v>3.2694648535169832E-2</v>
      </c>
      <c r="D302" s="3">
        <f t="shared" si="284"/>
        <v>3.2694648516157922E-2</v>
      </c>
      <c r="E302" s="3">
        <f t="shared" si="284"/>
        <v>3.2694648326038828E-2</v>
      </c>
      <c r="F302" s="3">
        <f t="shared" si="284"/>
        <v>3.2694646424847935E-2</v>
      </c>
      <c r="G302" s="3">
        <f t="shared" si="284"/>
        <v>3.2694627412945092E-2</v>
      </c>
      <c r="H302" s="3">
        <f t="shared" si="284"/>
        <v>3.2694437294524738E-2</v>
      </c>
      <c r="I302" s="3">
        <f t="shared" si="284"/>
        <v>3.2692536171124421E-2</v>
      </c>
      <c r="J302" s="3">
        <f t="shared" si="284"/>
        <v>3.2673531016142766E-2</v>
      </c>
      <c r="K302" s="3">
        <f t="shared" si="284"/>
        <v>3.2484086062578008E-2</v>
      </c>
      <c r="L302" s="3">
        <f t="shared" si="284"/>
        <v>3.0649011083676722E-2</v>
      </c>
      <c r="M302" s="3">
        <f t="shared" si="284"/>
        <v>1.7134624992227662E-2</v>
      </c>
      <c r="N302" s="3">
        <f t="shared" si="284"/>
        <v>5.1104127863910592E-5</v>
      </c>
      <c r="O302" s="3">
        <f t="shared" si="284"/>
        <v>2.8462284320590381E-30</v>
      </c>
      <c r="P302" s="3">
        <f t="shared" si="284"/>
        <v>8.1734887390699152E-283</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3.3282078428257547E-2</v>
      </c>
      <c r="C303" s="3">
        <f t="shared" si="285"/>
        <v>3.3282078428082965E-2</v>
      </c>
      <c r="D303" s="3">
        <f t="shared" si="285"/>
        <v>3.3282078426337118E-2</v>
      </c>
      <c r="E303" s="3">
        <f t="shared" si="285"/>
        <v>3.3282078408878653E-2</v>
      </c>
      <c r="F303" s="3">
        <f t="shared" si="285"/>
        <v>3.3282078234293987E-2</v>
      </c>
      <c r="G303" s="3">
        <f t="shared" si="285"/>
        <v>3.3282076488447374E-2</v>
      </c>
      <c r="H303" s="3">
        <f t="shared" si="285"/>
        <v>3.3282059029986308E-2</v>
      </c>
      <c r="I303" s="3">
        <f t="shared" si="285"/>
        <v>3.3281884445879317E-2</v>
      </c>
      <c r="J303" s="3">
        <f t="shared" si="285"/>
        <v>3.3280138655177476E-2</v>
      </c>
      <c r="K303" s="3">
        <f t="shared" si="285"/>
        <v>3.3262685783985939E-2</v>
      </c>
      <c r="L303" s="3">
        <f t="shared" si="285"/>
        <v>3.3088659678739099E-2</v>
      </c>
      <c r="M303" s="3">
        <f t="shared" si="285"/>
        <v>3.1397697333071795E-2</v>
      </c>
      <c r="N303" s="3">
        <f t="shared" si="285"/>
        <v>1.8581639468754602E-2</v>
      </c>
      <c r="O303" s="3">
        <f t="shared" si="285"/>
        <v>9.7936896357029595E-5</v>
      </c>
      <c r="P303" s="3">
        <f t="shared" si="285"/>
        <v>1.6202029294589421E-27</v>
      </c>
      <c r="Q303" s="3">
        <f t="shared" si="285"/>
        <v>2.4877124163729643E-255</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0.10755398982670844</v>
      </c>
      <c r="C304" s="3">
        <f t="shared" si="286"/>
        <v>0.10755398982665755</v>
      </c>
      <c r="D304" s="3">
        <f t="shared" si="286"/>
        <v>0.10755398982614861</v>
      </c>
      <c r="E304" s="3">
        <f t="shared" si="286"/>
        <v>0.10755398982105918</v>
      </c>
      <c r="F304" s="3">
        <f t="shared" si="286"/>
        <v>0.10755398977016493</v>
      </c>
      <c r="G304" s="3">
        <f t="shared" si="286"/>
        <v>0.10755398926122237</v>
      </c>
      <c r="H304" s="3">
        <f t="shared" si="286"/>
        <v>0.10755398417179685</v>
      </c>
      <c r="I304" s="3">
        <f t="shared" si="286"/>
        <v>0.107553933277555</v>
      </c>
      <c r="J304" s="3">
        <f t="shared" si="286"/>
        <v>0.10755342433646101</v>
      </c>
      <c r="K304" s="3">
        <f t="shared" si="286"/>
        <v>0.10754833505797515</v>
      </c>
      <c r="L304" s="3">
        <f t="shared" si="286"/>
        <v>0.1074974555162035</v>
      </c>
      <c r="M304" s="3">
        <f t="shared" si="286"/>
        <v>0.10698998209147449</v>
      </c>
      <c r="N304" s="3">
        <f t="shared" si="286"/>
        <v>0.10204516156248329</v>
      </c>
      <c r="O304" s="3">
        <f t="shared" si="286"/>
        <v>6.3574864830891809E-2</v>
      </c>
      <c r="P304" s="3">
        <f t="shared" si="286"/>
        <v>5.6003571514276582E-4</v>
      </c>
      <c r="Q304" s="3">
        <f t="shared" si="286"/>
        <v>1.5758631887079545E-24</v>
      </c>
      <c r="R304" s="3">
        <f t="shared" si="286"/>
        <v>4.9039538783054592E-230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0.13355176295714122</v>
      </c>
      <c r="C305" s="3">
        <f t="shared" si="287"/>
        <v>0.13355176295713553</v>
      </c>
      <c r="D305" s="3">
        <f t="shared" si="287"/>
        <v>0.13355176295707852</v>
      </c>
      <c r="E305" s="3">
        <f t="shared" si="287"/>
        <v>0.13355176295650845</v>
      </c>
      <c r="F305" s="3">
        <f t="shared" si="287"/>
        <v>0.13355176295080759</v>
      </c>
      <c r="G305" s="3">
        <f t="shared" si="287"/>
        <v>0.13355176289379925</v>
      </c>
      <c r="H305" s="3">
        <f t="shared" si="287"/>
        <v>0.13355176232371574</v>
      </c>
      <c r="I305" s="3">
        <f t="shared" si="287"/>
        <v>0.13355175662288099</v>
      </c>
      <c r="J305" s="3">
        <f t="shared" si="287"/>
        <v>0.1335516996145466</v>
      </c>
      <c r="K305" s="3">
        <f t="shared" si="287"/>
        <v>0.13355112953254142</v>
      </c>
      <c r="L305" s="3">
        <f t="shared" si="287"/>
        <v>0.13354542884632817</v>
      </c>
      <c r="M305" s="3">
        <f t="shared" si="287"/>
        <v>0.13348843536597266</v>
      </c>
      <c r="N305" s="3">
        <f t="shared" si="287"/>
        <v>0.13291983662900531</v>
      </c>
      <c r="O305" s="3">
        <f t="shared" si="287"/>
        <v>0.12736536961942957</v>
      </c>
      <c r="P305" s="3">
        <f t="shared" si="287"/>
        <v>8.3112620358991238E-2</v>
      </c>
      <c r="Q305" s="3">
        <f t="shared" si="287"/>
        <v>1.1636520016606775E-3</v>
      </c>
      <c r="R305" s="3">
        <f t="shared" si="287"/>
        <v>3.3680969269826673E-22</v>
      </c>
      <c r="S305" s="3">
        <f t="shared" si="287"/>
        <v>1.3899500173620577E-207</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0.102766535519755</v>
      </c>
      <c r="C306" s="3">
        <f t="shared" si="288"/>
        <v>0.10276653551975459</v>
      </c>
      <c r="D306" s="3">
        <f t="shared" si="288"/>
        <v>0.10276653551975064</v>
      </c>
      <c r="E306" s="3">
        <f t="shared" si="288"/>
        <v>0.10276653551971107</v>
      </c>
      <c r="F306" s="3">
        <f t="shared" si="288"/>
        <v>0.10276653551931535</v>
      </c>
      <c r="G306" s="3">
        <f t="shared" si="288"/>
        <v>0.10276653551535816</v>
      </c>
      <c r="H306" s="3">
        <f t="shared" si="288"/>
        <v>0.10276653547578624</v>
      </c>
      <c r="I306" s="3">
        <f t="shared" si="288"/>
        <v>0.10276653508006701</v>
      </c>
      <c r="J306" s="3">
        <f t="shared" si="288"/>
        <v>0.10276653112287489</v>
      </c>
      <c r="K306" s="3">
        <f t="shared" si="288"/>
        <v>0.10276649155096196</v>
      </c>
      <c r="L306" s="3">
        <f t="shared" si="288"/>
        <v>0.10276609583267086</v>
      </c>
      <c r="M306" s="3">
        <f t="shared" si="288"/>
        <v>0.10276213873356654</v>
      </c>
      <c r="N306" s="3">
        <f t="shared" si="288"/>
        <v>0.10272257612199259</v>
      </c>
      <c r="O306" s="3">
        <f t="shared" si="288"/>
        <v>0.10232778676055941</v>
      </c>
      <c r="P306" s="3">
        <f t="shared" si="288"/>
        <v>9.8462388594907801E-2</v>
      </c>
      <c r="Q306" s="3">
        <f t="shared" si="288"/>
        <v>6.699435789133279E-2</v>
      </c>
      <c r="R306" s="3">
        <f t="shared" si="288"/>
        <v>1.4246784257708003E-3</v>
      </c>
      <c r="S306" s="3">
        <f t="shared" si="288"/>
        <v>2.6946541654872726E-20</v>
      </c>
      <c r="T306" s="3">
        <f t="shared" si="288"/>
        <v>1.5789373977023102E-187</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8.2308697100650766E-2</v>
      </c>
      <c r="C307" s="3">
        <f t="shared" si="289"/>
        <v>8.2308697100650738E-2</v>
      </c>
      <c r="D307" s="3">
        <f t="shared" si="289"/>
        <v>8.2308697100650446E-2</v>
      </c>
      <c r="E307" s="3">
        <f t="shared" si="289"/>
        <v>8.2308697100647588E-2</v>
      </c>
      <c r="F307" s="3">
        <f t="shared" si="289"/>
        <v>8.2308697100618999E-2</v>
      </c>
      <c r="G307" s="3">
        <f t="shared" si="289"/>
        <v>8.2308697100333089E-2</v>
      </c>
      <c r="H307" s="3">
        <f t="shared" si="289"/>
        <v>8.2308697097474001E-2</v>
      </c>
      <c r="I307" s="3">
        <f t="shared" si="289"/>
        <v>8.2308697068883108E-2</v>
      </c>
      <c r="J307" s="3">
        <f t="shared" si="289"/>
        <v>8.2308696782974158E-2</v>
      </c>
      <c r="K307" s="3">
        <f t="shared" si="289"/>
        <v>8.2308693923884735E-2</v>
      </c>
      <c r="L307" s="3">
        <f t="shared" si="289"/>
        <v>8.2308665332995898E-2</v>
      </c>
      <c r="M307" s="3">
        <f t="shared" si="289"/>
        <v>8.2308379424653744E-2</v>
      </c>
      <c r="N307" s="3">
        <f t="shared" si="289"/>
        <v>8.2305520395854176E-2</v>
      </c>
      <c r="O307" s="3">
        <f t="shared" si="289"/>
        <v>8.2276935569339585E-2</v>
      </c>
      <c r="P307" s="3">
        <f t="shared" si="289"/>
        <v>8.1991632751035104E-2</v>
      </c>
      <c r="Q307" s="3">
        <f t="shared" si="289"/>
        <v>7.9192454688704977E-2</v>
      </c>
      <c r="R307" s="3">
        <f t="shared" si="289"/>
        <v>5.5953402874972802E-2</v>
      </c>
      <c r="S307" s="3">
        <f t="shared" si="289"/>
        <v>1.7348163006434881E-3</v>
      </c>
      <c r="T307" s="3">
        <f t="shared" si="289"/>
        <v>1.4240439663568236E-18</v>
      </c>
      <c r="U307" s="3">
        <f t="shared" si="289"/>
        <v>1.977982461503992E-169</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3.7013792035783422E-2</v>
      </c>
      <c r="C308" s="3">
        <f t="shared" si="290"/>
        <v>3.7013792035783422E-2</v>
      </c>
      <c r="D308" s="3">
        <f t="shared" si="290"/>
        <v>3.7013792035783408E-2</v>
      </c>
      <c r="E308" s="3">
        <f t="shared" si="290"/>
        <v>3.7013792035783297E-2</v>
      </c>
      <c r="F308" s="3">
        <f t="shared" si="290"/>
        <v>3.7013792035782131E-2</v>
      </c>
      <c r="G308" s="3">
        <f t="shared" si="290"/>
        <v>3.7013792035770536E-2</v>
      </c>
      <c r="H308" s="3">
        <f t="shared" si="290"/>
        <v>3.7013792035654552E-2</v>
      </c>
      <c r="I308" s="3">
        <f t="shared" si="290"/>
        <v>3.701379203449473E-2</v>
      </c>
      <c r="J308" s="3">
        <f t="shared" si="290"/>
        <v>3.7013792022896487E-2</v>
      </c>
      <c r="K308" s="3">
        <f t="shared" si="290"/>
        <v>3.7013791906914055E-2</v>
      </c>
      <c r="L308" s="3">
        <f t="shared" si="290"/>
        <v>3.7013790747089811E-2</v>
      </c>
      <c r="M308" s="3">
        <f t="shared" si="290"/>
        <v>3.7013779148849298E-2</v>
      </c>
      <c r="N308" s="3">
        <f t="shared" si="290"/>
        <v>3.7013663166644097E-2</v>
      </c>
      <c r="O308" s="3">
        <f t="shared" si="290"/>
        <v>3.7012503364580451E-2</v>
      </c>
      <c r="P308" s="3">
        <f t="shared" si="290"/>
        <v>3.7000907342551709E-2</v>
      </c>
      <c r="Q308" s="3">
        <f t="shared" si="290"/>
        <v>3.6885146751508884E-2</v>
      </c>
      <c r="R308" s="3">
        <f t="shared" si="290"/>
        <v>3.5747274244086892E-2</v>
      </c>
      <c r="S308" s="3">
        <f t="shared" si="290"/>
        <v>2.613106417617439E-2</v>
      </c>
      <c r="T308" s="3">
        <f t="shared" si="290"/>
        <v>1.1384101013589092E-3</v>
      </c>
      <c r="U308" s="3">
        <f t="shared" si="290"/>
        <v>2.803594388774437E-17</v>
      </c>
      <c r="V308" s="3">
        <f t="shared" si="290"/>
        <v>2.3008038544341987E-153</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5.9919400803358086E-2</v>
      </c>
      <c r="C309" s="3">
        <f t="shared" si="291"/>
        <v>5.9919400803358086E-2</v>
      </c>
      <c r="D309" s="3">
        <f t="shared" si="291"/>
        <v>5.9919400803358079E-2</v>
      </c>
      <c r="E309" s="3">
        <f t="shared" si="291"/>
        <v>5.9919400803358024E-2</v>
      </c>
      <c r="F309" s="3">
        <f t="shared" si="291"/>
        <v>5.991940080335751E-2</v>
      </c>
      <c r="G309" s="3">
        <f t="shared" si="291"/>
        <v>5.991940080335232E-2</v>
      </c>
      <c r="H309" s="3">
        <f t="shared" si="291"/>
        <v>5.9919400803300389E-2</v>
      </c>
      <c r="I309" s="3">
        <f t="shared" si="291"/>
        <v>5.9919400802781096E-2</v>
      </c>
      <c r="J309" s="3">
        <f t="shared" si="291"/>
        <v>5.9919400797588208E-2</v>
      </c>
      <c r="K309" s="3">
        <f t="shared" si="291"/>
        <v>5.9919400745659337E-2</v>
      </c>
      <c r="L309" s="3">
        <f t="shared" si="291"/>
        <v>5.9919400226370559E-2</v>
      </c>
      <c r="M309" s="3">
        <f t="shared" si="291"/>
        <v>5.9919395033483064E-2</v>
      </c>
      <c r="N309" s="3">
        <f t="shared" si="291"/>
        <v>5.9919343104632886E-2</v>
      </c>
      <c r="O309" s="3">
        <f t="shared" si="291"/>
        <v>5.9918823818606262E-2</v>
      </c>
      <c r="P309" s="3">
        <f t="shared" si="291"/>
        <v>5.9913631205852851E-2</v>
      </c>
      <c r="Q309" s="3">
        <f t="shared" si="291"/>
        <v>5.986172982166181E-2</v>
      </c>
      <c r="R309" s="3">
        <f t="shared" si="291"/>
        <v>5.9345182398248472E-2</v>
      </c>
      <c r="S309" s="3">
        <f t="shared" si="291"/>
        <v>5.4418621231349169E-2</v>
      </c>
      <c r="T309" s="3">
        <f t="shared" si="291"/>
        <v>2.2875373077619155E-2</v>
      </c>
      <c r="U309" s="3">
        <f t="shared" si="291"/>
        <v>3.9407120501675496E-6</v>
      </c>
      <c r="V309" s="3">
        <f t="shared" si="291"/>
        <v>9.0706803627114492E-44</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6.4670451984415095E-2</v>
      </c>
      <c r="C310" s="3">
        <f t="shared" si="292"/>
        <v>6.4670451984415095E-2</v>
      </c>
      <c r="D310" s="3">
        <f t="shared" si="292"/>
        <v>6.4670451984415095E-2</v>
      </c>
      <c r="E310" s="3">
        <f t="shared" si="292"/>
        <v>6.4670451984415081E-2</v>
      </c>
      <c r="F310" s="3">
        <f t="shared" si="292"/>
        <v>6.4670451984415026E-2</v>
      </c>
      <c r="G310" s="3">
        <f t="shared" si="292"/>
        <v>6.467045198441447E-2</v>
      </c>
      <c r="H310" s="3">
        <f t="shared" si="292"/>
        <v>6.4670451984408864E-2</v>
      </c>
      <c r="I310" s="3">
        <f t="shared" si="292"/>
        <v>6.4670451984352825E-2</v>
      </c>
      <c r="J310" s="3">
        <f t="shared" si="292"/>
        <v>6.4670451983792357E-2</v>
      </c>
      <c r="K310" s="3">
        <f t="shared" si="292"/>
        <v>6.4670451978187715E-2</v>
      </c>
      <c r="L310" s="3">
        <f t="shared" si="292"/>
        <v>6.4670451922141367E-2</v>
      </c>
      <c r="M310" s="3">
        <f t="shared" si="292"/>
        <v>6.4670451361677816E-2</v>
      </c>
      <c r="N310" s="3">
        <f t="shared" si="292"/>
        <v>6.4670445757042644E-2</v>
      </c>
      <c r="O310" s="3">
        <f t="shared" si="292"/>
        <v>6.4670389710717632E-2</v>
      </c>
      <c r="P310" s="3">
        <f t="shared" si="292"/>
        <v>6.4669829250138922E-2</v>
      </c>
      <c r="Q310" s="3">
        <f t="shared" si="292"/>
        <v>6.4664224911489973E-2</v>
      </c>
      <c r="R310" s="3">
        <f t="shared" si="292"/>
        <v>6.46082082302607E-2</v>
      </c>
      <c r="S310" s="3">
        <f t="shared" si="292"/>
        <v>6.4050703400511916E-2</v>
      </c>
      <c r="T310" s="3">
        <f t="shared" si="292"/>
        <v>5.8733511754390011E-2</v>
      </c>
      <c r="U310" s="3">
        <f t="shared" si="292"/>
        <v>2.4689177401768059E-2</v>
      </c>
      <c r="V310" s="3">
        <f t="shared" si="292"/>
        <v>4.2531738636893035E-6</v>
      </c>
      <c r="W310" s="3">
        <f t="shared" si="292"/>
        <v>9.7899009502416856E-44</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6.7576207998846588E-2</v>
      </c>
      <c r="C311" s="3">
        <f t="shared" si="293"/>
        <v>6.7576207998846588E-2</v>
      </c>
      <c r="D311" s="3">
        <f t="shared" si="293"/>
        <v>6.7576207998846588E-2</v>
      </c>
      <c r="E311" s="3">
        <f t="shared" si="293"/>
        <v>6.7576207998846588E-2</v>
      </c>
      <c r="F311" s="3">
        <f t="shared" si="293"/>
        <v>6.7576207998846574E-2</v>
      </c>
      <c r="G311" s="3">
        <f t="shared" si="293"/>
        <v>6.7576207998846519E-2</v>
      </c>
      <c r="H311" s="3">
        <f t="shared" si="293"/>
        <v>6.7576207998845936E-2</v>
      </c>
      <c r="I311" s="3">
        <f t="shared" si="293"/>
        <v>6.7576207998840079E-2</v>
      </c>
      <c r="J311" s="3">
        <f t="shared" si="293"/>
        <v>6.7576207998781515E-2</v>
      </c>
      <c r="K311" s="3">
        <f t="shared" si="293"/>
        <v>6.7576207998195872E-2</v>
      </c>
      <c r="L311" s="3">
        <f t="shared" si="293"/>
        <v>6.7576207992339404E-2</v>
      </c>
      <c r="M311" s="3">
        <f t="shared" si="293"/>
        <v>6.7576207933774793E-2</v>
      </c>
      <c r="N311" s="3">
        <f t="shared" si="293"/>
        <v>6.757620734812865E-2</v>
      </c>
      <c r="O311" s="3">
        <f t="shared" si="293"/>
        <v>6.7576201491667459E-2</v>
      </c>
      <c r="P311" s="3">
        <f t="shared" si="293"/>
        <v>6.7576142927083471E-2</v>
      </c>
      <c r="Q311" s="3">
        <f t="shared" si="293"/>
        <v>6.7575557284035054E-2</v>
      </c>
      <c r="R311" s="3">
        <f t="shared" si="293"/>
        <v>6.7569701132692117E-2</v>
      </c>
      <c r="S311" s="3">
        <f t="shared" si="293"/>
        <v>6.7511167524436727E-2</v>
      </c>
      <c r="T311" s="3">
        <f t="shared" si="293"/>
        <v>6.6928613031937673E-2</v>
      </c>
      <c r="U311" s="3">
        <f t="shared" si="293"/>
        <v>6.137251070664923E-2</v>
      </c>
      <c r="V311" s="3">
        <f t="shared" si="293"/>
        <v>2.5798505132210433E-2</v>
      </c>
      <c r="W311" s="3">
        <f t="shared" si="293"/>
        <v>4.4442763711809219E-6</v>
      </c>
      <c r="X311" s="3">
        <f t="shared" si="293"/>
        <v>1.0229778246502252E-43</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7.4650772379504848E-2</v>
      </c>
      <c r="C312" s="3">
        <f t="shared" si="294"/>
        <v>7.4650772379504848E-2</v>
      </c>
      <c r="D312" s="3">
        <f t="shared" si="294"/>
        <v>7.4650772379504848E-2</v>
      </c>
      <c r="E312" s="3">
        <f t="shared" si="294"/>
        <v>7.4650772379504848E-2</v>
      </c>
      <c r="F312" s="3">
        <f t="shared" si="294"/>
        <v>7.4650772379504848E-2</v>
      </c>
      <c r="G312" s="3">
        <f t="shared" si="294"/>
        <v>7.4650772379504834E-2</v>
      </c>
      <c r="H312" s="3">
        <f t="shared" si="294"/>
        <v>7.4650772379504779E-2</v>
      </c>
      <c r="I312" s="3">
        <f t="shared" si="294"/>
        <v>7.4650772379504127E-2</v>
      </c>
      <c r="J312" s="3">
        <f t="shared" si="294"/>
        <v>7.465077237949766E-2</v>
      </c>
      <c r="K312" s="3">
        <f t="shared" si="294"/>
        <v>7.4650772379432961E-2</v>
      </c>
      <c r="L312" s="3">
        <f t="shared" si="294"/>
        <v>7.4650772378786007E-2</v>
      </c>
      <c r="M312" s="3">
        <f t="shared" si="294"/>
        <v>7.4650772372316432E-2</v>
      </c>
      <c r="N312" s="3">
        <f t="shared" si="294"/>
        <v>7.4650772307620683E-2</v>
      </c>
      <c r="O312" s="3">
        <f t="shared" si="294"/>
        <v>7.465077166066314E-2</v>
      </c>
      <c r="P312" s="3">
        <f t="shared" si="294"/>
        <v>7.4650765191088056E-2</v>
      </c>
      <c r="Q312" s="3">
        <f t="shared" si="294"/>
        <v>7.4650700495368094E-2</v>
      </c>
      <c r="R312" s="3">
        <f t="shared" si="294"/>
        <v>7.4650053541252176E-2</v>
      </c>
      <c r="S312" s="3">
        <f t="shared" si="294"/>
        <v>7.4643584308457578E-2</v>
      </c>
      <c r="T312" s="3">
        <f t="shared" si="294"/>
        <v>7.4578922807082726E-2</v>
      </c>
      <c r="U312" s="3">
        <f t="shared" si="294"/>
        <v>7.393538058851154E-2</v>
      </c>
      <c r="V312" s="3">
        <f t="shared" si="294"/>
        <v>6.7797608992783295E-2</v>
      </c>
      <c r="W312" s="3">
        <f t="shared" si="294"/>
        <v>2.8499354897051934E-2</v>
      </c>
      <c r="X312" s="3">
        <f t="shared" si="294"/>
        <v>4.9095483987841032E-6</v>
      </c>
      <c r="Y312" s="3">
        <f t="shared" si="294"/>
        <v>1.1300735421340664E-43</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4.2437426023751848E-2</v>
      </c>
      <c r="C313" s="3">
        <f t="shared" si="295"/>
        <v>4.2437426023751848E-2</v>
      </c>
      <c r="D313" s="3">
        <f t="shared" si="295"/>
        <v>4.2437426023751848E-2</v>
      </c>
      <c r="E313" s="3">
        <f t="shared" si="295"/>
        <v>4.2437426023751848E-2</v>
      </c>
      <c r="F313" s="3">
        <f t="shared" si="295"/>
        <v>4.2437426023751848E-2</v>
      </c>
      <c r="G313" s="3">
        <f t="shared" si="295"/>
        <v>4.2437426023751848E-2</v>
      </c>
      <c r="H313" s="3">
        <f t="shared" si="295"/>
        <v>4.2437426023751841E-2</v>
      </c>
      <c r="I313" s="3">
        <f t="shared" si="295"/>
        <v>4.2437426023751806E-2</v>
      </c>
      <c r="J313" s="3">
        <f t="shared" si="295"/>
        <v>4.2437426023751439E-2</v>
      </c>
      <c r="K313" s="3">
        <f t="shared" si="295"/>
        <v>4.2437426023747761E-2</v>
      </c>
      <c r="L313" s="3">
        <f t="shared" si="295"/>
        <v>4.2437426023710985E-2</v>
      </c>
      <c r="M313" s="3">
        <f t="shared" si="295"/>
        <v>4.2437426023343203E-2</v>
      </c>
      <c r="N313" s="3">
        <f t="shared" si="295"/>
        <v>4.2437426019665381E-2</v>
      </c>
      <c r="O313" s="3">
        <f t="shared" si="295"/>
        <v>4.2437425982887175E-2</v>
      </c>
      <c r="P313" s="3">
        <f t="shared" si="295"/>
        <v>4.2437425615105148E-2</v>
      </c>
      <c r="Q313" s="3">
        <f t="shared" si="295"/>
        <v>4.2437421937285009E-2</v>
      </c>
      <c r="R313" s="3">
        <f t="shared" si="295"/>
        <v>4.2437385159101178E-2</v>
      </c>
      <c r="S313" s="3">
        <f t="shared" si="295"/>
        <v>4.2437017379015854E-2</v>
      </c>
      <c r="T313" s="3">
        <f t="shared" si="295"/>
        <v>4.2433339753461551E-2</v>
      </c>
      <c r="U313" s="3">
        <f t="shared" si="295"/>
        <v>4.2396581022189087E-2</v>
      </c>
      <c r="V313" s="3">
        <f t="shared" si="295"/>
        <v>4.2030740530212163E-2</v>
      </c>
      <c r="W313" s="3">
        <f t="shared" si="295"/>
        <v>3.8541543838177469E-2</v>
      </c>
      <c r="X313" s="3">
        <f t="shared" si="295"/>
        <v>1.6201296069916344E-2</v>
      </c>
      <c r="Y313" s="3">
        <f t="shared" si="295"/>
        <v>2.7909771103805916E-6</v>
      </c>
      <c r="Z313" s="3">
        <f t="shared" si="295"/>
        <v>6.4242352512993189E-44</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2.9362775672931045E-2</v>
      </c>
      <c r="C314" s="3">
        <f t="shared" si="296"/>
        <v>2.9362775672931045E-2</v>
      </c>
      <c r="D314" s="3">
        <f t="shared" si="296"/>
        <v>2.9362775672931045E-2</v>
      </c>
      <c r="E314" s="3">
        <f t="shared" si="296"/>
        <v>2.9362775672931045E-2</v>
      </c>
      <c r="F314" s="3">
        <f t="shared" si="296"/>
        <v>2.9362775672931045E-2</v>
      </c>
      <c r="G314" s="3">
        <f t="shared" si="296"/>
        <v>2.9362775672931045E-2</v>
      </c>
      <c r="H314" s="3">
        <f t="shared" si="296"/>
        <v>2.9362775672931045E-2</v>
      </c>
      <c r="I314" s="3">
        <f t="shared" si="296"/>
        <v>2.9362775672931041E-2</v>
      </c>
      <c r="J314" s="3">
        <f t="shared" si="296"/>
        <v>2.9362775672931017E-2</v>
      </c>
      <c r="K314" s="3">
        <f t="shared" si="296"/>
        <v>2.936277567293076E-2</v>
      </c>
      <c r="L314" s="3">
        <f t="shared" si="296"/>
        <v>2.9362775672928217E-2</v>
      </c>
      <c r="M314" s="3">
        <f t="shared" si="296"/>
        <v>2.9362775672902772E-2</v>
      </c>
      <c r="N314" s="3">
        <f t="shared" si="296"/>
        <v>2.9362775672648299E-2</v>
      </c>
      <c r="O314" s="3">
        <f t="shared" si="296"/>
        <v>2.9362775670103588E-2</v>
      </c>
      <c r="P314" s="3">
        <f t="shared" si="296"/>
        <v>2.9362775644656471E-2</v>
      </c>
      <c r="Q314" s="3">
        <f t="shared" si="296"/>
        <v>2.9362775390185305E-2</v>
      </c>
      <c r="R314" s="3">
        <f t="shared" si="296"/>
        <v>2.9362772845473766E-2</v>
      </c>
      <c r="S314" s="3">
        <f t="shared" si="296"/>
        <v>2.9362747398370519E-2</v>
      </c>
      <c r="T314" s="3">
        <f t="shared" si="296"/>
        <v>2.9362492928550973E-2</v>
      </c>
      <c r="U314" s="3">
        <f t="shared" si="296"/>
        <v>2.9359948351646153E-2</v>
      </c>
      <c r="V314" s="3">
        <f t="shared" si="296"/>
        <v>2.9334514707773155E-2</v>
      </c>
      <c r="W314" s="3">
        <f t="shared" si="296"/>
        <v>2.9081386907515407E-2</v>
      </c>
      <c r="X314" s="3">
        <f t="shared" si="296"/>
        <v>2.666718535604511E-2</v>
      </c>
      <c r="Y314" s="3">
        <f t="shared" si="296"/>
        <v>1.1209799148643923E-2</v>
      </c>
      <c r="Z314" s="3">
        <f t="shared" si="296"/>
        <v>1.9310981480008581E-6</v>
      </c>
      <c r="AA314" s="3">
        <f t="shared" si="296"/>
        <v>4.4449769043122754E-44</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1.3317924951321973E-2</v>
      </c>
      <c r="C315" s="3">
        <f t="shared" si="297"/>
        <v>1.3317924951321973E-2</v>
      </c>
      <c r="D315" s="3">
        <f t="shared" si="297"/>
        <v>1.3317924951321973E-2</v>
      </c>
      <c r="E315" s="3">
        <f t="shared" si="297"/>
        <v>1.3317924951321973E-2</v>
      </c>
      <c r="F315" s="3">
        <f t="shared" si="297"/>
        <v>1.3317924951321973E-2</v>
      </c>
      <c r="G315" s="3">
        <f t="shared" si="297"/>
        <v>1.3317924951321973E-2</v>
      </c>
      <c r="H315" s="3">
        <f t="shared" si="297"/>
        <v>1.3317924951321973E-2</v>
      </c>
      <c r="I315" s="3">
        <f t="shared" si="297"/>
        <v>1.3317924951321973E-2</v>
      </c>
      <c r="J315" s="3">
        <f t="shared" si="297"/>
        <v>1.3317924951321971E-2</v>
      </c>
      <c r="K315" s="3">
        <f t="shared" si="297"/>
        <v>1.3317924951321959E-2</v>
      </c>
      <c r="L315" s="3">
        <f t="shared" si="297"/>
        <v>1.3317924951321844E-2</v>
      </c>
      <c r="M315" s="3">
        <f t="shared" si="297"/>
        <v>1.3317924951320691E-2</v>
      </c>
      <c r="N315" s="3">
        <f t="shared" si="297"/>
        <v>1.331792495130915E-2</v>
      </c>
      <c r="O315" s="3">
        <f t="shared" si="297"/>
        <v>1.331792495119373E-2</v>
      </c>
      <c r="P315" s="3">
        <f t="shared" si="297"/>
        <v>1.3317924950039537E-2</v>
      </c>
      <c r="Q315" s="3">
        <f t="shared" si="297"/>
        <v>1.3317924938497618E-2</v>
      </c>
      <c r="R315" s="3">
        <f t="shared" si="297"/>
        <v>1.3317924823078423E-2</v>
      </c>
      <c r="S315" s="3">
        <f t="shared" si="297"/>
        <v>1.3317923668886542E-2</v>
      </c>
      <c r="T315" s="3">
        <f t="shared" si="297"/>
        <v>1.3317912126973235E-2</v>
      </c>
      <c r="U315" s="3">
        <f t="shared" si="297"/>
        <v>1.3317796708390305E-2</v>
      </c>
      <c r="V315" s="3">
        <f t="shared" si="297"/>
        <v>1.3316642577574174E-2</v>
      </c>
      <c r="W315" s="3">
        <f t="shared" si="297"/>
        <v>1.3305106768966969E-2</v>
      </c>
      <c r="X315" s="3">
        <f t="shared" si="297"/>
        <v>1.3190296878904917E-2</v>
      </c>
      <c r="Y315" s="3">
        <f t="shared" si="297"/>
        <v>1.2095299749274323E-2</v>
      </c>
      <c r="Z315" s="3">
        <f t="shared" si="297"/>
        <v>5.0843716358416804E-3</v>
      </c>
      <c r="AA315" s="3">
        <f t="shared" si="297"/>
        <v>8.7587837386985843E-7</v>
      </c>
      <c r="AB315" s="3">
        <f t="shared" si="297"/>
        <v>2.0160855867779451E-44</v>
      </c>
      <c r="AC315" s="3">
        <f t="shared" si="297"/>
        <v>0</v>
      </c>
      <c r="AD315" s="3">
        <f t="shared" si="297"/>
        <v>0</v>
      </c>
      <c r="AE315" s="3">
        <f t="shared" si="297"/>
        <v>0</v>
      </c>
      <c r="AF315" s="3">
        <f t="shared" si="297"/>
        <v>0</v>
      </c>
      <c r="AG315" s="3"/>
      <c r="AH315" s="3"/>
    </row>
    <row r="316" spans="1:34" x14ac:dyDescent="0.25">
      <c r="B316" s="3">
        <f t="shared" ref="B316:AF316" si="298">$C46*EXP(-B$285/$A46/EXP(-$F$126))</f>
        <v>4.0600750332731679E-3</v>
      </c>
      <c r="C316" s="3">
        <f t="shared" si="298"/>
        <v>4.0600750332731679E-3</v>
      </c>
      <c r="D316" s="3">
        <f t="shared" si="298"/>
        <v>4.0600750332731679E-3</v>
      </c>
      <c r="E316" s="3">
        <f t="shared" si="298"/>
        <v>4.0600750332731679E-3</v>
      </c>
      <c r="F316" s="3">
        <f t="shared" si="298"/>
        <v>4.0600750332731679E-3</v>
      </c>
      <c r="G316" s="3">
        <f t="shared" si="298"/>
        <v>4.0600750332731679E-3</v>
      </c>
      <c r="H316" s="3">
        <f t="shared" si="298"/>
        <v>4.0600750332731679E-3</v>
      </c>
      <c r="I316" s="3">
        <f t="shared" si="298"/>
        <v>4.0600750332731679E-3</v>
      </c>
      <c r="J316" s="3">
        <f t="shared" si="298"/>
        <v>4.0600750332731679E-3</v>
      </c>
      <c r="K316" s="3">
        <f t="shared" si="298"/>
        <v>4.060075033273167E-3</v>
      </c>
      <c r="L316" s="3">
        <f t="shared" si="298"/>
        <v>4.0600750332731635E-3</v>
      </c>
      <c r="M316" s="3">
        <f t="shared" si="298"/>
        <v>4.0600750332731288E-3</v>
      </c>
      <c r="N316" s="3">
        <f t="shared" si="298"/>
        <v>4.0600750332727767E-3</v>
      </c>
      <c r="O316" s="3">
        <f t="shared" si="298"/>
        <v>4.0600750332692587E-3</v>
      </c>
      <c r="P316" s="3">
        <f t="shared" si="298"/>
        <v>4.0600750332340715E-3</v>
      </c>
      <c r="Q316" s="3">
        <f t="shared" si="298"/>
        <v>4.0600750328822072E-3</v>
      </c>
      <c r="R316" s="3">
        <f t="shared" si="298"/>
        <v>4.0600750293635617E-3</v>
      </c>
      <c r="S316" s="3">
        <f t="shared" si="298"/>
        <v>4.0600749941771047E-3</v>
      </c>
      <c r="T316" s="3">
        <f t="shared" si="298"/>
        <v>4.0600746423125576E-3</v>
      </c>
      <c r="U316" s="3">
        <f t="shared" si="298"/>
        <v>4.0600711236687577E-3</v>
      </c>
      <c r="V316" s="3">
        <f t="shared" si="298"/>
        <v>4.0600359373984757E-3</v>
      </c>
      <c r="W316" s="3">
        <f t="shared" si="298"/>
        <v>4.0596840914668584E-3</v>
      </c>
      <c r="X316" s="3">
        <f t="shared" si="298"/>
        <v>4.0561673087333681E-3</v>
      </c>
      <c r="Y316" s="3">
        <f t="shared" si="298"/>
        <v>4.0211666032993355E-3</v>
      </c>
      <c r="Z316" s="3">
        <f t="shared" si="298"/>
        <v>3.6873480449451934E-3</v>
      </c>
      <c r="AA316" s="3">
        <f t="shared" si="298"/>
        <v>1.5500110125274426E-3</v>
      </c>
      <c r="AB316" s="3">
        <f t="shared" si="298"/>
        <v>2.6701846803693865E-7</v>
      </c>
      <c r="AC316" s="3">
        <f t="shared" si="298"/>
        <v>6.1461967879662128E-45</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6.6069827735831333E-3</v>
      </c>
      <c r="C318" s="3">
        <f t="shared" si="300"/>
        <v>6.6069827735831333E-3</v>
      </c>
      <c r="D318" s="3">
        <f t="shared" si="300"/>
        <v>6.6069827735831333E-3</v>
      </c>
      <c r="E318" s="3">
        <f t="shared" si="300"/>
        <v>6.6069827735831333E-3</v>
      </c>
      <c r="F318" s="3">
        <f t="shared" si="300"/>
        <v>6.6069827735831333E-3</v>
      </c>
      <c r="G318" s="3">
        <f t="shared" si="300"/>
        <v>6.6069827735831333E-3</v>
      </c>
      <c r="H318" s="3">
        <f t="shared" si="300"/>
        <v>6.6069827735831333E-3</v>
      </c>
      <c r="I318" s="3">
        <f t="shared" si="300"/>
        <v>6.6069827735831333E-3</v>
      </c>
      <c r="J318" s="3">
        <f t="shared" si="300"/>
        <v>6.6069827735831333E-3</v>
      </c>
      <c r="K318" s="3">
        <f t="shared" si="300"/>
        <v>6.6069827735831333E-3</v>
      </c>
      <c r="L318" s="3">
        <f t="shared" si="300"/>
        <v>6.6069827735831333E-3</v>
      </c>
      <c r="M318" s="3">
        <f t="shared" si="300"/>
        <v>6.6069827735831324E-3</v>
      </c>
      <c r="N318" s="3">
        <f t="shared" si="300"/>
        <v>6.6069827735831263E-3</v>
      </c>
      <c r="O318" s="3">
        <f t="shared" si="300"/>
        <v>6.6069827735830691E-3</v>
      </c>
      <c r="P318" s="3">
        <f t="shared" si="300"/>
        <v>6.6069827735824975E-3</v>
      </c>
      <c r="Q318" s="3">
        <f t="shared" si="300"/>
        <v>6.6069827735767712E-3</v>
      </c>
      <c r="R318" s="3">
        <f t="shared" si="300"/>
        <v>6.6069827735195123E-3</v>
      </c>
      <c r="S318" s="3">
        <f t="shared" si="300"/>
        <v>6.6069827729469208E-3</v>
      </c>
      <c r="T318" s="3">
        <f t="shared" si="300"/>
        <v>6.6069827672210089E-3</v>
      </c>
      <c r="U318" s="3">
        <f t="shared" si="300"/>
        <v>6.6069827099618922E-3</v>
      </c>
      <c r="V318" s="3">
        <f t="shared" si="300"/>
        <v>6.6069821373707484E-3</v>
      </c>
      <c r="W318" s="3">
        <f t="shared" si="300"/>
        <v>6.6069764114620446E-3</v>
      </c>
      <c r="X318" s="3">
        <f t="shared" si="300"/>
        <v>6.60691915264793E-3</v>
      </c>
      <c r="Y318" s="3">
        <f t="shared" si="300"/>
        <v>6.6063465917986603E-3</v>
      </c>
      <c r="Z318" s="3">
        <f t="shared" si="300"/>
        <v>6.6006237116183223E-3</v>
      </c>
      <c r="AA318" s="3">
        <f t="shared" si="300"/>
        <v>6.5436668682174546E-3</v>
      </c>
      <c r="AB318" s="3">
        <f t="shared" si="300"/>
        <v>6.0004420641255694E-3</v>
      </c>
      <c r="AC318" s="3">
        <f t="shared" si="300"/>
        <v>2.5223415761301622E-3</v>
      </c>
      <c r="AD318" s="3">
        <f t="shared" si="300"/>
        <v>4.345206440991198E-7</v>
      </c>
      <c r="AE318" s="3">
        <f t="shared" si="300"/>
        <v>1.0001740354144978E-44</v>
      </c>
      <c r="AF318" s="3">
        <f t="shared" si="300"/>
        <v>0</v>
      </c>
      <c r="AG318" s="3"/>
      <c r="AH318" s="3"/>
    </row>
    <row r="319" spans="1:34" x14ac:dyDescent="0.25">
      <c r="A319" s="79">
        <f>AVERAGE(B319:AF319)</f>
        <v>0.21516978079449794</v>
      </c>
      <c r="B319" s="80">
        <f>IF($A$64&lt;=B285,IF($B$64&gt;=B285,ABS((B287-B286)/B286),0),0)</f>
        <v>7.4669702738101983E-3</v>
      </c>
      <c r="C319" s="80">
        <f t="shared" ref="C319:AF319" si="301">IF($A$64&lt;=C285,IF($B$64&gt;=C285,ABS((C287-C286)/C286),0),0)</f>
        <v>7.4578607944690194E-3</v>
      </c>
      <c r="D319" s="80">
        <f t="shared" si="301"/>
        <v>7.4709034462298396E-3</v>
      </c>
      <c r="E319" s="80">
        <f t="shared" si="301"/>
        <v>7.5490283111046509E-3</v>
      </c>
      <c r="F319" s="80">
        <f t="shared" si="301"/>
        <v>8.3028703887488165E-3</v>
      </c>
      <c r="G319" s="80">
        <f t="shared" si="301"/>
        <v>1.4601039505628364E-2</v>
      </c>
      <c r="H319" s="80">
        <f t="shared" si="301"/>
        <v>3.1607647729835688E-2</v>
      </c>
      <c r="I319" s="80">
        <f t="shared" si="301"/>
        <v>3.7719883506563537E-2</v>
      </c>
      <c r="J319" s="80">
        <f t="shared" si="301"/>
        <v>4.2458224229714597E-2</v>
      </c>
      <c r="K319" s="80">
        <f t="shared" si="301"/>
        <v>5.1444187420538218E-2</v>
      </c>
      <c r="L319" s="80">
        <f t="shared" si="301"/>
        <v>5.4789316824711276E-2</v>
      </c>
      <c r="M319" s="80">
        <f t="shared" si="301"/>
        <v>6.6167655049494387E-2</v>
      </c>
      <c r="N319" s="80">
        <f t="shared" si="301"/>
        <v>7.3582798933011492E-2</v>
      </c>
      <c r="O319" s="80">
        <f t="shared" si="301"/>
        <v>4.4454139011978103E-2</v>
      </c>
      <c r="P319" s="80">
        <f t="shared" si="301"/>
        <v>5.1299713303383392E-2</v>
      </c>
      <c r="Q319" s="80">
        <f t="shared" si="301"/>
        <v>0.16118056297149155</v>
      </c>
      <c r="R319" s="80">
        <f t="shared" si="301"/>
        <v>0.21233449666023982</v>
      </c>
      <c r="S319" s="80">
        <f t="shared" si="301"/>
        <v>0.16074995079235296</v>
      </c>
      <c r="T319" s="80">
        <f t="shared" si="301"/>
        <v>2.2286432303112891E-2</v>
      </c>
      <c r="U319" s="80">
        <f t="shared" si="301"/>
        <v>0.19900661702647826</v>
      </c>
      <c r="V319" s="80">
        <f t="shared" si="301"/>
        <v>0.52952228149566116</v>
      </c>
      <c r="W319" s="80">
        <f t="shared" si="301"/>
        <v>0.83632720527627591</v>
      </c>
      <c r="X319" s="80">
        <f t="shared" si="301"/>
        <v>1.0114995729232212</v>
      </c>
      <c r="Y319" s="80">
        <f t="shared" si="301"/>
        <v>1.0036077516630995</v>
      </c>
      <c r="Z319" s="80">
        <f t="shared" si="301"/>
        <v>0.47959332639952706</v>
      </c>
      <c r="AA319" s="80">
        <f t="shared" si="301"/>
        <v>0.14801314810325999</v>
      </c>
      <c r="AB319" s="80">
        <f t="shared" si="301"/>
        <v>8.1821886581583236E-2</v>
      </c>
      <c r="AC319" s="80">
        <f t="shared" si="301"/>
        <v>0.18846201932936735</v>
      </c>
      <c r="AD319" s="80">
        <f t="shared" si="301"/>
        <v>0.3786527663248534</v>
      </c>
      <c r="AE319" s="80">
        <f t="shared" si="301"/>
        <v>0.3785421204286058</v>
      </c>
      <c r="AF319" s="80">
        <f t="shared" si="301"/>
        <v>0.3722908276210844</v>
      </c>
    </row>
    <row r="320" spans="1:34" x14ac:dyDescent="0.25">
      <c r="B320" s="21">
        <f>(B287-B286)^2</f>
        <v>2917.153070345857</v>
      </c>
      <c r="C320" s="21">
        <f t="shared" ref="C320:AF320" si="302">(C287-C286)^2</f>
        <v>2910.0921769672827</v>
      </c>
      <c r="D320" s="21">
        <f t="shared" si="302"/>
        <v>2920.2022420328044</v>
      </c>
      <c r="E320" s="21">
        <f t="shared" si="302"/>
        <v>2981.1148958009812</v>
      </c>
      <c r="F320" s="21">
        <f t="shared" si="302"/>
        <v>3600.6118046074798</v>
      </c>
      <c r="G320" s="21">
        <f t="shared" si="302"/>
        <v>10990.344080620252</v>
      </c>
      <c r="H320" s="21">
        <f t="shared" si="302"/>
        <v>49551.732580270473</v>
      </c>
      <c r="I320" s="21">
        <f t="shared" si="302"/>
        <v>67673.650725711021</v>
      </c>
      <c r="J320" s="21">
        <f t="shared" si="302"/>
        <v>81608.590409962431</v>
      </c>
      <c r="K320" s="21">
        <f t="shared" si="302"/>
        <v>112598.82814815629</v>
      </c>
      <c r="L320" s="21">
        <f t="shared" si="302"/>
        <v>120044.83165911406</v>
      </c>
      <c r="M320" s="21">
        <f t="shared" si="302"/>
        <v>160827.15673635708</v>
      </c>
      <c r="N320" s="21">
        <f t="shared" si="302"/>
        <v>180683.87019308493</v>
      </c>
      <c r="O320" s="21">
        <f t="shared" si="302"/>
        <v>59687.187519114057</v>
      </c>
      <c r="P320" s="21">
        <f t="shared" si="302"/>
        <v>70848.426326800618</v>
      </c>
      <c r="Q320" s="21">
        <f t="shared" si="302"/>
        <v>610131.85151955695</v>
      </c>
      <c r="R320" s="21">
        <f t="shared" si="302"/>
        <v>836561.56959011406</v>
      </c>
      <c r="S320" s="21">
        <f t="shared" si="302"/>
        <v>302991.41404384677</v>
      </c>
      <c r="T320" s="21">
        <f t="shared" si="302"/>
        <v>2999.9521881156556</v>
      </c>
      <c r="U320" s="21">
        <f t="shared" si="302"/>
        <v>102776.32163672445</v>
      </c>
      <c r="V320" s="21">
        <f t="shared" si="302"/>
        <v>249176.62837905283</v>
      </c>
      <c r="W320" s="21">
        <f t="shared" si="302"/>
        <v>182156.90193061021</v>
      </c>
      <c r="X320" s="21">
        <f t="shared" si="302"/>
        <v>75343.81725445448</v>
      </c>
      <c r="Y320" s="21">
        <f t="shared" si="302"/>
        <v>23410.988934318055</v>
      </c>
      <c r="Z320" s="21">
        <f t="shared" si="302"/>
        <v>3014.7102809856719</v>
      </c>
      <c r="AA320" s="21">
        <f t="shared" si="302"/>
        <v>223.77093473052031</v>
      </c>
      <c r="AB320" s="21">
        <f t="shared" si="302"/>
        <v>57.97809449429365</v>
      </c>
      <c r="AC320" s="21">
        <f t="shared" si="302"/>
        <v>304.76807162788862</v>
      </c>
      <c r="AD320" s="21">
        <f t="shared" si="302"/>
        <v>1193.3554041333803</v>
      </c>
      <c r="AE320" s="21">
        <f t="shared" si="302"/>
        <v>1192.0994465622562</v>
      </c>
      <c r="AF320" s="21">
        <f t="shared" si="302"/>
        <v>1130.1996959841663</v>
      </c>
      <c r="AG320" s="3"/>
      <c r="AH320" s="3"/>
    </row>
    <row r="321" spans="1:34" x14ac:dyDescent="0.25">
      <c r="A321" s="71">
        <f>SUM(B321:AF321)</f>
        <v>3322510.119974257</v>
      </c>
      <c r="B321" s="60">
        <f>IF($A$64&lt;=B285,IF($B$64&gt;=B285,ABS(B320),0),0)</f>
        <v>2917.153070345857</v>
      </c>
      <c r="C321" s="60">
        <f t="shared" ref="C321" si="303">IF($A$64&lt;=C285,IF($B$64&gt;=C285,ABS(C320),0),0)</f>
        <v>2910.0921769672827</v>
      </c>
      <c r="D321" s="60">
        <f t="shared" ref="D321" si="304">IF($A$64&lt;=D285,IF($B$64&gt;=D285,ABS(D320),0),0)</f>
        <v>2920.2022420328044</v>
      </c>
      <c r="E321" s="60">
        <f t="shared" ref="E321" si="305">IF($A$64&lt;=E285,IF($B$64&gt;=E285,ABS(E320),0),0)</f>
        <v>2981.1148958009812</v>
      </c>
      <c r="F321" s="60">
        <f t="shared" ref="F321" si="306">IF($A$64&lt;=F285,IF($B$64&gt;=F285,ABS(F320),0),0)</f>
        <v>3600.6118046074798</v>
      </c>
      <c r="G321" s="60">
        <f t="shared" ref="G321" si="307">IF($A$64&lt;=G285,IF($B$64&gt;=G285,ABS(G320),0),0)</f>
        <v>10990.344080620252</v>
      </c>
      <c r="H321" s="60">
        <f t="shared" ref="H321" si="308">IF($A$64&lt;=H285,IF($B$64&gt;=H285,ABS(H320),0),0)</f>
        <v>49551.732580270473</v>
      </c>
      <c r="I321" s="60">
        <f t="shared" ref="I321" si="309">IF($A$64&lt;=I285,IF($B$64&gt;=I285,ABS(I320),0),0)</f>
        <v>67673.650725711021</v>
      </c>
      <c r="J321" s="60">
        <f t="shared" ref="J321" si="310">IF($A$64&lt;=J285,IF($B$64&gt;=J285,ABS(J320),0),0)</f>
        <v>81608.590409962431</v>
      </c>
      <c r="K321" s="60">
        <f t="shared" ref="K321" si="311">IF($A$64&lt;=K285,IF($B$64&gt;=K285,ABS(K320),0),0)</f>
        <v>112598.82814815629</v>
      </c>
      <c r="L321" s="60">
        <f t="shared" ref="L321" si="312">IF($A$64&lt;=L285,IF($B$64&gt;=L285,ABS(L320),0),0)</f>
        <v>120044.83165911406</v>
      </c>
      <c r="M321" s="60">
        <f t="shared" ref="M321" si="313">IF($A$64&lt;=M285,IF($B$64&gt;=M285,ABS(M320),0),0)</f>
        <v>160827.15673635708</v>
      </c>
      <c r="N321" s="60">
        <f t="shared" ref="N321" si="314">IF($A$64&lt;=N285,IF($B$64&gt;=N285,ABS(N320),0),0)</f>
        <v>180683.87019308493</v>
      </c>
      <c r="O321" s="60">
        <f t="shared" ref="O321" si="315">IF($A$64&lt;=O285,IF($B$64&gt;=O285,ABS(O320),0),0)</f>
        <v>59687.187519114057</v>
      </c>
      <c r="P321" s="60">
        <f t="shared" ref="P321" si="316">IF($A$64&lt;=P285,IF($B$64&gt;=P285,ABS(P320),0),0)</f>
        <v>70848.426326800618</v>
      </c>
      <c r="Q321" s="60">
        <f t="shared" ref="Q321" si="317">IF($A$64&lt;=Q285,IF($B$64&gt;=Q285,ABS(Q320),0),0)</f>
        <v>610131.85151955695</v>
      </c>
      <c r="R321" s="60">
        <f t="shared" ref="R321" si="318">IF($A$64&lt;=R285,IF($B$64&gt;=R285,ABS(R320),0),0)</f>
        <v>836561.56959011406</v>
      </c>
      <c r="S321" s="60">
        <f t="shared" ref="S321" si="319">IF($A$64&lt;=S285,IF($B$64&gt;=S285,ABS(S320),0),0)</f>
        <v>302991.41404384677</v>
      </c>
      <c r="T321" s="60">
        <f t="shared" ref="T321" si="320">IF($A$64&lt;=T285,IF($B$64&gt;=T285,ABS(T320),0),0)</f>
        <v>2999.9521881156556</v>
      </c>
      <c r="U321" s="60">
        <f t="shared" ref="U321" si="321">IF($A$64&lt;=U285,IF($B$64&gt;=U285,ABS(U320),0),0)</f>
        <v>102776.32163672445</v>
      </c>
      <c r="V321" s="60">
        <f t="shared" ref="V321" si="322">IF($A$64&lt;=V285,IF($B$64&gt;=V285,ABS(V320),0),0)</f>
        <v>249176.62837905283</v>
      </c>
      <c r="W321" s="60">
        <f t="shared" ref="W321" si="323">IF($A$64&lt;=W285,IF($B$64&gt;=W285,ABS(W320),0),0)</f>
        <v>182156.90193061021</v>
      </c>
      <c r="X321" s="60">
        <f t="shared" ref="X321" si="324">IF($A$64&lt;=X285,IF($B$64&gt;=X285,ABS(X320),0),0)</f>
        <v>75343.81725445448</v>
      </c>
      <c r="Y321" s="60">
        <f t="shared" ref="Y321" si="325">IF($A$64&lt;=Y285,IF($B$64&gt;=Y285,ABS(Y320),0),0)</f>
        <v>23410.988934318055</v>
      </c>
      <c r="Z321" s="60">
        <f t="shared" ref="Z321" si="326">IF($A$64&lt;=Z285,IF($B$64&gt;=Z285,ABS(Z320),0),0)</f>
        <v>3014.7102809856719</v>
      </c>
      <c r="AA321" s="60">
        <f t="shared" ref="AA321" si="327">IF($A$64&lt;=AA285,IF($B$64&gt;=AA285,ABS(AA320),0),0)</f>
        <v>223.77093473052031</v>
      </c>
      <c r="AB321" s="60">
        <f t="shared" ref="AB321" si="328">IF($A$64&lt;=AB285,IF($B$64&gt;=AB285,ABS(AB320),0),0)</f>
        <v>57.97809449429365</v>
      </c>
      <c r="AC321" s="60">
        <f t="shared" ref="AC321" si="329">IF($A$64&lt;=AC285,IF($B$64&gt;=AC285,ABS(AC320),0),0)</f>
        <v>304.76807162788862</v>
      </c>
      <c r="AD321" s="60">
        <f t="shared" ref="AD321" si="330">IF($A$64&lt;=AD285,IF($B$64&gt;=AD285,ABS(AD320),0),0)</f>
        <v>1193.3554041333803</v>
      </c>
      <c r="AE321" s="60">
        <f t="shared" ref="AE321" si="331">IF($A$64&lt;=AE285,IF($B$64&gt;=AE285,ABS(AE320),0),0)</f>
        <v>1192.0994465622562</v>
      </c>
      <c r="AF321" s="60">
        <f t="shared" ref="AF321" si="332">IF($A$64&lt;=AF285,IF($B$64&gt;=AF285,ABS(AF320),0),0)</f>
        <v>1130.1996959841663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6996.1791990823695</v>
      </c>
      <c r="C326" s="27">
        <f t="shared" ref="C326:AF326" si="333">($C$17+SUM(C327:C357))*$B$51</f>
        <v>6832.9321282688124</v>
      </c>
      <c r="D326" s="27">
        <f t="shared" si="333"/>
        <v>6645.1342282281958</v>
      </c>
      <c r="E326" s="27">
        <f t="shared" si="333"/>
        <v>6431.5427605695686</v>
      </c>
      <c r="F326" s="27">
        <f t="shared" si="333"/>
        <v>6162.9053974626795</v>
      </c>
      <c r="G326" s="27">
        <f t="shared" si="333"/>
        <v>5649.0291857329803</v>
      </c>
      <c r="H326" s="27">
        <f t="shared" si="333"/>
        <v>4819.2141194549895</v>
      </c>
      <c r="I326" s="27">
        <f t="shared" si="333"/>
        <v>3985.3641822162976</v>
      </c>
      <c r="J326" s="27">
        <f t="shared" si="333"/>
        <v>3331.0383115980344</v>
      </c>
      <c r="K326" s="27">
        <f t="shared" si="333"/>
        <v>2829.4460936015403</v>
      </c>
      <c r="L326" s="27">
        <f t="shared" si="333"/>
        <v>2335.9204130621692</v>
      </c>
      <c r="M326" s="27">
        <f t="shared" si="333"/>
        <v>1865.9460591824231</v>
      </c>
      <c r="N326" s="27">
        <f t="shared" si="333"/>
        <v>1373.3570909885561</v>
      </c>
      <c r="O326" s="27">
        <f t="shared" si="333"/>
        <v>870.2864377018584</v>
      </c>
      <c r="P326" s="27">
        <f t="shared" si="333"/>
        <v>506.83286103024835</v>
      </c>
      <c r="Q326" s="27">
        <f t="shared" si="333"/>
        <v>280.05843984388429</v>
      </c>
      <c r="R326" s="27">
        <f t="shared" si="333"/>
        <v>158.30742340995329</v>
      </c>
      <c r="S326" s="27">
        <f t="shared" si="333"/>
        <v>112.75396603058107</v>
      </c>
      <c r="T326" s="27">
        <f t="shared" si="333"/>
        <v>99.287471329883317</v>
      </c>
      <c r="U326" s="27">
        <f t="shared" si="333"/>
        <v>70.112105217571596</v>
      </c>
      <c r="V326" s="27">
        <f t="shared" si="333"/>
        <v>56.683247977091895</v>
      </c>
      <c r="W326" s="27">
        <f t="shared" si="333"/>
        <v>56.683117976827191</v>
      </c>
      <c r="X326" s="27">
        <f t="shared" si="333"/>
        <v>56.683117976827191</v>
      </c>
      <c r="Y326" s="27">
        <f t="shared" si="333"/>
        <v>56.683117976827191</v>
      </c>
      <c r="Z326" s="27">
        <f t="shared" si="333"/>
        <v>56.683117976827191</v>
      </c>
      <c r="AA326" s="27">
        <f t="shared" si="333"/>
        <v>56.683117976827191</v>
      </c>
      <c r="AB326" s="27">
        <f t="shared" si="333"/>
        <v>56.683117976827191</v>
      </c>
      <c r="AC326" s="27">
        <f t="shared" si="333"/>
        <v>56.683117976827191</v>
      </c>
      <c r="AD326" s="27">
        <f t="shared" si="333"/>
        <v>56.683117976827191</v>
      </c>
      <c r="AE326" s="27">
        <f t="shared" si="333"/>
        <v>56.683117976827191</v>
      </c>
      <c r="AF326" s="27">
        <f t="shared" si="333"/>
        <v>56.683117976827191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2.1737921512006222E-66</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5.5846525314431813E-8</v>
      </c>
      <c r="C337" s="3">
        <f t="shared" si="344"/>
        <v>8.7316783410926782E-59</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5.0433377437286266E-3</v>
      </c>
      <c r="C338" s="3">
        <f t="shared" si="345"/>
        <v>1.317053298948896E-7</v>
      </c>
      <c r="D338" s="3">
        <f t="shared" si="345"/>
        <v>1.9429262883930629E-53</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2.4152800378386591E-2</v>
      </c>
      <c r="C339" s="3">
        <f t="shared" si="346"/>
        <v>9.322500556101284E-3</v>
      </c>
      <c r="D339" s="3">
        <f t="shared" si="346"/>
        <v>6.8419780689273782E-7</v>
      </c>
      <c r="E339" s="3">
        <f t="shared" si="346"/>
        <v>3.1022320200058378E-48</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2.5660172489850665E-2</v>
      </c>
      <c r="C340" s="3">
        <f t="shared" si="347"/>
        <v>2.3548556379092193E-2</v>
      </c>
      <c r="D340" s="3">
        <f t="shared" si="347"/>
        <v>9.977263843064299E-3</v>
      </c>
      <c r="E340" s="3">
        <f t="shared" si="347"/>
        <v>1.859872378175869E-6</v>
      </c>
      <c r="F340" s="3">
        <f t="shared" si="347"/>
        <v>9.4232349556986336E-44</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3.2666518943726672E-2</v>
      </c>
      <c r="C341" s="3">
        <f t="shared" si="348"/>
        <v>3.2414439194214044E-2</v>
      </c>
      <c r="D341" s="3">
        <f t="shared" si="348"/>
        <v>2.9998190876164985E-2</v>
      </c>
      <c r="E341" s="3">
        <f t="shared" si="348"/>
        <v>1.3824854959966633E-2</v>
      </c>
      <c r="F341" s="3">
        <f t="shared" si="348"/>
        <v>5.9746955357022133E-6</v>
      </c>
      <c r="G341" s="3">
        <f t="shared" si="348"/>
        <v>1.3578998232123659E-39</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3.3279494301307395E-2</v>
      </c>
      <c r="C342" s="3">
        <f t="shared" si="349"/>
        <v>3.3256246185506801E-2</v>
      </c>
      <c r="D342" s="3">
        <f t="shared" si="349"/>
        <v>3.3024656384444497E-2</v>
      </c>
      <c r="E342" s="3">
        <f t="shared" si="349"/>
        <v>3.0795631806565003E-2</v>
      </c>
      <c r="F342" s="3">
        <f t="shared" si="349"/>
        <v>1.5310776909472886E-2</v>
      </c>
      <c r="G342" s="3">
        <f t="shared" si="349"/>
        <v>1.4127923288864148E-5</v>
      </c>
      <c r="H342" s="3">
        <f t="shared" si="349"/>
        <v>6.3225070791254878E-36</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0.10755323648526154</v>
      </c>
      <c r="C343" s="3">
        <f t="shared" si="350"/>
        <v>0.10754645664963261</v>
      </c>
      <c r="D343" s="3">
        <f t="shared" si="350"/>
        <v>0.10747868179483405</v>
      </c>
      <c r="E343" s="3">
        <f t="shared" si="350"/>
        <v>0.10680327792354855</v>
      </c>
      <c r="F343" s="3">
        <f t="shared" si="350"/>
        <v>0.10027832904809886</v>
      </c>
      <c r="G343" s="3">
        <f t="shared" si="350"/>
        <v>5.3386586802440725E-2</v>
      </c>
      <c r="H343" s="3">
        <f t="shared" si="350"/>
        <v>9.7652378696081024E-5</v>
      </c>
      <c r="I343" s="3">
        <f t="shared" si="350"/>
        <v>4.0943930926220206E-32</v>
      </c>
      <c r="J343" s="3">
        <f t="shared" si="350"/>
        <v>6.8747455426760844E-306</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0.1335516785725917</v>
      </c>
      <c r="C344" s="3">
        <f t="shared" si="351"/>
        <v>0.13355091911403971</v>
      </c>
      <c r="D344" s="3">
        <f t="shared" si="351"/>
        <v>0.13354332476604736</v>
      </c>
      <c r="E344" s="3">
        <f t="shared" si="351"/>
        <v>0.13346740503388699</v>
      </c>
      <c r="F344" s="3">
        <f t="shared" si="351"/>
        <v>0.1327105774995275</v>
      </c>
      <c r="G344" s="3">
        <f t="shared" si="351"/>
        <v>0.12537436964745258</v>
      </c>
      <c r="H344" s="3">
        <f t="shared" si="351"/>
        <v>7.0997163359275001E-2</v>
      </c>
      <c r="I344" s="3">
        <f t="shared" si="351"/>
        <v>2.4074836341284113E-4</v>
      </c>
      <c r="J344" s="3">
        <f t="shared" si="351"/>
        <v>4.8393474831600358E-29</v>
      </c>
      <c r="K344" s="3">
        <f t="shared" si="351"/>
        <v>5.2122044655755712E-276</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0.10276652966226248</v>
      </c>
      <c r="C345" s="3">
        <f t="shared" si="352"/>
        <v>0.10276647694484445</v>
      </c>
      <c r="D345" s="3">
        <f t="shared" si="352"/>
        <v>0.10276594977215156</v>
      </c>
      <c r="E345" s="3">
        <f t="shared" si="352"/>
        <v>0.10276067819395673</v>
      </c>
      <c r="F345" s="3">
        <f t="shared" si="352"/>
        <v>0.10270797728258893</v>
      </c>
      <c r="G345" s="3">
        <f t="shared" si="352"/>
        <v>0.10218245240834253</v>
      </c>
      <c r="H345" s="3">
        <f t="shared" si="352"/>
        <v>9.7072848708213449E-2</v>
      </c>
      <c r="I345" s="3">
        <f t="shared" si="352"/>
        <v>5.8118219995273557E-2</v>
      </c>
      <c r="J345" s="3">
        <f t="shared" si="352"/>
        <v>3.4392013579907283E-4</v>
      </c>
      <c r="K345" s="3">
        <f t="shared" si="352"/>
        <v>1.8109672393691853E-26</v>
      </c>
      <c r="L345" s="3">
        <f t="shared" si="352"/>
        <v>2.9678400926482848E-249</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8.2308696677444226E-2</v>
      </c>
      <c r="C346" s="3">
        <f t="shared" si="353"/>
        <v>8.2308692868585581E-2</v>
      </c>
      <c r="D346" s="3">
        <f t="shared" si="353"/>
        <v>8.2308654780008622E-2</v>
      </c>
      <c r="E346" s="3">
        <f t="shared" si="353"/>
        <v>8.2308273895208575E-2</v>
      </c>
      <c r="F346" s="3">
        <f t="shared" si="353"/>
        <v>8.2304465144147021E-2</v>
      </c>
      <c r="G346" s="3">
        <f t="shared" si="353"/>
        <v>8.2266387325769741E-2</v>
      </c>
      <c r="H346" s="3">
        <f t="shared" si="353"/>
        <v>8.1886576708388031E-2</v>
      </c>
      <c r="I346" s="3">
        <f t="shared" si="353"/>
        <v>7.8183590826450433E-2</v>
      </c>
      <c r="J346" s="3">
        <f t="shared" si="353"/>
        <v>4.9220337227602391E-2</v>
      </c>
      <c r="K346" s="3">
        <f t="shared" si="353"/>
        <v>4.8132043992064595E-4</v>
      </c>
      <c r="L346" s="3">
        <f t="shared" si="353"/>
        <v>3.8488546073979227E-24</v>
      </c>
      <c r="M346" s="3">
        <f t="shared" si="353"/>
        <v>4.1143715939978068E-225</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3.7013792018615536E-2</v>
      </c>
      <c r="C347" s="3">
        <f t="shared" si="354"/>
        <v>3.701379186410457E-2</v>
      </c>
      <c r="D347" s="3">
        <f t="shared" si="354"/>
        <v>3.7013790318994925E-2</v>
      </c>
      <c r="E347" s="3">
        <f t="shared" si="354"/>
        <v>3.7013774867902041E-2</v>
      </c>
      <c r="F347" s="3">
        <f t="shared" si="354"/>
        <v>3.7013620357327921E-2</v>
      </c>
      <c r="G347" s="3">
        <f t="shared" si="354"/>
        <v>3.7012075287060762E-2</v>
      </c>
      <c r="H347" s="3">
        <f t="shared" si="354"/>
        <v>3.699662813124234E-2</v>
      </c>
      <c r="I347" s="3">
        <f t="shared" si="354"/>
        <v>3.6842510711161104E-2</v>
      </c>
      <c r="J347" s="3">
        <f t="shared" si="354"/>
        <v>3.5336209396150939E-2</v>
      </c>
      <c r="K347" s="3">
        <f t="shared" si="354"/>
        <v>2.3277019659185012E-2</v>
      </c>
      <c r="L347" s="3">
        <f t="shared" si="354"/>
        <v>3.5809768142748923E-4</v>
      </c>
      <c r="M347" s="3">
        <f t="shared" si="354"/>
        <v>2.6591501843708114E-22</v>
      </c>
      <c r="N347" s="3">
        <f t="shared" si="354"/>
        <v>1.3556776548988453E-203</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5.9919400795671499E-2</v>
      </c>
      <c r="C348" s="3">
        <f t="shared" si="355"/>
        <v>5.9919400726492218E-2</v>
      </c>
      <c r="D348" s="3">
        <f t="shared" si="355"/>
        <v>5.9919400034699387E-2</v>
      </c>
      <c r="E348" s="3">
        <f t="shared" si="355"/>
        <v>5.9919393116771573E-2</v>
      </c>
      <c r="F348" s="3">
        <f t="shared" si="355"/>
        <v>5.991932393753728E-2</v>
      </c>
      <c r="G348" s="3">
        <f t="shared" si="355"/>
        <v>5.9918632149587217E-2</v>
      </c>
      <c r="H348" s="3">
        <f t="shared" si="355"/>
        <v>5.9911714709351721E-2</v>
      </c>
      <c r="I348" s="3">
        <f t="shared" si="355"/>
        <v>5.9842584214751027E-2</v>
      </c>
      <c r="J348" s="3">
        <f t="shared" si="355"/>
        <v>5.9155651345463738E-2</v>
      </c>
      <c r="K348" s="3">
        <f t="shared" si="355"/>
        <v>5.2705416586003501E-2</v>
      </c>
      <c r="L348" s="3">
        <f t="shared" si="355"/>
        <v>1.6612896061059198E-2</v>
      </c>
      <c r="M348" s="3">
        <f t="shared" si="355"/>
        <v>1.6082232015621324E-7</v>
      </c>
      <c r="N348" s="3">
        <f t="shared" si="355"/>
        <v>1.1624012744138963E-57</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6.4670451983585495E-2</v>
      </c>
      <c r="C349" s="3">
        <f t="shared" si="356"/>
        <v>6.4670451976119023E-2</v>
      </c>
      <c r="D349" s="3">
        <f t="shared" si="356"/>
        <v>6.467045190145447E-2</v>
      </c>
      <c r="E349" s="3">
        <f t="shared" si="356"/>
        <v>6.4670451154808906E-2</v>
      </c>
      <c r="F349" s="3">
        <f t="shared" si="356"/>
        <v>6.4670443688353757E-2</v>
      </c>
      <c r="G349" s="3">
        <f t="shared" si="356"/>
        <v>6.4670369023849622E-2</v>
      </c>
      <c r="H349" s="3">
        <f t="shared" si="356"/>
        <v>6.4669622383549341E-2</v>
      </c>
      <c r="I349" s="3">
        <f t="shared" si="356"/>
        <v>6.4662156454641392E-2</v>
      </c>
      <c r="J349" s="3">
        <f t="shared" si="356"/>
        <v>6.4587544554792722E-2</v>
      </c>
      <c r="K349" s="3">
        <f t="shared" si="356"/>
        <v>6.3846144298045318E-2</v>
      </c>
      <c r="L349" s="3">
        <f t="shared" si="356"/>
        <v>5.6884465914964745E-2</v>
      </c>
      <c r="M349" s="3">
        <f t="shared" si="356"/>
        <v>1.7930144204289122E-2</v>
      </c>
      <c r="N349" s="3">
        <f t="shared" si="356"/>
        <v>1.7357403435686131E-7</v>
      </c>
      <c r="O349" s="3">
        <f t="shared" si="356"/>
        <v>1.2545688841299937E-57</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6.7576207998759893E-2</v>
      </c>
      <c r="C350" s="3">
        <f t="shared" si="357"/>
        <v>6.7576207997979712E-2</v>
      </c>
      <c r="D350" s="3">
        <f t="shared" si="357"/>
        <v>6.7576207990177772E-2</v>
      </c>
      <c r="E350" s="3">
        <f t="shared" si="357"/>
        <v>6.7576207912158404E-2</v>
      </c>
      <c r="F350" s="3">
        <f t="shared" si="357"/>
        <v>6.7576207131964758E-2</v>
      </c>
      <c r="G350" s="3">
        <f t="shared" si="357"/>
        <v>6.7576199330028772E-2</v>
      </c>
      <c r="H350" s="3">
        <f t="shared" si="357"/>
        <v>6.7576121310718454E-2</v>
      </c>
      <c r="I350" s="3">
        <f t="shared" si="357"/>
        <v>6.757534112256941E-2</v>
      </c>
      <c r="J350" s="3">
        <f t="shared" si="357"/>
        <v>6.7567539736475654E-2</v>
      </c>
      <c r="K350" s="3">
        <f t="shared" si="357"/>
        <v>6.7489575394049553E-2</v>
      </c>
      <c r="L350" s="3">
        <f t="shared" si="357"/>
        <v>6.6714862732810784E-2</v>
      </c>
      <c r="M350" s="3">
        <f t="shared" si="357"/>
        <v>5.9440384018026184E-2</v>
      </c>
      <c r="N350" s="3">
        <f t="shared" si="357"/>
        <v>1.8735776804070438E-2</v>
      </c>
      <c r="O350" s="3">
        <f t="shared" si="357"/>
        <v>1.8137301795455033E-7</v>
      </c>
      <c r="P350" s="3">
        <f t="shared" si="357"/>
        <v>1.31093884859936E-57</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7.4650772379495273E-2</v>
      </c>
      <c r="C351" s="3">
        <f t="shared" si="358"/>
        <v>7.4650772379409078E-2</v>
      </c>
      <c r="D351" s="3">
        <f t="shared" si="358"/>
        <v>7.4650772378547212E-2</v>
      </c>
      <c r="E351" s="3">
        <f t="shared" si="358"/>
        <v>7.4650772369928481E-2</v>
      </c>
      <c r="F351" s="3">
        <f t="shared" si="358"/>
        <v>7.4650772283741271E-2</v>
      </c>
      <c r="G351" s="3">
        <f t="shared" si="358"/>
        <v>7.4650771421869017E-2</v>
      </c>
      <c r="H351" s="3">
        <f t="shared" si="358"/>
        <v>7.4650762803147058E-2</v>
      </c>
      <c r="I351" s="3">
        <f t="shared" si="358"/>
        <v>7.465067661598225E-2</v>
      </c>
      <c r="J351" s="3">
        <f t="shared" si="358"/>
        <v>7.4649814749806975E-2</v>
      </c>
      <c r="K351" s="3">
        <f t="shared" si="358"/>
        <v>7.4641196635314086E-2</v>
      </c>
      <c r="L351" s="3">
        <f t="shared" si="358"/>
        <v>7.4555070192997772E-2</v>
      </c>
      <c r="M351" s="3">
        <f t="shared" si="358"/>
        <v>7.3699252735252227E-2</v>
      </c>
      <c r="N351" s="3">
        <f t="shared" si="358"/>
        <v>6.5663207641893234E-2</v>
      </c>
      <c r="O351" s="3">
        <f t="shared" si="358"/>
        <v>2.0697228373301763E-2</v>
      </c>
      <c r="P351" s="3">
        <f t="shared" si="358"/>
        <v>2.0036098917151553E-7</v>
      </c>
      <c r="Q351" s="3">
        <f t="shared" si="358"/>
        <v>1.448181253258711E-57</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4.24374260237513E-2</v>
      </c>
      <c r="C352" s="3">
        <f t="shared" si="359"/>
        <v>4.2437426023746408E-2</v>
      </c>
      <c r="D352" s="3">
        <f t="shared" si="359"/>
        <v>4.2437426023697405E-2</v>
      </c>
      <c r="E352" s="3">
        <f t="shared" si="359"/>
        <v>4.243742602320745E-2</v>
      </c>
      <c r="F352" s="3">
        <f t="shared" si="359"/>
        <v>4.2437426018307883E-2</v>
      </c>
      <c r="G352" s="3">
        <f t="shared" si="359"/>
        <v>4.2437425969312222E-2</v>
      </c>
      <c r="H352" s="3">
        <f t="shared" si="359"/>
        <v>4.2437425479355605E-2</v>
      </c>
      <c r="I352" s="3">
        <f t="shared" si="359"/>
        <v>4.2437420579789754E-2</v>
      </c>
      <c r="J352" s="3">
        <f t="shared" si="359"/>
        <v>4.2437371584162324E-2</v>
      </c>
      <c r="K352" s="3">
        <f t="shared" si="359"/>
        <v>4.2436881630999221E-2</v>
      </c>
      <c r="L352" s="3">
        <f t="shared" si="359"/>
        <v>4.243198241047412E-2</v>
      </c>
      <c r="M352" s="3">
        <f t="shared" si="359"/>
        <v>4.2383021302531299E-2</v>
      </c>
      <c r="N352" s="3">
        <f t="shared" si="359"/>
        <v>4.1896506710716E-2</v>
      </c>
      <c r="O352" s="3">
        <f t="shared" si="359"/>
        <v>3.732818064652936E-2</v>
      </c>
      <c r="P352" s="3">
        <f t="shared" si="359"/>
        <v>1.1765947892989735E-2</v>
      </c>
      <c r="Q352" s="3">
        <f t="shared" si="359"/>
        <v>1.1390109418809425E-7</v>
      </c>
      <c r="R352" s="3">
        <f t="shared" si="359"/>
        <v>8.2326120474305572E-58</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2.9362775672931007E-2</v>
      </c>
      <c r="C353" s="3">
        <f t="shared" si="360"/>
        <v>2.9362775672930667E-2</v>
      </c>
      <c r="D353" s="3">
        <f t="shared" si="360"/>
        <v>2.9362775672927281E-2</v>
      </c>
      <c r="E353" s="3">
        <f t="shared" si="360"/>
        <v>2.9362775672893377E-2</v>
      </c>
      <c r="F353" s="3">
        <f t="shared" si="360"/>
        <v>2.9362775672554374E-2</v>
      </c>
      <c r="G353" s="3">
        <f t="shared" si="360"/>
        <v>2.9362775669164325E-2</v>
      </c>
      <c r="H353" s="3">
        <f t="shared" si="360"/>
        <v>2.9362775635263856E-2</v>
      </c>
      <c r="I353" s="3">
        <f t="shared" si="360"/>
        <v>2.9362775296259171E-2</v>
      </c>
      <c r="J353" s="3">
        <f t="shared" si="360"/>
        <v>2.9362771906212545E-2</v>
      </c>
      <c r="K353" s="3">
        <f t="shared" si="360"/>
        <v>2.9362738005767771E-2</v>
      </c>
      <c r="L353" s="3">
        <f t="shared" si="360"/>
        <v>2.9362399003472713E-2</v>
      </c>
      <c r="M353" s="3">
        <f t="shared" si="360"/>
        <v>2.9359009195778669E-2</v>
      </c>
      <c r="N353" s="3">
        <f t="shared" si="360"/>
        <v>2.9325132635300694E-2</v>
      </c>
      <c r="O353" s="3">
        <f t="shared" si="360"/>
        <v>2.8988509513693726E-2</v>
      </c>
      <c r="P353" s="3">
        <f t="shared" si="360"/>
        <v>2.5827650197003778E-2</v>
      </c>
      <c r="Q353" s="3">
        <f t="shared" si="360"/>
        <v>8.140948236773143E-3</v>
      </c>
      <c r="R353" s="3">
        <f t="shared" si="360"/>
        <v>7.8809027570959214E-8</v>
      </c>
      <c r="S353" s="3">
        <f t="shared" si="360"/>
        <v>5.6962064715159111E-58</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1.3317924951321971E-2</v>
      </c>
      <c r="C354" s="3">
        <f t="shared" si="361"/>
        <v>1.3317924951321955E-2</v>
      </c>
      <c r="D354" s="3">
        <f t="shared" si="361"/>
        <v>1.3317924951321801E-2</v>
      </c>
      <c r="E354" s="3">
        <f t="shared" si="361"/>
        <v>1.3317924951320266E-2</v>
      </c>
      <c r="F354" s="3">
        <f t="shared" si="361"/>
        <v>1.3317924951304887E-2</v>
      </c>
      <c r="G354" s="3">
        <f t="shared" si="361"/>
        <v>1.3317924951151128E-2</v>
      </c>
      <c r="H354" s="3">
        <f t="shared" si="361"/>
        <v>1.331792494961352E-2</v>
      </c>
      <c r="I354" s="3">
        <f t="shared" si="361"/>
        <v>1.3317924934237458E-2</v>
      </c>
      <c r="J354" s="3">
        <f t="shared" si="361"/>
        <v>1.3317924780476826E-2</v>
      </c>
      <c r="K354" s="3">
        <f t="shared" si="361"/>
        <v>1.3317923242870603E-2</v>
      </c>
      <c r="L354" s="3">
        <f t="shared" si="361"/>
        <v>1.3317907866818137E-2</v>
      </c>
      <c r="M354" s="3">
        <f t="shared" si="361"/>
        <v>1.331775410726985E-2</v>
      </c>
      <c r="N354" s="3">
        <f t="shared" si="361"/>
        <v>1.3316216609419798E-2</v>
      </c>
      <c r="O354" s="3">
        <f t="shared" si="361"/>
        <v>1.330085139003182E-2</v>
      </c>
      <c r="P354" s="3">
        <f t="shared" si="361"/>
        <v>1.3148170951357412E-2</v>
      </c>
      <c r="Q354" s="3">
        <f t="shared" si="361"/>
        <v>1.1714516053391785E-2</v>
      </c>
      <c r="R354" s="3">
        <f t="shared" si="361"/>
        <v>3.692448522497564E-3</v>
      </c>
      <c r="S354" s="3">
        <f t="shared" si="361"/>
        <v>3.5745010157342825E-8</v>
      </c>
      <c r="T354" s="3">
        <f t="shared" si="361"/>
        <v>2.5835994232935813E-58</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4.0600750332731679E-3</v>
      </c>
      <c r="C355" s="3">
        <f t="shared" si="362"/>
        <v>4.060075033273167E-3</v>
      </c>
      <c r="D355" s="3">
        <f t="shared" si="362"/>
        <v>4.0600750332731627E-3</v>
      </c>
      <c r="E355" s="3">
        <f t="shared" si="362"/>
        <v>4.0600750332731158E-3</v>
      </c>
      <c r="F355" s="3">
        <f t="shared" si="362"/>
        <v>4.0600750332726475E-3</v>
      </c>
      <c r="G355" s="3">
        <f t="shared" si="362"/>
        <v>4.0600750332679594E-3</v>
      </c>
      <c r="H355" s="3">
        <f t="shared" si="362"/>
        <v>4.0600750332210845E-3</v>
      </c>
      <c r="I355" s="3">
        <f t="shared" si="362"/>
        <v>4.0600750327523328E-3</v>
      </c>
      <c r="J355" s="3">
        <f t="shared" si="362"/>
        <v>4.0600750280648185E-3</v>
      </c>
      <c r="K355" s="3">
        <f t="shared" si="362"/>
        <v>4.0600749811896698E-3</v>
      </c>
      <c r="L355" s="3">
        <f t="shared" si="362"/>
        <v>4.0600745124382198E-3</v>
      </c>
      <c r="M355" s="3">
        <f t="shared" si="362"/>
        <v>4.0600698249266924E-3</v>
      </c>
      <c r="N355" s="3">
        <f t="shared" si="362"/>
        <v>4.0600229501090756E-3</v>
      </c>
      <c r="O355" s="3">
        <f t="shared" si="362"/>
        <v>4.0595542316970469E-3</v>
      </c>
      <c r="P355" s="3">
        <f t="shared" si="362"/>
        <v>4.0548700227196035E-3</v>
      </c>
      <c r="Q355" s="3">
        <f t="shared" si="362"/>
        <v>4.0083241802256024E-3</v>
      </c>
      <c r="R355" s="3">
        <f t="shared" si="362"/>
        <v>3.57126311562017E-3</v>
      </c>
      <c r="S355" s="3">
        <f t="shared" si="362"/>
        <v>1.1256722133991788E-3</v>
      </c>
      <c r="T355" s="3">
        <f t="shared" si="362"/>
        <v>1.0897149806323068E-8</v>
      </c>
      <c r="U355" s="3">
        <f t="shared" si="362"/>
        <v>7.8763077227372406E-59</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6.6069827735831333E-3</v>
      </c>
      <c r="C357" s="3">
        <f t="shared" si="364"/>
        <v>6.6069827735831333E-3</v>
      </c>
      <c r="D357" s="3">
        <f t="shared" si="364"/>
        <v>6.6069827735831333E-3</v>
      </c>
      <c r="E357" s="3">
        <f t="shared" si="364"/>
        <v>6.6069827735831324E-3</v>
      </c>
      <c r="F357" s="3">
        <f t="shared" si="364"/>
        <v>6.6069827735831246E-3</v>
      </c>
      <c r="G357" s="3">
        <f t="shared" si="364"/>
        <v>6.6069827735830483E-3</v>
      </c>
      <c r="H357" s="3">
        <f t="shared" si="364"/>
        <v>6.6069827735822859E-3</v>
      </c>
      <c r="I357" s="3">
        <f t="shared" si="364"/>
        <v>6.6069827735746574E-3</v>
      </c>
      <c r="J357" s="3">
        <f t="shared" si="364"/>
        <v>6.6069827734983773E-3</v>
      </c>
      <c r="K357" s="3">
        <f t="shared" si="364"/>
        <v>6.6069827727355751E-3</v>
      </c>
      <c r="L357" s="3">
        <f t="shared" si="364"/>
        <v>6.6069827651075563E-3</v>
      </c>
      <c r="M357" s="3">
        <f t="shared" si="364"/>
        <v>6.6069826888273658E-3</v>
      </c>
      <c r="N357" s="3">
        <f t="shared" si="364"/>
        <v>6.6069819260255137E-3</v>
      </c>
      <c r="O357" s="3">
        <f t="shared" si="364"/>
        <v>6.6069742980118303E-3</v>
      </c>
      <c r="P357" s="3">
        <f t="shared" si="364"/>
        <v>6.6068980183593678E-3</v>
      </c>
      <c r="Q357" s="3">
        <f t="shared" si="364"/>
        <v>6.6061352702700936E-3</v>
      </c>
      <c r="R357" s="3">
        <f t="shared" si="364"/>
        <v>6.5985126308439257E-3</v>
      </c>
      <c r="S357" s="3">
        <f t="shared" si="364"/>
        <v>6.5227683214359646E-3</v>
      </c>
      <c r="T357" s="3">
        <f t="shared" si="364"/>
        <v>5.8115364104030266E-3</v>
      </c>
      <c r="U357" s="3">
        <f t="shared" si="364"/>
        <v>1.8318126787508508E-3</v>
      </c>
      <c r="V357" s="3">
        <f t="shared" si="364"/>
        <v>1.7732992730798925E-8</v>
      </c>
      <c r="W357" s="3">
        <f t="shared" si="364"/>
        <v>1.2817159539441328E-58</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0.26943908747799333</v>
      </c>
      <c r="B358" s="80">
        <f>IF($A$64&lt;=B324,IF($B$64&gt;=B324,ABS((B326-B325)/B325),0),0)</f>
        <v>6.2322101436336728E-2</v>
      </c>
      <c r="C358" s="80">
        <f t="shared" ref="C358:AF358" si="365">IF($A$64&lt;=C324,IF($B$64&gt;=C324,ABS((C326-C325)/C325),0),0)</f>
        <v>7.8705327466969108E-2</v>
      </c>
      <c r="D358" s="80">
        <f t="shared" si="365"/>
        <v>8.9775113926068267E-2</v>
      </c>
      <c r="E358" s="80">
        <f t="shared" si="365"/>
        <v>0.1040627026251331</v>
      </c>
      <c r="F358" s="80">
        <f t="shared" si="365"/>
        <v>0.11104735247349244</v>
      </c>
      <c r="G358" s="80">
        <f t="shared" si="365"/>
        <v>7.4504830561713614E-2</v>
      </c>
      <c r="H358" s="80">
        <f t="shared" si="365"/>
        <v>2.5121886265303355E-2</v>
      </c>
      <c r="I358" s="80">
        <f t="shared" si="365"/>
        <v>0.12855190092915261</v>
      </c>
      <c r="J358" s="80">
        <f t="shared" si="365"/>
        <v>0.18342374067471109</v>
      </c>
      <c r="K358" s="80">
        <f t="shared" si="365"/>
        <v>0.18206366182226585</v>
      </c>
      <c r="L358" s="80">
        <f t="shared" si="365"/>
        <v>0.13577717551085955</v>
      </c>
      <c r="M358" s="80">
        <f t="shared" si="365"/>
        <v>1.8445087905567321E-2</v>
      </c>
      <c r="N358" s="80">
        <f t="shared" si="365"/>
        <v>0.24269982122930767</v>
      </c>
      <c r="O358" s="80">
        <f t="shared" si="365"/>
        <v>0.37939554954633659</v>
      </c>
      <c r="P358" s="80">
        <f t="shared" si="365"/>
        <v>0.43056986734989272</v>
      </c>
      <c r="Q358" s="80">
        <f t="shared" si="365"/>
        <v>0.1282510483446361</v>
      </c>
      <c r="R358" s="80">
        <f t="shared" si="365"/>
        <v>0.26222721390416798</v>
      </c>
      <c r="S358" s="80">
        <f t="shared" si="365"/>
        <v>0.39290126907337602</v>
      </c>
      <c r="T358" s="80">
        <f t="shared" si="365"/>
        <v>0.37198217728129601</v>
      </c>
      <c r="U358" s="80">
        <f t="shared" si="365"/>
        <v>0.47070851740814085</v>
      </c>
      <c r="V358" s="80">
        <f t="shared" si="365"/>
        <v>0.50984578716913487</v>
      </c>
      <c r="W358" s="80">
        <f t="shared" si="365"/>
        <v>0.46375334639366123</v>
      </c>
      <c r="X358" s="80">
        <f t="shared" si="365"/>
        <v>0.43185673885101239</v>
      </c>
      <c r="Y358" s="80">
        <f t="shared" si="365"/>
        <v>0.41054159325472372</v>
      </c>
      <c r="Z358" s="80">
        <f t="shared" si="365"/>
        <v>0.39610676112373377</v>
      </c>
      <c r="AA358" s="80">
        <f t="shared" si="365"/>
        <v>0.38642120338879726</v>
      </c>
      <c r="AB358" s="80">
        <f t="shared" si="365"/>
        <v>0.38472541292876694</v>
      </c>
      <c r="AC358" s="80">
        <f t="shared" si="365"/>
        <v>0.37769853959362737</v>
      </c>
      <c r="AD358" s="80">
        <f t="shared" si="365"/>
        <v>0.37633191285824136</v>
      </c>
      <c r="AE358" s="80">
        <f t="shared" si="365"/>
        <v>0.37221255309371126</v>
      </c>
      <c r="AF358" s="80">
        <f t="shared" si="365"/>
        <v>0.37058151742765766</v>
      </c>
    </row>
    <row r="359" spans="1:34" x14ac:dyDescent="0.25">
      <c r="B359" s="21">
        <f>(B326-B325)^2</f>
        <v>168458.757656929</v>
      </c>
      <c r="C359" s="21">
        <f t="shared" ref="C359:AF359" si="366">(C326-C325)^2</f>
        <v>248551.7509761028</v>
      </c>
      <c r="D359" s="21">
        <f t="shared" si="366"/>
        <v>299671.65982957813</v>
      </c>
      <c r="E359" s="21">
        <f t="shared" si="366"/>
        <v>367479.44081366918</v>
      </c>
      <c r="F359" s="21">
        <f t="shared" si="366"/>
        <v>379421.80209572066</v>
      </c>
      <c r="G359" s="21">
        <f t="shared" si="366"/>
        <v>153426.28004330097</v>
      </c>
      <c r="H359" s="21">
        <f t="shared" si="366"/>
        <v>15422.553817961611</v>
      </c>
      <c r="I359" s="21">
        <f t="shared" si="366"/>
        <v>345628.84414984012</v>
      </c>
      <c r="J359" s="21">
        <f t="shared" si="366"/>
        <v>559856.65990375599</v>
      </c>
      <c r="K359" s="21">
        <f t="shared" si="366"/>
        <v>396652.67678872601</v>
      </c>
      <c r="L359" s="21">
        <f t="shared" si="366"/>
        <v>134684.66793229856</v>
      </c>
      <c r="M359" s="21">
        <f t="shared" si="366"/>
        <v>1142.0480929365822</v>
      </c>
      <c r="N359" s="21">
        <f t="shared" si="366"/>
        <v>71940.48967571136</v>
      </c>
      <c r="O359" s="21">
        <f t="shared" si="366"/>
        <v>57296.917046758892</v>
      </c>
      <c r="P359" s="21">
        <f t="shared" si="366"/>
        <v>23270.12147523876</v>
      </c>
      <c r="Q359" s="21">
        <f t="shared" si="366"/>
        <v>1013.4625063300938</v>
      </c>
      <c r="R359" s="21">
        <f t="shared" si="366"/>
        <v>3166.013914182754</v>
      </c>
      <c r="S359" s="21">
        <f t="shared" si="366"/>
        <v>5324.9050320293509</v>
      </c>
      <c r="T359" s="21">
        <f t="shared" si="366"/>
        <v>3458.5115208412485</v>
      </c>
      <c r="U359" s="21">
        <f t="shared" si="366"/>
        <v>3887.7677989891872</v>
      </c>
      <c r="V359" s="21">
        <f t="shared" si="366"/>
        <v>3476.335199799169</v>
      </c>
      <c r="W359" s="21">
        <f t="shared" si="366"/>
        <v>2402.9923373034644</v>
      </c>
      <c r="X359" s="21">
        <f t="shared" si="366"/>
        <v>1856.3982281270758</v>
      </c>
      <c r="Y359" s="21">
        <f t="shared" si="366"/>
        <v>1558.5310468373325</v>
      </c>
      <c r="Z359" s="21">
        <f t="shared" si="366"/>
        <v>1382.3297003717485</v>
      </c>
      <c r="AA359" s="21">
        <f t="shared" si="366"/>
        <v>1274.3498545656828</v>
      </c>
      <c r="AB359" s="21">
        <f t="shared" si="366"/>
        <v>1256.2360633293861</v>
      </c>
      <c r="AC359" s="21">
        <f t="shared" si="366"/>
        <v>1183.5767732518384</v>
      </c>
      <c r="AD359" s="21">
        <f t="shared" si="366"/>
        <v>1169.8832288982476</v>
      </c>
      <c r="AE359" s="21">
        <f t="shared" si="366"/>
        <v>1129.4427969664443</v>
      </c>
      <c r="AF359" s="21">
        <f t="shared" si="366"/>
        <v>1113.7712173494581</v>
      </c>
      <c r="AG359" s="3"/>
      <c r="AH359" s="3"/>
    </row>
    <row r="360" spans="1:34" x14ac:dyDescent="0.25">
      <c r="A360" s="71">
        <f>SUM(B360:AF360)</f>
        <v>3257559.1775177005</v>
      </c>
      <c r="B360" s="60">
        <f>IF($A$64&lt;=B324,IF($B$64&gt;=B324,ABS(B359),0),0)</f>
        <v>168458.757656929</v>
      </c>
      <c r="C360" s="60">
        <f t="shared" ref="C360:AF360" si="367">IF($A$64&lt;=C324,IF($B$64&gt;=C324,ABS(C359),0),0)</f>
        <v>248551.7509761028</v>
      </c>
      <c r="D360" s="60">
        <f t="shared" si="367"/>
        <v>299671.65982957813</v>
      </c>
      <c r="E360" s="60">
        <f t="shared" si="367"/>
        <v>367479.44081366918</v>
      </c>
      <c r="F360" s="60">
        <f t="shared" si="367"/>
        <v>379421.80209572066</v>
      </c>
      <c r="G360" s="60">
        <f t="shared" si="367"/>
        <v>153426.28004330097</v>
      </c>
      <c r="H360" s="60">
        <f t="shared" si="367"/>
        <v>15422.553817961611</v>
      </c>
      <c r="I360" s="60">
        <f t="shared" si="367"/>
        <v>345628.84414984012</v>
      </c>
      <c r="J360" s="60">
        <f t="shared" si="367"/>
        <v>559856.65990375599</v>
      </c>
      <c r="K360" s="60">
        <f t="shared" si="367"/>
        <v>396652.67678872601</v>
      </c>
      <c r="L360" s="60">
        <f t="shared" si="367"/>
        <v>134684.66793229856</v>
      </c>
      <c r="M360" s="60">
        <f t="shared" si="367"/>
        <v>1142.0480929365822</v>
      </c>
      <c r="N360" s="60">
        <f t="shared" si="367"/>
        <v>71940.48967571136</v>
      </c>
      <c r="O360" s="60">
        <f t="shared" si="367"/>
        <v>57296.917046758892</v>
      </c>
      <c r="P360" s="60">
        <f t="shared" si="367"/>
        <v>23270.12147523876</v>
      </c>
      <c r="Q360" s="60">
        <f t="shared" si="367"/>
        <v>1013.4625063300938</v>
      </c>
      <c r="R360" s="60">
        <f t="shared" si="367"/>
        <v>3166.013914182754</v>
      </c>
      <c r="S360" s="60">
        <f t="shared" si="367"/>
        <v>5324.9050320293509</v>
      </c>
      <c r="T360" s="60">
        <f t="shared" si="367"/>
        <v>3458.5115208412485</v>
      </c>
      <c r="U360" s="60">
        <f t="shared" si="367"/>
        <v>3887.7677989891872</v>
      </c>
      <c r="V360" s="60">
        <f t="shared" si="367"/>
        <v>3476.335199799169</v>
      </c>
      <c r="W360" s="60">
        <f t="shared" si="367"/>
        <v>2402.9923373034644</v>
      </c>
      <c r="X360" s="60">
        <f t="shared" si="367"/>
        <v>1856.3982281270758</v>
      </c>
      <c r="Y360" s="60">
        <f t="shared" si="367"/>
        <v>1558.5310468373325</v>
      </c>
      <c r="Z360" s="60">
        <f t="shared" si="367"/>
        <v>1382.3297003717485</v>
      </c>
      <c r="AA360" s="60">
        <f t="shared" si="367"/>
        <v>1274.3498545656828</v>
      </c>
      <c r="AB360" s="60">
        <f t="shared" si="367"/>
        <v>1256.2360633293861</v>
      </c>
      <c r="AC360" s="60">
        <f t="shared" si="367"/>
        <v>1183.5767732518384</v>
      </c>
      <c r="AD360" s="60">
        <f t="shared" si="367"/>
        <v>1169.8832288982476</v>
      </c>
      <c r="AE360" s="60">
        <f t="shared" si="367"/>
        <v>1129.4427969664443</v>
      </c>
      <c r="AF360" s="60">
        <f t="shared" si="367"/>
        <v>1113.7712173494581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6706.9504417858871</v>
      </c>
      <c r="C365" s="27">
        <f t="shared" ref="C365:AF365" si="368">($C$17+SUM(C366:C396))*$B$51</f>
        <v>6505.8746232753047</v>
      </c>
      <c r="D365" s="27">
        <f t="shared" si="368"/>
        <v>6256.5964839488852</v>
      </c>
      <c r="E365" s="27">
        <f t="shared" si="368"/>
        <v>5867.3721097613197</v>
      </c>
      <c r="F365" s="27">
        <f t="shared" si="368"/>
        <v>5081.7924094274658</v>
      </c>
      <c r="G365" s="27">
        <f t="shared" si="368"/>
        <v>4204.1799646036734</v>
      </c>
      <c r="H365" s="27">
        <f t="shared" si="368"/>
        <v>3505.6853507224955</v>
      </c>
      <c r="I365" s="27">
        <f t="shared" si="368"/>
        <v>2960.1541734367843</v>
      </c>
      <c r="J365" s="27">
        <f t="shared" si="368"/>
        <v>2518.0733646955568</v>
      </c>
      <c r="K365" s="27">
        <f t="shared" si="368"/>
        <v>2031.5231536501888</v>
      </c>
      <c r="L365" s="27">
        <f t="shared" si="368"/>
        <v>1546.4049687771542</v>
      </c>
      <c r="M365" s="27">
        <f t="shared" si="368"/>
        <v>1042.0763587882</v>
      </c>
      <c r="N365" s="27">
        <f t="shared" si="368"/>
        <v>607.38241399053788</v>
      </c>
      <c r="O365" s="27">
        <f t="shared" si="368"/>
        <v>345.98467910840174</v>
      </c>
      <c r="P365" s="27">
        <f t="shared" si="368"/>
        <v>187.43189796065749</v>
      </c>
      <c r="Q365" s="27">
        <f t="shared" si="368"/>
        <v>121.46690099381662</v>
      </c>
      <c r="R365" s="27">
        <f t="shared" si="368"/>
        <v>102.38863858749622</v>
      </c>
      <c r="S365" s="27">
        <f t="shared" si="368"/>
        <v>83.349083534477245</v>
      </c>
      <c r="T365" s="27">
        <f t="shared" si="368"/>
        <v>56.80702181592941</v>
      </c>
      <c r="U365" s="27">
        <f t="shared" si="368"/>
        <v>56.683117976827191</v>
      </c>
      <c r="V365" s="27">
        <f t="shared" si="368"/>
        <v>56.683117976827191</v>
      </c>
      <c r="W365" s="27">
        <f t="shared" si="368"/>
        <v>56.683117976827191</v>
      </c>
      <c r="X365" s="27">
        <f t="shared" si="368"/>
        <v>56.683117976827191</v>
      </c>
      <c r="Y365" s="27">
        <f t="shared" si="368"/>
        <v>56.683117976827191</v>
      </c>
      <c r="Z365" s="27">
        <f t="shared" si="368"/>
        <v>56.683117976827191</v>
      </c>
      <c r="AA365" s="27">
        <f t="shared" si="368"/>
        <v>56.683117976827191</v>
      </c>
      <c r="AB365" s="27">
        <f t="shared" si="368"/>
        <v>56.683117976827191</v>
      </c>
      <c r="AC365" s="27">
        <f t="shared" si="368"/>
        <v>56.683117976827191</v>
      </c>
      <c r="AD365" s="27">
        <f t="shared" si="368"/>
        <v>56.683117976827191</v>
      </c>
      <c r="AE365" s="27">
        <f t="shared" si="368"/>
        <v>56.683117976827191</v>
      </c>
      <c r="AF365" s="27">
        <f t="shared" si="368"/>
        <v>56.683117976827191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5.5813090728544782E-265</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3.304886562543563E-26</v>
      </c>
      <c r="C377" s="3">
        <f t="shared" si="380"/>
        <v>1.9230403301510394E-239</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1.9571196454392062E-4</v>
      </c>
      <c r="C378" s="3">
        <f t="shared" si="381"/>
        <v>1.1377091795765647E-23</v>
      </c>
      <c r="D378" s="3">
        <f t="shared" si="381"/>
        <v>5.0138359540036077E-216</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1.661890451747236E-2</v>
      </c>
      <c r="C379" s="3">
        <f t="shared" si="382"/>
        <v>3.0576832942254251E-4</v>
      </c>
      <c r="D379" s="3">
        <f t="shared" si="382"/>
        <v>1.3592319637336859E-21</v>
      </c>
      <c r="E379" s="3">
        <f t="shared" si="382"/>
        <v>4.0954757879581784E-195</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3.1411191464726984E-2</v>
      </c>
      <c r="C380" s="3">
        <f t="shared" si="383"/>
        <v>2.1905543966133048E-2</v>
      </c>
      <c r="D380" s="3">
        <f t="shared" si="383"/>
        <v>5.9600563235182903E-4</v>
      </c>
      <c r="E380" s="3">
        <f t="shared" si="383"/>
        <v>1.3249929913671292E-19</v>
      </c>
      <c r="F380" s="3">
        <f t="shared" si="383"/>
        <v>3.9070210619178692E-176</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3.3162060924863741E-2</v>
      </c>
      <c r="C381" s="3">
        <f t="shared" si="384"/>
        <v>3.2101192907877288E-2</v>
      </c>
      <c r="D381" s="3">
        <f t="shared" si="384"/>
        <v>2.3190908244813378E-2</v>
      </c>
      <c r="E381" s="3">
        <f t="shared" si="384"/>
        <v>8.980150581077435E-4</v>
      </c>
      <c r="F381" s="3">
        <f t="shared" si="384"/>
        <v>6.8067881435912118E-18</v>
      </c>
      <c r="G381" s="3">
        <f t="shared" si="384"/>
        <v>4.2611652836671952E-159</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0.10751894525721398</v>
      </c>
      <c r="C382" s="3">
        <f t="shared" si="385"/>
        <v>0.10720405752495243</v>
      </c>
      <c r="D382" s="3">
        <f t="shared" si="385"/>
        <v>0.10410545832489432</v>
      </c>
      <c r="E382" s="3">
        <f t="shared" si="385"/>
        <v>7.7641921379562023E-2</v>
      </c>
      <c r="F382" s="3">
        <f t="shared" si="385"/>
        <v>4.1335577668423617E-3</v>
      </c>
      <c r="G382" s="3">
        <f t="shared" si="385"/>
        <v>7.5613855405838511E-16</v>
      </c>
      <c r="H382" s="3">
        <f t="shared" si="385"/>
        <v>3.1723061567230811E-143</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0.133547836916423</v>
      </c>
      <c r="C383" s="3">
        <f t="shared" si="386"/>
        <v>0.13351250774319368</v>
      </c>
      <c r="D383" s="3">
        <f t="shared" si="386"/>
        <v>0.13315972963826844</v>
      </c>
      <c r="E383" s="3">
        <f t="shared" si="386"/>
        <v>0.12968281205437138</v>
      </c>
      <c r="F383" s="3">
        <f t="shared" si="386"/>
        <v>9.9535399603952801E-2</v>
      </c>
      <c r="G383" s="3">
        <f t="shared" si="386"/>
        <v>7.0620211774540731E-3</v>
      </c>
      <c r="H383" s="3">
        <f t="shared" si="386"/>
        <v>2.2826720855248633E-14</v>
      </c>
      <c r="I383" s="3">
        <f t="shared" si="386"/>
        <v>2.8417682082758454E-129</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0.10276626299290992</v>
      </c>
      <c r="C384" s="3">
        <f t="shared" si="387"/>
        <v>0.10276381028382575</v>
      </c>
      <c r="D384" s="3">
        <f t="shared" si="387"/>
        <v>0.10273928641237053</v>
      </c>
      <c r="E384" s="3">
        <f t="shared" si="387"/>
        <v>0.10249436935234377</v>
      </c>
      <c r="F384" s="3">
        <f t="shared" si="387"/>
        <v>0.10007708196070222</v>
      </c>
      <c r="G384" s="3">
        <f t="shared" si="387"/>
        <v>7.882807034718825E-2</v>
      </c>
      <c r="H384" s="3">
        <f t="shared" si="387"/>
        <v>7.246753899236338E-3</v>
      </c>
      <c r="I384" s="3">
        <f t="shared" si="387"/>
        <v>3.1244219967647139E-13</v>
      </c>
      <c r="J384" s="3">
        <f t="shared" si="387"/>
        <v>6.9347598316247104E-117</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8.2308677410437736E-2</v>
      </c>
      <c r="C385" s="3">
        <f t="shared" si="388"/>
        <v>8.2308500198732426E-2</v>
      </c>
      <c r="D385" s="3">
        <f t="shared" si="388"/>
        <v>8.2306728102663818E-2</v>
      </c>
      <c r="E385" s="3">
        <f t="shared" si="388"/>
        <v>8.2289009240262806E-2</v>
      </c>
      <c r="F385" s="3">
        <f t="shared" si="388"/>
        <v>8.2112030277695577E-2</v>
      </c>
      <c r="G385" s="3">
        <f t="shared" si="388"/>
        <v>8.0363040734190413E-2</v>
      </c>
      <c r="H385" s="3">
        <f t="shared" si="388"/>
        <v>6.4796577277299358E-2</v>
      </c>
      <c r="I385" s="3">
        <f t="shared" si="388"/>
        <v>7.5250452395798388E-3</v>
      </c>
      <c r="J385" s="3">
        <f t="shared" si="388"/>
        <v>3.3579916195820486E-12</v>
      </c>
      <c r="K385" s="3">
        <f t="shared" si="388"/>
        <v>1.0514400983314655E-105</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3.7013791237026E-2</v>
      </c>
      <c r="C386" s="3">
        <f t="shared" si="389"/>
        <v>3.7013784048209979E-2</v>
      </c>
      <c r="D386" s="3">
        <f t="shared" si="389"/>
        <v>3.7013712160126576E-2</v>
      </c>
      <c r="E386" s="3">
        <f t="shared" si="389"/>
        <v>3.7012993286971635E-2</v>
      </c>
      <c r="F386" s="3">
        <f t="shared" si="389"/>
        <v>3.7005805323277331E-2</v>
      </c>
      <c r="G386" s="3">
        <f t="shared" si="389"/>
        <v>3.6934002416693951E-2</v>
      </c>
      <c r="H386" s="3">
        <f t="shared" si="389"/>
        <v>3.6223591532617505E-2</v>
      </c>
      <c r="I386" s="3">
        <f t="shared" si="389"/>
        <v>2.9829285786159978E-2</v>
      </c>
      <c r="J386" s="3">
        <f t="shared" si="389"/>
        <v>4.2771681617545234E-3</v>
      </c>
      <c r="K386" s="3">
        <f t="shared" si="389"/>
        <v>1.5714154871620465E-11</v>
      </c>
      <c r="L386" s="3">
        <f t="shared" si="389"/>
        <v>7.0410603328587151E-96</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5.9919400445729971E-2</v>
      </c>
      <c r="C387" s="3">
        <f t="shared" si="390"/>
        <v>5.9919397227077044E-2</v>
      </c>
      <c r="D387" s="3">
        <f t="shared" si="390"/>
        <v>5.991936504055722E-2</v>
      </c>
      <c r="E387" s="3">
        <f t="shared" si="390"/>
        <v>5.9919043176309895E-2</v>
      </c>
      <c r="F387" s="3">
        <f t="shared" si="390"/>
        <v>5.9915824628926521E-2</v>
      </c>
      <c r="G387" s="3">
        <f t="shared" si="390"/>
        <v>5.9883648662183805E-2</v>
      </c>
      <c r="H387" s="3">
        <f t="shared" si="390"/>
        <v>5.9562837817030624E-2</v>
      </c>
      <c r="I387" s="3">
        <f t="shared" si="390"/>
        <v>5.6447752592315104E-2</v>
      </c>
      <c r="J387" s="3">
        <f t="shared" si="390"/>
        <v>3.2988259370218015E-2</v>
      </c>
      <c r="K387" s="3">
        <f t="shared" si="390"/>
        <v>1.5328047928484082E-4</v>
      </c>
      <c r="L387" s="3">
        <f t="shared" si="390"/>
        <v>7.1905372649350915E-28</v>
      </c>
      <c r="M387" s="3">
        <f t="shared" si="390"/>
        <v>3.7111307686010113E-261</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6.4670451945816623E-2</v>
      </c>
      <c r="C388" s="3">
        <f t="shared" si="391"/>
        <v>6.4670451598430392E-2</v>
      </c>
      <c r="D388" s="3">
        <f t="shared" si="391"/>
        <v>6.4670448124568222E-2</v>
      </c>
      <c r="E388" s="3">
        <f t="shared" si="391"/>
        <v>6.4670413385956749E-2</v>
      </c>
      <c r="F388" s="3">
        <f t="shared" si="391"/>
        <v>6.467006600086822E-2</v>
      </c>
      <c r="G388" s="3">
        <f t="shared" si="391"/>
        <v>6.4666592252612648E-2</v>
      </c>
      <c r="H388" s="3">
        <f t="shared" si="391"/>
        <v>6.4631865030971763E-2</v>
      </c>
      <c r="I388" s="3">
        <f t="shared" si="391"/>
        <v>6.4285616869618395E-2</v>
      </c>
      <c r="J388" s="3">
        <f t="shared" si="391"/>
        <v>6.0923534359590428E-2</v>
      </c>
      <c r="K388" s="3">
        <f t="shared" si="391"/>
        <v>3.5603921518713763E-2</v>
      </c>
      <c r="L388" s="3">
        <f t="shared" si="391"/>
        <v>1.6543419565008199E-4</v>
      </c>
      <c r="M388" s="3">
        <f t="shared" si="391"/>
        <v>7.7606799917811358E-28</v>
      </c>
      <c r="N388" s="3">
        <f t="shared" si="391"/>
        <v>4.0053889218005451E-261</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6.7576207994813314E-2</v>
      </c>
      <c r="C389" s="3">
        <f t="shared" si="392"/>
        <v>6.7576207958513823E-2</v>
      </c>
      <c r="D389" s="3">
        <f t="shared" si="392"/>
        <v>6.7576207595518925E-2</v>
      </c>
      <c r="E389" s="3">
        <f t="shared" si="392"/>
        <v>6.7576203965570084E-2</v>
      </c>
      <c r="F389" s="3">
        <f t="shared" si="392"/>
        <v>6.7576167666092299E-2</v>
      </c>
      <c r="G389" s="3">
        <f t="shared" si="392"/>
        <v>6.7575804672386872E-2</v>
      </c>
      <c r="H389" s="3">
        <f t="shared" si="392"/>
        <v>6.7572174842573537E-2</v>
      </c>
      <c r="I389" s="3">
        <f t="shared" si="392"/>
        <v>6.7535887266395908E-2</v>
      </c>
      <c r="J389" s="3">
        <f t="shared" si="392"/>
        <v>6.7174081572251812E-2</v>
      </c>
      <c r="K389" s="3">
        <f t="shared" si="392"/>
        <v>6.3660934840856054E-2</v>
      </c>
      <c r="L389" s="3">
        <f t="shared" si="392"/>
        <v>3.7203667707518512E-2</v>
      </c>
      <c r="M389" s="3">
        <f t="shared" si="392"/>
        <v>1.7286744212126342E-4</v>
      </c>
      <c r="N389" s="3">
        <f t="shared" si="392"/>
        <v>8.1093808570175609E-28</v>
      </c>
      <c r="O389" s="3">
        <f t="shared" si="392"/>
        <v>4.1853580204000726E-261</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7.4650772379059302E-2</v>
      </c>
      <c r="C390" s="3">
        <f t="shared" si="393"/>
        <v>7.4650772375049329E-2</v>
      </c>
      <c r="D390" s="3">
        <f t="shared" si="393"/>
        <v>7.4650772334949642E-2</v>
      </c>
      <c r="E390" s="3">
        <f t="shared" si="393"/>
        <v>7.4650771933952753E-2</v>
      </c>
      <c r="F390" s="3">
        <f t="shared" si="393"/>
        <v>7.4650767923983952E-2</v>
      </c>
      <c r="G390" s="3">
        <f t="shared" si="393"/>
        <v>7.4650727824307844E-2</v>
      </c>
      <c r="H390" s="3">
        <f t="shared" si="393"/>
        <v>7.465032682873142E-2</v>
      </c>
      <c r="I390" s="3">
        <f t="shared" si="393"/>
        <v>7.4646316991435202E-2</v>
      </c>
      <c r="J390" s="3">
        <f t="shared" si="393"/>
        <v>7.4606230462911927E-2</v>
      </c>
      <c r="K390" s="3">
        <f t="shared" si="393"/>
        <v>7.4206547270868645E-2</v>
      </c>
      <c r="L390" s="3">
        <f t="shared" si="393"/>
        <v>7.0325608627704442E-2</v>
      </c>
      <c r="M390" s="3">
        <f t="shared" si="393"/>
        <v>4.1098525826783645E-2</v>
      </c>
      <c r="N390" s="3">
        <f t="shared" si="393"/>
        <v>1.9096496319891056E-4</v>
      </c>
      <c r="O390" s="3">
        <f t="shared" si="393"/>
        <v>8.9583532788087851E-28</v>
      </c>
      <c r="P390" s="3">
        <f t="shared" si="393"/>
        <v>4.6235238430802992E-261</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4.2437426023726521E-2</v>
      </c>
      <c r="C391" s="3">
        <f t="shared" si="394"/>
        <v>4.2437426023498565E-2</v>
      </c>
      <c r="D391" s="3">
        <f t="shared" si="394"/>
        <v>4.2437426021218978E-2</v>
      </c>
      <c r="E391" s="3">
        <f t="shared" si="394"/>
        <v>4.243742599842313E-2</v>
      </c>
      <c r="F391" s="3">
        <f t="shared" si="394"/>
        <v>4.2437425770464658E-2</v>
      </c>
      <c r="G391" s="3">
        <f t="shared" si="394"/>
        <v>4.2437423490880019E-2</v>
      </c>
      <c r="H391" s="3">
        <f t="shared" si="394"/>
        <v>4.2437400695040345E-2</v>
      </c>
      <c r="I391" s="3">
        <f t="shared" si="394"/>
        <v>4.2437172737317098E-2</v>
      </c>
      <c r="J391" s="3">
        <f t="shared" si="394"/>
        <v>4.2434893227431249E-2</v>
      </c>
      <c r="K391" s="3">
        <f t="shared" si="394"/>
        <v>4.2412104861892216E-2</v>
      </c>
      <c r="L391" s="3">
        <f t="shared" si="394"/>
        <v>4.21848932021247E-2</v>
      </c>
      <c r="M391" s="3">
        <f t="shared" si="394"/>
        <v>3.9978659544759113E-2</v>
      </c>
      <c r="N391" s="3">
        <f t="shared" si="394"/>
        <v>2.3363665155301562E-2</v>
      </c>
      <c r="O391" s="3">
        <f t="shared" si="394"/>
        <v>1.0855964701454593E-4</v>
      </c>
      <c r="P391" s="3">
        <f t="shared" si="394"/>
        <v>5.0926392647540382E-28</v>
      </c>
      <c r="Q391" s="3">
        <f t="shared" si="394"/>
        <v>2.6283780435962959E-261</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2.9362775672929289E-2</v>
      </c>
      <c r="C392" s="3">
        <f t="shared" si="395"/>
        <v>2.9362775672913521E-2</v>
      </c>
      <c r="D392" s="3">
        <f t="shared" si="395"/>
        <v>2.9362775672755796E-2</v>
      </c>
      <c r="E392" s="3">
        <f t="shared" si="395"/>
        <v>2.9362775671178534E-2</v>
      </c>
      <c r="F392" s="3">
        <f t="shared" si="395"/>
        <v>2.9362775655405914E-2</v>
      </c>
      <c r="G392" s="3">
        <f t="shared" si="395"/>
        <v>2.9362775497679725E-2</v>
      </c>
      <c r="H392" s="3">
        <f t="shared" si="395"/>
        <v>2.9362773920417893E-2</v>
      </c>
      <c r="I392" s="3">
        <f t="shared" si="395"/>
        <v>2.9362758147804202E-2</v>
      </c>
      <c r="J392" s="3">
        <f t="shared" si="395"/>
        <v>2.936260042213331E-2</v>
      </c>
      <c r="K392" s="3">
        <f t="shared" si="395"/>
        <v>2.9361023212022001E-2</v>
      </c>
      <c r="L392" s="3">
        <f t="shared" si="395"/>
        <v>2.9345255769743554E-2</v>
      </c>
      <c r="M392" s="3">
        <f t="shared" si="395"/>
        <v>2.9188046305807316E-2</v>
      </c>
      <c r="N392" s="3">
        <f t="shared" si="395"/>
        <v>2.7661536570578831E-2</v>
      </c>
      <c r="O392" s="3">
        <f t="shared" si="395"/>
        <v>1.6165496429228179E-2</v>
      </c>
      <c r="P392" s="3">
        <f t="shared" si="395"/>
        <v>7.5113239917911422E-5</v>
      </c>
      <c r="Q392" s="3">
        <f t="shared" si="395"/>
        <v>3.5236355812541618E-28</v>
      </c>
      <c r="R392" s="3">
        <f t="shared" si="395"/>
        <v>1.8185946252861902E-261</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1.3317924951321893E-2</v>
      </c>
      <c r="C393" s="3">
        <f t="shared" si="396"/>
        <v>1.3317924951321176E-2</v>
      </c>
      <c r="D393" s="3">
        <f t="shared" si="396"/>
        <v>1.3317924951314024E-2</v>
      </c>
      <c r="E393" s="3">
        <f t="shared" si="396"/>
        <v>1.3317924951242486E-2</v>
      </c>
      <c r="F393" s="3">
        <f t="shared" si="396"/>
        <v>1.3317924950527095E-2</v>
      </c>
      <c r="G393" s="3">
        <f t="shared" si="396"/>
        <v>1.3317924943373189E-2</v>
      </c>
      <c r="H393" s="3">
        <f t="shared" si="396"/>
        <v>1.3317924871834122E-2</v>
      </c>
      <c r="I393" s="3">
        <f t="shared" si="396"/>
        <v>1.3317924156443487E-2</v>
      </c>
      <c r="J393" s="3">
        <f t="shared" si="396"/>
        <v>1.3317917002539247E-2</v>
      </c>
      <c r="K393" s="3">
        <f t="shared" si="396"/>
        <v>1.3317845463708204E-2</v>
      </c>
      <c r="L393" s="3">
        <f t="shared" si="396"/>
        <v>1.3317130096532809E-2</v>
      </c>
      <c r="M393" s="3">
        <f t="shared" si="396"/>
        <v>1.330997853786282E-2</v>
      </c>
      <c r="N393" s="3">
        <f t="shared" si="396"/>
        <v>1.3238673840184989E-2</v>
      </c>
      <c r="O393" s="3">
        <f t="shared" si="396"/>
        <v>1.2546302576729227E-2</v>
      </c>
      <c r="P393" s="3">
        <f t="shared" si="396"/>
        <v>7.3321020683952756E-3</v>
      </c>
      <c r="Q393" s="3">
        <f t="shared" si="396"/>
        <v>3.4068730532161205E-5</v>
      </c>
      <c r="R393" s="3">
        <f t="shared" si="396"/>
        <v>1.5981974847906576E-28</v>
      </c>
      <c r="S393" s="3">
        <f t="shared" si="396"/>
        <v>8.2485072277301203E-262</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4.0600750332731653E-3</v>
      </c>
      <c r="C394" s="3">
        <f t="shared" si="397"/>
        <v>4.0600750332731436E-3</v>
      </c>
      <c r="D394" s="3">
        <f t="shared" si="397"/>
        <v>4.060075033272925E-3</v>
      </c>
      <c r="E394" s="3">
        <f t="shared" si="397"/>
        <v>4.0600750332707445E-3</v>
      </c>
      <c r="F394" s="3">
        <f t="shared" si="397"/>
        <v>4.0600750332489355E-3</v>
      </c>
      <c r="G394" s="3">
        <f t="shared" si="397"/>
        <v>4.0600750330308435E-3</v>
      </c>
      <c r="H394" s="3">
        <f t="shared" si="397"/>
        <v>4.0600750308499179E-3</v>
      </c>
      <c r="I394" s="3">
        <f t="shared" si="397"/>
        <v>4.0600750090406664E-3</v>
      </c>
      <c r="J394" s="3">
        <f t="shared" si="397"/>
        <v>4.060074790948158E-3</v>
      </c>
      <c r="K394" s="3">
        <f t="shared" si="397"/>
        <v>4.0600726100237195E-3</v>
      </c>
      <c r="L394" s="3">
        <f t="shared" si="397"/>
        <v>4.0600508008437688E-3</v>
      </c>
      <c r="M394" s="3">
        <f t="shared" si="397"/>
        <v>4.0598327154874499E-3</v>
      </c>
      <c r="N394" s="3">
        <f t="shared" si="397"/>
        <v>4.0576525061146581E-3</v>
      </c>
      <c r="O394" s="3">
        <f t="shared" si="397"/>
        <v>4.0359147035774756E-3</v>
      </c>
      <c r="P394" s="3">
        <f t="shared" si="397"/>
        <v>3.8248398333715506E-3</v>
      </c>
      <c r="Q394" s="3">
        <f t="shared" si="397"/>
        <v>2.2352494595148831E-3</v>
      </c>
      <c r="R394" s="3">
        <f t="shared" si="397"/>
        <v>1.0386122669598676E-5</v>
      </c>
      <c r="S394" s="3">
        <f t="shared" si="397"/>
        <v>4.8722317703062489E-29</v>
      </c>
      <c r="T394" s="3">
        <f t="shared" si="397"/>
        <v>2.5146228394804155E-262</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6.6069827735831333E-3</v>
      </c>
      <c r="C396" s="3">
        <f t="shared" si="399"/>
        <v>6.6069827735831324E-3</v>
      </c>
      <c r="D396" s="3">
        <f t="shared" si="399"/>
        <v>6.6069827735831298E-3</v>
      </c>
      <c r="E396" s="3">
        <f t="shared" si="399"/>
        <v>6.6069827735830934E-3</v>
      </c>
      <c r="F396" s="3">
        <f t="shared" si="399"/>
        <v>6.6069827735827386E-3</v>
      </c>
      <c r="G396" s="3">
        <f t="shared" si="399"/>
        <v>6.6069827735791902E-3</v>
      </c>
      <c r="H396" s="3">
        <f t="shared" si="399"/>
        <v>6.6069827735436995E-3</v>
      </c>
      <c r="I396" s="3">
        <f t="shared" si="399"/>
        <v>6.6069827731887968E-3</v>
      </c>
      <c r="J396" s="3">
        <f t="shared" si="399"/>
        <v>6.6069827696397651E-3</v>
      </c>
      <c r="K396" s="3">
        <f t="shared" si="399"/>
        <v>6.6069827341494478E-3</v>
      </c>
      <c r="L396" s="3">
        <f t="shared" si="399"/>
        <v>6.6069823792462914E-3</v>
      </c>
      <c r="M396" s="3">
        <f t="shared" si="399"/>
        <v>6.6069788302157749E-3</v>
      </c>
      <c r="N396" s="3">
        <f t="shared" si="399"/>
        <v>6.6069433400154564E-3</v>
      </c>
      <c r="O396" s="3">
        <f t="shared" si="399"/>
        <v>6.6065884484973036E-3</v>
      </c>
      <c r="P396" s="3">
        <f t="shared" si="399"/>
        <v>6.6030405816104136E-3</v>
      </c>
      <c r="Q396" s="3">
        <f t="shared" si="399"/>
        <v>6.5676665341552034E-3</v>
      </c>
      <c r="R396" s="3">
        <f t="shared" si="399"/>
        <v>6.2241832192021385E-3</v>
      </c>
      <c r="S396" s="3">
        <f t="shared" si="399"/>
        <v>3.6374339273651081E-3</v>
      </c>
      <c r="T396" s="3">
        <f t="shared" si="399"/>
        <v>1.6901395417571536E-5</v>
      </c>
      <c r="U396" s="3">
        <f t="shared" si="399"/>
        <v>7.9286099669360462E-29</v>
      </c>
      <c r="V396" s="3">
        <f t="shared" si="399"/>
        <v>4.0920597886369135E-262</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0.30855820185161248</v>
      </c>
      <c r="B397" s="80">
        <f>IF($A$64&lt;=B363,IF($B$64&gt;=B363,ABS((B365-B364)/B364),0),0)</f>
        <v>8.8098709289938321E-2</v>
      </c>
      <c r="C397" s="80">
        <f t="shared" ref="C397:AF397" si="400">IF($A$64&lt;=C363,IF($B$64&gt;=C363,ABS((C365-C364)/C364),0),0)</f>
        <v>0.11363541542473776</v>
      </c>
      <c r="D397" s="80">
        <f t="shared" si="400"/>
        <v>0.12577724184847958</v>
      </c>
      <c r="E397" s="80">
        <f t="shared" si="400"/>
        <v>0.11219655323972695</v>
      </c>
      <c r="F397" s="80">
        <f t="shared" si="400"/>
        <v>2.3234181862025052E-2</v>
      </c>
      <c r="G397" s="80">
        <f t="shared" si="400"/>
        <v>9.02043470151042E-2</v>
      </c>
      <c r="H397" s="80">
        <f t="shared" si="400"/>
        <v>0.15636999771905263</v>
      </c>
      <c r="I397" s="80">
        <f t="shared" si="400"/>
        <v>0.17007485618242582</v>
      </c>
      <c r="J397" s="80">
        <f t="shared" si="400"/>
        <v>0.11675828436088159</v>
      </c>
      <c r="K397" s="80">
        <f t="shared" si="400"/>
        <v>1.4462144963797569E-2</v>
      </c>
      <c r="L397" s="80">
        <f t="shared" si="400"/>
        <v>0.24057129167091984</v>
      </c>
      <c r="M397" s="80">
        <f t="shared" si="400"/>
        <v>0.44407172461810984</v>
      </c>
      <c r="N397" s="80">
        <f t="shared" si="400"/>
        <v>0.5007237309990733</v>
      </c>
      <c r="O397" s="80">
        <f t="shared" si="400"/>
        <v>0.30524891000374071</v>
      </c>
      <c r="P397" s="80">
        <f t="shared" si="400"/>
        <v>0.16474474830647462</v>
      </c>
      <c r="Q397" s="80">
        <f t="shared" si="400"/>
        <v>0.40013970743832072</v>
      </c>
      <c r="R397" s="80">
        <f t="shared" si="400"/>
        <v>0.46065176829871574</v>
      </c>
      <c r="S397" s="80">
        <f t="shared" si="400"/>
        <v>0.50931550554247396</v>
      </c>
      <c r="T397" s="80">
        <f t="shared" si="400"/>
        <v>0.60077615664375661</v>
      </c>
      <c r="U397" s="80">
        <f t="shared" si="400"/>
        <v>0.53430095420743107</v>
      </c>
      <c r="V397" s="80">
        <f t="shared" si="400"/>
        <v>0.48128861551657115</v>
      </c>
      <c r="W397" s="80">
        <f t="shared" si="400"/>
        <v>0.44386848753279962</v>
      </c>
      <c r="X397" s="80">
        <f t="shared" si="400"/>
        <v>0.41864237522594627</v>
      </c>
      <c r="Y397" s="80">
        <f t="shared" si="400"/>
        <v>0.40152692394801992</v>
      </c>
      <c r="Z397" s="80">
        <f t="shared" si="400"/>
        <v>0.39004145372388249</v>
      </c>
      <c r="AA397" s="80">
        <f t="shared" si="400"/>
        <v>0.38392059039034354</v>
      </c>
      <c r="AB397" s="80">
        <f t="shared" si="400"/>
        <v>0.38228967132956104</v>
      </c>
      <c r="AC397" s="80">
        <f t="shared" si="400"/>
        <v>0.375802369452996</v>
      </c>
      <c r="AD397" s="80">
        <f t="shared" si="400"/>
        <v>0.37569833811681436</v>
      </c>
      <c r="AE397" s="80">
        <f t="shared" si="400"/>
        <v>0.37128798341976771</v>
      </c>
      <c r="AF397" s="80">
        <f t="shared" si="400"/>
        <v>0.36958121910809705</v>
      </c>
    </row>
    <row r="398" spans="1:34" x14ac:dyDescent="0.25">
      <c r="B398" s="21">
        <f>(B365-B364)^2</f>
        <v>294885.00956103997</v>
      </c>
      <c r="C398" s="21">
        <f t="shared" ref="C398:AF398" si="401">(C365-C364)^2</f>
        <v>440709.81183314032</v>
      </c>
      <c r="D398" s="21">
        <f t="shared" si="401"/>
        <v>488624.7896911907</v>
      </c>
      <c r="E398" s="21">
        <f t="shared" si="401"/>
        <v>350334.74002429406</v>
      </c>
      <c r="F398" s="21">
        <f t="shared" si="401"/>
        <v>13314.919035920175</v>
      </c>
      <c r="G398" s="21">
        <f t="shared" si="401"/>
        <v>173752.00131875995</v>
      </c>
      <c r="H398" s="21">
        <f t="shared" si="401"/>
        <v>422229.618391703</v>
      </c>
      <c r="I398" s="21">
        <f t="shared" si="401"/>
        <v>367985.78448826511</v>
      </c>
      <c r="J398" s="21">
        <f t="shared" si="401"/>
        <v>110803.38366131471</v>
      </c>
      <c r="K398" s="21">
        <f t="shared" si="401"/>
        <v>838.75917165724343</v>
      </c>
      <c r="L398" s="21">
        <f t="shared" si="401"/>
        <v>89927.106396452247</v>
      </c>
      <c r="M398" s="21">
        <f t="shared" si="401"/>
        <v>102689.91637546064</v>
      </c>
      <c r="N398" s="21">
        <f t="shared" si="401"/>
        <v>41069.486758081752</v>
      </c>
      <c r="O398" s="21">
        <f t="shared" si="401"/>
        <v>6546.8938710083676</v>
      </c>
      <c r="P398" s="21">
        <f t="shared" si="401"/>
        <v>1366.6954049285339</v>
      </c>
      <c r="Q398" s="21">
        <f t="shared" si="401"/>
        <v>6565.0641383417023</v>
      </c>
      <c r="R398" s="21">
        <f t="shared" si="401"/>
        <v>7647.3418383642429</v>
      </c>
      <c r="S398" s="21">
        <f t="shared" si="401"/>
        <v>7484.6377315833042</v>
      </c>
      <c r="T398" s="21">
        <f t="shared" si="401"/>
        <v>7307.9653018055851</v>
      </c>
      <c r="U398" s="21">
        <f t="shared" si="401"/>
        <v>4229.3016958012058</v>
      </c>
      <c r="V398" s="21">
        <f t="shared" si="401"/>
        <v>2766.0949338872474</v>
      </c>
      <c r="W398" s="21">
        <f t="shared" si="401"/>
        <v>2046.7324764925618</v>
      </c>
      <c r="X398" s="21">
        <f t="shared" si="401"/>
        <v>1666.1231125510631</v>
      </c>
      <c r="Y398" s="21">
        <f t="shared" si="401"/>
        <v>1446.263986742202</v>
      </c>
      <c r="Z398" s="21">
        <f t="shared" si="401"/>
        <v>1313.797268345292</v>
      </c>
      <c r="AA398" s="21">
        <f t="shared" si="401"/>
        <v>1247.7192750996549</v>
      </c>
      <c r="AB398" s="21">
        <f t="shared" si="401"/>
        <v>1230.6168734774556</v>
      </c>
      <c r="AC398" s="21">
        <f t="shared" si="401"/>
        <v>1164.6146786852921</v>
      </c>
      <c r="AD398" s="21">
        <f t="shared" si="401"/>
        <v>1163.5820929293011</v>
      </c>
      <c r="AE398" s="21">
        <f t="shared" si="401"/>
        <v>1120.5357790494872</v>
      </c>
      <c r="AF398" s="21">
        <f t="shared" si="401"/>
        <v>1104.2539587415629</v>
      </c>
      <c r="AG398" s="3"/>
      <c r="AH398" s="3"/>
    </row>
    <row r="399" spans="1:34" x14ac:dyDescent="0.25">
      <c r="A399" s="71">
        <f>SUM(B399:AF399)</f>
        <v>2954583.5611251141</v>
      </c>
      <c r="B399" s="60">
        <f>IF($A$64&lt;=B363,IF($B$64&gt;=B363,ABS(B398),0),0)</f>
        <v>294885.00956103997</v>
      </c>
      <c r="C399" s="60">
        <f t="shared" ref="C399" si="402">IF($A$64&lt;=C363,IF($B$64&gt;=C363,ABS(C398),0),0)</f>
        <v>440709.81183314032</v>
      </c>
      <c r="D399" s="60">
        <f t="shared" ref="D399" si="403">IF($A$64&lt;=D363,IF($B$64&gt;=D363,ABS(D398),0),0)</f>
        <v>488624.7896911907</v>
      </c>
      <c r="E399" s="60">
        <f t="shared" ref="E399" si="404">IF($A$64&lt;=E363,IF($B$64&gt;=E363,ABS(E398),0),0)</f>
        <v>350334.74002429406</v>
      </c>
      <c r="F399" s="60">
        <f t="shared" ref="F399" si="405">IF($A$64&lt;=F363,IF($B$64&gt;=F363,ABS(F398),0),0)</f>
        <v>13314.919035920175</v>
      </c>
      <c r="G399" s="60">
        <f t="shared" ref="G399" si="406">IF($A$64&lt;=G363,IF($B$64&gt;=G363,ABS(G398),0),0)</f>
        <v>173752.00131875995</v>
      </c>
      <c r="H399" s="60">
        <f t="shared" ref="H399" si="407">IF($A$64&lt;=H363,IF($B$64&gt;=H363,ABS(H398),0),0)</f>
        <v>422229.618391703</v>
      </c>
      <c r="I399" s="60">
        <f t="shared" ref="I399" si="408">IF($A$64&lt;=I363,IF($B$64&gt;=I363,ABS(I398),0),0)</f>
        <v>367985.78448826511</v>
      </c>
      <c r="J399" s="60">
        <f t="shared" ref="J399" si="409">IF($A$64&lt;=J363,IF($B$64&gt;=J363,ABS(J398),0),0)</f>
        <v>110803.38366131471</v>
      </c>
      <c r="K399" s="60">
        <f t="shared" ref="K399" si="410">IF($A$64&lt;=K363,IF($B$64&gt;=K363,ABS(K398),0),0)</f>
        <v>838.75917165724343</v>
      </c>
      <c r="L399" s="60">
        <f t="shared" ref="L399" si="411">IF($A$64&lt;=L363,IF($B$64&gt;=L363,ABS(L398),0),0)</f>
        <v>89927.106396452247</v>
      </c>
      <c r="M399" s="60">
        <f t="shared" ref="M399" si="412">IF($A$64&lt;=M363,IF($B$64&gt;=M363,ABS(M398),0),0)</f>
        <v>102689.91637546064</v>
      </c>
      <c r="N399" s="60">
        <f t="shared" ref="N399" si="413">IF($A$64&lt;=N363,IF($B$64&gt;=N363,ABS(N398),0),0)</f>
        <v>41069.486758081752</v>
      </c>
      <c r="O399" s="60">
        <f t="shared" ref="O399" si="414">IF($A$64&lt;=O363,IF($B$64&gt;=O363,ABS(O398),0),0)</f>
        <v>6546.8938710083676</v>
      </c>
      <c r="P399" s="60">
        <f t="shared" ref="P399" si="415">IF($A$64&lt;=P363,IF($B$64&gt;=P363,ABS(P398),0),0)</f>
        <v>1366.6954049285339</v>
      </c>
      <c r="Q399" s="60">
        <f t="shared" ref="Q399" si="416">IF($A$64&lt;=Q363,IF($B$64&gt;=Q363,ABS(Q398),0),0)</f>
        <v>6565.0641383417023</v>
      </c>
      <c r="R399" s="60">
        <f t="shared" ref="R399" si="417">IF($A$64&lt;=R363,IF($B$64&gt;=R363,ABS(R398),0),0)</f>
        <v>7647.3418383642429</v>
      </c>
      <c r="S399" s="60">
        <f t="shared" ref="S399" si="418">IF($A$64&lt;=S363,IF($B$64&gt;=S363,ABS(S398),0),0)</f>
        <v>7484.6377315833042</v>
      </c>
      <c r="T399" s="60">
        <f t="shared" ref="T399" si="419">IF($A$64&lt;=T363,IF($B$64&gt;=T363,ABS(T398),0),0)</f>
        <v>7307.9653018055851</v>
      </c>
      <c r="U399" s="60">
        <f t="shared" ref="U399" si="420">IF($A$64&lt;=U363,IF($B$64&gt;=U363,ABS(U398),0),0)</f>
        <v>4229.3016958012058</v>
      </c>
      <c r="V399" s="60">
        <f t="shared" ref="V399" si="421">IF($A$64&lt;=V363,IF($B$64&gt;=V363,ABS(V398),0),0)</f>
        <v>2766.0949338872474</v>
      </c>
      <c r="W399" s="60">
        <f t="shared" ref="W399" si="422">IF($A$64&lt;=W363,IF($B$64&gt;=W363,ABS(W398),0),0)</f>
        <v>2046.7324764925618</v>
      </c>
      <c r="X399" s="60">
        <f t="shared" ref="X399" si="423">IF($A$64&lt;=X363,IF($B$64&gt;=X363,ABS(X398),0),0)</f>
        <v>1666.1231125510631</v>
      </c>
      <c r="Y399" s="60">
        <f t="shared" ref="Y399" si="424">IF($A$64&lt;=Y363,IF($B$64&gt;=Y363,ABS(Y398),0),0)</f>
        <v>1446.263986742202</v>
      </c>
      <c r="Z399" s="60">
        <f t="shared" ref="Z399" si="425">IF($A$64&lt;=Z363,IF($B$64&gt;=Z363,ABS(Z398),0),0)</f>
        <v>1313.797268345292</v>
      </c>
      <c r="AA399" s="60">
        <f t="shared" ref="AA399" si="426">IF($A$64&lt;=AA363,IF($B$64&gt;=AA363,ABS(AA398),0),0)</f>
        <v>1247.7192750996549</v>
      </c>
      <c r="AB399" s="60">
        <f t="shared" ref="AB399" si="427">IF($A$64&lt;=AB363,IF($B$64&gt;=AB363,ABS(AB398),0),0)</f>
        <v>1230.6168734774556</v>
      </c>
      <c r="AC399" s="60">
        <f t="shared" ref="AC399" si="428">IF($A$64&lt;=AC363,IF($B$64&gt;=AC363,ABS(AC398),0),0)</f>
        <v>1164.6146786852921</v>
      </c>
      <c r="AD399" s="60">
        <f t="shared" ref="AD399" si="429">IF($A$64&lt;=AD363,IF($B$64&gt;=AD363,ABS(AD398),0),0)</f>
        <v>1163.5820929293011</v>
      </c>
      <c r="AE399" s="60">
        <f t="shared" ref="AE399" si="430">IF($A$64&lt;=AE363,IF($B$64&gt;=AE363,ABS(AE398),0),0)</f>
        <v>1120.5357790494872</v>
      </c>
      <c r="AF399" s="60">
        <f t="shared" ref="AF399" si="431">IF($A$64&lt;=AF363,IF($B$64&gt;=AF363,ABS(AF398),0),0)</f>
        <v>1104.2539587415629</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-11.767742998078067</v>
      </c>
      <c r="C403" s="107">
        <f t="shared" ref="C403:H403" si="432">IF(C125=$B$2,0,C126)</f>
        <v>-7.8587380955255552</v>
      </c>
      <c r="D403" s="107">
        <f t="shared" si="432"/>
        <v>-4.6620536661082976</v>
      </c>
      <c r="E403" s="107">
        <f t="shared" si="432"/>
        <v>0</v>
      </c>
      <c r="F403" s="107">
        <f t="shared" si="432"/>
        <v>9.1725755939683662</v>
      </c>
      <c r="G403" s="107">
        <f t="shared" si="432"/>
        <v>27.880082733000094</v>
      </c>
      <c r="H403" s="107">
        <f t="shared" si="432"/>
        <v>31.720099532500878</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7.7505790746703311E-21</v>
      </c>
      <c r="C404" s="3">
        <f t="shared" ref="C404:H419" si="433">$A404/EXP(-C$403)</f>
        <v>3.8636111469951679E-19</v>
      </c>
      <c r="D404" s="3">
        <f t="shared" si="433"/>
        <v>9.4470413976651035E-18</v>
      </c>
      <c r="E404" s="3">
        <f t="shared" si="433"/>
        <v>1.0000000000000001E-15</v>
      </c>
      <c r="F404" s="3">
        <f t="shared" si="433"/>
        <v>9.6293941878230282E-12</v>
      </c>
      <c r="G404" s="3">
        <f t="shared" si="433"/>
        <v>1.2828210743125582E-3</v>
      </c>
      <c r="H404" s="3">
        <f t="shared" si="433"/>
        <v>5.9684861771211795E-2</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7.7505790746703311E-20</v>
      </c>
      <c r="C405" s="3">
        <f t="shared" si="433"/>
        <v>3.8636111469951678E-18</v>
      </c>
      <c r="D405" s="3">
        <f t="shared" si="433"/>
        <v>9.4470413976651025E-17</v>
      </c>
      <c r="E405" s="3">
        <f t="shared" si="433"/>
        <v>1E-14</v>
      </c>
      <c r="F405" s="3">
        <f t="shared" si="433"/>
        <v>9.6293941878230275E-11</v>
      </c>
      <c r="G405" s="3">
        <f t="shared" si="433"/>
        <v>1.2828210743125582E-2</v>
      </c>
      <c r="H405" s="3">
        <f t="shared" si="433"/>
        <v>0.59684861771211795</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7.7505790746703308E-19</v>
      </c>
      <c r="C406" s="3">
        <f t="shared" si="433"/>
        <v>3.8636111469951678E-17</v>
      </c>
      <c r="D406" s="3">
        <f t="shared" si="433"/>
        <v>9.4470413976651018E-16</v>
      </c>
      <c r="E406" s="3">
        <f t="shared" si="433"/>
        <v>1E-13</v>
      </c>
      <c r="F406" s="3">
        <f t="shared" si="433"/>
        <v>9.6293941878230275E-10</v>
      </c>
      <c r="G406" s="3">
        <f t="shared" si="433"/>
        <v>0.12828210743125582</v>
      </c>
      <c r="H406" s="3">
        <f t="shared" si="433"/>
        <v>5.9684861771211795</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7.7505790746703304E-18</v>
      </c>
      <c r="C407" s="3">
        <f t="shared" si="433"/>
        <v>3.8636111469951675E-16</v>
      </c>
      <c r="D407" s="3">
        <f t="shared" si="433"/>
        <v>9.4470413976651022E-15</v>
      </c>
      <c r="E407" s="3">
        <f t="shared" si="433"/>
        <v>9.9999999999999998E-13</v>
      </c>
      <c r="F407" s="3">
        <f t="shared" si="433"/>
        <v>9.6293941878230275E-9</v>
      </c>
      <c r="G407" s="3">
        <f t="shared" si="433"/>
        <v>1.2828210743125581</v>
      </c>
      <c r="H407" s="3">
        <f t="shared" si="433"/>
        <v>59.684861771211793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7.7505790746703298E-17</v>
      </c>
      <c r="C408" s="3">
        <f t="shared" si="433"/>
        <v>3.8636111469951675E-15</v>
      </c>
      <c r="D408" s="3">
        <f t="shared" si="433"/>
        <v>9.4470413976651019E-14</v>
      </c>
      <c r="E408" s="3">
        <f t="shared" si="433"/>
        <v>9.9999999999999994E-12</v>
      </c>
      <c r="F408" s="3">
        <f t="shared" si="433"/>
        <v>9.6293941878230282E-8</v>
      </c>
      <c r="G408" s="3">
        <f t="shared" si="433"/>
        <v>12.828210743125579</v>
      </c>
      <c r="H408" s="3">
        <f t="shared" si="433"/>
        <v>596.84861771211786</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7.7505790746703311E-16</v>
      </c>
      <c r="C409" s="3">
        <f t="shared" si="433"/>
        <v>3.8636111469951679E-14</v>
      </c>
      <c r="D409" s="3">
        <f t="shared" si="433"/>
        <v>9.4470413976651019E-13</v>
      </c>
      <c r="E409" s="3">
        <f t="shared" si="433"/>
        <v>1E-10</v>
      </c>
      <c r="F409" s="3">
        <f t="shared" si="433"/>
        <v>9.6293941878230287E-7</v>
      </c>
      <c r="G409" s="3">
        <f t="shared" si="433"/>
        <v>128.28210743125581</v>
      </c>
      <c r="H409" s="3">
        <f t="shared" si="433"/>
        <v>5968.486177121179</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7.7505790746703311E-15</v>
      </c>
      <c r="C410" s="3">
        <f t="shared" si="433"/>
        <v>3.8636111469951679E-13</v>
      </c>
      <c r="D410" s="3">
        <f t="shared" si="433"/>
        <v>9.4470413976651035E-12</v>
      </c>
      <c r="E410" s="3">
        <f t="shared" si="433"/>
        <v>1.0000000000000001E-9</v>
      </c>
      <c r="F410" s="3">
        <f t="shared" si="433"/>
        <v>9.6293941878230287E-6</v>
      </c>
      <c r="G410" s="3">
        <f t="shared" si="433"/>
        <v>1282.8210743125583</v>
      </c>
      <c r="H410" s="3">
        <f t="shared" si="433"/>
        <v>59684.861771211792</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7.7505790746703311E-14</v>
      </c>
      <c r="C411" s="3">
        <f t="shared" si="433"/>
        <v>3.8636111469951677E-12</v>
      </c>
      <c r="D411" s="3">
        <f t="shared" si="433"/>
        <v>9.4470413976651022E-11</v>
      </c>
      <c r="E411" s="3">
        <f t="shared" si="433"/>
        <v>1E-8</v>
      </c>
      <c r="F411" s="3">
        <f t="shared" si="433"/>
        <v>9.6293941878230284E-5</v>
      </c>
      <c r="G411" s="3">
        <f t="shared" si="433"/>
        <v>12828.210743125581</v>
      </c>
      <c r="H411" s="3">
        <f t="shared" si="433"/>
        <v>596848.61771211796</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7.7505790746703303E-13</v>
      </c>
      <c r="C412" s="3">
        <f t="shared" si="433"/>
        <v>3.8636111469951672E-11</v>
      </c>
      <c r="D412" s="3">
        <f t="shared" si="433"/>
        <v>9.4470413976651017E-10</v>
      </c>
      <c r="E412" s="3">
        <f t="shared" si="433"/>
        <v>9.9999999999999995E-8</v>
      </c>
      <c r="F412" s="3">
        <f t="shared" si="433"/>
        <v>9.6293941878230279E-4</v>
      </c>
      <c r="G412" s="3">
        <f t="shared" si="433"/>
        <v>128282.1074312558</v>
      </c>
      <c r="H412" s="3">
        <f t="shared" si="433"/>
        <v>5968486.1771211792</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7.7505790746703311E-12</v>
      </c>
      <c r="C413" s="3">
        <f t="shared" si="433"/>
        <v>3.8636111469951672E-10</v>
      </c>
      <c r="D413" s="3">
        <f t="shared" si="433"/>
        <v>9.4470413976651025E-9</v>
      </c>
      <c r="E413" s="3">
        <f t="shared" si="433"/>
        <v>9.9999999999999995E-7</v>
      </c>
      <c r="F413" s="3">
        <f t="shared" si="433"/>
        <v>9.6293941878230274E-3</v>
      </c>
      <c r="G413" s="3">
        <f t="shared" si="433"/>
        <v>1282821.0743125579</v>
      </c>
      <c r="H413" s="3">
        <f t="shared" si="433"/>
        <v>59684861.771211788</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7.7505790746703318E-11</v>
      </c>
      <c r="C414" s="3">
        <f t="shared" si="433"/>
        <v>3.863611146995168E-9</v>
      </c>
      <c r="D414" s="3">
        <f t="shared" si="433"/>
        <v>9.4470413976651025E-8</v>
      </c>
      <c r="E414" s="3">
        <f t="shared" si="433"/>
        <v>1.0000000000000001E-5</v>
      </c>
      <c r="F414" s="3">
        <f t="shared" si="433"/>
        <v>9.6293941878230288E-2</v>
      </c>
      <c r="G414" s="3">
        <f t="shared" si="433"/>
        <v>12828210.743125582</v>
      </c>
      <c r="H414" s="3">
        <f t="shared" si="433"/>
        <v>596848617.71211791</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7.7505790746703307E-10</v>
      </c>
      <c r="C415" s="3">
        <f t="shared" si="433"/>
        <v>3.8636111469951675E-8</v>
      </c>
      <c r="D415" s="3">
        <f t="shared" si="433"/>
        <v>9.447041397665103E-7</v>
      </c>
      <c r="E415" s="3">
        <f t="shared" si="433"/>
        <v>1E-4</v>
      </c>
      <c r="F415" s="3">
        <f t="shared" si="433"/>
        <v>0.96293941878230283</v>
      </c>
      <c r="G415" s="3">
        <f t="shared" si="433"/>
        <v>128282107.43125582</v>
      </c>
      <c r="H415" s="3">
        <f t="shared" si="433"/>
        <v>5968486177.1211796</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7.7505790746703309E-9</v>
      </c>
      <c r="C416" s="3">
        <f t="shared" si="433"/>
        <v>3.8636111469951675E-7</v>
      </c>
      <c r="D416" s="3">
        <f t="shared" si="433"/>
        <v>9.4470413976651026E-6</v>
      </c>
      <c r="E416" s="3">
        <f t="shared" si="433"/>
        <v>1E-3</v>
      </c>
      <c r="F416" s="3">
        <f t="shared" si="433"/>
        <v>9.6293941878230278</v>
      </c>
      <c r="G416" s="3">
        <f t="shared" si="433"/>
        <v>1282821074.3125582</v>
      </c>
      <c r="H416" s="3">
        <f t="shared" si="433"/>
        <v>59684861771.211792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7.7505790746703309E-8</v>
      </c>
      <c r="C417" s="3">
        <f t="shared" si="433"/>
        <v>3.8636111469951673E-6</v>
      </c>
      <c r="D417" s="3">
        <f t="shared" si="433"/>
        <v>9.4470413976651023E-5</v>
      </c>
      <c r="E417" s="3">
        <f t="shared" si="433"/>
        <v>0.01</v>
      </c>
      <c r="F417" s="3">
        <f t="shared" si="433"/>
        <v>96.293941878230285</v>
      </c>
      <c r="G417" s="3">
        <f t="shared" si="433"/>
        <v>12828210743.125582</v>
      </c>
      <c r="H417" s="3">
        <f t="shared" si="433"/>
        <v>596848617712.11792</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7.7505790746703309E-7</v>
      </c>
      <c r="C418" s="3">
        <f t="shared" si="433"/>
        <v>3.8636111469951678E-5</v>
      </c>
      <c r="D418" s="3">
        <f t="shared" si="433"/>
        <v>9.4470413976651031E-4</v>
      </c>
      <c r="E418" s="3">
        <f t="shared" si="433"/>
        <v>0.1</v>
      </c>
      <c r="F418" s="3">
        <f t="shared" si="433"/>
        <v>962.93941878230282</v>
      </c>
      <c r="G418" s="3">
        <f t="shared" si="433"/>
        <v>128282107431.25581</v>
      </c>
      <c r="H418" s="3">
        <f t="shared" si="433"/>
        <v>5968486177121.1797</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7.7505790746703309E-6</v>
      </c>
      <c r="C419" s="3">
        <f t="shared" si="433"/>
        <v>3.8636111469951675E-4</v>
      </c>
      <c r="D419" s="3">
        <f t="shared" si="433"/>
        <v>9.447041397665102E-3</v>
      </c>
      <c r="E419" s="3">
        <f t="shared" si="433"/>
        <v>1</v>
      </c>
      <c r="F419" s="3">
        <f t="shared" si="433"/>
        <v>9629.3941878230289</v>
      </c>
      <c r="G419" s="3">
        <f t="shared" si="433"/>
        <v>1282821074312.5581</v>
      </c>
      <c r="H419" s="3">
        <f t="shared" si="433"/>
        <v>59684861771211.789</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7.7505790746703303E-5</v>
      </c>
      <c r="C420" s="3">
        <f t="shared" si="434"/>
        <v>3.8636111469951676E-3</v>
      </c>
      <c r="D420" s="3">
        <f t="shared" si="434"/>
        <v>9.4470413976651027E-2</v>
      </c>
      <c r="E420" s="3">
        <f t="shared" si="434"/>
        <v>10</v>
      </c>
      <c r="F420" s="3">
        <f t="shared" si="434"/>
        <v>96293.941878230282</v>
      </c>
      <c r="G420" s="3">
        <f t="shared" si="434"/>
        <v>12828210743125.58</v>
      </c>
      <c r="H420" s="3">
        <f t="shared" si="434"/>
        <v>596848617712117.87</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7.7505790746703305E-4</v>
      </c>
      <c r="C421" s="3">
        <f t="shared" si="434"/>
        <v>3.8636111469951676E-2</v>
      </c>
      <c r="D421" s="3">
        <f t="shared" si="434"/>
        <v>0.94470413976651024</v>
      </c>
      <c r="E421" s="3">
        <f t="shared" si="434"/>
        <v>100</v>
      </c>
      <c r="F421" s="3">
        <f t="shared" si="434"/>
        <v>962939.41878230276</v>
      </c>
      <c r="G421" s="3">
        <f t="shared" si="434"/>
        <v>128282107431255.81</v>
      </c>
      <c r="H421" s="3">
        <f t="shared" si="434"/>
        <v>5968486177121179</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7.7505790746703303E-3</v>
      </c>
      <c r="C422" s="3">
        <f t="shared" si="434"/>
        <v>0.38636111469951673</v>
      </c>
      <c r="D422" s="3">
        <f t="shared" si="434"/>
        <v>9.4470413976651013</v>
      </c>
      <c r="E422" s="3">
        <f t="shared" si="434"/>
        <v>1000</v>
      </c>
      <c r="F422" s="3">
        <f t="shared" si="434"/>
        <v>9629394.1878230274</v>
      </c>
      <c r="G422" s="3">
        <f t="shared" si="434"/>
        <v>1282821074312558</v>
      </c>
      <c r="H422" s="3">
        <f t="shared" si="434"/>
        <v>5.9684861771211792E+16</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7.7505790746703301E-2</v>
      </c>
      <c r="C423" s="3">
        <f t="shared" si="434"/>
        <v>3.8636111469951673</v>
      </c>
      <c r="D423" s="3">
        <f t="shared" si="434"/>
        <v>94.470413976651017</v>
      </c>
      <c r="E423" s="3">
        <f t="shared" si="434"/>
        <v>10000</v>
      </c>
      <c r="F423" s="3">
        <f t="shared" si="434"/>
        <v>96293941.878230289</v>
      </c>
      <c r="G423" s="3">
        <f t="shared" si="434"/>
        <v>1.282821074312558E+16</v>
      </c>
      <c r="H423" s="3">
        <f t="shared" si="434"/>
        <v>5.9684861771211789E+17</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0.77505790746703307</v>
      </c>
      <c r="C424" s="3">
        <f t="shared" si="434"/>
        <v>38.636111469951672</v>
      </c>
      <c r="D424" s="3">
        <f t="shared" si="434"/>
        <v>944.70413976651025</v>
      </c>
      <c r="E424" s="3">
        <f t="shared" si="434"/>
        <v>100000</v>
      </c>
      <c r="F424" s="3">
        <f t="shared" si="434"/>
        <v>962939418.78230286</v>
      </c>
      <c r="G424" s="3">
        <f t="shared" si="434"/>
        <v>1.2828210743125581E+17</v>
      </c>
      <c r="H424" s="3">
        <f t="shared" si="434"/>
        <v>5.9684861771211796E+18</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7.7505790746703305</v>
      </c>
      <c r="C425" s="3">
        <f t="shared" si="434"/>
        <v>386.36111469951675</v>
      </c>
      <c r="D425" s="3">
        <f t="shared" si="434"/>
        <v>9447.0413976651016</v>
      </c>
      <c r="E425" s="3">
        <f t="shared" si="434"/>
        <v>1000000</v>
      </c>
      <c r="F425" s="3">
        <f t="shared" si="434"/>
        <v>9629394187.8230286</v>
      </c>
      <c r="G425" s="3">
        <f t="shared" si="434"/>
        <v>1.2828210743125581E+18</v>
      </c>
      <c r="H425" s="3">
        <f t="shared" si="434"/>
        <v>5.9684861771211792E+19</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77.505790746703312</v>
      </c>
      <c r="C426" s="3">
        <f t="shared" si="434"/>
        <v>3863.6111469951675</v>
      </c>
      <c r="D426" s="3">
        <f t="shared" si="434"/>
        <v>94470.41397665102</v>
      </c>
      <c r="E426" s="3">
        <f t="shared" si="434"/>
        <v>10000000</v>
      </c>
      <c r="F426" s="3">
        <f t="shared" si="434"/>
        <v>96293941878.230286</v>
      </c>
      <c r="G426" s="3">
        <f t="shared" si="434"/>
        <v>1.282821074312558E+19</v>
      </c>
      <c r="H426" s="3">
        <f t="shared" si="434"/>
        <v>5.9684861771211787E+20</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775.05790746703303</v>
      </c>
      <c r="C427" s="3">
        <f t="shared" si="434"/>
        <v>38636.111469951677</v>
      </c>
      <c r="D427" s="3">
        <f t="shared" si="434"/>
        <v>944704.13976651023</v>
      </c>
      <c r="E427" s="3">
        <f t="shared" si="434"/>
        <v>100000000</v>
      </c>
      <c r="F427" s="3">
        <f t="shared" si="434"/>
        <v>962939418782.30286</v>
      </c>
      <c r="G427" s="3">
        <f t="shared" si="434"/>
        <v>1.282821074312558E+20</v>
      </c>
      <c r="H427" s="3">
        <f t="shared" si="434"/>
        <v>5.9684861771211793E+21</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7750.5790746703306</v>
      </c>
      <c r="C428" s="3">
        <f t="shared" si="434"/>
        <v>386361.11469951674</v>
      </c>
      <c r="D428" s="3">
        <f t="shared" si="434"/>
        <v>9447041.397665102</v>
      </c>
      <c r="E428" s="3">
        <f t="shared" si="434"/>
        <v>1000000000</v>
      </c>
      <c r="F428" s="3">
        <f t="shared" si="434"/>
        <v>9629394187823.0273</v>
      </c>
      <c r="G428" s="3">
        <f t="shared" si="434"/>
        <v>1.282821074312558E+21</v>
      </c>
      <c r="H428" s="3">
        <f t="shared" si="434"/>
        <v>5.9684861771211791E+22</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77505.790746703307</v>
      </c>
      <c r="C429" s="3">
        <f t="shared" si="434"/>
        <v>3863611.1469951672</v>
      </c>
      <c r="D429" s="3">
        <f t="shared" si="434"/>
        <v>94470413.976651028</v>
      </c>
      <c r="E429" s="3">
        <f t="shared" si="434"/>
        <v>10000000000</v>
      </c>
      <c r="F429" s="3">
        <f t="shared" si="434"/>
        <v>96293941878230.281</v>
      </c>
      <c r="G429" s="3">
        <f t="shared" si="434"/>
        <v>1.282821074312558E+22</v>
      </c>
      <c r="H429" s="3">
        <f t="shared" si="434"/>
        <v>5.9684861771211789E+23</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775057.90746703302</v>
      </c>
      <c r="C430" s="3">
        <f t="shared" si="434"/>
        <v>38636111.469951674</v>
      </c>
      <c r="D430" s="3">
        <f t="shared" si="434"/>
        <v>944704139.76651025</v>
      </c>
      <c r="E430" s="3">
        <f t="shared" si="434"/>
        <v>100000000000</v>
      </c>
      <c r="F430" s="3">
        <f t="shared" si="434"/>
        <v>962939418782302.87</v>
      </c>
      <c r="G430" s="3">
        <f t="shared" si="434"/>
        <v>1.282821074312558E+23</v>
      </c>
      <c r="H430" s="3">
        <f t="shared" si="434"/>
        <v>5.9684861771211786E+24</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7750579.0746703306</v>
      </c>
      <c r="C431" s="3">
        <f t="shared" si="434"/>
        <v>386361114.69951677</v>
      </c>
      <c r="D431" s="3">
        <f t="shared" si="434"/>
        <v>9447041397.665102</v>
      </c>
      <c r="E431" s="3">
        <f t="shared" si="434"/>
        <v>1000000000000</v>
      </c>
      <c r="F431" s="3">
        <f t="shared" si="434"/>
        <v>9629394187823028</v>
      </c>
      <c r="G431" s="3">
        <f t="shared" si="434"/>
        <v>1.2828210743125582E+24</v>
      </c>
      <c r="H431" s="3">
        <f t="shared" si="434"/>
        <v>5.9684861771211788E+25</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77505790.746703312</v>
      </c>
      <c r="C432" s="3">
        <f t="shared" si="434"/>
        <v>3863611146.9951673</v>
      </c>
      <c r="D432" s="3">
        <f t="shared" si="434"/>
        <v>94470413976.651016</v>
      </c>
      <c r="E432" s="3">
        <f t="shared" si="434"/>
        <v>10000000000000</v>
      </c>
      <c r="F432" s="3">
        <f t="shared" si="434"/>
        <v>9.6293941878230288E+16</v>
      </c>
      <c r="G432" s="3">
        <f t="shared" si="434"/>
        <v>1.282821074312558E+25</v>
      </c>
      <c r="H432" s="3">
        <f t="shared" si="434"/>
        <v>5.968486177121179E+26</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775057907.46703303</v>
      </c>
      <c r="C433" s="3">
        <f t="shared" si="434"/>
        <v>38636111469.951675</v>
      </c>
      <c r="D433" s="3">
        <f t="shared" si="434"/>
        <v>944704139766.51025</v>
      </c>
      <c r="E433" s="3">
        <f t="shared" si="434"/>
        <v>100000000000000</v>
      </c>
      <c r="F433" s="3">
        <f t="shared" si="434"/>
        <v>9.6293941878230285E+17</v>
      </c>
      <c r="G433" s="3">
        <f t="shared" si="434"/>
        <v>1.2828210743125582E+26</v>
      </c>
      <c r="H433" s="3">
        <f t="shared" si="434"/>
        <v>5.9684861771211787E+27</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7750579074.670331</v>
      </c>
      <c r="C434" s="3">
        <f t="shared" si="434"/>
        <v>386361114699.51672</v>
      </c>
      <c r="D434" s="3">
        <f t="shared" si="434"/>
        <v>9447041397665.1016</v>
      </c>
      <c r="E434" s="3">
        <f t="shared" si="434"/>
        <v>1000000000000000</v>
      </c>
      <c r="F434" s="3">
        <f t="shared" si="434"/>
        <v>9.6293941878230282E+18</v>
      </c>
      <c r="G434" s="3">
        <f t="shared" si="434"/>
        <v>1.2828210743125582E+27</v>
      </c>
      <c r="H434" s="3">
        <f t="shared" si="434"/>
        <v>5.968486177121179E+28</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-11.767742998078067</v>
      </c>
      <c r="M1" s="54">
        <v>1</v>
      </c>
      <c r="N1" s="56">
        <f>INDEX($H$217:$P$217,1,Q1)</f>
        <v>0.22670143412778754</v>
      </c>
      <c r="O1" s="11"/>
      <c r="P1" s="55">
        <v>1</v>
      </c>
      <c r="Q1" s="11">
        <v>2</v>
      </c>
    </row>
    <row r="2" spans="1:17" x14ac:dyDescent="0.25">
      <c r="A2" s="11">
        <f>'Mastercurve bestimmen'!M119</f>
        <v>0</v>
      </c>
      <c r="B2" s="11">
        <f>'Mastercurve bestimmen'!N119</f>
        <v>-7.8587380955255552</v>
      </c>
      <c r="M2" s="54">
        <v>2</v>
      </c>
      <c r="N2" s="56">
        <f t="shared" ref="N2:N9" si="0">INDEX($H$217:$P$217,1,Q2)</f>
        <v>2.3054174102736438E-3</v>
      </c>
      <c r="O2" s="11"/>
      <c r="P2" s="55">
        <v>2</v>
      </c>
      <c r="Q2" s="11">
        <f>Q1+1</f>
        <v>3</v>
      </c>
    </row>
    <row r="3" spans="1:17" x14ac:dyDescent="0.25">
      <c r="A3" s="11">
        <f>'Mastercurve bestimmen'!M120</f>
        <v>25</v>
      </c>
      <c r="B3" s="11">
        <f>'Mastercurve bestimmen'!N120</f>
        <v>-4.6620536661082976</v>
      </c>
      <c r="M3" s="54">
        <v>3</v>
      </c>
      <c r="N3" s="56">
        <f t="shared" si="0"/>
        <v>2.2526264202162082E-5</v>
      </c>
      <c r="O3" s="11"/>
      <c r="P3" s="55">
        <v>3</v>
      </c>
      <c r="Q3" s="11">
        <f t="shared" ref="Q3:Q8" si="1">Q2+1</f>
        <v>4</v>
      </c>
    </row>
    <row r="4" spans="1:17" x14ac:dyDescent="0.25">
      <c r="A4" s="11">
        <f>'Mastercurve bestimmen'!M121</f>
        <v>50</v>
      </c>
      <c r="B4" s="11">
        <f>'Mastercurve bestimmen'!N121</f>
        <v>0</v>
      </c>
      <c r="M4" s="54">
        <v>4</v>
      </c>
      <c r="N4" s="56">
        <f t="shared" si="0"/>
        <v>-9.3975495295630713E-8</v>
      </c>
      <c r="O4" s="11"/>
      <c r="P4" s="55">
        <v>4</v>
      </c>
      <c r="Q4" s="11">
        <f t="shared" si="1"/>
        <v>5</v>
      </c>
    </row>
    <row r="5" spans="1:17" x14ac:dyDescent="0.25">
      <c r="A5" s="11">
        <f>'Mastercurve bestimmen'!M122</f>
        <v>80</v>
      </c>
      <c r="B5" s="11">
        <f>'Mastercurve bestimmen'!N122</f>
        <v>9.1725755939683662</v>
      </c>
      <c r="M5" s="54">
        <v>5</v>
      </c>
      <c r="N5" s="56">
        <f t="shared" si="0"/>
        <v>-4.0778462178845704E-9</v>
      </c>
      <c r="O5" s="11"/>
      <c r="P5" s="55">
        <v>5</v>
      </c>
      <c r="Q5" s="11">
        <f t="shared" si="1"/>
        <v>6</v>
      </c>
    </row>
    <row r="6" spans="1:17" x14ac:dyDescent="0.25">
      <c r="A6" s="11">
        <f>'Mastercurve bestimmen'!M123</f>
        <v>125</v>
      </c>
      <c r="B6" s="11">
        <f>'Mastercurve bestimmen'!N123</f>
        <v>27.880082733000094</v>
      </c>
      <c r="M6" s="54">
        <v>6</v>
      </c>
      <c r="N6" s="56">
        <f t="shared" si="0"/>
        <v>-1.0618475574250024E-11</v>
      </c>
      <c r="O6" s="11"/>
      <c r="P6" s="55">
        <v>6</v>
      </c>
      <c r="Q6" s="11">
        <f t="shared" si="1"/>
        <v>7</v>
      </c>
    </row>
    <row r="7" spans="1:17" x14ac:dyDescent="0.25">
      <c r="A7" s="11">
        <f>'Mastercurve bestimmen'!M124</f>
        <v>160</v>
      </c>
      <c r="B7" s="11">
        <f>'Mastercurve bestimmen'!N124</f>
        <v>31.720099532500878</v>
      </c>
      <c r="M7" s="54">
        <v>7</v>
      </c>
      <c r="N7" s="56">
        <f t="shared" si="0"/>
        <v>1.781499844492808E-13</v>
      </c>
      <c r="O7" s="11"/>
      <c r="P7" s="55">
        <v>7</v>
      </c>
      <c r="Q7" s="11">
        <f t="shared" si="1"/>
        <v>8</v>
      </c>
    </row>
    <row r="8" spans="1:17" x14ac:dyDescent="0.25">
      <c r="A8" s="11"/>
      <c r="B8" s="11"/>
      <c r="M8" s="54">
        <v>8</v>
      </c>
      <c r="N8" s="56">
        <f t="shared" si="0"/>
        <v>5.9395859941036192E-16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-11.767742998078067</v>
      </c>
      <c r="E15" s="11">
        <f>A15-'Mastercurve bestimmen'!$B$2</f>
        <v>-90</v>
      </c>
      <c r="F15" s="11">
        <f>B15</f>
        <v>-11.767742998078067</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-11.688514464042477</v>
      </c>
      <c r="E16" s="11">
        <f>A16-'Mastercurve bestimmen'!$B$2</f>
        <v>-89</v>
      </c>
      <c r="F16" s="11">
        <f t="shared" ref="F16:F79" si="4">B16</f>
        <v>-11.688514464042477</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-11.609216524421416</v>
      </c>
      <c r="E17" s="11">
        <f>A17-'Mastercurve bestimmen'!$B$2</f>
        <v>-88</v>
      </c>
      <c r="F17" s="11">
        <f t="shared" si="4"/>
        <v>-11.609216524421416</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-11.529779773629413</v>
      </c>
      <c r="E18" s="11">
        <f>A18-'Mastercurve bestimmen'!$B$2</f>
        <v>-87</v>
      </c>
      <c r="F18" s="11">
        <f t="shared" si="4"/>
        <v>-11.529779773629413</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-11.450134806080994</v>
      </c>
      <c r="E19" s="11">
        <f>A19-'Mastercurve bestimmen'!$B$2</f>
        <v>-86</v>
      </c>
      <c r="F19" s="11">
        <f t="shared" si="4"/>
        <v>-11.450134806080994</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-11.370212216190685</v>
      </c>
      <c r="E20" s="11">
        <f>A20-'Mastercurve bestimmen'!$B$2</f>
        <v>-85</v>
      </c>
      <c r="F20" s="11">
        <f t="shared" si="4"/>
        <v>-11.370212216190685</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-11.289942598373022</v>
      </c>
      <c r="E21" s="11">
        <f>A21-'Mastercurve bestimmen'!$B$2</f>
        <v>-84</v>
      </c>
      <c r="F21" s="11">
        <f t="shared" si="4"/>
        <v>-11.289942598373022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-11.209256547042525</v>
      </c>
      <c r="E22" s="11">
        <f>A22-'Mastercurve bestimmen'!$B$2</f>
        <v>-83</v>
      </c>
      <c r="F22" s="11">
        <f t="shared" si="4"/>
        <v>-11.209256547042525</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-11.128084656613728</v>
      </c>
      <c r="E23" s="11">
        <f>A23-'Mastercurve bestimmen'!$B$2</f>
        <v>-82</v>
      </c>
      <c r="F23" s="11">
        <f t="shared" si="4"/>
        <v>-11.128084656613728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-11.046357521501157</v>
      </c>
      <c r="E24" s="11">
        <f>A24-'Mastercurve bestimmen'!$B$2</f>
        <v>-81</v>
      </c>
      <c r="F24" s="11">
        <f t="shared" si="4"/>
        <v>-11.046357521501157</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-10.964005736119338</v>
      </c>
      <c r="E25" s="11">
        <f>A25-'Mastercurve bestimmen'!$B$2</f>
        <v>-80</v>
      </c>
      <c r="F25" s="11">
        <f t="shared" si="4"/>
        <v>-10.964005736119338</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-10.880959894882803</v>
      </c>
      <c r="E26" s="11">
        <f>A26-'Mastercurve bestimmen'!$B$2</f>
        <v>-79</v>
      </c>
      <c r="F26" s="11">
        <f t="shared" si="4"/>
        <v>-10.880959894882803</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-10.797150592206076</v>
      </c>
      <c r="E27" s="11">
        <f>A27-'Mastercurve bestimmen'!$B$2</f>
        <v>-78</v>
      </c>
      <c r="F27" s="11">
        <f t="shared" si="4"/>
        <v>-10.797150592206076</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-10.712508422503692</v>
      </c>
      <c r="E28" s="11">
        <f>A28-'Mastercurve bestimmen'!$B$2</f>
        <v>-77</v>
      </c>
      <c r="F28" s="11">
        <f t="shared" si="4"/>
        <v>-10.712508422503692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-10.626963980190173</v>
      </c>
      <c r="E29" s="11">
        <f>A29-'Mastercurve bestimmen'!$B$2</f>
        <v>-76</v>
      </c>
      <c r="F29" s="11">
        <f t="shared" si="4"/>
        <v>-10.626963980190173</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-10.54044785968005</v>
      </c>
      <c r="E30" s="11">
        <f>A30-'Mastercurve bestimmen'!$B$2</f>
        <v>-75</v>
      </c>
      <c r="F30" s="11">
        <f t="shared" si="4"/>
        <v>-10.54044785968005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-10.452890655387849</v>
      </c>
      <c r="E31" s="11">
        <f>A31-'Mastercurve bestimmen'!$B$2</f>
        <v>-74</v>
      </c>
      <c r="F31" s="11">
        <f t="shared" si="4"/>
        <v>-10.452890655387849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-10.3642229617281</v>
      </c>
      <c r="E32" s="11">
        <f>A32-'Mastercurve bestimmen'!$B$2</f>
        <v>-73</v>
      </c>
      <c r="F32" s="11">
        <f t="shared" si="4"/>
        <v>-10.3642229617281</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-10.274375373115333</v>
      </c>
      <c r="E33" s="11">
        <f>A33-'Mastercurve bestimmen'!$B$2</f>
        <v>-72</v>
      </c>
      <c r="F33" s="11">
        <f t="shared" si="4"/>
        <v>-10.274375373115333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-10.183278483964074</v>
      </c>
      <c r="E34" s="11">
        <f>A34-'Mastercurve bestimmen'!$B$2</f>
        <v>-71</v>
      </c>
      <c r="F34" s="11">
        <f t="shared" si="4"/>
        <v>-10.183278483964074</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-10.09086288868885</v>
      </c>
      <c r="E35" s="11">
        <f>A35-'Mastercurve bestimmen'!$B$2</f>
        <v>-70</v>
      </c>
      <c r="F35" s="11">
        <f t="shared" si="4"/>
        <v>-10.09086288868885</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-9.9970591817041914</v>
      </c>
      <c r="E36" s="11">
        <f>A36-'Mastercurve bestimmen'!$B$2</f>
        <v>-69</v>
      </c>
      <c r="F36" s="11">
        <f t="shared" si="4"/>
        <v>-9.9970591817041914</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-9.9017979574246269</v>
      </c>
      <c r="E37" s="11">
        <f>A37-'Mastercurve bestimmen'!$B$2</f>
        <v>-68</v>
      </c>
      <c r="F37" s="11">
        <f t="shared" si="4"/>
        <v>-9.9017979574246269</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-9.8050098102646821</v>
      </c>
      <c r="E38" s="11">
        <f>A38-'Mastercurve bestimmen'!$B$2</f>
        <v>-67</v>
      </c>
      <c r="F38" s="11">
        <f t="shared" si="4"/>
        <v>-9.8050098102646821</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-9.706625334638888</v>
      </c>
      <c r="E39" s="11">
        <f>A39-'Mastercurve bestimmen'!$B$2</f>
        <v>-66</v>
      </c>
      <c r="F39" s="11">
        <f t="shared" si="4"/>
        <v>-9.706625334638888</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-9.6065751249617719</v>
      </c>
      <c r="E40" s="11">
        <f>A40-'Mastercurve bestimmen'!$B$2</f>
        <v>-65</v>
      </c>
      <c r="F40" s="11">
        <f t="shared" si="4"/>
        <v>-9.6065751249617719</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-9.5047897756478612</v>
      </c>
      <c r="E41" s="11">
        <f>A41-'Mastercurve bestimmen'!$B$2</f>
        <v>-64</v>
      </c>
      <c r="F41" s="11">
        <f t="shared" si="4"/>
        <v>-9.5047897756478612</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-9.4011998811116833</v>
      </c>
      <c r="E42" s="11">
        <f>A42-'Mastercurve bestimmen'!$B$2</f>
        <v>-63</v>
      </c>
      <c r="F42" s="11">
        <f t="shared" si="4"/>
        <v>-9.4011998811116833</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-9.2957360357677707</v>
      </c>
      <c r="E43" s="11">
        <f>A43-'Mastercurve bestimmen'!$B$2</f>
        <v>-62</v>
      </c>
      <c r="F43" s="11">
        <f t="shared" si="4"/>
        <v>-9.2957360357677707</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-9.1883288340306457</v>
      </c>
      <c r="E44" s="11">
        <f>A44-'Mastercurve bestimmen'!$B$2</f>
        <v>-61</v>
      </c>
      <c r="F44" s="11">
        <f t="shared" si="4"/>
        <v>-9.1883288340306457</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-9.0789088703148426</v>
      </c>
      <c r="E45" s="11">
        <f>A45-'Mastercurve bestimmen'!$B$2</f>
        <v>-60</v>
      </c>
      <c r="F45" s="11">
        <f t="shared" si="4"/>
        <v>-9.0789088703148426</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-8.9674067390348853</v>
      </c>
      <c r="E46" s="11">
        <f>A46-'Mastercurve bestimmen'!$B$2</f>
        <v>-59</v>
      </c>
      <c r="F46" s="11">
        <f t="shared" si="4"/>
        <v>-8.9674067390348853</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-8.8537530346053028</v>
      </c>
      <c r="E47" s="11">
        <f>A47-'Mastercurve bestimmen'!$B$2</f>
        <v>-58</v>
      </c>
      <c r="F47" s="11">
        <f t="shared" si="4"/>
        <v>-8.8537530346053028</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-8.7378783514406262</v>
      </c>
      <c r="E48" s="11">
        <f>A48-'Mastercurve bestimmen'!$B$2</f>
        <v>-57</v>
      </c>
      <c r="F48" s="11">
        <f t="shared" si="4"/>
        <v>-8.7378783514406262</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-8.6197132839553792</v>
      </c>
      <c r="E49" s="11">
        <f>A49-'Mastercurve bestimmen'!$B$2</f>
        <v>-56</v>
      </c>
      <c r="F49" s="11">
        <f t="shared" si="4"/>
        <v>-8.6197132839553792</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-8.4991884265640945</v>
      </c>
      <c r="E50" s="11">
        <f>A50-'Mastercurve bestimmen'!$B$2</f>
        <v>-55</v>
      </c>
      <c r="F50" s="11">
        <f t="shared" si="4"/>
        <v>-8.4991884265640945</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-8.3762343736812959</v>
      </c>
      <c r="E51" s="11">
        <f>A51-'Mastercurve bestimmen'!$B$2</f>
        <v>-54</v>
      </c>
      <c r="F51" s="11">
        <f t="shared" si="4"/>
        <v>-8.3762343736812959</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-8.2507817197215161</v>
      </c>
      <c r="E52" s="11">
        <f>A52-'Mastercurve bestimmen'!$B$2</f>
        <v>-53</v>
      </c>
      <c r="F52" s="11">
        <f t="shared" si="4"/>
        <v>-8.2507817197215161</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-8.1227610590992789</v>
      </c>
      <c r="E53" s="11">
        <f>A53-'Mastercurve bestimmen'!$B$2</f>
        <v>-52</v>
      </c>
      <c r="F53" s="11">
        <f t="shared" si="4"/>
        <v>-8.1227610590992789</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-7.9921029862291162</v>
      </c>
      <c r="E54" s="11">
        <f>A54-'Mastercurve bestimmen'!$B$2</f>
        <v>-51</v>
      </c>
      <c r="F54" s="11">
        <f t="shared" si="4"/>
        <v>-7.9921029862291162</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-7.8587380955255552</v>
      </c>
      <c r="E55" s="11">
        <f>A55-'Mastercurve bestimmen'!$B$2</f>
        <v>-50</v>
      </c>
      <c r="F55" s="11">
        <f t="shared" si="4"/>
        <v>-7.8587380955255552</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-7.7602263016302135</v>
      </c>
      <c r="E56" s="11">
        <f>A56-'Mastercurve bestimmen'!$B$2</f>
        <v>-49</v>
      </c>
      <c r="F56" s="11">
        <f t="shared" si="4"/>
        <v>-7.7602263016302135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-7.658976352563549</v>
      </c>
      <c r="E57" s="11">
        <f>A57-'Mastercurve bestimmen'!$B$2</f>
        <v>-48</v>
      </c>
      <c r="F57" s="11">
        <f t="shared" si="4"/>
        <v>-7.658976352563549</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-7.5550263165731124</v>
      </c>
      <c r="E58" s="11">
        <f>A58-'Mastercurve bestimmen'!$B$2</f>
        <v>-47</v>
      </c>
      <c r="F58" s="11">
        <f t="shared" si="4"/>
        <v>-7.5550263165731124</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-7.4484142619064535</v>
      </c>
      <c r="E59" s="11">
        <f>A59-'Mastercurve bestimmen'!$B$2</f>
        <v>-46</v>
      </c>
      <c r="F59" s="11">
        <f t="shared" si="4"/>
        <v>-7.4484142619064535</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-7.3391782568111186</v>
      </c>
      <c r="E60" s="11">
        <f>A60-'Mastercurve bestimmen'!$B$2</f>
        <v>-45</v>
      </c>
      <c r="F60" s="11">
        <f t="shared" si="4"/>
        <v>-7.3391782568111186</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-7.2273563695346592</v>
      </c>
      <c r="E61" s="11">
        <f>A61-'Mastercurve bestimmen'!$B$2</f>
        <v>-44</v>
      </c>
      <c r="F61" s="11">
        <f t="shared" si="4"/>
        <v>-7.2273563695346592</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-7.1129866683246252</v>
      </c>
      <c r="E62" s="11">
        <f>A62-'Mastercurve bestimmen'!$B$2</f>
        <v>-43</v>
      </c>
      <c r="F62" s="11">
        <f t="shared" si="4"/>
        <v>-7.1129866683246252</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-6.9961072214285611</v>
      </c>
      <c r="E63" s="11">
        <f>A63-'Mastercurve bestimmen'!$B$2</f>
        <v>-42</v>
      </c>
      <c r="F63" s="11">
        <f t="shared" si="4"/>
        <v>-6.9961072214285611</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-6.8767560970940202</v>
      </c>
      <c r="E64" s="11">
        <f>A64-'Mastercurve bestimmen'!$B$2</f>
        <v>-41</v>
      </c>
      <c r="F64" s="11">
        <f t="shared" si="4"/>
        <v>-6.8767560970940202</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-6.7549713635685489</v>
      </c>
      <c r="E65" s="11">
        <f>A65-'Mastercurve bestimmen'!$B$2</f>
        <v>-40</v>
      </c>
      <c r="F65" s="11">
        <f t="shared" si="4"/>
        <v>-6.7549713635685489</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-6.6307910890996986</v>
      </c>
      <c r="E66" s="11">
        <f>A66-'Mastercurve bestimmen'!$B$2</f>
        <v>-39</v>
      </c>
      <c r="F66" s="11">
        <f t="shared" si="4"/>
        <v>-6.6307910890996986</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-6.5042533419350175</v>
      </c>
      <c r="E67" s="11">
        <f>A67-'Mastercurve bestimmen'!$B$2</f>
        <v>-38</v>
      </c>
      <c r="F67" s="11">
        <f t="shared" si="4"/>
        <v>-6.5042533419350175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-6.3753961903220517</v>
      </c>
      <c r="E68" s="11">
        <f>A68-'Mastercurve bestimmen'!$B$2</f>
        <v>-37</v>
      </c>
      <c r="F68" s="11">
        <f t="shared" si="4"/>
        <v>-6.3753961903220517</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-6.2442577025083548</v>
      </c>
      <c r="E69" s="11">
        <f>A69-'Mastercurve bestimmen'!$B$2</f>
        <v>-36</v>
      </c>
      <c r="F69" s="11">
        <f t="shared" si="4"/>
        <v>-6.2442577025083548</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-6.1108759467414719</v>
      </c>
      <c r="E70" s="11">
        <f>A70-'Mastercurve bestimmen'!$B$2</f>
        <v>-35</v>
      </c>
      <c r="F70" s="11">
        <f t="shared" si="4"/>
        <v>-6.1108759467414719</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-5.9752889912689549</v>
      </c>
      <c r="E71" s="11">
        <f>A71-'Mastercurve bestimmen'!$B$2</f>
        <v>-34</v>
      </c>
      <c r="F71" s="11">
        <f t="shared" si="4"/>
        <v>-5.9752889912689549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-5.8375349043383506</v>
      </c>
      <c r="E72" s="11">
        <f>A72-'Mastercurve bestimmen'!$B$2</f>
        <v>-33</v>
      </c>
      <c r="F72" s="11">
        <f t="shared" si="4"/>
        <v>-5.8375349043383506</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-5.69765175419721</v>
      </c>
      <c r="E73" s="11">
        <f>A73-'Mastercurve bestimmen'!$B$2</f>
        <v>-32</v>
      </c>
      <c r="F73" s="11">
        <f t="shared" si="4"/>
        <v>-5.69765175419721</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-5.5556776090930811</v>
      </c>
      <c r="E74" s="11">
        <f>A74-'Mastercurve bestimmen'!$B$2</f>
        <v>-31</v>
      </c>
      <c r="F74" s="11">
        <f t="shared" si="4"/>
        <v>-5.5556776090930811</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-5.4116505372735126</v>
      </c>
      <c r="E75" s="11">
        <f>A75-'Mastercurve bestimmen'!$B$2</f>
        <v>-30</v>
      </c>
      <c r="F75" s="11">
        <f t="shared" si="4"/>
        <v>-5.4116505372735126</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-5.2656086069860537</v>
      </c>
      <c r="E76" s="11">
        <f>A76-'Mastercurve bestimmen'!$B$2</f>
        <v>-29</v>
      </c>
      <c r="F76" s="11">
        <f t="shared" si="4"/>
        <v>-5.2656086069860537</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-5.117589886478255</v>
      </c>
      <c r="E77" s="11">
        <f>A77-'Mastercurve bestimmen'!$B$2</f>
        <v>-28</v>
      </c>
      <c r="F77" s="11">
        <f t="shared" si="4"/>
        <v>-5.117589886478255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-4.9676324439976618</v>
      </c>
      <c r="E78" s="11">
        <f>A78-'Mastercurve bestimmen'!$B$2</f>
        <v>-27</v>
      </c>
      <c r="F78" s="11">
        <f t="shared" si="4"/>
        <v>-4.9676324439976618</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-4.8157743477918267</v>
      </c>
      <c r="E79" s="11">
        <f>A79-'Mastercurve bestimmen'!$B$2</f>
        <v>-26</v>
      </c>
      <c r="F79" s="11">
        <f t="shared" si="4"/>
        <v>-4.8157743477918267</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-4.6620536661082976</v>
      </c>
      <c r="E80" s="11">
        <f>A80-'Mastercurve bestimmen'!$B$2</f>
        <v>-25</v>
      </c>
      <c r="F80" s="11">
        <f t="shared" ref="F80:F143" si="10">B80</f>
        <v>-4.6620536661082976</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-4.5064876642526812</v>
      </c>
      <c r="E81" s="11">
        <f>A81-'Mastercurve bestimmen'!$B$2</f>
        <v>-24</v>
      </c>
      <c r="F81" s="11">
        <f t="shared" si="10"/>
        <v>-4.5064876642526812</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-4.3490103957628126</v>
      </c>
      <c r="E82" s="11">
        <f>A82-'Mastercurve bestimmen'!$B$2</f>
        <v>-23</v>
      </c>
      <c r="F82" s="11">
        <f t="shared" si="10"/>
        <v>-4.3490103957628126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-4.1895351112345889</v>
      </c>
      <c r="E83" s="11">
        <f>A83-'Mastercurve bestimmen'!$B$2</f>
        <v>-22</v>
      </c>
      <c r="F83" s="11">
        <f t="shared" si="10"/>
        <v>-4.1895351112345889</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-4.0279750612639029</v>
      </c>
      <c r="E84" s="11">
        <f>A84-'Mastercurve bestimmen'!$B$2</f>
        <v>-21</v>
      </c>
      <c r="F84" s="11">
        <f t="shared" si="10"/>
        <v>-4.0279750612639029</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-3.8642434964466505</v>
      </c>
      <c r="E85" s="11">
        <f>A85-'Mastercurve bestimmen'!$B$2</f>
        <v>-20</v>
      </c>
      <c r="F85" s="11">
        <f t="shared" si="10"/>
        <v>-3.8642434964466505</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-3.6982536673787254</v>
      </c>
      <c r="E86" s="11">
        <f>A86-'Mastercurve bestimmen'!$B$2</f>
        <v>-19</v>
      </c>
      <c r="F86" s="11">
        <f t="shared" si="10"/>
        <v>-3.6982536673787254</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-3.5299188246560211</v>
      </c>
      <c r="E87" s="11">
        <f>A87-'Mastercurve bestimmen'!$B$2</f>
        <v>-18</v>
      </c>
      <c r="F87" s="11">
        <f t="shared" si="10"/>
        <v>-3.5299188246560211</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-3.3591522188744336</v>
      </c>
      <c r="E88" s="11">
        <f>A88-'Mastercurve bestimmen'!$B$2</f>
        <v>-17</v>
      </c>
      <c r="F88" s="11">
        <f t="shared" si="10"/>
        <v>-3.3591522188744336</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-3.1858671006298569</v>
      </c>
      <c r="E89" s="11">
        <f>A89-'Mastercurve bestimmen'!$B$2</f>
        <v>-16</v>
      </c>
      <c r="F89" s="11">
        <f t="shared" si="10"/>
        <v>-3.1858671006298569</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-3.0099767205181855</v>
      </c>
      <c r="E90" s="11">
        <f>A90-'Mastercurve bestimmen'!$B$2</f>
        <v>-15</v>
      </c>
      <c r="F90" s="11">
        <f t="shared" si="10"/>
        <v>-3.0099767205181855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-2.8313943291353141</v>
      </c>
      <c r="E91" s="11">
        <f>A91-'Mastercurve bestimmen'!$B$2</f>
        <v>-14</v>
      </c>
      <c r="F91" s="11">
        <f t="shared" si="10"/>
        <v>-2.8313943291353141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-2.6500331770771361</v>
      </c>
      <c r="E92" s="11">
        <f>A92-'Mastercurve bestimmen'!$B$2</f>
        <v>-13</v>
      </c>
      <c r="F92" s="11">
        <f t="shared" si="10"/>
        <v>-2.6500331770771361</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-2.4658065149395476</v>
      </c>
      <c r="E93" s="11">
        <f>A93-'Mastercurve bestimmen'!$B$2</f>
        <v>-12</v>
      </c>
      <c r="F93" s="11">
        <f t="shared" si="10"/>
        <v>-2.4658065149395476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-2.2786275933184421</v>
      </c>
      <c r="E94" s="11">
        <f>A94-'Mastercurve bestimmen'!$B$2</f>
        <v>-11</v>
      </c>
      <c r="F94" s="11">
        <f t="shared" si="10"/>
        <v>-2.2786275933184421</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-2.0884096628097142</v>
      </c>
      <c r="E95" s="11">
        <f>A95-'Mastercurve bestimmen'!$B$2</f>
        <v>-10</v>
      </c>
      <c r="F95" s="11">
        <f t="shared" si="10"/>
        <v>-2.0884096628097142</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-1.8950659740092586</v>
      </c>
      <c r="E96" s="11">
        <f>A96-'Mastercurve bestimmen'!$B$2</f>
        <v>-9</v>
      </c>
      <c r="F96" s="11">
        <f t="shared" si="10"/>
        <v>-1.8950659740092586</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-1.6985097775129696</v>
      </c>
      <c r="E97" s="11">
        <f>A97-'Mastercurve bestimmen'!$B$2</f>
        <v>-8</v>
      </c>
      <c r="F97" s="11">
        <f t="shared" si="10"/>
        <v>-1.6985097775129696</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-1.4986543239167425</v>
      </c>
      <c r="E98" s="11">
        <f>A98-'Mastercurve bestimmen'!$B$2</f>
        <v>-7</v>
      </c>
      <c r="F98" s="11">
        <f t="shared" si="10"/>
        <v>-1.4986543239167425</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-1.2954128638164701</v>
      </c>
      <c r="E99" s="11">
        <f>A99-'Mastercurve bestimmen'!$B$2</f>
        <v>-6</v>
      </c>
      <c r="F99" s="11">
        <f t="shared" si="10"/>
        <v>-1.2954128638164701</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-1.0886986478080485</v>
      </c>
      <c r="E100" s="11">
        <f>A100-'Mastercurve bestimmen'!$B$2</f>
        <v>-5</v>
      </c>
      <c r="F100" s="11">
        <f t="shared" si="10"/>
        <v>-1.0886986478080485</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-0.87842492648737136</v>
      </c>
      <c r="E101" s="11">
        <f>A101-'Mastercurve bestimmen'!$B$2</f>
        <v>-4</v>
      </c>
      <c r="F101" s="11">
        <f t="shared" si="10"/>
        <v>-0.87842492648737136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-0.66450495045033353</v>
      </c>
      <c r="E102" s="11">
        <f>A102-'Mastercurve bestimmen'!$B$2</f>
        <v>-3</v>
      </c>
      <c r="F102" s="11">
        <f t="shared" si="10"/>
        <v>-0.66450495045033353</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-0.44685197029282936</v>
      </c>
      <c r="E103" s="11">
        <f>A103-'Mastercurve bestimmen'!$B$2</f>
        <v>-2</v>
      </c>
      <c r="F103" s="11">
        <f t="shared" si="10"/>
        <v>-0.44685197029282936</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-0.22537923661075326</v>
      </c>
      <c r="E104" s="11">
        <f>A104-'Mastercurve bestimmen'!$B$2</f>
        <v>-1</v>
      </c>
      <c r="F104" s="11">
        <f t="shared" si="10"/>
        <v>-0.22537923661075326</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5.5511151231257827E-17</v>
      </c>
      <c r="E105" s="11">
        <f>A105-'Mastercurve bestimmen'!$B$2</f>
        <v>0</v>
      </c>
      <c r="F105" s="11">
        <f t="shared" si="10"/>
        <v>5.5511151231257827E-17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0.22937857774314535</v>
      </c>
      <c r="E106" s="11">
        <f>A106-'Mastercurve bestimmen'!$B$2</f>
        <v>1</v>
      </c>
      <c r="F106" s="11">
        <f t="shared" si="10"/>
        <v>0.22937857774314535</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0.46287369002083401</v>
      </c>
      <c r="E107" s="11">
        <f>A107-'Mastercurve bestimmen'!$B$2</f>
        <v>2</v>
      </c>
      <c r="F107" s="11">
        <f t="shared" si="10"/>
        <v>0.46287369002083401</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0.70060861903482641</v>
      </c>
      <c r="E108" s="11">
        <f>A108-'Mastercurve bestimmen'!$B$2</f>
        <v>3</v>
      </c>
      <c r="F108" s="11">
        <f t="shared" si="10"/>
        <v>0.70060861903482641</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0.94270664698688345</v>
      </c>
      <c r="E109" s="11">
        <f>A109-'Mastercurve bestimmen'!$B$2</f>
        <v>4</v>
      </c>
      <c r="F109" s="11">
        <f t="shared" si="10"/>
        <v>0.94270664698688345</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1.1892910560787653</v>
      </c>
      <c r="E110" s="11">
        <f>A110-'Mastercurve bestimmen'!$B$2</f>
        <v>5</v>
      </c>
      <c r="F110" s="11">
        <f t="shared" si="10"/>
        <v>1.1892910560787653</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1.4404851285122322</v>
      </c>
      <c r="E111" s="11">
        <f>A111-'Mastercurve bestimmen'!$B$2</f>
        <v>6</v>
      </c>
      <c r="F111" s="11">
        <f t="shared" si="10"/>
        <v>1.4404851285122322</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1.6964121464890451</v>
      </c>
      <c r="E112" s="11">
        <f>A112-'Mastercurve bestimmen'!$B$2</f>
        <v>7</v>
      </c>
      <c r="F112" s="11">
        <f t="shared" si="10"/>
        <v>1.6964121464890451</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1.9571953922109646</v>
      </c>
      <c r="E113" s="11">
        <f>A113-'Mastercurve bestimmen'!$B$2</f>
        <v>8</v>
      </c>
      <c r="F113" s="11">
        <f t="shared" si="10"/>
        <v>1.9571953922109646</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2.2229581478797509</v>
      </c>
      <c r="E114" s="11">
        <f>A114-'Mastercurve bestimmen'!$B$2</f>
        <v>9</v>
      </c>
      <c r="F114" s="11">
        <f t="shared" si="10"/>
        <v>2.2229581478797509</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2.4938236956971647</v>
      </c>
      <c r="E115" s="11">
        <f>A115-'Mastercurve bestimmen'!$B$2</f>
        <v>10</v>
      </c>
      <c r="F115" s="11">
        <f t="shared" si="10"/>
        <v>2.4938236956971647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2.769915317864966</v>
      </c>
      <c r="E116" s="11">
        <f>A116-'Mastercurve bestimmen'!$B$2</f>
        <v>11</v>
      </c>
      <c r="F116" s="11">
        <f t="shared" si="10"/>
        <v>2.769915317864966</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3.0513562965849155</v>
      </c>
      <c r="E117" s="11">
        <f>A117-'Mastercurve bestimmen'!$B$2</f>
        <v>12</v>
      </c>
      <c r="F117" s="11">
        <f t="shared" si="10"/>
        <v>3.0513562965849155</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3.3382699140587744</v>
      </c>
      <c r="E118" s="11">
        <f>A118-'Mastercurve bestimmen'!$B$2</f>
        <v>13</v>
      </c>
      <c r="F118" s="11">
        <f t="shared" si="10"/>
        <v>3.3382699140587744</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3.6307794524883028</v>
      </c>
      <c r="E119" s="11">
        <f>A119-'Mastercurve bestimmen'!$B$2</f>
        <v>14</v>
      </c>
      <c r="F119" s="11">
        <f t="shared" si="10"/>
        <v>3.6307794524883028</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3.9290081940752608</v>
      </c>
      <c r="E120" s="11">
        <f>A120-'Mastercurve bestimmen'!$B$2</f>
        <v>15</v>
      </c>
      <c r="F120" s="11">
        <f t="shared" si="10"/>
        <v>3.9290081940752608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4.2330794210214098</v>
      </c>
      <c r="E121" s="11">
        <f>A121-'Mastercurve bestimmen'!$B$2</f>
        <v>16</v>
      </c>
      <c r="F121" s="11">
        <f t="shared" si="10"/>
        <v>4.2330794210214098</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4.5431164155285089</v>
      </c>
      <c r="E122" s="11">
        <f>A122-'Mastercurve bestimmen'!$B$2</f>
        <v>17</v>
      </c>
      <c r="F122" s="11">
        <f t="shared" si="10"/>
        <v>4.5431164155285089</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4.8592424597983204</v>
      </c>
      <c r="E123" s="11">
        <f>A123-'Mastercurve bestimmen'!$B$2</f>
        <v>18</v>
      </c>
      <c r="F123" s="11">
        <f t="shared" si="10"/>
        <v>4.8592424597983204</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5.1815808360326026</v>
      </c>
      <c r="E124" s="11">
        <f>A124-'Mastercurve bestimmen'!$B$2</f>
        <v>19</v>
      </c>
      <c r="F124" s="11">
        <f t="shared" si="10"/>
        <v>5.1815808360326026</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5.5102548264331181</v>
      </c>
      <c r="E125" s="11">
        <f>A125-'Mastercurve bestimmen'!$B$2</f>
        <v>20</v>
      </c>
      <c r="F125" s="11">
        <f t="shared" si="10"/>
        <v>5.5102548264331181</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5.8453877132016263</v>
      </c>
      <c r="E126" s="11">
        <f>A126-'Mastercurve bestimmen'!$B$2</f>
        <v>21</v>
      </c>
      <c r="F126" s="11">
        <f t="shared" si="10"/>
        <v>5.8453877132016263</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6.187102778539888</v>
      </c>
      <c r="E127" s="11">
        <f>A127-'Mastercurve bestimmen'!$B$2</f>
        <v>22</v>
      </c>
      <c r="F127" s="11">
        <f t="shared" si="10"/>
        <v>6.187102778539888</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6.5355233046496641</v>
      </c>
      <c r="E128" s="11">
        <f>A128-'Mastercurve bestimmen'!$B$2</f>
        <v>23</v>
      </c>
      <c r="F128" s="11">
        <f t="shared" si="10"/>
        <v>6.5355233046496641</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6.890772573732713</v>
      </c>
      <c r="E129" s="11">
        <f>A129-'Mastercurve bestimmen'!$B$2</f>
        <v>24</v>
      </c>
      <c r="F129" s="11">
        <f t="shared" si="10"/>
        <v>6.890772573732713</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7.2529738679907982</v>
      </c>
      <c r="E130" s="11">
        <f>A130-'Mastercurve bestimmen'!$B$2</f>
        <v>25</v>
      </c>
      <c r="F130" s="11">
        <f t="shared" si="10"/>
        <v>7.2529738679907982</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7.622250469625679</v>
      </c>
      <c r="E131" s="11">
        <f>A131-'Mastercurve bestimmen'!$B$2</f>
        <v>26</v>
      </c>
      <c r="F131" s="11">
        <f t="shared" si="10"/>
        <v>7.622250469625679</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7.9987256608391153</v>
      </c>
      <c r="E132" s="11">
        <f>A132-'Mastercurve bestimmen'!$B$2</f>
        <v>27</v>
      </c>
      <c r="F132" s="11">
        <f t="shared" si="10"/>
        <v>7.9987256608391153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8.382522723832869</v>
      </c>
      <c r="E133" s="11">
        <f>A133-'Mastercurve bestimmen'!$B$2</f>
        <v>28</v>
      </c>
      <c r="F133" s="11">
        <f t="shared" si="10"/>
        <v>8.382522723832869</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8.7737649408086984</v>
      </c>
      <c r="E134" s="11">
        <f>A134-'Mastercurve bestimmen'!$B$2</f>
        <v>29</v>
      </c>
      <c r="F134" s="11">
        <f t="shared" si="10"/>
        <v>8.7737649408086984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9.1725755939683662</v>
      </c>
      <c r="E135" s="11">
        <f>A135-'Mastercurve bestimmen'!$B$2</f>
        <v>30</v>
      </c>
      <c r="F135" s="11">
        <f t="shared" si="10"/>
        <v>9.1725755939683662</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9.578978417369818</v>
      </c>
      <c r="E136" s="11">
        <f>A136-'Mastercurve bestimmen'!$B$2</f>
        <v>31</v>
      </c>
      <c r="F136" s="11">
        <f t="shared" si="10"/>
        <v>9.578978417369818</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9.9925989524957508</v>
      </c>
      <c r="E137" s="11">
        <f>A137-'Mastercurve bestimmen'!$B$2</f>
        <v>32</v>
      </c>
      <c r="F137" s="11">
        <f t="shared" si="10"/>
        <v>9.9925989524957508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10.412963192685044</v>
      </c>
      <c r="E138" s="11">
        <f>A138-'Mastercurve bestimmen'!$B$2</f>
        <v>33</v>
      </c>
      <c r="F138" s="11">
        <f t="shared" si="10"/>
        <v>10.412963192685044</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10.83959713127658</v>
      </c>
      <c r="E139" s="11">
        <f>A139-'Mastercurve bestimmen'!$B$2</f>
        <v>34</v>
      </c>
      <c r="F139" s="11">
        <f t="shared" si="10"/>
        <v>10.83959713127658</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11.272026761609242</v>
      </c>
      <c r="E140" s="11">
        <f>A140-'Mastercurve bestimmen'!$B$2</f>
        <v>35</v>
      </c>
      <c r="F140" s="11">
        <f t="shared" si="10"/>
        <v>11.272026761609242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11.709778077021911</v>
      </c>
      <c r="E141" s="11">
        <f>A141-'Mastercurve bestimmen'!$B$2</f>
        <v>36</v>
      </c>
      <c r="F141" s="11">
        <f t="shared" si="10"/>
        <v>11.709778077021911</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12.152377070853465</v>
      </c>
      <c r="E142" s="11">
        <f>A142-'Mastercurve bestimmen'!$B$2</f>
        <v>37</v>
      </c>
      <c r="F142" s="11">
        <f t="shared" si="10"/>
        <v>12.152377070853465</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12.599349736442793</v>
      </c>
      <c r="E143" s="11">
        <f>A143-'Mastercurve bestimmen'!$B$2</f>
        <v>38</v>
      </c>
      <c r="F143" s="11">
        <f t="shared" si="10"/>
        <v>12.599349736442793</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13.05022206712877</v>
      </c>
      <c r="E144" s="11">
        <f>A144-'Mastercurve bestimmen'!$B$2</f>
        <v>39</v>
      </c>
      <c r="F144" s="11">
        <f t="shared" ref="F144:F207" si="15">B144</f>
        <v>13.05022206712877</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13.50452005625028</v>
      </c>
      <c r="E145" s="11">
        <f>A145-'Mastercurve bestimmen'!$B$2</f>
        <v>40</v>
      </c>
      <c r="F145" s="11">
        <f t="shared" si="15"/>
        <v>13.50452005625028</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13.961769697146208</v>
      </c>
      <c r="E146" s="11">
        <f>A146-'Mastercurve bestimmen'!$B$2</f>
        <v>41</v>
      </c>
      <c r="F146" s="11">
        <f t="shared" si="15"/>
        <v>13.961769697146208</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14.421496983155432</v>
      </c>
      <c r="E147" s="11">
        <f>A147-'Mastercurve bestimmen'!$B$2</f>
        <v>42</v>
      </c>
      <c r="F147" s="11">
        <f t="shared" si="15"/>
        <v>14.421496983155432</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14.883227907616831</v>
      </c>
      <c r="E148" s="11">
        <f>A148-'Mastercurve bestimmen'!$B$2</f>
        <v>43</v>
      </c>
      <c r="F148" s="11">
        <f t="shared" si="15"/>
        <v>14.883227907616831</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15.346488463869294</v>
      </c>
      <c r="E149" s="11">
        <f>A149-'Mastercurve bestimmen'!$B$2</f>
        <v>44</v>
      </c>
      <c r="F149" s="11">
        <f t="shared" si="15"/>
        <v>15.346488463869294</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15.810804645251697</v>
      </c>
      <c r="E150" s="11">
        <f>A150-'Mastercurve bestimmen'!$B$2</f>
        <v>45</v>
      </c>
      <c r="F150" s="11">
        <f t="shared" si="15"/>
        <v>15.810804645251697</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16.275702445102926</v>
      </c>
      <c r="E151" s="11">
        <f>A151-'Mastercurve bestimmen'!$B$2</f>
        <v>46</v>
      </c>
      <c r="F151" s="11">
        <f t="shared" si="15"/>
        <v>16.275702445102926</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16.740707856761858</v>
      </c>
      <c r="E152" s="11">
        <f>A152-'Mastercurve bestimmen'!$B$2</f>
        <v>47</v>
      </c>
      <c r="F152" s="11">
        <f t="shared" si="15"/>
        <v>16.740707856761858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17.205346873567379</v>
      </c>
      <c r="E153" s="11">
        <f>A153-'Mastercurve bestimmen'!$B$2</f>
        <v>48</v>
      </c>
      <c r="F153" s="11">
        <f t="shared" si="15"/>
        <v>17.205346873567379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17.669145488858366</v>
      </c>
      <c r="E154" s="11">
        <f>A154-'Mastercurve bestimmen'!$B$2</f>
        <v>49</v>
      </c>
      <c r="F154" s="11">
        <f t="shared" si="15"/>
        <v>17.669145488858366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18.131629695973704</v>
      </c>
      <c r="E155" s="11">
        <f>A155-'Mastercurve bestimmen'!$B$2</f>
        <v>50</v>
      </c>
      <c r="F155" s="11">
        <f t="shared" si="15"/>
        <v>18.131629695973704</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18.592325488252278</v>
      </c>
      <c r="E156" s="11">
        <f>A156-'Mastercurve bestimmen'!$B$2</f>
        <v>51</v>
      </c>
      <c r="F156" s="11">
        <f t="shared" si="15"/>
        <v>18.592325488252278</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19.05075885903296</v>
      </c>
      <c r="E157" s="11">
        <f>A157-'Mastercurve bestimmen'!$B$2</f>
        <v>52</v>
      </c>
      <c r="F157" s="11">
        <f t="shared" si="15"/>
        <v>19.05075885903296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19.506455801654642</v>
      </c>
      <c r="E158" s="11">
        <f>A158-'Mastercurve bestimmen'!$B$2</f>
        <v>53</v>
      </c>
      <c r="F158" s="11">
        <f t="shared" si="15"/>
        <v>19.506455801654642</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19.958942309456202</v>
      </c>
      <c r="E159" s="11">
        <f>A159-'Mastercurve bestimmen'!$B$2</f>
        <v>54</v>
      </c>
      <c r="F159" s="11">
        <f t="shared" si="15"/>
        <v>19.958942309456202</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20.40774437577652</v>
      </c>
      <c r="E160" s="11">
        <f>A160-'Mastercurve bestimmen'!$B$2</f>
        <v>55</v>
      </c>
      <c r="F160" s="11">
        <f t="shared" si="15"/>
        <v>20.40774437577652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20.852387993954476</v>
      </c>
      <c r="E161" s="11">
        <f>A161-'Mastercurve bestimmen'!$B$2</f>
        <v>56</v>
      </c>
      <c r="F161" s="11">
        <f t="shared" si="15"/>
        <v>20.852387993954476</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21.292399157328958</v>
      </c>
      <c r="E162" s="11">
        <f>A162-'Mastercurve bestimmen'!$B$2</f>
        <v>57</v>
      </c>
      <c r="F162" s="11">
        <f t="shared" si="15"/>
        <v>21.292399157328958</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21.727303859238841</v>
      </c>
      <c r="E163" s="11">
        <f>A163-'Mastercurve bestimmen'!$B$2</f>
        <v>58</v>
      </c>
      <c r="F163" s="11">
        <f t="shared" si="15"/>
        <v>21.727303859238841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22.156628093023013</v>
      </c>
      <c r="E164" s="11">
        <f>A164-'Mastercurve bestimmen'!$B$2</f>
        <v>59</v>
      </c>
      <c r="F164" s="11">
        <f t="shared" si="15"/>
        <v>22.156628093023013</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22.579897852020352</v>
      </c>
      <c r="E165" s="11">
        <f>A165-'Mastercurve bestimmen'!$B$2</f>
        <v>60</v>
      </c>
      <c r="F165" s="11">
        <f t="shared" si="15"/>
        <v>22.579897852020352</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22.996639129569736</v>
      </c>
      <c r="E166" s="11">
        <f>A166-'Mastercurve bestimmen'!$B$2</f>
        <v>61</v>
      </c>
      <c r="F166" s="11">
        <f t="shared" si="15"/>
        <v>22.996639129569736</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23.406377919010055</v>
      </c>
      <c r="E167" s="11">
        <f>A167-'Mastercurve bestimmen'!$B$2</f>
        <v>62</v>
      </c>
      <c r="F167" s="11">
        <f t="shared" si="15"/>
        <v>23.406377919010055</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23.808640213680185</v>
      </c>
      <c r="E168" s="11">
        <f>A168-'Mastercurve bestimmen'!$B$2</f>
        <v>63</v>
      </c>
      <c r="F168" s="11">
        <f t="shared" si="15"/>
        <v>23.808640213680185</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24.202952006919013</v>
      </c>
      <c r="E169" s="11">
        <f>A169-'Mastercurve bestimmen'!$B$2</f>
        <v>64</v>
      </c>
      <c r="F169" s="11">
        <f t="shared" si="15"/>
        <v>24.202952006919013</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24.588839292065412</v>
      </c>
      <c r="E170" s="11">
        <f>A170-'Mastercurve bestimmen'!$B$2</f>
        <v>65</v>
      </c>
      <c r="F170" s="11">
        <f t="shared" si="15"/>
        <v>24.588839292065412</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24.965828062458272</v>
      </c>
      <c r="E171" s="11">
        <f>A171-'Mastercurve bestimmen'!$B$2</f>
        <v>66</v>
      </c>
      <c r="F171" s="11">
        <f t="shared" si="15"/>
        <v>24.965828062458272</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25.333444311436473</v>
      </c>
      <c r="E172" s="11">
        <f>A172-'Mastercurve bestimmen'!$B$2</f>
        <v>67</v>
      </c>
      <c r="F172" s="11">
        <f t="shared" si="15"/>
        <v>25.333444311436473</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25.691214032338891</v>
      </c>
      <c r="E173" s="11">
        <f>A173-'Mastercurve bestimmen'!$B$2</f>
        <v>68</v>
      </c>
      <c r="F173" s="11">
        <f t="shared" si="15"/>
        <v>25.691214032338891</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26.038663218504414</v>
      </c>
      <c r="E174" s="11">
        <f>A174-'Mastercurve bestimmen'!$B$2</f>
        <v>69</v>
      </c>
      <c r="F174" s="11">
        <f t="shared" si="15"/>
        <v>26.038663218504414</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26.375317863271924</v>
      </c>
      <c r="E175" s="11">
        <f>A175-'Mastercurve bestimmen'!$B$2</f>
        <v>70</v>
      </c>
      <c r="F175" s="11">
        <f t="shared" si="15"/>
        <v>26.375317863271924</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26.700703959980302</v>
      </c>
      <c r="E176" s="11">
        <f>A176-'Mastercurve bestimmen'!$B$2</f>
        <v>71</v>
      </c>
      <c r="F176" s="11">
        <f t="shared" si="15"/>
        <v>26.700703959980302</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27.014347501968423</v>
      </c>
      <c r="E177" s="11">
        <f>A177-'Mastercurve bestimmen'!$B$2</f>
        <v>72</v>
      </c>
      <c r="F177" s="11">
        <f t="shared" si="15"/>
        <v>27.014347501968423</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27.315774482575176</v>
      </c>
      <c r="E178" s="11">
        <f>A178-'Mastercurve bestimmen'!$B$2</f>
        <v>73</v>
      </c>
      <c r="F178" s="11">
        <f t="shared" si="15"/>
        <v>27.315774482575176</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27.604510895139441</v>
      </c>
      <c r="E179" s="11">
        <f>A179-'Mastercurve bestimmen'!$B$2</f>
        <v>74</v>
      </c>
      <c r="F179" s="11">
        <f t="shared" si="15"/>
        <v>27.604510895139441</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27.880082733000094</v>
      </c>
      <c r="E180" s="11">
        <f>A180-'Mastercurve bestimmen'!$B$2</f>
        <v>75</v>
      </c>
      <c r="F180" s="11">
        <f t="shared" si="15"/>
        <v>27.880082733000094</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28.142159936231756</v>
      </c>
      <c r="E181" s="11">
        <f>A181-'Mastercurve bestimmen'!$B$2</f>
        <v>76</v>
      </c>
      <c r="F181" s="11">
        <f t="shared" si="15"/>
        <v>28.142159936231756</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28.390988231851978</v>
      </c>
      <c r="E182" s="11">
        <f>A182-'Mastercurve bestimmen'!$B$2</f>
        <v>77</v>
      </c>
      <c r="F182" s="11">
        <f t="shared" si="15"/>
        <v>28.390988231851978</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28.626957293614023</v>
      </c>
      <c r="E183" s="11">
        <f>A183-'Mastercurve bestimmen'!$B$2</f>
        <v>78</v>
      </c>
      <c r="F183" s="11">
        <f t="shared" si="15"/>
        <v>28.626957293614023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28.850456795271182</v>
      </c>
      <c r="E184" s="11">
        <f>A184-'Mastercurve bestimmen'!$B$2</f>
        <v>79</v>
      </c>
      <c r="F184" s="11">
        <f t="shared" si="15"/>
        <v>28.850456795271182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29.061876410576723</v>
      </c>
      <c r="E185" s="11">
        <f>A185-'Mastercurve bestimmen'!$B$2</f>
        <v>80</v>
      </c>
      <c r="F185" s="11">
        <f t="shared" si="15"/>
        <v>29.061876410576723</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29.261605813283929</v>
      </c>
      <c r="E186" s="11">
        <f>A186-'Mastercurve bestimmen'!$B$2</f>
        <v>81</v>
      </c>
      <c r="F186" s="11">
        <f t="shared" si="15"/>
        <v>29.261605813283929</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29.450034677146082</v>
      </c>
      <c r="E187" s="11">
        <f>A187-'Mastercurve bestimmen'!$B$2</f>
        <v>82</v>
      </c>
      <c r="F187" s="11">
        <f t="shared" si="15"/>
        <v>29.450034677146082</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29.627552675916455</v>
      </c>
      <c r="E188" s="11">
        <f>A188-'Mastercurve bestimmen'!$B$2</f>
        <v>83</v>
      </c>
      <c r="F188" s="11">
        <f t="shared" si="15"/>
        <v>29.627552675916455</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29.79454948334832</v>
      </c>
      <c r="E189" s="11">
        <f>A189-'Mastercurve bestimmen'!$B$2</f>
        <v>84</v>
      </c>
      <c r="F189" s="11">
        <f t="shared" si="15"/>
        <v>29.79454948334832</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29.951414773194962</v>
      </c>
      <c r="E190" s="11">
        <f>A190-'Mastercurve bestimmen'!$B$2</f>
        <v>85</v>
      </c>
      <c r="F190" s="11">
        <f t="shared" si="15"/>
        <v>29.951414773194962</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30.098538219209662</v>
      </c>
      <c r="E191" s="11">
        <f>A191-'Mastercurve bestimmen'!$B$2</f>
        <v>86</v>
      </c>
      <c r="F191" s="11">
        <f t="shared" si="15"/>
        <v>30.098538219209662</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30.236309495145687</v>
      </c>
      <c r="E192" s="11">
        <f>A192-'Mastercurve bestimmen'!$B$2</f>
        <v>87</v>
      </c>
      <c r="F192" s="11">
        <f t="shared" si="15"/>
        <v>30.236309495145687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30.365118274756327</v>
      </c>
      <c r="E193" s="11">
        <f>A193-'Mastercurve bestimmen'!$B$2</f>
        <v>88</v>
      </c>
      <c r="F193" s="11">
        <f t="shared" si="15"/>
        <v>30.365118274756327</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30.485354231794851</v>
      </c>
      <c r="E194" s="11">
        <f>A194-'Mastercurve bestimmen'!$B$2</f>
        <v>89</v>
      </c>
      <c r="F194" s="11">
        <f t="shared" si="15"/>
        <v>30.485354231794851</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30.597407040014538</v>
      </c>
      <c r="E195" s="11">
        <f>A195-'Mastercurve bestimmen'!$B$2</f>
        <v>90</v>
      </c>
      <c r="F195" s="11">
        <f t="shared" si="15"/>
        <v>30.597407040014538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30.701666373168674</v>
      </c>
      <c r="E196" s="11">
        <f>A196-'Mastercurve bestimmen'!$B$2</f>
        <v>91</v>
      </c>
      <c r="F196" s="11">
        <f t="shared" si="15"/>
        <v>30.701666373168674</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30.798521905010524</v>
      </c>
      <c r="E197" s="11">
        <f>A197-'Mastercurve bestimmen'!$B$2</f>
        <v>92</v>
      </c>
      <c r="F197" s="11">
        <f t="shared" si="15"/>
        <v>30.798521905010524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30.888363309293378</v>
      </c>
      <c r="E198" s="11">
        <f>A198-'Mastercurve bestimmen'!$B$2</f>
        <v>93</v>
      </c>
      <c r="F198" s="11">
        <f t="shared" si="15"/>
        <v>30.888363309293378</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30.971580259770505</v>
      </c>
      <c r="E199" s="11">
        <f>A199-'Mastercurve bestimmen'!$B$2</f>
        <v>94</v>
      </c>
      <c r="F199" s="11">
        <f t="shared" si="15"/>
        <v>30.971580259770505</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31.04856243019519</v>
      </c>
      <c r="E200" s="11">
        <f>A200-'Mastercurve bestimmen'!$B$2</f>
        <v>95</v>
      </c>
      <c r="F200" s="11">
        <f t="shared" si="15"/>
        <v>31.04856243019519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31.119699494320702</v>
      </c>
      <c r="E201" s="11">
        <f>A201-'Mastercurve bestimmen'!$B$2</f>
        <v>96</v>
      </c>
      <c r="F201" s="11">
        <f t="shared" si="15"/>
        <v>31.119699494320702</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31.185381125900328</v>
      </c>
      <c r="E202" s="11">
        <f>A202-'Mastercurve bestimmen'!$B$2</f>
        <v>97</v>
      </c>
      <c r="F202" s="11">
        <f t="shared" si="15"/>
        <v>31.185381125900328</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31.245996998687339</v>
      </c>
      <c r="E203" s="11">
        <f>A203-'Mastercurve bestimmen'!$B$2</f>
        <v>98</v>
      </c>
      <c r="F203" s="11">
        <f t="shared" si="15"/>
        <v>31.245996998687339</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31.301936786435014</v>
      </c>
      <c r="E204" s="11">
        <f>A204-'Mastercurve bestimmen'!$B$2</f>
        <v>99</v>
      </c>
      <c r="F204" s="11">
        <f t="shared" si="15"/>
        <v>31.301936786435014</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31.353590162896637</v>
      </c>
      <c r="E205" s="11">
        <f>A205-'Mastercurve bestimmen'!$B$2</f>
        <v>100</v>
      </c>
      <c r="F205" s="11">
        <f t="shared" si="15"/>
        <v>31.353590162896637</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31.401346801825479</v>
      </c>
      <c r="E206" s="11">
        <f>A206-'Mastercurve bestimmen'!$B$2</f>
        <v>101</v>
      </c>
      <c r="F206" s="11">
        <f t="shared" si="15"/>
        <v>31.401346801825479</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31.445596376974827</v>
      </c>
      <c r="E207" s="11">
        <f>A207-'Mastercurve bestimmen'!$B$2</f>
        <v>102</v>
      </c>
      <c r="F207" s="11">
        <f t="shared" si="15"/>
        <v>31.445596376974827</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31.486728562097944</v>
      </c>
      <c r="E208" s="11">
        <f>A208-'Mastercurve bestimmen'!$B$2</f>
        <v>103</v>
      </c>
      <c r="F208" s="11">
        <f t="shared" ref="F208:F215" si="21">B208</f>
        <v>31.486728562097944</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31.525133030948119</v>
      </c>
      <c r="E209" s="11">
        <f>A209-'Mastercurve bestimmen'!$B$2</f>
        <v>104</v>
      </c>
      <c r="F209" s="11">
        <f t="shared" si="21"/>
        <v>31.525133030948119</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31.561199457278626</v>
      </c>
      <c r="E210" s="11">
        <f>A210-'Mastercurve bestimmen'!$B$2</f>
        <v>105</v>
      </c>
      <c r="F210" s="11">
        <f t="shared" si="21"/>
        <v>31.561199457278626</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31.595317514842744</v>
      </c>
      <c r="E211" s="11">
        <f>A211-'Mastercurve bestimmen'!$B$2</f>
        <v>106</v>
      </c>
      <c r="F211" s="11">
        <f t="shared" si="21"/>
        <v>31.595317514842744</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31.627876877393749</v>
      </c>
      <c r="E212" s="11">
        <f>A212-'Mastercurve bestimmen'!$B$2</f>
        <v>107</v>
      </c>
      <c r="F212" s="11">
        <f t="shared" si="21"/>
        <v>31.627876877393749</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31.659267218684921</v>
      </c>
      <c r="E213" s="11">
        <f>A213-'Mastercurve bestimmen'!$B$2</f>
        <v>108</v>
      </c>
      <c r="F213" s="11">
        <f t="shared" si="21"/>
        <v>31.659267218684921</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31.689878212469541</v>
      </c>
      <c r="E214" s="11">
        <f>A214-'Mastercurve bestimmen'!$B$2</f>
        <v>109</v>
      </c>
      <c r="F214" s="11">
        <f t="shared" si="21"/>
        <v>31.689878212469541</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31.720099532500878</v>
      </c>
      <c r="E215" s="11">
        <f>A215-'Mastercurve bestimmen'!$B$2</f>
        <v>110</v>
      </c>
      <c r="F215" s="11">
        <f t="shared" si="21"/>
        <v>31.720099532500878</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0.22670143412778754</v>
      </c>
      <c r="J217" s="98">
        <v>2.3054174102736438E-3</v>
      </c>
      <c r="K217" s="98">
        <v>2.2526264202162082E-5</v>
      </c>
      <c r="L217" s="98">
        <v>-9.3975495295630713E-8</v>
      </c>
      <c r="M217" s="98">
        <v>-4.0778462178845704E-9</v>
      </c>
      <c r="N217" s="98">
        <v>-1.0618475574250024E-11</v>
      </c>
      <c r="O217" s="98">
        <v>1.781499844492808E-13</v>
      </c>
      <c r="P217" s="98">
        <v>5.9395859941036192E-16</v>
      </c>
    </row>
    <row r="218" spans="1:16" x14ac:dyDescent="0.25">
      <c r="G218" s="11"/>
      <c r="H218" s="11">
        <v>0</v>
      </c>
      <c r="I218" s="11">
        <v>7.0610806768835091E-4</v>
      </c>
      <c r="J218" s="11">
        <v>1.5859246677998878E-5</v>
      </c>
      <c r="K218" s="3">
        <v>5.9309253515230267E-7</v>
      </c>
      <c r="L218" s="3">
        <v>8.9039295217239439E-9</v>
      </c>
      <c r="M218" s="3">
        <v>1.4480908872054261E-10</v>
      </c>
      <c r="N218" s="3">
        <v>1.6742295881065512E-12</v>
      </c>
      <c r="O218" s="11">
        <v>1.0486818276948564E-14</v>
      </c>
      <c r="P218" s="11">
        <v>1.0585104991532957E-16</v>
      </c>
    </row>
    <row r="219" spans="1:16" x14ac:dyDescent="0.25">
      <c r="G219" s="11"/>
      <c r="H219" s="11">
        <v>0.99997886460766006</v>
      </c>
      <c r="I219" s="11">
        <v>7.9133355768860686E-2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-11.844507561952318</v>
      </c>
      <c r="G222">
        <f>F15</f>
        <v>-11.767742998078067</v>
      </c>
    </row>
    <row r="223" spans="1:16" x14ac:dyDescent="0.25">
      <c r="E223" s="11">
        <f t="shared" ref="E223:E286" si="25">E16</f>
        <v>-89</v>
      </c>
      <c r="F223" s="11">
        <f t="shared" ref="F223:F286" si="26">$H$217*0+E223*$I$217+E223^2*$J$217+E223^3*$K$217+E223^4*$L$217+E223^5*$M$217+E223^6*$N$217+E223^7*$O$217+E223^8*$P$217</f>
        <v>-11.739656297563865</v>
      </c>
      <c r="G223" s="11">
        <f t="shared" ref="G223:G286" si="27">F16</f>
        <v>-11.688514464042477</v>
      </c>
    </row>
    <row r="224" spans="1:16" x14ac:dyDescent="0.25">
      <c r="E224" s="11">
        <f t="shared" si="25"/>
        <v>-88</v>
      </c>
      <c r="F224" s="11">
        <f t="shared" si="26"/>
        <v>-11.638901314289553</v>
      </c>
      <c r="G224" s="11">
        <f t="shared" si="27"/>
        <v>-11.609216524421416</v>
      </c>
    </row>
    <row r="225" spans="5:7" x14ac:dyDescent="0.25">
      <c r="E225" s="11">
        <f t="shared" si="25"/>
        <v>-87</v>
      </c>
      <c r="F225" s="11">
        <f t="shared" si="26"/>
        <v>-11.541729308562276</v>
      </c>
      <c r="G225" s="11">
        <f t="shared" si="27"/>
        <v>-11.529779773629413</v>
      </c>
    </row>
    <row r="226" spans="5:7" x14ac:dyDescent="0.25">
      <c r="E226" s="11">
        <f t="shared" si="25"/>
        <v>-86</v>
      </c>
      <c r="F226" s="11">
        <f t="shared" si="26"/>
        <v>-11.447657910691486</v>
      </c>
      <c r="G226" s="11">
        <f t="shared" si="27"/>
        <v>-11.450134806080994</v>
      </c>
    </row>
    <row r="227" spans="5:7" x14ac:dyDescent="0.25">
      <c r="E227" s="11">
        <f t="shared" si="25"/>
        <v>-85</v>
      </c>
      <c r="F227" s="11">
        <f t="shared" si="26"/>
        <v>-11.356234742236348</v>
      </c>
      <c r="G227" s="11">
        <f t="shared" si="27"/>
        <v>-11.370212216190685</v>
      </c>
    </row>
    <row r="228" spans="5:7" x14ac:dyDescent="0.25">
      <c r="E228" s="11">
        <f t="shared" si="25"/>
        <v>-84</v>
      </c>
      <c r="F228" s="11">
        <f t="shared" si="26"/>
        <v>-11.267036468500699</v>
      </c>
      <c r="G228" s="11">
        <f t="shared" si="27"/>
        <v>-11.289942598373022</v>
      </c>
    </row>
    <row r="229" spans="5:7" x14ac:dyDescent="0.25">
      <c r="E229" s="11">
        <f t="shared" si="25"/>
        <v>-83</v>
      </c>
      <c r="F229" s="11">
        <f t="shared" si="26"/>
        <v>-11.179667847323467</v>
      </c>
      <c r="G229" s="11">
        <f t="shared" si="27"/>
        <v>-11.209256547042525</v>
      </c>
    </row>
    <row r="230" spans="5:7" x14ac:dyDescent="0.25">
      <c r="E230" s="11">
        <f t="shared" si="25"/>
        <v>-82</v>
      </c>
      <c r="F230" s="11">
        <f t="shared" si="26"/>
        <v>-11.093760775314118</v>
      </c>
      <c r="G230" s="11">
        <f t="shared" si="27"/>
        <v>-11.128084656613728</v>
      </c>
    </row>
    <row r="231" spans="5:7" x14ac:dyDescent="0.25">
      <c r="E231" s="11">
        <f t="shared" si="25"/>
        <v>-81</v>
      </c>
      <c r="F231" s="11">
        <f t="shared" si="26"/>
        <v>-11.008973332659108</v>
      </c>
      <c r="G231" s="11">
        <f t="shared" si="27"/>
        <v>-11.046357521501157</v>
      </c>
    </row>
    <row r="232" spans="5:7" x14ac:dyDescent="0.25">
      <c r="E232" s="11">
        <f t="shared" si="25"/>
        <v>-80</v>
      </c>
      <c r="F232" s="11">
        <f t="shared" si="26"/>
        <v>-10.924988827601013</v>
      </c>
      <c r="G232" s="11">
        <f t="shared" si="27"/>
        <v>-10.964005736119338</v>
      </c>
    </row>
    <row r="233" spans="5:7" x14ac:dyDescent="0.25">
      <c r="E233" s="11">
        <f t="shared" si="25"/>
        <v>-79</v>
      </c>
      <c r="F233" s="11">
        <f t="shared" si="26"/>
        <v>-10.8415148416682</v>
      </c>
      <c r="G233" s="11">
        <f t="shared" si="27"/>
        <v>-10.880959894882803</v>
      </c>
    </row>
    <row r="234" spans="5:7" x14ac:dyDescent="0.25">
      <c r="E234" s="11">
        <f t="shared" si="25"/>
        <v>-78</v>
      </c>
      <c r="F234" s="11">
        <f t="shared" si="26"/>
        <v>-10.758282276709092</v>
      </c>
      <c r="G234" s="11">
        <f t="shared" si="27"/>
        <v>-10.797150592206076</v>
      </c>
    </row>
    <row r="235" spans="5:7" x14ac:dyDescent="0.25">
      <c r="E235" s="11">
        <f t="shared" si="25"/>
        <v>-77</v>
      </c>
      <c r="F235" s="11">
        <f t="shared" si="26"/>
        <v>-10.675044404760826</v>
      </c>
      <c r="G235" s="11">
        <f t="shared" si="27"/>
        <v>-10.712508422503692</v>
      </c>
    </row>
    <row r="236" spans="5:7" x14ac:dyDescent="0.25">
      <c r="E236" s="11">
        <f t="shared" si="25"/>
        <v>-76</v>
      </c>
      <c r="F236" s="11">
        <f t="shared" si="26"/>
        <v>-10.591575921758439</v>
      </c>
      <c r="G236" s="11">
        <f t="shared" si="27"/>
        <v>-10.626963980190173</v>
      </c>
    </row>
    <row r="237" spans="5:7" x14ac:dyDescent="0.25">
      <c r="E237" s="11">
        <f t="shared" si="25"/>
        <v>-75</v>
      </c>
      <c r="F237" s="11">
        <f t="shared" si="26"/>
        <v>-10.507672006066638</v>
      </c>
      <c r="G237" s="11">
        <f t="shared" si="27"/>
        <v>-10.54044785968005</v>
      </c>
    </row>
    <row r="238" spans="5:7" x14ac:dyDescent="0.25">
      <c r="E238" s="11">
        <f t="shared" si="25"/>
        <v>-74</v>
      </c>
      <c r="F238" s="11">
        <f t="shared" si="26"/>
        <v>-10.423147382792257</v>
      </c>
      <c r="G238" s="11">
        <f t="shared" si="27"/>
        <v>-10.452890655387849</v>
      </c>
    </row>
    <row r="239" spans="5:7" x14ac:dyDescent="0.25">
      <c r="E239" s="11">
        <f t="shared" si="25"/>
        <v>-73</v>
      </c>
      <c r="F239" s="11">
        <f t="shared" si="26"/>
        <v>-10.337835394811577</v>
      </c>
      <c r="G239" s="11">
        <f t="shared" si="27"/>
        <v>-10.3642229617281</v>
      </c>
    </row>
    <row r="240" spans="5:7" x14ac:dyDescent="0.25">
      <c r="E240" s="11">
        <f t="shared" si="25"/>
        <v>-72</v>
      </c>
      <c r="F240" s="11">
        <f t="shared" si="26"/>
        <v>-10.251587081422761</v>
      </c>
      <c r="G240" s="11">
        <f t="shared" si="27"/>
        <v>-10.274375373115333</v>
      </c>
    </row>
    <row r="241" spans="5:7" x14ac:dyDescent="0.25">
      <c r="E241" s="11">
        <f t="shared" si="25"/>
        <v>-71</v>
      </c>
      <c r="F241" s="11">
        <f t="shared" si="26"/>
        <v>-10.164270265509696</v>
      </c>
      <c r="G241" s="11">
        <f t="shared" si="27"/>
        <v>-10.183278483964074</v>
      </c>
    </row>
    <row r="242" spans="5:7" x14ac:dyDescent="0.25">
      <c r="E242" s="11">
        <f t="shared" si="25"/>
        <v>-70</v>
      </c>
      <c r="F242" s="11">
        <f t="shared" si="26"/>
        <v>-10.0757686500795</v>
      </c>
      <c r="G242" s="11">
        <f t="shared" si="27"/>
        <v>-10.09086288868885</v>
      </c>
    </row>
    <row r="243" spans="5:7" x14ac:dyDescent="0.25">
      <c r="E243" s="11">
        <f t="shared" si="25"/>
        <v>-69</v>
      </c>
      <c r="F243" s="11">
        <f t="shared" si="26"/>
        <v>-9.9859809250121785</v>
      </c>
      <c r="G243" s="11">
        <f t="shared" si="27"/>
        <v>-9.9970591817041914</v>
      </c>
    </row>
    <row r="244" spans="5:7" x14ac:dyDescent="0.25">
      <c r="E244" s="11">
        <f t="shared" si="25"/>
        <v>-68</v>
      </c>
      <c r="F244" s="11">
        <f t="shared" si="26"/>
        <v>-9.8948198848368047</v>
      </c>
      <c r="G244" s="11">
        <f t="shared" si="27"/>
        <v>-9.9017979574246269</v>
      </c>
    </row>
    <row r="245" spans="5:7" x14ac:dyDescent="0.25">
      <c r="E245" s="11">
        <f t="shared" si="25"/>
        <v>-67</v>
      </c>
      <c r="F245" s="11">
        <f t="shared" si="26"/>
        <v>-9.8022115583246947</v>
      </c>
      <c r="G245" s="11">
        <f t="shared" si="27"/>
        <v>-9.8050098102646821</v>
      </c>
    </row>
    <row r="246" spans="5:7" x14ac:dyDescent="0.25">
      <c r="E246" s="11">
        <f t="shared" si="25"/>
        <v>-66</v>
      </c>
      <c r="F246" s="11">
        <f t="shared" si="26"/>
        <v>-9.7080943506661939</v>
      </c>
      <c r="G246" s="11">
        <f t="shared" si="27"/>
        <v>-9.706625334638888</v>
      </c>
    </row>
    <row r="247" spans="5:7" x14ac:dyDescent="0.25">
      <c r="E247" s="11">
        <f t="shared" si="25"/>
        <v>-65</v>
      </c>
      <c r="F247" s="11">
        <f t="shared" si="26"/>
        <v>-9.6124181989735771</v>
      </c>
      <c r="G247" s="11">
        <f t="shared" si="27"/>
        <v>-9.6065751249617719</v>
      </c>
    </row>
    <row r="248" spans="5:7" x14ac:dyDescent="0.25">
      <c r="E248" s="11">
        <f t="shared" si="25"/>
        <v>-64</v>
      </c>
      <c r="F248" s="11">
        <f t="shared" si="26"/>
        <v>-9.5151437418287586</v>
      </c>
      <c r="G248" s="11">
        <f t="shared" si="27"/>
        <v>-9.5047897756478612</v>
      </c>
    </row>
    <row r="249" spans="5:7" x14ac:dyDescent="0.25">
      <c r="E249" s="11">
        <f t="shared" si="25"/>
        <v>-63</v>
      </c>
      <c r="F249" s="11">
        <f t="shared" si="26"/>
        <v>-9.416241503570479</v>
      </c>
      <c r="G249" s="11">
        <f t="shared" si="27"/>
        <v>-9.4011998811116833</v>
      </c>
    </row>
    <row r="250" spans="5:7" x14ac:dyDescent="0.25">
      <c r="E250" s="11">
        <f t="shared" si="25"/>
        <v>-62</v>
      </c>
      <c r="F250" s="11">
        <f t="shared" si="26"/>
        <v>-9.3156910939917541</v>
      </c>
      <c r="G250" s="11">
        <f t="shared" si="27"/>
        <v>-9.2957360357677707</v>
      </c>
    </row>
    <row r="251" spans="5:7" x14ac:dyDescent="0.25">
      <c r="E251" s="11">
        <f t="shared" si="25"/>
        <v>-61</v>
      </c>
      <c r="F251" s="11">
        <f t="shared" si="26"/>
        <v>-9.2134804240943016</v>
      </c>
      <c r="G251" s="11">
        <f t="shared" si="27"/>
        <v>-9.1883288340306457</v>
      </c>
    </row>
    <row r="252" spans="5:7" x14ac:dyDescent="0.25">
      <c r="E252" s="11">
        <f t="shared" si="25"/>
        <v>-60</v>
      </c>
      <c r="F252" s="11">
        <f t="shared" si="26"/>
        <v>-9.1096049385229048</v>
      </c>
      <c r="G252" s="11">
        <f t="shared" si="27"/>
        <v>-9.0789088703148426</v>
      </c>
    </row>
    <row r="253" spans="5:7" x14ac:dyDescent="0.25">
      <c r="E253" s="11">
        <f t="shared" si="25"/>
        <v>-59</v>
      </c>
      <c r="F253" s="11">
        <f t="shared" si="26"/>
        <v>-9.0040668652784888</v>
      </c>
      <c r="G253" s="11">
        <f t="shared" si="27"/>
        <v>-8.9674067390348853</v>
      </c>
    </row>
    <row r="254" spans="5:7" x14ac:dyDescent="0.25">
      <c r="E254" s="11">
        <f t="shared" si="25"/>
        <v>-58</v>
      </c>
      <c r="F254" s="11">
        <f t="shared" si="26"/>
        <v>-8.8968744832850053</v>
      </c>
      <c r="G254" s="11">
        <f t="shared" si="27"/>
        <v>-8.8537530346053028</v>
      </c>
    </row>
    <row r="255" spans="5:7" x14ac:dyDescent="0.25">
      <c r="E255" s="11">
        <f t="shared" si="25"/>
        <v>-57</v>
      </c>
      <c r="F255" s="11">
        <f t="shared" si="26"/>
        <v>-8.7880414083609715</v>
      </c>
      <c r="G255" s="11">
        <f t="shared" si="27"/>
        <v>-8.7378783514406262</v>
      </c>
    </row>
    <row r="256" spans="5:7" x14ac:dyDescent="0.25">
      <c r="E256" s="11">
        <f t="shared" si="25"/>
        <v>-56</v>
      </c>
      <c r="F256" s="11">
        <f t="shared" si="26"/>
        <v>-8.6775858981228158</v>
      </c>
      <c r="G256" s="11">
        <f t="shared" si="27"/>
        <v>-8.6197132839553792</v>
      </c>
    </row>
    <row r="257" spans="5:7" x14ac:dyDescent="0.25">
      <c r="E257" s="11">
        <f t="shared" si="25"/>
        <v>-55</v>
      </c>
      <c r="F257" s="11">
        <f t="shared" si="26"/>
        <v>-8.5655301763231559</v>
      </c>
      <c r="G257" s="11">
        <f t="shared" si="27"/>
        <v>-8.4991884265640945</v>
      </c>
    </row>
    <row r="258" spans="5:7" x14ac:dyDescent="0.25">
      <c r="E258" s="11">
        <f t="shared" si="25"/>
        <v>-54</v>
      </c>
      <c r="F258" s="11">
        <f t="shared" si="26"/>
        <v>-8.4518997771030975</v>
      </c>
      <c r="G258" s="11">
        <f t="shared" si="27"/>
        <v>-8.3762343736812959</v>
      </c>
    </row>
    <row r="259" spans="5:7" x14ac:dyDescent="0.25">
      <c r="E259" s="11">
        <f t="shared" si="25"/>
        <v>-53</v>
      </c>
      <c r="F259" s="11">
        <f t="shared" si="26"/>
        <v>-8.3367229096137461</v>
      </c>
      <c r="G259" s="11">
        <f t="shared" si="27"/>
        <v>-8.2507817197215161</v>
      </c>
    </row>
    <row r="260" spans="5:7" x14ac:dyDescent="0.25">
      <c r="E260" s="11">
        <f t="shared" si="25"/>
        <v>-52</v>
      </c>
      <c r="F260" s="11">
        <f t="shared" si="26"/>
        <v>-8.2200298434383416</v>
      </c>
      <c r="G260" s="11">
        <f t="shared" si="27"/>
        <v>-8.1227610590992789</v>
      </c>
    </row>
    <row r="261" spans="5:7" x14ac:dyDescent="0.25">
      <c r="E261" s="11">
        <f t="shared" si="25"/>
        <v>-51</v>
      </c>
      <c r="F261" s="11">
        <f t="shared" si="26"/>
        <v>-8.101852315222132</v>
      </c>
      <c r="G261" s="11">
        <f t="shared" si="27"/>
        <v>-7.9921029862291162</v>
      </c>
    </row>
    <row r="262" spans="5:7" x14ac:dyDescent="0.25">
      <c r="E262" s="11">
        <f t="shared" si="25"/>
        <v>-50</v>
      </c>
      <c r="F262" s="11">
        <f t="shared" si="26"/>
        <v>-7.9822229568934819</v>
      </c>
      <c r="G262" s="11">
        <f t="shared" si="27"/>
        <v>-7.8587380955255552</v>
      </c>
    </row>
    <row r="263" spans="5:7" x14ac:dyDescent="0.25">
      <c r="E263" s="11">
        <f t="shared" si="25"/>
        <v>-49</v>
      </c>
      <c r="F263" s="11">
        <f t="shared" si="26"/>
        <v>-7.8611747458356005</v>
      </c>
      <c r="G263" s="11">
        <f t="shared" si="27"/>
        <v>-7.7602263016302135</v>
      </c>
    </row>
    <row r="264" spans="5:7" x14ac:dyDescent="0.25">
      <c r="E264" s="11">
        <f t="shared" si="25"/>
        <v>-48</v>
      </c>
      <c r="F264" s="11">
        <f t="shared" si="26"/>
        <v>-7.7387404773443302</v>
      </c>
      <c r="G264" s="11">
        <f t="shared" si="27"/>
        <v>-7.658976352563549</v>
      </c>
    </row>
    <row r="265" spans="5:7" x14ac:dyDescent="0.25">
      <c r="E265" s="11">
        <f t="shared" si="25"/>
        <v>-47</v>
      </c>
      <c r="F265" s="11">
        <f t="shared" si="26"/>
        <v>-7.6149522596835473</v>
      </c>
      <c r="G265" s="11">
        <f t="shared" si="27"/>
        <v>-7.5550263165731124</v>
      </c>
    </row>
    <row r="266" spans="5:7" x14ac:dyDescent="0.25">
      <c r="E266" s="11">
        <f t="shared" si="25"/>
        <v>-46</v>
      </c>
      <c r="F266" s="11">
        <f t="shared" si="26"/>
        <v>-7.4898410320257067</v>
      </c>
      <c r="G266" s="11">
        <f t="shared" si="27"/>
        <v>-7.4484142619064535</v>
      </c>
    </row>
    <row r="267" spans="5:7" x14ac:dyDescent="0.25">
      <c r="E267" s="11">
        <f t="shared" si="25"/>
        <v>-45</v>
      </c>
      <c r="F267" s="11">
        <f t="shared" si="26"/>
        <v>-7.3634361055412185</v>
      </c>
      <c r="G267" s="11">
        <f t="shared" si="27"/>
        <v>-7.3391782568111186</v>
      </c>
    </row>
    <row r="268" spans="5:7" x14ac:dyDescent="0.25">
      <c r="E268" s="11">
        <f t="shared" si="25"/>
        <v>-44</v>
      </c>
      <c r="F268" s="11">
        <f t="shared" si="26"/>
        <v>-7.235764727876254</v>
      </c>
      <c r="G268" s="11">
        <f t="shared" si="27"/>
        <v>-7.2273563695346592</v>
      </c>
    </row>
    <row r="269" spans="5:7" x14ac:dyDescent="0.25">
      <c r="E269" s="11">
        <f t="shared" si="25"/>
        <v>-43</v>
      </c>
      <c r="F269" s="11">
        <f t="shared" si="26"/>
        <v>-7.1068516712347449</v>
      </c>
      <c r="G269" s="11">
        <f t="shared" si="27"/>
        <v>-7.1129866683246252</v>
      </c>
    </row>
    <row r="270" spans="5:7" x14ac:dyDescent="0.25">
      <c r="E270" s="11">
        <f t="shared" si="25"/>
        <v>-42</v>
      </c>
      <c r="F270" s="11">
        <f t="shared" si="26"/>
        <v>-6.976718844256367</v>
      </c>
      <c r="G270" s="11">
        <f t="shared" si="27"/>
        <v>-6.9961072214285611</v>
      </c>
    </row>
    <row r="271" spans="5:7" x14ac:dyDescent="0.25">
      <c r="E271" s="11">
        <f t="shared" si="25"/>
        <v>-41</v>
      </c>
      <c r="F271" s="11">
        <f t="shared" si="26"/>
        <v>-6.845384927858305</v>
      </c>
      <c r="G271" s="11">
        <f t="shared" si="27"/>
        <v>-6.8767560970940202</v>
      </c>
    </row>
    <row r="272" spans="5:7" x14ac:dyDescent="0.25">
      <c r="E272" s="11">
        <f t="shared" si="25"/>
        <v>-40</v>
      </c>
      <c r="F272" s="11">
        <f t="shared" si="26"/>
        <v>-6.7128650351846826</v>
      </c>
      <c r="G272" s="11">
        <f t="shared" si="27"/>
        <v>-6.7549713635685489</v>
      </c>
    </row>
    <row r="273" spans="5:7" x14ac:dyDescent="0.25">
      <c r="E273" s="11">
        <f t="shared" si="25"/>
        <v>-39</v>
      </c>
      <c r="F273" s="11">
        <f t="shared" si="26"/>
        <v>-6.5791703957836178</v>
      </c>
      <c r="G273" s="11">
        <f t="shared" si="27"/>
        <v>-6.6307910890996986</v>
      </c>
    </row>
    <row r="274" spans="5:7" x14ac:dyDescent="0.25">
      <c r="E274" s="11">
        <f t="shared" si="25"/>
        <v>-38</v>
      </c>
      <c r="F274" s="11">
        <f t="shared" si="26"/>
        <v>-6.4443080641078598</v>
      </c>
      <c r="G274" s="11">
        <f t="shared" si="27"/>
        <v>-6.5042533419350175</v>
      </c>
    </row>
    <row r="275" spans="5:7" x14ac:dyDescent="0.25">
      <c r="E275" s="11">
        <f t="shared" si="25"/>
        <v>-37</v>
      </c>
      <c r="F275" s="11">
        <f t="shared" si="26"/>
        <v>-6.3082806524110433</v>
      </c>
      <c r="G275" s="11">
        <f t="shared" si="27"/>
        <v>-6.3753961903220517</v>
      </c>
    </row>
    <row r="276" spans="5:7" x14ac:dyDescent="0.25">
      <c r="E276" s="11">
        <f t="shared" si="25"/>
        <v>-36</v>
      </c>
      <c r="F276" s="11">
        <f t="shared" si="26"/>
        <v>-6.1710860880876481</v>
      </c>
      <c r="G276" s="11">
        <f t="shared" si="27"/>
        <v>-6.2442577025083548</v>
      </c>
    </row>
    <row r="277" spans="5:7" x14ac:dyDescent="0.25">
      <c r="E277" s="11">
        <f t="shared" si="25"/>
        <v>-35</v>
      </c>
      <c r="F277" s="11">
        <f t="shared" si="26"/>
        <v>-6.0327173954808417</v>
      </c>
      <c r="G277" s="11">
        <f t="shared" si="27"/>
        <v>-6.1108759467414719</v>
      </c>
    </row>
    <row r="278" spans="5:7" x14ac:dyDescent="0.25">
      <c r="E278" s="11">
        <f t="shared" si="25"/>
        <v>-34</v>
      </c>
      <c r="F278" s="11">
        <f t="shared" si="26"/>
        <v>-5.8931625021583018</v>
      </c>
      <c r="G278" s="11">
        <f t="shared" si="27"/>
        <v>-5.9752889912689549</v>
      </c>
    </row>
    <row r="279" spans="5:7" x14ac:dyDescent="0.25">
      <c r="E279" s="11">
        <f t="shared" si="25"/>
        <v>-33</v>
      </c>
      <c r="F279" s="11">
        <f t="shared" si="26"/>
        <v>-5.7524040696323722</v>
      </c>
      <c r="G279" s="11">
        <f t="shared" si="27"/>
        <v>-5.8375349043383506</v>
      </c>
    </row>
    <row r="280" spans="5:7" x14ac:dyDescent="0.25">
      <c r="E280" s="11">
        <f t="shared" si="25"/>
        <v>-32</v>
      </c>
      <c r="F280" s="11">
        <f t="shared" si="26"/>
        <v>-5.6104193484767491</v>
      </c>
      <c r="G280" s="11">
        <f t="shared" si="27"/>
        <v>-5.69765175419721</v>
      </c>
    </row>
    <row r="281" spans="5:7" x14ac:dyDescent="0.25">
      <c r="E281" s="11">
        <f t="shared" si="25"/>
        <v>-31</v>
      </c>
      <c r="F281" s="11">
        <f t="shared" si="26"/>
        <v>-5.4671800577681138</v>
      </c>
      <c r="G281" s="11">
        <f t="shared" si="27"/>
        <v>-5.5556776090930811</v>
      </c>
    </row>
    <row r="282" spans="5:7" x14ac:dyDescent="0.25">
      <c r="E282" s="11">
        <f t="shared" si="25"/>
        <v>-30</v>
      </c>
      <c r="F282" s="11">
        <f t="shared" si="26"/>
        <v>-5.32265228875705</v>
      </c>
      <c r="G282" s="11">
        <f t="shared" si="27"/>
        <v>-5.4116505372735126</v>
      </c>
    </row>
    <row r="283" spans="5:7" x14ac:dyDescent="0.25">
      <c r="E283" s="11">
        <f t="shared" si="25"/>
        <v>-29</v>
      </c>
      <c r="F283" s="11">
        <f t="shared" si="26"/>
        <v>-5.1767964326487386</v>
      </c>
      <c r="G283" s="11">
        <f t="shared" si="27"/>
        <v>-5.2656086069860537</v>
      </c>
    </row>
    <row r="284" spans="5:7" x14ac:dyDescent="0.25">
      <c r="E284" s="11">
        <f t="shared" si="25"/>
        <v>-28</v>
      </c>
      <c r="F284" s="11">
        <f t="shared" si="26"/>
        <v>-5.0295671323498992</v>
      </c>
      <c r="G284" s="11">
        <f t="shared" si="27"/>
        <v>-5.117589886478255</v>
      </c>
    </row>
    <row r="285" spans="5:7" x14ac:dyDescent="0.25">
      <c r="E285" s="11">
        <f t="shared" si="25"/>
        <v>-27</v>
      </c>
      <c r="F285" s="11">
        <f t="shared" si="26"/>
        <v>-4.8809132580145507</v>
      </c>
      <c r="G285" s="11">
        <f t="shared" si="27"/>
        <v>-4.9676324439976618</v>
      </c>
    </row>
    <row r="286" spans="5:7" x14ac:dyDescent="0.25">
      <c r="E286" s="11">
        <f t="shared" si="25"/>
        <v>-26</v>
      </c>
      <c r="F286" s="11">
        <f t="shared" si="26"/>
        <v>-4.7307779061971607</v>
      </c>
      <c r="G286" s="11">
        <f t="shared" si="27"/>
        <v>-4.8157743477918267</v>
      </c>
    </row>
    <row r="287" spans="5:7" x14ac:dyDescent="0.25">
      <c r="E287" s="11">
        <f t="shared" ref="E287:E350" si="28">E80</f>
        <v>-25</v>
      </c>
      <c r="F287" s="11">
        <f t="shared" ref="F287:F350" si="29">$H$217*0+E287*$I$217+E287^2*$J$217+E287^3*$K$217+E287^4*$L$217+E287^5*$M$217+E287^6*$N$217+E287^7*$O$217+E287^8*$P$217</f>
        <v>-4.5790984223978919</v>
      </c>
      <c r="G287" s="11">
        <f t="shared" ref="G287:G350" si="30">F80</f>
        <v>-4.6620536661082976</v>
      </c>
    </row>
    <row r="288" spans="5:7" x14ac:dyDescent="0.25">
      <c r="E288" s="11">
        <f t="shared" si="28"/>
        <v>-24</v>
      </c>
      <c r="F288" s="11">
        <f t="shared" si="29"/>
        <v>-4.4258064467605855</v>
      </c>
      <c r="G288" s="11">
        <f t="shared" si="30"/>
        <v>-4.5064876642526812</v>
      </c>
    </row>
    <row r="289" spans="5:7" x14ac:dyDescent="0.25">
      <c r="E289" s="11">
        <f t="shared" si="28"/>
        <v>-23</v>
      </c>
      <c r="F289" s="11">
        <f t="shared" si="29"/>
        <v>-4.2708279826602871</v>
      </c>
      <c r="G289" s="11">
        <f t="shared" si="30"/>
        <v>-4.3490103957628126</v>
      </c>
    </row>
    <row r="290" spans="5:7" x14ac:dyDescent="0.25">
      <c r="E290" s="11">
        <f t="shared" si="28"/>
        <v>-22</v>
      </c>
      <c r="F290" s="11">
        <f t="shared" si="29"/>
        <v>-4.1140834878931161</v>
      </c>
      <c r="G290" s="11">
        <f t="shared" si="30"/>
        <v>-4.1895351112345889</v>
      </c>
    </row>
    <row r="291" spans="5:7" x14ac:dyDescent="0.25">
      <c r="E291" s="11">
        <f t="shared" si="28"/>
        <v>-21</v>
      </c>
      <c r="F291" s="11">
        <f t="shared" si="29"/>
        <v>-3.9554879881573015</v>
      </c>
      <c r="G291" s="11">
        <f t="shared" si="30"/>
        <v>-4.0279750612639029</v>
      </c>
    </row>
    <row r="292" spans="5:7" x14ac:dyDescent="0.25">
      <c r="E292" s="11">
        <f t="shared" si="28"/>
        <v>-20</v>
      </c>
      <c r="F292" s="11">
        <f t="shared" si="29"/>
        <v>-3.7949512124903624</v>
      </c>
      <c r="G292" s="11">
        <f t="shared" si="30"/>
        <v>-3.8642434964466505</v>
      </c>
    </row>
    <row r="293" spans="5:7" x14ac:dyDescent="0.25">
      <c r="E293" s="11">
        <f t="shared" si="28"/>
        <v>-19</v>
      </c>
      <c r="F293" s="11">
        <f t="shared" si="29"/>
        <v>-3.6323777503033248</v>
      </c>
      <c r="G293" s="11">
        <f t="shared" si="30"/>
        <v>-3.6982536673787254</v>
      </c>
    </row>
    <row r="294" spans="5:7" x14ac:dyDescent="0.25">
      <c r="E294" s="11">
        <f t="shared" si="28"/>
        <v>-18</v>
      </c>
      <c r="F294" s="11">
        <f t="shared" si="29"/>
        <v>-3.4676672296290425</v>
      </c>
      <c r="G294" s="11">
        <f t="shared" si="30"/>
        <v>-3.5299188246560211</v>
      </c>
    </row>
    <row r="295" spans="5:7" x14ac:dyDescent="0.25">
      <c r="E295" s="11">
        <f t="shared" si="28"/>
        <v>-17</v>
      </c>
      <c r="F295" s="11">
        <f t="shared" si="29"/>
        <v>-3.3007145161776696</v>
      </c>
      <c r="G295" s="11">
        <f t="shared" si="30"/>
        <v>-3.3591522188744336</v>
      </c>
    </row>
    <row r="296" spans="5:7" x14ac:dyDescent="0.25">
      <c r="E296" s="11">
        <f t="shared" si="28"/>
        <v>-16</v>
      </c>
      <c r="F296" s="11">
        <f t="shared" si="29"/>
        <v>-3.1314099327683862</v>
      </c>
      <c r="G296" s="11">
        <f t="shared" si="30"/>
        <v>-3.1858671006298569</v>
      </c>
    </row>
    <row r="297" spans="5:7" x14ac:dyDescent="0.25">
      <c r="E297" s="11">
        <f t="shared" si="28"/>
        <v>-15</v>
      </c>
      <c r="F297" s="11">
        <f t="shared" si="29"/>
        <v>-2.9596394986825869</v>
      </c>
      <c r="G297" s="11">
        <f t="shared" si="30"/>
        <v>-3.0099767205181855</v>
      </c>
    </row>
    <row r="298" spans="5:7" x14ac:dyDescent="0.25">
      <c r="E298" s="11">
        <f t="shared" si="28"/>
        <v>-14</v>
      </c>
      <c r="F298" s="11">
        <f t="shared" si="29"/>
        <v>-2.7852851884597127</v>
      </c>
      <c r="G298" s="11">
        <f t="shared" si="30"/>
        <v>-2.8313943291353141</v>
      </c>
    </row>
    <row r="299" spans="5:7" x14ac:dyDescent="0.25">
      <c r="E299" s="11">
        <f t="shared" si="28"/>
        <v>-13</v>
      </c>
      <c r="F299" s="11">
        <f t="shared" si="29"/>
        <v>-2.6082252096330234</v>
      </c>
      <c r="G299" s="11">
        <f t="shared" si="30"/>
        <v>-2.6500331770771361</v>
      </c>
    </row>
    <row r="300" spans="5:7" x14ac:dyDescent="0.25">
      <c r="E300" s="11">
        <f t="shared" si="28"/>
        <v>-12</v>
      </c>
      <c r="F300" s="11">
        <f t="shared" si="29"/>
        <v>-2.428334298878625</v>
      </c>
      <c r="G300" s="11">
        <f t="shared" si="30"/>
        <v>-2.4658065149395476</v>
      </c>
    </row>
    <row r="301" spans="5:7" x14ac:dyDescent="0.25">
      <c r="E301" s="11">
        <f t="shared" si="28"/>
        <v>-11</v>
      </c>
      <c r="F301" s="11">
        <f t="shared" si="29"/>
        <v>-2.2454840360271335</v>
      </c>
      <c r="G301" s="11">
        <f t="shared" si="30"/>
        <v>-2.2786275933184421</v>
      </c>
    </row>
    <row r="302" spans="5:7" x14ac:dyDescent="0.25">
      <c r="E302" s="11">
        <f t="shared" si="28"/>
        <v>-10</v>
      </c>
      <c r="F302" s="11">
        <f t="shared" si="29"/>
        <v>-2.0595431753633999</v>
      </c>
      <c r="G302" s="11">
        <f t="shared" si="30"/>
        <v>-2.0884096628097142</v>
      </c>
    </row>
    <row r="303" spans="5:7" x14ac:dyDescent="0.25">
      <c r="E303" s="11">
        <f t="shared" si="28"/>
        <v>-9</v>
      </c>
      <c r="F303" s="11">
        <f t="shared" si="29"/>
        <v>-1.8703779936157736</v>
      </c>
      <c r="G303" s="11">
        <f t="shared" si="30"/>
        <v>-1.8950659740092586</v>
      </c>
    </row>
    <row r="304" spans="5:7" x14ac:dyDescent="0.25">
      <c r="E304" s="11">
        <f t="shared" si="28"/>
        <v>-8</v>
      </c>
      <c r="F304" s="11">
        <f t="shared" si="29"/>
        <v>-1.6778526540124428</v>
      </c>
      <c r="G304" s="11">
        <f t="shared" si="30"/>
        <v>-1.6985097775129696</v>
      </c>
    </row>
    <row r="305" spans="5:7" x14ac:dyDescent="0.25">
      <c r="E305" s="11">
        <f t="shared" si="28"/>
        <v>-7</v>
      </c>
      <c r="F305" s="11">
        <f t="shared" si="29"/>
        <v>-1.4818295857584189</v>
      </c>
      <c r="G305" s="11">
        <f t="shared" si="30"/>
        <v>-1.4986543239167425</v>
      </c>
    </row>
    <row r="306" spans="5:7" x14ac:dyDescent="0.25">
      <c r="E306" s="11">
        <f t="shared" si="28"/>
        <v>-6</v>
      </c>
      <c r="F306" s="11">
        <f t="shared" si="29"/>
        <v>-1.2821698782628221</v>
      </c>
      <c r="G306" s="11">
        <f t="shared" si="30"/>
        <v>-1.2954128638164701</v>
      </c>
    </row>
    <row r="307" spans="5:7" x14ac:dyDescent="0.25">
      <c r="E307" s="11">
        <f t="shared" si="28"/>
        <v>-5</v>
      </c>
      <c r="F307" s="11">
        <f t="shared" si="29"/>
        <v>-1.0787336894221289</v>
      </c>
      <c r="G307" s="11">
        <f t="shared" si="30"/>
        <v>-1.0886986478080485</v>
      </c>
    </row>
    <row r="308" spans="5:7" x14ac:dyDescent="0.25">
      <c r="E308" s="11">
        <f t="shared" si="28"/>
        <v>-4</v>
      </c>
      <c r="F308" s="11">
        <f t="shared" si="29"/>
        <v>-0.87138066724113838</v>
      </c>
      <c r="G308" s="11">
        <f t="shared" si="30"/>
        <v>-0.87842492648737136</v>
      </c>
    </row>
    <row r="309" spans="5:7" x14ac:dyDescent="0.25">
      <c r="E309" s="11">
        <f t="shared" si="28"/>
        <v>-3</v>
      </c>
      <c r="F309" s="11">
        <f t="shared" si="29"/>
        <v>-0.65997038404943187</v>
      </c>
      <c r="G309" s="11">
        <f t="shared" si="30"/>
        <v>-0.66450495045033353</v>
      </c>
    </row>
    <row r="310" spans="5:7" x14ac:dyDescent="0.25">
      <c r="E310" s="11">
        <f t="shared" si="28"/>
        <v>-2</v>
      </c>
      <c r="F310" s="11">
        <f t="shared" si="29"/>
        <v>-0.44436278254717715</v>
      </c>
      <c r="G310" s="11">
        <f t="shared" si="30"/>
        <v>-0.44685197029282936</v>
      </c>
    </row>
    <row r="311" spans="5:7" x14ac:dyDescent="0.25">
      <c r="E311" s="11">
        <f t="shared" si="28"/>
        <v>-1</v>
      </c>
      <c r="F311" s="11">
        <f t="shared" si="29"/>
        <v>-0.22441863289016117</v>
      </c>
      <c r="G311" s="11">
        <f t="shared" si="30"/>
        <v>-0.22537923661075326</v>
      </c>
    </row>
    <row r="312" spans="5:7" x14ac:dyDescent="0.25">
      <c r="E312" s="11">
        <f t="shared" si="28"/>
        <v>0</v>
      </c>
      <c r="F312" s="11">
        <f t="shared" si="29"/>
        <v>0</v>
      </c>
      <c r="G312" s="11">
        <f t="shared" si="30"/>
        <v>5.5511151231257827E-17</v>
      </c>
    </row>
    <row r="313" spans="5:7" x14ac:dyDescent="0.25">
      <c r="E313" s="11">
        <f t="shared" si="28"/>
        <v>1</v>
      </c>
      <c r="F313" s="11">
        <f t="shared" si="29"/>
        <v>0.22902927973848208</v>
      </c>
      <c r="G313" s="11">
        <f t="shared" si="30"/>
        <v>0.22937857774314535</v>
      </c>
    </row>
    <row r="314" spans="5:7" x14ac:dyDescent="0.25">
      <c r="E314" s="11">
        <f t="shared" si="28"/>
        <v>2</v>
      </c>
      <c r="F314" s="11">
        <f t="shared" si="29"/>
        <v>0.46280311325465601</v>
      </c>
      <c r="G314" s="11">
        <f t="shared" si="30"/>
        <v>0.46287369002083401</v>
      </c>
    </row>
    <row r="315" spans="5:7" x14ac:dyDescent="0.25">
      <c r="E315" s="11">
        <f t="shared" si="28"/>
        <v>3</v>
      </c>
      <c r="F315" s="11">
        <f t="shared" si="29"/>
        <v>0.70145265793017619</v>
      </c>
      <c r="G315" s="11">
        <f t="shared" si="30"/>
        <v>0.70060861903482641</v>
      </c>
    </row>
    <row r="316" spans="5:7" x14ac:dyDescent="0.25">
      <c r="E316" s="11">
        <f t="shared" si="28"/>
        <v>4</v>
      </c>
      <c r="F316" s="11">
        <f t="shared" si="29"/>
        <v>0.94510582200760296</v>
      </c>
      <c r="G316" s="11">
        <f t="shared" si="30"/>
        <v>0.94270664698688345</v>
      </c>
    </row>
    <row r="317" spans="5:7" x14ac:dyDescent="0.25">
      <c r="E317" s="11">
        <f t="shared" si="28"/>
        <v>5</v>
      </c>
      <c r="F317" s="11">
        <f t="shared" si="29"/>
        <v>1.1938867592033602</v>
      </c>
      <c r="G317" s="11">
        <f t="shared" si="30"/>
        <v>1.1892910560787653</v>
      </c>
    </row>
    <row r="318" spans="5:7" x14ac:dyDescent="0.25">
      <c r="E318" s="11">
        <f t="shared" si="28"/>
        <v>6</v>
      </c>
      <c r="F318" s="11">
        <f t="shared" si="29"/>
        <v>1.4479153584827702</v>
      </c>
      <c r="G318" s="11">
        <f t="shared" si="30"/>
        <v>1.4404851285122322</v>
      </c>
    </row>
    <row r="319" spans="5:7" x14ac:dyDescent="0.25">
      <c r="E319" s="11">
        <f t="shared" si="28"/>
        <v>7</v>
      </c>
      <c r="F319" s="11">
        <f t="shared" si="29"/>
        <v>1.7073067299788671</v>
      </c>
      <c r="G319" s="11">
        <f t="shared" si="30"/>
        <v>1.6964121464890451</v>
      </c>
    </row>
    <row r="320" spans="5:7" x14ac:dyDescent="0.25">
      <c r="E320" s="11">
        <f t="shared" si="28"/>
        <v>8</v>
      </c>
      <c r="F320" s="11">
        <f t="shared" si="29"/>
        <v>1.9721706880606289</v>
      </c>
      <c r="G320" s="11">
        <f t="shared" si="30"/>
        <v>1.9571953922109646</v>
      </c>
    </row>
    <row r="321" spans="5:7" x14ac:dyDescent="0.25">
      <c r="E321" s="11">
        <f t="shared" si="28"/>
        <v>9</v>
      </c>
      <c r="F321" s="11">
        <f t="shared" si="29"/>
        <v>2.2426112325802192</v>
      </c>
      <c r="G321" s="11">
        <f t="shared" si="30"/>
        <v>2.2229581478797509</v>
      </c>
    </row>
    <row r="322" spans="5:7" x14ac:dyDescent="0.25">
      <c r="E322" s="11">
        <f t="shared" si="28"/>
        <v>10</v>
      </c>
      <c r="F322" s="11">
        <f t="shared" si="29"/>
        <v>2.5187260293527869</v>
      </c>
      <c r="G322" s="11">
        <f t="shared" si="30"/>
        <v>2.4938236956971647</v>
      </c>
    </row>
    <row r="323" spans="5:7" x14ac:dyDescent="0.25">
      <c r="E323" s="11">
        <f t="shared" si="28"/>
        <v>11</v>
      </c>
      <c r="F323" s="11">
        <f t="shared" si="29"/>
        <v>2.8006058909462963</v>
      </c>
      <c r="G323" s="11">
        <f t="shared" si="30"/>
        <v>2.769915317864966</v>
      </c>
    </row>
    <row r="324" spans="5:7" x14ac:dyDescent="0.25">
      <c r="E324" s="11">
        <f t="shared" si="28"/>
        <v>12</v>
      </c>
      <c r="F324" s="11">
        <f t="shared" si="29"/>
        <v>3.0883342588828469</v>
      </c>
      <c r="G324" s="11">
        <f t="shared" si="30"/>
        <v>3.0513562965849155</v>
      </c>
    </row>
    <row r="325" spans="5:7" x14ac:dyDescent="0.25">
      <c r="E325" s="11">
        <f t="shared" si="28"/>
        <v>13</v>
      </c>
      <c r="F325" s="11">
        <f t="shared" si="29"/>
        <v>3.3819866883768541</v>
      </c>
      <c r="G325" s="11">
        <f t="shared" si="30"/>
        <v>3.3382699140587744</v>
      </c>
    </row>
    <row r="326" spans="5:7" x14ac:dyDescent="0.25">
      <c r="E326" s="11">
        <f t="shared" si="28"/>
        <v>14</v>
      </c>
      <c r="F326" s="11">
        <f t="shared" si="29"/>
        <v>3.6816303367594259</v>
      </c>
      <c r="G326" s="11">
        <f t="shared" si="30"/>
        <v>3.6307794524883028</v>
      </c>
    </row>
    <row r="327" spans="5:7" x14ac:dyDescent="0.25">
      <c r="E327" s="11">
        <f t="shared" si="28"/>
        <v>15</v>
      </c>
      <c r="F327" s="11">
        <f t="shared" si="29"/>
        <v>3.98732345676222</v>
      </c>
      <c r="G327" s="11">
        <f t="shared" si="30"/>
        <v>3.9290081940752608</v>
      </c>
    </row>
    <row r="328" spans="5:7" x14ac:dyDescent="0.25">
      <c r="E328" s="11">
        <f t="shared" si="28"/>
        <v>16</v>
      </c>
      <c r="F328" s="11">
        <f t="shared" si="29"/>
        <v>4.2991148958580219</v>
      </c>
      <c r="G328" s="11">
        <f t="shared" si="30"/>
        <v>4.2330794210214098</v>
      </c>
    </row>
    <row r="329" spans="5:7" x14ac:dyDescent="0.25">
      <c r="E329" s="11">
        <f t="shared" si="28"/>
        <v>17</v>
      </c>
      <c r="F329" s="11">
        <f t="shared" si="29"/>
        <v>4.6170436028792041</v>
      </c>
      <c r="G329" s="11">
        <f t="shared" si="30"/>
        <v>4.5431164155285089</v>
      </c>
    </row>
    <row r="330" spans="5:7" x14ac:dyDescent="0.25">
      <c r="E330" s="11">
        <f t="shared" si="28"/>
        <v>18</v>
      </c>
      <c r="F330" s="11">
        <f t="shared" si="29"/>
        <v>4.9411381431592165</v>
      </c>
      <c r="G330" s="11">
        <f t="shared" si="30"/>
        <v>4.8592424597983204</v>
      </c>
    </row>
    <row r="331" spans="5:7" x14ac:dyDescent="0.25">
      <c r="E331" s="11">
        <f t="shared" si="28"/>
        <v>19</v>
      </c>
      <c r="F331" s="11">
        <f t="shared" si="29"/>
        <v>5.2714162234661517</v>
      </c>
      <c r="G331" s="11">
        <f t="shared" si="30"/>
        <v>5.1815808360326026</v>
      </c>
    </row>
    <row r="332" spans="5:7" x14ac:dyDescent="0.25">
      <c r="E332" s="11">
        <f t="shared" si="28"/>
        <v>20</v>
      </c>
      <c r="F332" s="11">
        <f t="shared" si="29"/>
        <v>5.6078842280214625</v>
      </c>
      <c r="G332" s="11">
        <f t="shared" si="30"/>
        <v>5.5102548264331181</v>
      </c>
    </row>
    <row r="333" spans="5:7" x14ac:dyDescent="0.25">
      <c r="E333" s="11">
        <f t="shared" si="28"/>
        <v>21</v>
      </c>
      <c r="F333" s="11">
        <f t="shared" si="29"/>
        <v>5.9505367669207443</v>
      </c>
      <c r="G333" s="11">
        <f t="shared" si="30"/>
        <v>5.8453877132016263</v>
      </c>
    </row>
    <row r="334" spans="5:7" x14ac:dyDescent="0.25">
      <c r="E334" s="11">
        <f t="shared" si="28"/>
        <v>22</v>
      </c>
      <c r="F334" s="11">
        <f t="shared" si="29"/>
        <v>6.2993562382975599</v>
      </c>
      <c r="G334" s="11">
        <f t="shared" si="30"/>
        <v>6.187102778539888</v>
      </c>
    </row>
    <row r="335" spans="5:7" x14ac:dyDescent="0.25">
      <c r="E335" s="11">
        <f t="shared" si="28"/>
        <v>23</v>
      </c>
      <c r="F335" s="11">
        <f t="shared" si="29"/>
        <v>6.6543124055951077</v>
      </c>
      <c r="G335" s="11">
        <f t="shared" si="30"/>
        <v>6.5355233046496641</v>
      </c>
    </row>
    <row r="336" spans="5:7" x14ac:dyDescent="0.25">
      <c r="E336" s="11">
        <f t="shared" si="28"/>
        <v>24</v>
      </c>
      <c r="F336" s="11">
        <f t="shared" si="29"/>
        <v>7.015361991334645</v>
      </c>
      <c r="G336" s="11">
        <f t="shared" si="30"/>
        <v>6.890772573732713</v>
      </c>
    </row>
    <row r="337" spans="5:7" x14ac:dyDescent="0.25">
      <c r="E337" s="11">
        <f t="shared" si="28"/>
        <v>25</v>
      </c>
      <c r="F337" s="11">
        <f t="shared" si="29"/>
        <v>7.3824482887933511</v>
      </c>
      <c r="G337" s="11">
        <f t="shared" si="30"/>
        <v>7.2529738679907982</v>
      </c>
    </row>
    <row r="338" spans="5:7" x14ac:dyDescent="0.25">
      <c r="E338" s="11">
        <f t="shared" si="28"/>
        <v>26</v>
      </c>
      <c r="F338" s="11">
        <f t="shared" si="29"/>
        <v>7.7555007930283706</v>
      </c>
      <c r="G338" s="11">
        <f t="shared" si="30"/>
        <v>7.622250469625679</v>
      </c>
    </row>
    <row r="339" spans="5:7" x14ac:dyDescent="0.25">
      <c r="E339" s="11">
        <f t="shared" si="28"/>
        <v>27</v>
      </c>
      <c r="F339" s="11">
        <f t="shared" si="29"/>
        <v>8.1344348527077326</v>
      </c>
      <c r="G339" s="11">
        <f t="shared" si="30"/>
        <v>7.9987256608391153</v>
      </c>
    </row>
    <row r="340" spans="5:7" x14ac:dyDescent="0.25">
      <c r="E340" s="11">
        <f t="shared" si="28"/>
        <v>28</v>
      </c>
      <c r="F340" s="11">
        <f t="shared" si="29"/>
        <v>8.5191513442326983</v>
      </c>
      <c r="G340" s="11">
        <f t="shared" si="30"/>
        <v>8.382522723832869</v>
      </c>
    </row>
    <row r="341" spans="5:7" x14ac:dyDescent="0.25">
      <c r="E341" s="11">
        <f t="shared" si="28"/>
        <v>29</v>
      </c>
      <c r="F341" s="11">
        <f t="shared" si="29"/>
        <v>8.9095363696601666</v>
      </c>
      <c r="G341" s="11">
        <f t="shared" si="30"/>
        <v>8.7737649408086984</v>
      </c>
    </row>
    <row r="342" spans="5:7" x14ac:dyDescent="0.25">
      <c r="E342" s="11">
        <f t="shared" si="28"/>
        <v>30</v>
      </c>
      <c r="F342" s="11">
        <f t="shared" si="29"/>
        <v>9.3054609799575765</v>
      </c>
      <c r="G342" s="11">
        <f t="shared" si="30"/>
        <v>9.1725755939683662</v>
      </c>
    </row>
    <row r="343" spans="5:7" x14ac:dyDescent="0.25">
      <c r="E343" s="11">
        <f t="shared" si="28"/>
        <v>31</v>
      </c>
      <c r="F343" s="11">
        <f t="shared" si="29"/>
        <v>9.7067809251468091</v>
      </c>
      <c r="G343" s="11">
        <f t="shared" si="30"/>
        <v>9.578978417369818</v>
      </c>
    </row>
    <row r="344" spans="5:7" x14ac:dyDescent="0.25">
      <c r="E344" s="11">
        <f t="shared" si="28"/>
        <v>32</v>
      </c>
      <c r="F344" s="11">
        <f t="shared" si="29"/>
        <v>10.1133364329175</v>
      </c>
      <c r="G344" s="11">
        <f t="shared" si="30"/>
        <v>9.9925989524957508</v>
      </c>
    </row>
    <row r="345" spans="5:7" x14ac:dyDescent="0.25">
      <c r="E345" s="11">
        <f t="shared" si="28"/>
        <v>33</v>
      </c>
      <c r="F345" s="11">
        <f t="shared" si="29"/>
        <v>10.524952017314058</v>
      </c>
      <c r="G345" s="11">
        <f t="shared" si="30"/>
        <v>10.412963192685044</v>
      </c>
    </row>
    <row r="346" spans="5:7" x14ac:dyDescent="0.25">
      <c r="E346" s="11">
        <f t="shared" si="28"/>
        <v>34</v>
      </c>
      <c r="F346" s="11">
        <f t="shared" si="29"/>
        <v>10.941436319124799</v>
      </c>
      <c r="G346" s="11">
        <f t="shared" si="30"/>
        <v>10.83959713127658</v>
      </c>
    </row>
    <row r="347" spans="5:7" x14ac:dyDescent="0.25">
      <c r="E347" s="11">
        <f t="shared" si="28"/>
        <v>35</v>
      </c>
      <c r="F347" s="11">
        <f t="shared" si="29"/>
        <v>11.362581979625288</v>
      </c>
      <c r="G347" s="11">
        <f t="shared" si="30"/>
        <v>11.272026761609242</v>
      </c>
    </row>
    <row r="348" spans="5:7" x14ac:dyDescent="0.25">
      <c r="E348" s="11">
        <f t="shared" si="28"/>
        <v>36</v>
      </c>
      <c r="F348" s="11">
        <f t="shared" si="29"/>
        <v>11.788165549352282</v>
      </c>
      <c r="G348" s="11">
        <f t="shared" si="30"/>
        <v>11.709778077021911</v>
      </c>
    </row>
    <row r="349" spans="5:7" x14ac:dyDescent="0.25">
      <c r="E349" s="11">
        <f t="shared" si="28"/>
        <v>37</v>
      </c>
      <c r="F349" s="11">
        <f t="shared" si="29"/>
        <v>12.217947433608236</v>
      </c>
      <c r="G349" s="11">
        <f t="shared" si="30"/>
        <v>12.152377070853465</v>
      </c>
    </row>
    <row r="350" spans="5:7" x14ac:dyDescent="0.25">
      <c r="E350" s="11">
        <f t="shared" si="28"/>
        <v>38</v>
      </c>
      <c r="F350" s="11">
        <f t="shared" si="29"/>
        <v>12.651671876420611</v>
      </c>
      <c r="G350" s="11">
        <f t="shared" si="30"/>
        <v>12.599349736442793</v>
      </c>
    </row>
    <row r="351" spans="5:7" x14ac:dyDescent="0.25">
      <c r="E351" s="11">
        <f t="shared" ref="E351:E414" si="31">E144</f>
        <v>39</v>
      </c>
      <c r="F351" s="11">
        <f t="shared" ref="F351:F414" si="32">$H$217*0+E351*$I$217+E351^2*$J$217+E351^3*$K$217+E351^4*$L$217+E351^5*$M$217+E351^6*$N$217+E351^7*$O$217+E351^8*$P$217</f>
        <v>13.08906698470393</v>
      </c>
      <c r="G351" s="11">
        <f t="shared" ref="G351:G414" si="33">F144</f>
        <v>13.05022206712877</v>
      </c>
    </row>
    <row r="352" spans="5:7" x14ac:dyDescent="0.25">
      <c r="E352" s="11">
        <f t="shared" si="31"/>
        <v>40</v>
      </c>
      <c r="F352" s="11">
        <f t="shared" si="32"/>
        <v>13.529844794396647</v>
      </c>
      <c r="G352" s="11">
        <f t="shared" si="33"/>
        <v>13.50452005625028</v>
      </c>
    </row>
    <row r="353" spans="5:7" x14ac:dyDescent="0.25">
      <c r="E353" s="11">
        <f t="shared" si="31"/>
        <v>41</v>
      </c>
      <c r="F353" s="11">
        <f t="shared" si="32"/>
        <v>13.973701380368714</v>
      </c>
      <c r="G353" s="11">
        <f t="shared" si="33"/>
        <v>13.961769697146208</v>
      </c>
    </row>
    <row r="354" spans="5:7" x14ac:dyDescent="0.25">
      <c r="E354" s="11">
        <f t="shared" si="31"/>
        <v>42</v>
      </c>
      <c r="F354" s="11">
        <f t="shared" si="32"/>
        <v>14.420317011919762</v>
      </c>
      <c r="G354" s="11">
        <f t="shared" si="33"/>
        <v>14.421496983155432</v>
      </c>
    </row>
    <row r="355" spans="5:7" x14ac:dyDescent="0.25">
      <c r="E355" s="11">
        <f t="shared" si="31"/>
        <v>43</v>
      </c>
      <c r="F355" s="11">
        <f t="shared" si="32"/>
        <v>14.869356355711762</v>
      </c>
      <c r="G355" s="11">
        <f t="shared" si="33"/>
        <v>14.883227907616831</v>
      </c>
    </row>
    <row r="356" spans="5:7" x14ac:dyDescent="0.25">
      <c r="E356" s="11">
        <f t="shared" si="31"/>
        <v>44</v>
      </c>
      <c r="F356" s="11">
        <f t="shared" si="32"/>
        <v>15.320468728003874</v>
      </c>
      <c r="G356" s="11">
        <f t="shared" si="33"/>
        <v>15.346488463869294</v>
      </c>
    </row>
    <row r="357" spans="5:7" x14ac:dyDescent="0.25">
      <c r="E357" s="11">
        <f t="shared" si="31"/>
        <v>45</v>
      </c>
      <c r="F357" s="11">
        <f t="shared" si="32"/>
        <v>15.773288398081315</v>
      </c>
      <c r="G357" s="11">
        <f t="shared" si="33"/>
        <v>15.810804645251697</v>
      </c>
    </row>
    <row r="358" spans="5:7" x14ac:dyDescent="0.25">
      <c r="E358" s="11">
        <f t="shared" si="31"/>
        <v>46</v>
      </c>
      <c r="F358" s="11">
        <f t="shared" si="32"/>
        <v>16.227434944793846</v>
      </c>
      <c r="G358" s="11">
        <f t="shared" si="33"/>
        <v>16.275702445102926</v>
      </c>
    </row>
    <row r="359" spans="5:7" x14ac:dyDescent="0.25">
      <c r="E359" s="11">
        <f t="shared" si="31"/>
        <v>47</v>
      </c>
      <c r="F359" s="11">
        <f t="shared" si="32"/>
        <v>16.682513668143564</v>
      </c>
      <c r="G359" s="11">
        <f t="shared" si="33"/>
        <v>16.740707856761858</v>
      </c>
    </row>
    <row r="360" spans="5:7" x14ac:dyDescent="0.25">
      <c r="E360" s="11">
        <f t="shared" si="31"/>
        <v>48</v>
      </c>
      <c r="F360" s="11">
        <f t="shared" si="32"/>
        <v>17.138116057885576</v>
      </c>
      <c r="G360" s="11">
        <f t="shared" si="33"/>
        <v>17.205346873567379</v>
      </c>
    </row>
    <row r="361" spans="5:7" x14ac:dyDescent="0.25">
      <c r="E361" s="11">
        <f t="shared" si="31"/>
        <v>49</v>
      </c>
      <c r="F361" s="11">
        <f t="shared" si="32"/>
        <v>17.593820321128991</v>
      </c>
      <c r="G361" s="11">
        <f t="shared" si="33"/>
        <v>17.669145488858366</v>
      </c>
    </row>
    <row r="362" spans="5:7" x14ac:dyDescent="0.25">
      <c r="E362" s="11">
        <f t="shared" si="31"/>
        <v>50</v>
      </c>
      <c r="F362" s="11">
        <f t="shared" si="32"/>
        <v>18.049191970949934</v>
      </c>
      <c r="G362" s="11">
        <f t="shared" si="33"/>
        <v>18.131629695973704</v>
      </c>
    </row>
    <row r="363" spans="5:7" x14ac:dyDescent="0.25">
      <c r="E363" s="11">
        <f t="shared" si="31"/>
        <v>51</v>
      </c>
      <c r="F363" s="11">
        <f t="shared" si="32"/>
        <v>18.503784478051699</v>
      </c>
      <c r="G363" s="11">
        <f t="shared" si="33"/>
        <v>18.592325488252278</v>
      </c>
    </row>
    <row r="364" spans="5:7" x14ac:dyDescent="0.25">
      <c r="E364" s="11">
        <f t="shared" si="31"/>
        <v>52</v>
      </c>
      <c r="F364" s="11">
        <f t="shared" si="32"/>
        <v>18.957139987531662</v>
      </c>
      <c r="G364" s="11">
        <f t="shared" si="33"/>
        <v>19.05075885903296</v>
      </c>
    </row>
    <row r="365" spans="5:7" x14ac:dyDescent="0.25">
      <c r="E365" s="11">
        <f t="shared" si="31"/>
        <v>53</v>
      </c>
      <c r="F365" s="11">
        <f t="shared" si="32"/>
        <v>19.408790102838172</v>
      </c>
      <c r="G365" s="11">
        <f t="shared" si="33"/>
        <v>19.506455801654642</v>
      </c>
    </row>
    <row r="366" spans="5:7" x14ac:dyDescent="0.25">
      <c r="E366" s="11">
        <f t="shared" si="31"/>
        <v>54</v>
      </c>
      <c r="F366" s="11">
        <f t="shared" si="32"/>
        <v>19.858256739024704</v>
      </c>
      <c r="G366" s="11">
        <f t="shared" si="33"/>
        <v>19.958942309456202</v>
      </c>
    </row>
    <row r="367" spans="5:7" x14ac:dyDescent="0.25">
      <c r="E367" s="11">
        <f t="shared" si="31"/>
        <v>55</v>
      </c>
      <c r="F367" s="11">
        <f t="shared" si="32"/>
        <v>20.305053047432494</v>
      </c>
      <c r="G367" s="11">
        <f t="shared" si="33"/>
        <v>20.40774437577652</v>
      </c>
    </row>
    <row r="368" spans="5:7" x14ac:dyDescent="0.25">
      <c r="E368" s="11">
        <f t="shared" si="31"/>
        <v>56</v>
      </c>
      <c r="F368" s="11">
        <f t="shared" si="32"/>
        <v>20.748684413956816</v>
      </c>
      <c r="G368" s="11">
        <f t="shared" si="33"/>
        <v>20.852387993954476</v>
      </c>
    </row>
    <row r="369" spans="5:7" x14ac:dyDescent="0.25">
      <c r="E369" s="11">
        <f t="shared" si="31"/>
        <v>57</v>
      </c>
      <c r="F369" s="11">
        <f t="shared" si="32"/>
        <v>21.188649533076084</v>
      </c>
      <c r="G369" s="11">
        <f t="shared" si="33"/>
        <v>21.292399157328958</v>
      </c>
    </row>
    <row r="370" spans="5:7" x14ac:dyDescent="0.25">
      <c r="E370" s="11">
        <f t="shared" si="31"/>
        <v>58</v>
      </c>
      <c r="F370" s="11">
        <f t="shared" si="32"/>
        <v>21.624441559846655</v>
      </c>
      <c r="G370" s="11">
        <f t="shared" si="33"/>
        <v>21.727303859238841</v>
      </c>
    </row>
    <row r="371" spans="5:7" x14ac:dyDescent="0.25">
      <c r="E371" s="11">
        <f t="shared" si="31"/>
        <v>59</v>
      </c>
      <c r="F371" s="11">
        <f t="shared" si="32"/>
        <v>22.055549342090643</v>
      </c>
      <c r="G371" s="11">
        <f t="shared" si="33"/>
        <v>22.156628093023013</v>
      </c>
    </row>
    <row r="372" spans="5:7" x14ac:dyDescent="0.25">
      <c r="E372" s="11">
        <f t="shared" si="31"/>
        <v>60</v>
      </c>
      <c r="F372" s="11">
        <f t="shared" si="32"/>
        <v>22.481458735027417</v>
      </c>
      <c r="G372" s="11">
        <f t="shared" si="33"/>
        <v>22.579897852020352</v>
      </c>
    </row>
    <row r="373" spans="5:7" x14ac:dyDescent="0.25">
      <c r="E373" s="11">
        <f t="shared" si="31"/>
        <v>61</v>
      </c>
      <c r="F373" s="11">
        <f t="shared" si="32"/>
        <v>22.901654000623846</v>
      </c>
      <c r="G373" s="11">
        <f t="shared" si="33"/>
        <v>22.996639129569736</v>
      </c>
    </row>
    <row r="374" spans="5:7" x14ac:dyDescent="0.25">
      <c r="E374" s="11">
        <f t="shared" si="31"/>
        <v>62</v>
      </c>
      <c r="F374" s="11">
        <f t="shared" si="32"/>
        <v>23.31561929396214</v>
      </c>
      <c r="G374" s="11">
        <f t="shared" si="33"/>
        <v>23.406377919010055</v>
      </c>
    </row>
    <row r="375" spans="5:7" x14ac:dyDescent="0.25">
      <c r="E375" s="11">
        <f t="shared" si="31"/>
        <v>63</v>
      </c>
      <c r="F375" s="11">
        <f t="shared" si="32"/>
        <v>23.722840238948052</v>
      </c>
      <c r="G375" s="11">
        <f t="shared" si="33"/>
        <v>23.808640213680185</v>
      </c>
    </row>
    <row r="376" spans="5:7" x14ac:dyDescent="0.25">
      <c r="E376" s="11">
        <f t="shared" si="31"/>
        <v>64</v>
      </c>
      <c r="F376" s="11">
        <f t="shared" si="32"/>
        <v>24.122805595706225</v>
      </c>
      <c r="G376" s="11">
        <f t="shared" si="33"/>
        <v>24.202952006919013</v>
      </c>
    </row>
    <row r="377" spans="5:7" x14ac:dyDescent="0.25">
      <c r="E377" s="11">
        <f t="shared" si="31"/>
        <v>65</v>
      </c>
      <c r="F377" s="11">
        <f t="shared" si="32"/>
        <v>24.515009022033333</v>
      </c>
      <c r="G377" s="11">
        <f t="shared" si="33"/>
        <v>24.588839292065412</v>
      </c>
    </row>
    <row r="378" spans="5:7" x14ac:dyDescent="0.25">
      <c r="E378" s="11">
        <f t="shared" si="31"/>
        <v>66</v>
      </c>
      <c r="F378" s="11">
        <f t="shared" si="32"/>
        <v>24.898950931303762</v>
      </c>
      <c r="G378" s="11">
        <f t="shared" si="33"/>
        <v>24.965828062458272</v>
      </c>
    </row>
    <row r="379" spans="5:7" x14ac:dyDescent="0.25">
      <c r="E379" s="11">
        <f t="shared" si="31"/>
        <v>67</v>
      </c>
      <c r="F379" s="11">
        <f t="shared" si="32"/>
        <v>25.274140449246417</v>
      </c>
      <c r="G379" s="11">
        <f t="shared" si="33"/>
        <v>25.333444311436473</v>
      </c>
    </row>
    <row r="380" spans="5:7" x14ac:dyDescent="0.25">
      <c r="E380" s="11">
        <f t="shared" si="31"/>
        <v>68</v>
      </c>
      <c r="F380" s="11">
        <f t="shared" si="32"/>
        <v>25.64009747203502</v>
      </c>
      <c r="G380" s="11">
        <f t="shared" si="33"/>
        <v>25.691214032338891</v>
      </c>
    </row>
    <row r="381" spans="5:7" x14ac:dyDescent="0.25">
      <c r="E381" s="11">
        <f t="shared" si="31"/>
        <v>69</v>
      </c>
      <c r="F381" s="11">
        <f t="shared" si="32"/>
        <v>25.99635482815868</v>
      </c>
      <c r="G381" s="11">
        <f t="shared" si="33"/>
        <v>26.038663218504414</v>
      </c>
    </row>
    <row r="382" spans="5:7" x14ac:dyDescent="0.25">
      <c r="E382" s="11">
        <f t="shared" si="31"/>
        <v>70</v>
      </c>
      <c r="F382" s="11">
        <f t="shared" si="32"/>
        <v>26.342460546563029</v>
      </c>
      <c r="G382" s="11">
        <f t="shared" si="33"/>
        <v>26.375317863271924</v>
      </c>
    </row>
    <row r="383" spans="5:7" x14ac:dyDescent="0.25">
      <c r="E383" s="11">
        <f t="shared" si="31"/>
        <v>71</v>
      </c>
      <c r="F383" s="11">
        <f t="shared" si="32"/>
        <v>26.677980233576232</v>
      </c>
      <c r="G383" s="11">
        <f t="shared" si="33"/>
        <v>26.700703959980302</v>
      </c>
    </row>
    <row r="384" spans="5:7" x14ac:dyDescent="0.25">
      <c r="E384" s="11">
        <f t="shared" si="31"/>
        <v>72</v>
      </c>
      <c r="F384" s="11">
        <f t="shared" si="32"/>
        <v>27.002499561158412</v>
      </c>
      <c r="G384" s="11">
        <f t="shared" si="33"/>
        <v>27.014347501968423</v>
      </c>
    </row>
    <row r="385" spans="5:7" x14ac:dyDescent="0.25">
      <c r="E385" s="11">
        <f t="shared" si="31"/>
        <v>73</v>
      </c>
      <c r="F385" s="11">
        <f t="shared" si="32"/>
        <v>27.315626869036667</v>
      </c>
      <c r="G385" s="11">
        <f t="shared" si="33"/>
        <v>27.315774482575176</v>
      </c>
    </row>
    <row r="386" spans="5:7" x14ac:dyDescent="0.25">
      <c r="E386" s="11">
        <f t="shared" si="31"/>
        <v>74</v>
      </c>
      <c r="F386" s="11">
        <f t="shared" si="32"/>
        <v>27.616995883311894</v>
      </c>
      <c r="G386" s="11">
        <f t="shared" si="33"/>
        <v>27.604510895139441</v>
      </c>
    </row>
    <row r="387" spans="5:7" x14ac:dyDescent="0.25">
      <c r="E387" s="11">
        <f t="shared" si="31"/>
        <v>75</v>
      </c>
      <c r="F387" s="11">
        <f t="shared" si="32"/>
        <v>27.906268554147619</v>
      </c>
      <c r="G387" s="11">
        <f t="shared" si="33"/>
        <v>27.880082733000094</v>
      </c>
    </row>
    <row r="388" spans="5:7" x14ac:dyDescent="0.25">
      <c r="E388" s="11">
        <f t="shared" si="31"/>
        <v>76</v>
      </c>
      <c r="F388" s="11">
        <f t="shared" si="32"/>
        <v>28.183138015175135</v>
      </c>
      <c r="G388" s="11">
        <f t="shared" si="33"/>
        <v>28.142159936231756</v>
      </c>
    </row>
    <row r="389" spans="5:7" x14ac:dyDescent="0.25">
      <c r="E389" s="11">
        <f t="shared" si="31"/>
        <v>77</v>
      </c>
      <c r="F389" s="11">
        <f t="shared" si="32"/>
        <v>28.447331667272692</v>
      </c>
      <c r="G389" s="11">
        <f t="shared" si="33"/>
        <v>28.390988231851978</v>
      </c>
    </row>
    <row r="390" spans="5:7" x14ac:dyDescent="0.25">
      <c r="E390" s="11">
        <f t="shared" si="31"/>
        <v>78</v>
      </c>
      <c r="F390" s="11">
        <f t="shared" si="32"/>
        <v>28.698614389401136</v>
      </c>
      <c r="G390" s="11">
        <f t="shared" si="33"/>
        <v>28.626957293614023</v>
      </c>
    </row>
    <row r="391" spans="5:7" x14ac:dyDescent="0.25">
      <c r="E391" s="11">
        <f t="shared" si="31"/>
        <v>79</v>
      </c>
      <c r="F391" s="11">
        <f t="shared" si="32"/>
        <v>28.936791879201742</v>
      </c>
      <c r="G391" s="11">
        <f t="shared" si="33"/>
        <v>28.850456795271182</v>
      </c>
    </row>
    <row r="392" spans="5:7" x14ac:dyDescent="0.25">
      <c r="E392" s="11">
        <f t="shared" si="31"/>
        <v>80</v>
      </c>
      <c r="F392" s="11">
        <f t="shared" si="32"/>
        <v>29.16171412608621</v>
      </c>
      <c r="G392" s="11">
        <f t="shared" si="33"/>
        <v>29.061876410576723</v>
      </c>
    </row>
    <row r="393" spans="5:7" x14ac:dyDescent="0.25">
      <c r="E393" s="11">
        <f t="shared" si="31"/>
        <v>81</v>
      </c>
      <c r="F393" s="11">
        <f t="shared" si="32"/>
        <v>29.373279019572824</v>
      </c>
      <c r="G393" s="11">
        <f t="shared" si="33"/>
        <v>29.261605813283929</v>
      </c>
    </row>
    <row r="394" spans="5:7" x14ac:dyDescent="0.25">
      <c r="E394" s="11">
        <f t="shared" si="31"/>
        <v>82</v>
      </c>
      <c r="F394" s="11">
        <f t="shared" si="32"/>
        <v>29.571436095646451</v>
      </c>
      <c r="G394" s="11">
        <f t="shared" si="33"/>
        <v>29.450034677146082</v>
      </c>
    </row>
    <row r="395" spans="5:7" x14ac:dyDescent="0.25">
      <c r="E395" s="11">
        <f t="shared" si="31"/>
        <v>83</v>
      </c>
      <c r="F395" s="11">
        <f t="shared" si="32"/>
        <v>29.756190423944126</v>
      </c>
      <c r="G395" s="11">
        <f t="shared" si="33"/>
        <v>29.627552675916455</v>
      </c>
    </row>
    <row r="396" spans="5:7" x14ac:dyDescent="0.25">
      <c r="E396" s="11">
        <f t="shared" si="31"/>
        <v>84</v>
      </c>
      <c r="F396" s="11">
        <f t="shared" si="32"/>
        <v>29.927606638592316</v>
      </c>
      <c r="G396" s="11">
        <f t="shared" si="33"/>
        <v>29.79454948334832</v>
      </c>
    </row>
    <row r="397" spans="5:7" x14ac:dyDescent="0.25">
      <c r="E397" s="11">
        <f t="shared" si="31"/>
        <v>85</v>
      </c>
      <c r="F397" s="11">
        <f t="shared" si="32"/>
        <v>30.085813115544862</v>
      </c>
      <c r="G397" s="11">
        <f t="shared" si="33"/>
        <v>29.951414773194962</v>
      </c>
    </row>
    <row r="398" spans="5:7" x14ac:dyDescent="0.25">
      <c r="E398" s="11">
        <f t="shared" si="31"/>
        <v>86</v>
      </c>
      <c r="F398" s="11">
        <f t="shared" si="32"/>
        <v>30.231006299295927</v>
      </c>
      <c r="G398" s="11">
        <f t="shared" si="33"/>
        <v>30.098538219209662</v>
      </c>
    </row>
    <row r="399" spans="5:7" x14ac:dyDescent="0.25">
      <c r="E399" s="11">
        <f t="shared" si="31"/>
        <v>87</v>
      </c>
      <c r="F399" s="11">
        <f t="shared" si="32"/>
        <v>30.363455181865028</v>
      </c>
      <c r="G399" s="11">
        <f t="shared" si="33"/>
        <v>30.236309495145687</v>
      </c>
    </row>
    <row r="400" spans="5:7" x14ac:dyDescent="0.25">
      <c r="E400" s="11">
        <f t="shared" si="31"/>
        <v>88</v>
      </c>
      <c r="F400" s="11">
        <f t="shared" si="32"/>
        <v>30.48350593697592</v>
      </c>
      <c r="G400" s="11">
        <f t="shared" si="33"/>
        <v>30.365118274756327</v>
      </c>
    </row>
    <row r="401" spans="5:7" x14ac:dyDescent="0.25">
      <c r="E401" s="11">
        <f t="shared" si="31"/>
        <v>89</v>
      </c>
      <c r="F401" s="11">
        <f t="shared" si="32"/>
        <v>30.591586712374664</v>
      </c>
      <c r="G401" s="11">
        <f t="shared" si="33"/>
        <v>30.485354231794851</v>
      </c>
    </row>
    <row r="402" spans="5:7" x14ac:dyDescent="0.25">
      <c r="E402" s="11">
        <f t="shared" si="31"/>
        <v>90</v>
      </c>
      <c r="F402" s="11">
        <f t="shared" si="32"/>
        <v>30.688212583256398</v>
      </c>
      <c r="G402" s="11">
        <f t="shared" si="33"/>
        <v>30.597407040014538</v>
      </c>
    </row>
    <row r="403" spans="5:7" x14ac:dyDescent="0.25">
      <c r="E403" s="11">
        <f t="shared" si="31"/>
        <v>91</v>
      </c>
      <c r="F403" s="11">
        <f t="shared" si="32"/>
        <v>30.773990669794046</v>
      </c>
      <c r="G403" s="11">
        <f t="shared" si="33"/>
        <v>30.701666373168674</v>
      </c>
    </row>
    <row r="404" spans="5:7" x14ac:dyDescent="0.25">
      <c r="E404" s="11">
        <f t="shared" si="31"/>
        <v>92</v>
      </c>
      <c r="F404" s="11">
        <f t="shared" si="32"/>
        <v>30.849625421786445</v>
      </c>
      <c r="G404" s="11">
        <f t="shared" si="33"/>
        <v>30.798521905010524</v>
      </c>
    </row>
    <row r="405" spans="5:7" x14ac:dyDescent="0.25">
      <c r="E405" s="11">
        <f t="shared" si="31"/>
        <v>93</v>
      </c>
      <c r="F405" s="11">
        <f t="shared" si="32"/>
        <v>30.915924073466979</v>
      </c>
      <c r="G405" s="11">
        <f t="shared" si="33"/>
        <v>30.888363309293378</v>
      </c>
    </row>
    <row r="406" spans="5:7" x14ac:dyDescent="0.25">
      <c r="E406" s="11">
        <f t="shared" si="31"/>
        <v>94</v>
      </c>
      <c r="F406" s="11">
        <f t="shared" si="32"/>
        <v>30.973802271537991</v>
      </c>
      <c r="G406" s="11">
        <f t="shared" si="33"/>
        <v>30.971580259770505</v>
      </c>
    </row>
    <row r="407" spans="5:7" x14ac:dyDescent="0.25">
      <c r="E407" s="11">
        <f t="shared" si="31"/>
        <v>95</v>
      </c>
      <c r="F407" s="11">
        <f t="shared" si="32"/>
        <v>31.024289879520264</v>
      </c>
      <c r="G407" s="11">
        <f t="shared" si="33"/>
        <v>31.04856243019519</v>
      </c>
    </row>
    <row r="408" spans="5:7" x14ac:dyDescent="0.25">
      <c r="E408" s="11">
        <f t="shared" si="31"/>
        <v>96</v>
      </c>
      <c r="F408" s="11">
        <f t="shared" si="32"/>
        <v>31.068536961530342</v>
      </c>
      <c r="G408" s="11">
        <f t="shared" si="33"/>
        <v>31.119699494320702</v>
      </c>
    </row>
    <row r="409" spans="5:7" x14ac:dyDescent="0.25">
      <c r="E409" s="11">
        <f t="shared" si="31"/>
        <v>97</v>
      </c>
      <c r="F409" s="11">
        <f t="shared" si="32"/>
        <v>31.107819948623138</v>
      </c>
      <c r="G409" s="11">
        <f t="shared" si="33"/>
        <v>31.185381125900328</v>
      </c>
    </row>
    <row r="410" spans="5:7" x14ac:dyDescent="0.25">
      <c r="E410" s="11">
        <f t="shared" si="31"/>
        <v>98</v>
      </c>
      <c r="F410" s="11">
        <f t="shared" si="32"/>
        <v>31.143547990860604</v>
      </c>
      <c r="G410" s="11">
        <f t="shared" si="33"/>
        <v>31.245996998687339</v>
      </c>
    </row>
    <row r="411" spans="5:7" x14ac:dyDescent="0.25">
      <c r="E411" s="11">
        <f t="shared" si="31"/>
        <v>99</v>
      </c>
      <c r="F411" s="11">
        <f t="shared" si="32"/>
        <v>31.177269498291306</v>
      </c>
      <c r="G411" s="11">
        <f t="shared" si="33"/>
        <v>31.301936786435014</v>
      </c>
    </row>
    <row r="412" spans="5:7" x14ac:dyDescent="0.25">
      <c r="E412" s="11">
        <f t="shared" si="31"/>
        <v>100</v>
      </c>
      <c r="F412" s="11">
        <f t="shared" si="32"/>
        <v>31.210678874050174</v>
      </c>
      <c r="G412" s="11">
        <f t="shared" si="33"/>
        <v>31.353590162896637</v>
      </c>
    </row>
    <row r="413" spans="5:7" x14ac:dyDescent="0.25">
      <c r="E413" s="11">
        <f t="shared" si="31"/>
        <v>101</v>
      </c>
      <c r="F413" s="11">
        <f t="shared" si="32"/>
        <v>31.245623442810874</v>
      </c>
      <c r="G413" s="11">
        <f t="shared" si="33"/>
        <v>31.401346801825479</v>
      </c>
    </row>
    <row r="414" spans="5:7" x14ac:dyDescent="0.25">
      <c r="E414" s="11">
        <f t="shared" si="31"/>
        <v>102</v>
      </c>
      <c r="F414" s="11">
        <f t="shared" si="32"/>
        <v>31.284110577847784</v>
      </c>
      <c r="G414" s="11">
        <f t="shared" si="33"/>
        <v>31.445596376974827</v>
      </c>
    </row>
    <row r="415" spans="5:7" x14ac:dyDescent="0.25">
      <c r="E415" s="11">
        <f t="shared" ref="E415:E422" si="34">E208</f>
        <v>103</v>
      </c>
      <c r="F415" s="11">
        <f t="shared" ref="F415:F422" si="35">$H$217*0+E415*$I$217+E415^2*$J$217+E415^3*$K$217+E415^4*$L$217+E415^5*$M$217+E415^6*$N$217+E415^7*$O$217+E415^8*$P$217</f>
        <v>31.32831502998846</v>
      </c>
      <c r="G415" s="11">
        <f t="shared" ref="G415:G422" si="36">F208</f>
        <v>31.486728562097944</v>
      </c>
    </row>
    <row r="416" spans="5:7" x14ac:dyDescent="0.25">
      <c r="E416" s="11">
        <f t="shared" si="34"/>
        <v>104</v>
      </c>
      <c r="F416" s="11">
        <f t="shared" si="35"/>
        <v>31.380586461760874</v>
      </c>
      <c r="G416" s="11">
        <f t="shared" si="36"/>
        <v>31.525133030948119</v>
      </c>
    </row>
    <row r="417" spans="5:7" x14ac:dyDescent="0.25">
      <c r="E417" s="11">
        <f t="shared" si="34"/>
        <v>105</v>
      </c>
      <c r="F417" s="11">
        <f t="shared" si="35"/>
        <v>31.443457190064578</v>
      </c>
      <c r="G417" s="11">
        <f t="shared" si="36"/>
        <v>31.561199457278626</v>
      </c>
    </row>
    <row r="418" spans="5:7" x14ac:dyDescent="0.25">
      <c r="E418" s="11">
        <f t="shared" si="34"/>
        <v>106</v>
      </c>
      <c r="F418" s="11">
        <f t="shared" si="35"/>
        <v>31.519650140717786</v>
      </c>
      <c r="G418" s="11">
        <f t="shared" si="36"/>
        <v>31.595317514842744</v>
      </c>
    </row>
    <row r="419" spans="5:7" x14ac:dyDescent="0.25">
      <c r="E419" s="11">
        <f t="shared" si="34"/>
        <v>107</v>
      </c>
      <c r="F419" s="11">
        <f t="shared" si="35"/>
        <v>31.61208701825764</v>
      </c>
      <c r="G419" s="11">
        <f t="shared" si="36"/>
        <v>31.627876877393749</v>
      </c>
    </row>
    <row r="420" spans="5:7" x14ac:dyDescent="0.25">
      <c r="E420" s="11">
        <f t="shared" si="34"/>
        <v>108</v>
      </c>
      <c r="F420" s="11">
        <f t="shared" si="35"/>
        <v>31.723896694393449</v>
      </c>
      <c r="G420" s="11">
        <f t="shared" si="36"/>
        <v>31.659267218684921</v>
      </c>
    </row>
    <row r="421" spans="5:7" x14ac:dyDescent="0.25">
      <c r="E421" s="11">
        <f t="shared" si="34"/>
        <v>109</v>
      </c>
      <c r="F421" s="11">
        <f t="shared" si="35"/>
        <v>31.858423818537762</v>
      </c>
      <c r="G421" s="11">
        <f t="shared" si="36"/>
        <v>31.689878212469541</v>
      </c>
    </row>
    <row r="422" spans="5:7" x14ac:dyDescent="0.25">
      <c r="E422" s="11">
        <f t="shared" si="34"/>
        <v>110</v>
      </c>
      <c r="F422" s="11">
        <f t="shared" si="35"/>
        <v>32.019237653863414</v>
      </c>
      <c r="G422" s="11">
        <f t="shared" si="36"/>
        <v>31.720099532500878</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2022-01-11T18:53:17Z</dcterms:modified>
</cp:coreProperties>
</file>