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<sst xmlns="http://schemas.openxmlformats.org/spreadsheetml/2006/main" count="311" uniqueCount="164">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</sst>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77416848"/>
        <c:axId val="57742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77416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25864"/>
        <c:crossesAt val="-8.0000000000000019E-3"/>
        <c:crossBetween val="midCat"/>
      </c:valAx>
      <c:valAx>
        <c:axId val="57742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168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7974600"/>
        <c:axId val="477980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7974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80872"/>
        <c:crosses val="autoZero"/>
        <c:crossBetween val="midCat"/>
      </c:valAx>
      <c:valAx>
        <c:axId val="4779808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746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79706176"/>
        <c:axId val="429181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7970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9181696"/>
        <c:crosses val="autoZero"/>
        <c:crossBetween val="midCat"/>
        <c:majorUnit val="10000"/>
      </c:valAx>
      <c:valAx>
        <c:axId val="42918169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7061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04818608"/>
        <c:axId val="6048170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86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7040"/>
        <c:crosses val="autoZero"/>
        <c:crossBetween val="midCat"/>
        <c:majorUnit val="10000"/>
      </c:valAx>
      <c:valAx>
        <c:axId val="6048170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860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04810376"/>
        <c:axId val="60481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03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9000"/>
        <c:crosses val="autoZero"/>
        <c:crossBetween val="midCat"/>
        <c:majorUnit val="10000"/>
      </c:valAx>
      <c:valAx>
        <c:axId val="60481900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37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6.4553115572410022E-6</c:v>
                </c:pt>
                <c:pt idx="1">
                  <c:v>3.4887183318556005E-6</c:v>
                </c:pt>
                <c:pt idx="2">
                  <c:v>1.8413806233887663E-6</c:v>
                </c:pt>
                <c:pt idx="3">
                  <c:v>3.215229432830142E-6</c:v>
                </c:pt>
                <c:pt idx="4">
                  <c:v>3.6034037148644884E-6</c:v>
                </c:pt>
                <c:pt idx="5">
                  <c:v>3.7207411976317337E-6</c:v>
                </c:pt>
                <c:pt idx="6">
                  <c:v>3.7364837639704192E-6</c:v>
                </c:pt>
                <c:pt idx="7">
                  <c:v>3.4863900840669675E-6</c:v>
                </c:pt>
                <c:pt idx="8">
                  <c:v>9.2556900103284314E-7</c:v>
                </c:pt>
                <c:pt idx="9">
                  <c:v>2.1205307188212623E-5</c:v>
                </c:pt>
                <c:pt idx="10">
                  <c:v>1.4484412435119317E-5</c:v>
                </c:pt>
                <c:pt idx="11">
                  <c:v>3.0263318961548981E-5</c:v>
                </c:pt>
                <c:pt idx="12">
                  <c:v>3.9892121502632246E-5</c:v>
                </c:pt>
                <c:pt idx="13">
                  <c:v>4.3623597542640157E-5</c:v>
                </c:pt>
                <c:pt idx="14">
                  <c:v>4.0018425305950115E-5</c:v>
                </c:pt>
                <c:pt idx="15">
                  <c:v>3.1101094216116021E-5</c:v>
                </c:pt>
                <c:pt idx="16">
                  <c:v>2.1034923358539052E-5</c:v>
                </c:pt>
                <c:pt idx="17">
                  <c:v>1.3192253916111908E-5</c:v>
                </c:pt>
                <c:pt idx="18">
                  <c:v>8.2312679580392323E-6</c:v>
                </c:pt>
                <c:pt idx="19">
                  <c:v>5.0151798491761667E-6</c:v>
                </c:pt>
                <c:pt idx="20">
                  <c:v>2.8831966901130563E-6</c:v>
                </c:pt>
                <c:pt idx="21">
                  <c:v>1.9672984974437129E-6</c:v>
                </c:pt>
                <c:pt idx="22">
                  <c:v>2.9628213595646227E-6</c:v>
                </c:pt>
                <c:pt idx="23">
                  <c:v>5.1881779006038324E-6</c:v>
                </c:pt>
                <c:pt idx="24">
                  <c:v>7.5509540033898464E-6</c:v>
                </c:pt>
                <c:pt idx="25">
                  <c:v>1.2221597667432687E-5</c:v>
                </c:pt>
                <c:pt idx="26">
                  <c:v>2.601076964373969E-5</c:v>
                </c:pt>
                <c:pt idx="27">
                  <c:v>6.4471191262258581E-5</c:v>
                </c:pt>
                <c:pt idx="28">
                  <c:v>1.5886304062206206E-4</c:v>
                </c:pt>
                <c:pt idx="29">
                  <c:v>3.0366251511459216E-4</c:v>
                </c:pt>
                <c:pt idx="30">
                  <c:v>2.056185122654294E-4</c:v>
                </c:pt>
              </c:numCache>
            </c:numRef>
          </c:yVal>
          <c:smooth val="1"/>
        </c:ser>
        <c:dLbls>
          <c:showLegendKey val="0"/>
          <c:showVal val="0"/>
          <c:showCatName val="0"/>
          <c:showSerName val="0"/>
          <c:showPercent val="0"/>
          <c:showBubbleSize val="0"/>
        </c:dLbls>
        <c:axId val="604810768"/>
        <c:axId val="604817432"/>
      </c:scatterChart>
      <c:valAx>
        <c:axId val="604810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432"/>
        <c:crossesAt val="-1.5000000000000005E-3"/>
        <c:crossBetween val="midCat"/>
      </c:valAx>
      <c:valAx>
        <c:axId val="604817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7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7287.2891982826222</c:v>
                </c:pt>
                <c:pt idx="1">
                  <c:v>7287.2891982588853</c:v>
                </c:pt>
                <c:pt idx="2">
                  <c:v>7287.2891980215209</c:v>
                </c:pt>
                <c:pt idx="3">
                  <c:v>7287.2891956478752</c:v>
                </c:pt>
                <c:pt idx="4">
                  <c:v>7287.289171911425</c:v>
                </c:pt>
                <c:pt idx="5">
                  <c:v>7287.2889345473377</c:v>
                </c:pt>
                <c:pt idx="6">
                  <c:v>7287.2865609487162</c:v>
                </c:pt>
                <c:pt idx="7">
                  <c:v>7287.2628291862602</c:v>
                </c:pt>
                <c:pt idx="8">
                  <c:v>7287.0259326431087</c:v>
                </c:pt>
                <c:pt idx="9">
                  <c:v>7284.6978168855394</c:v>
                </c:pt>
                <c:pt idx="10">
                  <c:v>7264.5257553345609</c:v>
                </c:pt>
                <c:pt idx="11">
                  <c:v>7153.8643736390295</c:v>
                </c:pt>
                <c:pt idx="12">
                  <c:v>7011.7176919328949</c:v>
                </c:pt>
                <c:pt idx="13">
                  <c:v>6855.0699056416097</c:v>
                </c:pt>
                <c:pt idx="14">
                  <c:v>6667.0699875438713</c:v>
                </c:pt>
                <c:pt idx="15">
                  <c:v>6458.0741613421114</c:v>
                </c:pt>
                <c:pt idx="16">
                  <c:v>6197.0091502858468</c:v>
                </c:pt>
                <c:pt idx="17">
                  <c:v>5728.7607244893079</c:v>
                </c:pt>
                <c:pt idx="18">
                  <c:v>4909.3702737098383</c:v>
                </c:pt>
                <c:pt idx="19">
                  <c:v>4054.7059305785556</c:v>
                </c:pt>
                <c:pt idx="20">
                  <c:v>3384.7279274075818</c:v>
                </c:pt>
                <c:pt idx="21">
                  <c:v>2867.8187301762346</c:v>
                </c:pt>
                <c:pt idx="22">
                  <c:v>2393.9148734243458</c:v>
                </c:pt>
                <c:pt idx="23">
                  <c:v>1923.0546521948713</c:v>
                </c:pt>
                <c:pt idx="24">
                  <c:v>1433.0153891706077</c:v>
                </c:pt>
                <c:pt idx="25">
                  <c:v>928.38384310793288</c:v>
                </c:pt>
                <c:pt idx="26">
                  <c:v>540.76350461674588</c:v>
                </c:pt>
                <c:pt idx="27">
                  <c:v>302.12767494059574</c:v>
                </c:pt>
                <c:pt idx="28">
                  <c:v>167.92939465126034</c:v>
                </c:pt>
                <c:pt idx="29">
                  <c:v>115.59097341631293</c:v>
                </c:pt>
                <c:pt idx="30">
                  <c:v>100.51088225937114</c:v>
                </c:pt>
              </c:numCache>
            </c:numRef>
          </c:yVal>
          <c:smooth val="1"/>
        </c:ser>
        <c:dLbls>
          <c:showLegendKey val="0"/>
          <c:showVal val="0"/>
          <c:showCatName val="0"/>
          <c:showSerName val="0"/>
          <c:showPercent val="0"/>
          <c:showBubbleSize val="0"/>
        </c:dLbls>
        <c:axId val="604813904"/>
        <c:axId val="604811160"/>
      </c:scatterChart>
      <c:valAx>
        <c:axId val="6048139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160"/>
        <c:crosses val="autoZero"/>
        <c:crossBetween val="midCat"/>
      </c:valAx>
      <c:valAx>
        <c:axId val="604811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39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2.048746733962634E-2</c:v>
                </c:pt>
                <c:pt idx="1">
                  <c:v>2.0497577932868119E-2</c:v>
                </c:pt>
                <c:pt idx="2">
                  <c:v>2.0492339412975985E-2</c:v>
                </c:pt>
                <c:pt idx="3">
                  <c:v>2.0490981895102491E-2</c:v>
                </c:pt>
                <c:pt idx="4">
                  <c:v>2.0490582135239719E-2</c:v>
                </c:pt>
                <c:pt idx="5">
                  <c:v>2.0490457210299837E-2</c:v>
                </c:pt>
                <c:pt idx="6">
                  <c:v>2.0490423897154438E-2</c:v>
                </c:pt>
                <c:pt idx="7">
                  <c:v>2.0490415570590299E-2</c:v>
                </c:pt>
                <c:pt idx="8">
                  <c:v>2.0490407259922575E-2</c:v>
                </c:pt>
                <c:pt idx="9">
                  <c:v>2.0490407436552557E-2</c:v>
                </c:pt>
                <c:pt idx="10">
                  <c:v>2.0490409202853711E-2</c:v>
                </c:pt>
                <c:pt idx="11">
                  <c:v>2.0490410209185995E-2</c:v>
                </c:pt>
                <c:pt idx="12">
                  <c:v>2.0490495225760401E-2</c:v>
                </c:pt>
                <c:pt idx="13">
                  <c:v>2.0491295249405631E-2</c:v>
                </c:pt>
                <c:pt idx="14">
                  <c:v>2.0499278304015149E-2</c:v>
                </c:pt>
                <c:pt idx="15">
                  <c:v>2.0577652716999215E-2</c:v>
                </c:pt>
                <c:pt idx="16">
                  <c:v>2.1238082926940641E-2</c:v>
                </c:pt>
                <c:pt idx="17">
                  <c:v>2.4062837951042262E-2</c:v>
                </c:pt>
                <c:pt idx="18">
                  <c:v>2.5607211231540156E-2</c:v>
                </c:pt>
                <c:pt idx="19">
                  <c:v>2.321835638769321E-2</c:v>
                </c:pt>
                <c:pt idx="20">
                  <c:v>7.539349373557944E-3</c:v>
                </c:pt>
                <c:pt idx="21">
                  <c:v>7.1754759368362772E-2</c:v>
                </c:pt>
                <c:pt idx="22">
                  <c:v>0.2157258584520432</c:v>
                </c:pt>
                <c:pt idx="23">
                  <c:v>0.35306988107897286</c:v>
                </c:pt>
                <c:pt idx="24">
                  <c:v>0.358144852558342</c:v>
                </c:pt>
                <c:pt idx="25">
                  <c:v>0.26744966493741701</c:v>
                </c:pt>
                <c:pt idx="26">
                  <c:v>0.17713414444621323</c:v>
                </c:pt>
                <c:pt idx="27">
                  <c:v>0.10189782948367421</c:v>
                </c:pt>
                <c:pt idx="28">
                  <c:v>6.5242405719795948E-2</c:v>
                </c:pt>
                <c:pt idx="29">
                  <c:v>1.664890184999256E-2</c:v>
                </c:pt>
                <c:pt idx="30">
                  <c:v>2.1679844197784504E-2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6.4553115572410022E-6</c:v>
                </c:pt>
                <c:pt idx="1">
                  <c:v>3.4887183322300162E-6</c:v>
                </c:pt>
                <c:pt idx="2">
                  <c:v>1.8413806185213378E-6</c:v>
                </c:pt>
                <c:pt idx="3">
                  <c:v>3.2152293842805966E-6</c:v>
                </c:pt>
                <c:pt idx="4">
                  <c:v>3.6034032287448159E-6</c:v>
                </c:pt>
                <c:pt idx="5">
                  <c:v>3.7207363371831131E-6</c:v>
                </c:pt>
                <c:pt idx="6">
                  <c:v>3.736435161714124E-6</c:v>
                </c:pt>
                <c:pt idx="7">
                  <c:v>3.4859042172989898E-6</c:v>
                </c:pt>
                <c:pt idx="8">
                  <c:v>9.207258421693029E-7</c:v>
                </c:pt>
                <c:pt idx="9">
                  <c:v>2.1252256451636341E-5</c:v>
                </c:pt>
                <c:pt idx="10">
                  <c:v>1.4854540564546374E-5</c:v>
                </c:pt>
                <c:pt idx="11">
                  <c:v>2.8794440825555461E-5</c:v>
                </c:pt>
                <c:pt idx="12">
                  <c:v>4.1048169344233688E-5</c:v>
                </c:pt>
                <c:pt idx="13">
                  <c:v>4.1935355708870959E-5</c:v>
                </c:pt>
                <c:pt idx="14">
                  <c:v>4.172152077219587E-5</c:v>
                </c:pt>
                <c:pt idx="15">
                  <c:v>2.8985311745602478E-5</c:v>
                </c:pt>
                <c:pt idx="16">
                  <c:v>2.381963795401954E-5</c:v>
                </c:pt>
                <c:pt idx="17">
                  <c:v>6.1046808766118388E-6</c:v>
                </c:pt>
                <c:pt idx="18">
                  <c:v>1.7738370912875926E-5</c:v>
                </c:pt>
                <c:pt idx="19">
                  <c:v>4.0715879169484922E-6</c:v>
                </c:pt>
                <c:pt idx="20">
                  <c:v>1.1440353281503515E-5</c:v>
                </c:pt>
                <c:pt idx="21">
                  <c:v>5.3969781744155798E-6</c:v>
                </c:pt>
                <c:pt idx="22">
                  <c:v>1.622196887220222E-5</c:v>
                </c:pt>
                <c:pt idx="23">
                  <c:v>1.0536949518391646E-5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7.4669105244526456E-3</c:v>
                </c:pt>
                <c:pt idx="1">
                  <c:v>7.4572633239825929E-3</c:v>
                </c:pt>
                <c:pt idx="2">
                  <c:v>7.4649304317304455E-3</c:v>
                </c:pt>
                <c:pt idx="3">
                  <c:v>7.4894693876654313E-3</c:v>
                </c:pt>
                <c:pt idx="4">
                  <c:v>7.7235442883232443E-3</c:v>
                </c:pt>
                <c:pt idx="5">
                  <c:v>9.8628367311408369E-3</c:v>
                </c:pt>
                <c:pt idx="6">
                  <c:v>9.7043530261456158E-3</c:v>
                </c:pt>
                <c:pt idx="7">
                  <c:v>1.1570670062479386E-2</c:v>
                </c:pt>
                <c:pt idx="8">
                  <c:v>1.1419206208558547E-2</c:v>
                </c:pt>
                <c:pt idx="9">
                  <c:v>1.4417134646577279E-2</c:v>
                </c:pt>
                <c:pt idx="10">
                  <c:v>1.1540726796166351E-2</c:v>
                </c:pt>
                <c:pt idx="11">
                  <c:v>9.0547425466111636E-3</c:v>
                </c:pt>
                <c:pt idx="12">
                  <c:v>4.0732129456475911E-2</c:v>
                </c:pt>
                <c:pt idx="13">
                  <c:v>0.1449173756880788</c:v>
                </c:pt>
                <c:pt idx="14">
                  <c:v>0.24926086299137434</c:v>
                </c:pt>
                <c:pt idx="15">
                  <c:v>0.32675825708802675</c:v>
                </c:pt>
                <c:pt idx="16">
                  <c:v>0.35431367214272447</c:v>
                </c:pt>
                <c:pt idx="17">
                  <c:v>0.33748766668603974</c:v>
                </c:pt>
                <c:pt idx="18">
                  <c:v>0.26910123954038229</c:v>
                </c:pt>
                <c:pt idx="19">
                  <c:v>0.19262866309397123</c:v>
                </c:pt>
                <c:pt idx="20">
                  <c:v>0.14925363858579835</c:v>
                </c:pt>
                <c:pt idx="21">
                  <c:v>8.5608143379698257E-2</c:v>
                </c:pt>
                <c:pt idx="22">
                  <c:v>6.2462822508519242E-2</c:v>
                </c:pt>
                <c:pt idx="23">
                  <c:v>3.3946339453840353E-2</c:v>
                </c:pt>
                <c:pt idx="24">
                  <c:v>4.3228798377441646E-2</c:v>
                </c:pt>
                <c:pt idx="25">
                  <c:v>3.6226957621917889E-2</c:v>
                </c:pt>
                <c:pt idx="26">
                  <c:v>0.29908216658438347</c:v>
                </c:pt>
                <c:pt idx="27">
                  <c:v>0.38808253469027942</c:v>
                </c:pt>
                <c:pt idx="28">
                  <c:v>0.37868768267557029</c:v>
                </c:pt>
                <c:pt idx="29">
                  <c:v>0.3785421204286058</c:v>
                </c:pt>
                <c:pt idx="30">
                  <c:v>0.3722908276210844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2.3108477713702221E-2</c:v>
                </c:pt>
                <c:pt idx="1">
                  <c:v>2.1964581658053435E-2</c:v>
                </c:pt>
                <c:pt idx="2">
                  <c:v>5.6251166470460981E-2</c:v>
                </c:pt>
                <c:pt idx="3">
                  <c:v>0.17128714852964352</c:v>
                </c:pt>
                <c:pt idx="4">
                  <c:v>0.26667254252419875</c:v>
                </c:pt>
                <c:pt idx="5">
                  <c:v>0.33614608184437428</c:v>
                </c:pt>
                <c:pt idx="6">
                  <c:v>0.36764640237769514</c:v>
                </c:pt>
                <c:pt idx="7">
                  <c:v>0.40642959116967586</c:v>
                </c:pt>
                <c:pt idx="8">
                  <c:v>0.42608634732810119</c:v>
                </c:pt>
                <c:pt idx="9">
                  <c:v>0.43364054381276979</c:v>
                </c:pt>
                <c:pt idx="10">
                  <c:v>0.4656917142805943</c:v>
                </c:pt>
                <c:pt idx="11">
                  <c:v>0.4678888871352016</c:v>
                </c:pt>
                <c:pt idx="12">
                  <c:v>0.49128877873691568</c:v>
                </c:pt>
                <c:pt idx="13">
                  <c:v>0.51834263236829159</c:v>
                </c:pt>
                <c:pt idx="14">
                  <c:v>0.53640222115468272</c:v>
                </c:pt>
                <c:pt idx="15">
                  <c:v>0.55573608817474252</c:v>
                </c:pt>
                <c:pt idx="16">
                  <c:v>0.69543499601828318</c:v>
                </c:pt>
                <c:pt idx="17">
                  <c:v>0.6663007448998437</c:v>
                </c:pt>
                <c:pt idx="18">
                  <c:v>0.60164691813189197</c:v>
                </c:pt>
                <c:pt idx="19">
                  <c:v>0.53430095420743107</c:v>
                </c:pt>
                <c:pt idx="20">
                  <c:v>0.48128861551657115</c:v>
                </c:pt>
                <c:pt idx="21">
                  <c:v>0.44386848753279962</c:v>
                </c:pt>
                <c:pt idx="22">
                  <c:v>0.41864237522594627</c:v>
                </c:pt>
                <c:pt idx="23">
                  <c:v>0.40152692394801992</c:v>
                </c:pt>
                <c:pt idx="24">
                  <c:v>0.39004145372388249</c:v>
                </c:pt>
                <c:pt idx="25">
                  <c:v>0.38392059039034354</c:v>
                </c:pt>
                <c:pt idx="26">
                  <c:v>0.38228967132956104</c:v>
                </c:pt>
                <c:pt idx="27">
                  <c:v>0.375802369452996</c:v>
                </c:pt>
                <c:pt idx="28">
                  <c:v>0.37569833811681436</c:v>
                </c:pt>
                <c:pt idx="29">
                  <c:v>0.37128798341976771</c:v>
                </c:pt>
                <c:pt idx="30">
                  <c:v>0.36958121910809705</c:v>
                </c:pt>
              </c:numCache>
            </c:numRef>
          </c:yVal>
          <c:smooth val="1"/>
        </c:ser>
        <c:dLbls>
          <c:showLegendKey val="0"/>
          <c:showVal val="0"/>
          <c:showCatName val="0"/>
          <c:showSerName val="0"/>
          <c:showPercent val="0"/>
          <c:showBubbleSize val="0"/>
        </c:dLbls>
        <c:axId val="604811944"/>
        <c:axId val="604817824"/>
      </c:scatterChart>
      <c:valAx>
        <c:axId val="604811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824"/>
        <c:crossesAt val="1.0000000000000005E-9"/>
        <c:crossBetween val="midCat"/>
      </c:valAx>
      <c:valAx>
        <c:axId val="60481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9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604812728"/>
        <c:axId val="604818216"/>
      </c:scatterChart>
      <c:valAx>
        <c:axId val="604812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8216"/>
        <c:crossesAt val="-100"/>
        <c:crossBetween val="midCat"/>
      </c:valAx>
      <c:valAx>
        <c:axId val="604818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2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604815080"/>
        <c:axId val="604808808"/>
      </c:scatterChart>
      <c:valAx>
        <c:axId val="6048150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8808"/>
        <c:crosses val="autoZero"/>
        <c:crossBetween val="midCat"/>
      </c:valAx>
      <c:valAx>
        <c:axId val="604808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0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09200"/>
        <c:axId val="604807240"/>
      </c:scatterChart>
      <c:valAx>
        <c:axId val="604809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7240"/>
        <c:crosses val="autoZero"/>
        <c:crossBetween val="midCat"/>
      </c:valAx>
      <c:valAx>
        <c:axId val="604807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14688"/>
        <c:axId val="604815864"/>
      </c:scatterChart>
      <c:valAx>
        <c:axId val="6048146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864"/>
        <c:crosses val="autoZero"/>
        <c:crossBetween val="midCat"/>
      </c:valAx>
      <c:valAx>
        <c:axId val="60481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46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604815472"/>
        <c:axId val="604809592"/>
      </c:scatterChart>
      <c:valAx>
        <c:axId val="6048154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592"/>
        <c:crossesAt val="-1000"/>
        <c:crossBetween val="midCat"/>
      </c:valAx>
      <c:valAx>
        <c:axId val="604809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4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5.9601287994759033E-3</v>
      </c>
      <c r="D74" s="51">
        <v>1</v>
      </c>
      <c r="E74" s="56">
        <f>'Mastercurve bestimmen'!A18</f>
        <v>1.0000000000000001E-30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8.2357212069048761E-4</v>
      </c>
      <c r="C83" s="11"/>
      <c r="D83" s="51">
        <f t="shared" ref="D83:D104" si="1">A83</f>
        <v>10</v>
      </c>
      <c r="E83" s="56">
        <f>'Mastercurve bestimmen'!A27</f>
        <v>8.9027742702096099E-6</v>
      </c>
    </row>
    <row r="84" spans="1:5" x14ac:dyDescent="0.25">
      <c r="A84" s="50">
        <f t="shared" si="0"/>
        <v>11</v>
      </c>
      <c r="B84" s="56">
        <f>'Mastercurve bestimmen'!C28</f>
        <v>2.4665844117639606E-2</v>
      </c>
      <c r="C84" s="11"/>
      <c r="D84" s="51">
        <f t="shared" si="1"/>
        <v>11</v>
      </c>
      <c r="E84" s="56">
        <f>'Mastercurve bestimmen'!A28</f>
        <v>9.86912775817142E-5</v>
      </c>
    </row>
    <row r="85" spans="1:5" x14ac:dyDescent="0.25">
      <c r="A85" s="50">
        <f t="shared" si="0"/>
        <v>12</v>
      </c>
      <c r="B85" s="56">
        <f>'Mastercurve bestimmen'!C29</f>
        <v>1.6291197925316764E-2</v>
      </c>
      <c r="C85" s="11"/>
      <c r="D85" s="51">
        <f t="shared" si="1"/>
        <v>12</v>
      </c>
      <c r="E85" s="56">
        <f>'Mastercurve bestimmen'!A29</f>
        <v>1.0940374286813801E-3</v>
      </c>
    </row>
    <row r="86" spans="1:5" x14ac:dyDescent="0.25">
      <c r="A86" s="50">
        <f t="shared" si="0"/>
        <v>13</v>
      </c>
      <c r="B86" s="56">
        <f>'Mastercurve bestimmen'!C30</f>
        <v>2.6847553865855696E-2</v>
      </c>
      <c r="C86" s="11"/>
      <c r="D86" s="51">
        <f t="shared" si="1"/>
        <v>13</v>
      </c>
      <c r="E86" s="56">
        <f>'Mastercurve bestimmen'!A30</f>
        <v>1.2127899493091E-2</v>
      </c>
    </row>
    <row r="87" spans="1:5" x14ac:dyDescent="0.25">
      <c r="A87" s="50">
        <f t="shared" si="0"/>
        <v>14</v>
      </c>
      <c r="B87" s="56">
        <f>'Mastercurve bestimmen'!C31</f>
        <v>2.5906186741603665E-2</v>
      </c>
      <c r="C87" s="11"/>
      <c r="D87" s="51">
        <f t="shared" si="1"/>
        <v>14</v>
      </c>
      <c r="E87" s="56">
        <f>'Mastercurve bestimmen'!A31</f>
        <v>0.13444324870292301</v>
      </c>
    </row>
    <row r="88" spans="1:5" x14ac:dyDescent="0.25">
      <c r="A88" s="50">
        <f t="shared" si="0"/>
        <v>15</v>
      </c>
      <c r="B88" s="56">
        <f>'Mastercurve bestimmen'!C32</f>
        <v>3.2694648537282267E-2</v>
      </c>
      <c r="C88" s="11"/>
      <c r="D88" s="51">
        <f t="shared" si="1"/>
        <v>15</v>
      </c>
      <c r="E88" s="56">
        <f>'Mastercurve bestimmen'!A32</f>
        <v>1.49036419143257</v>
      </c>
    </row>
    <row r="89" spans="1:5" x14ac:dyDescent="0.25">
      <c r="A89" s="50">
        <f t="shared" si="0"/>
        <v>16</v>
      </c>
      <c r="B89" s="56">
        <f>'Mastercurve bestimmen'!C33</f>
        <v>3.3282078428276948E-2</v>
      </c>
      <c r="C89" s="11"/>
      <c r="D89" s="51">
        <f t="shared" si="1"/>
        <v>16</v>
      </c>
      <c r="E89" s="56">
        <f>'Mastercurve bestimmen'!A33</f>
        <v>16.521360830937301</v>
      </c>
    </row>
    <row r="90" spans="1:5" x14ac:dyDescent="0.25">
      <c r="A90" s="50">
        <f t="shared" si="0"/>
        <v>17</v>
      </c>
      <c r="B90" s="56">
        <f>'Mastercurve bestimmen'!C34</f>
        <v>0.1075539898267141</v>
      </c>
      <c r="C90" s="11"/>
      <c r="D90" s="51">
        <f t="shared" si="1"/>
        <v>17</v>
      </c>
      <c r="E90" s="56">
        <f>'Mastercurve bestimmen'!A34</f>
        <v>183.146753843879</v>
      </c>
    </row>
    <row r="91" spans="1:5" x14ac:dyDescent="0.25">
      <c r="A91" s="50">
        <f t="shared" si="0"/>
        <v>18</v>
      </c>
      <c r="B91" s="56">
        <f>'Mastercurve bestimmen'!C35</f>
        <v>0.13355176295714186</v>
      </c>
      <c r="C91" s="11"/>
      <c r="D91" s="51">
        <f t="shared" si="1"/>
        <v>18</v>
      </c>
      <c r="E91" s="56">
        <f>'Mastercurve bestimmen'!A35</f>
        <v>2030.26456396616</v>
      </c>
    </row>
    <row r="92" spans="1:5" x14ac:dyDescent="0.25">
      <c r="A92" s="50">
        <f t="shared" si="0"/>
        <v>19</v>
      </c>
      <c r="B92" s="56">
        <f>'Mastercurve bestimmen'!C36</f>
        <v>0.10276653551975504</v>
      </c>
      <c r="C92" s="11"/>
      <c r="D92" s="51">
        <f t="shared" si="1"/>
        <v>19</v>
      </c>
      <c r="E92" s="56">
        <f>'Mastercurve bestimmen'!A36</f>
        <v>22506.400540467101</v>
      </c>
    </row>
    <row r="93" spans="1:5" x14ac:dyDescent="0.25">
      <c r="A93" s="50">
        <f t="shared" si="0"/>
        <v>20</v>
      </c>
      <c r="B93" s="56">
        <f>'Mastercurve bestimmen'!C37</f>
        <v>8.2308697100650766E-2</v>
      </c>
      <c r="C93" s="11"/>
      <c r="D93" s="51">
        <f t="shared" si="1"/>
        <v>20</v>
      </c>
      <c r="E93" s="56">
        <f>'Mastercurve bestimmen'!A37</f>
        <v>249493.62476110301</v>
      </c>
    </row>
    <row r="94" spans="1:5" x14ac:dyDescent="0.25">
      <c r="A94" s="50">
        <f t="shared" si="0"/>
        <v>21</v>
      </c>
      <c r="B94" s="56">
        <f>'Mastercurve bestimmen'!C38</f>
        <v>3.7013792035783422E-2</v>
      </c>
      <c r="C94" s="11"/>
      <c r="D94" s="51">
        <f t="shared" si="1"/>
        <v>21</v>
      </c>
      <c r="E94" s="56">
        <f>'Mastercurve bestimmen'!A38</f>
        <v>2765749.6224023802</v>
      </c>
    </row>
    <row r="95" spans="1:5" x14ac:dyDescent="0.25">
      <c r="A95" s="50">
        <f t="shared" si="0"/>
        <v>22</v>
      </c>
      <c r="B95" s="56">
        <f>'Mastercurve bestimmen'!C39</f>
        <v>5.9919400803358086E-2</v>
      </c>
      <c r="C95" s="11"/>
      <c r="D95" s="51">
        <f t="shared" si="1"/>
        <v>22</v>
      </c>
      <c r="E95" s="56">
        <f>'Mastercurve bestimmen'!A39</f>
        <v>10000000</v>
      </c>
    </row>
    <row r="96" spans="1:5" x14ac:dyDescent="0.25">
      <c r="A96" s="50">
        <f t="shared" si="0"/>
        <v>23</v>
      </c>
      <c r="B96" s="56">
        <f>'Mastercurve bestimmen'!C40</f>
        <v>6.4670451984415095E-2</v>
      </c>
      <c r="C96" s="11"/>
      <c r="D96" s="51">
        <f t="shared" si="1"/>
        <v>23</v>
      </c>
      <c r="E96" s="56">
        <f>'Mastercurve bestimmen'!A40</f>
        <v>100000000</v>
      </c>
    </row>
    <row r="97" spans="1:5" x14ac:dyDescent="0.25">
      <c r="A97" s="50">
        <f t="shared" si="0"/>
        <v>24</v>
      </c>
      <c r="B97" s="56">
        <f>'Mastercurve bestimmen'!C41</f>
        <v>6.7576207998846588E-2</v>
      </c>
      <c r="C97" s="11"/>
      <c r="D97" s="51">
        <f t="shared" si="1"/>
        <v>24</v>
      </c>
      <c r="E97" s="56">
        <f>'Mastercurve bestimmen'!A41</f>
        <v>1000000000</v>
      </c>
    </row>
    <row r="98" spans="1:5" x14ac:dyDescent="0.25">
      <c r="A98" s="50">
        <f t="shared" si="0"/>
        <v>25</v>
      </c>
      <c r="B98" s="56">
        <f>'Mastercurve bestimmen'!C42</f>
        <v>7.4650772379504848E-2</v>
      </c>
      <c r="C98" s="11"/>
      <c r="D98" s="51">
        <f t="shared" si="1"/>
        <v>25</v>
      </c>
      <c r="E98" s="56">
        <f>'Mastercurve bestimmen'!A42</f>
        <v>10000000000</v>
      </c>
    </row>
    <row r="99" spans="1:5" x14ac:dyDescent="0.25">
      <c r="A99" s="50">
        <f t="shared" si="0"/>
        <v>26</v>
      </c>
      <c r="B99" s="56">
        <f>'Mastercurve bestimmen'!C43</f>
        <v>4.2437426023751848E-2</v>
      </c>
      <c r="C99" s="11"/>
      <c r="D99" s="51">
        <f t="shared" si="1"/>
        <v>26</v>
      </c>
      <c r="E99" s="56">
        <f>'Mastercurve bestimmen'!A43</f>
        <v>100000000000</v>
      </c>
    </row>
    <row r="100" spans="1:5" x14ac:dyDescent="0.25">
      <c r="A100" s="50">
        <f t="shared" si="0"/>
        <v>27</v>
      </c>
      <c r="B100" s="56">
        <f>'Mastercurve bestimmen'!C44</f>
        <v>2.9362775672931045E-2</v>
      </c>
      <c r="C100" s="11"/>
      <c r="D100" s="51">
        <f t="shared" si="1"/>
        <v>27</v>
      </c>
      <c r="E100" s="56">
        <f>'Mastercurve bestimmen'!A44</f>
        <v>1000000000000</v>
      </c>
    </row>
    <row r="101" spans="1:5" x14ac:dyDescent="0.25">
      <c r="A101" s="50">
        <f t="shared" si="0"/>
        <v>28</v>
      </c>
      <c r="B101" s="56">
        <f>'Mastercurve bestimmen'!C45</f>
        <v>1.3317924951321973E-2</v>
      </c>
      <c r="C101" s="11"/>
      <c r="D101" s="51">
        <f t="shared" si="1"/>
        <v>28</v>
      </c>
      <c r="E101" s="56">
        <f>'Mastercurve bestimmen'!A45</f>
        <v>10000000000000</v>
      </c>
    </row>
    <row r="102" spans="1:5" x14ac:dyDescent="0.25">
      <c r="A102" s="50">
        <f t="shared" si="0"/>
        <v>29</v>
      </c>
      <c r="B102" s="56">
        <f>'Mastercurve bestimmen'!C46</f>
        <v>4.0600750332731679E-3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6.6069827735831333E-3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3: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C53" zoomScale="120" zoomScaleNormal="120" zoomScaleSheetLayoutView="110" workbookViewId="0">
      <selection activeCell="E10" sqref="E1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7287.2421568641066</v>
      </c>
      <c r="G16" s="26">
        <f>INDEX(Comparison!$AM$3:$AS$33,G14,$B$3)</f>
        <v>7287.3146216469959</v>
      </c>
      <c r="H16" s="26">
        <f>INDEX(Comparison!$AM$3:$AS$33,H14,$B$3)</f>
        <v>7287.2757793731034</v>
      </c>
      <c r="I16" s="26">
        <f>INDEX(Comparison!$AM$3:$AS$33,I14,$B$3)</f>
        <v>7287.2657654165014</v>
      </c>
      <c r="J16" s="26">
        <f>INDEX(Comparison!$AM$3:$AS$33,J14,$B$3)</f>
        <v>7287.2629129611732</v>
      </c>
      <c r="K16" s="26">
        <f>INDEX(Comparison!$AM$3:$AS$33,K14,$B$3)</f>
        <v>7287.2618205320641</v>
      </c>
      <c r="L16" s="26">
        <f>INDEX(Comparison!$AM$3:$AS$33,L14,$B$3)</f>
        <v>7287.2593322225375</v>
      </c>
      <c r="M16" s="26">
        <f>INDEX(Comparison!$AM$3:$AS$33,M14,$B$3)</f>
        <v>7287.2374230339683</v>
      </c>
      <c r="N16" s="26">
        <f>INDEX(Comparison!$AM$3:$AS$33,N14,$B$3)</f>
        <v>7287.0191880040384</v>
      </c>
      <c r="O16" s="26">
        <f>INDEX(Comparison!$AM$3:$AS$33,O14,$B$3)</f>
        <v>7284.8522944162632</v>
      </c>
      <c r="P16" s="26">
        <f>INDEX(Comparison!$AM$3:$AS$33,P14,$B$3)</f>
        <v>7264.6309792458533</v>
      </c>
      <c r="Q16" s="26">
        <f>INDEX(Comparison!$AM$3:$AS$33,Q14,$B$3)</f>
        <v>7153.647880511483</v>
      </c>
      <c r="R16" s="26">
        <f>INDEX(Comparison!$AM$3:$AS$33,R14,$B$3)</f>
        <v>7011.9974153857656</v>
      </c>
      <c r="S16" s="26">
        <f>INDEX(Comparison!$AM$3:$AS$33,S14,$B$3)</f>
        <v>6854.7708758756735</v>
      </c>
      <c r="T16" s="26">
        <f>INDEX(Comparison!$AM$3:$AS$33,T14,$B$3)</f>
        <v>6667.3368038637464</v>
      </c>
      <c r="U16" s="26">
        <f>INDEX(Comparison!$AM$3:$AS$33,U14,$B$3)</f>
        <v>6457.8733144157241</v>
      </c>
      <c r="V16" s="26">
        <f>INDEX(Comparison!$AM$3:$AS$33,V14,$B$3)</f>
        <v>6197.1395066404111</v>
      </c>
      <c r="W16" s="26">
        <f>INDEX(Comparison!$AM$3:$AS$33,W14,$B$3)</f>
        <v>5728.6851502202007</v>
      </c>
      <c r="X16" s="26">
        <f>INDEX(Comparison!$AM$3:$AS$33,X14,$B$3)</f>
        <v>4909.4106843846976</v>
      </c>
      <c r="Y16" s="26">
        <f>INDEX(Comparison!$AM$3:$AS$33,Y14,$B$3)</f>
        <v>4054.6855956010618</v>
      </c>
      <c r="Z16" s="26">
        <f>INDEX(Comparison!$AM$3:$AS$33,Z14,$B$3)</f>
        <v>3384.7376862720757</v>
      </c>
      <c r="AA16" s="26">
        <f>INDEX(Comparison!$AM$3:$AS$33,AA14,$B$3)</f>
        <v>2867.8130883318549</v>
      </c>
      <c r="AB16" s="26">
        <f>INDEX(Comparison!$AM$3:$AS$33,AB14,$B$3)</f>
        <v>2393.9219661874804</v>
      </c>
      <c r="AC16" s="26">
        <f>INDEX(Comparison!$AM$3:$AS$33,AC14,$B$3)</f>
        <v>1923.0446750969861</v>
      </c>
      <c r="AD16" s="26">
        <f>INDEX(Comparison!$AM$3:$AS$33,AD14,$B$3)</f>
        <v>1433.0262098856042</v>
      </c>
      <c r="AE16" s="26">
        <f>INDEX(Comparison!$AM$3:$AS$33,AE14,$B$3)</f>
        <v>928.3724969127901</v>
      </c>
      <c r="AF16" s="26">
        <f>INDEX(Comparison!$AM$3:$AS$33,AF14,$B$3)</f>
        <v>540.77757065756475</v>
      </c>
      <c r="AG16" s="26">
        <f>INDEX(Comparison!$AM$3:$AS$33,AG14,$B$3)</f>
        <v>302.10819766520217</v>
      </c>
      <c r="AH16" s="26">
        <f>INDEX(Comparison!$AM$3:$AS$33,AH14,$B$3)</f>
        <v>167.95607666429018</v>
      </c>
      <c r="AI16" s="26">
        <f>INDEX(Comparison!$AM$3:$AS$33,AI14,$B$3)</f>
        <v>115.55588342611547</v>
      </c>
      <c r="AJ16" s="26">
        <f>INDEX(Comparison!$AM$3:$AS$33,AJ14,$B$3)</f>
        <v>100.53155340781859</v>
      </c>
    </row>
    <row r="17" spans="1:36" x14ac:dyDescent="0.25">
      <c r="A17" s="14" t="s">
        <v>20</v>
      </c>
      <c r="B17" s="105">
        <v>8.9646700320236052E-3</v>
      </c>
      <c r="C17" s="18">
        <f t="shared" ref="C17:C48" si="3">ABS(B17/$B$49)</f>
        <v>7.7319944028278438E-3</v>
      </c>
      <c r="D17" s="66"/>
      <c r="E17" s="65" t="s">
        <v>22</v>
      </c>
      <c r="F17" s="27">
        <f>($C$17+SUM(F18:F48))*$B$51</f>
        <v>7287.2891982826222</v>
      </c>
      <c r="G17" s="27">
        <f t="shared" ref="G17:M17" si="4">($C$17+SUM(G18:G48))*$B$51</f>
        <v>7287.2891982588853</v>
      </c>
      <c r="H17" s="27">
        <f t="shared" si="4"/>
        <v>7287.2891980215209</v>
      </c>
      <c r="I17" s="27">
        <f t="shared" si="4"/>
        <v>7287.2891956478752</v>
      </c>
      <c r="J17" s="27">
        <f t="shared" si="4"/>
        <v>7287.289171911425</v>
      </c>
      <c r="K17" s="27">
        <f t="shared" si="4"/>
        <v>7287.2889345473377</v>
      </c>
      <c r="L17" s="27">
        <f t="shared" si="4"/>
        <v>7287.2865609487162</v>
      </c>
      <c r="M17" s="27">
        <f t="shared" si="4"/>
        <v>7287.2628291862602</v>
      </c>
      <c r="N17" s="27">
        <f t="shared" ref="N17" si="5">($C$17+SUM(N18:N48))*$B$51</f>
        <v>7287.0259326431087</v>
      </c>
      <c r="O17" s="27">
        <f t="shared" ref="O17" si="6">($C$17+SUM(O18:O48))*$B$51</f>
        <v>7284.6978168855394</v>
      </c>
      <c r="P17" s="27">
        <f t="shared" ref="P17" si="7">($C$17+SUM(P18:P48))*$B$51</f>
        <v>7264.5257553345609</v>
      </c>
      <c r="Q17" s="27">
        <f t="shared" ref="Q17" si="8">($C$17+SUM(Q18:Q48))*$B$51</f>
        <v>7153.8643736390295</v>
      </c>
      <c r="R17" s="27">
        <f t="shared" ref="R17" si="9">($C$17+SUM(R18:R48))*$B$51</f>
        <v>7011.7176919328949</v>
      </c>
      <c r="S17" s="27">
        <f t="shared" ref="S17:T17" si="10">($C$17+SUM(S18:S48))*$B$51</f>
        <v>6855.0699056416097</v>
      </c>
      <c r="T17" s="27">
        <f t="shared" si="10"/>
        <v>6667.0699875438713</v>
      </c>
      <c r="U17" s="27">
        <f t="shared" ref="U17" si="11">($C$17+SUM(U18:U48))*$B$51</f>
        <v>6458.0741613421114</v>
      </c>
      <c r="V17" s="27">
        <f t="shared" ref="V17" si="12">($C$17+SUM(V18:V48))*$B$51</f>
        <v>6197.0091502858468</v>
      </c>
      <c r="W17" s="27">
        <f t="shared" ref="W17" si="13">($C$17+SUM(W18:W48))*$B$51</f>
        <v>5728.7607244893079</v>
      </c>
      <c r="X17" s="27">
        <f t="shared" ref="X17" si="14">($C$17+SUM(X18:X48))*$B$51</f>
        <v>4909.3702737098383</v>
      </c>
      <c r="Y17" s="27">
        <f t="shared" ref="Y17" si="15">($C$17+SUM(Y18:Y48))*$B$51</f>
        <v>4054.7059305785556</v>
      </c>
      <c r="Z17" s="27">
        <f t="shared" ref="Z17:AA17" si="16">($C$17+SUM(Z18:Z48))*$B$51</f>
        <v>3384.7279274075818</v>
      </c>
      <c r="AA17" s="27">
        <f t="shared" si="16"/>
        <v>2867.8187301762346</v>
      </c>
      <c r="AB17" s="27">
        <f t="shared" ref="AB17" si="17">($C$17+SUM(AB18:AB48))*$B$51</f>
        <v>2393.9148734243458</v>
      </c>
      <c r="AC17" s="27">
        <f t="shared" ref="AC17" si="18">($C$17+SUM(AC18:AC48))*$B$51</f>
        <v>1923.0546521948713</v>
      </c>
      <c r="AD17" s="27">
        <f t="shared" ref="AD17" si="19">($C$17+SUM(AD18:AD48))*$B$51</f>
        <v>1433.0153891706077</v>
      </c>
      <c r="AE17" s="27">
        <f t="shared" ref="AE17" si="20">($C$17+SUM(AE18:AE48))*$B$51</f>
        <v>928.38384310793288</v>
      </c>
      <c r="AF17" s="27">
        <f t="shared" ref="AF17" si="21">($C$17+SUM(AF18:AF48))*$B$51</f>
        <v>540.76350461674588</v>
      </c>
      <c r="AG17" s="27">
        <f t="shared" ref="AG17:AH17" si="22">($C$17+SUM(AG18:AG48))*$B$51</f>
        <v>302.12767494059574</v>
      </c>
      <c r="AH17" s="27">
        <f t="shared" si="22"/>
        <v>167.92939465126034</v>
      </c>
      <c r="AI17" s="27">
        <f t="shared" ref="AI17" si="23">($C$17+SUM(AI18:AI48))*$B$51</f>
        <v>115.59097341631293</v>
      </c>
      <c r="AJ17" s="27">
        <f t="shared" ref="AJ17" si="24">($C$17+SUM(AJ18:AJ48))*$B$51</f>
        <v>100.51088225937114</v>
      </c>
    </row>
    <row r="18" spans="1:36" x14ac:dyDescent="0.25">
      <c r="A18" s="3">
        <f>0.000000000000001/10^15</f>
        <v>1.0000000000000001E-30</v>
      </c>
      <c r="B18" s="106">
        <v>6.9103241999400747E-3</v>
      </c>
      <c r="C18" s="18">
        <f t="shared" si="3"/>
        <v>5.9601287994759033E-3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9.548703639599012E-4</v>
      </c>
      <c r="C27" s="18">
        <f t="shared" si="3"/>
        <v>8.2357212069048761E-4</v>
      </c>
      <c r="D27" s="17"/>
      <c r="F27" s="3">
        <f t="shared" si="25"/>
        <v>8.2357212059798034E-4</v>
      </c>
      <c r="G27" s="3">
        <f t="shared" si="25"/>
        <v>8.2357211976541401E-4</v>
      </c>
      <c r="H27" s="3">
        <f t="shared" si="25"/>
        <v>8.2357211143975191E-4</v>
      </c>
      <c r="I27" s="3">
        <f t="shared" si="25"/>
        <v>8.2357202818313547E-4</v>
      </c>
      <c r="J27" s="3">
        <f t="shared" si="25"/>
        <v>8.2357119561743376E-4</v>
      </c>
      <c r="K27" s="3">
        <f t="shared" si="25"/>
        <v>8.2356287000670818E-4</v>
      </c>
      <c r="L27" s="3">
        <f t="shared" si="25"/>
        <v>8.2347961852838076E-4</v>
      </c>
      <c r="M27" s="3">
        <f t="shared" si="25"/>
        <v>8.2264756646496914E-4</v>
      </c>
      <c r="N27" s="3">
        <f t="shared" si="25"/>
        <v>8.1437314520799229E-4</v>
      </c>
      <c r="O27" s="3">
        <f t="shared" si="25"/>
        <v>7.3607100392576654E-4</v>
      </c>
      <c r="P27" s="3">
        <f t="shared" si="25"/>
        <v>2.6784427593738139E-4</v>
      </c>
      <c r="Q27" s="3">
        <f t="shared" si="25"/>
        <v>1.0902070001700549E-8</v>
      </c>
      <c r="R27" s="3">
        <f t="shared" si="25"/>
        <v>1.3607393173858519E-52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2.8598204041003734E-2</v>
      </c>
      <c r="C28" s="18">
        <f t="shared" si="3"/>
        <v>2.4665844117639606E-2</v>
      </c>
      <c r="D28" s="17"/>
      <c r="F28" s="3">
        <f t="shared" si="25"/>
        <v>2.4665844117389677E-2</v>
      </c>
      <c r="G28" s="3">
        <f t="shared" si="25"/>
        <v>2.4665844115140313E-2</v>
      </c>
      <c r="H28" s="3">
        <f t="shared" si="25"/>
        <v>2.4665844092646671E-2</v>
      </c>
      <c r="I28" s="3">
        <f t="shared" si="25"/>
        <v>2.4665843867710285E-2</v>
      </c>
      <c r="J28" s="3">
        <f t="shared" si="25"/>
        <v>2.466584161834651E-2</v>
      </c>
      <c r="K28" s="3">
        <f t="shared" si="25"/>
        <v>2.4665819124720045E-2</v>
      </c>
      <c r="L28" s="3">
        <f t="shared" si="25"/>
        <v>2.4665594189583574E-2</v>
      </c>
      <c r="M28" s="3">
        <f t="shared" si="25"/>
        <v>2.4663344951034654E-2</v>
      </c>
      <c r="N28" s="3">
        <f t="shared" si="25"/>
        <v>2.464086384331823E-2</v>
      </c>
      <c r="O28" s="3">
        <f t="shared" si="25"/>
        <v>2.4417176747396931E-2</v>
      </c>
      <c r="P28" s="3">
        <f t="shared" si="25"/>
        <v>2.2289002163981546E-2</v>
      </c>
      <c r="Q28" s="3">
        <f t="shared" si="25"/>
        <v>8.954522272638132E-3</v>
      </c>
      <c r="R28" s="3">
        <f t="shared" si="25"/>
        <v>9.8075463075206441E-7</v>
      </c>
      <c r="S28" s="3">
        <f t="shared" si="25"/>
        <v>2.436350857728665E-46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1.8888427256677633E-2</v>
      </c>
      <c r="C29" s="18">
        <f t="shared" si="3"/>
        <v>1.6291197925316764E-2</v>
      </c>
      <c r="D29" s="17"/>
      <c r="F29" s="3">
        <f t="shared" si="25"/>
        <v>1.6291197925301874E-2</v>
      </c>
      <c r="G29" s="3">
        <f t="shared" si="25"/>
        <v>1.6291197925167856E-2</v>
      </c>
      <c r="H29" s="3">
        <f t="shared" si="25"/>
        <v>1.6291197923827674E-2</v>
      </c>
      <c r="I29" s="3">
        <f t="shared" si="25"/>
        <v>1.6291197910425867E-2</v>
      </c>
      <c r="J29" s="3">
        <f t="shared" si="25"/>
        <v>1.6291197776407803E-2</v>
      </c>
      <c r="K29" s="3">
        <f t="shared" si="25"/>
        <v>1.6291196436227201E-2</v>
      </c>
      <c r="L29" s="3">
        <f t="shared" si="25"/>
        <v>1.6291183034427247E-2</v>
      </c>
      <c r="M29" s="3">
        <f t="shared" si="25"/>
        <v>1.6291049017034067E-2</v>
      </c>
      <c r="N29" s="3">
        <f t="shared" si="25"/>
        <v>1.6289708903737054E-2</v>
      </c>
      <c r="O29" s="3">
        <f t="shared" si="25"/>
        <v>1.6276313832397974E-2</v>
      </c>
      <c r="P29" s="3">
        <f t="shared" si="25"/>
        <v>1.6142967441144997E-2</v>
      </c>
      <c r="Q29" s="3">
        <f t="shared" si="25"/>
        <v>1.4868136100680348E-2</v>
      </c>
      <c r="R29" s="3">
        <f t="shared" si="25"/>
        <v>6.5311265456217222E-3</v>
      </c>
      <c r="S29" s="3">
        <f t="shared" si="25"/>
        <v>1.747043850693191E-6</v>
      </c>
      <c r="T29" s="3">
        <f t="shared" si="25"/>
        <v>3.2768825704828486E-42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3.1127733549102372E-2</v>
      </c>
      <c r="C30" s="18">
        <f t="shared" si="3"/>
        <v>2.6847553865855696E-2</v>
      </c>
      <c r="D30" s="17"/>
      <c r="F30" s="3">
        <f t="shared" si="25"/>
        <v>2.6847553865853482E-2</v>
      </c>
      <c r="G30" s="3">
        <f t="shared" si="25"/>
        <v>2.6847553865833557E-2</v>
      </c>
      <c r="H30" s="3">
        <f t="shared" si="25"/>
        <v>2.6847553865634328E-2</v>
      </c>
      <c r="I30" s="3">
        <f t="shared" si="25"/>
        <v>2.6847553863641994E-2</v>
      </c>
      <c r="J30" s="3">
        <f t="shared" si="25"/>
        <v>2.6847553843718678E-2</v>
      </c>
      <c r="K30" s="3">
        <f t="shared" si="25"/>
        <v>2.684755364448551E-2</v>
      </c>
      <c r="L30" s="3">
        <f t="shared" si="25"/>
        <v>2.6847551652153911E-2</v>
      </c>
      <c r="M30" s="3">
        <f t="shared" si="25"/>
        <v>2.6847531728846057E-2</v>
      </c>
      <c r="N30" s="3">
        <f t="shared" si="25"/>
        <v>2.6847332496580691E-2</v>
      </c>
      <c r="O30" s="3">
        <f t="shared" si="25"/>
        <v>2.6845340255241538E-2</v>
      </c>
      <c r="P30" s="3">
        <f t="shared" si="25"/>
        <v>2.68254259710679E-2</v>
      </c>
      <c r="Q30" s="3">
        <f t="shared" si="25"/>
        <v>2.6627093823476843E-2</v>
      </c>
      <c r="R30" s="3">
        <f t="shared" si="25"/>
        <v>2.4722659306798442E-2</v>
      </c>
      <c r="S30" s="3">
        <f t="shared" si="25"/>
        <v>1.1770891024041488E-2</v>
      </c>
      <c r="T30" s="3">
        <f t="shared" si="25"/>
        <v>7.0461338392953746E-6</v>
      </c>
      <c r="U30" s="3">
        <f t="shared" si="25"/>
        <v>4.1626163009853151E-38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3.0036288676246803E-2</v>
      </c>
      <c r="C31" s="18">
        <f t="shared" si="3"/>
        <v>2.5906186741603665E-2</v>
      </c>
      <c r="D31" s="17"/>
      <c r="F31" s="3">
        <f t="shared" si="25"/>
        <v>2.5906186741603471E-2</v>
      </c>
      <c r="G31" s="3">
        <f t="shared" si="25"/>
        <v>2.590618674160174E-2</v>
      </c>
      <c r="H31" s="3">
        <f t="shared" si="25"/>
        <v>2.5906186741584396E-2</v>
      </c>
      <c r="I31" s="3">
        <f t="shared" si="25"/>
        <v>2.5906186741410972E-2</v>
      </c>
      <c r="J31" s="3">
        <f t="shared" si="25"/>
        <v>2.5906186739676741E-2</v>
      </c>
      <c r="K31" s="3">
        <f t="shared" si="25"/>
        <v>2.590618672233443E-2</v>
      </c>
      <c r="L31" s="3">
        <f t="shared" si="25"/>
        <v>2.5906186548911306E-2</v>
      </c>
      <c r="M31" s="3">
        <f t="shared" si="25"/>
        <v>2.5906184814680148E-2</v>
      </c>
      <c r="N31" s="3">
        <f t="shared" si="25"/>
        <v>2.5906167472374935E-2</v>
      </c>
      <c r="O31" s="3">
        <f t="shared" si="25"/>
        <v>2.5905994049961314E-2</v>
      </c>
      <c r="P31" s="3">
        <f t="shared" si="25"/>
        <v>2.5904259889675166E-2</v>
      </c>
      <c r="Q31" s="3">
        <f t="shared" si="25"/>
        <v>2.5886924670237624E-2</v>
      </c>
      <c r="R31" s="3">
        <f t="shared" si="25"/>
        <v>2.5714209239984687E-2</v>
      </c>
      <c r="S31" s="3">
        <f t="shared" si="25"/>
        <v>2.4049182004452229E-2</v>
      </c>
      <c r="T31" s="3">
        <f t="shared" si="25"/>
        <v>1.2313220742294106E-2</v>
      </c>
      <c r="U31" s="3">
        <f t="shared" si="25"/>
        <v>1.5243518657839488E-5</v>
      </c>
      <c r="V31" s="3">
        <f t="shared" si="26"/>
        <v>1.2889047994156682E-34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3.7907003119728548E-2</v>
      </c>
      <c r="C32" s="18">
        <f t="shared" si="3"/>
        <v>3.2694648537282267E-2</v>
      </c>
      <c r="D32" s="17"/>
      <c r="F32" s="3">
        <f t="shared" si="25"/>
        <v>3.2694648537282246E-2</v>
      </c>
      <c r="G32" s="3">
        <f t="shared" si="25"/>
        <v>3.2694648537282052E-2</v>
      </c>
      <c r="H32" s="3">
        <f t="shared" si="25"/>
        <v>3.2694648537280074E-2</v>
      </c>
      <c r="I32" s="3">
        <f t="shared" si="25"/>
        <v>3.2694648537260326E-2</v>
      </c>
      <c r="J32" s="3">
        <f t="shared" si="25"/>
        <v>3.2694648537062894E-2</v>
      </c>
      <c r="K32" s="3">
        <f t="shared" si="25"/>
        <v>3.2694648535088536E-2</v>
      </c>
      <c r="L32" s="3">
        <f t="shared" si="25"/>
        <v>3.2694648515344912E-2</v>
      </c>
      <c r="M32" s="3">
        <f t="shared" si="25"/>
        <v>3.269464831790872E-2</v>
      </c>
      <c r="N32" s="3">
        <f t="shared" si="25"/>
        <v>3.2694646343546831E-2</v>
      </c>
      <c r="O32" s="3">
        <f t="shared" si="25"/>
        <v>3.2694626599934502E-2</v>
      </c>
      <c r="P32" s="3">
        <f t="shared" si="25"/>
        <v>3.2694429164466958E-2</v>
      </c>
      <c r="Q32" s="3">
        <f t="shared" si="25"/>
        <v>3.269245487536513E-2</v>
      </c>
      <c r="R32" s="3">
        <f t="shared" si="25"/>
        <v>3.2672718540238302E-2</v>
      </c>
      <c r="S32" s="3">
        <f t="shared" si="25"/>
        <v>3.2476009315659006E-2</v>
      </c>
      <c r="T32" s="3">
        <f t="shared" si="25"/>
        <v>3.0572891497042495E-2</v>
      </c>
      <c r="U32" s="3">
        <f t="shared" si="25"/>
        <v>1.6713795802285263E-2</v>
      </c>
      <c r="V32" s="3">
        <f t="shared" si="26"/>
        <v>3.9852985521718944E-5</v>
      </c>
      <c r="W32" s="3">
        <f t="shared" si="26"/>
        <v>2.3676557420593564E-31</v>
      </c>
      <c r="X32" s="3">
        <f t="shared" si="26"/>
        <v>1.2968671890861184E-293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3.8588084205067784E-2</v>
      </c>
      <c r="C33" s="18">
        <f t="shared" si="3"/>
        <v>3.3282078428276948E-2</v>
      </c>
      <c r="D33" s="17"/>
      <c r="F33" s="3">
        <f t="shared" si="25"/>
        <v>3.3282078428276941E-2</v>
      </c>
      <c r="G33" s="3">
        <f t="shared" si="25"/>
        <v>3.3282078428276927E-2</v>
      </c>
      <c r="H33" s="3">
        <f t="shared" si="25"/>
        <v>3.3282078428276747E-2</v>
      </c>
      <c r="I33" s="3">
        <f t="shared" si="25"/>
        <v>3.3282078428274936E-2</v>
      </c>
      <c r="J33" s="3">
        <f t="shared" si="25"/>
        <v>3.3282078428256805E-2</v>
      </c>
      <c r="K33" s="3">
        <f t="shared" si="25"/>
        <v>3.3282078428075498E-2</v>
      </c>
      <c r="L33" s="3">
        <f t="shared" si="25"/>
        <v>3.3282078426262462E-2</v>
      </c>
      <c r="M33" s="3">
        <f t="shared" si="25"/>
        <v>3.3282078408132069E-2</v>
      </c>
      <c r="N33" s="3">
        <f t="shared" si="25"/>
        <v>3.3282078226828174E-2</v>
      </c>
      <c r="O33" s="3">
        <f t="shared" si="25"/>
        <v>3.3282076413789295E-2</v>
      </c>
      <c r="P33" s="3">
        <f t="shared" si="25"/>
        <v>3.3282058283405899E-2</v>
      </c>
      <c r="Q33" s="3">
        <f t="shared" si="25"/>
        <v>3.3281876980115109E-2</v>
      </c>
      <c r="R33" s="3">
        <f t="shared" si="25"/>
        <v>3.3280064001526916E-2</v>
      </c>
      <c r="S33" s="3">
        <f t="shared" si="25"/>
        <v>3.3261939646513104E-2</v>
      </c>
      <c r="T33" s="3">
        <f t="shared" si="25"/>
        <v>3.3081238090150719E-2</v>
      </c>
      <c r="U33" s="3">
        <f t="shared" ref="P33:AE48" si="27">$C33*EXP(-U$15/$A33)</f>
        <v>3.1327345211880533E-2</v>
      </c>
      <c r="V33" s="3">
        <f t="shared" si="27"/>
        <v>1.8169457949737643E-2</v>
      </c>
      <c r="W33" s="3">
        <f t="shared" si="27"/>
        <v>7.8257461231728029E-5</v>
      </c>
      <c r="X33" s="3">
        <f t="shared" si="27"/>
        <v>1.7193472188044366E-28</v>
      </c>
      <c r="Y33" s="3">
        <f t="shared" si="27"/>
        <v>4.5054891445729625E-265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0.12470081833885979</v>
      </c>
      <c r="C34" s="18">
        <f t="shared" si="3"/>
        <v>0.1075539898267141</v>
      </c>
      <c r="D34" s="17"/>
      <c r="F34" s="3">
        <f t="shared" ref="F34:O48" si="28">$C34*EXP(-F$15/$A34)</f>
        <v>0.1075539898267141</v>
      </c>
      <c r="G34" s="3">
        <f t="shared" si="28"/>
        <v>0.1075539898267141</v>
      </c>
      <c r="H34" s="3">
        <f t="shared" si="28"/>
        <v>0.10755398982671405</v>
      </c>
      <c r="I34" s="3">
        <f t="shared" si="28"/>
        <v>0.10755398982671352</v>
      </c>
      <c r="J34" s="3">
        <f t="shared" si="28"/>
        <v>0.10755398982670823</v>
      </c>
      <c r="K34" s="3">
        <f t="shared" si="28"/>
        <v>0.10755398982665537</v>
      </c>
      <c r="L34" s="3">
        <f t="shared" si="28"/>
        <v>0.10755398982612685</v>
      </c>
      <c r="M34" s="3">
        <f t="shared" si="28"/>
        <v>0.10755398982084155</v>
      </c>
      <c r="N34" s="3">
        <f t="shared" si="28"/>
        <v>0.10755398976798852</v>
      </c>
      <c r="O34" s="3">
        <f t="shared" si="28"/>
        <v>0.10755398923945832</v>
      </c>
      <c r="P34" s="3">
        <f t="shared" si="27"/>
        <v>0.10755398395415647</v>
      </c>
      <c r="Q34" s="3">
        <f t="shared" si="27"/>
        <v>0.10755393110115211</v>
      </c>
      <c r="R34" s="3">
        <f t="shared" si="27"/>
        <v>0.10755340257253709</v>
      </c>
      <c r="S34" s="3">
        <f t="shared" si="27"/>
        <v>0.10754811742923262</v>
      </c>
      <c r="T34" s="3">
        <f t="shared" si="27"/>
        <v>0.10749528027815571</v>
      </c>
      <c r="U34" s="3">
        <f t="shared" si="27"/>
        <v>0.10696833437080522</v>
      </c>
      <c r="V34" s="3">
        <f t="shared" si="27"/>
        <v>0.101838877305609</v>
      </c>
      <c r="W34" s="3">
        <f t="shared" si="27"/>
        <v>6.2301327199916365E-2</v>
      </c>
      <c r="X34" s="3">
        <f t="shared" si="27"/>
        <v>4.5744012251352448E-4</v>
      </c>
      <c r="Y34" s="3">
        <f t="shared" si="27"/>
        <v>2.0830697521051761E-25</v>
      </c>
      <c r="Z34" s="3">
        <f t="shared" si="27"/>
        <v>7.9872889500547281E-239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0.15484329459265223</v>
      </c>
      <c r="C35" s="18">
        <f t="shared" si="3"/>
        <v>0.13355176295714186</v>
      </c>
      <c r="D35" s="17"/>
      <c r="F35" s="3">
        <f t="shared" si="28"/>
        <v>0.13355176295714186</v>
      </c>
      <c r="G35" s="3">
        <f t="shared" si="28"/>
        <v>0.13355176295714186</v>
      </c>
      <c r="H35" s="3">
        <f t="shared" si="28"/>
        <v>0.13355176295714186</v>
      </c>
      <c r="I35" s="3">
        <f t="shared" si="28"/>
        <v>0.1335517629571418</v>
      </c>
      <c r="J35" s="3">
        <f t="shared" si="28"/>
        <v>0.13355176295714119</v>
      </c>
      <c r="K35" s="3">
        <f t="shared" si="28"/>
        <v>0.13355176295713528</v>
      </c>
      <c r="L35" s="3">
        <f t="shared" si="28"/>
        <v>0.13355176295707608</v>
      </c>
      <c r="M35" s="3">
        <f t="shared" si="28"/>
        <v>0.13355176295648405</v>
      </c>
      <c r="N35" s="3">
        <f t="shared" si="28"/>
        <v>0.13355176295056381</v>
      </c>
      <c r="O35" s="3">
        <f t="shared" si="28"/>
        <v>0.13355176289136139</v>
      </c>
      <c r="P35" s="3">
        <f t="shared" si="27"/>
        <v>0.13355176229933713</v>
      </c>
      <c r="Q35" s="3">
        <f t="shared" si="27"/>
        <v>0.13355175637909472</v>
      </c>
      <c r="R35" s="3">
        <f t="shared" si="27"/>
        <v>0.13355169717668525</v>
      </c>
      <c r="S35" s="3">
        <f t="shared" si="27"/>
        <v>0.13355110515403371</v>
      </c>
      <c r="T35" s="3">
        <f t="shared" si="27"/>
        <v>0.13354518507185748</v>
      </c>
      <c r="U35" s="3">
        <f t="shared" si="27"/>
        <v>0.1334859986816431</v>
      </c>
      <c r="V35" s="3">
        <f t="shared" si="27"/>
        <v>0.13289557557007681</v>
      </c>
      <c r="W35" s="3">
        <f t="shared" si="27"/>
        <v>0.12713308811506188</v>
      </c>
      <c r="X35" s="3">
        <f t="shared" si="27"/>
        <v>8.1609240332050109E-2</v>
      </c>
      <c r="Y35" s="3">
        <f t="shared" si="27"/>
        <v>9.694975682611708E-4</v>
      </c>
      <c r="Z35" s="3">
        <f t="shared" si="27"/>
        <v>5.4277597116396731E-23</v>
      </c>
      <c r="AA35" s="3">
        <f t="shared" si="27"/>
        <v>1.6419483927647446E-215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0.11915012262966712</v>
      </c>
      <c r="C36" s="18">
        <f t="shared" si="3"/>
        <v>0.10276653551975504</v>
      </c>
      <c r="D36" s="17"/>
      <c r="F36" s="3">
        <f t="shared" si="28"/>
        <v>0.10276653551975504</v>
      </c>
      <c r="G36" s="3">
        <f t="shared" si="28"/>
        <v>0.10276653551975504</v>
      </c>
      <c r="H36" s="3">
        <f t="shared" si="28"/>
        <v>0.10276653551975504</v>
      </c>
      <c r="I36" s="3">
        <f t="shared" si="28"/>
        <v>0.10276653551975504</v>
      </c>
      <c r="J36" s="3">
        <f t="shared" si="28"/>
        <v>0.102766535519755</v>
      </c>
      <c r="K36" s="3">
        <f t="shared" si="28"/>
        <v>0.10276653551975458</v>
      </c>
      <c r="L36" s="3">
        <f t="shared" si="28"/>
        <v>0.10276653551975047</v>
      </c>
      <c r="M36" s="3">
        <f t="shared" si="28"/>
        <v>0.10276653551970938</v>
      </c>
      <c r="N36" s="3">
        <f t="shared" si="28"/>
        <v>0.10276653551929842</v>
      </c>
      <c r="O36" s="3">
        <f t="shared" si="28"/>
        <v>0.10276653551518894</v>
      </c>
      <c r="P36" s="3">
        <f t="shared" si="27"/>
        <v>0.10276653547409401</v>
      </c>
      <c r="Q36" s="3">
        <f t="shared" si="27"/>
        <v>0.10276653506314477</v>
      </c>
      <c r="R36" s="3">
        <f t="shared" si="27"/>
        <v>0.10276653095365247</v>
      </c>
      <c r="S36" s="3">
        <f t="shared" si="27"/>
        <v>0.10276648985873853</v>
      </c>
      <c r="T36" s="3">
        <f t="shared" si="27"/>
        <v>0.10276607891050279</v>
      </c>
      <c r="U36" s="3">
        <f t="shared" si="27"/>
        <v>0.10276196951852719</v>
      </c>
      <c r="V36" s="3">
        <f t="shared" si="27"/>
        <v>0.10272088463559759</v>
      </c>
      <c r="W36" s="3">
        <f t="shared" si="27"/>
        <v>0.10231093815330614</v>
      </c>
      <c r="X36" s="3">
        <f t="shared" si="27"/>
        <v>9.8300387097415509E-2</v>
      </c>
      <c r="Y36" s="3">
        <f t="shared" si="27"/>
        <v>6.5900216058910888E-2</v>
      </c>
      <c r="Z36" s="3">
        <f t="shared" si="27"/>
        <v>1.2083783696206327E-3</v>
      </c>
      <c r="AA36" s="3">
        <f t="shared" si="27"/>
        <v>5.1923503029812691E-21</v>
      </c>
      <c r="AB36" s="3">
        <f t="shared" si="27"/>
        <v>1.1142288610648964E-194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9.543078691356123E-2</v>
      </c>
      <c r="C37" s="18">
        <f t="shared" si="3"/>
        <v>8.2308697100650766E-2</v>
      </c>
      <c r="D37" s="17"/>
      <c r="F37" s="3">
        <f t="shared" si="28"/>
        <v>8.2308697100650766E-2</v>
      </c>
      <c r="G37" s="3">
        <f t="shared" si="28"/>
        <v>8.2308697100650766E-2</v>
      </c>
      <c r="H37" s="3">
        <f t="shared" si="28"/>
        <v>8.2308697100650766E-2</v>
      </c>
      <c r="I37" s="3">
        <f t="shared" si="28"/>
        <v>8.2308697100650766E-2</v>
      </c>
      <c r="J37" s="3">
        <f t="shared" si="28"/>
        <v>8.2308697100650766E-2</v>
      </c>
      <c r="K37" s="3">
        <f t="shared" si="28"/>
        <v>8.2308697100650724E-2</v>
      </c>
      <c r="L37" s="3">
        <f t="shared" si="28"/>
        <v>8.2308697100650433E-2</v>
      </c>
      <c r="M37" s="3">
        <f t="shared" si="28"/>
        <v>8.2308697100647463E-2</v>
      </c>
      <c r="N37" s="3">
        <f t="shared" si="28"/>
        <v>8.2308697100617778E-2</v>
      </c>
      <c r="O37" s="3">
        <f t="shared" si="28"/>
        <v>8.2308697100320863E-2</v>
      </c>
      <c r="P37" s="3">
        <f t="shared" si="27"/>
        <v>8.2308697097351738E-2</v>
      </c>
      <c r="Q37" s="3">
        <f t="shared" si="27"/>
        <v>8.2308697067660461E-2</v>
      </c>
      <c r="R37" s="3">
        <f t="shared" si="27"/>
        <v>8.2308696770747758E-2</v>
      </c>
      <c r="S37" s="3">
        <f t="shared" si="27"/>
        <v>8.2308693801620758E-2</v>
      </c>
      <c r="T37" s="3">
        <f t="shared" si="27"/>
        <v>8.2308664110356658E-2</v>
      </c>
      <c r="U37" s="3">
        <f t="shared" si="27"/>
        <v>8.2308367198304658E-2</v>
      </c>
      <c r="V37" s="3">
        <f t="shared" si="27"/>
        <v>8.2305398136691812E-2</v>
      </c>
      <c r="W37" s="3">
        <f t="shared" si="27"/>
        <v>8.2275713410493279E-2</v>
      </c>
      <c r="X37" s="3">
        <f t="shared" si="27"/>
        <v>8.1979454356124748E-2</v>
      </c>
      <c r="Y37" s="3">
        <f t="shared" si="27"/>
        <v>7.9074907009091741E-2</v>
      </c>
      <c r="Z37" s="3">
        <f t="shared" si="27"/>
        <v>5.5128395757355966E-2</v>
      </c>
      <c r="AA37" s="3">
        <f t="shared" si="27"/>
        <v>1.4953470643080033E-3</v>
      </c>
      <c r="AB37" s="3">
        <f t="shared" si="27"/>
        <v>3.2240998278210598E-19</v>
      </c>
      <c r="AC37" s="3">
        <f t="shared" si="27"/>
        <v>6.9996006053768253E-176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4.2914727423158182E-2</v>
      </c>
      <c r="C38" s="18">
        <f t="shared" si="3"/>
        <v>3.7013792035783422E-2</v>
      </c>
      <c r="D38" s="17"/>
      <c r="F38" s="3">
        <f t="shared" si="28"/>
        <v>3.7013792035783422E-2</v>
      </c>
      <c r="G38" s="3">
        <f t="shared" si="28"/>
        <v>3.7013792035783422E-2</v>
      </c>
      <c r="H38" s="3">
        <f t="shared" si="28"/>
        <v>3.7013792035783422E-2</v>
      </c>
      <c r="I38" s="3">
        <f t="shared" si="28"/>
        <v>3.7013792035783422E-2</v>
      </c>
      <c r="J38" s="3">
        <f t="shared" si="28"/>
        <v>3.7013792035783422E-2</v>
      </c>
      <c r="K38" s="3">
        <f t="shared" si="28"/>
        <v>3.7013792035783422E-2</v>
      </c>
      <c r="L38" s="3">
        <f t="shared" si="28"/>
        <v>3.7013792035783408E-2</v>
      </c>
      <c r="M38" s="3">
        <f t="shared" si="28"/>
        <v>3.7013792035783283E-2</v>
      </c>
      <c r="N38" s="3">
        <f t="shared" si="28"/>
        <v>3.7013792035782082E-2</v>
      </c>
      <c r="O38" s="3">
        <f t="shared" si="28"/>
        <v>3.7013792035770036E-2</v>
      </c>
      <c r="P38" s="3">
        <f t="shared" si="27"/>
        <v>3.7013792035649591E-2</v>
      </c>
      <c r="Q38" s="3">
        <f t="shared" si="27"/>
        <v>3.7013792034445131E-2</v>
      </c>
      <c r="R38" s="3">
        <f t="shared" si="27"/>
        <v>3.7013792022400502E-2</v>
      </c>
      <c r="S38" s="3">
        <f t="shared" si="27"/>
        <v>3.7013791901954272E-2</v>
      </c>
      <c r="T38" s="3">
        <f t="shared" si="27"/>
        <v>3.7013790697491951E-2</v>
      </c>
      <c r="U38" s="3">
        <f t="shared" si="27"/>
        <v>3.7013778652870866E-2</v>
      </c>
      <c r="V38" s="3">
        <f t="shared" si="27"/>
        <v>3.7013658206875626E-2</v>
      </c>
      <c r="W38" s="3">
        <f t="shared" si="27"/>
        <v>3.7012453768479746E-2</v>
      </c>
      <c r="X38" s="3">
        <f t="shared" si="27"/>
        <v>3.7000411539918961E-2</v>
      </c>
      <c r="Y38" s="3">
        <f t="shared" si="27"/>
        <v>3.6880204534819841E-2</v>
      </c>
      <c r="Z38" s="3">
        <f t="shared" si="27"/>
        <v>3.5699405574730211E-2</v>
      </c>
      <c r="AA38" s="3">
        <f t="shared" si="27"/>
        <v>2.5783247842133171E-2</v>
      </c>
      <c r="AB38" s="3">
        <f t="shared" si="27"/>
        <v>9.9564383344851359E-4</v>
      </c>
      <c r="AC38" s="3">
        <f t="shared" si="27"/>
        <v>7.3412135578108635E-18</v>
      </c>
      <c r="AD38" s="3">
        <f t="shared" si="27"/>
        <v>3.4866339546071994E-159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6.9472070042138054E-2</v>
      </c>
      <c r="C39" s="18">
        <f t="shared" si="3"/>
        <v>5.9919400803358086E-2</v>
      </c>
      <c r="D39" s="17"/>
      <c r="F39" s="3">
        <f t="shared" si="28"/>
        <v>5.9919400803358086E-2</v>
      </c>
      <c r="G39" s="3">
        <f t="shared" si="28"/>
        <v>5.9919400803358086E-2</v>
      </c>
      <c r="H39" s="3">
        <f t="shared" si="28"/>
        <v>5.9919400803358086E-2</v>
      </c>
      <c r="I39" s="3">
        <f t="shared" si="28"/>
        <v>5.9919400803358086E-2</v>
      </c>
      <c r="J39" s="3">
        <f t="shared" si="28"/>
        <v>5.9919400803358086E-2</v>
      </c>
      <c r="K39" s="3">
        <f t="shared" si="28"/>
        <v>5.9919400803358086E-2</v>
      </c>
      <c r="L39" s="3">
        <f t="shared" si="28"/>
        <v>5.9919400803358079E-2</v>
      </c>
      <c r="M39" s="3">
        <f t="shared" si="28"/>
        <v>5.9919400803358024E-2</v>
      </c>
      <c r="N39" s="3">
        <f t="shared" si="28"/>
        <v>5.9919400803357489E-2</v>
      </c>
      <c r="O39" s="3">
        <f t="shared" si="28"/>
        <v>5.9919400803352091E-2</v>
      </c>
      <c r="P39" s="3">
        <f t="shared" si="27"/>
        <v>5.9919400803298169E-2</v>
      </c>
      <c r="Q39" s="3">
        <f t="shared" si="27"/>
        <v>5.9919400802758892E-2</v>
      </c>
      <c r="R39" s="3">
        <f t="shared" si="27"/>
        <v>5.9919400797366143E-2</v>
      </c>
      <c r="S39" s="3">
        <f t="shared" si="27"/>
        <v>5.991940074343869E-2</v>
      </c>
      <c r="T39" s="3">
        <f t="shared" si="27"/>
        <v>5.9919400204164079E-2</v>
      </c>
      <c r="U39" s="3">
        <f t="shared" si="27"/>
        <v>5.9919394811418308E-2</v>
      </c>
      <c r="V39" s="3">
        <f t="shared" si="27"/>
        <v>5.9919340883987246E-2</v>
      </c>
      <c r="W39" s="3">
        <f t="shared" si="27"/>
        <v>5.9918801612346015E-2</v>
      </c>
      <c r="X39" s="3">
        <f t="shared" si="27"/>
        <v>5.9913409162864771E-2</v>
      </c>
      <c r="Y39" s="3">
        <f t="shared" si="27"/>
        <v>5.9859511352271064E-2</v>
      </c>
      <c r="Z39" s="3">
        <f t="shared" si="27"/>
        <v>5.9323192803714446E-2</v>
      </c>
      <c r="AA39" s="3">
        <f t="shared" si="27"/>
        <v>5.4217315913172331E-2</v>
      </c>
      <c r="AB39" s="3">
        <f t="shared" si="27"/>
        <v>2.2043115682867046E-2</v>
      </c>
      <c r="AC39" s="3">
        <f t="shared" si="27"/>
        <v>2.7203365878826357E-6</v>
      </c>
      <c r="AD39" s="3">
        <f t="shared" si="27"/>
        <v>2.2290472342613599E-45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7.498055904568092E-2</v>
      </c>
      <c r="C40" s="18">
        <f t="shared" si="3"/>
        <v>6.4670451984415095E-2</v>
      </c>
      <c r="D40" s="17"/>
      <c r="F40" s="3">
        <f t="shared" si="28"/>
        <v>6.4670451984415095E-2</v>
      </c>
      <c r="G40" s="3">
        <f t="shared" si="28"/>
        <v>6.4670451984415095E-2</v>
      </c>
      <c r="H40" s="3">
        <f t="shared" si="28"/>
        <v>6.4670451984415095E-2</v>
      </c>
      <c r="I40" s="3">
        <f t="shared" si="28"/>
        <v>6.4670451984415095E-2</v>
      </c>
      <c r="J40" s="3">
        <f t="shared" si="28"/>
        <v>6.4670451984415095E-2</v>
      </c>
      <c r="K40" s="3">
        <f t="shared" si="28"/>
        <v>6.4670451984415095E-2</v>
      </c>
      <c r="L40" s="3">
        <f t="shared" si="28"/>
        <v>6.4670451984415095E-2</v>
      </c>
      <c r="M40" s="3">
        <f t="shared" si="28"/>
        <v>6.4670451984415081E-2</v>
      </c>
      <c r="N40" s="3">
        <f t="shared" si="28"/>
        <v>6.4670451984415026E-2</v>
      </c>
      <c r="O40" s="3">
        <f t="shared" si="28"/>
        <v>6.4670451984414443E-2</v>
      </c>
      <c r="P40" s="3">
        <f t="shared" si="27"/>
        <v>6.4670451984408628E-2</v>
      </c>
      <c r="Q40" s="3">
        <f t="shared" si="27"/>
        <v>6.4670451984350424E-2</v>
      </c>
      <c r="R40" s="3">
        <f t="shared" si="27"/>
        <v>6.467045198376839E-2</v>
      </c>
      <c r="S40" s="3">
        <f t="shared" si="27"/>
        <v>6.4670451977948046E-2</v>
      </c>
      <c r="T40" s="3">
        <f t="shared" si="27"/>
        <v>6.4670451919744645E-2</v>
      </c>
      <c r="U40" s="3">
        <f t="shared" si="27"/>
        <v>6.4670451337710586E-2</v>
      </c>
      <c r="V40" s="3">
        <f t="shared" si="27"/>
        <v>6.4670445517370223E-2</v>
      </c>
      <c r="W40" s="3">
        <f t="shared" si="27"/>
        <v>6.467038731399545E-2</v>
      </c>
      <c r="X40" s="3">
        <f t="shared" si="27"/>
        <v>6.4669805283128767E-2</v>
      </c>
      <c r="Y40" s="3">
        <f t="shared" si="27"/>
        <v>6.4663985262558135E-2</v>
      </c>
      <c r="Z40" s="3">
        <f t="shared" si="27"/>
        <v>6.4605813856880953E-2</v>
      </c>
      <c r="AA40" s="3">
        <f t="shared" si="27"/>
        <v>6.4026970235653721E-2</v>
      </c>
      <c r="AB40" s="3">
        <f t="shared" si="27"/>
        <v>5.8516244796796651E-2</v>
      </c>
      <c r="AC40" s="3">
        <f t="shared" si="27"/>
        <v>2.3790929736331221E-2</v>
      </c>
      <c r="AD40" s="3">
        <f t="shared" si="27"/>
        <v>2.9360339778005946E-6</v>
      </c>
      <c r="AE40" s="3">
        <f t="shared" si="27"/>
        <v>2.4057899478563159E-45</v>
      </c>
      <c r="AF40" s="3">
        <f t="shared" si="29"/>
        <v>0</v>
      </c>
      <c r="AG40" s="3">
        <f t="shared" si="29"/>
        <v>0</v>
      </c>
      <c r="AH40" s="3">
        <f t="shared" si="29"/>
        <v>0</v>
      </c>
      <c r="AI40" s="3">
        <f t="shared" si="29"/>
        <v>0</v>
      </c>
      <c r="AJ40" s="3">
        <f t="shared" si="29"/>
        <v>0</v>
      </c>
    </row>
    <row r="41" spans="1:36" x14ac:dyDescent="0.25">
      <c r="A41" s="3">
        <f t="shared" si="30"/>
        <v>1000000000</v>
      </c>
      <c r="B41" s="106">
        <v>7.8349566122744935E-2</v>
      </c>
      <c r="C41" s="18">
        <f t="shared" si="3"/>
        <v>6.7576207998846588E-2</v>
      </c>
      <c r="D41" s="17"/>
      <c r="F41" s="3">
        <f t="shared" si="28"/>
        <v>6.7576207998846588E-2</v>
      </c>
      <c r="G41" s="3">
        <f t="shared" si="28"/>
        <v>6.7576207998846588E-2</v>
      </c>
      <c r="H41" s="3">
        <f t="shared" si="28"/>
        <v>6.7576207998846588E-2</v>
      </c>
      <c r="I41" s="3">
        <f t="shared" si="28"/>
        <v>6.7576207998846588E-2</v>
      </c>
      <c r="J41" s="3">
        <f t="shared" si="28"/>
        <v>6.7576207998846588E-2</v>
      </c>
      <c r="K41" s="3">
        <f t="shared" si="28"/>
        <v>6.7576207998846588E-2</v>
      </c>
      <c r="L41" s="3">
        <f t="shared" si="28"/>
        <v>6.7576207998846588E-2</v>
      </c>
      <c r="M41" s="3">
        <f t="shared" si="28"/>
        <v>6.7576207998846588E-2</v>
      </c>
      <c r="N41" s="3">
        <f t="shared" si="28"/>
        <v>6.7576207998846574E-2</v>
      </c>
      <c r="O41" s="3">
        <f t="shared" si="28"/>
        <v>6.7576207998846519E-2</v>
      </c>
      <c r="P41" s="3">
        <f t="shared" si="27"/>
        <v>6.7576207998845908E-2</v>
      </c>
      <c r="Q41" s="3">
        <f t="shared" si="27"/>
        <v>6.757620799883983E-2</v>
      </c>
      <c r="R41" s="3">
        <f t="shared" si="27"/>
        <v>6.7576207998779017E-2</v>
      </c>
      <c r="S41" s="3">
        <f t="shared" si="27"/>
        <v>6.7576207998170823E-2</v>
      </c>
      <c r="T41" s="3">
        <f t="shared" si="27"/>
        <v>6.7576207992088966E-2</v>
      </c>
      <c r="U41" s="3">
        <f t="shared" si="27"/>
        <v>6.757620793127038E-2</v>
      </c>
      <c r="V41" s="3">
        <f t="shared" si="27"/>
        <v>6.7576207323084517E-2</v>
      </c>
      <c r="W41" s="3">
        <f t="shared" si="27"/>
        <v>6.7576201241226125E-2</v>
      </c>
      <c r="X41" s="3">
        <f t="shared" si="27"/>
        <v>6.7576140422672376E-2</v>
      </c>
      <c r="Y41" s="3">
        <f t="shared" si="27"/>
        <v>6.7575532240145397E-2</v>
      </c>
      <c r="Z41" s="3">
        <f t="shared" si="27"/>
        <v>6.7569450715916482E-2</v>
      </c>
      <c r="AA41" s="3">
        <f t="shared" si="27"/>
        <v>6.7508665567691861E-2</v>
      </c>
      <c r="AB41" s="3">
        <f t="shared" si="27"/>
        <v>6.6903813494657266E-2</v>
      </c>
      <c r="AC41" s="3">
        <f t="shared" si="27"/>
        <v>6.1145481566337305E-2</v>
      </c>
      <c r="AD41" s="3">
        <f t="shared" si="27"/>
        <v>2.4859897635100835E-2</v>
      </c>
      <c r="AE41" s="3">
        <f t="shared" si="27"/>
        <v>3.0679550967627022E-6</v>
      </c>
      <c r="AF41" s="3">
        <f t="shared" si="29"/>
        <v>2.5138862792709626E-45</v>
      </c>
      <c r="AG41" s="3">
        <f t="shared" si="29"/>
        <v>0</v>
      </c>
      <c r="AH41" s="3">
        <f t="shared" si="29"/>
        <v>0</v>
      </c>
      <c r="AI41" s="3">
        <f t="shared" si="29"/>
        <v>0</v>
      </c>
      <c r="AJ41" s="3">
        <f t="shared" si="29"/>
        <v>0</v>
      </c>
    </row>
    <row r="42" spans="1:36" x14ac:dyDescent="0.25">
      <c r="A42" s="3">
        <f t="shared" si="30"/>
        <v>10000000000</v>
      </c>
      <c r="B42" s="106">
        <v>8.6551995145419031E-2</v>
      </c>
      <c r="C42" s="18">
        <f t="shared" si="3"/>
        <v>7.4650772379504848E-2</v>
      </c>
      <c r="D42" s="17"/>
      <c r="F42" s="3">
        <f t="shared" si="28"/>
        <v>7.4650772379504848E-2</v>
      </c>
      <c r="G42" s="3">
        <f t="shared" si="28"/>
        <v>7.4650772379504848E-2</v>
      </c>
      <c r="H42" s="3">
        <f t="shared" si="28"/>
        <v>7.4650772379504848E-2</v>
      </c>
      <c r="I42" s="3">
        <f t="shared" si="28"/>
        <v>7.4650772379504848E-2</v>
      </c>
      <c r="J42" s="3">
        <f t="shared" si="28"/>
        <v>7.4650772379504848E-2</v>
      </c>
      <c r="K42" s="3">
        <f t="shared" si="28"/>
        <v>7.4650772379504848E-2</v>
      </c>
      <c r="L42" s="3">
        <f t="shared" si="28"/>
        <v>7.4650772379504848E-2</v>
      </c>
      <c r="M42" s="3">
        <f t="shared" si="28"/>
        <v>7.4650772379504848E-2</v>
      </c>
      <c r="N42" s="3">
        <f t="shared" si="28"/>
        <v>7.4650772379504848E-2</v>
      </c>
      <c r="O42" s="3">
        <f t="shared" si="28"/>
        <v>7.4650772379504834E-2</v>
      </c>
      <c r="P42" s="3">
        <f t="shared" si="27"/>
        <v>7.4650772379504779E-2</v>
      </c>
      <c r="Q42" s="3">
        <f t="shared" si="27"/>
        <v>7.4650772379504099E-2</v>
      </c>
      <c r="R42" s="3">
        <f t="shared" si="27"/>
        <v>7.4650772379497382E-2</v>
      </c>
      <c r="S42" s="3">
        <f t="shared" si="27"/>
        <v>7.46507723794302E-2</v>
      </c>
      <c r="T42" s="3">
        <f t="shared" si="27"/>
        <v>7.4650772378758334E-2</v>
      </c>
      <c r="U42" s="3">
        <f t="shared" si="27"/>
        <v>7.4650772372039764E-2</v>
      </c>
      <c r="V42" s="3">
        <f t="shared" si="27"/>
        <v>7.4650772304854077E-2</v>
      </c>
      <c r="W42" s="3">
        <f t="shared" si="27"/>
        <v>7.4650771632997132E-2</v>
      </c>
      <c r="X42" s="3">
        <f t="shared" si="27"/>
        <v>7.4650764914427986E-2</v>
      </c>
      <c r="Y42" s="3">
        <f t="shared" si="27"/>
        <v>7.4650697728769796E-2</v>
      </c>
      <c r="Z42" s="3">
        <f t="shared" si="27"/>
        <v>7.4650025875513573E-2</v>
      </c>
      <c r="AA42" s="3">
        <f t="shared" si="27"/>
        <v>7.4643307675508322E-2</v>
      </c>
      <c r="AB42" s="3">
        <f t="shared" si="27"/>
        <v>7.4576158920072855E-2</v>
      </c>
      <c r="AC42" s="3">
        <f t="shared" si="27"/>
        <v>7.390798478357577E-2</v>
      </c>
      <c r="AD42" s="3">
        <f t="shared" si="27"/>
        <v>6.7546812134261294E-2</v>
      </c>
      <c r="AE42" s="3">
        <f t="shared" si="27"/>
        <v>2.7462484425988785E-2</v>
      </c>
      <c r="AF42" s="3">
        <f t="shared" si="29"/>
        <v>3.3891398227447644E-6</v>
      </c>
      <c r="AG42" s="3">
        <f t="shared" si="29"/>
        <v>2.7770654492039576E-45</v>
      </c>
      <c r="AH42" s="3">
        <f t="shared" si="29"/>
        <v>0</v>
      </c>
      <c r="AI42" s="3">
        <f t="shared" si="29"/>
        <v>0</v>
      </c>
      <c r="AJ42" s="3">
        <f t="shared" si="29"/>
        <v>0</v>
      </c>
    </row>
    <row r="43" spans="1:36" x14ac:dyDescent="0.25">
      <c r="A43" s="3">
        <f t="shared" si="30"/>
        <v>100000000000</v>
      </c>
      <c r="B43" s="106">
        <v>4.9203025958245439E-2</v>
      </c>
      <c r="C43" s="18">
        <f t="shared" si="3"/>
        <v>4.2437426023751848E-2</v>
      </c>
      <c r="D43" s="17"/>
      <c r="F43" s="3">
        <f t="shared" si="28"/>
        <v>4.2437426023751848E-2</v>
      </c>
      <c r="G43" s="3">
        <f t="shared" si="28"/>
        <v>4.2437426023751848E-2</v>
      </c>
      <c r="H43" s="3">
        <f t="shared" si="28"/>
        <v>4.2437426023751848E-2</v>
      </c>
      <c r="I43" s="3">
        <f t="shared" si="28"/>
        <v>4.2437426023751848E-2</v>
      </c>
      <c r="J43" s="3">
        <f t="shared" si="28"/>
        <v>4.2437426023751848E-2</v>
      </c>
      <c r="K43" s="3">
        <f t="shared" si="28"/>
        <v>4.2437426023751848E-2</v>
      </c>
      <c r="L43" s="3">
        <f t="shared" si="28"/>
        <v>4.2437426023751848E-2</v>
      </c>
      <c r="M43" s="3">
        <f t="shared" si="28"/>
        <v>4.2437426023751848E-2</v>
      </c>
      <c r="N43" s="3">
        <f t="shared" si="28"/>
        <v>4.2437426023751848E-2</v>
      </c>
      <c r="O43" s="3">
        <f t="shared" si="28"/>
        <v>4.2437426023751848E-2</v>
      </c>
      <c r="P43" s="3">
        <f t="shared" si="27"/>
        <v>4.2437426023751841E-2</v>
      </c>
      <c r="Q43" s="3">
        <f t="shared" si="27"/>
        <v>4.2437426023751806E-2</v>
      </c>
      <c r="R43" s="3">
        <f t="shared" si="27"/>
        <v>4.2437426023751425E-2</v>
      </c>
      <c r="S43" s="3">
        <f t="shared" si="27"/>
        <v>4.2437426023747601E-2</v>
      </c>
      <c r="T43" s="3">
        <f t="shared" si="27"/>
        <v>4.243742602370941E-2</v>
      </c>
      <c r="U43" s="3">
        <f t="shared" si="27"/>
        <v>4.2437426023327472E-2</v>
      </c>
      <c r="V43" s="3">
        <f t="shared" si="27"/>
        <v>4.2437426019508104E-2</v>
      </c>
      <c r="W43" s="3">
        <f t="shared" si="27"/>
        <v>4.2437425981314426E-2</v>
      </c>
      <c r="X43" s="3">
        <f t="shared" si="27"/>
        <v>4.243742559937759E-2</v>
      </c>
      <c r="Y43" s="3">
        <f t="shared" si="27"/>
        <v>4.2437421780009463E-2</v>
      </c>
      <c r="Z43" s="3">
        <f t="shared" si="27"/>
        <v>4.2437383586347042E-2</v>
      </c>
      <c r="AA43" s="3">
        <f t="shared" si="27"/>
        <v>4.2437001651613473E-2</v>
      </c>
      <c r="AB43" s="3">
        <f t="shared" si="27"/>
        <v>4.243318249332953E-2</v>
      </c>
      <c r="AC43" s="3">
        <f t="shared" si="27"/>
        <v>4.2395009809369971E-2</v>
      </c>
      <c r="AD43" s="3">
        <f t="shared" si="27"/>
        <v>4.2015166579558137E-2</v>
      </c>
      <c r="AE43" s="3">
        <f t="shared" si="27"/>
        <v>3.8398970991423656E-2</v>
      </c>
      <c r="AF43" s="3">
        <f t="shared" si="29"/>
        <v>1.5611856570372253E-2</v>
      </c>
      <c r="AG43" s="3">
        <f t="shared" si="29"/>
        <v>1.926656160778981E-6</v>
      </c>
      <c r="AH43" s="3">
        <f t="shared" si="29"/>
        <v>1.578704490351207E-45</v>
      </c>
      <c r="AI43" s="3">
        <f t="shared" si="29"/>
        <v>0</v>
      </c>
      <c r="AJ43" s="3">
        <f t="shared" si="29"/>
        <v>0</v>
      </c>
    </row>
    <row r="44" spans="1:36" x14ac:dyDescent="0.25">
      <c r="A44" s="3">
        <f t="shared" si="30"/>
        <v>1000000000000</v>
      </c>
      <c r="B44" s="106">
        <v>3.4043945380494031E-2</v>
      </c>
      <c r="C44" s="18">
        <f t="shared" si="3"/>
        <v>2.9362775672931045E-2</v>
      </c>
      <c r="D44" s="17"/>
      <c r="F44" s="3">
        <f t="shared" si="28"/>
        <v>2.9362775672931045E-2</v>
      </c>
      <c r="G44" s="3">
        <f t="shared" si="28"/>
        <v>2.9362775672931045E-2</v>
      </c>
      <c r="H44" s="3">
        <f t="shared" si="28"/>
        <v>2.9362775672931045E-2</v>
      </c>
      <c r="I44" s="3">
        <f t="shared" si="28"/>
        <v>2.9362775672931045E-2</v>
      </c>
      <c r="J44" s="3">
        <f t="shared" si="28"/>
        <v>2.9362775672931045E-2</v>
      </c>
      <c r="K44" s="3">
        <f t="shared" si="28"/>
        <v>2.9362775672931045E-2</v>
      </c>
      <c r="L44" s="3">
        <f t="shared" si="28"/>
        <v>2.9362775672931045E-2</v>
      </c>
      <c r="M44" s="3">
        <f t="shared" si="28"/>
        <v>2.9362775672931045E-2</v>
      </c>
      <c r="N44" s="3">
        <f t="shared" si="28"/>
        <v>2.9362775672931045E-2</v>
      </c>
      <c r="O44" s="3">
        <f t="shared" si="28"/>
        <v>2.9362775672931045E-2</v>
      </c>
      <c r="P44" s="3">
        <f t="shared" si="27"/>
        <v>2.9362775672931045E-2</v>
      </c>
      <c r="Q44" s="3">
        <f t="shared" si="27"/>
        <v>2.9362775672931041E-2</v>
      </c>
      <c r="R44" s="3">
        <f t="shared" si="27"/>
        <v>2.9362775672931017E-2</v>
      </c>
      <c r="S44" s="3">
        <f t="shared" si="27"/>
        <v>2.936277567293075E-2</v>
      </c>
      <c r="T44" s="3">
        <f t="shared" si="27"/>
        <v>2.9362775672928106E-2</v>
      </c>
      <c r="U44" s="3">
        <f t="shared" si="27"/>
        <v>2.9362775672901683E-2</v>
      </c>
      <c r="V44" s="3">
        <f t="shared" si="27"/>
        <v>2.9362775672637419E-2</v>
      </c>
      <c r="W44" s="3">
        <f t="shared" si="27"/>
        <v>2.9362775669994769E-2</v>
      </c>
      <c r="X44" s="3">
        <f t="shared" si="27"/>
        <v>2.9362775643568269E-2</v>
      </c>
      <c r="Y44" s="3">
        <f t="shared" si="27"/>
        <v>2.9362775379303291E-2</v>
      </c>
      <c r="Z44" s="3">
        <f t="shared" si="27"/>
        <v>2.9362772736653626E-2</v>
      </c>
      <c r="AA44" s="3">
        <f t="shared" si="27"/>
        <v>2.9362746310170055E-2</v>
      </c>
      <c r="AB44" s="3">
        <f t="shared" si="27"/>
        <v>2.9362482046642449E-2</v>
      </c>
      <c r="AC44" s="3">
        <f t="shared" si="27"/>
        <v>2.9359839542172736E-2</v>
      </c>
      <c r="AD44" s="3">
        <f t="shared" si="27"/>
        <v>2.9333427573753377E-2</v>
      </c>
      <c r="AE44" s="3">
        <f t="shared" si="27"/>
        <v>2.9070611173399499E-2</v>
      </c>
      <c r="AF44" s="3">
        <f t="shared" si="29"/>
        <v>2.6568538126264009E-2</v>
      </c>
      <c r="AG44" s="3">
        <f t="shared" si="29"/>
        <v>1.0801961505800295E-2</v>
      </c>
      <c r="AH44" s="3">
        <f t="shared" si="29"/>
        <v>1.3330679531826685E-6</v>
      </c>
      <c r="AI44" s="3">
        <f t="shared" si="29"/>
        <v>1.0923175637015982E-45</v>
      </c>
      <c r="AJ44" s="3">
        <f t="shared" si="29"/>
        <v>0</v>
      </c>
    </row>
    <row r="45" spans="1:36" x14ac:dyDescent="0.25">
      <c r="A45" s="3">
        <f t="shared" si="30"/>
        <v>10000000000000</v>
      </c>
      <c r="B45" s="106">
        <v>1.5441139307626812E-2</v>
      </c>
      <c r="C45" s="18">
        <f t="shared" si="3"/>
        <v>1.3317924951321973E-2</v>
      </c>
      <c r="D45" s="17"/>
      <c r="F45" s="3">
        <f t="shared" si="28"/>
        <v>1.3317924951321973E-2</v>
      </c>
      <c r="G45" s="3">
        <f t="shared" si="28"/>
        <v>1.3317924951321973E-2</v>
      </c>
      <c r="H45" s="3">
        <f t="shared" si="28"/>
        <v>1.3317924951321973E-2</v>
      </c>
      <c r="I45" s="3">
        <f t="shared" si="28"/>
        <v>1.3317924951321973E-2</v>
      </c>
      <c r="J45" s="3">
        <f t="shared" si="28"/>
        <v>1.3317924951321973E-2</v>
      </c>
      <c r="K45" s="3">
        <f t="shared" si="28"/>
        <v>1.3317924951321973E-2</v>
      </c>
      <c r="L45" s="3">
        <f t="shared" si="28"/>
        <v>1.3317924951321973E-2</v>
      </c>
      <c r="M45" s="3">
        <f t="shared" si="28"/>
        <v>1.3317924951321973E-2</v>
      </c>
      <c r="N45" s="3">
        <f t="shared" si="28"/>
        <v>1.3317924951321973E-2</v>
      </c>
      <c r="O45" s="3">
        <f t="shared" si="28"/>
        <v>1.3317924951321973E-2</v>
      </c>
      <c r="P45" s="3">
        <f t="shared" si="27"/>
        <v>1.3317924951321973E-2</v>
      </c>
      <c r="Q45" s="3">
        <f t="shared" si="27"/>
        <v>1.3317924951321973E-2</v>
      </c>
      <c r="R45" s="3">
        <f t="shared" si="27"/>
        <v>1.3317924951321971E-2</v>
      </c>
      <c r="S45" s="3">
        <f t="shared" si="27"/>
        <v>1.3317924951321959E-2</v>
      </c>
      <c r="T45" s="3">
        <f t="shared" si="27"/>
        <v>1.3317924951321839E-2</v>
      </c>
      <c r="U45" s="3">
        <f t="shared" si="27"/>
        <v>1.331792495132064E-2</v>
      </c>
      <c r="V45" s="3">
        <f t="shared" si="27"/>
        <v>1.3317924951308655E-2</v>
      </c>
      <c r="W45" s="3">
        <f t="shared" si="27"/>
        <v>1.3317924951188793E-2</v>
      </c>
      <c r="X45" s="3">
        <f t="shared" si="27"/>
        <v>1.331792494999018E-2</v>
      </c>
      <c r="Y45" s="3">
        <f t="shared" si="27"/>
        <v>1.3317924938004048E-2</v>
      </c>
      <c r="Z45" s="3">
        <f t="shared" si="27"/>
        <v>1.3317924818142724E-2</v>
      </c>
      <c r="AA45" s="3">
        <f t="shared" si="27"/>
        <v>1.3317923619529545E-2</v>
      </c>
      <c r="AB45" s="3">
        <f t="shared" si="27"/>
        <v>1.331791163340368E-2</v>
      </c>
      <c r="AC45" s="3">
        <f t="shared" si="27"/>
        <v>1.3317791772738353E-2</v>
      </c>
      <c r="AD45" s="3">
        <f t="shared" si="27"/>
        <v>1.3316593225414246E-2</v>
      </c>
      <c r="AE45" s="3">
        <f t="shared" si="27"/>
        <v>1.3304613683114027E-2</v>
      </c>
      <c r="AF45" s="3">
        <f t="shared" si="29"/>
        <v>1.3185409383940217E-2</v>
      </c>
      <c r="AG45" s="3">
        <f t="shared" si="29"/>
        <v>1.2050556826550856E-2</v>
      </c>
      <c r="AH45" s="3">
        <f t="shared" si="29"/>
        <v>4.8993907886555358E-3</v>
      </c>
      <c r="AI45" s="3">
        <f t="shared" si="29"/>
        <v>6.0463285737206205E-7</v>
      </c>
      <c r="AJ45" s="3">
        <f t="shared" si="29"/>
        <v>4.9543692661861332E-46</v>
      </c>
    </row>
    <row r="46" spans="1:36" x14ac:dyDescent="0.25">
      <c r="A46" s="3">
        <f t="shared" si="30"/>
        <v>100000000000000</v>
      </c>
      <c r="B46" s="106">
        <v>4.707353766996979E-3</v>
      </c>
      <c r="C46" s="18">
        <f t="shared" si="3"/>
        <v>4.0600750332731679E-3</v>
      </c>
      <c r="D46" s="17"/>
      <c r="F46" s="3">
        <f t="shared" si="28"/>
        <v>4.0600750332731679E-3</v>
      </c>
      <c r="G46" s="3">
        <f t="shared" si="28"/>
        <v>4.0600750332731679E-3</v>
      </c>
      <c r="H46" s="3">
        <f t="shared" si="28"/>
        <v>4.0600750332731679E-3</v>
      </c>
      <c r="I46" s="3">
        <f t="shared" si="28"/>
        <v>4.0600750332731679E-3</v>
      </c>
      <c r="J46" s="3">
        <f t="shared" si="28"/>
        <v>4.0600750332731679E-3</v>
      </c>
      <c r="K46" s="3">
        <f t="shared" si="28"/>
        <v>4.0600750332731679E-3</v>
      </c>
      <c r="L46" s="3">
        <f t="shared" si="28"/>
        <v>4.0600750332731679E-3</v>
      </c>
      <c r="M46" s="3">
        <f t="shared" si="28"/>
        <v>4.0600750332731679E-3</v>
      </c>
      <c r="N46" s="3">
        <f t="shared" si="28"/>
        <v>4.0600750332731679E-3</v>
      </c>
      <c r="O46" s="3">
        <f t="shared" si="28"/>
        <v>4.0600750332731679E-3</v>
      </c>
      <c r="P46" s="3">
        <f t="shared" si="27"/>
        <v>4.0600750332731679E-3</v>
      </c>
      <c r="Q46" s="3">
        <f t="shared" si="27"/>
        <v>4.0600750332731679E-3</v>
      </c>
      <c r="R46" s="3">
        <f t="shared" si="27"/>
        <v>4.0600750332731679E-3</v>
      </c>
      <c r="S46" s="3">
        <f t="shared" si="27"/>
        <v>4.060075033273167E-3</v>
      </c>
      <c r="T46" s="3">
        <f t="shared" si="27"/>
        <v>4.0600750332731635E-3</v>
      </c>
      <c r="U46" s="3">
        <f t="shared" si="27"/>
        <v>4.0600750332731271E-3</v>
      </c>
      <c r="V46" s="3">
        <f t="shared" si="27"/>
        <v>4.0600750332727619E-3</v>
      </c>
      <c r="W46" s="3">
        <f t="shared" si="27"/>
        <v>4.0600750332691077E-3</v>
      </c>
      <c r="X46" s="3">
        <f t="shared" si="27"/>
        <v>4.0600750332325675E-3</v>
      </c>
      <c r="Y46" s="3">
        <f t="shared" si="27"/>
        <v>4.0600750328671602E-3</v>
      </c>
      <c r="Z46" s="3">
        <f t="shared" si="27"/>
        <v>4.0600750292130927E-3</v>
      </c>
      <c r="AA46" s="3">
        <f t="shared" si="27"/>
        <v>4.0600749926724177E-3</v>
      </c>
      <c r="AB46" s="3">
        <f t="shared" si="27"/>
        <v>4.060074627265685E-3</v>
      </c>
      <c r="AC46" s="3">
        <f t="shared" si="27"/>
        <v>4.0600709732001644E-3</v>
      </c>
      <c r="AD46" s="3">
        <f t="shared" si="27"/>
        <v>4.0600344327258384E-3</v>
      </c>
      <c r="AE46" s="3">
        <f t="shared" si="27"/>
        <v>4.0596690460695389E-3</v>
      </c>
      <c r="AF46" s="3">
        <f t="shared" si="29"/>
        <v>4.0560169876009012E-3</v>
      </c>
      <c r="AG46" s="3">
        <f t="shared" si="29"/>
        <v>4.0196766117012476E-3</v>
      </c>
      <c r="AH46" s="3">
        <f t="shared" si="29"/>
        <v>3.6737078101391554E-3</v>
      </c>
      <c r="AI46" s="3">
        <f t="shared" si="29"/>
        <v>1.4936181343546582E-3</v>
      </c>
      <c r="AJ46" s="3">
        <f t="shared" si="29"/>
        <v>1.8432712134102017E-7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7.6603030714526609E-3</v>
      </c>
      <c r="C48" s="18">
        <f t="shared" si="3"/>
        <v>6.6069827735831333E-3</v>
      </c>
      <c r="D48" s="17"/>
      <c r="F48" s="3">
        <f t="shared" si="28"/>
        <v>6.6069827735831333E-3</v>
      </c>
      <c r="G48" s="3">
        <f t="shared" si="28"/>
        <v>6.6069827735831333E-3</v>
      </c>
      <c r="H48" s="3">
        <f t="shared" si="28"/>
        <v>6.6069827735831333E-3</v>
      </c>
      <c r="I48" s="3">
        <f t="shared" si="28"/>
        <v>6.6069827735831333E-3</v>
      </c>
      <c r="J48" s="3">
        <f t="shared" si="28"/>
        <v>6.6069827735831333E-3</v>
      </c>
      <c r="K48" s="3">
        <f t="shared" si="28"/>
        <v>6.6069827735831333E-3</v>
      </c>
      <c r="L48" s="3">
        <f t="shared" si="28"/>
        <v>6.6069827735831333E-3</v>
      </c>
      <c r="M48" s="3">
        <f t="shared" si="28"/>
        <v>6.6069827735831333E-3</v>
      </c>
      <c r="N48" s="3">
        <f t="shared" si="28"/>
        <v>6.6069827735831333E-3</v>
      </c>
      <c r="O48" s="3">
        <f t="shared" si="28"/>
        <v>6.6069827735831333E-3</v>
      </c>
      <c r="P48" s="3">
        <f t="shared" si="27"/>
        <v>6.6069827735831333E-3</v>
      </c>
      <c r="Q48" s="3">
        <f t="shared" si="27"/>
        <v>6.6069827735831333E-3</v>
      </c>
      <c r="R48" s="3">
        <f t="shared" si="27"/>
        <v>6.6069827735831333E-3</v>
      </c>
      <c r="S48" s="3">
        <f t="shared" si="27"/>
        <v>6.6069827735831333E-3</v>
      </c>
      <c r="T48" s="3">
        <f t="shared" si="27"/>
        <v>6.6069827735831333E-3</v>
      </c>
      <c r="U48" s="3">
        <f t="shared" si="27"/>
        <v>6.6069827735831324E-3</v>
      </c>
      <c r="V48" s="3">
        <f t="shared" si="27"/>
        <v>6.6069827735831263E-3</v>
      </c>
      <c r="W48" s="3">
        <f t="shared" si="27"/>
        <v>6.6069827735830674E-3</v>
      </c>
      <c r="X48" s="3">
        <f t="shared" si="27"/>
        <v>6.6069827735824723E-3</v>
      </c>
      <c r="Y48" s="3">
        <f t="shared" si="27"/>
        <v>6.6069827735765266E-3</v>
      </c>
      <c r="Z48" s="3">
        <f t="shared" si="27"/>
        <v>6.6069827735170637E-3</v>
      </c>
      <c r="AA48" s="3">
        <f t="shared" si="27"/>
        <v>6.6069827729224352E-3</v>
      </c>
      <c r="AB48" s="3">
        <f t="shared" si="27"/>
        <v>6.606982766976151E-3</v>
      </c>
      <c r="AC48" s="3">
        <f t="shared" si="27"/>
        <v>6.6069827075133057E-3</v>
      </c>
      <c r="AD48" s="3">
        <f t="shared" si="27"/>
        <v>6.6069821128848889E-3</v>
      </c>
      <c r="AE48" s="3">
        <f t="shared" si="27"/>
        <v>6.6069761666036637E-3</v>
      </c>
      <c r="AF48" s="3">
        <f t="shared" si="29"/>
        <v>6.6069167040857454E-3</v>
      </c>
      <c r="AG48" s="3">
        <f t="shared" si="29"/>
        <v>6.6063221083395877E-3</v>
      </c>
      <c r="AH48" s="3">
        <f t="shared" si="29"/>
        <v>6.6003790932000483E-3</v>
      </c>
      <c r="AI48" s="3">
        <f t="shared" si="29"/>
        <v>6.5412421965695983E-3</v>
      </c>
      <c r="AJ48" s="3">
        <f t="shared" si="29"/>
        <v>5.978245233857025E-3</v>
      </c>
    </row>
    <row r="49" spans="1:36" x14ac:dyDescent="0.25">
      <c r="B49" s="16">
        <f>SUM(B17:B48)</f>
        <v>1.1594253131824477</v>
      </c>
      <c r="C49" s="18">
        <f>SUM(C17:C48)</f>
        <v>1.0000000000000002</v>
      </c>
      <c r="F49" s="3">
        <f t="shared" ref="F49:AJ49" si="31">F16-F17</f>
        <v>-4.7041418515618716E-2</v>
      </c>
      <c r="G49" s="3">
        <f t="shared" si="31"/>
        <v>2.5423388110539236E-2</v>
      </c>
      <c r="H49" s="3">
        <f t="shared" si="31"/>
        <v>-1.3418648417427903E-2</v>
      </c>
      <c r="I49" s="3">
        <f t="shared" si="31"/>
        <v>-2.3430231373822608E-2</v>
      </c>
      <c r="J49" s="3">
        <f t="shared" si="31"/>
        <v>-2.6258950251758506E-2</v>
      </c>
      <c r="K49" s="3">
        <f t="shared" si="31"/>
        <v>-2.7114015273582481E-2</v>
      </c>
      <c r="L49" s="3">
        <f t="shared" si="31"/>
        <v>-2.7228726178691431E-2</v>
      </c>
      <c r="M49" s="3">
        <f t="shared" si="31"/>
        <v>-2.5406152291907347E-2</v>
      </c>
      <c r="N49" s="3">
        <f t="shared" si="31"/>
        <v>-6.7446390703480574E-3</v>
      </c>
      <c r="O49" s="3">
        <f t="shared" si="31"/>
        <v>0.1544775307238524</v>
      </c>
      <c r="P49" s="3">
        <f t="shared" si="31"/>
        <v>0.10522391129234165</v>
      </c>
      <c r="Q49" s="3">
        <f t="shared" si="31"/>
        <v>-0.21649312754652783</v>
      </c>
      <c r="R49" s="3">
        <f t="shared" si="31"/>
        <v>0.27972345287071221</v>
      </c>
      <c r="S49" s="3">
        <f t="shared" si="31"/>
        <v>-0.29902976593621133</v>
      </c>
      <c r="T49" s="3">
        <f t="shared" si="31"/>
        <v>0.26681631987503351</v>
      </c>
      <c r="U49" s="3">
        <f t="shared" si="31"/>
        <v>-0.20084692638738488</v>
      </c>
      <c r="V49" s="3">
        <f t="shared" si="31"/>
        <v>0.13035635456435557</v>
      </c>
      <c r="W49" s="3">
        <f t="shared" si="31"/>
        <v>-7.5574269107164582E-2</v>
      </c>
      <c r="X49" s="3">
        <f t="shared" si="31"/>
        <v>4.0410674859231221E-2</v>
      </c>
      <c r="Y49" s="3">
        <f t="shared" si="31"/>
        <v>-2.0334977493803308E-2</v>
      </c>
      <c r="Z49" s="3">
        <f t="shared" si="31"/>
        <v>9.7588644939605729E-3</v>
      </c>
      <c r="AA49" s="3">
        <f t="shared" si="31"/>
        <v>-5.641844379624672E-3</v>
      </c>
      <c r="AB49" s="3">
        <f t="shared" si="31"/>
        <v>7.0927631345512054E-3</v>
      </c>
      <c r="AC49" s="3">
        <f t="shared" si="31"/>
        <v>-9.9770978852120606E-3</v>
      </c>
      <c r="AD49" s="3">
        <f t="shared" si="31"/>
        <v>1.0820714996498282E-2</v>
      </c>
      <c r="AE49" s="3">
        <f t="shared" si="31"/>
        <v>-1.1346195142778015E-2</v>
      </c>
      <c r="AF49" s="3">
        <f t="shared" si="31"/>
        <v>1.4066040818875081E-2</v>
      </c>
      <c r="AG49" s="3">
        <f t="shared" si="31"/>
        <v>-1.9477275393569471E-2</v>
      </c>
      <c r="AH49" s="3">
        <f t="shared" si="31"/>
        <v>2.6682013029841301E-2</v>
      </c>
      <c r="AI49" s="3">
        <f t="shared" si="31"/>
        <v>-3.5089990197462839E-2</v>
      </c>
      <c r="AJ49" s="3">
        <f t="shared" si="31"/>
        <v>2.0671148447448218E-2</v>
      </c>
    </row>
    <row r="50" spans="1:36" x14ac:dyDescent="0.25">
      <c r="F50" s="57">
        <f t="shared" ref="F50:AJ50" si="32">F49/F17</f>
        <v>-6.4552698864626995E-6</v>
      </c>
      <c r="G50" s="57">
        <f t="shared" si="32"/>
        <v>3.4887305030536616E-6</v>
      </c>
      <c r="H50" s="57">
        <f t="shared" si="32"/>
        <v>-1.8413772327124096E-6</v>
      </c>
      <c r="I50" s="57">
        <f t="shared" si="32"/>
        <v>-3.2152190951630742E-6</v>
      </c>
      <c r="J50" s="57">
        <f t="shared" si="32"/>
        <v>-3.6033907303929446E-6</v>
      </c>
      <c r="K50" s="57">
        <f t="shared" si="32"/>
        <v>-3.7207273537681833E-6</v>
      </c>
      <c r="L50" s="57">
        <f t="shared" si="32"/>
        <v>-3.736469802711667E-6</v>
      </c>
      <c r="M50" s="57">
        <f t="shared" si="32"/>
        <v>-3.4863779291935255E-6</v>
      </c>
      <c r="N50" s="57">
        <f t="shared" si="32"/>
        <v>-9.2556814435566039E-7</v>
      </c>
      <c r="O50" s="57">
        <f t="shared" si="32"/>
        <v>2.1205756862801054E-5</v>
      </c>
      <c r="P50" s="57">
        <f t="shared" si="32"/>
        <v>1.4484622236361754E-5</v>
      </c>
      <c r="Q50" s="57">
        <f t="shared" si="32"/>
        <v>-3.0262403120790793E-5</v>
      </c>
      <c r="R50" s="57">
        <f t="shared" si="32"/>
        <v>3.9893712947476337E-5</v>
      </c>
      <c r="S50" s="57">
        <f t="shared" si="32"/>
        <v>-4.3621694607390474E-5</v>
      </c>
      <c r="T50" s="57">
        <f t="shared" si="32"/>
        <v>4.002002684440513E-5</v>
      </c>
      <c r="U50" s="57">
        <f t="shared" si="32"/>
        <v>-3.1100126968137051E-5</v>
      </c>
      <c r="V50" s="57">
        <f t="shared" si="32"/>
        <v>2.103536583584723E-5</v>
      </c>
      <c r="W50" s="57">
        <f t="shared" si="32"/>
        <v>-1.3192079882844412E-5</v>
      </c>
      <c r="X50" s="57">
        <f t="shared" si="32"/>
        <v>8.231335712369133E-6</v>
      </c>
      <c r="Y50" s="57">
        <f t="shared" si="32"/>
        <v>-5.0151546972733885E-6</v>
      </c>
      <c r="Z50" s="57">
        <f t="shared" si="32"/>
        <v>2.8832050029601778E-6</v>
      </c>
      <c r="AA50" s="57">
        <f t="shared" si="32"/>
        <v>-1.9672946271879489E-6</v>
      </c>
      <c r="AB50" s="57">
        <f t="shared" si="32"/>
        <v>2.96283013790104E-6</v>
      </c>
      <c r="AC50" s="57">
        <f t="shared" si="32"/>
        <v>-5.188150983553555E-6</v>
      </c>
      <c r="AD50" s="57">
        <f t="shared" si="32"/>
        <v>7.5510110207267432E-6</v>
      </c>
      <c r="AE50" s="57">
        <f t="shared" si="32"/>
        <v>-1.222144830180863E-5</v>
      </c>
      <c r="AF50" s="57">
        <f t="shared" si="32"/>
        <v>2.6011446221475459E-5</v>
      </c>
      <c r="AG50" s="57">
        <f t="shared" si="32"/>
        <v>-6.446703499571526E-5</v>
      </c>
      <c r="AH50" s="57">
        <f t="shared" si="32"/>
        <v>1.5888828209767531E-4</v>
      </c>
      <c r="AI50" s="57">
        <f t="shared" si="32"/>
        <v>-3.0357033218400699E-4</v>
      </c>
      <c r="AJ50" s="57">
        <f t="shared" si="32"/>
        <v>2.0566079993314298E-4</v>
      </c>
    </row>
    <row r="51" spans="1:36" x14ac:dyDescent="0.25">
      <c r="A51" s="13" t="s">
        <v>21</v>
      </c>
      <c r="B51" s="3">
        <f>STUTT!D8</f>
        <v>7330.9827999999998</v>
      </c>
      <c r="E51" s="11" t="s">
        <v>24</v>
      </c>
      <c r="F51" s="20">
        <f t="shared" ref="F51:AJ51" si="33">(F16-F17)^2</f>
        <v>2.2128950559615955E-3</v>
      </c>
      <c r="G51" s="20">
        <f t="shared" si="33"/>
        <v>6.4634866301910775E-4</v>
      </c>
      <c r="H51" s="20">
        <f t="shared" si="33"/>
        <v>1.8006012535054037E-4</v>
      </c>
      <c r="I51" s="20">
        <f t="shared" si="33"/>
        <v>5.4897574223086124E-4</v>
      </c>
      <c r="J51" s="20">
        <f t="shared" si="33"/>
        <v>6.8953246832432807E-4</v>
      </c>
      <c r="K51" s="20">
        <f t="shared" si="33"/>
        <v>7.3516982425606405E-4</v>
      </c>
      <c r="L51" s="20">
        <f t="shared" si="33"/>
        <v>7.4140352931415605E-4</v>
      </c>
      <c r="M51" s="20">
        <f t="shared" si="33"/>
        <v>6.4547257427958896E-4</v>
      </c>
      <c r="N51" s="20">
        <f t="shared" si="33"/>
        <v>4.5490156189265507E-5</v>
      </c>
      <c r="O51" s="20">
        <f t="shared" si="33"/>
        <v>2.3863307498538763E-2</v>
      </c>
      <c r="P51" s="20">
        <f t="shared" si="33"/>
        <v>1.1072071507658586E-2</v>
      </c>
      <c r="Q51" s="20">
        <f t="shared" si="33"/>
        <v>4.6869274274877165E-2</v>
      </c>
      <c r="R51" s="20">
        <f t="shared" si="33"/>
        <v>7.824521008591355E-2</v>
      </c>
      <c r="S51" s="20">
        <f t="shared" si="33"/>
        <v>8.9418800915865335E-2</v>
      </c>
      <c r="T51" s="20">
        <f t="shared" si="33"/>
        <v>7.1190948551656211E-2</v>
      </c>
      <c r="U51" s="20">
        <f t="shared" si="33"/>
        <v>4.03394878392596E-2</v>
      </c>
      <c r="V51" s="20">
        <f t="shared" si="33"/>
        <v>1.6992779175307986E-2</v>
      </c>
      <c r="W51" s="20">
        <f t="shared" si="33"/>
        <v>5.7114701510821309E-3</v>
      </c>
      <c r="X51" s="20">
        <f t="shared" si="33"/>
        <v>1.6330226425785024E-3</v>
      </c>
      <c r="Y51" s="20">
        <f t="shared" si="33"/>
        <v>4.1351130967348708E-4</v>
      </c>
      <c r="Z51" s="20">
        <f t="shared" si="33"/>
        <v>9.5235436211484352E-5</v>
      </c>
      <c r="AA51" s="20">
        <f t="shared" si="33"/>
        <v>3.1830408003902499E-5</v>
      </c>
      <c r="AB51" s="20">
        <f t="shared" si="33"/>
        <v>5.0307288882848644E-5</v>
      </c>
      <c r="AC51" s="20">
        <f t="shared" si="33"/>
        <v>9.9542482211102974E-5</v>
      </c>
      <c r="AD51" s="20">
        <f t="shared" si="33"/>
        <v>1.1708787303544281E-4</v>
      </c>
      <c r="AE51" s="20">
        <f t="shared" si="33"/>
        <v>1.2873614421799942E-4</v>
      </c>
      <c r="AF51" s="20">
        <f t="shared" si="33"/>
        <v>1.9785350431825995E-4</v>
      </c>
      <c r="AG51" s="20">
        <f t="shared" si="33"/>
        <v>3.7936425675694679E-4</v>
      </c>
      <c r="AH51" s="20">
        <f t="shared" si="33"/>
        <v>7.1192981932462099E-4</v>
      </c>
      <c r="AI51" s="20">
        <f t="shared" si="33"/>
        <v>1.2313074120580381E-3</v>
      </c>
      <c r="AJ51" s="20">
        <f t="shared" si="33"/>
        <v>4.2729637813644086E-4</v>
      </c>
    </row>
    <row r="52" spans="1:36" x14ac:dyDescent="0.25">
      <c r="A52" s="13"/>
    </row>
    <row r="53" spans="1:36" x14ac:dyDescent="0.25">
      <c r="E53" s="118" t="s">
        <v>25</v>
      </c>
      <c r="F53" s="118"/>
      <c r="G53" s="104">
        <f>SUM(F51:AJ51)</f>
        <v>0.39566572309449394</v>
      </c>
      <c r="I53" s="3">
        <f>G53+C123</f>
        <v>0.39566572309449394</v>
      </c>
      <c r="K53" s="3">
        <f>SUM(Z51:AJ51)</f>
        <v>3.470491003157087E-3</v>
      </c>
    </row>
    <row r="55" spans="1:36" x14ac:dyDescent="0.25">
      <c r="E55" s="30" t="s">
        <v>30</v>
      </c>
      <c r="F55" s="31">
        <f t="shared" ref="F55:AJ55" si="34">ABS(F17-F16)/F16</f>
        <v>6.4553115572410022E-6</v>
      </c>
      <c r="G55" s="31">
        <f t="shared" si="34"/>
        <v>3.4887183318556005E-6</v>
      </c>
      <c r="H55" s="31">
        <f t="shared" si="34"/>
        <v>1.8413806233887663E-6</v>
      </c>
      <c r="I55" s="31">
        <f t="shared" si="34"/>
        <v>3.215229432830142E-6</v>
      </c>
      <c r="J55" s="31">
        <f t="shared" si="34"/>
        <v>3.6034037148644884E-6</v>
      </c>
      <c r="K55" s="31">
        <f t="shared" si="34"/>
        <v>3.7207411976317337E-6</v>
      </c>
      <c r="L55" s="31">
        <f t="shared" si="34"/>
        <v>3.7364837639704192E-6</v>
      </c>
      <c r="M55" s="31">
        <f t="shared" si="34"/>
        <v>3.4863900840669675E-6</v>
      </c>
      <c r="N55" s="31">
        <f t="shared" si="34"/>
        <v>9.2556900103284314E-7</v>
      </c>
      <c r="O55" s="31">
        <f t="shared" si="34"/>
        <v>2.1205307188212623E-5</v>
      </c>
      <c r="P55" s="31">
        <f t="shared" si="34"/>
        <v>1.4484412435119317E-5</v>
      </c>
      <c r="Q55" s="31">
        <f t="shared" si="34"/>
        <v>3.0263318961548981E-5</v>
      </c>
      <c r="R55" s="31">
        <f t="shared" si="34"/>
        <v>3.9892121502632246E-5</v>
      </c>
      <c r="S55" s="31">
        <f t="shared" si="34"/>
        <v>4.3623597542640157E-5</v>
      </c>
      <c r="T55" s="31">
        <f t="shared" si="34"/>
        <v>4.0018425305950115E-5</v>
      </c>
      <c r="U55" s="31">
        <f t="shared" si="34"/>
        <v>3.1101094216116021E-5</v>
      </c>
      <c r="V55" s="31">
        <f t="shared" si="34"/>
        <v>2.1034923358539052E-5</v>
      </c>
      <c r="W55" s="31">
        <f t="shared" si="34"/>
        <v>1.3192253916111908E-5</v>
      </c>
      <c r="X55" s="31">
        <f t="shared" si="34"/>
        <v>8.2312679580392323E-6</v>
      </c>
      <c r="Y55" s="31">
        <f t="shared" si="34"/>
        <v>5.0151798491761667E-6</v>
      </c>
      <c r="Z55" s="31">
        <f t="shared" si="34"/>
        <v>2.8831966901130563E-6</v>
      </c>
      <c r="AA55" s="31">
        <f t="shared" si="34"/>
        <v>1.9672984974437129E-6</v>
      </c>
      <c r="AB55" s="31">
        <f t="shared" si="34"/>
        <v>2.9628213595646227E-6</v>
      </c>
      <c r="AC55" s="31">
        <f t="shared" si="34"/>
        <v>5.1881779006038324E-6</v>
      </c>
      <c r="AD55" s="31">
        <f t="shared" si="34"/>
        <v>7.5509540033898464E-6</v>
      </c>
      <c r="AE55" s="31">
        <f t="shared" si="34"/>
        <v>1.2221597667432687E-5</v>
      </c>
      <c r="AF55" s="31">
        <f t="shared" si="34"/>
        <v>2.601076964373969E-5</v>
      </c>
      <c r="AG55" s="31">
        <f t="shared" si="34"/>
        <v>6.4471191262258581E-5</v>
      </c>
      <c r="AH55" s="31">
        <f t="shared" si="34"/>
        <v>1.5886304062206206E-4</v>
      </c>
      <c r="AI55" s="31">
        <f t="shared" si="34"/>
        <v>3.0366251511459216E-4</v>
      </c>
      <c r="AJ55" s="31">
        <f t="shared" si="34"/>
        <v>2.056185122654294E-4</v>
      </c>
    </row>
    <row r="56" spans="1:36" x14ac:dyDescent="0.25">
      <c r="E56" s="13" t="s">
        <v>31</v>
      </c>
      <c r="F56" s="32">
        <f>AVERAGE(F55:AJ55)</f>
        <v>3.5159200160245075E-5</v>
      </c>
    </row>
    <row r="57" spans="1:36" x14ac:dyDescent="0.25">
      <c r="A57" s="42"/>
      <c r="B57" s="15"/>
      <c r="C57" s="15"/>
      <c r="D57" s="15"/>
      <c r="F57" s="60">
        <f>AVERAGE(S55:X55)</f>
        <v>2.6200260382899415E-5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5.4853183120636784E+16</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18"/>
      <c r="B123" s="11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7287.2891982852598</v>
      </c>
      <c r="C131" s="27">
        <f t="shared" ref="C131:AF131" si="40">($C$17+SUM(C132:C162))*$B$51</f>
        <v>7287.2891982852598</v>
      </c>
      <c r="D131" s="27">
        <f t="shared" si="40"/>
        <v>7287.2891982852598</v>
      </c>
      <c r="E131" s="27">
        <f t="shared" si="40"/>
        <v>7287.289198285258</v>
      </c>
      <c r="F131" s="27">
        <f t="shared" si="40"/>
        <v>7287.2891982852452</v>
      </c>
      <c r="G131" s="27">
        <f t="shared" si="40"/>
        <v>7287.2891982851133</v>
      </c>
      <c r="H131" s="27">
        <f t="shared" si="40"/>
        <v>7287.2891982837991</v>
      </c>
      <c r="I131" s="27">
        <f t="shared" si="40"/>
        <v>7287.2891982706578</v>
      </c>
      <c r="J131" s="27">
        <f t="shared" si="40"/>
        <v>7287.2891981392504</v>
      </c>
      <c r="K131" s="27">
        <f t="shared" si="40"/>
        <v>7287.2891968251706</v>
      </c>
      <c r="L131" s="27">
        <f t="shared" si="40"/>
        <v>7287.2891836843628</v>
      </c>
      <c r="M131" s="27">
        <f t="shared" si="40"/>
        <v>7287.2890522764237</v>
      </c>
      <c r="N131" s="27">
        <f t="shared" si="40"/>
        <v>7287.2877382099769</v>
      </c>
      <c r="O131" s="27">
        <f t="shared" si="40"/>
        <v>7287.2745988402521</v>
      </c>
      <c r="P131" s="27">
        <f t="shared" si="40"/>
        <v>7287.1433343954313</v>
      </c>
      <c r="Q131" s="27">
        <f t="shared" si="40"/>
        <v>7285.8433987584303</v>
      </c>
      <c r="R131" s="27">
        <f t="shared" si="40"/>
        <v>7273.9278534594596</v>
      </c>
      <c r="S131" s="27">
        <f t="shared" si="40"/>
        <v>7196.7513356571499</v>
      </c>
      <c r="T131" s="27">
        <f t="shared" si="40"/>
        <v>7043.9988075213441</v>
      </c>
      <c r="U131" s="27">
        <f t="shared" si="40"/>
        <v>6900.9630149938885</v>
      </c>
      <c r="V131" s="27">
        <f t="shared" si="40"/>
        <v>6712.3001700510622</v>
      </c>
      <c r="W131" s="27">
        <f t="shared" si="40"/>
        <v>6512.2764705834543</v>
      </c>
      <c r="X131" s="27">
        <f t="shared" si="40"/>
        <v>6264.6022064377812</v>
      </c>
      <c r="Y131" s="27">
        <f t="shared" si="40"/>
        <v>5885.1204189116506</v>
      </c>
      <c r="Z131" s="27">
        <f t="shared" si="40"/>
        <v>5107.0883613046981</v>
      </c>
      <c r="AA131" s="27">
        <f t="shared" si="40"/>
        <v>4228.7611141078669</v>
      </c>
      <c r="AB131" s="27">
        <f t="shared" si="40"/>
        <v>3525.8679730760418</v>
      </c>
      <c r="AC131" s="27">
        <f t="shared" si="40"/>
        <v>2976.0585468228865</v>
      </c>
      <c r="AD131" s="27">
        <f t="shared" si="40"/>
        <v>2536.237542828876</v>
      </c>
      <c r="AE131" s="27">
        <f t="shared" si="40"/>
        <v>2045.9353240666237</v>
      </c>
      <c r="AF131" s="27">
        <f t="shared" si="40"/>
        <v>1561.4890103626294</v>
      </c>
    </row>
    <row r="132" spans="1:33" x14ac:dyDescent="0.25">
      <c r="B132" s="3">
        <f t="shared" ref="B132:Z133" si="41">$C18*EXP(-B$129/$A18/EXP(-$B$126))</f>
        <v>0</v>
      </c>
      <c r="C132" s="3">
        <f t="shared" ref="C132:AF132" si="42">$C18*EXP(-C$129/$A18/EXP(-$B$126))</f>
        <v>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8.2357212069048751E-4</v>
      </c>
      <c r="C141" s="3">
        <f t="shared" si="59"/>
        <v>8.2357212069048707E-4</v>
      </c>
      <c r="D141" s="3">
        <f t="shared" si="59"/>
        <v>8.2357212069048252E-4</v>
      </c>
      <c r="E141" s="3">
        <f t="shared" si="59"/>
        <v>8.2357212069043644E-4</v>
      </c>
      <c r="F141" s="3">
        <f t="shared" si="59"/>
        <v>8.2357212068997544E-4</v>
      </c>
      <c r="G141" s="3">
        <f t="shared" si="59"/>
        <v>8.2357212068536628E-4</v>
      </c>
      <c r="H141" s="3">
        <f t="shared" si="59"/>
        <v>8.2357212063927435E-4</v>
      </c>
      <c r="I141" s="3">
        <f t="shared" si="59"/>
        <v>8.2357212017835496E-4</v>
      </c>
      <c r="J141" s="3">
        <f t="shared" si="59"/>
        <v>8.2357211556916086E-4</v>
      </c>
      <c r="K141" s="3">
        <f t="shared" si="59"/>
        <v>8.2357206947722178E-4</v>
      </c>
      <c r="L141" s="3">
        <f t="shared" si="59"/>
        <v>8.2357160855797229E-4</v>
      </c>
      <c r="M141" s="3">
        <f t="shared" si="59"/>
        <v>8.2356699937966525E-4</v>
      </c>
      <c r="N141" s="3">
        <f t="shared" si="59"/>
        <v>8.235209090153297E-4</v>
      </c>
      <c r="O141" s="3">
        <f t="shared" si="59"/>
        <v>8.2306014721602293E-4</v>
      </c>
      <c r="P141" s="3">
        <f t="shared" si="59"/>
        <v>8.1846668429969266E-4</v>
      </c>
      <c r="Q141" s="3">
        <f t="shared" si="59"/>
        <v>7.7391868498509128E-4</v>
      </c>
      <c r="R141" s="3">
        <f t="shared" si="59"/>
        <v>4.4222021536173415E-4</v>
      </c>
      <c r="S141" s="3">
        <f t="shared" si="59"/>
        <v>1.6408587153756977E-6</v>
      </c>
      <c r="T141" s="3">
        <f t="shared" si="59"/>
        <v>8.1170300178601007E-31</v>
      </c>
      <c r="U141" s="3">
        <f t="shared" si="59"/>
        <v>7.1228990804530626E-274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2.4665844117639606E-2</v>
      </c>
      <c r="C142" s="3">
        <f t="shared" si="61"/>
        <v>2.4665844117639602E-2</v>
      </c>
      <c r="D142" s="3">
        <f t="shared" si="61"/>
        <v>2.4665844117639592E-2</v>
      </c>
      <c r="E142" s="3">
        <f t="shared" si="61"/>
        <v>2.4665844117639467E-2</v>
      </c>
      <c r="F142" s="3">
        <f t="shared" si="61"/>
        <v>2.4665844117638221E-2</v>
      </c>
      <c r="G142" s="3">
        <f t="shared" si="61"/>
        <v>2.466584411762577E-2</v>
      </c>
      <c r="H142" s="3">
        <f t="shared" si="61"/>
        <v>2.4665844117501241E-2</v>
      </c>
      <c r="I142" s="3">
        <f t="shared" si="61"/>
        <v>2.4665844116255962E-2</v>
      </c>
      <c r="J142" s="3">
        <f t="shared" si="61"/>
        <v>2.4665844103803194E-2</v>
      </c>
      <c r="K142" s="3">
        <f t="shared" si="61"/>
        <v>2.4665843979275504E-2</v>
      </c>
      <c r="L142" s="3">
        <f t="shared" si="61"/>
        <v>2.4665842733998647E-2</v>
      </c>
      <c r="M142" s="3">
        <f t="shared" si="61"/>
        <v>2.4665830281233505E-2</v>
      </c>
      <c r="N142" s="3">
        <f t="shared" si="61"/>
        <v>2.4665705753927854E-2</v>
      </c>
      <c r="O142" s="3">
        <f t="shared" si="61"/>
        <v>2.4664460515448551E-2</v>
      </c>
      <c r="P142" s="3">
        <f t="shared" si="61"/>
        <v>2.4652011587727597E-2</v>
      </c>
      <c r="Q142" s="3">
        <f t="shared" si="61"/>
        <v>2.4527867372823416E-2</v>
      </c>
      <c r="R142" s="3">
        <f t="shared" si="61"/>
        <v>2.3320295497522611E-2</v>
      </c>
      <c r="S142" s="3">
        <f t="shared" si="61"/>
        <v>1.4075915434227992E-2</v>
      </c>
      <c r="T142" s="3">
        <f t="shared" si="61"/>
        <v>9.0344693158651965E-5</v>
      </c>
      <c r="U142" s="3">
        <f t="shared" si="61"/>
        <v>1.0719206300237074E-26</v>
      </c>
      <c r="V142" s="3">
        <f t="shared" si="61"/>
        <v>5.9260109672362471E-246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1.6291197925316764E-2</v>
      </c>
      <c r="C143" s="3">
        <f t="shared" si="63"/>
        <v>1.6291197925316764E-2</v>
      </c>
      <c r="D143" s="3">
        <f t="shared" si="63"/>
        <v>1.6291197925316764E-2</v>
      </c>
      <c r="E143" s="3">
        <f t="shared" si="63"/>
        <v>1.6291197925316754E-2</v>
      </c>
      <c r="F143" s="3">
        <f t="shared" si="63"/>
        <v>1.6291197925316681E-2</v>
      </c>
      <c r="G143" s="3">
        <f t="shared" si="63"/>
        <v>1.6291197925315939E-2</v>
      </c>
      <c r="H143" s="3">
        <f t="shared" si="63"/>
        <v>1.6291197925308521E-2</v>
      </c>
      <c r="I143" s="3">
        <f t="shared" si="63"/>
        <v>1.6291197925234327E-2</v>
      </c>
      <c r="J143" s="3">
        <f t="shared" si="63"/>
        <v>1.6291197924492386E-2</v>
      </c>
      <c r="K143" s="3">
        <f t="shared" si="63"/>
        <v>1.629119791707297E-2</v>
      </c>
      <c r="L143" s="3">
        <f t="shared" si="63"/>
        <v>1.629119784287884E-2</v>
      </c>
      <c r="M143" s="3">
        <f t="shared" si="63"/>
        <v>1.629119710093754E-2</v>
      </c>
      <c r="N143" s="3">
        <f t="shared" si="63"/>
        <v>1.6291189681526378E-2</v>
      </c>
      <c r="O143" s="3">
        <f t="shared" si="63"/>
        <v>1.6291115487600611E-2</v>
      </c>
      <c r="P143" s="3">
        <f t="shared" si="63"/>
        <v>1.6290373566927023E-2</v>
      </c>
      <c r="Q143" s="3">
        <f t="shared" si="63"/>
        <v>1.628295621828427E-2</v>
      </c>
      <c r="R143" s="3">
        <f t="shared" si="63"/>
        <v>1.6208968228449475E-2</v>
      </c>
      <c r="S143" s="3">
        <f t="shared" si="63"/>
        <v>1.5487329185646125E-2</v>
      </c>
      <c r="T143" s="3">
        <f t="shared" si="63"/>
        <v>9.8217327783471052E-3</v>
      </c>
      <c r="U143" s="3">
        <f t="shared" si="63"/>
        <v>1.0334844816398649E-4</v>
      </c>
      <c r="V143" s="3">
        <f t="shared" si="63"/>
        <v>1.7197385154381014E-24</v>
      </c>
      <c r="W143" s="3">
        <f t="shared" si="63"/>
        <v>2.7992842350551095E-222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2.6847553865855696E-2</v>
      </c>
      <c r="C144" s="3">
        <f t="shared" si="65"/>
        <v>2.6847553865855696E-2</v>
      </c>
      <c r="D144" s="3">
        <f t="shared" si="65"/>
        <v>2.6847553865855696E-2</v>
      </c>
      <c r="E144" s="3">
        <f t="shared" si="65"/>
        <v>2.6847553865855696E-2</v>
      </c>
      <c r="F144" s="3">
        <f t="shared" si="65"/>
        <v>2.6847553865855685E-2</v>
      </c>
      <c r="G144" s="3">
        <f t="shared" si="65"/>
        <v>2.6847553865855574E-2</v>
      </c>
      <c r="H144" s="3">
        <f t="shared" si="65"/>
        <v>2.6847553865854471E-2</v>
      </c>
      <c r="I144" s="3">
        <f t="shared" si="65"/>
        <v>2.6847553865843438E-2</v>
      </c>
      <c r="J144" s="3">
        <f t="shared" si="65"/>
        <v>2.6847553865733141E-2</v>
      </c>
      <c r="K144" s="3">
        <f t="shared" si="65"/>
        <v>2.6847553864630162E-2</v>
      </c>
      <c r="L144" s="3">
        <f t="shared" si="65"/>
        <v>2.6847553853600357E-2</v>
      </c>
      <c r="M144" s="3">
        <f t="shared" si="65"/>
        <v>2.6847553743302301E-2</v>
      </c>
      <c r="N144" s="3">
        <f t="shared" si="65"/>
        <v>2.6847552640321782E-2</v>
      </c>
      <c r="O144" s="3">
        <f t="shared" si="65"/>
        <v>2.6847541610519075E-2</v>
      </c>
      <c r="P144" s="3">
        <f t="shared" si="65"/>
        <v>2.6847431312741244E-2</v>
      </c>
      <c r="Q144" s="3">
        <f t="shared" si="65"/>
        <v>2.684632835988511E-2</v>
      </c>
      <c r="R144" s="3">
        <f t="shared" si="65"/>
        <v>2.6835301323164782E-2</v>
      </c>
      <c r="S144" s="3">
        <f t="shared" si="65"/>
        <v>2.6725279761697439E-2</v>
      </c>
      <c r="T144" s="3">
        <f t="shared" si="65"/>
        <v>2.5649570637533446E-2</v>
      </c>
      <c r="U144" s="3">
        <f t="shared" si="65"/>
        <v>1.7008205498416293E-2</v>
      </c>
      <c r="V144" s="3">
        <f t="shared" si="65"/>
        <v>2.7953902321758311E-4</v>
      </c>
      <c r="W144" s="3">
        <f t="shared" si="65"/>
        <v>4.020517264324415E-22</v>
      </c>
      <c r="X144" s="3">
        <f t="shared" si="65"/>
        <v>1.522919023852984E-200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2.5906186741603665E-2</v>
      </c>
      <c r="C145" s="3">
        <f t="shared" si="68"/>
        <v>2.5906186741603665E-2</v>
      </c>
      <c r="D145" s="3">
        <f t="shared" si="68"/>
        <v>2.5906186741603665E-2</v>
      </c>
      <c r="E145" s="3">
        <f t="shared" si="68"/>
        <v>2.5906186741603665E-2</v>
      </c>
      <c r="F145" s="3">
        <f t="shared" si="68"/>
        <v>2.5906186741603665E-2</v>
      </c>
      <c r="G145" s="3">
        <f t="shared" si="68"/>
        <v>2.5906186741603655E-2</v>
      </c>
      <c r="H145" s="3">
        <f t="shared" si="68"/>
        <v>2.5906186741603558E-2</v>
      </c>
      <c r="I145" s="3">
        <f t="shared" si="68"/>
        <v>2.5906186741602596E-2</v>
      </c>
      <c r="J145" s="3">
        <f t="shared" si="68"/>
        <v>2.5906186741592997E-2</v>
      </c>
      <c r="K145" s="3">
        <f t="shared" si="68"/>
        <v>2.5906186741496987E-2</v>
      </c>
      <c r="L145" s="3">
        <f t="shared" si="68"/>
        <v>2.5906186740536897E-2</v>
      </c>
      <c r="M145" s="3">
        <f t="shared" si="68"/>
        <v>2.5906186730935969E-2</v>
      </c>
      <c r="N145" s="3">
        <f t="shared" si="68"/>
        <v>2.5906186634926685E-2</v>
      </c>
      <c r="O145" s="3">
        <f t="shared" si="68"/>
        <v>2.5906185674833906E-2</v>
      </c>
      <c r="P145" s="3">
        <f t="shared" si="68"/>
        <v>2.5906176073908067E-2</v>
      </c>
      <c r="Q145" s="3">
        <f t="shared" si="68"/>
        <v>2.590608006484537E-2</v>
      </c>
      <c r="R145" s="3">
        <f t="shared" si="68"/>
        <v>2.5905119993787848E-2</v>
      </c>
      <c r="S145" s="3">
        <f t="shared" si="68"/>
        <v>2.5895521239891049E-2</v>
      </c>
      <c r="T145" s="3">
        <f t="shared" si="68"/>
        <v>2.5799729100725612E-2</v>
      </c>
      <c r="U145" s="3">
        <f t="shared" si="68"/>
        <v>2.4861082385919352E-2</v>
      </c>
      <c r="V145" s="3">
        <f t="shared" si="68"/>
        <v>1.7162039677121349E-2</v>
      </c>
      <c r="W145" s="3">
        <f t="shared" si="68"/>
        <v>4.2175242757271249E-4</v>
      </c>
      <c r="X145" s="3">
        <f t="shared" si="68"/>
        <v>3.3880084472680815E-20</v>
      </c>
      <c r="Y145" s="3">
        <f t="shared" si="68"/>
        <v>3.7915205915056815E-181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3.2694648537282267E-2</v>
      </c>
      <c r="C146" s="3">
        <f t="shared" si="70"/>
        <v>3.2694648537282267E-2</v>
      </c>
      <c r="D146" s="3">
        <f t="shared" si="70"/>
        <v>3.2694648537282267E-2</v>
      </c>
      <c r="E146" s="3">
        <f t="shared" si="70"/>
        <v>3.2694648537282267E-2</v>
      </c>
      <c r="F146" s="3">
        <f t="shared" si="70"/>
        <v>3.2694648537282267E-2</v>
      </c>
      <c r="G146" s="3">
        <f t="shared" si="70"/>
        <v>3.2694648537282267E-2</v>
      </c>
      <c r="H146" s="3">
        <f t="shared" si="70"/>
        <v>3.2694648537282253E-2</v>
      </c>
      <c r="I146" s="3">
        <f t="shared" si="70"/>
        <v>3.2694648537282149E-2</v>
      </c>
      <c r="J146" s="3">
        <f t="shared" si="70"/>
        <v>3.2694648537281053E-2</v>
      </c>
      <c r="K146" s="3">
        <f t="shared" si="70"/>
        <v>3.2694648537270124E-2</v>
      </c>
      <c r="L146" s="3">
        <f t="shared" si="70"/>
        <v>3.2694648537160823E-2</v>
      </c>
      <c r="M146" s="3">
        <f t="shared" si="70"/>
        <v>3.2694648536067787E-2</v>
      </c>
      <c r="N146" s="3">
        <f t="shared" si="70"/>
        <v>3.2694648525137461E-2</v>
      </c>
      <c r="O146" s="3">
        <f t="shared" si="70"/>
        <v>3.2694648415834235E-2</v>
      </c>
      <c r="P146" s="3">
        <f t="shared" si="70"/>
        <v>3.269464732280198E-2</v>
      </c>
      <c r="Q146" s="3">
        <f t="shared" si="70"/>
        <v>3.2694636392481477E-2</v>
      </c>
      <c r="R146" s="3">
        <f t="shared" si="70"/>
        <v>3.2694527089477343E-2</v>
      </c>
      <c r="S146" s="3">
        <f t="shared" si="70"/>
        <v>3.2693434079533706E-2</v>
      </c>
      <c r="T146" s="3">
        <f t="shared" si="70"/>
        <v>3.2682505989617174E-2</v>
      </c>
      <c r="U146" s="3">
        <f t="shared" si="70"/>
        <v>3.2573425794087611E-2</v>
      </c>
      <c r="V146" s="3">
        <f t="shared" si="70"/>
        <v>3.1502448143090202E-2</v>
      </c>
      <c r="W146" s="3">
        <f t="shared" si="70"/>
        <v>2.2550334858766289E-2</v>
      </c>
      <c r="X146" s="3">
        <f t="shared" si="70"/>
        <v>7.9659925262867486E-4</v>
      </c>
      <c r="Y146" s="3">
        <f t="shared" si="70"/>
        <v>2.4105097257455619E-18</v>
      </c>
      <c r="Z146" s="3">
        <f t="shared" si="70"/>
        <v>1.5516680676757989E-163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3.3282078428276948E-2</v>
      </c>
      <c r="C147" s="3">
        <f t="shared" si="72"/>
        <v>3.3282078428276948E-2</v>
      </c>
      <c r="D147" s="3">
        <f t="shared" si="72"/>
        <v>3.3282078428276948E-2</v>
      </c>
      <c r="E147" s="3">
        <f t="shared" si="72"/>
        <v>3.3282078428276948E-2</v>
      </c>
      <c r="F147" s="3">
        <f t="shared" si="72"/>
        <v>3.3282078428276948E-2</v>
      </c>
      <c r="G147" s="3">
        <f t="shared" si="72"/>
        <v>3.3282078428276948E-2</v>
      </c>
      <c r="H147" s="3">
        <f t="shared" si="72"/>
        <v>3.3282078428276948E-2</v>
      </c>
      <c r="I147" s="3">
        <f t="shared" si="72"/>
        <v>3.3282078428276934E-2</v>
      </c>
      <c r="J147" s="3">
        <f t="shared" si="72"/>
        <v>3.3282078428276837E-2</v>
      </c>
      <c r="K147" s="3">
        <f t="shared" si="72"/>
        <v>3.3282078428275831E-2</v>
      </c>
      <c r="L147" s="3">
        <f t="shared" si="72"/>
        <v>3.3282078428265797E-2</v>
      </c>
      <c r="M147" s="3">
        <f t="shared" si="72"/>
        <v>3.3282078428165426E-2</v>
      </c>
      <c r="N147" s="3">
        <f t="shared" si="72"/>
        <v>3.3282078427161702E-2</v>
      </c>
      <c r="O147" s="3">
        <f t="shared" si="72"/>
        <v>3.3282078417124487E-2</v>
      </c>
      <c r="P147" s="3">
        <f t="shared" si="72"/>
        <v>3.3282078316752312E-2</v>
      </c>
      <c r="Q147" s="3">
        <f t="shared" si="72"/>
        <v>3.328207731303056E-2</v>
      </c>
      <c r="R147" s="3">
        <f t="shared" si="72"/>
        <v>3.3282067275814717E-2</v>
      </c>
      <c r="S147" s="3">
        <f t="shared" si="72"/>
        <v>3.3281966903822839E-2</v>
      </c>
      <c r="T147" s="3">
        <f t="shared" si="72"/>
        <v>3.3280963200552453E-2</v>
      </c>
      <c r="U147" s="3">
        <f t="shared" si="72"/>
        <v>3.3270927832506923E-2</v>
      </c>
      <c r="V147" s="3">
        <f t="shared" si="72"/>
        <v>3.3170740432277836E-2</v>
      </c>
      <c r="W147" s="3">
        <f t="shared" si="72"/>
        <v>3.2185310396568537E-2</v>
      </c>
      <c r="X147" s="3">
        <f t="shared" si="72"/>
        <v>2.3805815390663294E-2</v>
      </c>
      <c r="Y147" s="3">
        <f t="shared" si="72"/>
        <v>1.166639447425364E-3</v>
      </c>
      <c r="Z147" s="3">
        <f t="shared" si="72"/>
        <v>9.3212168986982426E-17</v>
      </c>
      <c r="AA147" s="3">
        <f t="shared" ref="AA147" si="73">$C33*EXP(-AA$129/$A33/EXP(-$B$126))</f>
        <v>9.8817117522521459E-148</v>
      </c>
      <c r="AB147" s="3">
        <f t="shared" si="67"/>
        <v>0</v>
      </c>
      <c r="AC147" s="3">
        <f t="shared" si="67"/>
        <v>0</v>
      </c>
      <c r="AD147" s="3">
        <f t="shared" si="67"/>
        <v>0</v>
      </c>
      <c r="AE147" s="3">
        <f t="shared" si="67"/>
        <v>0</v>
      </c>
      <c r="AF147" s="3">
        <f t="shared" si="67"/>
        <v>0</v>
      </c>
    </row>
    <row r="148" spans="1:32" x14ac:dyDescent="0.25">
      <c r="B148" s="3">
        <f t="shared" ref="B148:Z148" si="74">$C34*EXP(-B$129/$A34/EXP(-$B$126))</f>
        <v>0.1075539898267141</v>
      </c>
      <c r="C148" s="3">
        <f t="shared" si="74"/>
        <v>0.1075539898267141</v>
      </c>
      <c r="D148" s="3">
        <f t="shared" si="74"/>
        <v>0.1075539898267141</v>
      </c>
      <c r="E148" s="3">
        <f t="shared" si="74"/>
        <v>0.1075539898267141</v>
      </c>
      <c r="F148" s="3">
        <f t="shared" si="74"/>
        <v>0.1075539898267141</v>
      </c>
      <c r="G148" s="3">
        <f t="shared" si="74"/>
        <v>0.1075539898267141</v>
      </c>
      <c r="H148" s="3">
        <f t="shared" si="74"/>
        <v>0.1075539898267141</v>
      </c>
      <c r="I148" s="3">
        <f t="shared" si="74"/>
        <v>0.1075539898267141</v>
      </c>
      <c r="J148" s="3">
        <f t="shared" si="74"/>
        <v>0.10755398982671406</v>
      </c>
      <c r="K148" s="3">
        <f t="shared" si="74"/>
        <v>0.10755398982671378</v>
      </c>
      <c r="L148" s="3">
        <f t="shared" si="74"/>
        <v>0.10755398982671086</v>
      </c>
      <c r="M148" s="3">
        <f t="shared" si="74"/>
        <v>0.10755398982668159</v>
      </c>
      <c r="N148" s="3">
        <f t="shared" si="74"/>
        <v>0.10755398982638899</v>
      </c>
      <c r="O148" s="3">
        <f t="shared" si="74"/>
        <v>0.10755398982346298</v>
      </c>
      <c r="P148" s="3">
        <f t="shared" si="74"/>
        <v>0.10755398979420286</v>
      </c>
      <c r="Q148" s="3">
        <f t="shared" si="74"/>
        <v>0.10755398950160172</v>
      </c>
      <c r="R148" s="3">
        <f t="shared" si="74"/>
        <v>0.10755398657559033</v>
      </c>
      <c r="S148" s="3">
        <f t="shared" si="74"/>
        <v>0.10755395731548077</v>
      </c>
      <c r="T148" s="3">
        <f t="shared" si="74"/>
        <v>0.10755366471482301</v>
      </c>
      <c r="U148" s="3">
        <f t="shared" si="74"/>
        <v>0.10755073875202623</v>
      </c>
      <c r="V148" s="3">
        <f t="shared" si="74"/>
        <v>0.10752148350169409</v>
      </c>
      <c r="W148" s="3">
        <f t="shared" si="74"/>
        <v>0.10722936832163132</v>
      </c>
      <c r="X148" s="3">
        <f t="shared" si="74"/>
        <v>0.10435151182803472</v>
      </c>
      <c r="Y148" s="3">
        <f t="shared" si="74"/>
        <v>7.9496630947300764E-2</v>
      </c>
      <c r="Z148" s="3">
        <f t="shared" si="74"/>
        <v>5.2341782278428799E-3</v>
      </c>
      <c r="AA148" s="3">
        <f>$C34*EXP(-AA$129/$A34/EXP(-$B$126))</f>
        <v>8.0139445948586087E-15</v>
      </c>
      <c r="AB148" s="3">
        <f t="shared" si="67"/>
        <v>5.673154682770911E-133</v>
      </c>
      <c r="AC148" s="3">
        <f t="shared" si="67"/>
        <v>0</v>
      </c>
      <c r="AD148" s="3">
        <f t="shared" si="67"/>
        <v>0</v>
      </c>
      <c r="AE148" s="3">
        <f t="shared" si="67"/>
        <v>0</v>
      </c>
      <c r="AF148" s="3">
        <f t="shared" si="67"/>
        <v>0</v>
      </c>
    </row>
    <row r="149" spans="1:32" x14ac:dyDescent="0.25">
      <c r="B149" s="3">
        <f t="shared" ref="B149:Z149" si="75">$C35*EXP(-B$129/$A35/EXP(-$B$126))</f>
        <v>0.13355176295714186</v>
      </c>
      <c r="C149" s="3">
        <f t="shared" si="75"/>
        <v>0.13355176295714186</v>
      </c>
      <c r="D149" s="3">
        <f t="shared" si="75"/>
        <v>0.13355176295714186</v>
      </c>
      <c r="E149" s="3">
        <f t="shared" si="75"/>
        <v>0.13355176295714186</v>
      </c>
      <c r="F149" s="3">
        <f t="shared" si="75"/>
        <v>0.13355176295714186</v>
      </c>
      <c r="G149" s="3">
        <f t="shared" si="75"/>
        <v>0.13355176295714186</v>
      </c>
      <c r="H149" s="3">
        <f t="shared" si="75"/>
        <v>0.13355176295714186</v>
      </c>
      <c r="I149" s="3">
        <f t="shared" si="75"/>
        <v>0.13355176295714186</v>
      </c>
      <c r="J149" s="3">
        <f t="shared" si="75"/>
        <v>0.13355176295714186</v>
      </c>
      <c r="K149" s="3">
        <f t="shared" si="75"/>
        <v>0.13355176295714183</v>
      </c>
      <c r="L149" s="3">
        <f t="shared" si="75"/>
        <v>0.1335517629571415</v>
      </c>
      <c r="M149" s="3">
        <f t="shared" si="75"/>
        <v>0.13355176295713822</v>
      </c>
      <c r="N149" s="3">
        <f t="shared" si="75"/>
        <v>0.13355176295710544</v>
      </c>
      <c r="O149" s="3">
        <f t="shared" si="75"/>
        <v>0.13355176295677768</v>
      </c>
      <c r="P149" s="3">
        <f t="shared" si="75"/>
        <v>0.13355176295350016</v>
      </c>
      <c r="Q149" s="3">
        <f t="shared" si="75"/>
        <v>0.13355176292072493</v>
      </c>
      <c r="R149" s="3">
        <f t="shared" si="75"/>
        <v>0.13355176259297266</v>
      </c>
      <c r="S149" s="3">
        <f t="shared" si="75"/>
        <v>0.13355175931544999</v>
      </c>
      <c r="T149" s="3">
        <f t="shared" si="75"/>
        <v>0.13355172654022773</v>
      </c>
      <c r="U149" s="3">
        <f t="shared" si="75"/>
        <v>0.13355139878844743</v>
      </c>
      <c r="V149" s="3">
        <f t="shared" si="75"/>
        <v>0.13354812131488289</v>
      </c>
      <c r="W149" s="3">
        <f t="shared" si="75"/>
        <v>0.13351535100268302</v>
      </c>
      <c r="X149" s="3">
        <f t="shared" si="75"/>
        <v>0.13318808982382646</v>
      </c>
      <c r="Y149" s="3">
        <f t="shared" si="75"/>
        <v>0.12995927367473831</v>
      </c>
      <c r="Z149" s="3">
        <f t="shared" si="75"/>
        <v>0.1016777967031967</v>
      </c>
      <c r="AA149" s="3">
        <f t="shared" ref="AA149" si="76">$C35*EXP(-AA$129/$A35/EXP(-$B$126))</f>
        <v>8.7380522959409346E-3</v>
      </c>
      <c r="AB149" s="3">
        <f t="shared" si="67"/>
        <v>1.9199935413539505E-13</v>
      </c>
      <c r="AC149" s="3">
        <f t="shared" si="67"/>
        <v>5.0367575948088241E-120</v>
      </c>
      <c r="AD149" s="3">
        <f t="shared" si="67"/>
        <v>0</v>
      </c>
      <c r="AE149" s="3">
        <f t="shared" si="67"/>
        <v>0</v>
      </c>
      <c r="AF149" s="3">
        <f t="shared" si="67"/>
        <v>0</v>
      </c>
    </row>
    <row r="150" spans="1:32" x14ac:dyDescent="0.25">
      <c r="B150" s="3">
        <f t="shared" ref="B150:Z150" si="77">$C36*EXP(-B$129/$A36/EXP(-$B$126))</f>
        <v>0.10276653551975504</v>
      </c>
      <c r="C150" s="3">
        <f t="shared" si="77"/>
        <v>0.10276653551975504</v>
      </c>
      <c r="D150" s="3">
        <f t="shared" si="77"/>
        <v>0.10276653551975504</v>
      </c>
      <c r="E150" s="3">
        <f t="shared" si="77"/>
        <v>0.10276653551975504</v>
      </c>
      <c r="F150" s="3">
        <f t="shared" si="77"/>
        <v>0.10276653551975504</v>
      </c>
      <c r="G150" s="3">
        <f t="shared" si="77"/>
        <v>0.10276653551975504</v>
      </c>
      <c r="H150" s="3">
        <f t="shared" si="77"/>
        <v>0.10276653551975504</v>
      </c>
      <c r="I150" s="3">
        <f t="shared" si="77"/>
        <v>0.10276653551975504</v>
      </c>
      <c r="J150" s="3">
        <f t="shared" si="77"/>
        <v>0.10276653551975504</v>
      </c>
      <c r="K150" s="3">
        <f t="shared" si="77"/>
        <v>0.10276653551975504</v>
      </c>
      <c r="L150" s="3">
        <f t="shared" si="77"/>
        <v>0.10276653551975501</v>
      </c>
      <c r="M150" s="3">
        <f t="shared" si="77"/>
        <v>0.10276653551975479</v>
      </c>
      <c r="N150" s="3">
        <f t="shared" si="77"/>
        <v>0.1027665355197525</v>
      </c>
      <c r="O150" s="3">
        <f t="shared" si="77"/>
        <v>0.10276653551972975</v>
      </c>
      <c r="P150" s="3">
        <f t="shared" si="77"/>
        <v>0.10276653551950225</v>
      </c>
      <c r="Q150" s="3">
        <f t="shared" si="77"/>
        <v>0.10276653551722718</v>
      </c>
      <c r="R150" s="3">
        <f t="shared" si="77"/>
        <v>0.10276653549447649</v>
      </c>
      <c r="S150" s="3">
        <f t="shared" si="77"/>
        <v>0.10276653526696969</v>
      </c>
      <c r="T150" s="3">
        <f t="shared" si="77"/>
        <v>0.10276653299190168</v>
      </c>
      <c r="U150" s="3">
        <f t="shared" si="77"/>
        <v>0.10276651024122423</v>
      </c>
      <c r="V150" s="3">
        <f t="shared" si="77"/>
        <v>0.10276628273472667</v>
      </c>
      <c r="W150" s="3">
        <f t="shared" si="77"/>
        <v>0.1027640076974522</v>
      </c>
      <c r="X150" s="3">
        <f t="shared" si="77"/>
        <v>0.10274126009458293</v>
      </c>
      <c r="Y150" s="3">
        <f t="shared" si="77"/>
        <v>0.10251406082667947</v>
      </c>
      <c r="Z150" s="3">
        <f t="shared" si="77"/>
        <v>0.10026951886409285</v>
      </c>
      <c r="AA150" s="3">
        <f t="shared" ref="AA150" si="78">$C36*EXP(-AA$129/$A36/EXP(-$B$126))</f>
        <v>8.0357028399340322E-2</v>
      </c>
      <c r="AB150" s="3">
        <f t="shared" si="67"/>
        <v>8.7815916806932431E-3</v>
      </c>
      <c r="AC150" s="3">
        <f t="shared" si="67"/>
        <v>2.1333737924629152E-12</v>
      </c>
      <c r="AD150" s="3">
        <f t="shared" si="67"/>
        <v>1.5275805313772324E-108</v>
      </c>
      <c r="AE150" s="3">
        <f t="shared" si="67"/>
        <v>0</v>
      </c>
      <c r="AF150" s="3">
        <f t="shared" si="67"/>
        <v>0</v>
      </c>
    </row>
    <row r="151" spans="1:32" x14ac:dyDescent="0.25">
      <c r="B151" s="3">
        <f t="shared" ref="B151:Z151" si="79">$C37*EXP(-B$129/$A37/EXP(-$B$126))</f>
        <v>8.2308697100650766E-2</v>
      </c>
      <c r="C151" s="3">
        <f t="shared" si="79"/>
        <v>8.2308697100650766E-2</v>
      </c>
      <c r="D151" s="3">
        <f t="shared" si="79"/>
        <v>8.2308697100650766E-2</v>
      </c>
      <c r="E151" s="3">
        <f t="shared" si="79"/>
        <v>8.2308697100650766E-2</v>
      </c>
      <c r="F151" s="3">
        <f t="shared" si="79"/>
        <v>8.2308697100650766E-2</v>
      </c>
      <c r="G151" s="3">
        <f t="shared" si="79"/>
        <v>8.2308697100650766E-2</v>
      </c>
      <c r="H151" s="3">
        <f t="shared" si="79"/>
        <v>8.2308697100650766E-2</v>
      </c>
      <c r="I151" s="3">
        <f t="shared" si="79"/>
        <v>8.2308697100650766E-2</v>
      </c>
      <c r="J151" s="3">
        <f t="shared" si="79"/>
        <v>8.2308697100650766E-2</v>
      </c>
      <c r="K151" s="3">
        <f t="shared" si="79"/>
        <v>8.2308697100650766E-2</v>
      </c>
      <c r="L151" s="3">
        <f t="shared" si="79"/>
        <v>8.2308697100650766E-2</v>
      </c>
      <c r="M151" s="3">
        <f t="shared" si="79"/>
        <v>8.2308697100650752E-2</v>
      </c>
      <c r="N151" s="3">
        <f t="shared" si="79"/>
        <v>8.2308697100650585E-2</v>
      </c>
      <c r="O151" s="3">
        <f t="shared" si="79"/>
        <v>8.2308697100648934E-2</v>
      </c>
      <c r="P151" s="3">
        <f t="shared" si="79"/>
        <v>8.2308697100632502E-2</v>
      </c>
      <c r="Q151" s="3">
        <f t="shared" si="79"/>
        <v>8.2308697100468134E-2</v>
      </c>
      <c r="R151" s="3">
        <f t="shared" si="79"/>
        <v>8.2308697098824379E-2</v>
      </c>
      <c r="S151" s="3">
        <f t="shared" si="79"/>
        <v>8.2308697082386903E-2</v>
      </c>
      <c r="T151" s="3">
        <f t="shared" si="79"/>
        <v>8.2308696918012195E-2</v>
      </c>
      <c r="U151" s="3">
        <f t="shared" si="79"/>
        <v>8.230869527426514E-2</v>
      </c>
      <c r="V151" s="3">
        <f t="shared" si="79"/>
        <v>8.2308678836796351E-2</v>
      </c>
      <c r="W151" s="3">
        <f t="shared" si="79"/>
        <v>8.2308514462288943E-2</v>
      </c>
      <c r="X151" s="3">
        <f t="shared" si="79"/>
        <v>8.2306870735269322E-2</v>
      </c>
      <c r="Y151" s="3">
        <f t="shared" si="79"/>
        <v>8.2290435270381046E-2</v>
      </c>
      <c r="Z151" s="3">
        <f t="shared" si="79"/>
        <v>8.2126261018969179E-2</v>
      </c>
      <c r="AA151" s="3">
        <f t="shared" ref="AA151" si="80">$C37*EXP(-AA$129/$A37/EXP(-$B$126))</f>
        <v>8.0502425663668456E-2</v>
      </c>
      <c r="AB151" s="3">
        <f t="shared" si="67"/>
        <v>6.5929247881191991E-2</v>
      </c>
      <c r="AC151" s="3">
        <f t="shared" si="67"/>
        <v>8.9489002984034175E-3</v>
      </c>
      <c r="AD151" s="3">
        <f t="shared" si="67"/>
        <v>1.8997005629318356E-11</v>
      </c>
      <c r="AE151" s="3">
        <f t="shared" si="67"/>
        <v>3.5305305203451821E-98</v>
      </c>
      <c r="AF151" s="3">
        <f t="shared" si="67"/>
        <v>0</v>
      </c>
    </row>
    <row r="152" spans="1:32" x14ac:dyDescent="0.25">
      <c r="B152" s="3">
        <f t="shared" ref="B152:Z152" si="81">$C38*EXP(-B$129/$A38/EXP(-$B$126))</f>
        <v>3.7013792035783422E-2</v>
      </c>
      <c r="C152" s="3">
        <f t="shared" si="81"/>
        <v>3.7013792035783422E-2</v>
      </c>
      <c r="D152" s="3">
        <f t="shared" si="81"/>
        <v>3.7013792035783422E-2</v>
      </c>
      <c r="E152" s="3">
        <f t="shared" si="81"/>
        <v>3.7013792035783422E-2</v>
      </c>
      <c r="F152" s="3">
        <f t="shared" si="81"/>
        <v>3.7013792035783422E-2</v>
      </c>
      <c r="G152" s="3">
        <f t="shared" si="81"/>
        <v>3.7013792035783422E-2</v>
      </c>
      <c r="H152" s="3">
        <f t="shared" si="81"/>
        <v>3.7013792035783422E-2</v>
      </c>
      <c r="I152" s="3">
        <f t="shared" si="81"/>
        <v>3.7013792035783422E-2</v>
      </c>
      <c r="J152" s="3">
        <f t="shared" si="81"/>
        <v>3.7013792035783422E-2</v>
      </c>
      <c r="K152" s="3">
        <f t="shared" si="81"/>
        <v>3.7013792035783422E-2</v>
      </c>
      <c r="L152" s="3">
        <f t="shared" si="81"/>
        <v>3.7013792035783422E-2</v>
      </c>
      <c r="M152" s="3">
        <f t="shared" si="81"/>
        <v>3.7013792035783422E-2</v>
      </c>
      <c r="N152" s="3">
        <f t="shared" si="81"/>
        <v>3.7013792035783415E-2</v>
      </c>
      <c r="O152" s="3">
        <f t="shared" si="81"/>
        <v>3.7013792035783345E-2</v>
      </c>
      <c r="P152" s="3">
        <f t="shared" si="81"/>
        <v>3.7013792035782679E-2</v>
      </c>
      <c r="Q152" s="3">
        <f t="shared" si="81"/>
        <v>3.7013792035776011E-2</v>
      </c>
      <c r="R152" s="3">
        <f t="shared" si="81"/>
        <v>3.7013792035709335E-2</v>
      </c>
      <c r="S152" s="3">
        <f t="shared" si="81"/>
        <v>3.7013792035042528E-2</v>
      </c>
      <c r="T152" s="3">
        <f t="shared" si="81"/>
        <v>3.7013792028374466E-2</v>
      </c>
      <c r="U152" s="3">
        <f t="shared" si="81"/>
        <v>3.7013791961693875E-2</v>
      </c>
      <c r="V152" s="3">
        <f t="shared" si="81"/>
        <v>3.7013791294887979E-2</v>
      </c>
      <c r="W152" s="3">
        <f t="shared" si="81"/>
        <v>3.7013784626829638E-2</v>
      </c>
      <c r="X152" s="3">
        <f t="shared" si="81"/>
        <v>3.7013717946312308E-2</v>
      </c>
      <c r="Y152" s="3">
        <f t="shared" si="81"/>
        <v>3.7013051147745842E-2</v>
      </c>
      <c r="Z152" s="3">
        <f t="shared" si="81"/>
        <v>3.7006383822722651E-2</v>
      </c>
      <c r="AA152" s="3">
        <f t="shared" ref="AA152" si="82">$C38*EXP(-AA$129/$A38/EXP(-$B$126))</f>
        <v>3.6939776592621931E-2</v>
      </c>
      <c r="AB152" s="3">
        <f t="shared" si="67"/>
        <v>3.6280262509777103E-2</v>
      </c>
      <c r="AC152" s="3">
        <f t="shared" si="67"/>
        <v>3.0299257298543578E-2</v>
      </c>
      <c r="AD152" s="3">
        <f t="shared" si="67"/>
        <v>5.0008935074359094E-3</v>
      </c>
      <c r="AE152" s="3">
        <f t="shared" si="67"/>
        <v>7.5024626149849362E-11</v>
      </c>
      <c r="AF152" s="3">
        <f t="shared" si="67"/>
        <v>4.3327753836595938E-89</v>
      </c>
    </row>
    <row r="153" spans="1:32" x14ac:dyDescent="0.25">
      <c r="B153" s="3">
        <f t="shared" ref="B153:Z153" si="83">$C39*EXP(-B$129/$A39/EXP(-$B$126))</f>
        <v>5.9919400803358086E-2</v>
      </c>
      <c r="C153" s="3">
        <f t="shared" si="83"/>
        <v>5.9919400803358086E-2</v>
      </c>
      <c r="D153" s="3">
        <f t="shared" si="83"/>
        <v>5.9919400803358086E-2</v>
      </c>
      <c r="E153" s="3">
        <f t="shared" si="83"/>
        <v>5.9919400803358086E-2</v>
      </c>
      <c r="F153" s="3">
        <f t="shared" si="83"/>
        <v>5.9919400803358086E-2</v>
      </c>
      <c r="G153" s="3">
        <f t="shared" si="83"/>
        <v>5.9919400803358086E-2</v>
      </c>
      <c r="H153" s="3">
        <f t="shared" si="83"/>
        <v>5.9919400803358086E-2</v>
      </c>
      <c r="I153" s="3">
        <f t="shared" si="83"/>
        <v>5.9919400803358086E-2</v>
      </c>
      <c r="J153" s="3">
        <f t="shared" si="83"/>
        <v>5.9919400803358086E-2</v>
      </c>
      <c r="K153" s="3">
        <f t="shared" si="83"/>
        <v>5.9919400803358086E-2</v>
      </c>
      <c r="L153" s="3">
        <f t="shared" si="83"/>
        <v>5.9919400803358086E-2</v>
      </c>
      <c r="M153" s="3">
        <f t="shared" si="83"/>
        <v>5.9919400803358086E-2</v>
      </c>
      <c r="N153" s="3">
        <f t="shared" si="83"/>
        <v>5.9919400803358086E-2</v>
      </c>
      <c r="O153" s="3">
        <f t="shared" si="83"/>
        <v>5.9919400803358051E-2</v>
      </c>
      <c r="P153" s="3">
        <f t="shared" si="83"/>
        <v>5.9919400803357753E-2</v>
      </c>
      <c r="Q153" s="3">
        <f t="shared" si="83"/>
        <v>5.9919400803354769E-2</v>
      </c>
      <c r="R153" s="3">
        <f t="shared" si="83"/>
        <v>5.9919400803324911E-2</v>
      </c>
      <c r="S153" s="3">
        <f t="shared" si="83"/>
        <v>5.9919400803026365E-2</v>
      </c>
      <c r="T153" s="3">
        <f t="shared" si="83"/>
        <v>5.9919400800040871E-2</v>
      </c>
      <c r="U153" s="3">
        <f t="shared" si="83"/>
        <v>5.9919400770185934E-2</v>
      </c>
      <c r="V153" s="3">
        <f t="shared" si="83"/>
        <v>5.9919400471636547E-2</v>
      </c>
      <c r="W153" s="3">
        <f t="shared" si="83"/>
        <v>5.9919397486142785E-2</v>
      </c>
      <c r="X153" s="3">
        <f t="shared" si="83"/>
        <v>5.9919367631213319E-2</v>
      </c>
      <c r="Y153" s="3">
        <f t="shared" si="83"/>
        <v>5.9919069082736802E-2</v>
      </c>
      <c r="Z153" s="3">
        <f t="shared" si="83"/>
        <v>5.9916083679783939E-2</v>
      </c>
      <c r="AA153" s="3">
        <f t="shared" ref="AA153" si="84">$C39*EXP(-AA$129/$A39/EXP(-$B$126))</f>
        <v>5.988623782997908E-2</v>
      </c>
      <c r="AB153" s="3">
        <f t="shared" si="67"/>
        <v>5.9588595798352566E-2</v>
      </c>
      <c r="AC153" s="3">
        <f t="shared" si="67"/>
        <v>5.6692336792972711E-2</v>
      </c>
      <c r="AD153" s="3">
        <f t="shared" si="67"/>
        <v>3.4445812167055299E-2</v>
      </c>
      <c r="AE153" s="3">
        <f t="shared" si="67"/>
        <v>2.3618762263841506E-4</v>
      </c>
      <c r="AF153" s="3">
        <f t="shared" si="67"/>
        <v>5.4258051307890566E-26</v>
      </c>
    </row>
    <row r="154" spans="1:32" x14ac:dyDescent="0.25">
      <c r="B154" s="3">
        <f t="shared" ref="B154:Z154" si="85">$C40*EXP(-B$129/$A40/EXP(-$B$126))</f>
        <v>6.4670451984415095E-2</v>
      </c>
      <c r="C154" s="3">
        <f t="shared" si="85"/>
        <v>6.4670451984415095E-2</v>
      </c>
      <c r="D154" s="3">
        <f t="shared" si="85"/>
        <v>6.4670451984415095E-2</v>
      </c>
      <c r="E154" s="3">
        <f t="shared" si="85"/>
        <v>6.4670451984415095E-2</v>
      </c>
      <c r="F154" s="3">
        <f t="shared" si="85"/>
        <v>6.4670451984415095E-2</v>
      </c>
      <c r="G154" s="3">
        <f t="shared" si="85"/>
        <v>6.4670451984415095E-2</v>
      </c>
      <c r="H154" s="3">
        <f t="shared" si="85"/>
        <v>6.4670451984415095E-2</v>
      </c>
      <c r="I154" s="3">
        <f t="shared" si="85"/>
        <v>6.4670451984415095E-2</v>
      </c>
      <c r="J154" s="3">
        <f t="shared" si="85"/>
        <v>6.4670451984415095E-2</v>
      </c>
      <c r="K154" s="3">
        <f t="shared" si="85"/>
        <v>6.4670451984415095E-2</v>
      </c>
      <c r="L154" s="3">
        <f t="shared" si="85"/>
        <v>6.4670451984415095E-2</v>
      </c>
      <c r="M154" s="3">
        <f t="shared" si="85"/>
        <v>6.4670451984415095E-2</v>
      </c>
      <c r="N154" s="3">
        <f t="shared" si="85"/>
        <v>6.4670451984415095E-2</v>
      </c>
      <c r="O154" s="3">
        <f t="shared" si="85"/>
        <v>6.4670451984415095E-2</v>
      </c>
      <c r="P154" s="3">
        <f t="shared" si="85"/>
        <v>6.4670451984415053E-2</v>
      </c>
      <c r="Q154" s="3">
        <f t="shared" si="85"/>
        <v>6.4670451984414734E-2</v>
      </c>
      <c r="R154" s="3">
        <f t="shared" si="85"/>
        <v>6.4670451984411514E-2</v>
      </c>
      <c r="S154" s="3">
        <f t="shared" si="85"/>
        <v>6.467045198437929E-2</v>
      </c>
      <c r="T154" s="3">
        <f t="shared" si="85"/>
        <v>6.4670451984057076E-2</v>
      </c>
      <c r="U154" s="3">
        <f t="shared" si="85"/>
        <v>6.4670451980834862E-2</v>
      </c>
      <c r="V154" s="3">
        <f t="shared" si="85"/>
        <v>6.4670451948612692E-2</v>
      </c>
      <c r="W154" s="3">
        <f t="shared" si="85"/>
        <v>6.4670451626391123E-2</v>
      </c>
      <c r="X154" s="3">
        <f t="shared" si="85"/>
        <v>6.4670448404175476E-2</v>
      </c>
      <c r="Y154" s="3">
        <f t="shared" si="85"/>
        <v>6.4670416182027776E-2</v>
      </c>
      <c r="Z154" s="3">
        <f t="shared" si="85"/>
        <v>6.4670093961433833E-2</v>
      </c>
      <c r="AA154" s="3">
        <f t="shared" ref="AA154:AF154" si="86">$C40*EXP(-AA$129/$A40/EXP(-$B$126))</f>
        <v>6.4666871843793661E-2</v>
      </c>
      <c r="AB154" s="3">
        <f t="shared" si="86"/>
        <v>6.4634659495691693E-2</v>
      </c>
      <c r="AC154" s="3">
        <f t="shared" si="86"/>
        <v>6.4313417219287489E-2</v>
      </c>
      <c r="AD154" s="3">
        <f t="shared" si="86"/>
        <v>6.1187511812513952E-2</v>
      </c>
      <c r="AE154" s="3">
        <f t="shared" si="86"/>
        <v>3.7177044695828922E-2</v>
      </c>
      <c r="AF154" s="3">
        <f t="shared" si="86"/>
        <v>2.5491510436290523E-4</v>
      </c>
    </row>
    <row r="155" spans="1:32" x14ac:dyDescent="0.25">
      <c r="B155" s="3">
        <f t="shared" ref="B155:Z155" si="87">$C41*EXP(-B$129/$A41/EXP(-$B$126))</f>
        <v>6.7576207998846588E-2</v>
      </c>
      <c r="C155" s="3">
        <f t="shared" si="87"/>
        <v>6.7576207998846588E-2</v>
      </c>
      <c r="D155" s="3">
        <f t="shared" si="87"/>
        <v>6.7576207998846588E-2</v>
      </c>
      <c r="E155" s="3">
        <f t="shared" si="87"/>
        <v>6.7576207998846588E-2</v>
      </c>
      <c r="F155" s="3">
        <f t="shared" si="87"/>
        <v>6.7576207998846588E-2</v>
      </c>
      <c r="G155" s="3">
        <f t="shared" si="87"/>
        <v>6.7576207998846588E-2</v>
      </c>
      <c r="H155" s="3">
        <f t="shared" si="87"/>
        <v>6.7576207998846588E-2</v>
      </c>
      <c r="I155" s="3">
        <f t="shared" si="87"/>
        <v>6.7576207998846588E-2</v>
      </c>
      <c r="J155" s="3">
        <f t="shared" si="87"/>
        <v>6.7576207998846588E-2</v>
      </c>
      <c r="K155" s="3">
        <f t="shared" si="87"/>
        <v>6.7576207998846588E-2</v>
      </c>
      <c r="L155" s="3">
        <f t="shared" si="87"/>
        <v>6.7576207998846588E-2</v>
      </c>
      <c r="M155" s="3">
        <f t="shared" si="87"/>
        <v>6.7576207998846588E-2</v>
      </c>
      <c r="N155" s="3">
        <f t="shared" si="87"/>
        <v>6.7576207998846588E-2</v>
      </c>
      <c r="O155" s="3">
        <f t="shared" si="87"/>
        <v>6.7576207998846588E-2</v>
      </c>
      <c r="P155" s="3">
        <f t="shared" si="87"/>
        <v>6.7576207998846588E-2</v>
      </c>
      <c r="Q155" s="3">
        <f t="shared" si="87"/>
        <v>6.7576207998846546E-2</v>
      </c>
      <c r="R155" s="3">
        <f t="shared" si="87"/>
        <v>6.7576207998846213E-2</v>
      </c>
      <c r="S155" s="3">
        <f t="shared" si="87"/>
        <v>6.7576207998842841E-2</v>
      </c>
      <c r="T155" s="3">
        <f t="shared" si="87"/>
        <v>6.7576207998809174E-2</v>
      </c>
      <c r="U155" s="3">
        <f t="shared" si="87"/>
        <v>6.7576207998472471E-2</v>
      </c>
      <c r="V155" s="3">
        <f t="shared" si="87"/>
        <v>6.7576207995105483E-2</v>
      </c>
      <c r="W155" s="3">
        <f t="shared" si="87"/>
        <v>6.7576207961435528E-2</v>
      </c>
      <c r="X155" s="3">
        <f t="shared" si="87"/>
        <v>6.7576207624735971E-2</v>
      </c>
      <c r="Y155" s="3">
        <f t="shared" si="87"/>
        <v>6.7576204257740566E-2</v>
      </c>
      <c r="Z155" s="3">
        <f t="shared" si="87"/>
        <v>6.7576170587795664E-2</v>
      </c>
      <c r="AA155" s="3">
        <f t="shared" ref="AA155:AF155" si="88">$C41*EXP(-AA$129/$A41/EXP(-$B$126))</f>
        <v>6.7575833889269368E-2</v>
      </c>
      <c r="AB155" s="3">
        <f t="shared" si="88"/>
        <v>6.7572466996273145E-2</v>
      </c>
      <c r="AC155" s="3">
        <f t="shared" si="88"/>
        <v>6.7538807291281533E-2</v>
      </c>
      <c r="AD155" s="3">
        <f t="shared" si="88"/>
        <v>6.7203131040038624E-2</v>
      </c>
      <c r="AE155" s="3">
        <f t="shared" si="88"/>
        <v>6.3936773260387506E-2</v>
      </c>
      <c r="AF155" s="3">
        <f t="shared" si="88"/>
        <v>3.8847474048166318E-2</v>
      </c>
    </row>
    <row r="156" spans="1:32" x14ac:dyDescent="0.25">
      <c r="B156" s="3">
        <f t="shared" ref="B156:Z156" si="89">$C42*EXP(-B$129/$A42/EXP(-$B$126))</f>
        <v>7.4650772379504848E-2</v>
      </c>
      <c r="C156" s="3">
        <f t="shared" si="89"/>
        <v>7.4650772379504848E-2</v>
      </c>
      <c r="D156" s="3">
        <f t="shared" si="89"/>
        <v>7.4650772379504848E-2</v>
      </c>
      <c r="E156" s="3">
        <f t="shared" si="89"/>
        <v>7.4650772379504848E-2</v>
      </c>
      <c r="F156" s="3">
        <f t="shared" si="89"/>
        <v>7.4650772379504848E-2</v>
      </c>
      <c r="G156" s="3">
        <f t="shared" si="89"/>
        <v>7.4650772379504848E-2</v>
      </c>
      <c r="H156" s="3">
        <f t="shared" si="89"/>
        <v>7.4650772379504848E-2</v>
      </c>
      <c r="I156" s="3">
        <f t="shared" si="89"/>
        <v>7.4650772379504848E-2</v>
      </c>
      <c r="J156" s="3">
        <f t="shared" si="89"/>
        <v>7.4650772379504848E-2</v>
      </c>
      <c r="K156" s="3">
        <f t="shared" si="89"/>
        <v>7.4650772379504848E-2</v>
      </c>
      <c r="L156" s="3">
        <f t="shared" si="89"/>
        <v>7.4650772379504848E-2</v>
      </c>
      <c r="M156" s="3">
        <f t="shared" si="89"/>
        <v>7.4650772379504848E-2</v>
      </c>
      <c r="N156" s="3">
        <f t="shared" si="89"/>
        <v>7.4650772379504848E-2</v>
      </c>
      <c r="O156" s="3">
        <f t="shared" si="89"/>
        <v>7.4650772379504848E-2</v>
      </c>
      <c r="P156" s="3">
        <f t="shared" si="89"/>
        <v>7.4650772379504848E-2</v>
      </c>
      <c r="Q156" s="3">
        <f t="shared" si="89"/>
        <v>7.4650772379504848E-2</v>
      </c>
      <c r="R156" s="3">
        <f t="shared" si="89"/>
        <v>7.4650772379504807E-2</v>
      </c>
      <c r="S156" s="3">
        <f t="shared" si="89"/>
        <v>7.4650772379504432E-2</v>
      </c>
      <c r="T156" s="3">
        <f t="shared" si="89"/>
        <v>7.4650772379500713E-2</v>
      </c>
      <c r="U156" s="3">
        <f t="shared" si="89"/>
        <v>7.465077237946352E-2</v>
      </c>
      <c r="V156" s="3">
        <f t="shared" si="89"/>
        <v>7.4650772379091568E-2</v>
      </c>
      <c r="W156" s="3">
        <f t="shared" si="89"/>
        <v>7.4650772375372085E-2</v>
      </c>
      <c r="X156" s="3">
        <f t="shared" si="89"/>
        <v>7.4650772338177213E-2</v>
      </c>
      <c r="Y156" s="3">
        <f t="shared" si="89"/>
        <v>7.4650771966228532E-2</v>
      </c>
      <c r="Z156" s="3">
        <f t="shared" si="89"/>
        <v>7.4650768246741814E-2</v>
      </c>
      <c r="AA156" s="3">
        <f t="shared" ref="AA156:AF156" si="90">$C42*EXP(-AA$129/$A42/EXP(-$B$126))</f>
        <v>7.4650731051884828E-2</v>
      </c>
      <c r="AB156" s="3">
        <f t="shared" si="90"/>
        <v>7.465035910433418E-2</v>
      </c>
      <c r="AC156" s="3">
        <f t="shared" si="90"/>
        <v>7.4646639730753889E-2</v>
      </c>
      <c r="AD156" s="3">
        <f t="shared" si="90"/>
        <v>7.4609456185685291E-2</v>
      </c>
      <c r="AE156" s="3">
        <f t="shared" si="90"/>
        <v>7.4238637932237742E-2</v>
      </c>
      <c r="AF156" s="3">
        <f t="shared" si="90"/>
        <v>7.0630324616951956E-2</v>
      </c>
    </row>
    <row r="157" spans="1:32" x14ac:dyDescent="0.25">
      <c r="B157" s="3">
        <f t="shared" ref="B157:Z157" si="91">$C43*EXP(-B$129/$A43/EXP(-$B$126))</f>
        <v>4.2437426023751848E-2</v>
      </c>
      <c r="C157" s="3">
        <f t="shared" si="91"/>
        <v>4.2437426023751848E-2</v>
      </c>
      <c r="D157" s="3">
        <f t="shared" si="91"/>
        <v>4.2437426023751848E-2</v>
      </c>
      <c r="E157" s="3">
        <f t="shared" si="91"/>
        <v>4.2437426023751848E-2</v>
      </c>
      <c r="F157" s="3">
        <f t="shared" si="91"/>
        <v>4.2437426023751848E-2</v>
      </c>
      <c r="G157" s="3">
        <f t="shared" si="91"/>
        <v>4.2437426023751848E-2</v>
      </c>
      <c r="H157" s="3">
        <f t="shared" si="91"/>
        <v>4.2437426023751848E-2</v>
      </c>
      <c r="I157" s="3">
        <f t="shared" si="91"/>
        <v>4.2437426023751848E-2</v>
      </c>
      <c r="J157" s="3">
        <f t="shared" si="91"/>
        <v>4.2437426023751848E-2</v>
      </c>
      <c r="K157" s="3">
        <f t="shared" si="91"/>
        <v>4.2437426023751848E-2</v>
      </c>
      <c r="L157" s="3">
        <f t="shared" si="91"/>
        <v>4.2437426023751848E-2</v>
      </c>
      <c r="M157" s="3">
        <f t="shared" si="91"/>
        <v>4.2437426023751848E-2</v>
      </c>
      <c r="N157" s="3">
        <f t="shared" si="91"/>
        <v>4.2437426023751848E-2</v>
      </c>
      <c r="O157" s="3">
        <f t="shared" si="91"/>
        <v>4.2437426023751848E-2</v>
      </c>
      <c r="P157" s="3">
        <f t="shared" si="91"/>
        <v>4.2437426023751848E-2</v>
      </c>
      <c r="Q157" s="3">
        <f t="shared" si="91"/>
        <v>4.2437426023751848E-2</v>
      </c>
      <c r="R157" s="3">
        <f t="shared" si="91"/>
        <v>4.2437426023751848E-2</v>
      </c>
      <c r="S157" s="3">
        <f t="shared" si="91"/>
        <v>4.2437426023751827E-2</v>
      </c>
      <c r="T157" s="3">
        <f t="shared" si="91"/>
        <v>4.2437426023751612E-2</v>
      </c>
      <c r="U157" s="3">
        <f t="shared" si="91"/>
        <v>4.2437426023749496E-2</v>
      </c>
      <c r="V157" s="3">
        <f t="shared" si="91"/>
        <v>4.2437426023728353E-2</v>
      </c>
      <c r="W157" s="3">
        <f t="shared" si="91"/>
        <v>4.2437426023516911E-2</v>
      </c>
      <c r="X157" s="3">
        <f t="shared" si="91"/>
        <v>4.2437426021402457E-2</v>
      </c>
      <c r="Y157" s="3">
        <f t="shared" si="91"/>
        <v>4.243742600025794E-2</v>
      </c>
      <c r="Z157" s="3">
        <f t="shared" si="91"/>
        <v>4.243742578881278E-2</v>
      </c>
      <c r="AA157" s="3">
        <f t="shared" ref="AA157:AF157" si="92">$C43*EXP(-AA$129/$A43/EXP(-$B$126))</f>
        <v>4.2437423674361215E-2</v>
      </c>
      <c r="AB157" s="3">
        <f t="shared" si="92"/>
        <v>4.2437402529851363E-2</v>
      </c>
      <c r="AC157" s="3">
        <f t="shared" si="92"/>
        <v>4.2437191085332275E-2</v>
      </c>
      <c r="AD157" s="3">
        <f t="shared" si="92"/>
        <v>4.2435076698084336E-2</v>
      </c>
      <c r="AE157" s="3">
        <f t="shared" si="92"/>
        <v>4.2413938618827397E-2</v>
      </c>
      <c r="AF157" s="3">
        <f t="shared" si="92"/>
        <v>4.2203136081930173E-2</v>
      </c>
    </row>
    <row r="158" spans="1:32" x14ac:dyDescent="0.25">
      <c r="B158" s="3">
        <f t="shared" ref="B158:Z158" si="93">$C44*EXP(-B$129/$A44/EXP(-$B$126))</f>
        <v>2.9362775672931045E-2</v>
      </c>
      <c r="C158" s="3">
        <f t="shared" si="93"/>
        <v>2.9362775672931045E-2</v>
      </c>
      <c r="D158" s="3">
        <f t="shared" si="93"/>
        <v>2.9362775672931045E-2</v>
      </c>
      <c r="E158" s="3">
        <f t="shared" si="93"/>
        <v>2.9362775672931045E-2</v>
      </c>
      <c r="F158" s="3">
        <f t="shared" si="93"/>
        <v>2.9362775672931045E-2</v>
      </c>
      <c r="G158" s="3">
        <f t="shared" si="93"/>
        <v>2.9362775672931045E-2</v>
      </c>
      <c r="H158" s="3">
        <f t="shared" si="93"/>
        <v>2.9362775672931045E-2</v>
      </c>
      <c r="I158" s="3">
        <f t="shared" si="93"/>
        <v>2.9362775672931045E-2</v>
      </c>
      <c r="J158" s="3">
        <f t="shared" si="93"/>
        <v>2.9362775672931045E-2</v>
      </c>
      <c r="K158" s="3">
        <f t="shared" si="93"/>
        <v>2.9362775672931045E-2</v>
      </c>
      <c r="L158" s="3">
        <f t="shared" si="93"/>
        <v>2.9362775672931045E-2</v>
      </c>
      <c r="M158" s="3">
        <f t="shared" si="93"/>
        <v>2.9362775672931045E-2</v>
      </c>
      <c r="N158" s="3">
        <f t="shared" si="93"/>
        <v>2.9362775672931045E-2</v>
      </c>
      <c r="O158" s="3">
        <f t="shared" si="93"/>
        <v>2.9362775672931045E-2</v>
      </c>
      <c r="P158" s="3">
        <f t="shared" si="93"/>
        <v>2.9362775672931045E-2</v>
      </c>
      <c r="Q158" s="3">
        <f t="shared" si="93"/>
        <v>2.9362775672931045E-2</v>
      </c>
      <c r="R158" s="3">
        <f t="shared" si="93"/>
        <v>2.9362775672931045E-2</v>
      </c>
      <c r="S158" s="3">
        <f t="shared" si="93"/>
        <v>2.9362775672931045E-2</v>
      </c>
      <c r="T158" s="3">
        <f t="shared" si="93"/>
        <v>2.9362775672931028E-2</v>
      </c>
      <c r="U158" s="3">
        <f t="shared" si="93"/>
        <v>2.9362775672930882E-2</v>
      </c>
      <c r="V158" s="3">
        <f t="shared" si="93"/>
        <v>2.9362775672929418E-2</v>
      </c>
      <c r="W158" s="3">
        <f t="shared" si="93"/>
        <v>2.9362775672914787E-2</v>
      </c>
      <c r="X158" s="3">
        <f t="shared" si="93"/>
        <v>2.9362775672768487E-2</v>
      </c>
      <c r="Y158" s="3">
        <f t="shared" si="93"/>
        <v>2.9362775671305484E-2</v>
      </c>
      <c r="Z158" s="3">
        <f t="shared" si="93"/>
        <v>2.9362775656675433E-2</v>
      </c>
      <c r="AA158" s="3">
        <f t="shared" ref="AA158:AF158" si="94">$C44*EXP(-AA$129/$A44/EXP(-$B$126))</f>
        <v>2.9362775510374927E-2</v>
      </c>
      <c r="AB158" s="3">
        <f t="shared" si="94"/>
        <v>2.9362774047369915E-2</v>
      </c>
      <c r="AC158" s="3">
        <f t="shared" si="94"/>
        <v>2.9362759417323806E-2</v>
      </c>
      <c r="AD158" s="3">
        <f t="shared" si="94"/>
        <v>2.9362613117263625E-2</v>
      </c>
      <c r="AE158" s="3">
        <f t="shared" si="94"/>
        <v>2.936115015675296E-2</v>
      </c>
      <c r="AF158" s="3">
        <f t="shared" si="94"/>
        <v>2.9346524560020709E-2</v>
      </c>
    </row>
    <row r="159" spans="1:32" x14ac:dyDescent="0.25">
      <c r="A159" s="11" t="s">
        <v>75</v>
      </c>
      <c r="B159" s="3">
        <f t="shared" ref="B159:Z159" si="95">$C45*EXP(-B$129/$A45/EXP(-$B$126))</f>
        <v>1.3317924951321973E-2</v>
      </c>
      <c r="C159" s="3">
        <f t="shared" si="95"/>
        <v>1.3317924951321973E-2</v>
      </c>
      <c r="D159" s="3">
        <f t="shared" si="95"/>
        <v>1.3317924951321973E-2</v>
      </c>
      <c r="E159" s="3">
        <f t="shared" si="95"/>
        <v>1.3317924951321973E-2</v>
      </c>
      <c r="F159" s="3">
        <f t="shared" si="95"/>
        <v>1.3317924951321973E-2</v>
      </c>
      <c r="G159" s="3">
        <f t="shared" si="95"/>
        <v>1.3317924951321973E-2</v>
      </c>
      <c r="H159" s="3">
        <f t="shared" si="95"/>
        <v>1.3317924951321973E-2</v>
      </c>
      <c r="I159" s="3">
        <f t="shared" si="95"/>
        <v>1.3317924951321973E-2</v>
      </c>
      <c r="J159" s="3">
        <f t="shared" si="95"/>
        <v>1.3317924951321973E-2</v>
      </c>
      <c r="K159" s="3">
        <f t="shared" si="95"/>
        <v>1.3317924951321973E-2</v>
      </c>
      <c r="L159" s="3">
        <f t="shared" si="95"/>
        <v>1.3317924951321973E-2</v>
      </c>
      <c r="M159" s="3">
        <f t="shared" si="95"/>
        <v>1.3317924951321973E-2</v>
      </c>
      <c r="N159" s="3">
        <f t="shared" si="95"/>
        <v>1.3317924951321973E-2</v>
      </c>
      <c r="O159" s="3">
        <f t="shared" si="95"/>
        <v>1.3317924951321973E-2</v>
      </c>
      <c r="P159" s="3">
        <f t="shared" si="95"/>
        <v>1.3317924951321973E-2</v>
      </c>
      <c r="Q159" s="3">
        <f t="shared" si="95"/>
        <v>1.3317924951321973E-2</v>
      </c>
      <c r="R159" s="3">
        <f t="shared" si="95"/>
        <v>1.3317924951321973E-2</v>
      </c>
      <c r="S159" s="3">
        <f t="shared" si="95"/>
        <v>1.3317924951321973E-2</v>
      </c>
      <c r="T159" s="3">
        <f t="shared" si="95"/>
        <v>1.3317924951321973E-2</v>
      </c>
      <c r="U159" s="3">
        <f t="shared" si="95"/>
        <v>1.3317924951321966E-2</v>
      </c>
      <c r="V159" s="3">
        <f t="shared" si="95"/>
        <v>1.3317924951321898E-2</v>
      </c>
      <c r="W159" s="3">
        <f t="shared" si="95"/>
        <v>1.3317924951321235E-2</v>
      </c>
      <c r="X159" s="3">
        <f t="shared" si="95"/>
        <v>1.3317924951314598E-2</v>
      </c>
      <c r="Y159" s="3">
        <f t="shared" si="95"/>
        <v>1.3317924951248243E-2</v>
      </c>
      <c r="Z159" s="3">
        <f t="shared" si="95"/>
        <v>1.3317924950584675E-2</v>
      </c>
      <c r="AA159" s="3">
        <f t="shared" ref="AA159:AF159" si="96">$C45*EXP(-AA$129/$A45/EXP(-$B$126))</f>
        <v>1.3317924943948997E-2</v>
      </c>
      <c r="AB159" s="3">
        <f t="shared" si="96"/>
        <v>1.3317924877592221E-2</v>
      </c>
      <c r="AC159" s="3">
        <f t="shared" si="96"/>
        <v>1.3317924214024472E-2</v>
      </c>
      <c r="AD159" s="3">
        <f t="shared" si="96"/>
        <v>1.3317917578348803E-2</v>
      </c>
      <c r="AE159" s="3">
        <f t="shared" si="96"/>
        <v>1.3317851221773949E-2</v>
      </c>
      <c r="AF159" s="3">
        <f t="shared" si="96"/>
        <v>1.3317187674209344E-2</v>
      </c>
    </row>
    <row r="160" spans="1:32" x14ac:dyDescent="0.25">
      <c r="B160" s="3">
        <f t="shared" ref="B160:Z160" si="97">$C46*EXP(-B$129/$A46/EXP(-$B$126))</f>
        <v>4.0600750332731679E-3</v>
      </c>
      <c r="C160" s="3">
        <f t="shared" si="97"/>
        <v>4.0600750332731679E-3</v>
      </c>
      <c r="D160" s="3">
        <f t="shared" si="97"/>
        <v>4.0600750332731679E-3</v>
      </c>
      <c r="E160" s="3">
        <f t="shared" si="97"/>
        <v>4.0600750332731679E-3</v>
      </c>
      <c r="F160" s="3">
        <f t="shared" si="97"/>
        <v>4.0600750332731679E-3</v>
      </c>
      <c r="G160" s="3">
        <f t="shared" si="97"/>
        <v>4.0600750332731679E-3</v>
      </c>
      <c r="H160" s="3">
        <f t="shared" si="97"/>
        <v>4.0600750332731679E-3</v>
      </c>
      <c r="I160" s="3">
        <f t="shared" si="97"/>
        <v>4.0600750332731679E-3</v>
      </c>
      <c r="J160" s="3">
        <f t="shared" si="97"/>
        <v>4.0600750332731679E-3</v>
      </c>
      <c r="K160" s="3">
        <f t="shared" si="97"/>
        <v>4.0600750332731679E-3</v>
      </c>
      <c r="L160" s="3">
        <f t="shared" si="97"/>
        <v>4.0600750332731679E-3</v>
      </c>
      <c r="M160" s="3">
        <f t="shared" si="97"/>
        <v>4.0600750332731679E-3</v>
      </c>
      <c r="N160" s="3">
        <f t="shared" si="97"/>
        <v>4.0600750332731679E-3</v>
      </c>
      <c r="O160" s="3">
        <f t="shared" si="97"/>
        <v>4.0600750332731679E-3</v>
      </c>
      <c r="P160" s="3">
        <f t="shared" si="97"/>
        <v>4.0600750332731679E-3</v>
      </c>
      <c r="Q160" s="3">
        <f t="shared" si="97"/>
        <v>4.0600750332731679E-3</v>
      </c>
      <c r="R160" s="3">
        <f t="shared" si="97"/>
        <v>4.0600750332731679E-3</v>
      </c>
      <c r="S160" s="3">
        <f t="shared" si="97"/>
        <v>4.0600750332731679E-3</v>
      </c>
      <c r="T160" s="3">
        <f t="shared" si="97"/>
        <v>4.0600750332731679E-3</v>
      </c>
      <c r="U160" s="3">
        <f t="shared" si="97"/>
        <v>4.0600750332731679E-3</v>
      </c>
      <c r="V160" s="3">
        <f t="shared" si="97"/>
        <v>4.0600750332731653E-3</v>
      </c>
      <c r="W160" s="3">
        <f t="shared" si="97"/>
        <v>4.0600750332731453E-3</v>
      </c>
      <c r="X160" s="3">
        <f t="shared" si="97"/>
        <v>4.0600750332729432E-3</v>
      </c>
      <c r="Y160" s="3">
        <f t="shared" si="97"/>
        <v>4.0600750332709197E-3</v>
      </c>
      <c r="Z160" s="3">
        <f t="shared" si="97"/>
        <v>4.0600750332506911E-3</v>
      </c>
      <c r="AA160" s="3">
        <f t="shared" ref="AA160:AF160" si="98">$C46*EXP(-AA$129/$A46/EXP(-$B$126))</f>
        <v>4.0600750330483971E-3</v>
      </c>
      <c r="AB160" s="3">
        <f t="shared" si="98"/>
        <v>4.060075031025458E-3</v>
      </c>
      <c r="AC160" s="3">
        <f t="shared" si="98"/>
        <v>4.0600750107960687E-3</v>
      </c>
      <c r="AD160" s="3">
        <f t="shared" si="98"/>
        <v>4.0600748085021779E-3</v>
      </c>
      <c r="AE160" s="3">
        <f t="shared" si="98"/>
        <v>4.0600727855638289E-3</v>
      </c>
      <c r="AF160" s="3">
        <f t="shared" si="98"/>
        <v>4.0600525562357733E-3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6.6069827735831333E-3</v>
      </c>
      <c r="C162" s="3">
        <f t="shared" si="101"/>
        <v>6.6069827735831333E-3</v>
      </c>
      <c r="D162" s="3">
        <f t="shared" si="101"/>
        <v>6.6069827735831333E-3</v>
      </c>
      <c r="E162" s="3">
        <f t="shared" si="101"/>
        <v>6.6069827735831333E-3</v>
      </c>
      <c r="F162" s="3">
        <f t="shared" si="101"/>
        <v>6.6069827735831333E-3</v>
      </c>
      <c r="G162" s="3">
        <f t="shared" si="101"/>
        <v>6.6069827735831333E-3</v>
      </c>
      <c r="H162" s="3">
        <f t="shared" si="101"/>
        <v>6.6069827735831333E-3</v>
      </c>
      <c r="I162" s="3">
        <f t="shared" si="101"/>
        <v>6.6069827735831333E-3</v>
      </c>
      <c r="J162" s="3">
        <f t="shared" si="101"/>
        <v>6.6069827735831333E-3</v>
      </c>
      <c r="K162" s="3">
        <f t="shared" si="101"/>
        <v>6.6069827735831333E-3</v>
      </c>
      <c r="L162" s="3">
        <f t="shared" si="101"/>
        <v>6.6069827735831333E-3</v>
      </c>
      <c r="M162" s="3">
        <f t="shared" si="101"/>
        <v>6.6069827735831333E-3</v>
      </c>
      <c r="N162" s="3">
        <f t="shared" si="101"/>
        <v>6.6069827735831333E-3</v>
      </c>
      <c r="O162" s="3">
        <f t="shared" si="101"/>
        <v>6.6069827735831333E-3</v>
      </c>
      <c r="P162" s="3">
        <f t="shared" si="101"/>
        <v>6.6069827735831333E-3</v>
      </c>
      <c r="Q162" s="3">
        <f t="shared" si="101"/>
        <v>6.6069827735831333E-3</v>
      </c>
      <c r="R162" s="3">
        <f t="shared" si="101"/>
        <v>6.6069827735831333E-3</v>
      </c>
      <c r="S162" s="3">
        <f t="shared" si="101"/>
        <v>6.6069827735831333E-3</v>
      </c>
      <c r="T162" s="3">
        <f t="shared" si="101"/>
        <v>6.6069827735831333E-3</v>
      </c>
      <c r="U162" s="3">
        <f t="shared" si="101"/>
        <v>6.6069827735831333E-3</v>
      </c>
      <c r="V162" s="3">
        <f t="shared" si="101"/>
        <v>6.6069827735831333E-3</v>
      </c>
      <c r="W162" s="3">
        <f t="shared" si="101"/>
        <v>6.6069827735831333E-3</v>
      </c>
      <c r="X162" s="3">
        <f t="shared" si="101"/>
        <v>6.6069827735831298E-3</v>
      </c>
      <c r="Y162" s="3">
        <f t="shared" si="101"/>
        <v>6.6069827735830968E-3</v>
      </c>
      <c r="Z162" s="3">
        <f t="shared" si="101"/>
        <v>6.6069827735827672E-3</v>
      </c>
      <c r="AA162" s="3">
        <f t="shared" ref="AA162:AF162" si="102">$C48*EXP(-AA$129/$A48/EXP(-$B$126))</f>
        <v>6.6069827735794756E-3</v>
      </c>
      <c r="AB162" s="3">
        <f t="shared" si="102"/>
        <v>6.6069827735465558E-3</v>
      </c>
      <c r="AC162" s="3">
        <f t="shared" si="102"/>
        <v>6.6069827732173625E-3</v>
      </c>
      <c r="AD162" s="3">
        <f t="shared" si="102"/>
        <v>6.606982769925422E-3</v>
      </c>
      <c r="AE162" s="3">
        <f t="shared" si="102"/>
        <v>6.6069827370060239E-3</v>
      </c>
      <c r="AF162" s="3">
        <f t="shared" si="102"/>
        <v>6.6069824078120462E-3</v>
      </c>
    </row>
    <row r="163" spans="1:34" x14ac:dyDescent="0.25">
      <c r="A163" s="79">
        <f>AVERAGE(B163:AF163)</f>
        <v>6.7044018740707242E-2</v>
      </c>
      <c r="B163" s="80">
        <f>IF($A$64&lt;=B129,IF($B$64&gt;=B129,ABS((B131-B130)/B130),0),0)</f>
        <v>2.048746733962634E-2</v>
      </c>
      <c r="C163" s="80">
        <f t="shared" ref="C163:AF163" si="103">IF($A$64&lt;=C129,IF($B$64&gt;=C129,ABS((C131-C130)/C130),0),0)</f>
        <v>2.0497577932868119E-2</v>
      </c>
      <c r="D163" s="80">
        <f t="shared" si="103"/>
        <v>2.0492339412975985E-2</v>
      </c>
      <c r="E163" s="80">
        <f t="shared" si="103"/>
        <v>2.0490981895102491E-2</v>
      </c>
      <c r="F163" s="80">
        <f t="shared" si="103"/>
        <v>2.0490582135239719E-2</v>
      </c>
      <c r="G163" s="80">
        <f t="shared" si="103"/>
        <v>2.0490457210299837E-2</v>
      </c>
      <c r="H163" s="80">
        <f t="shared" si="103"/>
        <v>2.0490423897154438E-2</v>
      </c>
      <c r="I163" s="80">
        <f t="shared" si="103"/>
        <v>2.0490415570590299E-2</v>
      </c>
      <c r="J163" s="80">
        <f t="shared" si="103"/>
        <v>2.0490407259922575E-2</v>
      </c>
      <c r="K163" s="80">
        <f t="shared" si="103"/>
        <v>2.0490407436552557E-2</v>
      </c>
      <c r="L163" s="80">
        <f t="shared" si="103"/>
        <v>2.0490409202853711E-2</v>
      </c>
      <c r="M163" s="80">
        <f t="shared" si="103"/>
        <v>2.0490410209185995E-2</v>
      </c>
      <c r="N163" s="80">
        <f t="shared" si="103"/>
        <v>2.0490495225760401E-2</v>
      </c>
      <c r="O163" s="80">
        <f t="shared" si="103"/>
        <v>2.0491295249405631E-2</v>
      </c>
      <c r="P163" s="80">
        <f t="shared" si="103"/>
        <v>2.0499278304015149E-2</v>
      </c>
      <c r="Q163" s="80">
        <f t="shared" si="103"/>
        <v>2.0577652716999215E-2</v>
      </c>
      <c r="R163" s="80">
        <f t="shared" si="103"/>
        <v>2.1238082926940641E-2</v>
      </c>
      <c r="S163" s="80">
        <f t="shared" si="103"/>
        <v>2.4062837951042262E-2</v>
      </c>
      <c r="T163" s="80">
        <f t="shared" si="103"/>
        <v>2.5607211231540156E-2</v>
      </c>
      <c r="U163" s="80">
        <f t="shared" si="103"/>
        <v>2.321835638769321E-2</v>
      </c>
      <c r="V163" s="80">
        <f t="shared" si="103"/>
        <v>7.539349373557944E-3</v>
      </c>
      <c r="W163" s="80">
        <f t="shared" si="103"/>
        <v>7.1754759368362772E-2</v>
      </c>
      <c r="X163" s="80">
        <f t="shared" si="103"/>
        <v>0.2157258584520432</v>
      </c>
      <c r="Y163" s="80">
        <f t="shared" si="103"/>
        <v>0.35306988107897286</v>
      </c>
      <c r="Z163" s="80">
        <f t="shared" si="103"/>
        <v>0.358144852558342</v>
      </c>
      <c r="AA163" s="80">
        <f t="shared" si="103"/>
        <v>0.26744966493741701</v>
      </c>
      <c r="AB163" s="80">
        <f t="shared" si="103"/>
        <v>0.17713414444621323</v>
      </c>
      <c r="AC163" s="80">
        <f t="shared" si="103"/>
        <v>0.10189782948367421</v>
      </c>
      <c r="AD163" s="80">
        <f t="shared" si="103"/>
        <v>6.5242405719795948E-2</v>
      </c>
      <c r="AE163" s="80">
        <f t="shared" si="103"/>
        <v>1.664890184999256E-2</v>
      </c>
      <c r="AF163" s="80">
        <f t="shared" si="103"/>
        <v>2.1679844197784504E-2</v>
      </c>
    </row>
    <row r="164" spans="1:34" x14ac:dyDescent="0.25">
      <c r="B164" s="21">
        <f>(B131-B130)^2</f>
        <v>23232.105129553125</v>
      </c>
      <c r="C164" s="21">
        <f t="shared" ref="C164:AF164" si="104">(C131-C130)^2</f>
        <v>23255.521026676524</v>
      </c>
      <c r="D164" s="21">
        <f t="shared" si="104"/>
        <v>23243.38720457301</v>
      </c>
      <c r="E164" s="21">
        <f t="shared" si="104"/>
        <v>23240.243365525683</v>
      </c>
      <c r="F164" s="21">
        <f t="shared" si="104"/>
        <v>23239.317614623436</v>
      </c>
      <c r="G164" s="21">
        <f t="shared" si="104"/>
        <v>23239.028321441878</v>
      </c>
      <c r="H164" s="21">
        <f t="shared" si="104"/>
        <v>23238.951177299958</v>
      </c>
      <c r="I164" s="21">
        <f t="shared" si="104"/>
        <v>23238.931895191745</v>
      </c>
      <c r="J164" s="21">
        <f t="shared" si="104"/>
        <v>23238.912649149257</v>
      </c>
      <c r="K164" s="21">
        <f t="shared" si="104"/>
        <v>23238.91304979417</v>
      </c>
      <c r="L164" s="21">
        <f t="shared" si="104"/>
        <v>23238.917056246537</v>
      </c>
      <c r="M164" s="21">
        <f t="shared" si="104"/>
        <v>23238.918548522179</v>
      </c>
      <c r="N164" s="21">
        <f t="shared" si="104"/>
        <v>23239.107042675398</v>
      </c>
      <c r="O164" s="21">
        <f t="shared" si="104"/>
        <v>23240.875912265237</v>
      </c>
      <c r="P164" s="21">
        <f t="shared" si="104"/>
        <v>23258.529129488292</v>
      </c>
      <c r="Q164" s="21">
        <f t="shared" si="104"/>
        <v>23432.105477071036</v>
      </c>
      <c r="R164" s="21">
        <f t="shared" si="104"/>
        <v>24912.337392009722</v>
      </c>
      <c r="S164" s="21">
        <f t="shared" si="104"/>
        <v>31486.397638398852</v>
      </c>
      <c r="T164" s="21">
        <f t="shared" si="104"/>
        <v>34268.491961504951</v>
      </c>
      <c r="U164" s="21">
        <f t="shared" si="104"/>
        <v>26908.368526016726</v>
      </c>
      <c r="V164" s="21">
        <f t="shared" si="104"/>
        <v>2600.0630757803206</v>
      </c>
      <c r="W164" s="21">
        <f t="shared" si="104"/>
        <v>190097.42871951064</v>
      </c>
      <c r="X164" s="21">
        <f t="shared" si="104"/>
        <v>1235720.0733569118</v>
      </c>
      <c r="Y164" s="21">
        <f t="shared" si="104"/>
        <v>2358259.5186237432</v>
      </c>
      <c r="Z164" s="21">
        <f t="shared" si="104"/>
        <v>1813727.2884739523</v>
      </c>
      <c r="AA164" s="21">
        <f t="shared" si="104"/>
        <v>796249.14476200147</v>
      </c>
      <c r="AB164" s="21">
        <f t="shared" si="104"/>
        <v>281504.11367394845</v>
      </c>
      <c r="AC164" s="21">
        <f t="shared" si="104"/>
        <v>75740.846152743965</v>
      </c>
      <c r="AD164" s="21">
        <f t="shared" si="104"/>
        <v>24129.198362281681</v>
      </c>
      <c r="AE164" s="21">
        <f t="shared" si="104"/>
        <v>1122.5688728612681</v>
      </c>
      <c r="AF164" s="21">
        <f t="shared" si="104"/>
        <v>1197.3694560116203</v>
      </c>
    </row>
    <row r="165" spans="1:34" x14ac:dyDescent="0.25">
      <c r="A165" s="71">
        <f>SUM(B165:AF165)</f>
        <v>7269976.9736477751</v>
      </c>
      <c r="B165" s="60">
        <f>IF($A$64&lt;=B129,IF($B$64&gt;=B129,ABS(B164),0),0)</f>
        <v>23232.105129553125</v>
      </c>
      <c r="C165" s="60">
        <f t="shared" ref="C165:AF165" si="105">IF($A$64&lt;=C129,IF($B$64&gt;=C129,ABS(C164),0),0)</f>
        <v>23255.521026676524</v>
      </c>
      <c r="D165" s="60">
        <f t="shared" si="105"/>
        <v>23243.38720457301</v>
      </c>
      <c r="E165" s="60">
        <f t="shared" si="105"/>
        <v>23240.243365525683</v>
      </c>
      <c r="F165" s="60">
        <f t="shared" si="105"/>
        <v>23239.317614623436</v>
      </c>
      <c r="G165" s="60">
        <f t="shared" si="105"/>
        <v>23239.028321441878</v>
      </c>
      <c r="H165" s="60">
        <f t="shared" si="105"/>
        <v>23238.951177299958</v>
      </c>
      <c r="I165" s="60">
        <f t="shared" si="105"/>
        <v>23238.931895191745</v>
      </c>
      <c r="J165" s="60">
        <f t="shared" si="105"/>
        <v>23238.912649149257</v>
      </c>
      <c r="K165" s="60">
        <f t="shared" si="105"/>
        <v>23238.91304979417</v>
      </c>
      <c r="L165" s="60">
        <f t="shared" si="105"/>
        <v>23238.917056246537</v>
      </c>
      <c r="M165" s="60">
        <f t="shared" si="105"/>
        <v>23238.918548522179</v>
      </c>
      <c r="N165" s="60">
        <f t="shared" si="105"/>
        <v>23239.107042675398</v>
      </c>
      <c r="O165" s="60">
        <f t="shared" si="105"/>
        <v>23240.875912265237</v>
      </c>
      <c r="P165" s="60">
        <f t="shared" si="105"/>
        <v>23258.529129488292</v>
      </c>
      <c r="Q165" s="60">
        <f t="shared" si="105"/>
        <v>23432.105477071036</v>
      </c>
      <c r="R165" s="60">
        <f t="shared" si="105"/>
        <v>24912.337392009722</v>
      </c>
      <c r="S165" s="60">
        <f t="shared" si="105"/>
        <v>31486.397638398852</v>
      </c>
      <c r="T165" s="60">
        <f t="shared" si="105"/>
        <v>34268.491961504951</v>
      </c>
      <c r="U165" s="60">
        <f t="shared" si="105"/>
        <v>26908.368526016726</v>
      </c>
      <c r="V165" s="60">
        <f t="shared" si="105"/>
        <v>2600.0630757803206</v>
      </c>
      <c r="W165" s="60">
        <f t="shared" si="105"/>
        <v>190097.42871951064</v>
      </c>
      <c r="X165" s="60">
        <f t="shared" si="105"/>
        <v>1235720.0733569118</v>
      </c>
      <c r="Y165" s="60">
        <f t="shared" si="105"/>
        <v>2358259.5186237432</v>
      </c>
      <c r="Z165" s="60">
        <f t="shared" si="105"/>
        <v>1813727.2884739523</v>
      </c>
      <c r="AA165" s="60">
        <f t="shared" si="105"/>
        <v>796249.14476200147</v>
      </c>
      <c r="AB165" s="60">
        <f t="shared" si="105"/>
        <v>281504.11367394845</v>
      </c>
      <c r="AC165" s="60">
        <f t="shared" si="105"/>
        <v>75740.846152743965</v>
      </c>
      <c r="AD165" s="60">
        <f t="shared" si="105"/>
        <v>24129.198362281681</v>
      </c>
      <c r="AE165" s="60">
        <f t="shared" si="105"/>
        <v>1122.5688728612681</v>
      </c>
      <c r="AF165" s="60">
        <f t="shared" si="105"/>
        <v>1197.3694560116203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7287.2891982852598</v>
      </c>
      <c r="C170" s="27">
        <f t="shared" ref="C170:AF170" si="106">($C$17+SUM(C171:C201))*$B$51</f>
        <v>7287.2891982852598</v>
      </c>
      <c r="D170" s="27">
        <f t="shared" si="106"/>
        <v>7287.2891982852543</v>
      </c>
      <c r="E170" s="27">
        <f t="shared" si="106"/>
        <v>7287.2891982852143</v>
      </c>
      <c r="F170" s="27">
        <f t="shared" si="106"/>
        <v>7287.2891982847968</v>
      </c>
      <c r="G170" s="27">
        <f t="shared" si="106"/>
        <v>7287.2891982806314</v>
      </c>
      <c r="H170" s="27">
        <f t="shared" si="106"/>
        <v>7287.2891982389765</v>
      </c>
      <c r="I170" s="27">
        <f t="shared" si="106"/>
        <v>7287.2891978224252</v>
      </c>
      <c r="J170" s="27">
        <f t="shared" si="106"/>
        <v>7287.2891936569222</v>
      </c>
      <c r="K170" s="27">
        <f t="shared" si="106"/>
        <v>7287.2891520019093</v>
      </c>
      <c r="L170" s="27">
        <f t="shared" si="106"/>
        <v>7287.2887354530694</v>
      </c>
      <c r="M170" s="27">
        <f t="shared" si="106"/>
        <v>7287.284570094801</v>
      </c>
      <c r="N170" s="27">
        <f t="shared" si="106"/>
        <v>7287.2429295164666</v>
      </c>
      <c r="O170" s="27">
        <f t="shared" si="106"/>
        <v>7286.8278171963375</v>
      </c>
      <c r="P170" s="27">
        <f t="shared" si="106"/>
        <v>7282.7993911110125</v>
      </c>
      <c r="Q170" s="27">
        <f t="shared" si="106"/>
        <v>7250.4224651991917</v>
      </c>
      <c r="R170" s="27">
        <f t="shared" si="106"/>
        <v>7110.1699634601755</v>
      </c>
      <c r="S170" s="27">
        <f t="shared" si="106"/>
        <v>6975.7169643299694</v>
      </c>
      <c r="T170" s="27">
        <f t="shared" si="106"/>
        <v>6804.0945669992116</v>
      </c>
      <c r="U170" s="27">
        <f t="shared" si="106"/>
        <v>6615.6958234007589</v>
      </c>
      <c r="V170" s="27">
        <f t="shared" si="106"/>
        <v>6395.3946006543783</v>
      </c>
      <c r="W170" s="27">
        <f t="shared" si="106"/>
        <v>6113.830368851849</v>
      </c>
      <c r="X170" s="27">
        <f t="shared" si="106"/>
        <v>5537.1885417310987</v>
      </c>
      <c r="Y170" s="27">
        <f t="shared" si="106"/>
        <v>4694.5955422205952</v>
      </c>
      <c r="Z170" s="27">
        <f t="shared" si="106"/>
        <v>3891.7186739125759</v>
      </c>
      <c r="AA170" s="27">
        <f t="shared" si="106"/>
        <v>3259.9462868467704</v>
      </c>
      <c r="AB170" s="27">
        <f t="shared" si="106"/>
        <v>2779.3915034536749</v>
      </c>
      <c r="AC170" s="27">
        <f t="shared" si="106"/>
        <v>2266.1370072965133</v>
      </c>
      <c r="AD170" s="27">
        <f t="shared" si="106"/>
        <v>1793.6879163118438</v>
      </c>
      <c r="AE170" s="27">
        <f t="shared" si="106"/>
        <v>1297.9219889871654</v>
      </c>
      <c r="AF170" s="27">
        <f t="shared" si="106"/>
        <v>799.52310838427127</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8.2357212069048599E-4</v>
      </c>
      <c r="C180" s="3">
        <f t="shared" si="116"/>
        <v>8.2357212069047135E-4</v>
      </c>
      <c r="D180" s="3">
        <f t="shared" si="116"/>
        <v>8.2357212069032531E-4</v>
      </c>
      <c r="E180" s="3">
        <f t="shared" si="116"/>
        <v>8.2357212068886424E-4</v>
      </c>
      <c r="F180" s="3">
        <f t="shared" si="116"/>
        <v>8.2357212067425353E-4</v>
      </c>
      <c r="G180" s="3">
        <f t="shared" si="116"/>
        <v>8.2357212052814677E-4</v>
      </c>
      <c r="H180" s="3">
        <f t="shared" si="116"/>
        <v>8.2357211906707896E-4</v>
      </c>
      <c r="I180" s="3">
        <f t="shared" si="116"/>
        <v>8.2357210445640192E-4</v>
      </c>
      <c r="J180" s="3">
        <f t="shared" si="116"/>
        <v>8.235719583496447E-4</v>
      </c>
      <c r="K180" s="3">
        <f t="shared" si="116"/>
        <v>8.2357049728349848E-4</v>
      </c>
      <c r="L180" s="3">
        <f t="shared" si="116"/>
        <v>8.2355588676459677E-4</v>
      </c>
      <c r="M180" s="3">
        <f t="shared" si="116"/>
        <v>8.2340979583067294E-4</v>
      </c>
      <c r="N180" s="3">
        <f t="shared" si="116"/>
        <v>8.219503110655403E-4</v>
      </c>
      <c r="O180" s="3">
        <f t="shared" si="116"/>
        <v>8.0749699015115529E-4</v>
      </c>
      <c r="P180" s="3">
        <f t="shared" si="116"/>
        <v>6.7622993646998639E-4</v>
      </c>
      <c r="Q180" s="3">
        <f t="shared" si="116"/>
        <v>1.147173747753617E-4</v>
      </c>
      <c r="R180" s="3">
        <f t="shared" si="116"/>
        <v>2.2645257836479623E-12</v>
      </c>
      <c r="S180" s="3">
        <f t="shared" si="116"/>
        <v>2.0345012894816806E-89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2.4665844117639599E-2</v>
      </c>
      <c r="C181" s="3">
        <f t="shared" si="117"/>
        <v>2.4665844117639561E-2</v>
      </c>
      <c r="D181" s="3">
        <f t="shared" si="117"/>
        <v>2.4665844117639169E-2</v>
      </c>
      <c r="E181" s="3">
        <f t="shared" si="117"/>
        <v>2.466584411763522E-2</v>
      </c>
      <c r="F181" s="3">
        <f t="shared" si="117"/>
        <v>2.4665844117595745E-2</v>
      </c>
      <c r="G181" s="3">
        <f t="shared" si="117"/>
        <v>2.4665844117201005E-2</v>
      </c>
      <c r="H181" s="3">
        <f t="shared" si="117"/>
        <v>2.4665844113253604E-2</v>
      </c>
      <c r="I181" s="3">
        <f t="shared" si="117"/>
        <v>2.4665844073779589E-2</v>
      </c>
      <c r="J181" s="3">
        <f t="shared" si="117"/>
        <v>2.466584367903946E-2</v>
      </c>
      <c r="K181" s="3">
        <f t="shared" si="117"/>
        <v>2.4665839731638491E-2</v>
      </c>
      <c r="L181" s="3">
        <f t="shared" si="117"/>
        <v>2.4665800257663559E-2</v>
      </c>
      <c r="M181" s="3">
        <f t="shared" si="117"/>
        <v>2.4665405521388697E-2</v>
      </c>
      <c r="N181" s="3">
        <f t="shared" si="117"/>
        <v>2.4661458506064802E-2</v>
      </c>
      <c r="O181" s="3">
        <f t="shared" si="117"/>
        <v>2.4622023074733698E-2</v>
      </c>
      <c r="P181" s="3">
        <f t="shared" si="117"/>
        <v>2.4231120480046258E-2</v>
      </c>
      <c r="Q181" s="3">
        <f t="shared" si="117"/>
        <v>2.0647673632284688E-2</v>
      </c>
      <c r="R181" s="3">
        <f t="shared" si="117"/>
        <v>4.1672295716218338E-3</v>
      </c>
      <c r="S181" s="3">
        <f t="shared" si="117"/>
        <v>4.6731575187602524E-10</v>
      </c>
      <c r="T181" s="3">
        <f t="shared" si="117"/>
        <v>1.4697394726830241E-79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1.6291197925316764E-2</v>
      </c>
      <c r="C182" s="3">
        <f t="shared" si="118"/>
        <v>1.6291197925316761E-2</v>
      </c>
      <c r="D182" s="3">
        <f t="shared" si="118"/>
        <v>1.629119792531674E-2</v>
      </c>
      <c r="E182" s="3">
        <f t="shared" si="118"/>
        <v>1.6291197925316504E-2</v>
      </c>
      <c r="F182" s="3">
        <f t="shared" si="118"/>
        <v>1.6291197925314152E-2</v>
      </c>
      <c r="G182" s="3">
        <f t="shared" si="118"/>
        <v>1.6291197925290633E-2</v>
      </c>
      <c r="H182" s="3">
        <f t="shared" si="118"/>
        <v>1.6291197925055446E-2</v>
      </c>
      <c r="I182" s="3">
        <f t="shared" si="118"/>
        <v>1.6291197922703567E-2</v>
      </c>
      <c r="J182" s="3">
        <f t="shared" si="118"/>
        <v>1.6291197899184779E-2</v>
      </c>
      <c r="K182" s="3">
        <f t="shared" si="118"/>
        <v>1.6291197663996913E-2</v>
      </c>
      <c r="L182" s="3">
        <f t="shared" si="118"/>
        <v>1.6291195312118447E-2</v>
      </c>
      <c r="M182" s="3">
        <f t="shared" si="118"/>
        <v>1.6291171793352453E-2</v>
      </c>
      <c r="N182" s="3">
        <f t="shared" si="118"/>
        <v>1.6290936607559911E-2</v>
      </c>
      <c r="O182" s="3">
        <f t="shared" si="118"/>
        <v>1.6288584936364321E-2</v>
      </c>
      <c r="P182" s="3">
        <f t="shared" si="118"/>
        <v>1.6265086887422002E-2</v>
      </c>
      <c r="Q182" s="3">
        <f t="shared" si="118"/>
        <v>1.603196276887647E-2</v>
      </c>
      <c r="R182" s="3">
        <f t="shared" si="118"/>
        <v>1.3876814274514836E-2</v>
      </c>
      <c r="S182" s="3">
        <f t="shared" si="118"/>
        <v>3.2758241284189804E-3</v>
      </c>
      <c r="T182" s="3">
        <f t="shared" si="118"/>
        <v>1.7604698586096176E-9</v>
      </c>
      <c r="U182" s="3">
        <f t="shared" si="118"/>
        <v>3.5376002647719574E-72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2.6847553865855696E-2</v>
      </c>
      <c r="C183" s="3">
        <f t="shared" si="119"/>
        <v>2.6847553865855696E-2</v>
      </c>
      <c r="D183" s="3">
        <f t="shared" si="119"/>
        <v>2.6847553865855692E-2</v>
      </c>
      <c r="E183" s="3">
        <f t="shared" si="119"/>
        <v>2.6847553865855658E-2</v>
      </c>
      <c r="F183" s="3">
        <f t="shared" si="119"/>
        <v>2.6847553865855307E-2</v>
      </c>
      <c r="G183" s="3">
        <f t="shared" si="119"/>
        <v>2.6847553865851814E-2</v>
      </c>
      <c r="H183" s="3">
        <f t="shared" si="119"/>
        <v>2.6847553865816848E-2</v>
      </c>
      <c r="I183" s="3">
        <f t="shared" si="119"/>
        <v>2.6847553865467215E-2</v>
      </c>
      <c r="J183" s="3">
        <f t="shared" si="119"/>
        <v>2.6847553861970876E-2</v>
      </c>
      <c r="K183" s="3">
        <f t="shared" si="119"/>
        <v>2.6847553827007514E-2</v>
      </c>
      <c r="L183" s="3">
        <f t="shared" si="119"/>
        <v>2.684755347737388E-2</v>
      </c>
      <c r="M183" s="3">
        <f t="shared" si="119"/>
        <v>2.6847549981037791E-2</v>
      </c>
      <c r="N183" s="3">
        <f t="shared" si="119"/>
        <v>2.6847515017701953E-2</v>
      </c>
      <c r="O183" s="3">
        <f t="shared" si="119"/>
        <v>2.6847165386847845E-2</v>
      </c>
      <c r="P183" s="3">
        <f t="shared" si="119"/>
        <v>2.6843669328722234E-2</v>
      </c>
      <c r="Q183" s="3">
        <f t="shared" si="119"/>
        <v>2.6808733776949686E-2</v>
      </c>
      <c r="R183" s="3">
        <f t="shared" si="119"/>
        <v>2.6461869189068885E-2</v>
      </c>
      <c r="S183" s="3">
        <f t="shared" si="119"/>
        <v>2.3230720554367097E-2</v>
      </c>
      <c r="T183" s="3">
        <f t="shared" si="119"/>
        <v>6.3166135110255582E-3</v>
      </c>
      <c r="U183" s="3">
        <f t="shared" si="119"/>
        <v>1.3954058764273076E-8</v>
      </c>
      <c r="V183" s="3">
        <f t="shared" si="119"/>
        <v>3.8624509221823523E-65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2.5906186741603665E-2</v>
      </c>
      <c r="C184" s="3">
        <f t="shared" si="120"/>
        <v>2.5906186741603665E-2</v>
      </c>
      <c r="D184" s="3">
        <f t="shared" si="120"/>
        <v>2.5906186741603665E-2</v>
      </c>
      <c r="E184" s="3">
        <f t="shared" si="120"/>
        <v>2.5906186741603662E-2</v>
      </c>
      <c r="F184" s="3">
        <f t="shared" si="120"/>
        <v>2.590618674160363E-2</v>
      </c>
      <c r="G184" s="3">
        <f t="shared" si="120"/>
        <v>2.5906186741603325E-2</v>
      </c>
      <c r="H184" s="3">
        <f t="shared" si="120"/>
        <v>2.5906186741600282E-2</v>
      </c>
      <c r="I184" s="3">
        <f t="shared" si="120"/>
        <v>2.5906186741569848E-2</v>
      </c>
      <c r="J184" s="3">
        <f t="shared" si="120"/>
        <v>2.5906186741265508E-2</v>
      </c>
      <c r="K184" s="3">
        <f t="shared" si="120"/>
        <v>2.5906186738222113E-2</v>
      </c>
      <c r="L184" s="3">
        <f t="shared" si="120"/>
        <v>2.5906186707788145E-2</v>
      </c>
      <c r="M184" s="3">
        <f t="shared" si="120"/>
        <v>2.5906186403448477E-2</v>
      </c>
      <c r="N184" s="3">
        <f t="shared" si="120"/>
        <v>2.5906183360051977E-2</v>
      </c>
      <c r="O184" s="3">
        <f t="shared" si="120"/>
        <v>2.5906152926106662E-2</v>
      </c>
      <c r="P184" s="3">
        <f t="shared" si="120"/>
        <v>2.5905848588619912E-2</v>
      </c>
      <c r="Q184" s="3">
        <f t="shared" si="120"/>
        <v>2.590280541038496E-2</v>
      </c>
      <c r="R184" s="3">
        <f t="shared" si="120"/>
        <v>2.5872393282743739E-2</v>
      </c>
      <c r="S184" s="3">
        <f t="shared" si="120"/>
        <v>2.5570228960688505E-2</v>
      </c>
      <c r="T184" s="3">
        <f t="shared" si="120"/>
        <v>2.2736035681060075E-2</v>
      </c>
      <c r="U184" s="3">
        <f t="shared" si="120"/>
        <v>7.0228920951306882E-3</v>
      </c>
      <c r="V184" s="3">
        <f t="shared" si="120"/>
        <v>5.5530109599952563E-8</v>
      </c>
      <c r="W184" s="3">
        <f t="shared" si="120"/>
        <v>5.3046151411428974E-59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3.2694648537282267E-2</v>
      </c>
      <c r="C185" s="3">
        <f t="shared" si="121"/>
        <v>3.2694648537282267E-2</v>
      </c>
      <c r="D185" s="3">
        <f t="shared" si="121"/>
        <v>3.2694648537282267E-2</v>
      </c>
      <c r="E185" s="3">
        <f t="shared" si="121"/>
        <v>3.2694648537282267E-2</v>
      </c>
      <c r="F185" s="3">
        <f t="shared" si="121"/>
        <v>3.269464853728226E-2</v>
      </c>
      <c r="G185" s="3">
        <f t="shared" si="121"/>
        <v>3.2694648537282225E-2</v>
      </c>
      <c r="H185" s="3">
        <f t="shared" si="121"/>
        <v>3.2694648537281885E-2</v>
      </c>
      <c r="I185" s="3">
        <f t="shared" si="121"/>
        <v>3.2694648537278416E-2</v>
      </c>
      <c r="J185" s="3">
        <f t="shared" si="121"/>
        <v>3.269464853724377E-2</v>
      </c>
      <c r="K185" s="3">
        <f t="shared" si="121"/>
        <v>3.269464853689729E-2</v>
      </c>
      <c r="L185" s="3">
        <f t="shared" si="121"/>
        <v>3.2694648533432492E-2</v>
      </c>
      <c r="M185" s="3">
        <f t="shared" si="121"/>
        <v>3.2694648498784472E-2</v>
      </c>
      <c r="N185" s="3">
        <f t="shared" si="121"/>
        <v>3.2694648152304343E-2</v>
      </c>
      <c r="O185" s="3">
        <f t="shared" si="121"/>
        <v>3.2694644687503216E-2</v>
      </c>
      <c r="P185" s="3">
        <f t="shared" si="121"/>
        <v>3.2694610039512149E-2</v>
      </c>
      <c r="Q185" s="3">
        <f t="shared" si="121"/>
        <v>3.2694263561620959E-2</v>
      </c>
      <c r="R185" s="3">
        <f t="shared" si="121"/>
        <v>3.2690798984649758E-2</v>
      </c>
      <c r="S185" s="3">
        <f t="shared" si="121"/>
        <v>3.2656173401087972E-2</v>
      </c>
      <c r="T185" s="3">
        <f t="shared" si="121"/>
        <v>3.2311928287771012E-2</v>
      </c>
      <c r="U185" s="3">
        <f t="shared" si="121"/>
        <v>2.9062883761451726E-2</v>
      </c>
      <c r="V185" s="3">
        <f t="shared" si="121"/>
        <v>1.0071565723508874E-2</v>
      </c>
      <c r="W185" s="3">
        <f t="shared" si="121"/>
        <v>2.5158216678688493E-7</v>
      </c>
      <c r="X185" s="3">
        <f t="shared" si="121"/>
        <v>2.3796247329015621E-53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3.3282078428276948E-2</v>
      </c>
      <c r="C186" s="3">
        <f t="shared" si="122"/>
        <v>3.3282078428276948E-2</v>
      </c>
      <c r="D186" s="3">
        <f t="shared" si="122"/>
        <v>3.3282078428276948E-2</v>
      </c>
      <c r="E186" s="3">
        <f t="shared" si="122"/>
        <v>3.3282078428276948E-2</v>
      </c>
      <c r="F186" s="3">
        <f t="shared" si="122"/>
        <v>3.3282078428276948E-2</v>
      </c>
      <c r="G186" s="3">
        <f t="shared" si="122"/>
        <v>3.3282078428276941E-2</v>
      </c>
      <c r="H186" s="3">
        <f t="shared" si="122"/>
        <v>3.3282078428276914E-2</v>
      </c>
      <c r="I186" s="3">
        <f t="shared" si="122"/>
        <v>3.3282078428276594E-2</v>
      </c>
      <c r="J186" s="3">
        <f t="shared" si="122"/>
        <v>3.3282078428273409E-2</v>
      </c>
      <c r="K186" s="3">
        <f t="shared" si="122"/>
        <v>3.3282078428241595E-2</v>
      </c>
      <c r="L186" s="3">
        <f t="shared" si="122"/>
        <v>3.3282078427923426E-2</v>
      </c>
      <c r="M186" s="3">
        <f t="shared" si="122"/>
        <v>3.3282078424741735E-2</v>
      </c>
      <c r="N186" s="3">
        <f t="shared" si="122"/>
        <v>3.3282078392924769E-2</v>
      </c>
      <c r="O186" s="3">
        <f t="shared" si="122"/>
        <v>3.328207807475516E-2</v>
      </c>
      <c r="P186" s="3">
        <f t="shared" si="122"/>
        <v>3.3282074893059233E-2</v>
      </c>
      <c r="Q186" s="3">
        <f t="shared" si="122"/>
        <v>3.3282043076116687E-2</v>
      </c>
      <c r="R186" s="3">
        <f t="shared" si="122"/>
        <v>3.3281724908364084E-2</v>
      </c>
      <c r="S186" s="3">
        <f t="shared" si="122"/>
        <v>3.3278543398121356E-2</v>
      </c>
      <c r="T186" s="3">
        <f t="shared" si="122"/>
        <v>3.324674501810819E-2</v>
      </c>
      <c r="U186" s="3">
        <f t="shared" si="122"/>
        <v>3.2930427559559335E-2</v>
      </c>
      <c r="V186" s="3">
        <f t="shared" si="122"/>
        <v>2.9928140779600994E-2</v>
      </c>
      <c r="W186" s="3">
        <f t="shared" si="122"/>
        <v>1.1505445083075768E-2</v>
      </c>
      <c r="X186" s="3">
        <f t="shared" si="122"/>
        <v>8.1122304822143583E-7</v>
      </c>
      <c r="Y186" s="3">
        <f t="shared" si="122"/>
        <v>2.4632520623287284E-48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0.1075539898267141</v>
      </c>
      <c r="C187" s="3">
        <f t="shared" si="123"/>
        <v>0.1075539898267141</v>
      </c>
      <c r="D187" s="3">
        <f t="shared" si="123"/>
        <v>0.1075539898267141</v>
      </c>
      <c r="E187" s="3">
        <f t="shared" si="123"/>
        <v>0.1075539898267141</v>
      </c>
      <c r="F187" s="3">
        <f t="shared" si="123"/>
        <v>0.1075539898267141</v>
      </c>
      <c r="G187" s="3">
        <f t="shared" si="123"/>
        <v>0.1075539898267141</v>
      </c>
      <c r="H187" s="3">
        <f t="shared" si="123"/>
        <v>0.10755398982671409</v>
      </c>
      <c r="I187" s="3">
        <f t="shared" si="123"/>
        <v>0.10755398982671399</v>
      </c>
      <c r="J187" s="3">
        <f t="shared" si="123"/>
        <v>0.10755398982671308</v>
      </c>
      <c r="K187" s="3">
        <f t="shared" si="123"/>
        <v>0.10755398982670379</v>
      </c>
      <c r="L187" s="3">
        <f t="shared" si="123"/>
        <v>0.10755398982661105</v>
      </c>
      <c r="M187" s="3">
        <f t="shared" si="123"/>
        <v>0.10755398982568354</v>
      </c>
      <c r="N187" s="3">
        <f t="shared" si="123"/>
        <v>0.10755398981640837</v>
      </c>
      <c r="O187" s="3">
        <f t="shared" si="123"/>
        <v>0.10755398972365678</v>
      </c>
      <c r="P187" s="3">
        <f t="shared" si="123"/>
        <v>0.10755398879614086</v>
      </c>
      <c r="Q187" s="3">
        <f t="shared" si="123"/>
        <v>0.10755397952098211</v>
      </c>
      <c r="R187" s="3">
        <f t="shared" si="123"/>
        <v>0.10755388676943863</v>
      </c>
      <c r="S187" s="3">
        <f t="shared" si="123"/>
        <v>0.10755295925840296</v>
      </c>
      <c r="T187" s="3">
        <f t="shared" si="123"/>
        <v>0.10754368458795593</v>
      </c>
      <c r="U187" s="3">
        <f t="shared" si="123"/>
        <v>0.10745098186042024</v>
      </c>
      <c r="V187" s="3">
        <f t="shared" si="123"/>
        <v>0.10652833827875088</v>
      </c>
      <c r="W187" s="3">
        <f t="shared" si="123"/>
        <v>9.7726601253630918E-2</v>
      </c>
      <c r="X187" s="3">
        <f t="shared" si="123"/>
        <v>4.1256199670245991E-2</v>
      </c>
      <c r="Y187" s="3">
        <f t="shared" si="123"/>
        <v>7.4174302691066863E-6</v>
      </c>
      <c r="Z187" s="3">
        <f t="shared" si="123"/>
        <v>2.6175560596026717E-43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0.13355176295714186</v>
      </c>
      <c r="C188" s="3">
        <f t="shared" si="124"/>
        <v>0.13355176295714186</v>
      </c>
      <c r="D188" s="3">
        <f t="shared" si="124"/>
        <v>0.13355176295714186</v>
      </c>
      <c r="E188" s="3">
        <f t="shared" si="124"/>
        <v>0.13355176295714186</v>
      </c>
      <c r="F188" s="3">
        <f t="shared" si="124"/>
        <v>0.13355176295714186</v>
      </c>
      <c r="G188" s="3">
        <f t="shared" si="124"/>
        <v>0.13355176295714186</v>
      </c>
      <c r="H188" s="3">
        <f t="shared" si="124"/>
        <v>0.13355176295714186</v>
      </c>
      <c r="I188" s="3">
        <f t="shared" si="124"/>
        <v>0.13355176295714183</v>
      </c>
      <c r="J188" s="3">
        <f t="shared" si="124"/>
        <v>0.13355176295714175</v>
      </c>
      <c r="K188" s="3">
        <f t="shared" si="124"/>
        <v>0.13355176295714069</v>
      </c>
      <c r="L188" s="3">
        <f t="shared" si="124"/>
        <v>0.13355176295713031</v>
      </c>
      <c r="M188" s="3">
        <f t="shared" si="124"/>
        <v>0.13355176295702642</v>
      </c>
      <c r="N188" s="3">
        <f t="shared" si="124"/>
        <v>0.13355176295598747</v>
      </c>
      <c r="O188" s="3">
        <f t="shared" si="124"/>
        <v>0.13355176294559806</v>
      </c>
      <c r="P188" s="3">
        <f t="shared" si="124"/>
        <v>0.13355176284170392</v>
      </c>
      <c r="Q188" s="3">
        <f t="shared" si="124"/>
        <v>0.13355176180276249</v>
      </c>
      <c r="R188" s="3">
        <f t="shared" si="124"/>
        <v>0.13355175141334868</v>
      </c>
      <c r="S188" s="3">
        <f t="shared" si="124"/>
        <v>0.13355164751925508</v>
      </c>
      <c r="T188" s="3">
        <f t="shared" si="124"/>
        <v>0.1335506085827643</v>
      </c>
      <c r="U188" s="3">
        <f t="shared" si="124"/>
        <v>0.13354021966236626</v>
      </c>
      <c r="V188" s="3">
        <f t="shared" si="124"/>
        <v>0.13343637489657015</v>
      </c>
      <c r="W188" s="3">
        <f t="shared" si="124"/>
        <v>0.13240235829278113</v>
      </c>
      <c r="X188" s="3">
        <f t="shared" si="124"/>
        <v>0.12249280462038707</v>
      </c>
      <c r="Y188" s="3">
        <f t="shared" si="124"/>
        <v>5.6267699136227978E-2</v>
      </c>
      <c r="Z188" s="3">
        <f t="shared" si="124"/>
        <v>2.3536665663652952E-5</v>
      </c>
      <c r="AA188" s="3">
        <f t="shared" si="124"/>
        <v>3.8601373226125579E-39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0.10276653551975504</v>
      </c>
      <c r="C189" s="3">
        <f t="shared" si="125"/>
        <v>0.10276653551975504</v>
      </c>
      <c r="D189" s="3">
        <f t="shared" si="125"/>
        <v>0.10276653551975504</v>
      </c>
      <c r="E189" s="3">
        <f t="shared" si="125"/>
        <v>0.10276653551975504</v>
      </c>
      <c r="F189" s="3">
        <f t="shared" si="125"/>
        <v>0.10276653551975504</v>
      </c>
      <c r="G189" s="3">
        <f t="shared" si="125"/>
        <v>0.10276653551975504</v>
      </c>
      <c r="H189" s="3">
        <f t="shared" si="125"/>
        <v>0.10276653551975504</v>
      </c>
      <c r="I189" s="3">
        <f t="shared" si="125"/>
        <v>0.10276653551975504</v>
      </c>
      <c r="J189" s="3">
        <f t="shared" si="125"/>
        <v>0.10276653551975502</v>
      </c>
      <c r="K189" s="3">
        <f t="shared" si="125"/>
        <v>0.10276653551975495</v>
      </c>
      <c r="L189" s="3">
        <f t="shared" si="125"/>
        <v>0.10276653551975423</v>
      </c>
      <c r="M189" s="3">
        <f t="shared" si="125"/>
        <v>0.10276653551974703</v>
      </c>
      <c r="N189" s="3">
        <f t="shared" si="125"/>
        <v>0.10276653551967491</v>
      </c>
      <c r="O189" s="3">
        <f t="shared" si="125"/>
        <v>0.10276653551895373</v>
      </c>
      <c r="P189" s="3">
        <f t="shared" si="125"/>
        <v>0.102766535511742</v>
      </c>
      <c r="Q189" s="3">
        <f t="shared" si="125"/>
        <v>0.10276653543962465</v>
      </c>
      <c r="R189" s="3">
        <f t="shared" si="125"/>
        <v>0.10276653471845118</v>
      </c>
      <c r="S189" s="3">
        <f t="shared" si="125"/>
        <v>0.10276652750671671</v>
      </c>
      <c r="T189" s="3">
        <f t="shared" si="125"/>
        <v>0.10276645538939988</v>
      </c>
      <c r="U189" s="3">
        <f t="shared" si="125"/>
        <v>0.10276573421901511</v>
      </c>
      <c r="V189" s="3">
        <f t="shared" si="125"/>
        <v>0.10275852279350878</v>
      </c>
      <c r="W189" s="3">
        <f t="shared" si="125"/>
        <v>0.10268643636536814</v>
      </c>
      <c r="X189" s="3">
        <f t="shared" si="125"/>
        <v>0.10196834756447205</v>
      </c>
      <c r="Y189" s="3">
        <f t="shared" si="125"/>
        <v>9.5057934327415883E-2</v>
      </c>
      <c r="Z189" s="3">
        <f t="shared" si="125"/>
        <v>4.7121410682115582E-2</v>
      </c>
      <c r="AA189" s="3">
        <f t="shared" si="125"/>
        <v>4.2219918756874992E-5</v>
      </c>
      <c r="AB189" s="3">
        <f t="shared" si="125"/>
        <v>1.4076947492368225E-35</v>
      </c>
      <c r="AC189" s="3">
        <f t="shared" si="125"/>
        <v>0</v>
      </c>
      <c r="AD189" s="3">
        <f t="shared" si="125"/>
        <v>0</v>
      </c>
      <c r="AE189" s="3">
        <f t="shared" si="125"/>
        <v>0</v>
      </c>
      <c r="AF189" s="3">
        <f t="shared" si="125"/>
        <v>0</v>
      </c>
      <c r="AG189" s="3"/>
      <c r="AH189" s="3"/>
    </row>
    <row r="190" spans="2:34" x14ac:dyDescent="0.25">
      <c r="B190" s="3">
        <f t="shared" ref="B190:AF190" si="126">$C37*EXP(-B$168/$A37/EXP(-$C$126))</f>
        <v>8.2308697100650766E-2</v>
      </c>
      <c r="C190" s="3">
        <f t="shared" si="126"/>
        <v>8.2308697100650766E-2</v>
      </c>
      <c r="D190" s="3">
        <f t="shared" si="126"/>
        <v>8.2308697100650766E-2</v>
      </c>
      <c r="E190" s="3">
        <f t="shared" si="126"/>
        <v>8.2308697100650766E-2</v>
      </c>
      <c r="F190" s="3">
        <f t="shared" si="126"/>
        <v>8.2308697100650766E-2</v>
      </c>
      <c r="G190" s="3">
        <f t="shared" si="126"/>
        <v>8.2308697100650766E-2</v>
      </c>
      <c r="H190" s="3">
        <f t="shared" si="126"/>
        <v>8.2308697100650766E-2</v>
      </c>
      <c r="I190" s="3">
        <f t="shared" si="126"/>
        <v>8.2308697100650766E-2</v>
      </c>
      <c r="J190" s="3">
        <f t="shared" si="126"/>
        <v>8.2308697100650766E-2</v>
      </c>
      <c r="K190" s="3">
        <f t="shared" si="126"/>
        <v>8.2308697100650752E-2</v>
      </c>
      <c r="L190" s="3">
        <f t="shared" si="126"/>
        <v>8.230869710065071E-2</v>
      </c>
      <c r="M190" s="3">
        <f t="shared" si="126"/>
        <v>8.2308697100650197E-2</v>
      </c>
      <c r="N190" s="3">
        <f t="shared" si="126"/>
        <v>8.2308697100644979E-2</v>
      </c>
      <c r="O190" s="3">
        <f t="shared" si="126"/>
        <v>8.2308697100592867E-2</v>
      </c>
      <c r="P190" s="3">
        <f t="shared" si="126"/>
        <v>8.2308697100071826E-2</v>
      </c>
      <c r="Q190" s="3">
        <f t="shared" si="126"/>
        <v>8.2308697094861313E-2</v>
      </c>
      <c r="R190" s="3">
        <f t="shared" si="126"/>
        <v>8.2308697042756201E-2</v>
      </c>
      <c r="S190" s="3">
        <f t="shared" si="126"/>
        <v>8.2308696521705055E-2</v>
      </c>
      <c r="T190" s="3">
        <f t="shared" si="126"/>
        <v>8.2308691311193879E-2</v>
      </c>
      <c r="U190" s="3">
        <f t="shared" si="126"/>
        <v>8.2308639206100251E-2</v>
      </c>
      <c r="V190" s="3">
        <f t="shared" si="126"/>
        <v>8.2308118156978125E-2</v>
      </c>
      <c r="W190" s="3">
        <f t="shared" si="126"/>
        <v>8.2302907847168968E-2</v>
      </c>
      <c r="X190" s="3">
        <f t="shared" si="126"/>
        <v>8.2250822886043365E-2</v>
      </c>
      <c r="Y190" s="3">
        <f t="shared" si="126"/>
        <v>8.1731782730411331E-2</v>
      </c>
      <c r="Z190" s="3">
        <f t="shared" si="126"/>
        <v>7.6718159319403859E-2</v>
      </c>
      <c r="AA190" s="3">
        <f t="shared" si="126"/>
        <v>4.0735232519158289E-2</v>
      </c>
      <c r="AB190" s="3">
        <f t="shared" si="126"/>
        <v>7.2558860265682101E-5</v>
      </c>
      <c r="AC190" s="3">
        <f t="shared" si="126"/>
        <v>2.3328831123909641E-32</v>
      </c>
      <c r="AD190" s="3">
        <f t="shared" si="126"/>
        <v>2.7537102994463509E-307</v>
      </c>
      <c r="AE190" s="3">
        <f t="shared" si="126"/>
        <v>0</v>
      </c>
      <c r="AF190" s="3">
        <f t="shared" si="126"/>
        <v>0</v>
      </c>
      <c r="AG190" s="3"/>
      <c r="AH190" s="3"/>
    </row>
    <row r="191" spans="2:34" x14ac:dyDescent="0.25">
      <c r="B191" s="3">
        <f t="shared" ref="B191:AF191" si="127">$C38*EXP(-B$168/$A38/EXP(-$C$126))</f>
        <v>3.7013792035783422E-2</v>
      </c>
      <c r="C191" s="3">
        <f t="shared" si="127"/>
        <v>3.7013792035783422E-2</v>
      </c>
      <c r="D191" s="3">
        <f t="shared" si="127"/>
        <v>3.7013792035783422E-2</v>
      </c>
      <c r="E191" s="3">
        <f t="shared" si="127"/>
        <v>3.7013792035783422E-2</v>
      </c>
      <c r="F191" s="3">
        <f t="shared" si="127"/>
        <v>3.7013792035783422E-2</v>
      </c>
      <c r="G191" s="3">
        <f t="shared" si="127"/>
        <v>3.7013792035783422E-2</v>
      </c>
      <c r="H191" s="3">
        <f t="shared" si="127"/>
        <v>3.7013792035783422E-2</v>
      </c>
      <c r="I191" s="3">
        <f t="shared" si="127"/>
        <v>3.7013792035783422E-2</v>
      </c>
      <c r="J191" s="3">
        <f t="shared" si="127"/>
        <v>3.7013792035783422E-2</v>
      </c>
      <c r="K191" s="3">
        <f t="shared" si="127"/>
        <v>3.7013792035783422E-2</v>
      </c>
      <c r="L191" s="3">
        <f t="shared" si="127"/>
        <v>3.7013792035783415E-2</v>
      </c>
      <c r="M191" s="3">
        <f t="shared" si="127"/>
        <v>3.7013792035783394E-2</v>
      </c>
      <c r="N191" s="3">
        <f t="shared" si="127"/>
        <v>3.7013792035783186E-2</v>
      </c>
      <c r="O191" s="3">
        <f t="shared" si="127"/>
        <v>3.7013792035781069E-2</v>
      </c>
      <c r="P191" s="3">
        <f t="shared" si="127"/>
        <v>3.7013792035759933E-2</v>
      </c>
      <c r="Q191" s="3">
        <f t="shared" si="127"/>
        <v>3.7013792035548561E-2</v>
      </c>
      <c r="R191" s="3">
        <f t="shared" si="127"/>
        <v>3.7013792033434856E-2</v>
      </c>
      <c r="S191" s="3">
        <f t="shared" si="127"/>
        <v>3.7013792012297791E-2</v>
      </c>
      <c r="T191" s="3">
        <f t="shared" si="127"/>
        <v>3.7013791800927086E-2</v>
      </c>
      <c r="U191" s="3">
        <f t="shared" si="127"/>
        <v>3.7013789687220126E-2</v>
      </c>
      <c r="V191" s="3">
        <f t="shared" si="127"/>
        <v>3.7013768550157145E-2</v>
      </c>
      <c r="W191" s="3">
        <f t="shared" si="127"/>
        <v>3.7013557180191226E-2</v>
      </c>
      <c r="X191" s="3">
        <f t="shared" si="127"/>
        <v>3.7011443546918321E-2</v>
      </c>
      <c r="Y191" s="3">
        <f t="shared" si="127"/>
        <v>3.6990313851417343E-2</v>
      </c>
      <c r="Z191" s="3">
        <f t="shared" si="127"/>
        <v>3.6779679218960332E-2</v>
      </c>
      <c r="AA191" s="3">
        <f t="shared" si="127"/>
        <v>3.4738186834942182E-2</v>
      </c>
      <c r="AB191" s="3">
        <f t="shared" si="127"/>
        <v>1.9624528972843412E-2</v>
      </c>
      <c r="AC191" s="3">
        <f t="shared" si="127"/>
        <v>6.4971095783871501E-5</v>
      </c>
      <c r="AD191" s="3">
        <f t="shared" si="127"/>
        <v>1.0278498821186854E-29</v>
      </c>
      <c r="AE191" s="3">
        <f t="shared" si="127"/>
        <v>1.0093102398806017E-277</v>
      </c>
      <c r="AF191" s="3">
        <f t="shared" si="127"/>
        <v>0</v>
      </c>
      <c r="AG191" s="3"/>
      <c r="AH191" s="3"/>
    </row>
    <row r="192" spans="2:34" x14ac:dyDescent="0.25">
      <c r="B192" s="3">
        <f t="shared" ref="B192:AF192" si="128">$C39*EXP(-B$168/$A39/EXP(-$C$126))</f>
        <v>5.9919400803358086E-2</v>
      </c>
      <c r="C192" s="3">
        <f t="shared" si="128"/>
        <v>5.9919400803358086E-2</v>
      </c>
      <c r="D192" s="3">
        <f t="shared" si="128"/>
        <v>5.9919400803358086E-2</v>
      </c>
      <c r="E192" s="3">
        <f t="shared" si="128"/>
        <v>5.9919400803358086E-2</v>
      </c>
      <c r="F192" s="3">
        <f t="shared" si="128"/>
        <v>5.9919400803358086E-2</v>
      </c>
      <c r="G192" s="3">
        <f t="shared" si="128"/>
        <v>5.9919400803358086E-2</v>
      </c>
      <c r="H192" s="3">
        <f t="shared" si="128"/>
        <v>5.9919400803358086E-2</v>
      </c>
      <c r="I192" s="3">
        <f t="shared" si="128"/>
        <v>5.9919400803358086E-2</v>
      </c>
      <c r="J192" s="3">
        <f t="shared" si="128"/>
        <v>5.9919400803358086E-2</v>
      </c>
      <c r="K192" s="3">
        <f t="shared" si="128"/>
        <v>5.9919400803358086E-2</v>
      </c>
      <c r="L192" s="3">
        <f t="shared" si="128"/>
        <v>5.9919400803358086E-2</v>
      </c>
      <c r="M192" s="3">
        <f t="shared" si="128"/>
        <v>5.9919400803358072E-2</v>
      </c>
      <c r="N192" s="3">
        <f t="shared" si="128"/>
        <v>5.9919400803357982E-2</v>
      </c>
      <c r="O192" s="3">
        <f t="shared" si="128"/>
        <v>5.9919400803357038E-2</v>
      </c>
      <c r="P192" s="3">
        <f t="shared" si="128"/>
        <v>5.9919400803347567E-2</v>
      </c>
      <c r="Q192" s="3">
        <f t="shared" si="128"/>
        <v>5.9919400803252934E-2</v>
      </c>
      <c r="R192" s="3">
        <f t="shared" si="128"/>
        <v>5.9919400802306566E-2</v>
      </c>
      <c r="S192" s="3">
        <f t="shared" si="128"/>
        <v>5.9919400792842852E-2</v>
      </c>
      <c r="T192" s="3">
        <f t="shared" si="128"/>
        <v>5.991940069820572E-2</v>
      </c>
      <c r="U192" s="3">
        <f t="shared" si="128"/>
        <v>5.9919399751834489E-2</v>
      </c>
      <c r="V192" s="3">
        <f t="shared" si="128"/>
        <v>5.9919390288122959E-2</v>
      </c>
      <c r="W192" s="3">
        <f t="shared" si="128"/>
        <v>5.9919295651089804E-2</v>
      </c>
      <c r="X192" s="3">
        <f t="shared" si="128"/>
        <v>5.9918349288979121E-2</v>
      </c>
      <c r="Y192" s="3">
        <f t="shared" si="128"/>
        <v>5.9908886489906867E-2</v>
      </c>
      <c r="Z192" s="3">
        <f t="shared" si="128"/>
        <v>5.9814340654627166E-2</v>
      </c>
      <c r="AA192" s="3">
        <f t="shared" si="128"/>
        <v>5.8877050038215299E-2</v>
      </c>
      <c r="AB192" s="3">
        <f t="shared" si="128"/>
        <v>5.0275137277581226E-2</v>
      </c>
      <c r="AC192" s="3">
        <f t="shared" si="128"/>
        <v>1.0361568333865064E-2</v>
      </c>
      <c r="AD192" s="3">
        <f t="shared" si="128"/>
        <v>1.4326753844613814E-9</v>
      </c>
      <c r="AE192" s="3">
        <f t="shared" si="128"/>
        <v>3.6590709904166757E-78</v>
      </c>
      <c r="AF192" s="3">
        <f t="shared" si="128"/>
        <v>0</v>
      </c>
      <c r="AG192" s="3"/>
      <c r="AH192" s="3"/>
    </row>
    <row r="193" spans="1:34" x14ac:dyDescent="0.25">
      <c r="B193" s="3">
        <f t="shared" ref="B193:AF193" si="129">$C40*EXP(-B$168/$A40/EXP(-$C$126))</f>
        <v>6.4670451984415095E-2</v>
      </c>
      <c r="C193" s="3">
        <f t="shared" si="129"/>
        <v>6.4670451984415095E-2</v>
      </c>
      <c r="D193" s="3">
        <f t="shared" si="129"/>
        <v>6.4670451984415095E-2</v>
      </c>
      <c r="E193" s="3">
        <f t="shared" si="129"/>
        <v>6.4670451984415095E-2</v>
      </c>
      <c r="F193" s="3">
        <f t="shared" si="129"/>
        <v>6.4670451984415095E-2</v>
      </c>
      <c r="G193" s="3">
        <f t="shared" si="129"/>
        <v>6.4670451984415095E-2</v>
      </c>
      <c r="H193" s="3">
        <f t="shared" si="129"/>
        <v>6.4670451984415095E-2</v>
      </c>
      <c r="I193" s="3">
        <f t="shared" si="129"/>
        <v>6.4670451984415095E-2</v>
      </c>
      <c r="J193" s="3">
        <f t="shared" si="129"/>
        <v>6.4670451984415095E-2</v>
      </c>
      <c r="K193" s="3">
        <f t="shared" si="129"/>
        <v>6.4670451984415095E-2</v>
      </c>
      <c r="L193" s="3">
        <f t="shared" si="129"/>
        <v>6.4670451984415095E-2</v>
      </c>
      <c r="M193" s="3">
        <f t="shared" si="129"/>
        <v>6.4670451984415095E-2</v>
      </c>
      <c r="N193" s="3">
        <f t="shared" si="129"/>
        <v>6.4670451984415081E-2</v>
      </c>
      <c r="O193" s="3">
        <f t="shared" si="129"/>
        <v>6.4670451984414984E-2</v>
      </c>
      <c r="P193" s="3">
        <f t="shared" si="129"/>
        <v>6.4670451984413957E-2</v>
      </c>
      <c r="Q193" s="3">
        <f t="shared" si="129"/>
        <v>6.4670451984403743E-2</v>
      </c>
      <c r="R193" s="3">
        <f t="shared" si="129"/>
        <v>6.4670451984301602E-2</v>
      </c>
      <c r="S193" s="3">
        <f t="shared" si="129"/>
        <v>6.4670451983280197E-2</v>
      </c>
      <c r="T193" s="3">
        <f t="shared" si="129"/>
        <v>6.4670451973066104E-2</v>
      </c>
      <c r="U193" s="3">
        <f t="shared" si="129"/>
        <v>6.4670451870925127E-2</v>
      </c>
      <c r="V193" s="3">
        <f t="shared" si="129"/>
        <v>6.4670450849515462E-2</v>
      </c>
      <c r="W193" s="3">
        <f t="shared" si="129"/>
        <v>6.4670440635419615E-2</v>
      </c>
      <c r="X193" s="3">
        <f t="shared" si="129"/>
        <v>6.467033849454995E-2</v>
      </c>
      <c r="Y193" s="3">
        <f t="shared" si="129"/>
        <v>6.466931709472587E-2</v>
      </c>
      <c r="Z193" s="3">
        <f t="shared" si="129"/>
        <v>6.4659103983699479E-2</v>
      </c>
      <c r="AA193" s="3">
        <f t="shared" si="129"/>
        <v>6.455706154304075E-2</v>
      </c>
      <c r="AB193" s="3">
        <f t="shared" si="129"/>
        <v>6.3545452498367044E-2</v>
      </c>
      <c r="AC193" s="3">
        <f t="shared" si="129"/>
        <v>5.4261488061100233E-2</v>
      </c>
      <c r="AD193" s="3">
        <f t="shared" si="129"/>
        <v>1.1183144331124596E-2</v>
      </c>
      <c r="AE193" s="3">
        <f t="shared" si="129"/>
        <v>1.5462732173194678E-9</v>
      </c>
      <c r="AF193" s="3">
        <f t="shared" si="129"/>
        <v>3.9492012874075008E-78</v>
      </c>
      <c r="AG193" s="3"/>
      <c r="AH193" s="3"/>
    </row>
    <row r="194" spans="1:34" x14ac:dyDescent="0.25">
      <c r="B194" s="3">
        <f t="shared" ref="B194:AF194" si="130">$C41*EXP(-B$168/$A41/EXP(-$C$126))</f>
        <v>6.7576207998846588E-2</v>
      </c>
      <c r="C194" s="3">
        <f t="shared" si="130"/>
        <v>6.7576207998846588E-2</v>
      </c>
      <c r="D194" s="3">
        <f t="shared" si="130"/>
        <v>6.7576207998846588E-2</v>
      </c>
      <c r="E194" s="3">
        <f t="shared" si="130"/>
        <v>6.7576207998846588E-2</v>
      </c>
      <c r="F194" s="3">
        <f t="shared" si="130"/>
        <v>6.7576207998846588E-2</v>
      </c>
      <c r="G194" s="3">
        <f t="shared" si="130"/>
        <v>6.7576207998846588E-2</v>
      </c>
      <c r="H194" s="3">
        <f t="shared" si="130"/>
        <v>6.7576207998846588E-2</v>
      </c>
      <c r="I194" s="3">
        <f t="shared" si="130"/>
        <v>6.7576207998846588E-2</v>
      </c>
      <c r="J194" s="3">
        <f t="shared" si="130"/>
        <v>6.7576207998846588E-2</v>
      </c>
      <c r="K194" s="3">
        <f t="shared" si="130"/>
        <v>6.7576207998846588E-2</v>
      </c>
      <c r="L194" s="3">
        <f t="shared" si="130"/>
        <v>6.7576207998846588E-2</v>
      </c>
      <c r="M194" s="3">
        <f t="shared" si="130"/>
        <v>6.7576207998846588E-2</v>
      </c>
      <c r="N194" s="3">
        <f t="shared" si="130"/>
        <v>6.7576207998846588E-2</v>
      </c>
      <c r="O194" s="3">
        <f t="shared" si="130"/>
        <v>6.7576207998846574E-2</v>
      </c>
      <c r="P194" s="3">
        <f t="shared" si="130"/>
        <v>6.7576207998846463E-2</v>
      </c>
      <c r="Q194" s="3">
        <f t="shared" si="130"/>
        <v>6.7576207998845408E-2</v>
      </c>
      <c r="R194" s="3">
        <f t="shared" si="130"/>
        <v>6.7576207998834723E-2</v>
      </c>
      <c r="S194" s="3">
        <f t="shared" si="130"/>
        <v>6.7576207998728002E-2</v>
      </c>
      <c r="T194" s="3">
        <f t="shared" si="130"/>
        <v>6.7576207997660689E-2</v>
      </c>
      <c r="U194" s="3">
        <f t="shared" si="130"/>
        <v>6.7576207986987671E-2</v>
      </c>
      <c r="V194" s="3">
        <f t="shared" si="130"/>
        <v>6.7576207880257325E-2</v>
      </c>
      <c r="W194" s="3">
        <f t="shared" si="130"/>
        <v>6.7576206812953926E-2</v>
      </c>
      <c r="X194" s="3">
        <f t="shared" si="130"/>
        <v>6.7576196139920983E-2</v>
      </c>
      <c r="Y194" s="3">
        <f t="shared" si="130"/>
        <v>6.7576089409684181E-2</v>
      </c>
      <c r="Z194" s="3">
        <f t="shared" si="130"/>
        <v>6.7575022116587516E-2</v>
      </c>
      <c r="AA194" s="3">
        <f t="shared" si="130"/>
        <v>6.756435011269922E-2</v>
      </c>
      <c r="AB194" s="3">
        <f t="shared" si="130"/>
        <v>6.7457722727501335E-2</v>
      </c>
      <c r="AC194" s="3">
        <f t="shared" si="130"/>
        <v>6.6400660326996402E-2</v>
      </c>
      <c r="AD194" s="3">
        <f t="shared" si="130"/>
        <v>5.6699551201953823E-2</v>
      </c>
      <c r="AE194" s="3">
        <f t="shared" si="130"/>
        <v>1.1685622478459206E-2</v>
      </c>
      <c r="AF194" s="3">
        <f t="shared" si="130"/>
        <v>1.6157499654062628E-9</v>
      </c>
      <c r="AG194" s="3"/>
      <c r="AH194" s="3"/>
    </row>
    <row r="195" spans="1:34" x14ac:dyDescent="0.25">
      <c r="B195" s="3">
        <f t="shared" ref="B195:AF195" si="131">$C42*EXP(-B$168/$A42/EXP(-$C$126))</f>
        <v>7.4650772379504848E-2</v>
      </c>
      <c r="C195" s="3">
        <f t="shared" si="131"/>
        <v>7.4650772379504848E-2</v>
      </c>
      <c r="D195" s="3">
        <f t="shared" si="131"/>
        <v>7.4650772379504848E-2</v>
      </c>
      <c r="E195" s="3">
        <f t="shared" si="131"/>
        <v>7.4650772379504848E-2</v>
      </c>
      <c r="F195" s="3">
        <f t="shared" si="131"/>
        <v>7.4650772379504848E-2</v>
      </c>
      <c r="G195" s="3">
        <f t="shared" si="131"/>
        <v>7.4650772379504848E-2</v>
      </c>
      <c r="H195" s="3">
        <f t="shared" si="131"/>
        <v>7.4650772379504848E-2</v>
      </c>
      <c r="I195" s="3">
        <f t="shared" si="131"/>
        <v>7.4650772379504848E-2</v>
      </c>
      <c r="J195" s="3">
        <f t="shared" si="131"/>
        <v>7.4650772379504848E-2</v>
      </c>
      <c r="K195" s="3">
        <f t="shared" si="131"/>
        <v>7.4650772379504848E-2</v>
      </c>
      <c r="L195" s="3">
        <f t="shared" si="131"/>
        <v>7.4650772379504848E-2</v>
      </c>
      <c r="M195" s="3">
        <f t="shared" si="131"/>
        <v>7.4650772379504848E-2</v>
      </c>
      <c r="N195" s="3">
        <f t="shared" si="131"/>
        <v>7.4650772379504848E-2</v>
      </c>
      <c r="O195" s="3">
        <f t="shared" si="131"/>
        <v>7.4650772379504848E-2</v>
      </c>
      <c r="P195" s="3">
        <f t="shared" si="131"/>
        <v>7.4650772379504834E-2</v>
      </c>
      <c r="Q195" s="3">
        <f t="shared" si="131"/>
        <v>7.465077237950471E-2</v>
      </c>
      <c r="R195" s="3">
        <f t="shared" si="131"/>
        <v>7.4650772379503544E-2</v>
      </c>
      <c r="S195" s="3">
        <f t="shared" si="131"/>
        <v>7.4650772379491748E-2</v>
      </c>
      <c r="T195" s="3">
        <f t="shared" si="131"/>
        <v>7.4650772379373842E-2</v>
      </c>
      <c r="U195" s="3">
        <f t="shared" si="131"/>
        <v>7.4650772378194799E-2</v>
      </c>
      <c r="V195" s="3">
        <f t="shared" si="131"/>
        <v>7.4650772366404411E-2</v>
      </c>
      <c r="W195" s="3">
        <f t="shared" si="131"/>
        <v>7.4650772248500447E-2</v>
      </c>
      <c r="X195" s="3">
        <f t="shared" si="131"/>
        <v>7.46507710694609E-2</v>
      </c>
      <c r="Y195" s="3">
        <f t="shared" si="131"/>
        <v>7.4650759279066364E-2</v>
      </c>
      <c r="Z195" s="3">
        <f t="shared" si="131"/>
        <v>7.4650641375223439E-2</v>
      </c>
      <c r="AA195" s="3">
        <f t="shared" si="131"/>
        <v>7.4649462347036136E-2</v>
      </c>
      <c r="AB195" s="3">
        <f t="shared" si="131"/>
        <v>7.4637673089297502E-2</v>
      </c>
      <c r="AC195" s="3">
        <f t="shared" si="131"/>
        <v>7.4519882865525772E-2</v>
      </c>
      <c r="AD195" s="3">
        <f t="shared" si="131"/>
        <v>7.3352156427659146E-2</v>
      </c>
      <c r="AE195" s="3">
        <f t="shared" si="131"/>
        <v>6.263543658545298E-2</v>
      </c>
      <c r="AF195" s="3">
        <f t="shared" si="131"/>
        <v>1.2908992226482622E-2</v>
      </c>
      <c r="AG195" s="3"/>
      <c r="AH195" s="3"/>
    </row>
    <row r="196" spans="1:34" x14ac:dyDescent="0.25">
      <c r="B196" s="3">
        <f t="shared" ref="B196:AF196" si="132">$C43*EXP(-B$168/$A43/EXP(-$C$126))</f>
        <v>4.2437426023751848E-2</v>
      </c>
      <c r="C196" s="3">
        <f t="shared" si="132"/>
        <v>4.2437426023751848E-2</v>
      </c>
      <c r="D196" s="3">
        <f t="shared" si="132"/>
        <v>4.2437426023751848E-2</v>
      </c>
      <c r="E196" s="3">
        <f t="shared" si="132"/>
        <v>4.2437426023751848E-2</v>
      </c>
      <c r="F196" s="3">
        <f t="shared" si="132"/>
        <v>4.2437426023751848E-2</v>
      </c>
      <c r="G196" s="3">
        <f t="shared" si="132"/>
        <v>4.2437426023751848E-2</v>
      </c>
      <c r="H196" s="3">
        <f t="shared" si="132"/>
        <v>4.2437426023751848E-2</v>
      </c>
      <c r="I196" s="3">
        <f t="shared" si="132"/>
        <v>4.2437426023751848E-2</v>
      </c>
      <c r="J196" s="3">
        <f t="shared" si="132"/>
        <v>4.2437426023751848E-2</v>
      </c>
      <c r="K196" s="3">
        <f t="shared" si="132"/>
        <v>4.2437426023751848E-2</v>
      </c>
      <c r="L196" s="3">
        <f t="shared" si="132"/>
        <v>4.2437426023751848E-2</v>
      </c>
      <c r="M196" s="3">
        <f t="shared" si="132"/>
        <v>4.2437426023751848E-2</v>
      </c>
      <c r="N196" s="3">
        <f t="shared" si="132"/>
        <v>4.2437426023751848E-2</v>
      </c>
      <c r="O196" s="3">
        <f t="shared" si="132"/>
        <v>4.2437426023751848E-2</v>
      </c>
      <c r="P196" s="3">
        <f t="shared" si="132"/>
        <v>4.2437426023751848E-2</v>
      </c>
      <c r="Q196" s="3">
        <f t="shared" si="132"/>
        <v>4.2437426023751841E-2</v>
      </c>
      <c r="R196" s="3">
        <f t="shared" si="132"/>
        <v>4.2437426023751772E-2</v>
      </c>
      <c r="S196" s="3">
        <f t="shared" si="132"/>
        <v>4.2437426023751106E-2</v>
      </c>
      <c r="T196" s="3">
        <f t="shared" si="132"/>
        <v>4.2437426023744403E-2</v>
      </c>
      <c r="U196" s="3">
        <f t="shared" si="132"/>
        <v>4.2437426023677373E-2</v>
      </c>
      <c r="V196" s="3">
        <f t="shared" si="132"/>
        <v>4.2437426023007117E-2</v>
      </c>
      <c r="W196" s="3">
        <f t="shared" si="132"/>
        <v>4.2437426016304521E-2</v>
      </c>
      <c r="X196" s="3">
        <f t="shared" si="132"/>
        <v>4.2437425949278546E-2</v>
      </c>
      <c r="Y196" s="3">
        <f t="shared" si="132"/>
        <v>4.2437425279018851E-2</v>
      </c>
      <c r="Z196" s="3">
        <f t="shared" si="132"/>
        <v>4.2437418576422484E-2</v>
      </c>
      <c r="AA196" s="3">
        <f t="shared" si="132"/>
        <v>4.2437351550517026E-2</v>
      </c>
      <c r="AB196" s="3">
        <f t="shared" si="132"/>
        <v>4.2436681297284756E-2</v>
      </c>
      <c r="AC196" s="3">
        <f t="shared" si="132"/>
        <v>4.242997934716139E-2</v>
      </c>
      <c r="AD196" s="3">
        <f t="shared" si="132"/>
        <v>4.2363018031848783E-2</v>
      </c>
      <c r="AE196" s="3">
        <f t="shared" si="132"/>
        <v>4.1699189611279761E-2</v>
      </c>
      <c r="AF196" s="3">
        <f t="shared" si="132"/>
        <v>3.5606955183900155E-2</v>
      </c>
      <c r="AG196" s="3"/>
      <c r="AH196" s="3"/>
    </row>
    <row r="197" spans="1:34" x14ac:dyDescent="0.25">
      <c r="B197" s="3">
        <f t="shared" ref="B197:AF197" si="133">$C44*EXP(-B$168/$A44/EXP(-$C$126))</f>
        <v>2.9362775672931045E-2</v>
      </c>
      <c r="C197" s="3">
        <f t="shared" si="133"/>
        <v>2.9362775672931045E-2</v>
      </c>
      <c r="D197" s="3">
        <f t="shared" si="133"/>
        <v>2.9362775672931045E-2</v>
      </c>
      <c r="E197" s="3">
        <f t="shared" si="133"/>
        <v>2.9362775672931045E-2</v>
      </c>
      <c r="F197" s="3">
        <f t="shared" si="133"/>
        <v>2.9362775672931045E-2</v>
      </c>
      <c r="G197" s="3">
        <f t="shared" si="133"/>
        <v>2.9362775672931045E-2</v>
      </c>
      <c r="H197" s="3">
        <f t="shared" si="133"/>
        <v>2.9362775672931045E-2</v>
      </c>
      <c r="I197" s="3">
        <f t="shared" si="133"/>
        <v>2.9362775672931045E-2</v>
      </c>
      <c r="J197" s="3">
        <f t="shared" si="133"/>
        <v>2.9362775672931045E-2</v>
      </c>
      <c r="K197" s="3">
        <f t="shared" si="133"/>
        <v>2.9362775672931045E-2</v>
      </c>
      <c r="L197" s="3">
        <f t="shared" si="133"/>
        <v>2.9362775672931045E-2</v>
      </c>
      <c r="M197" s="3">
        <f t="shared" si="133"/>
        <v>2.9362775672931045E-2</v>
      </c>
      <c r="N197" s="3">
        <f t="shared" si="133"/>
        <v>2.9362775672931045E-2</v>
      </c>
      <c r="O197" s="3">
        <f t="shared" si="133"/>
        <v>2.9362775672931045E-2</v>
      </c>
      <c r="P197" s="3">
        <f t="shared" si="133"/>
        <v>2.9362775672931045E-2</v>
      </c>
      <c r="Q197" s="3">
        <f t="shared" si="133"/>
        <v>2.9362775672931045E-2</v>
      </c>
      <c r="R197" s="3">
        <f t="shared" si="133"/>
        <v>2.9362775672931038E-2</v>
      </c>
      <c r="S197" s="3">
        <f t="shared" si="133"/>
        <v>2.9362775672930993E-2</v>
      </c>
      <c r="T197" s="3">
        <f t="shared" si="133"/>
        <v>2.9362775672930531E-2</v>
      </c>
      <c r="U197" s="3">
        <f t="shared" si="133"/>
        <v>2.9362775672925889E-2</v>
      </c>
      <c r="V197" s="3">
        <f t="shared" si="133"/>
        <v>2.9362775672879517E-2</v>
      </c>
      <c r="W197" s="3">
        <f t="shared" si="133"/>
        <v>2.9362775672415759E-2</v>
      </c>
      <c r="X197" s="3">
        <f t="shared" si="133"/>
        <v>2.9362775667778184E-2</v>
      </c>
      <c r="Y197" s="3">
        <f t="shared" si="133"/>
        <v>2.9362775621402406E-2</v>
      </c>
      <c r="Z197" s="3">
        <f t="shared" si="133"/>
        <v>2.9362775157644658E-2</v>
      </c>
      <c r="AA197" s="3">
        <f t="shared" si="133"/>
        <v>2.9362770520067596E-2</v>
      </c>
      <c r="AB197" s="3">
        <f t="shared" si="133"/>
        <v>2.936272414433724E-2</v>
      </c>
      <c r="AC197" s="3">
        <f t="shared" si="133"/>
        <v>2.9362260391062191E-2</v>
      </c>
      <c r="AD197" s="3">
        <f t="shared" si="133"/>
        <v>2.9357623261139811E-2</v>
      </c>
      <c r="AE197" s="3">
        <f t="shared" si="133"/>
        <v>2.9311292221194357E-2</v>
      </c>
      <c r="AF197" s="3">
        <f t="shared" si="133"/>
        <v>2.8851984321898703E-2</v>
      </c>
      <c r="AG197" s="3"/>
      <c r="AH197" s="3"/>
    </row>
    <row r="198" spans="1:34" x14ac:dyDescent="0.25">
      <c r="B198" s="3">
        <f t="shared" ref="B198:AF198" si="134">$C45*EXP(-B$168/$A45/EXP(-$C$126))</f>
        <v>1.3317924951321973E-2</v>
      </c>
      <c r="C198" s="3">
        <f t="shared" si="134"/>
        <v>1.3317924951321973E-2</v>
      </c>
      <c r="D198" s="3">
        <f t="shared" si="134"/>
        <v>1.3317924951321973E-2</v>
      </c>
      <c r="E198" s="3">
        <f t="shared" si="134"/>
        <v>1.3317924951321973E-2</v>
      </c>
      <c r="F198" s="3">
        <f t="shared" si="134"/>
        <v>1.3317924951321973E-2</v>
      </c>
      <c r="G198" s="3">
        <f t="shared" si="134"/>
        <v>1.3317924951321973E-2</v>
      </c>
      <c r="H198" s="3">
        <f t="shared" si="134"/>
        <v>1.3317924951321973E-2</v>
      </c>
      <c r="I198" s="3">
        <f t="shared" si="134"/>
        <v>1.3317924951321973E-2</v>
      </c>
      <c r="J198" s="3">
        <f t="shared" si="134"/>
        <v>1.3317924951321973E-2</v>
      </c>
      <c r="K198" s="3">
        <f t="shared" si="134"/>
        <v>1.3317924951321973E-2</v>
      </c>
      <c r="L198" s="3">
        <f t="shared" si="134"/>
        <v>1.3317924951321973E-2</v>
      </c>
      <c r="M198" s="3">
        <f t="shared" si="134"/>
        <v>1.3317924951321973E-2</v>
      </c>
      <c r="N198" s="3">
        <f t="shared" si="134"/>
        <v>1.3317924951321973E-2</v>
      </c>
      <c r="O198" s="3">
        <f t="shared" si="134"/>
        <v>1.3317924951321973E-2</v>
      </c>
      <c r="P198" s="3">
        <f t="shared" si="134"/>
        <v>1.3317924951321973E-2</v>
      </c>
      <c r="Q198" s="3">
        <f t="shared" si="134"/>
        <v>1.3317924951321973E-2</v>
      </c>
      <c r="R198" s="3">
        <f t="shared" si="134"/>
        <v>1.3317924951321973E-2</v>
      </c>
      <c r="S198" s="3">
        <f t="shared" si="134"/>
        <v>1.3317924951321969E-2</v>
      </c>
      <c r="T198" s="3">
        <f t="shared" si="134"/>
        <v>1.3317924951321948E-2</v>
      </c>
      <c r="U198" s="3">
        <f t="shared" si="134"/>
        <v>1.3317924951321738E-2</v>
      </c>
      <c r="V198" s="3">
        <f t="shared" si="134"/>
        <v>1.3317924951319634E-2</v>
      </c>
      <c r="W198" s="3">
        <f t="shared" si="134"/>
        <v>1.3317924951298601E-2</v>
      </c>
      <c r="X198" s="3">
        <f t="shared" si="134"/>
        <v>1.3317924951088257E-2</v>
      </c>
      <c r="Y198" s="3">
        <f t="shared" si="134"/>
        <v>1.3317924948984814E-2</v>
      </c>
      <c r="Z198" s="3">
        <f t="shared" si="134"/>
        <v>1.3317924927950388E-2</v>
      </c>
      <c r="AA198" s="3">
        <f t="shared" si="134"/>
        <v>1.3317924717606145E-2</v>
      </c>
      <c r="AB198" s="3">
        <f t="shared" si="134"/>
        <v>1.3317922614163884E-2</v>
      </c>
      <c r="AC198" s="3">
        <f t="shared" si="134"/>
        <v>1.331790157975953E-2</v>
      </c>
      <c r="AD198" s="3">
        <f t="shared" si="134"/>
        <v>1.3317691237543188E-2</v>
      </c>
      <c r="AE198" s="3">
        <f t="shared" si="134"/>
        <v>1.3315587998088452E-2</v>
      </c>
      <c r="AF198" s="3">
        <f t="shared" si="134"/>
        <v>1.3294573863737419E-2</v>
      </c>
      <c r="AG198" s="3"/>
      <c r="AH198" s="3"/>
    </row>
    <row r="199" spans="1:34" x14ac:dyDescent="0.25">
      <c r="B199" s="3">
        <f t="shared" ref="B199:AF199" si="135">$C46*EXP(-B$168/$A46/EXP(-$C$126))</f>
        <v>4.0600750332731679E-3</v>
      </c>
      <c r="C199" s="3">
        <f t="shared" si="135"/>
        <v>4.0600750332731679E-3</v>
      </c>
      <c r="D199" s="3">
        <f t="shared" si="135"/>
        <v>4.0600750332731679E-3</v>
      </c>
      <c r="E199" s="3">
        <f t="shared" si="135"/>
        <v>4.0600750332731679E-3</v>
      </c>
      <c r="F199" s="3">
        <f t="shared" si="135"/>
        <v>4.0600750332731679E-3</v>
      </c>
      <c r="G199" s="3">
        <f t="shared" si="135"/>
        <v>4.0600750332731679E-3</v>
      </c>
      <c r="H199" s="3">
        <f t="shared" si="135"/>
        <v>4.0600750332731679E-3</v>
      </c>
      <c r="I199" s="3">
        <f t="shared" si="135"/>
        <v>4.0600750332731679E-3</v>
      </c>
      <c r="J199" s="3">
        <f t="shared" si="135"/>
        <v>4.0600750332731679E-3</v>
      </c>
      <c r="K199" s="3">
        <f t="shared" si="135"/>
        <v>4.0600750332731679E-3</v>
      </c>
      <c r="L199" s="3">
        <f t="shared" si="135"/>
        <v>4.0600750332731679E-3</v>
      </c>
      <c r="M199" s="3">
        <f t="shared" si="135"/>
        <v>4.0600750332731679E-3</v>
      </c>
      <c r="N199" s="3">
        <f t="shared" si="135"/>
        <v>4.0600750332731679E-3</v>
      </c>
      <c r="O199" s="3">
        <f t="shared" si="135"/>
        <v>4.0600750332731679E-3</v>
      </c>
      <c r="P199" s="3">
        <f t="shared" si="135"/>
        <v>4.0600750332731679E-3</v>
      </c>
      <c r="Q199" s="3">
        <f t="shared" si="135"/>
        <v>4.0600750332731679E-3</v>
      </c>
      <c r="R199" s="3">
        <f t="shared" si="135"/>
        <v>4.0600750332731679E-3</v>
      </c>
      <c r="S199" s="3">
        <f t="shared" si="135"/>
        <v>4.0600750332731679E-3</v>
      </c>
      <c r="T199" s="3">
        <f t="shared" si="135"/>
        <v>4.060075033273167E-3</v>
      </c>
      <c r="U199" s="3">
        <f t="shared" si="135"/>
        <v>4.0600750332731609E-3</v>
      </c>
      <c r="V199" s="3">
        <f t="shared" si="135"/>
        <v>4.0600750332730967E-3</v>
      </c>
      <c r="W199" s="3">
        <f t="shared" si="135"/>
        <v>4.0600750332724549E-3</v>
      </c>
      <c r="X199" s="3">
        <f t="shared" si="135"/>
        <v>4.0600750332660425E-3</v>
      </c>
      <c r="Y199" s="3">
        <f t="shared" si="135"/>
        <v>4.0600750332019176E-3</v>
      </c>
      <c r="Z199" s="3">
        <f t="shared" si="135"/>
        <v>4.0600750325606666E-3</v>
      </c>
      <c r="AA199" s="3">
        <f t="shared" si="135"/>
        <v>4.0600750261481555E-3</v>
      </c>
      <c r="AB199" s="3">
        <f t="shared" si="135"/>
        <v>4.060074962023044E-3</v>
      </c>
      <c r="AC199" s="3">
        <f t="shared" si="135"/>
        <v>4.0600743207719909E-3</v>
      </c>
      <c r="AD199" s="3">
        <f t="shared" si="135"/>
        <v>4.0600679082670194E-3</v>
      </c>
      <c r="AE199" s="3">
        <f t="shared" si="135"/>
        <v>4.0600037837743418E-3</v>
      </c>
      <c r="AF199" s="3">
        <f t="shared" si="135"/>
        <v>4.0593625945477638E-3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6.6069827735831333E-3</v>
      </c>
      <c r="C201" s="3">
        <f t="shared" si="137"/>
        <v>6.6069827735831333E-3</v>
      </c>
      <c r="D201" s="3">
        <f t="shared" si="137"/>
        <v>6.6069827735831333E-3</v>
      </c>
      <c r="E201" s="3">
        <f t="shared" si="137"/>
        <v>6.6069827735831333E-3</v>
      </c>
      <c r="F201" s="3">
        <f t="shared" si="137"/>
        <v>6.6069827735831333E-3</v>
      </c>
      <c r="G201" s="3">
        <f t="shared" si="137"/>
        <v>6.6069827735831333E-3</v>
      </c>
      <c r="H201" s="3">
        <f t="shared" si="137"/>
        <v>6.6069827735831333E-3</v>
      </c>
      <c r="I201" s="3">
        <f t="shared" si="137"/>
        <v>6.6069827735831333E-3</v>
      </c>
      <c r="J201" s="3">
        <f t="shared" si="137"/>
        <v>6.6069827735831333E-3</v>
      </c>
      <c r="K201" s="3">
        <f t="shared" si="137"/>
        <v>6.6069827735831333E-3</v>
      </c>
      <c r="L201" s="3">
        <f t="shared" si="137"/>
        <v>6.6069827735831333E-3</v>
      </c>
      <c r="M201" s="3">
        <f t="shared" si="137"/>
        <v>6.6069827735831333E-3</v>
      </c>
      <c r="N201" s="3">
        <f t="shared" si="137"/>
        <v>6.6069827735831333E-3</v>
      </c>
      <c r="O201" s="3">
        <f t="shared" si="137"/>
        <v>6.6069827735831333E-3</v>
      </c>
      <c r="P201" s="3">
        <f t="shared" si="137"/>
        <v>6.6069827735831333E-3</v>
      </c>
      <c r="Q201" s="3">
        <f t="shared" si="137"/>
        <v>6.6069827735831333E-3</v>
      </c>
      <c r="R201" s="3">
        <f t="shared" si="137"/>
        <v>6.6069827735831333E-3</v>
      </c>
      <c r="S201" s="3">
        <f t="shared" si="137"/>
        <v>6.6069827735831333E-3</v>
      </c>
      <c r="T201" s="3">
        <f t="shared" si="137"/>
        <v>6.6069827735831333E-3</v>
      </c>
      <c r="U201" s="3">
        <f t="shared" si="137"/>
        <v>6.6069827735831333E-3</v>
      </c>
      <c r="V201" s="3">
        <f t="shared" si="137"/>
        <v>6.6069827735831315E-3</v>
      </c>
      <c r="W201" s="3">
        <f t="shared" si="137"/>
        <v>6.6069827735831211E-3</v>
      </c>
      <c r="X201" s="3">
        <f t="shared" si="137"/>
        <v>6.606982773583017E-3</v>
      </c>
      <c r="Y201" s="3">
        <f t="shared" si="137"/>
        <v>6.6069827735819736E-3</v>
      </c>
      <c r="Z201" s="3">
        <f t="shared" si="137"/>
        <v>6.6069827735715384E-3</v>
      </c>
      <c r="AA201" s="3">
        <f t="shared" si="137"/>
        <v>6.6069827734671878E-3</v>
      </c>
      <c r="AB201" s="3">
        <f t="shared" si="137"/>
        <v>6.6069827724236762E-3</v>
      </c>
      <c r="AC201" s="3">
        <f t="shared" si="137"/>
        <v>6.6069827619885607E-3</v>
      </c>
      <c r="AD201" s="3">
        <f t="shared" si="137"/>
        <v>6.6069826576374098E-3</v>
      </c>
      <c r="AE201" s="3">
        <f t="shared" si="137"/>
        <v>6.6069816141259884E-3</v>
      </c>
      <c r="AF201" s="3">
        <f t="shared" si="137"/>
        <v>6.6069711790208412E-3</v>
      </c>
      <c r="AG201" s="3"/>
      <c r="AH201" s="3"/>
    </row>
    <row r="202" spans="1:34" x14ac:dyDescent="0.25">
      <c r="A202" s="79">
        <f>AVERAGE(B202:AF202)</f>
        <v>7.1510770548930361E-2</v>
      </c>
      <c r="B202" s="80">
        <f>IF($A$64&lt;=B168,IF($B$64&gt;=B168,ABS((B170-B169)/B169),0),0)</f>
        <v>1.1707649701896838E-2</v>
      </c>
      <c r="C202" s="80">
        <f t="shared" ref="C202:AF202" si="138">IF($A$64&lt;=C168,IF($B$64&gt;=C168,ABS((C170-C169)/C169),0),0)</f>
        <v>1.1717693668494613E-2</v>
      </c>
      <c r="D202" s="80">
        <f t="shared" si="138"/>
        <v>1.1712413506950386E-2</v>
      </c>
      <c r="E202" s="80">
        <f t="shared" si="138"/>
        <v>1.1711047660751813E-2</v>
      </c>
      <c r="F202" s="80">
        <f t="shared" si="138"/>
        <v>1.1710656229274237E-2</v>
      </c>
      <c r="G202" s="80">
        <f t="shared" si="138"/>
        <v>1.1710531304881299E-2</v>
      </c>
      <c r="H202" s="80">
        <f t="shared" si="138"/>
        <v>1.1710497997208571E-2</v>
      </c>
      <c r="I202" s="80">
        <f t="shared" si="138"/>
        <v>1.1710481397039604E-2</v>
      </c>
      <c r="J202" s="80">
        <f t="shared" si="138"/>
        <v>1.1710481961957897E-2</v>
      </c>
      <c r="K202" s="80">
        <f t="shared" si="138"/>
        <v>1.1710470954477454E-2</v>
      </c>
      <c r="L202" s="80">
        <f t="shared" si="138"/>
        <v>1.1710502461119422E-2</v>
      </c>
      <c r="M202" s="80">
        <f t="shared" si="138"/>
        <v>1.1710709241820787E-2</v>
      </c>
      <c r="N202" s="80">
        <f t="shared" si="138"/>
        <v>1.1712808620826324E-2</v>
      </c>
      <c r="O202" s="80">
        <f t="shared" si="138"/>
        <v>1.1733704166907262E-2</v>
      </c>
      <c r="P202" s="80">
        <f t="shared" si="138"/>
        <v>1.1929031469903753E-2</v>
      </c>
      <c r="Q202" s="80">
        <f t="shared" si="138"/>
        <v>1.3089563603118299E-2</v>
      </c>
      <c r="R202" s="80">
        <f t="shared" si="138"/>
        <v>1.5954289134713806E-2</v>
      </c>
      <c r="S202" s="80">
        <f t="shared" si="138"/>
        <v>1.3971819946669127E-2</v>
      </c>
      <c r="T202" s="80">
        <f t="shared" si="138"/>
        <v>4.8689142800636444E-3</v>
      </c>
      <c r="U202" s="80">
        <f t="shared" si="138"/>
        <v>5.1834816883916911E-2</v>
      </c>
      <c r="V202" s="80">
        <f t="shared" si="138"/>
        <v>0.18584841446430753</v>
      </c>
      <c r="W202" s="80">
        <f t="shared" si="138"/>
        <v>0.34112661558337648</v>
      </c>
      <c r="X202" s="80">
        <f t="shared" si="138"/>
        <v>0.40983811052110408</v>
      </c>
      <c r="Y202" s="80">
        <f t="shared" si="138"/>
        <v>0.35258675329466888</v>
      </c>
      <c r="Z202" s="80">
        <f t="shared" si="138"/>
        <v>0.24769783840879964</v>
      </c>
      <c r="AA202" s="80">
        <f t="shared" si="138"/>
        <v>0.15622943336154149</v>
      </c>
      <c r="AB202" s="80">
        <f t="shared" si="138"/>
        <v>0.10035002947445494</v>
      </c>
      <c r="AC202" s="80">
        <f t="shared" si="138"/>
        <v>3.8242712792422209E-2</v>
      </c>
      <c r="AD202" s="80">
        <f t="shared" si="138"/>
        <v>4.3608917461293237E-3</v>
      </c>
      <c r="AE202" s="80">
        <f t="shared" si="138"/>
        <v>2.9741606312388962E-2</v>
      </c>
      <c r="AF202" s="80">
        <f t="shared" si="138"/>
        <v>7.5183396865655616E-2</v>
      </c>
    </row>
    <row r="203" spans="1:34" x14ac:dyDescent="0.25">
      <c r="B203" s="21">
        <f>(B170-B169)^2</f>
        <v>7452.4759243980561</v>
      </c>
      <c r="C203" s="21">
        <f t="shared" ref="C203:AF203" si="139">(C170-C169)^2</f>
        <v>7465.4200749459278</v>
      </c>
      <c r="D203" s="21">
        <f t="shared" si="139"/>
        <v>7458.6138397183158</v>
      </c>
      <c r="E203" s="21">
        <f t="shared" si="139"/>
        <v>7456.8537534456864</v>
      </c>
      <c r="F203" s="21">
        <f t="shared" si="139"/>
        <v>7456.3493777348231</v>
      </c>
      <c r="G203" s="21">
        <f t="shared" si="139"/>
        <v>7456.1884111343916</v>
      </c>
      <c r="H203" s="21">
        <f t="shared" si="139"/>
        <v>7456.1454940100684</v>
      </c>
      <c r="I203" s="21">
        <f t="shared" si="139"/>
        <v>7456.1241038359276</v>
      </c>
      <c r="J203" s="21">
        <f t="shared" si="139"/>
        <v>7456.1248232087446</v>
      </c>
      <c r="K203" s="21">
        <f t="shared" si="139"/>
        <v>7456.1105548441165</v>
      </c>
      <c r="L203" s="21">
        <f t="shared" si="139"/>
        <v>7456.1502987463773</v>
      </c>
      <c r="M203" s="21">
        <f t="shared" si="139"/>
        <v>7456.4082143744072</v>
      </c>
      <c r="N203" s="21">
        <f t="shared" si="139"/>
        <v>7459.0283202805085</v>
      </c>
      <c r="O203" s="21">
        <f t="shared" si="139"/>
        <v>7485.1294488692838</v>
      </c>
      <c r="P203" s="21">
        <f t="shared" si="139"/>
        <v>7730.912981837605</v>
      </c>
      <c r="Q203" s="21">
        <f t="shared" si="139"/>
        <v>9247.439049691784</v>
      </c>
      <c r="R203" s="21">
        <f t="shared" si="139"/>
        <v>13288.756266981902</v>
      </c>
      <c r="S203" s="21">
        <f t="shared" si="139"/>
        <v>9770.2349760030447</v>
      </c>
      <c r="T203" s="21">
        <f t="shared" si="139"/>
        <v>1108.2668770476032</v>
      </c>
      <c r="U203" s="21">
        <f t="shared" si="139"/>
        <v>106291.64065715241</v>
      </c>
      <c r="V203" s="21">
        <f t="shared" si="139"/>
        <v>1004602.0453602339</v>
      </c>
      <c r="W203" s="21">
        <f t="shared" si="139"/>
        <v>2418345.8941867491</v>
      </c>
      <c r="X203" s="21">
        <f t="shared" si="139"/>
        <v>2590984.4825617331</v>
      </c>
      <c r="Y203" s="21">
        <f t="shared" si="139"/>
        <v>1497607.7818993533</v>
      </c>
      <c r="Z203" s="21">
        <f t="shared" si="139"/>
        <v>596909.46368583769</v>
      </c>
      <c r="AA203" s="21">
        <f t="shared" si="139"/>
        <v>194025.38886447129</v>
      </c>
      <c r="AB203" s="21">
        <f t="shared" si="139"/>
        <v>64249.942158903912</v>
      </c>
      <c r="AC203" s="21">
        <f t="shared" si="139"/>
        <v>6967.4189741118871</v>
      </c>
      <c r="AD203" s="21">
        <f t="shared" si="139"/>
        <v>60.65474615506966</v>
      </c>
      <c r="AE203" s="21">
        <f t="shared" si="139"/>
        <v>1582.8917098423685</v>
      </c>
      <c r="AF203" s="21">
        <f t="shared" si="139"/>
        <v>4224.6885001254132</v>
      </c>
      <c r="AG203" s="3"/>
      <c r="AH203" s="3"/>
    </row>
    <row r="204" spans="1:34" x14ac:dyDescent="0.25">
      <c r="A204" s="71">
        <f>SUM(B204:AF204)</f>
        <v>8631425.0260957778</v>
      </c>
      <c r="B204" s="60">
        <f>IF($A$64&lt;=B168,IF($B$64&gt;=B168,ABS(B203),0),0)</f>
        <v>7452.4759243980561</v>
      </c>
      <c r="C204" s="60">
        <f t="shared" ref="C204" si="140">IF($A$64&lt;=C168,IF($B$64&gt;=C168,ABS(C203),0),0)</f>
        <v>7465.4200749459278</v>
      </c>
      <c r="D204" s="60">
        <f t="shared" ref="D204" si="141">IF($A$64&lt;=D168,IF($B$64&gt;=D168,ABS(D203),0),0)</f>
        <v>7458.6138397183158</v>
      </c>
      <c r="E204" s="60">
        <f t="shared" ref="E204" si="142">IF($A$64&lt;=E168,IF($B$64&gt;=E168,ABS(E203),0),0)</f>
        <v>7456.8537534456864</v>
      </c>
      <c r="F204" s="60">
        <f t="shared" ref="F204" si="143">IF($A$64&lt;=F168,IF($B$64&gt;=F168,ABS(F203),0),0)</f>
        <v>7456.3493777348231</v>
      </c>
      <c r="G204" s="60">
        <f t="shared" ref="G204" si="144">IF($A$64&lt;=G168,IF($B$64&gt;=G168,ABS(G203),0),0)</f>
        <v>7456.1884111343916</v>
      </c>
      <c r="H204" s="60">
        <f t="shared" ref="H204" si="145">IF($A$64&lt;=H168,IF($B$64&gt;=H168,ABS(H203),0),0)</f>
        <v>7456.1454940100684</v>
      </c>
      <c r="I204" s="60">
        <f t="shared" ref="I204" si="146">IF($A$64&lt;=I168,IF($B$64&gt;=I168,ABS(I203),0),0)</f>
        <v>7456.1241038359276</v>
      </c>
      <c r="J204" s="60">
        <f t="shared" ref="J204" si="147">IF($A$64&lt;=J168,IF($B$64&gt;=J168,ABS(J203),0),0)</f>
        <v>7456.1248232087446</v>
      </c>
      <c r="K204" s="60">
        <f t="shared" ref="K204" si="148">IF($A$64&lt;=K168,IF($B$64&gt;=K168,ABS(K203),0),0)</f>
        <v>7456.1105548441165</v>
      </c>
      <c r="L204" s="60">
        <f t="shared" ref="L204" si="149">IF($A$64&lt;=L168,IF($B$64&gt;=L168,ABS(L203),0),0)</f>
        <v>7456.1502987463773</v>
      </c>
      <c r="M204" s="60">
        <f t="shared" ref="M204" si="150">IF($A$64&lt;=M168,IF($B$64&gt;=M168,ABS(M203),0),0)</f>
        <v>7456.4082143744072</v>
      </c>
      <c r="N204" s="60">
        <f t="shared" ref="N204" si="151">IF($A$64&lt;=N168,IF($B$64&gt;=N168,ABS(N203),0),0)</f>
        <v>7459.0283202805085</v>
      </c>
      <c r="O204" s="60">
        <f t="shared" ref="O204" si="152">IF($A$64&lt;=O168,IF($B$64&gt;=O168,ABS(O203),0),0)</f>
        <v>7485.1294488692838</v>
      </c>
      <c r="P204" s="60">
        <f t="shared" ref="P204" si="153">IF($A$64&lt;=P168,IF($B$64&gt;=P168,ABS(P203),0),0)</f>
        <v>7730.912981837605</v>
      </c>
      <c r="Q204" s="60">
        <f t="shared" ref="Q204" si="154">IF($A$64&lt;=Q168,IF($B$64&gt;=Q168,ABS(Q203),0),0)</f>
        <v>9247.439049691784</v>
      </c>
      <c r="R204" s="60">
        <f t="shared" ref="R204" si="155">IF($A$64&lt;=R168,IF($B$64&gt;=R168,ABS(R203),0),0)</f>
        <v>13288.756266981902</v>
      </c>
      <c r="S204" s="60">
        <f t="shared" ref="S204" si="156">IF($A$64&lt;=S168,IF($B$64&gt;=S168,ABS(S203),0),0)</f>
        <v>9770.2349760030447</v>
      </c>
      <c r="T204" s="60">
        <f t="shared" ref="T204" si="157">IF($A$64&lt;=T168,IF($B$64&gt;=T168,ABS(T203),0),0)</f>
        <v>1108.2668770476032</v>
      </c>
      <c r="U204" s="60">
        <f t="shared" ref="U204" si="158">IF($A$64&lt;=U168,IF($B$64&gt;=U168,ABS(U203),0),0)</f>
        <v>106291.64065715241</v>
      </c>
      <c r="V204" s="60">
        <f t="shared" ref="V204" si="159">IF($A$64&lt;=V168,IF($B$64&gt;=V168,ABS(V203),0),0)</f>
        <v>1004602.0453602339</v>
      </c>
      <c r="W204" s="60">
        <f t="shared" ref="W204" si="160">IF($A$64&lt;=W168,IF($B$64&gt;=W168,ABS(W203),0),0)</f>
        <v>2418345.8941867491</v>
      </c>
      <c r="X204" s="60">
        <f t="shared" ref="X204" si="161">IF($A$64&lt;=X168,IF($B$64&gt;=X168,ABS(X203),0),0)</f>
        <v>2590984.4825617331</v>
      </c>
      <c r="Y204" s="60">
        <f t="shared" ref="Y204" si="162">IF($A$64&lt;=Y168,IF($B$64&gt;=Y168,ABS(Y203),0),0)</f>
        <v>1497607.7818993533</v>
      </c>
      <c r="Z204" s="60">
        <f t="shared" ref="Z204" si="163">IF($A$64&lt;=Z168,IF($B$64&gt;=Z168,ABS(Z203),0),0)</f>
        <v>596909.46368583769</v>
      </c>
      <c r="AA204" s="60">
        <f t="shared" ref="AA204" si="164">IF($A$64&lt;=AA168,IF($B$64&gt;=AA168,ABS(AA203),0),0)</f>
        <v>194025.38886447129</v>
      </c>
      <c r="AB204" s="60">
        <f t="shared" ref="AB204" si="165">IF($A$64&lt;=AB168,IF($B$64&gt;=AB168,ABS(AB203),0),0)</f>
        <v>64249.942158903912</v>
      </c>
      <c r="AC204" s="60">
        <f t="shared" ref="AC204" si="166">IF($A$64&lt;=AC168,IF($B$64&gt;=AC168,ABS(AC203),0),0)</f>
        <v>6967.4189741118871</v>
      </c>
      <c r="AD204" s="60">
        <f t="shared" ref="AD204" si="167">IF($A$64&lt;=AD168,IF($B$64&gt;=AD168,ABS(AD203),0),0)</f>
        <v>60.65474615506966</v>
      </c>
      <c r="AE204" s="60">
        <f t="shared" ref="AE204" si="168">IF($A$64&lt;=AE168,IF($B$64&gt;=AE168,ABS(AE203),0),0)</f>
        <v>1582.8917098423685</v>
      </c>
      <c r="AF204" s="60">
        <f t="shared" ref="AF204" si="169">IF($A$64&lt;=AF168,IF($B$64&gt;=AF168,ABS(AF203),0),0)</f>
        <v>4224.6885001254132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7287.2891982852561</v>
      </c>
      <c r="C209" s="27">
        <f t="shared" ref="C209:AF209" si="170">($C$17+SUM(C210:C240))*$B$51</f>
        <v>7287.2891982852234</v>
      </c>
      <c r="D209" s="27">
        <f t="shared" si="170"/>
        <v>7287.2891982848932</v>
      </c>
      <c r="E209" s="27">
        <f t="shared" si="170"/>
        <v>7287.2891982815891</v>
      </c>
      <c r="F209" s="27">
        <f t="shared" si="170"/>
        <v>7287.289198248548</v>
      </c>
      <c r="G209" s="27">
        <f t="shared" si="170"/>
        <v>7287.2891979181441</v>
      </c>
      <c r="H209" s="27">
        <f t="shared" si="170"/>
        <v>7287.2891946140917</v>
      </c>
      <c r="I209" s="27">
        <f t="shared" si="170"/>
        <v>7287.2891615735925</v>
      </c>
      <c r="J209" s="27">
        <f t="shared" si="170"/>
        <v>7287.2888311694242</v>
      </c>
      <c r="K209" s="27">
        <f t="shared" si="170"/>
        <v>7287.2855272095967</v>
      </c>
      <c r="L209" s="27">
        <f t="shared" si="170"/>
        <v>7287.2524957941068</v>
      </c>
      <c r="M209" s="27">
        <f t="shared" si="170"/>
        <v>7286.9229964345295</v>
      </c>
      <c r="N209" s="27">
        <f t="shared" si="170"/>
        <v>7283.7061279415911</v>
      </c>
      <c r="O209" s="27">
        <f t="shared" si="170"/>
        <v>7256.9708074635519</v>
      </c>
      <c r="P209" s="27">
        <f t="shared" si="170"/>
        <v>7127.8186345427248</v>
      </c>
      <c r="Q209" s="27">
        <f t="shared" si="170"/>
        <v>6990.9094338135583</v>
      </c>
      <c r="R209" s="27">
        <f t="shared" si="170"/>
        <v>6825.4580074601117</v>
      </c>
      <c r="S209" s="27">
        <f t="shared" si="170"/>
        <v>6637.6102992380265</v>
      </c>
      <c r="T209" s="27">
        <f t="shared" si="170"/>
        <v>6422.3681067930074</v>
      </c>
      <c r="U209" s="27">
        <f t="shared" si="170"/>
        <v>6150.7762369649281</v>
      </c>
      <c r="V209" s="27">
        <f t="shared" si="170"/>
        <v>5621.015945667109</v>
      </c>
      <c r="W209" s="27">
        <f t="shared" si="170"/>
        <v>4787.9277450906338</v>
      </c>
      <c r="X209" s="27">
        <f t="shared" si="170"/>
        <v>3961.7976373734809</v>
      </c>
      <c r="Y209" s="27">
        <f t="shared" si="170"/>
        <v>3313.0723301697162</v>
      </c>
      <c r="Z209" s="27">
        <f t="shared" si="170"/>
        <v>2816.8269092155047</v>
      </c>
      <c r="AA209" s="27">
        <f t="shared" si="170"/>
        <v>2317.3467295312012</v>
      </c>
      <c r="AB209" s="27">
        <f t="shared" si="170"/>
        <v>1846.9967361743932</v>
      </c>
      <c r="AC209" s="27">
        <f t="shared" si="170"/>
        <v>1353.5678979542022</v>
      </c>
      <c r="AD209" s="27">
        <f t="shared" si="170"/>
        <v>851.38213364560534</v>
      </c>
      <c r="AE209" s="27">
        <f t="shared" si="170"/>
        <v>495.74859051704448</v>
      </c>
      <c r="AF209" s="27">
        <f t="shared" si="170"/>
        <v>272.92162794675318</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8.2357212069035892E-4</v>
      </c>
      <c r="C219" s="3">
        <f t="shared" si="180"/>
        <v>8.2357212068919991E-4</v>
      </c>
      <c r="D219" s="3">
        <f t="shared" si="180"/>
        <v>8.2357212067761087E-4</v>
      </c>
      <c r="E219" s="3">
        <f t="shared" si="180"/>
        <v>8.2357212056171985E-4</v>
      </c>
      <c r="F219" s="3">
        <f t="shared" si="180"/>
        <v>8.2357211940281008E-4</v>
      </c>
      <c r="G219" s="3">
        <f t="shared" si="180"/>
        <v>8.2357210781371234E-4</v>
      </c>
      <c r="H219" s="3">
        <f t="shared" si="180"/>
        <v>8.2357199192274429E-4</v>
      </c>
      <c r="I219" s="3">
        <f t="shared" si="180"/>
        <v>8.2357083301396025E-4</v>
      </c>
      <c r="J219" s="3">
        <f t="shared" si="180"/>
        <v>8.2355924401581316E-4</v>
      </c>
      <c r="K219" s="3">
        <f t="shared" si="180"/>
        <v>8.2344336300315909E-4</v>
      </c>
      <c r="L219" s="3">
        <f t="shared" si="180"/>
        <v>8.2228544929157537E-4</v>
      </c>
      <c r="M219" s="3">
        <f t="shared" si="180"/>
        <v>8.1079548870037748E-4</v>
      </c>
      <c r="N219" s="3">
        <f t="shared" si="180"/>
        <v>7.0436619847492464E-4</v>
      </c>
      <c r="O219" s="3">
        <f t="shared" si="180"/>
        <v>1.7245283447351299E-4</v>
      </c>
      <c r="P219" s="3">
        <f t="shared" si="180"/>
        <v>1.3347153032092775E-10</v>
      </c>
      <c r="Q219" s="3">
        <f t="shared" si="180"/>
        <v>1.0293703857918691E-71</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2.4665844117639259E-2</v>
      </c>
      <c r="C220" s="3">
        <f t="shared" si="181"/>
        <v>2.4665844117636129E-2</v>
      </c>
      <c r="D220" s="3">
        <f t="shared" si="181"/>
        <v>2.4665844117604818E-2</v>
      </c>
      <c r="E220" s="3">
        <f t="shared" si="181"/>
        <v>2.466584411729171E-2</v>
      </c>
      <c r="F220" s="3">
        <f t="shared" si="181"/>
        <v>2.4665844114160656E-2</v>
      </c>
      <c r="G220" s="3">
        <f t="shared" si="181"/>
        <v>2.4665844082850115E-2</v>
      </c>
      <c r="H220" s="3">
        <f t="shared" si="181"/>
        <v>2.4665843769744716E-2</v>
      </c>
      <c r="I220" s="3">
        <f t="shared" si="181"/>
        <v>2.4665840638690904E-2</v>
      </c>
      <c r="J220" s="3">
        <f t="shared" si="181"/>
        <v>2.4665809328174675E-2</v>
      </c>
      <c r="K220" s="3">
        <f t="shared" si="181"/>
        <v>2.4665496225198355E-2</v>
      </c>
      <c r="L220" s="3">
        <f t="shared" si="181"/>
        <v>2.4662365414022606E-2</v>
      </c>
      <c r="M220" s="3">
        <f t="shared" si="181"/>
        <v>2.4631079150744542E-2</v>
      </c>
      <c r="N220" s="3">
        <f t="shared" si="181"/>
        <v>2.4320391139002258E-2</v>
      </c>
      <c r="O220" s="3">
        <f t="shared" si="181"/>
        <v>2.142109712339146E-2</v>
      </c>
      <c r="P220" s="3">
        <f t="shared" si="181"/>
        <v>6.0194007807959863E-3</v>
      </c>
      <c r="Q220" s="3">
        <f t="shared" si="181"/>
        <v>1.8478587038055632E-8</v>
      </c>
      <c r="R220" s="3">
        <f t="shared" si="181"/>
        <v>1.3734844795009491E-63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1.6291197925316744E-2</v>
      </c>
      <c r="C221" s="3">
        <f t="shared" si="182"/>
        <v>1.6291197925316556E-2</v>
      </c>
      <c r="D221" s="3">
        <f t="shared" si="182"/>
        <v>1.6291197925314693E-2</v>
      </c>
      <c r="E221" s="3">
        <f t="shared" si="182"/>
        <v>1.6291197925296038E-2</v>
      </c>
      <c r="F221" s="3">
        <f t="shared" si="182"/>
        <v>1.6291197925109486E-2</v>
      </c>
      <c r="G221" s="3">
        <f t="shared" si="182"/>
        <v>1.6291197923243992E-2</v>
      </c>
      <c r="H221" s="3">
        <f t="shared" si="182"/>
        <v>1.6291197904589036E-2</v>
      </c>
      <c r="I221" s="3">
        <f t="shared" si="182"/>
        <v>1.6291197718039496E-2</v>
      </c>
      <c r="J221" s="3">
        <f t="shared" si="182"/>
        <v>1.6291195852544179E-2</v>
      </c>
      <c r="K221" s="3">
        <f t="shared" si="182"/>
        <v>1.6291177197602761E-2</v>
      </c>
      <c r="L221" s="3">
        <f t="shared" si="182"/>
        <v>1.6290990649363495E-2</v>
      </c>
      <c r="M221" s="3">
        <f t="shared" si="182"/>
        <v>1.6289125284454541E-2</v>
      </c>
      <c r="N221" s="3">
        <f t="shared" si="182"/>
        <v>1.6270483378758794E-2</v>
      </c>
      <c r="O221" s="3">
        <f t="shared" si="182"/>
        <v>1.6085233700887949E-2</v>
      </c>
      <c r="P221" s="3">
        <f t="shared" si="182"/>
        <v>1.4344868474642489E-2</v>
      </c>
      <c r="Q221" s="3">
        <f t="shared" si="182"/>
        <v>4.5644507550542928E-3</v>
      </c>
      <c r="R221" s="3">
        <f t="shared" si="182"/>
        <v>4.856328750881486E-8</v>
      </c>
      <c r="S221" s="3">
        <f t="shared" si="182"/>
        <v>9.0261720478743324E-58</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2.6847553865855692E-2</v>
      </c>
      <c r="C222" s="3">
        <f t="shared" si="183"/>
        <v>2.6847553865855665E-2</v>
      </c>
      <c r="D222" s="3">
        <f t="shared" si="183"/>
        <v>2.6847553865855391E-2</v>
      </c>
      <c r="E222" s="3">
        <f t="shared" si="183"/>
        <v>2.6847553865852615E-2</v>
      </c>
      <c r="F222" s="3">
        <f t="shared" si="183"/>
        <v>2.684755386582488E-2</v>
      </c>
      <c r="G222" s="3">
        <f t="shared" si="183"/>
        <v>2.6847553865547553E-2</v>
      </c>
      <c r="H222" s="3">
        <f t="shared" si="183"/>
        <v>2.6847553862774282E-2</v>
      </c>
      <c r="I222" s="3">
        <f t="shared" si="183"/>
        <v>2.6847553835041563E-2</v>
      </c>
      <c r="J222" s="3">
        <f t="shared" si="183"/>
        <v>2.684755355771435E-2</v>
      </c>
      <c r="K222" s="3">
        <f t="shared" si="183"/>
        <v>2.6847550784442401E-2</v>
      </c>
      <c r="L222" s="3">
        <f t="shared" si="183"/>
        <v>2.6847523051738639E-2</v>
      </c>
      <c r="M222" s="3">
        <f t="shared" si="183"/>
        <v>2.6847245726276631E-2</v>
      </c>
      <c r="N222" s="3">
        <f t="shared" si="183"/>
        <v>2.684447262920877E-2</v>
      </c>
      <c r="O222" s="3">
        <f t="shared" si="183"/>
        <v>2.6816757407731106E-2</v>
      </c>
      <c r="P222" s="3">
        <f t="shared" si="183"/>
        <v>2.6541174110319248E-2</v>
      </c>
      <c r="Q222" s="3">
        <f t="shared" si="183"/>
        <v>2.3936398590116641E-2</v>
      </c>
      <c r="R222" s="3">
        <f t="shared" si="183"/>
        <v>8.5201174145959485E-3</v>
      </c>
      <c r="S222" s="3">
        <f t="shared" si="183"/>
        <v>2.781719250517417E-7</v>
      </c>
      <c r="T222" s="3">
        <f t="shared" si="183"/>
        <v>3.8281633259734255E-52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2.5906186741603665E-2</v>
      </c>
      <c r="C223" s="3">
        <f t="shared" si="184"/>
        <v>2.5906186741603662E-2</v>
      </c>
      <c r="D223" s="3">
        <f t="shared" si="184"/>
        <v>2.5906186741603641E-2</v>
      </c>
      <c r="E223" s="3">
        <f t="shared" si="184"/>
        <v>2.5906186741603398E-2</v>
      </c>
      <c r="F223" s="3">
        <f t="shared" si="184"/>
        <v>2.5906186741600983E-2</v>
      </c>
      <c r="G223" s="3">
        <f t="shared" si="184"/>
        <v>2.5906186741576843E-2</v>
      </c>
      <c r="H223" s="3">
        <f t="shared" si="184"/>
        <v>2.5906186741335442E-2</v>
      </c>
      <c r="I223" s="3">
        <f t="shared" si="184"/>
        <v>2.5906186738921439E-2</v>
      </c>
      <c r="J223" s="3">
        <f t="shared" si="184"/>
        <v>2.5906186714781405E-2</v>
      </c>
      <c r="K223" s="3">
        <f t="shared" si="184"/>
        <v>2.5906186473381086E-2</v>
      </c>
      <c r="L223" s="3">
        <f t="shared" si="184"/>
        <v>2.5906184059377991E-2</v>
      </c>
      <c r="M223" s="3">
        <f t="shared" si="184"/>
        <v>2.5906159919359434E-2</v>
      </c>
      <c r="N223" s="3">
        <f t="shared" si="184"/>
        <v>2.5905918520411009E-2</v>
      </c>
      <c r="O223" s="3">
        <f t="shared" si="184"/>
        <v>2.5903504654640634E-2</v>
      </c>
      <c r="P223" s="3">
        <f t="shared" si="184"/>
        <v>2.5879378364055655E-2</v>
      </c>
      <c r="Q223" s="3">
        <f t="shared" si="184"/>
        <v>2.5639347916815235E-2</v>
      </c>
      <c r="R223" s="3">
        <f t="shared" si="184"/>
        <v>2.3358143937226968E-2</v>
      </c>
      <c r="S223" s="3">
        <f t="shared" si="184"/>
        <v>9.199238473404198E-3</v>
      </c>
      <c r="T223" s="3">
        <f t="shared" si="184"/>
        <v>8.2582370896586608E-7</v>
      </c>
      <c r="U223" s="3">
        <f t="shared" si="184"/>
        <v>2.8069976238790842E-47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3.2694648537282267E-2</v>
      </c>
      <c r="C224" s="3">
        <f t="shared" si="185"/>
        <v>3.2694648537282267E-2</v>
      </c>
      <c r="D224" s="3">
        <f t="shared" si="185"/>
        <v>3.269464853728226E-2</v>
      </c>
      <c r="E224" s="3">
        <f t="shared" si="185"/>
        <v>3.2694648537282239E-2</v>
      </c>
      <c r="F224" s="3">
        <f t="shared" si="185"/>
        <v>3.2694648537281962E-2</v>
      </c>
      <c r="G224" s="3">
        <f t="shared" si="185"/>
        <v>3.2694648537279214E-2</v>
      </c>
      <c r="H224" s="3">
        <f t="shared" si="185"/>
        <v>3.2694648537251729E-2</v>
      </c>
      <c r="I224" s="3">
        <f t="shared" si="185"/>
        <v>3.26946485369769E-2</v>
      </c>
      <c r="J224" s="3">
        <f t="shared" si="185"/>
        <v>3.2694648534228647E-2</v>
      </c>
      <c r="K224" s="3">
        <f t="shared" si="185"/>
        <v>3.2694648506746055E-2</v>
      </c>
      <c r="L224" s="3">
        <f t="shared" si="185"/>
        <v>3.2694648231920184E-2</v>
      </c>
      <c r="M224" s="3">
        <f t="shared" si="185"/>
        <v>3.2694645483661577E-2</v>
      </c>
      <c r="N224" s="3">
        <f t="shared" si="185"/>
        <v>3.2694618001088201E-2</v>
      </c>
      <c r="O224" s="3">
        <f t="shared" si="185"/>
        <v>3.2694343176625007E-2</v>
      </c>
      <c r="P224" s="3">
        <f t="shared" si="185"/>
        <v>3.2691595059046494E-2</v>
      </c>
      <c r="Q224" s="3">
        <f t="shared" si="185"/>
        <v>3.2664126584649372E-2</v>
      </c>
      <c r="R224" s="3">
        <f t="shared" si="185"/>
        <v>3.2390708038012812E-2</v>
      </c>
      <c r="S224" s="3">
        <f t="shared" si="185"/>
        <v>2.9779291213427109E-2</v>
      </c>
      <c r="T224" s="3">
        <f t="shared" si="185"/>
        <v>1.2848531969528721E-2</v>
      </c>
      <c r="U224" s="3">
        <f t="shared" si="185"/>
        <v>2.8724007834907457E-6</v>
      </c>
      <c r="V224" s="3">
        <f t="shared" si="185"/>
        <v>8.9569532418178194E-43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3.3282078428276948E-2</v>
      </c>
      <c r="C225" s="3">
        <f t="shared" si="186"/>
        <v>3.3282078428276948E-2</v>
      </c>
      <c r="D225" s="3">
        <f t="shared" si="186"/>
        <v>3.3282078428276948E-2</v>
      </c>
      <c r="E225" s="3">
        <f t="shared" si="186"/>
        <v>3.3282078428276941E-2</v>
      </c>
      <c r="F225" s="3">
        <f t="shared" si="186"/>
        <v>3.3282078428276921E-2</v>
      </c>
      <c r="G225" s="3">
        <f t="shared" si="186"/>
        <v>3.3282078428276671E-2</v>
      </c>
      <c r="H225" s="3">
        <f t="shared" si="186"/>
        <v>3.3282078428274145E-2</v>
      </c>
      <c r="I225" s="3">
        <f t="shared" si="186"/>
        <v>3.3282078428248908E-2</v>
      </c>
      <c r="J225" s="3">
        <f t="shared" si="186"/>
        <v>3.3282078427996541E-2</v>
      </c>
      <c r="K225" s="3">
        <f t="shared" si="186"/>
        <v>3.3282078425472837E-2</v>
      </c>
      <c r="L225" s="3">
        <f t="shared" si="186"/>
        <v>3.3282078400235816E-2</v>
      </c>
      <c r="M225" s="3">
        <f t="shared" si="186"/>
        <v>3.3282078147865678E-2</v>
      </c>
      <c r="N225" s="3">
        <f t="shared" si="186"/>
        <v>3.3282075624164346E-2</v>
      </c>
      <c r="O225" s="3">
        <f t="shared" si="186"/>
        <v>3.3282050387161574E-2</v>
      </c>
      <c r="P225" s="3">
        <f t="shared" si="186"/>
        <v>3.3281798018186322E-2</v>
      </c>
      <c r="Q225" s="3">
        <f t="shared" si="186"/>
        <v>3.3279274433681991E-2</v>
      </c>
      <c r="R225" s="3">
        <f t="shared" si="186"/>
        <v>3.3254049110506181E-2</v>
      </c>
      <c r="S225" s="3">
        <f t="shared" si="186"/>
        <v>3.3002845119430892E-2</v>
      </c>
      <c r="T225" s="3">
        <f t="shared" si="186"/>
        <v>3.059284426074212E-2</v>
      </c>
      <c r="U225" s="3">
        <f t="shared" si="186"/>
        <v>1.4331927463232948E-2</v>
      </c>
      <c r="V225" s="3">
        <f t="shared" si="186"/>
        <v>7.2971295649445824E-6</v>
      </c>
      <c r="W225" s="3">
        <f t="shared" si="186"/>
        <v>8.5433189013398208E-39</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0.1075539898267141</v>
      </c>
      <c r="C226" s="3">
        <f t="shared" si="187"/>
        <v>0.1075539898267141</v>
      </c>
      <c r="D226" s="3">
        <f t="shared" si="187"/>
        <v>0.1075539898267141</v>
      </c>
      <c r="E226" s="3">
        <f t="shared" si="187"/>
        <v>0.1075539898267141</v>
      </c>
      <c r="F226" s="3">
        <f t="shared" si="187"/>
        <v>0.10755398982671409</v>
      </c>
      <c r="G226" s="3">
        <f t="shared" si="187"/>
        <v>0.10755398982671402</v>
      </c>
      <c r="H226" s="3">
        <f t="shared" si="187"/>
        <v>0.10755398982671328</v>
      </c>
      <c r="I226" s="3">
        <f t="shared" si="187"/>
        <v>0.10755398982670593</v>
      </c>
      <c r="J226" s="3">
        <f t="shared" si="187"/>
        <v>0.10755398982663235</v>
      </c>
      <c r="K226" s="3">
        <f t="shared" si="187"/>
        <v>0.10755398982589666</v>
      </c>
      <c r="L226" s="3">
        <f t="shared" si="187"/>
        <v>0.10755398981853966</v>
      </c>
      <c r="M226" s="3">
        <f t="shared" si="187"/>
        <v>0.10755398974496967</v>
      </c>
      <c r="N226" s="3">
        <f t="shared" si="187"/>
        <v>0.10755398900926987</v>
      </c>
      <c r="O226" s="3">
        <f t="shared" si="187"/>
        <v>0.1075539816522719</v>
      </c>
      <c r="P226" s="3">
        <f t="shared" si="187"/>
        <v>0.10755390808232</v>
      </c>
      <c r="Q226" s="3">
        <f t="shared" si="187"/>
        <v>0.10755317238556883</v>
      </c>
      <c r="R226" s="3">
        <f t="shared" si="187"/>
        <v>0.10754581569483114</v>
      </c>
      <c r="S226" s="3">
        <f t="shared" si="187"/>
        <v>0.1074722764578486</v>
      </c>
      <c r="T226" s="3">
        <f t="shared" si="187"/>
        <v>0.10673964413714011</v>
      </c>
      <c r="U226" s="3">
        <f t="shared" si="187"/>
        <v>9.9682466392574304E-2</v>
      </c>
      <c r="V226" s="3">
        <f t="shared" si="187"/>
        <v>5.0297803412665418E-2</v>
      </c>
      <c r="W226" s="3">
        <f t="shared" si="187"/>
        <v>5.3808571243780059E-5</v>
      </c>
      <c r="X226" s="3">
        <f t="shared" si="187"/>
        <v>1.056515505040782E-34</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0.13355176295714186</v>
      </c>
      <c r="C227" s="3">
        <f t="shared" si="188"/>
        <v>0.13355176295714186</v>
      </c>
      <c r="D227" s="3">
        <f t="shared" si="188"/>
        <v>0.13355176295714186</v>
      </c>
      <c r="E227" s="3">
        <f t="shared" si="188"/>
        <v>0.13355176295714186</v>
      </c>
      <c r="F227" s="3">
        <f t="shared" si="188"/>
        <v>0.13355176295714186</v>
      </c>
      <c r="G227" s="3">
        <f t="shared" si="188"/>
        <v>0.13355176295714183</v>
      </c>
      <c r="H227" s="3">
        <f t="shared" si="188"/>
        <v>0.13355176295714177</v>
      </c>
      <c r="I227" s="3">
        <f t="shared" si="188"/>
        <v>0.13355176295714094</v>
      </c>
      <c r="J227" s="3">
        <f t="shared" si="188"/>
        <v>0.1335517629571327</v>
      </c>
      <c r="K227" s="3">
        <f t="shared" si="188"/>
        <v>0.13355176295705029</v>
      </c>
      <c r="L227" s="3">
        <f t="shared" si="188"/>
        <v>0.13355176295622623</v>
      </c>
      <c r="M227" s="3">
        <f t="shared" si="188"/>
        <v>0.1335517629479854</v>
      </c>
      <c r="N227" s="3">
        <f t="shared" si="188"/>
        <v>0.13355176286557721</v>
      </c>
      <c r="O227" s="3">
        <f t="shared" si="188"/>
        <v>0.13355176204149538</v>
      </c>
      <c r="P227" s="3">
        <f t="shared" si="188"/>
        <v>0.13355175380067727</v>
      </c>
      <c r="Q227" s="3">
        <f t="shared" si="188"/>
        <v>0.13355167139252427</v>
      </c>
      <c r="R227" s="3">
        <f t="shared" si="188"/>
        <v>0.13355084731379099</v>
      </c>
      <c r="S227" s="3">
        <f t="shared" si="188"/>
        <v>0.13354260680612626</v>
      </c>
      <c r="T227" s="3">
        <f t="shared" si="188"/>
        <v>0.13346022968989227</v>
      </c>
      <c r="U227" s="3">
        <f t="shared" si="188"/>
        <v>0.13263924819580544</v>
      </c>
      <c r="V227" s="3">
        <f t="shared" si="188"/>
        <v>0.12470213478330616</v>
      </c>
      <c r="W227" s="3">
        <f t="shared" si="188"/>
        <v>6.7280971630653219E-2</v>
      </c>
      <c r="X227" s="3">
        <f t="shared" si="188"/>
        <v>1.4062933354323448E-4</v>
      </c>
      <c r="Y227" s="3">
        <f t="shared" si="188"/>
        <v>2.2382704344807833E-31</v>
      </c>
      <c r="Z227" s="3">
        <f t="shared" si="188"/>
        <v>2.3349573553704325E-299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0.10276653551975504</v>
      </c>
      <c r="C228" s="3">
        <f t="shared" si="189"/>
        <v>0.10276653551975504</v>
      </c>
      <c r="D228" s="3">
        <f t="shared" si="189"/>
        <v>0.10276653551975504</v>
      </c>
      <c r="E228" s="3">
        <f t="shared" si="189"/>
        <v>0.10276653551975504</v>
      </c>
      <c r="F228" s="3">
        <f t="shared" si="189"/>
        <v>0.10276653551975504</v>
      </c>
      <c r="G228" s="3">
        <f t="shared" si="189"/>
        <v>0.10276653551975504</v>
      </c>
      <c r="H228" s="3">
        <f t="shared" si="189"/>
        <v>0.10276653551975502</v>
      </c>
      <c r="I228" s="3">
        <f t="shared" si="189"/>
        <v>0.10276653551975497</v>
      </c>
      <c r="J228" s="3">
        <f t="shared" si="189"/>
        <v>0.1027665355197544</v>
      </c>
      <c r="K228" s="3">
        <f t="shared" si="189"/>
        <v>0.10276653551974868</v>
      </c>
      <c r="L228" s="3">
        <f t="shared" si="189"/>
        <v>0.10276653551969148</v>
      </c>
      <c r="M228" s="3">
        <f t="shared" si="189"/>
        <v>0.10276653551911945</v>
      </c>
      <c r="N228" s="3">
        <f t="shared" si="189"/>
        <v>0.10276653551339915</v>
      </c>
      <c r="O228" s="3">
        <f t="shared" si="189"/>
        <v>0.10276653545619611</v>
      </c>
      <c r="P228" s="3">
        <f t="shared" si="189"/>
        <v>0.10276653488416583</v>
      </c>
      <c r="Q228" s="3">
        <f t="shared" si="189"/>
        <v>0.10276652916386313</v>
      </c>
      <c r="R228" s="3">
        <f t="shared" si="189"/>
        <v>0.10276647196085364</v>
      </c>
      <c r="S228" s="3">
        <f t="shared" si="189"/>
        <v>0.10276589993251002</v>
      </c>
      <c r="T228" s="3">
        <f t="shared" si="189"/>
        <v>0.10276017982419515</v>
      </c>
      <c r="U228" s="3">
        <f t="shared" si="189"/>
        <v>0.10270299624957496</v>
      </c>
      <c r="V228" s="3">
        <f t="shared" si="189"/>
        <v>0.10213290775564025</v>
      </c>
      <c r="W228" s="3">
        <f t="shared" si="189"/>
        <v>9.6603202467975879E-2</v>
      </c>
      <c r="X228" s="3">
        <f t="shared" si="189"/>
        <v>5.5366847528356314E-2</v>
      </c>
      <c r="Y228" s="3">
        <f t="shared" si="189"/>
        <v>2.1175443843794202E-4</v>
      </c>
      <c r="Z228" s="3">
        <f t="shared" si="189"/>
        <v>1.4179462828564577E-28</v>
      </c>
      <c r="AA228" s="3">
        <f t="shared" si="189"/>
        <v>2.5699953793172478E-270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8.2308697100650766E-2</v>
      </c>
      <c r="C229" s="3">
        <f t="shared" si="190"/>
        <v>8.2308697100650766E-2</v>
      </c>
      <c r="D229" s="3">
        <f t="shared" si="190"/>
        <v>8.2308697100650766E-2</v>
      </c>
      <c r="E229" s="3">
        <f t="shared" si="190"/>
        <v>8.2308697100650766E-2</v>
      </c>
      <c r="F229" s="3">
        <f t="shared" si="190"/>
        <v>8.2308697100650766E-2</v>
      </c>
      <c r="G229" s="3">
        <f t="shared" si="190"/>
        <v>8.2308697100650766E-2</v>
      </c>
      <c r="H229" s="3">
        <f t="shared" si="190"/>
        <v>8.2308697100650766E-2</v>
      </c>
      <c r="I229" s="3">
        <f t="shared" si="190"/>
        <v>8.2308697100650752E-2</v>
      </c>
      <c r="J229" s="3">
        <f t="shared" si="190"/>
        <v>8.2308697100650724E-2</v>
      </c>
      <c r="K229" s="3">
        <f t="shared" si="190"/>
        <v>8.2308697100650308E-2</v>
      </c>
      <c r="L229" s="3">
        <f t="shared" si="190"/>
        <v>8.2308697100646172E-2</v>
      </c>
      <c r="M229" s="3">
        <f t="shared" si="190"/>
        <v>8.2308697100604844E-2</v>
      </c>
      <c r="N229" s="3">
        <f t="shared" si="190"/>
        <v>8.230869710019155E-2</v>
      </c>
      <c r="O229" s="3">
        <f t="shared" si="190"/>
        <v>8.2308697096058606E-2</v>
      </c>
      <c r="P229" s="3">
        <f t="shared" si="190"/>
        <v>8.2308697054729152E-2</v>
      </c>
      <c r="Q229" s="3">
        <f t="shared" si="190"/>
        <v>8.2308696641434656E-2</v>
      </c>
      <c r="R229" s="3">
        <f t="shared" si="190"/>
        <v>8.2308692508489767E-2</v>
      </c>
      <c r="S229" s="3">
        <f t="shared" si="190"/>
        <v>8.2308651179052256E-2</v>
      </c>
      <c r="T229" s="3">
        <f t="shared" si="190"/>
        <v>8.2308237885818522E-2</v>
      </c>
      <c r="U229" s="3">
        <f t="shared" si="190"/>
        <v>8.2304105067618455E-2</v>
      </c>
      <c r="V229" s="3">
        <f t="shared" si="190"/>
        <v>8.2262788297218628E-2</v>
      </c>
      <c r="W229" s="3">
        <f t="shared" si="190"/>
        <v>8.1850759636014597E-2</v>
      </c>
      <c r="X229" s="3">
        <f t="shared" si="190"/>
        <v>7.7842289230948478E-2</v>
      </c>
      <c r="Y229" s="3">
        <f t="shared" si="190"/>
        <v>4.7113400380973336E-2</v>
      </c>
      <c r="Z229" s="3">
        <f t="shared" si="190"/>
        <v>3.1076561449306658E-4</v>
      </c>
      <c r="AA229" s="3">
        <f t="shared" si="190"/>
        <v>4.8452707145396457E-26</v>
      </c>
      <c r="AB229" s="3">
        <f t="shared" si="190"/>
        <v>4.1130967499226823E-244</v>
      </c>
      <c r="AC229" s="3">
        <f t="shared" si="190"/>
        <v>0</v>
      </c>
      <c r="AD229" s="3">
        <f t="shared" si="190"/>
        <v>0</v>
      </c>
      <c r="AE229" s="3">
        <f t="shared" si="190"/>
        <v>0</v>
      </c>
      <c r="AF229" s="3">
        <f t="shared" si="190"/>
        <v>0</v>
      </c>
      <c r="AG229" s="3"/>
      <c r="AH229" s="3"/>
    </row>
    <row r="230" spans="2:34" x14ac:dyDescent="0.25">
      <c r="B230" s="3">
        <f t="shared" ref="B230:AF230" si="191">$C38*EXP(-B$207/$A38/EXP(-$D$126))</f>
        <v>3.7013792035783422E-2</v>
      </c>
      <c r="C230" s="3">
        <f t="shared" si="191"/>
        <v>3.7013792035783422E-2</v>
      </c>
      <c r="D230" s="3">
        <f t="shared" si="191"/>
        <v>3.7013792035783422E-2</v>
      </c>
      <c r="E230" s="3">
        <f t="shared" si="191"/>
        <v>3.7013792035783422E-2</v>
      </c>
      <c r="F230" s="3">
        <f t="shared" si="191"/>
        <v>3.7013792035783422E-2</v>
      </c>
      <c r="G230" s="3">
        <f t="shared" si="191"/>
        <v>3.7013792035783422E-2</v>
      </c>
      <c r="H230" s="3">
        <f t="shared" si="191"/>
        <v>3.7013792035783422E-2</v>
      </c>
      <c r="I230" s="3">
        <f t="shared" si="191"/>
        <v>3.7013792035783422E-2</v>
      </c>
      <c r="J230" s="3">
        <f t="shared" si="191"/>
        <v>3.7013792035783422E-2</v>
      </c>
      <c r="K230" s="3">
        <f t="shared" si="191"/>
        <v>3.7013792035783401E-2</v>
      </c>
      <c r="L230" s="3">
        <f t="shared" si="191"/>
        <v>3.7013792035783234E-2</v>
      </c>
      <c r="M230" s="3">
        <f t="shared" si="191"/>
        <v>3.7013792035781562E-2</v>
      </c>
      <c r="N230" s="3">
        <f t="shared" si="191"/>
        <v>3.7013792035764791E-2</v>
      </c>
      <c r="O230" s="3">
        <f t="shared" si="191"/>
        <v>3.7013792035597133E-2</v>
      </c>
      <c r="P230" s="3">
        <f t="shared" si="191"/>
        <v>3.7013792033920558E-2</v>
      </c>
      <c r="Q230" s="3">
        <f t="shared" si="191"/>
        <v>3.701379201715476E-2</v>
      </c>
      <c r="R230" s="3">
        <f t="shared" si="191"/>
        <v>3.7013791849496845E-2</v>
      </c>
      <c r="S230" s="3">
        <f t="shared" si="191"/>
        <v>3.7013790172917699E-2</v>
      </c>
      <c r="T230" s="3">
        <f t="shared" si="191"/>
        <v>3.7013773407130406E-2</v>
      </c>
      <c r="U230" s="3">
        <f t="shared" si="191"/>
        <v>3.7013605749675139E-2</v>
      </c>
      <c r="V230" s="3">
        <f t="shared" si="191"/>
        <v>3.7011929216890047E-2</v>
      </c>
      <c r="W230" s="3">
        <f t="shared" si="191"/>
        <v>3.6995168065095813E-2</v>
      </c>
      <c r="X230" s="3">
        <f t="shared" si="191"/>
        <v>3.6827973453779222E-2</v>
      </c>
      <c r="Y230" s="3">
        <f t="shared" si="191"/>
        <v>3.5197027671569937E-2</v>
      </c>
      <c r="Z230" s="3">
        <f t="shared" si="191"/>
        <v>2.2376268844795429E-2</v>
      </c>
      <c r="AA230" s="3">
        <f t="shared" si="191"/>
        <v>2.4132620784676244E-4</v>
      </c>
      <c r="AB230" s="3">
        <f t="shared" si="191"/>
        <v>5.1377463638239654E-24</v>
      </c>
      <c r="AC230" s="3">
        <f t="shared" si="191"/>
        <v>9.8277563483103404E-221</v>
      </c>
      <c r="AD230" s="3">
        <f t="shared" si="191"/>
        <v>0</v>
      </c>
      <c r="AE230" s="3">
        <f t="shared" si="191"/>
        <v>0</v>
      </c>
      <c r="AF230" s="3">
        <f t="shared" si="191"/>
        <v>0</v>
      </c>
      <c r="AG230" s="3"/>
      <c r="AH230" s="3"/>
    </row>
    <row r="231" spans="2:34" x14ac:dyDescent="0.25">
      <c r="B231" s="3">
        <f t="shared" ref="B231:AF231" si="192">$C39*EXP(-B$207/$A39/EXP(-$D$126))</f>
        <v>5.9919400803358086E-2</v>
      </c>
      <c r="C231" s="3">
        <f t="shared" si="192"/>
        <v>5.9919400803358086E-2</v>
      </c>
      <c r="D231" s="3">
        <f t="shared" si="192"/>
        <v>5.9919400803358086E-2</v>
      </c>
      <c r="E231" s="3">
        <f t="shared" si="192"/>
        <v>5.9919400803358086E-2</v>
      </c>
      <c r="F231" s="3">
        <f t="shared" si="192"/>
        <v>5.9919400803358086E-2</v>
      </c>
      <c r="G231" s="3">
        <f t="shared" si="192"/>
        <v>5.9919400803358086E-2</v>
      </c>
      <c r="H231" s="3">
        <f t="shared" si="192"/>
        <v>5.9919400803358086E-2</v>
      </c>
      <c r="I231" s="3">
        <f t="shared" si="192"/>
        <v>5.9919400803358086E-2</v>
      </c>
      <c r="J231" s="3">
        <f t="shared" si="192"/>
        <v>5.9919400803358086E-2</v>
      </c>
      <c r="K231" s="3">
        <f t="shared" si="192"/>
        <v>5.9919400803358079E-2</v>
      </c>
      <c r="L231" s="3">
        <f t="shared" si="192"/>
        <v>5.9919400803358003E-2</v>
      </c>
      <c r="M231" s="3">
        <f t="shared" si="192"/>
        <v>5.9919400803357253E-2</v>
      </c>
      <c r="N231" s="3">
        <f t="shared" si="192"/>
        <v>5.9919400803349745E-2</v>
      </c>
      <c r="O231" s="3">
        <f t="shared" si="192"/>
        <v>5.9919400803274681E-2</v>
      </c>
      <c r="P231" s="3">
        <f t="shared" si="192"/>
        <v>5.9919400802524024E-2</v>
      </c>
      <c r="Q231" s="3">
        <f t="shared" si="192"/>
        <v>5.9919400795017466E-2</v>
      </c>
      <c r="R231" s="3">
        <f t="shared" si="192"/>
        <v>5.9919400719951894E-2</v>
      </c>
      <c r="S231" s="3">
        <f t="shared" si="192"/>
        <v>5.9919399969296148E-2</v>
      </c>
      <c r="T231" s="3">
        <f t="shared" si="192"/>
        <v>5.9919392462739231E-2</v>
      </c>
      <c r="U231" s="3">
        <f t="shared" si="192"/>
        <v>5.9919317397221769E-2</v>
      </c>
      <c r="V231" s="3">
        <f t="shared" si="192"/>
        <v>5.9918566747219328E-2</v>
      </c>
      <c r="W231" s="3">
        <f t="shared" si="192"/>
        <v>5.9911060764390157E-2</v>
      </c>
      <c r="X231" s="3">
        <f t="shared" si="192"/>
        <v>5.9836052631653737E-2</v>
      </c>
      <c r="Y231" s="3">
        <f t="shared" si="192"/>
        <v>5.9091116977616244E-2</v>
      </c>
      <c r="Z231" s="3">
        <f t="shared" si="192"/>
        <v>5.2133254575588997E-2</v>
      </c>
      <c r="AA231" s="3">
        <f t="shared" si="192"/>
        <v>1.4895024551971272E-2</v>
      </c>
      <c r="AB231" s="3">
        <f t="shared" si="192"/>
        <v>5.3988974513004445E-8</v>
      </c>
      <c r="AC231" s="3">
        <f t="shared" si="192"/>
        <v>2.113214725014124E-62</v>
      </c>
      <c r="AD231" s="3">
        <f t="shared" si="192"/>
        <v>0</v>
      </c>
      <c r="AE231" s="3">
        <f t="shared" si="192"/>
        <v>0</v>
      </c>
      <c r="AF231" s="3">
        <f t="shared" si="192"/>
        <v>0</v>
      </c>
      <c r="AG231" s="3"/>
      <c r="AH231" s="3"/>
    </row>
    <row r="232" spans="2:34" x14ac:dyDescent="0.25">
      <c r="B232" s="3">
        <f t="shared" ref="B232:AF232" si="193">$C40*EXP(-B$207/$A40/EXP(-$D$126))</f>
        <v>6.4670451984415095E-2</v>
      </c>
      <c r="C232" s="3">
        <f t="shared" si="193"/>
        <v>6.4670451984415095E-2</v>
      </c>
      <c r="D232" s="3">
        <f t="shared" si="193"/>
        <v>6.4670451984415095E-2</v>
      </c>
      <c r="E232" s="3">
        <f t="shared" si="193"/>
        <v>6.4670451984415095E-2</v>
      </c>
      <c r="F232" s="3">
        <f t="shared" si="193"/>
        <v>6.4670451984415095E-2</v>
      </c>
      <c r="G232" s="3">
        <f t="shared" si="193"/>
        <v>6.4670451984415095E-2</v>
      </c>
      <c r="H232" s="3">
        <f t="shared" si="193"/>
        <v>6.4670451984415095E-2</v>
      </c>
      <c r="I232" s="3">
        <f t="shared" si="193"/>
        <v>6.4670451984415095E-2</v>
      </c>
      <c r="J232" s="3">
        <f t="shared" si="193"/>
        <v>6.4670451984415095E-2</v>
      </c>
      <c r="K232" s="3">
        <f t="shared" si="193"/>
        <v>6.4670451984415095E-2</v>
      </c>
      <c r="L232" s="3">
        <f t="shared" si="193"/>
        <v>6.4670451984415081E-2</v>
      </c>
      <c r="M232" s="3">
        <f t="shared" si="193"/>
        <v>6.4670451984414998E-2</v>
      </c>
      <c r="N232" s="3">
        <f t="shared" si="193"/>
        <v>6.4670451984414193E-2</v>
      </c>
      <c r="O232" s="3">
        <f t="shared" si="193"/>
        <v>6.4670451984406088E-2</v>
      </c>
      <c r="P232" s="3">
        <f t="shared" si="193"/>
        <v>6.467045198432507E-2</v>
      </c>
      <c r="Q232" s="3">
        <f t="shared" si="193"/>
        <v>6.4670451983514898E-2</v>
      </c>
      <c r="R232" s="3">
        <f t="shared" si="193"/>
        <v>6.4670451975413143E-2</v>
      </c>
      <c r="S232" s="3">
        <f t="shared" si="193"/>
        <v>6.4670451894395561E-2</v>
      </c>
      <c r="T232" s="3">
        <f t="shared" si="193"/>
        <v>6.4670451084219802E-2</v>
      </c>
      <c r="U232" s="3">
        <f t="shared" si="193"/>
        <v>6.4670442982462731E-2</v>
      </c>
      <c r="V232" s="3">
        <f t="shared" si="193"/>
        <v>6.4670361964947923E-2</v>
      </c>
      <c r="W232" s="3">
        <f t="shared" si="193"/>
        <v>6.4669551795381974E-2</v>
      </c>
      <c r="X232" s="3">
        <f t="shared" si="193"/>
        <v>6.4661450657926639E-2</v>
      </c>
      <c r="Y232" s="3">
        <f t="shared" si="193"/>
        <v>6.4580495077905226E-2</v>
      </c>
      <c r="Z232" s="3">
        <f t="shared" si="193"/>
        <v>6.3776492955053388E-2</v>
      </c>
      <c r="AA232" s="3">
        <f t="shared" si="193"/>
        <v>5.6266936778729723E-2</v>
      </c>
      <c r="AB232" s="3">
        <f t="shared" si="193"/>
        <v>1.6076061462232734E-2</v>
      </c>
      <c r="AC232" s="3">
        <f t="shared" si="193"/>
        <v>5.8269798047369484E-8</v>
      </c>
      <c r="AD232" s="3">
        <f t="shared" si="193"/>
        <v>2.2807729979690623E-62</v>
      </c>
      <c r="AE232" s="3">
        <f t="shared" si="193"/>
        <v>0</v>
      </c>
      <c r="AF232" s="3">
        <f t="shared" si="193"/>
        <v>0</v>
      </c>
      <c r="AG232" s="3"/>
      <c r="AH232" s="3"/>
    </row>
    <row r="233" spans="2:34" x14ac:dyDescent="0.25">
      <c r="B233" s="3">
        <f t="shared" ref="B233:AF233" si="194">$C41*EXP(-B$207/$A41/EXP(-$D$126))</f>
        <v>6.7576207998846588E-2</v>
      </c>
      <c r="C233" s="3">
        <f t="shared" si="194"/>
        <v>6.7576207998846588E-2</v>
      </c>
      <c r="D233" s="3">
        <f t="shared" si="194"/>
        <v>6.7576207998846588E-2</v>
      </c>
      <c r="E233" s="3">
        <f t="shared" si="194"/>
        <v>6.7576207998846588E-2</v>
      </c>
      <c r="F233" s="3">
        <f t="shared" si="194"/>
        <v>6.7576207998846588E-2</v>
      </c>
      <c r="G233" s="3">
        <f t="shared" si="194"/>
        <v>6.7576207998846588E-2</v>
      </c>
      <c r="H233" s="3">
        <f t="shared" si="194"/>
        <v>6.7576207998846588E-2</v>
      </c>
      <c r="I233" s="3">
        <f t="shared" si="194"/>
        <v>6.7576207998846588E-2</v>
      </c>
      <c r="J233" s="3">
        <f t="shared" si="194"/>
        <v>6.7576207998846588E-2</v>
      </c>
      <c r="K233" s="3">
        <f t="shared" si="194"/>
        <v>6.7576207998846588E-2</v>
      </c>
      <c r="L233" s="3">
        <f t="shared" si="194"/>
        <v>6.7576207998846588E-2</v>
      </c>
      <c r="M233" s="3">
        <f t="shared" si="194"/>
        <v>6.7576207998846574E-2</v>
      </c>
      <c r="N233" s="3">
        <f t="shared" si="194"/>
        <v>6.7576207998846491E-2</v>
      </c>
      <c r="O233" s="3">
        <f t="shared" si="194"/>
        <v>6.7576207998845644E-2</v>
      </c>
      <c r="P233" s="3">
        <f t="shared" si="194"/>
        <v>6.7576207998837179E-2</v>
      </c>
      <c r="Q233" s="3">
        <f t="shared" si="194"/>
        <v>6.7576207998752524E-2</v>
      </c>
      <c r="R233" s="3">
        <f t="shared" si="194"/>
        <v>6.7576207997905938E-2</v>
      </c>
      <c r="S233" s="3">
        <f t="shared" si="194"/>
        <v>6.7576207989440154E-2</v>
      </c>
      <c r="T233" s="3">
        <f t="shared" si="194"/>
        <v>6.7576207904782332E-2</v>
      </c>
      <c r="U233" s="3">
        <f t="shared" si="194"/>
        <v>6.7576207058203955E-2</v>
      </c>
      <c r="V233" s="3">
        <f t="shared" si="194"/>
        <v>6.7576198592420839E-2</v>
      </c>
      <c r="W233" s="3">
        <f t="shared" si="194"/>
        <v>6.7576113934648005E-2</v>
      </c>
      <c r="X233" s="3">
        <f t="shared" si="194"/>
        <v>6.7575267362752767E-2</v>
      </c>
      <c r="Y233" s="3">
        <f t="shared" si="194"/>
        <v>6.756680222708554E-2</v>
      </c>
      <c r="Z233" s="3">
        <f t="shared" si="194"/>
        <v>6.7482209171890684E-2</v>
      </c>
      <c r="AA233" s="3">
        <f t="shared" si="194"/>
        <v>6.6642081833698519E-2</v>
      </c>
      <c r="AB233" s="3">
        <f t="shared" si="194"/>
        <v>5.8795108222433751E-2</v>
      </c>
      <c r="AC233" s="3">
        <f t="shared" si="194"/>
        <v>1.6798386896010598E-2</v>
      </c>
      <c r="AD233" s="3">
        <f t="shared" si="194"/>
        <v>6.088796153533545E-8</v>
      </c>
      <c r="AE233" s="3">
        <f t="shared" si="194"/>
        <v>2.3832521001407724E-62</v>
      </c>
      <c r="AF233" s="3">
        <f t="shared" si="194"/>
        <v>0</v>
      </c>
      <c r="AG233" s="3"/>
      <c r="AH233" s="3"/>
    </row>
    <row r="234" spans="2:34" x14ac:dyDescent="0.25">
      <c r="B234" s="3">
        <f t="shared" ref="B234:AF234" si="195">$C42*EXP(-B$207/$A42/EXP(-$D$126))</f>
        <v>7.4650772379504848E-2</v>
      </c>
      <c r="C234" s="3">
        <f t="shared" si="195"/>
        <v>7.4650772379504848E-2</v>
      </c>
      <c r="D234" s="3">
        <f t="shared" si="195"/>
        <v>7.4650772379504848E-2</v>
      </c>
      <c r="E234" s="3">
        <f t="shared" si="195"/>
        <v>7.4650772379504848E-2</v>
      </c>
      <c r="F234" s="3">
        <f t="shared" si="195"/>
        <v>7.4650772379504848E-2</v>
      </c>
      <c r="G234" s="3">
        <f t="shared" si="195"/>
        <v>7.4650772379504848E-2</v>
      </c>
      <c r="H234" s="3">
        <f t="shared" si="195"/>
        <v>7.4650772379504848E-2</v>
      </c>
      <c r="I234" s="3">
        <f t="shared" si="195"/>
        <v>7.4650772379504848E-2</v>
      </c>
      <c r="J234" s="3">
        <f t="shared" si="195"/>
        <v>7.4650772379504848E-2</v>
      </c>
      <c r="K234" s="3">
        <f t="shared" si="195"/>
        <v>7.4650772379504848E-2</v>
      </c>
      <c r="L234" s="3">
        <f t="shared" si="195"/>
        <v>7.4650772379504848E-2</v>
      </c>
      <c r="M234" s="3">
        <f t="shared" si="195"/>
        <v>7.4650772379504848E-2</v>
      </c>
      <c r="N234" s="3">
        <f t="shared" si="195"/>
        <v>7.4650772379504834E-2</v>
      </c>
      <c r="O234" s="3">
        <f t="shared" si="195"/>
        <v>7.4650772379504737E-2</v>
      </c>
      <c r="P234" s="3">
        <f t="shared" si="195"/>
        <v>7.4650772379503808E-2</v>
      </c>
      <c r="Q234" s="3">
        <f t="shared" si="195"/>
        <v>7.4650772379494454E-2</v>
      </c>
      <c r="R234" s="3">
        <f t="shared" si="195"/>
        <v>7.4650772379400931E-2</v>
      </c>
      <c r="S234" s="3">
        <f t="shared" si="195"/>
        <v>7.4650772378465721E-2</v>
      </c>
      <c r="T234" s="3">
        <f t="shared" si="195"/>
        <v>7.465077236911366E-2</v>
      </c>
      <c r="U234" s="3">
        <f t="shared" si="195"/>
        <v>7.4650772275592983E-2</v>
      </c>
      <c r="V234" s="3">
        <f t="shared" si="195"/>
        <v>7.4650771340386182E-2</v>
      </c>
      <c r="W234" s="3">
        <f t="shared" si="195"/>
        <v>7.4650761988318826E-2</v>
      </c>
      <c r="X234" s="3">
        <f t="shared" si="195"/>
        <v>7.4650668467709777E-2</v>
      </c>
      <c r="Y234" s="3">
        <f t="shared" si="195"/>
        <v>7.4649733268062957E-2</v>
      </c>
      <c r="Z234" s="3">
        <f t="shared" si="195"/>
        <v>7.4640381915944062E-2</v>
      </c>
      <c r="AA234" s="3">
        <f t="shared" si="195"/>
        <v>7.4546932799823995E-2</v>
      </c>
      <c r="AB234" s="3">
        <f t="shared" si="195"/>
        <v>7.3618852391786713E-2</v>
      </c>
      <c r="AC234" s="3">
        <f t="shared" si="195"/>
        <v>6.4950377816644728E-2</v>
      </c>
      <c r="AD234" s="3">
        <f t="shared" si="195"/>
        <v>1.8557012795662461E-2</v>
      </c>
      <c r="AE234" s="3">
        <f t="shared" si="195"/>
        <v>6.7262332288665186E-8</v>
      </c>
      <c r="AF234" s="3">
        <f t="shared" si="195"/>
        <v>2.6327551562766344E-62</v>
      </c>
      <c r="AG234" s="3"/>
      <c r="AH234" s="3"/>
    </row>
    <row r="235" spans="2:34" x14ac:dyDescent="0.25">
      <c r="B235" s="3">
        <f t="shared" ref="B235:AF235" si="196">$C43*EXP(-B$207/$A43/EXP(-$D$126))</f>
        <v>4.2437426023751848E-2</v>
      </c>
      <c r="C235" s="3">
        <f t="shared" si="196"/>
        <v>4.2437426023751848E-2</v>
      </c>
      <c r="D235" s="3">
        <f t="shared" si="196"/>
        <v>4.2437426023751848E-2</v>
      </c>
      <c r="E235" s="3">
        <f t="shared" si="196"/>
        <v>4.2437426023751848E-2</v>
      </c>
      <c r="F235" s="3">
        <f t="shared" si="196"/>
        <v>4.2437426023751848E-2</v>
      </c>
      <c r="G235" s="3">
        <f t="shared" si="196"/>
        <v>4.2437426023751848E-2</v>
      </c>
      <c r="H235" s="3">
        <f t="shared" si="196"/>
        <v>4.2437426023751848E-2</v>
      </c>
      <c r="I235" s="3">
        <f t="shared" si="196"/>
        <v>4.2437426023751848E-2</v>
      </c>
      <c r="J235" s="3">
        <f t="shared" si="196"/>
        <v>4.2437426023751848E-2</v>
      </c>
      <c r="K235" s="3">
        <f t="shared" si="196"/>
        <v>4.2437426023751848E-2</v>
      </c>
      <c r="L235" s="3">
        <f t="shared" si="196"/>
        <v>4.2437426023751848E-2</v>
      </c>
      <c r="M235" s="3">
        <f t="shared" si="196"/>
        <v>4.2437426023751848E-2</v>
      </c>
      <c r="N235" s="3">
        <f t="shared" si="196"/>
        <v>4.2437426023751848E-2</v>
      </c>
      <c r="O235" s="3">
        <f t="shared" si="196"/>
        <v>4.2437426023751841E-2</v>
      </c>
      <c r="P235" s="3">
        <f t="shared" si="196"/>
        <v>4.2437426023751786E-2</v>
      </c>
      <c r="Q235" s="3">
        <f t="shared" si="196"/>
        <v>4.2437426023751258E-2</v>
      </c>
      <c r="R235" s="3">
        <f t="shared" si="196"/>
        <v>4.2437426023745943E-2</v>
      </c>
      <c r="S235" s="3">
        <f t="shared" si="196"/>
        <v>4.2437426023692777E-2</v>
      </c>
      <c r="T235" s="3">
        <f t="shared" si="196"/>
        <v>4.2437426023161126E-2</v>
      </c>
      <c r="U235" s="3">
        <f t="shared" si="196"/>
        <v>4.2437426017844671E-2</v>
      </c>
      <c r="V235" s="3">
        <f t="shared" si="196"/>
        <v>4.2437425964680094E-2</v>
      </c>
      <c r="W235" s="3">
        <f t="shared" si="196"/>
        <v>4.2437425433034297E-2</v>
      </c>
      <c r="X235" s="3">
        <f t="shared" si="196"/>
        <v>4.2437420116576696E-2</v>
      </c>
      <c r="Y235" s="3">
        <f t="shared" si="196"/>
        <v>4.2437366952037307E-2</v>
      </c>
      <c r="Z235" s="3">
        <f t="shared" si="196"/>
        <v>4.2436835310306557E-2</v>
      </c>
      <c r="AA235" s="3">
        <f t="shared" si="196"/>
        <v>4.243151925929841E-2</v>
      </c>
      <c r="AB235" s="3">
        <f t="shared" si="196"/>
        <v>4.2378395362171535E-2</v>
      </c>
      <c r="AC235" s="3">
        <f t="shared" si="196"/>
        <v>4.1850800771991659E-2</v>
      </c>
      <c r="AD235" s="3">
        <f t="shared" si="196"/>
        <v>3.6922951577729894E-2</v>
      </c>
      <c r="AE235" s="3">
        <f t="shared" si="196"/>
        <v>1.0549279433228628E-2</v>
      </c>
      <c r="AF235" s="3">
        <f t="shared" si="196"/>
        <v>3.8237250060508719E-8</v>
      </c>
      <c r="AG235" s="3"/>
      <c r="AH235" s="3"/>
    </row>
    <row r="236" spans="2:34" x14ac:dyDescent="0.25">
      <c r="B236" s="3">
        <f t="shared" ref="B236:AF236" si="197">$C44*EXP(-B$207/$A44/EXP(-$D$126))</f>
        <v>2.9362775672931045E-2</v>
      </c>
      <c r="C236" s="3">
        <f t="shared" si="197"/>
        <v>2.9362775672931045E-2</v>
      </c>
      <c r="D236" s="3">
        <f t="shared" si="197"/>
        <v>2.9362775672931045E-2</v>
      </c>
      <c r="E236" s="3">
        <f t="shared" si="197"/>
        <v>2.9362775672931045E-2</v>
      </c>
      <c r="F236" s="3">
        <f t="shared" si="197"/>
        <v>2.9362775672931045E-2</v>
      </c>
      <c r="G236" s="3">
        <f t="shared" si="197"/>
        <v>2.9362775672931045E-2</v>
      </c>
      <c r="H236" s="3">
        <f t="shared" si="197"/>
        <v>2.9362775672931045E-2</v>
      </c>
      <c r="I236" s="3">
        <f t="shared" si="197"/>
        <v>2.9362775672931045E-2</v>
      </c>
      <c r="J236" s="3">
        <f t="shared" si="197"/>
        <v>2.9362775672931045E-2</v>
      </c>
      <c r="K236" s="3">
        <f t="shared" si="197"/>
        <v>2.9362775672931045E-2</v>
      </c>
      <c r="L236" s="3">
        <f t="shared" si="197"/>
        <v>2.9362775672931045E-2</v>
      </c>
      <c r="M236" s="3">
        <f t="shared" si="197"/>
        <v>2.9362775672931045E-2</v>
      </c>
      <c r="N236" s="3">
        <f t="shared" si="197"/>
        <v>2.9362775672931045E-2</v>
      </c>
      <c r="O236" s="3">
        <f t="shared" si="197"/>
        <v>2.9362775672931045E-2</v>
      </c>
      <c r="P236" s="3">
        <f t="shared" si="197"/>
        <v>2.9362775672931041E-2</v>
      </c>
      <c r="Q236" s="3">
        <f t="shared" si="197"/>
        <v>2.9362775672931003E-2</v>
      </c>
      <c r="R236" s="3">
        <f t="shared" si="197"/>
        <v>2.9362775672930639E-2</v>
      </c>
      <c r="S236" s="3">
        <f t="shared" si="197"/>
        <v>2.9362775672926958E-2</v>
      </c>
      <c r="T236" s="3">
        <f t="shared" si="197"/>
        <v>2.9362775672890171E-2</v>
      </c>
      <c r="U236" s="3">
        <f t="shared" si="197"/>
        <v>2.9362775672522323E-2</v>
      </c>
      <c r="V236" s="3">
        <f t="shared" si="197"/>
        <v>2.9362775668843825E-2</v>
      </c>
      <c r="W236" s="3">
        <f t="shared" si="197"/>
        <v>2.936277563205885E-2</v>
      </c>
      <c r="X236" s="3">
        <f t="shared" si="197"/>
        <v>2.9362775264209107E-2</v>
      </c>
      <c r="Y236" s="3">
        <f t="shared" si="197"/>
        <v>2.9362771585711926E-2</v>
      </c>
      <c r="Z236" s="3">
        <f t="shared" si="197"/>
        <v>2.9362734800765476E-2</v>
      </c>
      <c r="AA236" s="3">
        <f t="shared" si="197"/>
        <v>2.9362366953835515E-2</v>
      </c>
      <c r="AB236" s="3">
        <f t="shared" si="197"/>
        <v>2.935868873798117E-2</v>
      </c>
      <c r="AC236" s="3">
        <f t="shared" si="197"/>
        <v>2.9321931912217627E-2</v>
      </c>
      <c r="AD236" s="3">
        <f t="shared" si="197"/>
        <v>2.8956885229390231E-2</v>
      </c>
      <c r="AE236" s="3">
        <f t="shared" si="197"/>
        <v>2.5547269142868926E-2</v>
      </c>
      <c r="AF236" s="3">
        <f t="shared" si="197"/>
        <v>7.2991261377537272E-3</v>
      </c>
      <c r="AG236" s="3"/>
      <c r="AH236" s="3"/>
    </row>
    <row r="237" spans="2:34" x14ac:dyDescent="0.25">
      <c r="B237" s="3">
        <f t="shared" ref="B237:AF237" si="198">$C45*EXP(-B$207/$A45/EXP(-$D$126))</f>
        <v>1.3317924951321973E-2</v>
      </c>
      <c r="C237" s="3">
        <f t="shared" si="198"/>
        <v>1.3317924951321973E-2</v>
      </c>
      <c r="D237" s="3">
        <f t="shared" si="198"/>
        <v>1.3317924951321973E-2</v>
      </c>
      <c r="E237" s="3">
        <f t="shared" si="198"/>
        <v>1.3317924951321973E-2</v>
      </c>
      <c r="F237" s="3">
        <f t="shared" si="198"/>
        <v>1.3317924951321973E-2</v>
      </c>
      <c r="G237" s="3">
        <f t="shared" si="198"/>
        <v>1.3317924951321973E-2</v>
      </c>
      <c r="H237" s="3">
        <f t="shared" si="198"/>
        <v>1.3317924951321973E-2</v>
      </c>
      <c r="I237" s="3">
        <f t="shared" si="198"/>
        <v>1.3317924951321973E-2</v>
      </c>
      <c r="J237" s="3">
        <f t="shared" si="198"/>
        <v>1.3317924951321973E-2</v>
      </c>
      <c r="K237" s="3">
        <f t="shared" si="198"/>
        <v>1.3317924951321973E-2</v>
      </c>
      <c r="L237" s="3">
        <f t="shared" si="198"/>
        <v>1.3317924951321973E-2</v>
      </c>
      <c r="M237" s="3">
        <f t="shared" si="198"/>
        <v>1.3317924951321973E-2</v>
      </c>
      <c r="N237" s="3">
        <f t="shared" si="198"/>
        <v>1.3317924951321973E-2</v>
      </c>
      <c r="O237" s="3">
        <f t="shared" si="198"/>
        <v>1.3317924951321973E-2</v>
      </c>
      <c r="P237" s="3">
        <f t="shared" si="198"/>
        <v>1.3317924951321973E-2</v>
      </c>
      <c r="Q237" s="3">
        <f t="shared" si="198"/>
        <v>1.3317924951321971E-2</v>
      </c>
      <c r="R237" s="3">
        <f t="shared" si="198"/>
        <v>1.3317924951321954E-2</v>
      </c>
      <c r="S237" s="3">
        <f t="shared" si="198"/>
        <v>1.3317924951321787E-2</v>
      </c>
      <c r="T237" s="3">
        <f t="shared" si="198"/>
        <v>1.3317924951320118E-2</v>
      </c>
      <c r="U237" s="3">
        <f t="shared" si="198"/>
        <v>1.3317924951303434E-2</v>
      </c>
      <c r="V237" s="3">
        <f t="shared" si="198"/>
        <v>1.331792495113659E-2</v>
      </c>
      <c r="W237" s="3">
        <f t="shared" si="198"/>
        <v>1.3317924949468153E-2</v>
      </c>
      <c r="X237" s="3">
        <f t="shared" si="198"/>
        <v>1.3317924932783779E-2</v>
      </c>
      <c r="Y237" s="3">
        <f t="shared" si="198"/>
        <v>1.3317924765940041E-2</v>
      </c>
      <c r="Z237" s="3">
        <f t="shared" si="198"/>
        <v>1.3317923097502767E-2</v>
      </c>
      <c r="AA237" s="3">
        <f t="shared" si="198"/>
        <v>1.3317906413141532E-2</v>
      </c>
      <c r="AB237" s="3">
        <f t="shared" si="198"/>
        <v>1.331773957067877E-2</v>
      </c>
      <c r="AC237" s="3">
        <f t="shared" si="198"/>
        <v>1.3316071261005034E-2</v>
      </c>
      <c r="AD237" s="3">
        <f t="shared" si="198"/>
        <v>1.3299399654327911E-2</v>
      </c>
      <c r="AE237" s="3">
        <f t="shared" si="198"/>
        <v>1.3133827285428668E-2</v>
      </c>
      <c r="AF237" s="3">
        <f t="shared" si="198"/>
        <v>1.1587345043459542E-2</v>
      </c>
      <c r="AG237" s="3"/>
      <c r="AH237" s="3"/>
    </row>
    <row r="238" spans="2:34" x14ac:dyDescent="0.25">
      <c r="B238" s="3">
        <f t="shared" ref="B238:AF238" si="199">$C46*EXP(-B$207/$A46/EXP(-$D$126))</f>
        <v>4.0600750332731679E-3</v>
      </c>
      <c r="C238" s="3">
        <f t="shared" si="199"/>
        <v>4.0600750332731679E-3</v>
      </c>
      <c r="D238" s="3">
        <f t="shared" si="199"/>
        <v>4.0600750332731679E-3</v>
      </c>
      <c r="E238" s="3">
        <f t="shared" si="199"/>
        <v>4.0600750332731679E-3</v>
      </c>
      <c r="F238" s="3">
        <f t="shared" si="199"/>
        <v>4.0600750332731679E-3</v>
      </c>
      <c r="G238" s="3">
        <f t="shared" si="199"/>
        <v>4.0600750332731679E-3</v>
      </c>
      <c r="H238" s="3">
        <f t="shared" si="199"/>
        <v>4.0600750332731679E-3</v>
      </c>
      <c r="I238" s="3">
        <f t="shared" si="199"/>
        <v>4.0600750332731679E-3</v>
      </c>
      <c r="J238" s="3">
        <f t="shared" si="199"/>
        <v>4.0600750332731679E-3</v>
      </c>
      <c r="K238" s="3">
        <f t="shared" si="199"/>
        <v>4.0600750332731679E-3</v>
      </c>
      <c r="L238" s="3">
        <f t="shared" si="199"/>
        <v>4.0600750332731679E-3</v>
      </c>
      <c r="M238" s="3">
        <f t="shared" si="199"/>
        <v>4.0600750332731679E-3</v>
      </c>
      <c r="N238" s="3">
        <f t="shared" si="199"/>
        <v>4.0600750332731679E-3</v>
      </c>
      <c r="O238" s="3">
        <f t="shared" si="199"/>
        <v>4.0600750332731679E-3</v>
      </c>
      <c r="P238" s="3">
        <f t="shared" si="199"/>
        <v>4.0600750332731679E-3</v>
      </c>
      <c r="Q238" s="3">
        <f t="shared" si="199"/>
        <v>4.0600750332731679E-3</v>
      </c>
      <c r="R238" s="3">
        <f t="shared" si="199"/>
        <v>4.060075033273167E-3</v>
      </c>
      <c r="S238" s="3">
        <f t="shared" si="199"/>
        <v>4.0600750332731618E-3</v>
      </c>
      <c r="T238" s="3">
        <f t="shared" si="199"/>
        <v>4.0600750332731115E-3</v>
      </c>
      <c r="U238" s="3">
        <f t="shared" si="199"/>
        <v>4.0600750332726024E-3</v>
      </c>
      <c r="V238" s="3">
        <f t="shared" si="199"/>
        <v>4.0600750332675161E-3</v>
      </c>
      <c r="W238" s="3">
        <f t="shared" si="199"/>
        <v>4.0600750332166523E-3</v>
      </c>
      <c r="X238" s="3">
        <f t="shared" si="199"/>
        <v>4.0600750327080166E-3</v>
      </c>
      <c r="Y238" s="3">
        <f t="shared" si="199"/>
        <v>4.060075027621653E-3</v>
      </c>
      <c r="Z238" s="3">
        <f t="shared" si="199"/>
        <v>4.0600749767580159E-3</v>
      </c>
      <c r="AA238" s="3">
        <f t="shared" si="199"/>
        <v>4.0600744681216824E-3</v>
      </c>
      <c r="AB238" s="3">
        <f t="shared" si="199"/>
        <v>4.0600693817618516E-3</v>
      </c>
      <c r="AC238" s="3">
        <f t="shared" si="199"/>
        <v>4.0600185185140089E-3</v>
      </c>
      <c r="AD238" s="3">
        <f t="shared" si="199"/>
        <v>4.0595099210801846E-3</v>
      </c>
      <c r="AE238" s="3">
        <f t="shared" si="199"/>
        <v>4.0544274495779246E-3</v>
      </c>
      <c r="AF238" s="3">
        <f t="shared" si="199"/>
        <v>4.0039513999211808E-3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6.6069827735831333E-3</v>
      </c>
      <c r="C240" s="3">
        <f t="shared" si="201"/>
        <v>6.6069827735831333E-3</v>
      </c>
      <c r="D240" s="3">
        <f t="shared" si="201"/>
        <v>6.6069827735831333E-3</v>
      </c>
      <c r="E240" s="3">
        <f t="shared" si="201"/>
        <v>6.6069827735831333E-3</v>
      </c>
      <c r="F240" s="3">
        <f t="shared" si="201"/>
        <v>6.6069827735831333E-3</v>
      </c>
      <c r="G240" s="3">
        <f t="shared" si="201"/>
        <v>6.6069827735831333E-3</v>
      </c>
      <c r="H240" s="3">
        <f t="shared" si="201"/>
        <v>6.6069827735831333E-3</v>
      </c>
      <c r="I240" s="3">
        <f t="shared" si="201"/>
        <v>6.6069827735831333E-3</v>
      </c>
      <c r="J240" s="3">
        <f t="shared" si="201"/>
        <v>6.6069827735831333E-3</v>
      </c>
      <c r="K240" s="3">
        <f t="shared" si="201"/>
        <v>6.6069827735831333E-3</v>
      </c>
      <c r="L240" s="3">
        <f t="shared" si="201"/>
        <v>6.6069827735831333E-3</v>
      </c>
      <c r="M240" s="3">
        <f t="shared" si="201"/>
        <v>6.6069827735831333E-3</v>
      </c>
      <c r="N240" s="3">
        <f t="shared" si="201"/>
        <v>6.6069827735831333E-3</v>
      </c>
      <c r="O240" s="3">
        <f t="shared" si="201"/>
        <v>6.6069827735831333E-3</v>
      </c>
      <c r="P240" s="3">
        <f t="shared" si="201"/>
        <v>6.6069827735831333E-3</v>
      </c>
      <c r="Q240" s="3">
        <f t="shared" si="201"/>
        <v>6.6069827735831333E-3</v>
      </c>
      <c r="R240" s="3">
        <f t="shared" si="201"/>
        <v>6.6069827735831333E-3</v>
      </c>
      <c r="S240" s="3">
        <f t="shared" si="201"/>
        <v>6.6069827735831333E-3</v>
      </c>
      <c r="T240" s="3">
        <f t="shared" si="201"/>
        <v>6.6069827735831324E-3</v>
      </c>
      <c r="U240" s="3">
        <f t="shared" si="201"/>
        <v>6.6069827735831237E-3</v>
      </c>
      <c r="V240" s="3">
        <f t="shared" si="201"/>
        <v>6.6069827735830413E-3</v>
      </c>
      <c r="W240" s="3">
        <f t="shared" si="201"/>
        <v>6.606982773582213E-3</v>
      </c>
      <c r="X240" s="3">
        <f t="shared" si="201"/>
        <v>6.6069827735739366E-3</v>
      </c>
      <c r="Y240" s="3">
        <f t="shared" si="201"/>
        <v>6.606982773491166E-3</v>
      </c>
      <c r="Z240" s="3">
        <f t="shared" si="201"/>
        <v>6.6069827726634592E-3</v>
      </c>
      <c r="AA240" s="3">
        <f t="shared" si="201"/>
        <v>6.6069827643863909E-3</v>
      </c>
      <c r="AB240" s="3">
        <f t="shared" si="201"/>
        <v>6.6069826816157109E-3</v>
      </c>
      <c r="AC240" s="3">
        <f t="shared" si="201"/>
        <v>6.6069818539089649E-3</v>
      </c>
      <c r="AD240" s="3">
        <f t="shared" si="201"/>
        <v>6.6069735768472101E-3</v>
      </c>
      <c r="AE240" s="3">
        <f t="shared" si="201"/>
        <v>6.6068908067999695E-3</v>
      </c>
      <c r="AF240" s="3">
        <f t="shared" si="201"/>
        <v>6.606063163355839E-3</v>
      </c>
      <c r="AG240" s="3"/>
      <c r="AH240" s="3"/>
    </row>
    <row r="241" spans="1:34" x14ac:dyDescent="0.25">
      <c r="A241" s="79">
        <f>AVERAGE(B241:AF241)</f>
        <v>4.7924741720086136E-2</v>
      </c>
      <c r="B241" s="80">
        <f>IF($A$64&lt;=B207,IF($B$64&gt;=B207,ABS((B209-B208)/B208),0),0)</f>
        <v>5.9583782843147656E-3</v>
      </c>
      <c r="C241" s="80">
        <f t="shared" ref="C241:AF241" si="202">IF($A$64&lt;=C207,IF($B$64&gt;=C207,ABS((C209-C208)/C208),0),0)</f>
        <v>5.968363952603202E-3</v>
      </c>
      <c r="D241" s="80">
        <f t="shared" si="202"/>
        <v>5.9630671344422532E-3</v>
      </c>
      <c r="E241" s="80">
        <f t="shared" si="202"/>
        <v>5.9617012886890022E-3</v>
      </c>
      <c r="F241" s="80">
        <f t="shared" si="202"/>
        <v>5.9613015333315998E-3</v>
      </c>
      <c r="G241" s="80">
        <f t="shared" si="202"/>
        <v>5.9611849817740644E-3</v>
      </c>
      <c r="H241" s="80">
        <f t="shared" si="202"/>
        <v>5.9611437908179757E-3</v>
      </c>
      <c r="I241" s="80">
        <f t="shared" si="202"/>
        <v>5.96113164111971E-3</v>
      </c>
      <c r="J241" s="80">
        <f t="shared" si="202"/>
        <v>5.9611350689838197E-3</v>
      </c>
      <c r="K241" s="80">
        <f t="shared" si="202"/>
        <v>5.9612526199306843E-3</v>
      </c>
      <c r="L241" s="80">
        <f t="shared" si="202"/>
        <v>5.9624353581076818E-3</v>
      </c>
      <c r="M241" s="80">
        <f t="shared" si="202"/>
        <v>5.9741699044618532E-3</v>
      </c>
      <c r="N241" s="80">
        <f t="shared" si="202"/>
        <v>6.0835170480522116E-3</v>
      </c>
      <c r="O241" s="80">
        <f t="shared" si="202"/>
        <v>6.6814694629283083E-3</v>
      </c>
      <c r="P241" s="80">
        <f t="shared" si="202"/>
        <v>8.5082169635259438E-3</v>
      </c>
      <c r="Q241" s="80">
        <f t="shared" si="202"/>
        <v>7.7240411158261777E-3</v>
      </c>
      <c r="R241" s="80">
        <f t="shared" si="202"/>
        <v>8.1041843965302396E-3</v>
      </c>
      <c r="S241" s="80">
        <f t="shared" si="202"/>
        <v>6.5335788284739851E-4</v>
      </c>
      <c r="T241" s="80">
        <f t="shared" si="202"/>
        <v>4.5639873336955315E-2</v>
      </c>
      <c r="U241" s="80">
        <f t="shared" si="202"/>
        <v>0.16862361298207837</v>
      </c>
      <c r="V241" s="80">
        <f t="shared" si="202"/>
        <v>0.27775544961762944</v>
      </c>
      <c r="W241" s="80">
        <f t="shared" si="202"/>
        <v>0.27431788035921378</v>
      </c>
      <c r="X241" s="80">
        <f t="shared" si="202"/>
        <v>0.20377186885103546</v>
      </c>
      <c r="Y241" s="80">
        <f t="shared" si="202"/>
        <v>0.13329782057510542</v>
      </c>
      <c r="Z241" s="80">
        <f t="shared" si="202"/>
        <v>8.6798910344242516E-2</v>
      </c>
      <c r="AA241" s="80">
        <f t="shared" si="202"/>
        <v>4.0503936321980495E-2</v>
      </c>
      <c r="AB241" s="80">
        <f t="shared" si="202"/>
        <v>1.5891371848207589E-2</v>
      </c>
      <c r="AC241" s="80">
        <f t="shared" si="202"/>
        <v>6.7167301239017324E-3</v>
      </c>
      <c r="AD241" s="80">
        <f t="shared" si="202"/>
        <v>3.5376132023247304E-2</v>
      </c>
      <c r="AE241" s="80">
        <f t="shared" si="202"/>
        <v>3.5466981403005318E-2</v>
      </c>
      <c r="AF241" s="80">
        <f t="shared" si="202"/>
        <v>5.2196373107780587E-2</v>
      </c>
    </row>
    <row r="242" spans="1:34" x14ac:dyDescent="0.25">
      <c r="B242" s="21">
        <f>(B209-B208)^2</f>
        <v>1908.0028357793881</v>
      </c>
      <c r="C242" s="21">
        <f t="shared" ref="C242:AF242" si="203">(C209-C208)^2</f>
        <v>1914.4419157190605</v>
      </c>
      <c r="D242" s="21">
        <f t="shared" si="203"/>
        <v>1911.0249901321629</v>
      </c>
      <c r="E242" s="21">
        <f t="shared" si="203"/>
        <v>1910.1443972630307</v>
      </c>
      <c r="F242" s="21">
        <f t="shared" si="203"/>
        <v>1909.8867044155359</v>
      </c>
      <c r="G242" s="21">
        <f t="shared" si="203"/>
        <v>1909.8115753512218</v>
      </c>
      <c r="H242" s="21">
        <f t="shared" si="203"/>
        <v>1909.785022372582</v>
      </c>
      <c r="I242" s="21">
        <f t="shared" si="203"/>
        <v>1909.7771735257322</v>
      </c>
      <c r="J242" s="21">
        <f t="shared" si="203"/>
        <v>1909.7792099003107</v>
      </c>
      <c r="K242" s="21">
        <f t="shared" si="203"/>
        <v>1909.8532505434032</v>
      </c>
      <c r="L242" s="21">
        <f t="shared" si="203"/>
        <v>1910.5983979174732</v>
      </c>
      <c r="M242" s="21">
        <f t="shared" si="203"/>
        <v>1917.9980449943935</v>
      </c>
      <c r="N242" s="21">
        <f t="shared" si="203"/>
        <v>1987.5337103871148</v>
      </c>
      <c r="O242" s="21">
        <f t="shared" si="203"/>
        <v>2382.7454725356597</v>
      </c>
      <c r="P242" s="21">
        <f t="shared" si="203"/>
        <v>3741.210588153303</v>
      </c>
      <c r="Q242" s="21">
        <f t="shared" si="203"/>
        <v>2961.3624628849052</v>
      </c>
      <c r="R242" s="21">
        <f t="shared" si="203"/>
        <v>3109.9263922328314</v>
      </c>
      <c r="S242" s="21">
        <f t="shared" si="203"/>
        <v>18.782718873925742</v>
      </c>
      <c r="T242" s="21">
        <f t="shared" si="203"/>
        <v>78580.534320024497</v>
      </c>
      <c r="U242" s="21">
        <f t="shared" si="203"/>
        <v>787675.47185752611</v>
      </c>
      <c r="V242" s="21">
        <f t="shared" si="203"/>
        <v>1492998.3511393536</v>
      </c>
      <c r="W242" s="21">
        <f t="shared" si="203"/>
        <v>1062301.6464512625</v>
      </c>
      <c r="X242" s="21">
        <f t="shared" si="203"/>
        <v>449763.96234446054</v>
      </c>
      <c r="Y242" s="21">
        <f t="shared" si="203"/>
        <v>151851.75833309759</v>
      </c>
      <c r="Z242" s="21">
        <f t="shared" si="203"/>
        <v>50611.64807389889</v>
      </c>
      <c r="AA242" s="21">
        <f t="shared" si="203"/>
        <v>8137.4633725772228</v>
      </c>
      <c r="AB242" s="21">
        <f t="shared" si="203"/>
        <v>834.75781266508318</v>
      </c>
      <c r="AC242" s="21">
        <f t="shared" si="203"/>
        <v>83.777934355923762</v>
      </c>
      <c r="AD242" s="21">
        <f t="shared" si="203"/>
        <v>974.88581052617485</v>
      </c>
      <c r="AE242" s="21">
        <f t="shared" si="203"/>
        <v>332.30527249155443</v>
      </c>
      <c r="AF242" s="21">
        <f t="shared" si="203"/>
        <v>225.90187078821705</v>
      </c>
      <c r="AG242" s="3"/>
      <c r="AH242" s="3"/>
    </row>
    <row r="243" spans="1:34" x14ac:dyDescent="0.25">
      <c r="A243" s="71">
        <f>SUM(B243:AF243)</f>
        <v>4121505.1294560106</v>
      </c>
      <c r="B243" s="60">
        <f>IF($A$64&lt;=B207,IF($B$64&gt;=B207,ABS(B242),0),0)</f>
        <v>1908.0028357793881</v>
      </c>
      <c r="C243" s="60">
        <f t="shared" ref="C243" si="204">IF($A$64&lt;=C207,IF($B$64&gt;=C207,ABS(C242),0),0)</f>
        <v>1914.4419157190605</v>
      </c>
      <c r="D243" s="60">
        <f t="shared" ref="D243" si="205">IF($A$64&lt;=D207,IF($B$64&gt;=D207,ABS(D242),0),0)</f>
        <v>1911.0249901321629</v>
      </c>
      <c r="E243" s="60">
        <f t="shared" ref="E243" si="206">IF($A$64&lt;=E207,IF($B$64&gt;=E207,ABS(E242),0),0)</f>
        <v>1910.1443972630307</v>
      </c>
      <c r="F243" s="60">
        <f t="shared" ref="F243" si="207">IF($A$64&lt;=F207,IF($B$64&gt;=F207,ABS(F242),0),0)</f>
        <v>1909.8867044155359</v>
      </c>
      <c r="G243" s="60">
        <f t="shared" ref="G243" si="208">IF($A$64&lt;=G207,IF($B$64&gt;=G207,ABS(G242),0),0)</f>
        <v>1909.8115753512218</v>
      </c>
      <c r="H243" s="60">
        <f t="shared" ref="H243" si="209">IF($A$64&lt;=H207,IF($B$64&gt;=H207,ABS(H242),0),0)</f>
        <v>1909.785022372582</v>
      </c>
      <c r="I243" s="60">
        <f t="shared" ref="I243" si="210">IF($A$64&lt;=I207,IF($B$64&gt;=I207,ABS(I242),0),0)</f>
        <v>1909.7771735257322</v>
      </c>
      <c r="J243" s="60">
        <f t="shared" ref="J243" si="211">IF($A$64&lt;=J207,IF($B$64&gt;=J207,ABS(J242),0),0)</f>
        <v>1909.7792099003107</v>
      </c>
      <c r="K243" s="60">
        <f t="shared" ref="K243" si="212">IF($A$64&lt;=K207,IF($B$64&gt;=K207,ABS(K242),0),0)</f>
        <v>1909.8532505434032</v>
      </c>
      <c r="L243" s="60">
        <f t="shared" ref="L243" si="213">IF($A$64&lt;=L207,IF($B$64&gt;=L207,ABS(L242),0),0)</f>
        <v>1910.5983979174732</v>
      </c>
      <c r="M243" s="60">
        <f t="shared" ref="M243" si="214">IF($A$64&lt;=M207,IF($B$64&gt;=M207,ABS(M242),0),0)</f>
        <v>1917.9980449943935</v>
      </c>
      <c r="N243" s="60">
        <f t="shared" ref="N243" si="215">IF($A$64&lt;=N207,IF($B$64&gt;=N207,ABS(N242),0),0)</f>
        <v>1987.5337103871148</v>
      </c>
      <c r="O243" s="60">
        <f t="shared" ref="O243" si="216">IF($A$64&lt;=O207,IF($B$64&gt;=O207,ABS(O242),0),0)</f>
        <v>2382.7454725356597</v>
      </c>
      <c r="P243" s="60">
        <f t="shared" ref="P243" si="217">IF($A$64&lt;=P207,IF($B$64&gt;=P207,ABS(P242),0),0)</f>
        <v>3741.210588153303</v>
      </c>
      <c r="Q243" s="60">
        <f t="shared" ref="Q243" si="218">IF($A$64&lt;=Q207,IF($B$64&gt;=Q207,ABS(Q242),0),0)</f>
        <v>2961.3624628849052</v>
      </c>
      <c r="R243" s="60">
        <f t="shared" ref="R243" si="219">IF($A$64&lt;=R207,IF($B$64&gt;=R207,ABS(R242),0),0)</f>
        <v>3109.9263922328314</v>
      </c>
      <c r="S243" s="60">
        <f t="shared" ref="S243" si="220">IF($A$64&lt;=S207,IF($B$64&gt;=S207,ABS(S242),0),0)</f>
        <v>18.782718873925742</v>
      </c>
      <c r="T243" s="60">
        <f t="shared" ref="T243" si="221">IF($A$64&lt;=T207,IF($B$64&gt;=T207,ABS(T242),0),0)</f>
        <v>78580.534320024497</v>
      </c>
      <c r="U243" s="60">
        <f t="shared" ref="U243" si="222">IF($A$64&lt;=U207,IF($B$64&gt;=U207,ABS(U242),0),0)</f>
        <v>787675.47185752611</v>
      </c>
      <c r="V243" s="60">
        <f t="shared" ref="V243" si="223">IF($A$64&lt;=V207,IF($B$64&gt;=V207,ABS(V242),0),0)</f>
        <v>1492998.3511393536</v>
      </c>
      <c r="W243" s="60">
        <f t="shared" ref="W243" si="224">IF($A$64&lt;=W207,IF($B$64&gt;=W207,ABS(W242),0),0)</f>
        <v>1062301.6464512625</v>
      </c>
      <c r="X243" s="60">
        <f t="shared" ref="X243" si="225">IF($A$64&lt;=X207,IF($B$64&gt;=X207,ABS(X242),0),0)</f>
        <v>449763.96234446054</v>
      </c>
      <c r="Y243" s="60">
        <f t="shared" ref="Y243" si="226">IF($A$64&lt;=Y207,IF($B$64&gt;=Y207,ABS(Y242),0),0)</f>
        <v>151851.75833309759</v>
      </c>
      <c r="Z243" s="60">
        <f t="shared" ref="Z243" si="227">IF($A$64&lt;=Z207,IF($B$64&gt;=Z207,ABS(Z242),0),0)</f>
        <v>50611.64807389889</v>
      </c>
      <c r="AA243" s="60">
        <f t="shared" ref="AA243" si="228">IF($A$64&lt;=AA207,IF($B$64&gt;=AA207,ABS(AA242),0),0)</f>
        <v>8137.4633725772228</v>
      </c>
      <c r="AB243" s="60">
        <f t="shared" ref="AB243" si="229">IF($A$64&lt;=AB207,IF($B$64&gt;=AB207,ABS(AB242),0),0)</f>
        <v>834.75781266508318</v>
      </c>
      <c r="AC243" s="60">
        <f t="shared" ref="AC243" si="230">IF($A$64&lt;=AC207,IF($B$64&gt;=AC207,ABS(AC242),0),0)</f>
        <v>83.777934355923762</v>
      </c>
      <c r="AD243" s="60">
        <f t="shared" ref="AD243" si="231">IF($A$64&lt;=AD207,IF($B$64&gt;=AD207,ABS(AD242),0),0)</f>
        <v>974.88581052617485</v>
      </c>
      <c r="AE243" s="60">
        <f t="shared" ref="AE243" si="232">IF($A$64&lt;=AE207,IF($B$64&gt;=AE207,ABS(AE242),0),0)</f>
        <v>332.30527249155443</v>
      </c>
      <c r="AF243" s="60">
        <f t="shared" ref="AF243" si="233">IF($A$64&lt;=AF207,IF($B$64&gt;=AF207,ABS(AF242),0),0)</f>
        <v>225.90187078821705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7287.2891982826222</v>
      </c>
      <c r="C248" s="27">
        <f t="shared" ref="C248:AF248" si="234">($C$17+SUM(C249:C279))*$B$51</f>
        <v>7287.2891982588826</v>
      </c>
      <c r="D248" s="27">
        <f t="shared" si="234"/>
        <v>7287.2891980214854</v>
      </c>
      <c r="E248" s="27">
        <f t="shared" si="234"/>
        <v>7287.2891956475214</v>
      </c>
      <c r="F248" s="27">
        <f t="shared" si="234"/>
        <v>7287.2891719078825</v>
      </c>
      <c r="G248" s="27">
        <f t="shared" si="234"/>
        <v>7287.2889345119183</v>
      </c>
      <c r="H248" s="27">
        <f t="shared" si="234"/>
        <v>7287.286560594539</v>
      </c>
      <c r="I248" s="27">
        <f t="shared" si="234"/>
        <v>7287.2628256456337</v>
      </c>
      <c r="J248" s="27">
        <f t="shared" si="234"/>
        <v>7287.0258973509171</v>
      </c>
      <c r="K248" s="27">
        <f t="shared" si="234"/>
        <v>7284.69747486709</v>
      </c>
      <c r="L248" s="27">
        <f t="shared" si="234"/>
        <v>7264.5230664902856</v>
      </c>
      <c r="M248" s="27">
        <f t="shared" si="234"/>
        <v>7153.8538658020652</v>
      </c>
      <c r="N248" s="27">
        <f t="shared" si="234"/>
        <v>7011.7095857284176</v>
      </c>
      <c r="O248" s="27">
        <f t="shared" si="234"/>
        <v>6855.0583331306561</v>
      </c>
      <c r="P248" s="27">
        <f t="shared" si="234"/>
        <v>6667.0586324327887</v>
      </c>
      <c r="Q248" s="27">
        <f t="shared" si="234"/>
        <v>6458.060497886956</v>
      </c>
      <c r="R248" s="27">
        <f t="shared" si="234"/>
        <v>6196.9918930210124</v>
      </c>
      <c r="S248" s="27">
        <f t="shared" si="234"/>
        <v>5728.7201220148854</v>
      </c>
      <c r="T248" s="27">
        <f t="shared" si="234"/>
        <v>4909.3235994370143</v>
      </c>
      <c r="U248" s="27">
        <f t="shared" si="234"/>
        <v>4054.6690865921837</v>
      </c>
      <c r="V248" s="27">
        <f t="shared" si="234"/>
        <v>3384.6989636771796</v>
      </c>
      <c r="W248" s="27">
        <f t="shared" si="234"/>
        <v>2867.7976108072089</v>
      </c>
      <c r="X248" s="27">
        <f t="shared" si="234"/>
        <v>2393.8831320598624</v>
      </c>
      <c r="Y248" s="27">
        <f t="shared" si="234"/>
        <v>1923.024412072323</v>
      </c>
      <c r="Z248" s="27">
        <f t="shared" si="234"/>
        <v>1432.9837928798897</v>
      </c>
      <c r="AA248" s="27">
        <f t="shared" si="234"/>
        <v>928.35269720480926</v>
      </c>
      <c r="AB248" s="27">
        <f t="shared" si="234"/>
        <v>540.74535252356679</v>
      </c>
      <c r="AC248" s="27">
        <f t="shared" si="234"/>
        <v>302.11579532279973</v>
      </c>
      <c r="AD248" s="27">
        <f t="shared" si="234"/>
        <v>167.92419012702311</v>
      </c>
      <c r="AE248" s="27">
        <f t="shared" si="234"/>
        <v>115.58943266819429</v>
      </c>
      <c r="AF248" s="27">
        <f t="shared" si="234"/>
        <v>100.51029187906809</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8.2357212059796787E-4</v>
      </c>
      <c r="C258" s="3">
        <f t="shared" si="244"/>
        <v>8.2357211976528976E-4</v>
      </c>
      <c r="D258" s="3">
        <f t="shared" si="244"/>
        <v>8.2357211143850963E-4</v>
      </c>
      <c r="E258" s="3">
        <f t="shared" si="244"/>
        <v>8.2357202817071214E-4</v>
      </c>
      <c r="F258" s="3">
        <f t="shared" si="244"/>
        <v>8.2357119549320034E-4</v>
      </c>
      <c r="G258" s="3">
        <f t="shared" si="244"/>
        <v>8.2356286876438629E-4</v>
      </c>
      <c r="H258" s="3">
        <f t="shared" si="244"/>
        <v>8.2347960610641788E-4</v>
      </c>
      <c r="I258" s="3">
        <f t="shared" si="244"/>
        <v>8.2264744237086176E-4</v>
      </c>
      <c r="J258" s="3">
        <f t="shared" si="244"/>
        <v>8.143719167494881E-4</v>
      </c>
      <c r="K258" s="3">
        <f t="shared" si="244"/>
        <v>7.3605990058141105E-4</v>
      </c>
      <c r="L258" s="3">
        <f t="shared" si="244"/>
        <v>2.6780387541424554E-4</v>
      </c>
      <c r="M258" s="3">
        <f t="shared" si="244"/>
        <v>1.0885636927295361E-8</v>
      </c>
      <c r="N258" s="3">
        <f t="shared" si="244"/>
        <v>1.3403669818852519E-52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2.4665844117389642E-2</v>
      </c>
      <c r="C259" s="3">
        <f t="shared" si="245"/>
        <v>2.4665844115139977E-2</v>
      </c>
      <c r="D259" s="3">
        <f t="shared" si="245"/>
        <v>2.4665844092643319E-2</v>
      </c>
      <c r="E259" s="3">
        <f t="shared" si="245"/>
        <v>2.4665843867676718E-2</v>
      </c>
      <c r="F259" s="3">
        <f t="shared" si="245"/>
        <v>2.4665841618010866E-2</v>
      </c>
      <c r="G259" s="3">
        <f t="shared" si="245"/>
        <v>2.4665819121363598E-2</v>
      </c>
      <c r="H259" s="3">
        <f t="shared" si="245"/>
        <v>2.4665594156019429E-2</v>
      </c>
      <c r="I259" s="3">
        <f t="shared" si="245"/>
        <v>2.4663344615423844E-2</v>
      </c>
      <c r="J259" s="3">
        <f t="shared" si="245"/>
        <v>2.4640860490269499E-2</v>
      </c>
      <c r="K259" s="3">
        <f t="shared" si="245"/>
        <v>2.4417143521316107E-2</v>
      </c>
      <c r="L259" s="3">
        <f t="shared" si="245"/>
        <v>2.2288698864521433E-2</v>
      </c>
      <c r="M259" s="3">
        <f t="shared" si="245"/>
        <v>8.9533038531453991E-3</v>
      </c>
      <c r="N259" s="3">
        <f t="shared" si="245"/>
        <v>9.7942095922410671E-7</v>
      </c>
      <c r="O259" s="3">
        <f t="shared" si="245"/>
        <v>2.4034223326701781E-46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1.629119792530187E-2</v>
      </c>
      <c r="C260" s="3">
        <f t="shared" si="246"/>
        <v>1.6291197925167835E-2</v>
      </c>
      <c r="D260" s="3">
        <f t="shared" si="246"/>
        <v>1.6291197923827473E-2</v>
      </c>
      <c r="E260" s="3">
        <f t="shared" si="246"/>
        <v>1.6291197910423869E-2</v>
      </c>
      <c r="F260" s="3">
        <f t="shared" si="246"/>
        <v>1.6291197776387805E-2</v>
      </c>
      <c r="G260" s="3">
        <f t="shared" si="246"/>
        <v>1.6291196436027222E-2</v>
      </c>
      <c r="H260" s="3">
        <f t="shared" si="246"/>
        <v>1.6291183032427461E-2</v>
      </c>
      <c r="I260" s="3">
        <f t="shared" si="246"/>
        <v>1.6291048997036386E-2</v>
      </c>
      <c r="J260" s="3">
        <f t="shared" si="246"/>
        <v>1.6289708703776707E-2</v>
      </c>
      <c r="K260" s="3">
        <f t="shared" si="246"/>
        <v>1.6276311834438912E-2</v>
      </c>
      <c r="L260" s="3">
        <f t="shared" si="246"/>
        <v>1.6142947625251432E-2</v>
      </c>
      <c r="M260" s="3">
        <f t="shared" si="246"/>
        <v>1.4867953591624246E-2</v>
      </c>
      <c r="N260" s="3">
        <f t="shared" si="246"/>
        <v>6.5303248823253141E-3</v>
      </c>
      <c r="O260" s="3">
        <f t="shared" si="246"/>
        <v>1.7449006253502867E-6</v>
      </c>
      <c r="P260" s="3">
        <f t="shared" si="246"/>
        <v>3.2369038745473434E-42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2.6847553865853482E-2</v>
      </c>
      <c r="C261" s="3">
        <f t="shared" si="247"/>
        <v>2.6847553865833554E-2</v>
      </c>
      <c r="D261" s="3">
        <f t="shared" si="247"/>
        <v>2.6847553865634297E-2</v>
      </c>
      <c r="E261" s="3">
        <f t="shared" si="247"/>
        <v>2.6847553863641696E-2</v>
      </c>
      <c r="F261" s="3">
        <f t="shared" si="247"/>
        <v>2.6847553843715705E-2</v>
      </c>
      <c r="G261" s="3">
        <f t="shared" si="247"/>
        <v>2.684755364445578E-2</v>
      </c>
      <c r="H261" s="3">
        <f t="shared" si="247"/>
        <v>2.6847551651856622E-2</v>
      </c>
      <c r="I261" s="3">
        <f t="shared" si="247"/>
        <v>2.6847531725873151E-2</v>
      </c>
      <c r="J261" s="3">
        <f t="shared" si="247"/>
        <v>2.684733246685183E-2</v>
      </c>
      <c r="K261" s="3">
        <f t="shared" si="247"/>
        <v>2.6845339957974976E-2</v>
      </c>
      <c r="L261" s="3">
        <f t="shared" si="247"/>
        <v>2.6825423000607612E-2</v>
      </c>
      <c r="M261" s="3">
        <f t="shared" si="247"/>
        <v>2.6627064338507832E-2</v>
      </c>
      <c r="N261" s="3">
        <f t="shared" si="247"/>
        <v>2.4722385546839466E-2</v>
      </c>
      <c r="O261" s="3">
        <f t="shared" si="247"/>
        <v>1.1769587669884561E-2</v>
      </c>
      <c r="P261" s="3">
        <f t="shared" si="247"/>
        <v>7.0383357607673002E-6</v>
      </c>
      <c r="Q261" s="3">
        <f t="shared" si="247"/>
        <v>4.1167766597408649E-38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2.5906186741603471E-2</v>
      </c>
      <c r="C262" s="3">
        <f t="shared" si="248"/>
        <v>2.590618674160174E-2</v>
      </c>
      <c r="D262" s="3">
        <f t="shared" si="248"/>
        <v>2.5906186741584392E-2</v>
      </c>
      <c r="E262" s="3">
        <f t="shared" si="248"/>
        <v>2.5906186741410948E-2</v>
      </c>
      <c r="F262" s="3">
        <f t="shared" si="248"/>
        <v>2.5906186739676481E-2</v>
      </c>
      <c r="G262" s="3">
        <f t="shared" si="248"/>
        <v>2.5906186722331841E-2</v>
      </c>
      <c r="H262" s="3">
        <f t="shared" si="248"/>
        <v>2.5906186548885428E-2</v>
      </c>
      <c r="I262" s="3">
        <f t="shared" si="248"/>
        <v>2.5906184814421369E-2</v>
      </c>
      <c r="J262" s="3">
        <f t="shared" si="248"/>
        <v>2.5906167469787158E-2</v>
      </c>
      <c r="K262" s="3">
        <f t="shared" si="248"/>
        <v>2.5905994024083712E-2</v>
      </c>
      <c r="L262" s="3">
        <f t="shared" si="248"/>
        <v>2.5904259630916488E-2</v>
      </c>
      <c r="M262" s="3">
        <f t="shared" si="248"/>
        <v>2.5886922084382577E-2</v>
      </c>
      <c r="N262" s="3">
        <f t="shared" si="248"/>
        <v>2.5714183553971856E-2</v>
      </c>
      <c r="O262" s="3">
        <f t="shared" si="248"/>
        <v>2.404894177741862E-2</v>
      </c>
      <c r="P262" s="3">
        <f t="shared" si="248"/>
        <v>1.2311990831216851E-2</v>
      </c>
      <c r="Q262" s="3">
        <f t="shared" si="248"/>
        <v>1.5228299449087983E-5</v>
      </c>
      <c r="R262" s="3">
        <f t="shared" si="248"/>
        <v>1.2760939686953748E-34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3.2694648537282246E-2</v>
      </c>
      <c r="C263" s="3">
        <f t="shared" si="249"/>
        <v>3.2694648537282052E-2</v>
      </c>
      <c r="D263" s="3">
        <f t="shared" si="249"/>
        <v>3.2694648537280074E-2</v>
      </c>
      <c r="E263" s="3">
        <f t="shared" si="249"/>
        <v>3.2694648537260326E-2</v>
      </c>
      <c r="F263" s="3">
        <f t="shared" si="249"/>
        <v>3.2694648537062866E-2</v>
      </c>
      <c r="G263" s="3">
        <f t="shared" si="249"/>
        <v>3.2694648535088237E-2</v>
      </c>
      <c r="H263" s="3">
        <f t="shared" si="249"/>
        <v>3.2694648515341963E-2</v>
      </c>
      <c r="I263" s="3">
        <f t="shared" si="249"/>
        <v>3.2694648317879257E-2</v>
      </c>
      <c r="J263" s="3">
        <f t="shared" si="249"/>
        <v>3.2694646343252219E-2</v>
      </c>
      <c r="K263" s="3">
        <f t="shared" si="249"/>
        <v>3.2694626596988408E-2</v>
      </c>
      <c r="L263" s="3">
        <f t="shared" si="249"/>
        <v>3.2694429135006191E-2</v>
      </c>
      <c r="M263" s="3">
        <f t="shared" si="249"/>
        <v>3.2692454580775229E-2</v>
      </c>
      <c r="N263" s="3">
        <f t="shared" si="249"/>
        <v>3.2672715596117799E-2</v>
      </c>
      <c r="O263" s="3">
        <f t="shared" si="249"/>
        <v>3.247598005171945E-2</v>
      </c>
      <c r="P263" s="3">
        <f t="shared" si="249"/>
        <v>3.0572616007645936E-2</v>
      </c>
      <c r="Q263" s="3">
        <f t="shared" si="249"/>
        <v>1.671228979922447E-2</v>
      </c>
      <c r="R263" s="3">
        <f t="shared" si="249"/>
        <v>3.9817090391319424E-5</v>
      </c>
      <c r="S263" s="3">
        <f t="shared" si="249"/>
        <v>2.3464167622026864E-31</v>
      </c>
      <c r="T263" s="3">
        <f t="shared" si="249"/>
        <v>1.1851176513606647E-293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3.3282078428276941E-2</v>
      </c>
      <c r="C264" s="3">
        <f t="shared" si="250"/>
        <v>3.3282078428276927E-2</v>
      </c>
      <c r="D264" s="3">
        <f t="shared" si="250"/>
        <v>3.3282078428276747E-2</v>
      </c>
      <c r="E264" s="3">
        <f t="shared" si="250"/>
        <v>3.3282078428274936E-2</v>
      </c>
      <c r="F264" s="3">
        <f t="shared" si="250"/>
        <v>3.3282078428256798E-2</v>
      </c>
      <c r="G264" s="3">
        <f t="shared" si="250"/>
        <v>3.3282078428075471E-2</v>
      </c>
      <c r="H264" s="3">
        <f t="shared" si="250"/>
        <v>3.3282078426262192E-2</v>
      </c>
      <c r="I264" s="3">
        <f t="shared" si="250"/>
        <v>3.3282078408129363E-2</v>
      </c>
      <c r="J264" s="3">
        <f t="shared" si="250"/>
        <v>3.3282078226801126E-2</v>
      </c>
      <c r="K264" s="3">
        <f t="shared" si="250"/>
        <v>3.3282076413518755E-2</v>
      </c>
      <c r="L264" s="3">
        <f t="shared" si="250"/>
        <v>3.3282058280700522E-2</v>
      </c>
      <c r="M264" s="3">
        <f t="shared" si="250"/>
        <v>3.3281876953061534E-2</v>
      </c>
      <c r="N264" s="3">
        <f t="shared" si="250"/>
        <v>3.3280063731005866E-2</v>
      </c>
      <c r="O264" s="3">
        <f t="shared" si="250"/>
        <v>3.3261936942775919E-2</v>
      </c>
      <c r="P264" s="3">
        <f t="shared" si="250"/>
        <v>3.3081211199674165E-2</v>
      </c>
      <c r="Q264" s="3">
        <f t="shared" si="250"/>
        <v>3.1327090564772661E-2</v>
      </c>
      <c r="R264" s="3">
        <f t="shared" si="250"/>
        <v>1.8167981083233711E-2</v>
      </c>
      <c r="S264" s="3">
        <f t="shared" si="250"/>
        <v>7.8193874547894161E-5</v>
      </c>
      <c r="T264" s="3">
        <f t="shared" si="250"/>
        <v>1.7054279443331302E-28</v>
      </c>
      <c r="U264" s="3">
        <f t="shared" si="250"/>
        <v>4.1537446172290747E-265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0.1075539898267141</v>
      </c>
      <c r="C265" s="3">
        <f t="shared" si="251"/>
        <v>0.1075539898267141</v>
      </c>
      <c r="D265" s="3">
        <f t="shared" si="251"/>
        <v>0.10755398982671405</v>
      </c>
      <c r="E265" s="3">
        <f t="shared" si="251"/>
        <v>0.10755398982671352</v>
      </c>
      <c r="F265" s="3">
        <f t="shared" si="251"/>
        <v>0.10755398982670823</v>
      </c>
      <c r="G265" s="3">
        <f t="shared" si="251"/>
        <v>0.10755398982665537</v>
      </c>
      <c r="H265" s="3">
        <f t="shared" si="251"/>
        <v>0.10755398982612677</v>
      </c>
      <c r="I265" s="3">
        <f t="shared" si="251"/>
        <v>0.10755398982084076</v>
      </c>
      <c r="J265" s="3">
        <f t="shared" si="251"/>
        <v>0.10755398976798064</v>
      </c>
      <c r="K265" s="3">
        <f t="shared" si="251"/>
        <v>0.10755398923937946</v>
      </c>
      <c r="L265" s="3">
        <f t="shared" si="251"/>
        <v>0.10755398395336781</v>
      </c>
      <c r="M265" s="3">
        <f t="shared" si="251"/>
        <v>0.10755393109326551</v>
      </c>
      <c r="N265" s="3">
        <f t="shared" si="251"/>
        <v>0.10755340249367148</v>
      </c>
      <c r="O265" s="3">
        <f t="shared" si="251"/>
        <v>0.1075481166406153</v>
      </c>
      <c r="P265" s="3">
        <f t="shared" si="251"/>
        <v>0.10749527239585695</v>
      </c>
      <c r="Q265" s="3">
        <f t="shared" si="251"/>
        <v>0.10696825593423674</v>
      </c>
      <c r="R265" s="3">
        <f t="shared" si="251"/>
        <v>0.10183813055510924</v>
      </c>
      <c r="S265" s="3">
        <f t="shared" si="251"/>
        <v>6.2296759002254808E-2</v>
      </c>
      <c r="T265" s="3">
        <f t="shared" si="251"/>
        <v>4.5710481865744897E-4</v>
      </c>
      <c r="U265" s="3">
        <f t="shared" si="251"/>
        <v>2.0678511058326316E-25</v>
      </c>
      <c r="V265" s="3">
        <f t="shared" si="251"/>
        <v>7.422563371412917E-239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0.13355176295714186</v>
      </c>
      <c r="C266" s="3">
        <f t="shared" si="252"/>
        <v>0.13355176295714186</v>
      </c>
      <c r="D266" s="3">
        <f t="shared" si="252"/>
        <v>0.13355176295714186</v>
      </c>
      <c r="E266" s="3">
        <f t="shared" si="252"/>
        <v>0.1335517629571418</v>
      </c>
      <c r="F266" s="3">
        <f t="shared" si="252"/>
        <v>0.13355176295714119</v>
      </c>
      <c r="G266" s="3">
        <f t="shared" si="252"/>
        <v>0.13355176295713528</v>
      </c>
      <c r="H266" s="3">
        <f t="shared" si="252"/>
        <v>0.13355176295707608</v>
      </c>
      <c r="I266" s="3">
        <f t="shared" si="252"/>
        <v>0.13355176295648397</v>
      </c>
      <c r="J266" s="3">
        <f t="shared" si="252"/>
        <v>0.13355176295056292</v>
      </c>
      <c r="K266" s="3">
        <f t="shared" si="252"/>
        <v>0.13355176289135254</v>
      </c>
      <c r="L266" s="3">
        <f t="shared" si="252"/>
        <v>0.13355176229924878</v>
      </c>
      <c r="M266" s="3">
        <f t="shared" si="252"/>
        <v>0.13355175637821132</v>
      </c>
      <c r="N266" s="3">
        <f t="shared" si="252"/>
        <v>0.1335516971678512</v>
      </c>
      <c r="O266" s="3">
        <f t="shared" si="252"/>
        <v>0.13355110506569368</v>
      </c>
      <c r="P266" s="3">
        <f t="shared" si="252"/>
        <v>0.13354518418849623</v>
      </c>
      <c r="Q266" s="3">
        <f t="shared" si="252"/>
        <v>0.13348598985194604</v>
      </c>
      <c r="R266" s="3">
        <f t="shared" si="252"/>
        <v>0.13289548766367962</v>
      </c>
      <c r="S266" s="3">
        <f t="shared" si="252"/>
        <v>0.12713224717070196</v>
      </c>
      <c r="T266" s="3">
        <f t="shared" si="252"/>
        <v>8.1603842304784388E-2</v>
      </c>
      <c r="U266" s="3">
        <f t="shared" si="252"/>
        <v>9.688564868298743E-4</v>
      </c>
      <c r="V266" s="3">
        <f t="shared" si="252"/>
        <v>5.3919751959859379E-23</v>
      </c>
      <c r="W266" s="3">
        <f t="shared" si="252"/>
        <v>1.536852645791186E-215</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0.10276653551975504</v>
      </c>
      <c r="C267" s="3">
        <f t="shared" si="253"/>
        <v>0.10276653551975504</v>
      </c>
      <c r="D267" s="3">
        <f t="shared" si="253"/>
        <v>0.10276653551975504</v>
      </c>
      <c r="E267" s="3">
        <f t="shared" si="253"/>
        <v>0.10276653551975504</v>
      </c>
      <c r="F267" s="3">
        <f t="shared" si="253"/>
        <v>0.102766535519755</v>
      </c>
      <c r="G267" s="3">
        <f t="shared" si="253"/>
        <v>0.10276653551975458</v>
      </c>
      <c r="H267" s="3">
        <f t="shared" si="253"/>
        <v>0.10276653551975047</v>
      </c>
      <c r="I267" s="3">
        <f t="shared" si="253"/>
        <v>0.10276653551970936</v>
      </c>
      <c r="J267" s="3">
        <f t="shared" si="253"/>
        <v>0.10276653551929836</v>
      </c>
      <c r="K267" s="3">
        <f t="shared" si="253"/>
        <v>0.10276653551518831</v>
      </c>
      <c r="L267" s="3">
        <f t="shared" si="253"/>
        <v>0.10276653547408787</v>
      </c>
      <c r="M267" s="3">
        <f t="shared" si="253"/>
        <v>0.10276653506308345</v>
      </c>
      <c r="N267" s="3">
        <f t="shared" si="253"/>
        <v>0.10276653095303927</v>
      </c>
      <c r="O267" s="3">
        <f t="shared" si="253"/>
        <v>0.10276648985260643</v>
      </c>
      <c r="P267" s="3">
        <f t="shared" si="253"/>
        <v>0.10276607884918218</v>
      </c>
      <c r="Q267" s="3">
        <f t="shared" si="253"/>
        <v>0.10276196890534559</v>
      </c>
      <c r="R267" s="3">
        <f t="shared" si="253"/>
        <v>0.10272087850623333</v>
      </c>
      <c r="S267" s="3">
        <f t="shared" si="253"/>
        <v>0.10231087710429544</v>
      </c>
      <c r="T267" s="3">
        <f t="shared" si="253"/>
        <v>9.8299800539870627E-2</v>
      </c>
      <c r="U267" s="3">
        <f t="shared" si="253"/>
        <v>6.5896283904402372E-2</v>
      </c>
      <c r="V267" s="3">
        <f t="shared" si="253"/>
        <v>1.2076575442394586E-3</v>
      </c>
      <c r="W267" s="3">
        <f t="shared" si="253"/>
        <v>5.1614597557152152E-21</v>
      </c>
      <c r="X267" s="3">
        <f t="shared" si="253"/>
        <v>1.0496874688830709E-194</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8.2308697100650766E-2</v>
      </c>
      <c r="C268" s="3">
        <f t="shared" si="254"/>
        <v>8.2308697100650766E-2</v>
      </c>
      <c r="D268" s="3">
        <f t="shared" si="254"/>
        <v>8.2308697100650766E-2</v>
      </c>
      <c r="E268" s="3">
        <f t="shared" si="254"/>
        <v>8.2308697100650766E-2</v>
      </c>
      <c r="F268" s="3">
        <f t="shared" si="254"/>
        <v>8.2308697100650766E-2</v>
      </c>
      <c r="G268" s="3">
        <f t="shared" si="254"/>
        <v>8.2308697100650724E-2</v>
      </c>
      <c r="H268" s="3">
        <f t="shared" si="254"/>
        <v>8.2308697100650433E-2</v>
      </c>
      <c r="I268" s="3">
        <f t="shared" si="254"/>
        <v>8.2308697100647463E-2</v>
      </c>
      <c r="J268" s="3">
        <f t="shared" si="254"/>
        <v>8.2308697100617764E-2</v>
      </c>
      <c r="K268" s="3">
        <f t="shared" si="254"/>
        <v>8.2308697100320821E-2</v>
      </c>
      <c r="L268" s="3">
        <f t="shared" si="254"/>
        <v>8.2308697097351294E-2</v>
      </c>
      <c r="M268" s="3">
        <f t="shared" si="254"/>
        <v>8.2308697067656034E-2</v>
      </c>
      <c r="N268" s="3">
        <f t="shared" si="254"/>
        <v>8.2308696770703446E-2</v>
      </c>
      <c r="O268" s="3">
        <f t="shared" si="254"/>
        <v>8.230869380117771E-2</v>
      </c>
      <c r="P268" s="3">
        <f t="shared" si="254"/>
        <v>8.2308664105926188E-2</v>
      </c>
      <c r="Q268" s="3">
        <f t="shared" si="254"/>
        <v>8.2308367154000209E-2</v>
      </c>
      <c r="R268" s="3">
        <f t="shared" si="254"/>
        <v>8.2305397693663379E-2</v>
      </c>
      <c r="S268" s="3">
        <f t="shared" si="254"/>
        <v>8.2275708981806875E-2</v>
      </c>
      <c r="T268" s="3">
        <f t="shared" si="254"/>
        <v>8.1979410228739877E-2</v>
      </c>
      <c r="U268" s="3">
        <f t="shared" si="254"/>
        <v>7.9074481370688676E-2</v>
      </c>
      <c r="V268" s="3">
        <f t="shared" si="254"/>
        <v>5.5125428419820037E-2</v>
      </c>
      <c r="W268" s="3">
        <f t="shared" si="254"/>
        <v>1.4945423746734511E-3</v>
      </c>
      <c r="X268" s="3">
        <f t="shared" si="254"/>
        <v>3.2067919650970251E-19</v>
      </c>
      <c r="Y268" s="3">
        <f t="shared" si="254"/>
        <v>6.632791164760772E-176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3.7013792035783422E-2</v>
      </c>
      <c r="C269" s="3">
        <f t="shared" si="255"/>
        <v>3.7013792035783422E-2</v>
      </c>
      <c r="D269" s="3">
        <f t="shared" si="255"/>
        <v>3.7013792035783422E-2</v>
      </c>
      <c r="E269" s="3">
        <f t="shared" si="255"/>
        <v>3.7013792035783422E-2</v>
      </c>
      <c r="F269" s="3">
        <f t="shared" si="255"/>
        <v>3.7013792035783422E-2</v>
      </c>
      <c r="G269" s="3">
        <f t="shared" si="255"/>
        <v>3.7013792035783422E-2</v>
      </c>
      <c r="H269" s="3">
        <f t="shared" si="255"/>
        <v>3.7013792035783408E-2</v>
      </c>
      <c r="I269" s="3">
        <f t="shared" si="255"/>
        <v>3.7013792035783283E-2</v>
      </c>
      <c r="J269" s="3">
        <f t="shared" si="255"/>
        <v>3.7013792035782082E-2</v>
      </c>
      <c r="K269" s="3">
        <f t="shared" si="255"/>
        <v>3.7013792035770036E-2</v>
      </c>
      <c r="L269" s="3">
        <f t="shared" si="255"/>
        <v>3.7013792035649577E-2</v>
      </c>
      <c r="M269" s="3">
        <f t="shared" si="255"/>
        <v>3.7013792034444951E-2</v>
      </c>
      <c r="N269" s="3">
        <f t="shared" si="255"/>
        <v>3.7013792022398712E-2</v>
      </c>
      <c r="O269" s="3">
        <f t="shared" si="255"/>
        <v>3.7013791901936301E-2</v>
      </c>
      <c r="P269" s="3">
        <f t="shared" si="255"/>
        <v>3.701379069731222E-2</v>
      </c>
      <c r="Q269" s="3">
        <f t="shared" si="255"/>
        <v>3.7013778651073595E-2</v>
      </c>
      <c r="R269" s="3">
        <f t="shared" si="255"/>
        <v>3.7013658188902981E-2</v>
      </c>
      <c r="S269" s="3">
        <f t="shared" si="255"/>
        <v>3.7012453588759195E-2</v>
      </c>
      <c r="T269" s="3">
        <f t="shared" si="255"/>
        <v>3.7000409743298178E-2</v>
      </c>
      <c r="U269" s="3">
        <f t="shared" si="255"/>
        <v>3.6880186626984578E-2</v>
      </c>
      <c r="V269" s="3">
        <f t="shared" si="255"/>
        <v>3.5699232230334464E-2</v>
      </c>
      <c r="W269" s="3">
        <f t="shared" si="255"/>
        <v>2.5781995921046866E-2</v>
      </c>
      <c r="X269" s="3">
        <f t="shared" si="255"/>
        <v>9.9516049822285331E-4</v>
      </c>
      <c r="Y269" s="3">
        <f t="shared" si="255"/>
        <v>7.3056533932080966E-18</v>
      </c>
      <c r="Z269" s="3">
        <f t="shared" si="255"/>
        <v>3.3213788346278522E-159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5.9919400803358086E-2</v>
      </c>
      <c r="C270" s="3">
        <f t="shared" si="256"/>
        <v>5.9919400803358086E-2</v>
      </c>
      <c r="D270" s="3">
        <f t="shared" si="256"/>
        <v>5.9919400803358086E-2</v>
      </c>
      <c r="E270" s="3">
        <f t="shared" si="256"/>
        <v>5.9919400803358086E-2</v>
      </c>
      <c r="F270" s="3">
        <f t="shared" si="256"/>
        <v>5.9919400803358086E-2</v>
      </c>
      <c r="G270" s="3">
        <f t="shared" si="256"/>
        <v>5.9919400803358086E-2</v>
      </c>
      <c r="H270" s="3">
        <f t="shared" si="256"/>
        <v>5.9919400803358079E-2</v>
      </c>
      <c r="I270" s="3">
        <f t="shared" si="256"/>
        <v>5.9919400803358024E-2</v>
      </c>
      <c r="J270" s="3">
        <f t="shared" si="256"/>
        <v>5.9919400803357489E-2</v>
      </c>
      <c r="K270" s="3">
        <f t="shared" si="256"/>
        <v>5.9919400803352091E-2</v>
      </c>
      <c r="L270" s="3">
        <f t="shared" si="256"/>
        <v>5.9919400803298162E-2</v>
      </c>
      <c r="M270" s="3">
        <f t="shared" si="256"/>
        <v>5.9919400802758815E-2</v>
      </c>
      <c r="N270" s="3">
        <f t="shared" si="256"/>
        <v>5.9919400797365338E-2</v>
      </c>
      <c r="O270" s="3">
        <f t="shared" si="256"/>
        <v>5.9919400743430634E-2</v>
      </c>
      <c r="P270" s="3">
        <f t="shared" si="256"/>
        <v>5.9919400204083616E-2</v>
      </c>
      <c r="Q270" s="3">
        <f t="shared" si="256"/>
        <v>5.9919394810613612E-2</v>
      </c>
      <c r="R270" s="3">
        <f t="shared" si="256"/>
        <v>5.9919340875940322E-2</v>
      </c>
      <c r="S270" s="3">
        <f t="shared" si="256"/>
        <v>5.9918801531877522E-2</v>
      </c>
      <c r="T270" s="3">
        <f t="shared" si="256"/>
        <v>5.9913408358252283E-2</v>
      </c>
      <c r="U270" s="3">
        <f t="shared" si="256"/>
        <v>5.9859503313384972E-2</v>
      </c>
      <c r="V270" s="3">
        <f t="shared" si="256"/>
        <v>5.9323113135155418E-2</v>
      </c>
      <c r="W270" s="3">
        <f t="shared" si="256"/>
        <v>5.4216587801766775E-2</v>
      </c>
      <c r="X270" s="3">
        <f t="shared" si="256"/>
        <v>2.2040155581694365E-2</v>
      </c>
      <c r="Y270" s="3">
        <f t="shared" si="256"/>
        <v>2.7166857395424507E-6</v>
      </c>
      <c r="Z270" s="3">
        <f t="shared" si="256"/>
        <v>2.1993121568465791E-45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6.4670451984415095E-2</v>
      </c>
      <c r="C271" s="3">
        <f t="shared" si="257"/>
        <v>6.4670451984415095E-2</v>
      </c>
      <c r="D271" s="3">
        <f t="shared" si="257"/>
        <v>6.4670451984415095E-2</v>
      </c>
      <c r="E271" s="3">
        <f t="shared" si="257"/>
        <v>6.4670451984415095E-2</v>
      </c>
      <c r="F271" s="3">
        <f t="shared" si="257"/>
        <v>6.4670451984415095E-2</v>
      </c>
      <c r="G271" s="3">
        <f t="shared" si="257"/>
        <v>6.4670451984415095E-2</v>
      </c>
      <c r="H271" s="3">
        <f t="shared" si="257"/>
        <v>6.4670451984415095E-2</v>
      </c>
      <c r="I271" s="3">
        <f t="shared" si="257"/>
        <v>6.4670451984415081E-2</v>
      </c>
      <c r="J271" s="3">
        <f t="shared" si="257"/>
        <v>6.4670451984415026E-2</v>
      </c>
      <c r="K271" s="3">
        <f t="shared" si="257"/>
        <v>6.4670451984414443E-2</v>
      </c>
      <c r="L271" s="3">
        <f t="shared" si="257"/>
        <v>6.4670451984408628E-2</v>
      </c>
      <c r="M271" s="3">
        <f t="shared" si="257"/>
        <v>6.4670451984350424E-2</v>
      </c>
      <c r="N271" s="3">
        <f t="shared" si="257"/>
        <v>6.4670451983768307E-2</v>
      </c>
      <c r="O271" s="3">
        <f t="shared" si="257"/>
        <v>6.4670451977947185E-2</v>
      </c>
      <c r="P271" s="3">
        <f t="shared" si="257"/>
        <v>6.4670451919735958E-2</v>
      </c>
      <c r="Q271" s="3">
        <f t="shared" si="257"/>
        <v>6.4670451337623724E-2</v>
      </c>
      <c r="R271" s="3">
        <f t="shared" si="257"/>
        <v>6.4670445516501723E-2</v>
      </c>
      <c r="S271" s="3">
        <f t="shared" si="257"/>
        <v>6.4670387305310481E-2</v>
      </c>
      <c r="T271" s="3">
        <f t="shared" si="257"/>
        <v>6.4669805196279864E-2</v>
      </c>
      <c r="U271" s="3">
        <f t="shared" si="257"/>
        <v>6.4663984394147361E-2</v>
      </c>
      <c r="V271" s="3">
        <f t="shared" si="257"/>
        <v>6.4605805180585965E-2</v>
      </c>
      <c r="W271" s="3">
        <f t="shared" si="257"/>
        <v>6.4026884250118959E-2</v>
      </c>
      <c r="X271" s="3">
        <f t="shared" si="257"/>
        <v>5.8515458952928701E-2</v>
      </c>
      <c r="Y271" s="3">
        <f t="shared" si="257"/>
        <v>2.3787734926667067E-2</v>
      </c>
      <c r="Z271" s="3">
        <f t="shared" si="257"/>
        <v>2.9320936511431043E-6</v>
      </c>
      <c r="AA271" s="3">
        <f t="shared" si="257"/>
        <v>2.3736971553646778E-45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6.7576207998846588E-2</v>
      </c>
      <c r="C272" s="3">
        <f t="shared" si="258"/>
        <v>6.7576207998846588E-2</v>
      </c>
      <c r="D272" s="3">
        <f t="shared" si="258"/>
        <v>6.7576207998846588E-2</v>
      </c>
      <c r="E272" s="3">
        <f t="shared" si="258"/>
        <v>6.7576207998846588E-2</v>
      </c>
      <c r="F272" s="3">
        <f t="shared" si="258"/>
        <v>6.7576207998846588E-2</v>
      </c>
      <c r="G272" s="3">
        <f t="shared" si="258"/>
        <v>6.7576207998846588E-2</v>
      </c>
      <c r="H272" s="3">
        <f t="shared" si="258"/>
        <v>6.7576207998846588E-2</v>
      </c>
      <c r="I272" s="3">
        <f t="shared" si="258"/>
        <v>6.7576207998846588E-2</v>
      </c>
      <c r="J272" s="3">
        <f t="shared" si="258"/>
        <v>6.7576207998846574E-2</v>
      </c>
      <c r="K272" s="3">
        <f t="shared" si="258"/>
        <v>6.7576207998846519E-2</v>
      </c>
      <c r="L272" s="3">
        <f t="shared" si="258"/>
        <v>6.7576207998845908E-2</v>
      </c>
      <c r="M272" s="3">
        <f t="shared" si="258"/>
        <v>6.757620799883983E-2</v>
      </c>
      <c r="N272" s="3">
        <f t="shared" si="258"/>
        <v>6.7576207998779003E-2</v>
      </c>
      <c r="O272" s="3">
        <f t="shared" si="258"/>
        <v>6.757620799817074E-2</v>
      </c>
      <c r="P272" s="3">
        <f t="shared" si="258"/>
        <v>6.7576207992088064E-2</v>
      </c>
      <c r="Q272" s="3">
        <f t="shared" si="258"/>
        <v>6.7576207931261303E-2</v>
      </c>
      <c r="R272" s="3">
        <f t="shared" si="258"/>
        <v>6.7576207322993756E-2</v>
      </c>
      <c r="S272" s="3">
        <f t="shared" si="258"/>
        <v>6.7576201240318615E-2</v>
      </c>
      <c r="T272" s="3">
        <f t="shared" si="258"/>
        <v>6.7576140413597177E-2</v>
      </c>
      <c r="U272" s="3">
        <f t="shared" si="258"/>
        <v>6.7575532149394227E-2</v>
      </c>
      <c r="V272" s="3">
        <f t="shared" si="258"/>
        <v>6.7569449808486504E-2</v>
      </c>
      <c r="W272" s="3">
        <f t="shared" si="258"/>
        <v>6.7508656501555825E-2</v>
      </c>
      <c r="X272" s="3">
        <f t="shared" si="258"/>
        <v>6.6903723645642704E-2</v>
      </c>
      <c r="Y272" s="3">
        <f t="shared" si="258"/>
        <v>6.1144660413136022E-2</v>
      </c>
      <c r="Z272" s="3">
        <f t="shared" si="258"/>
        <v>2.485655927707554E-2</v>
      </c>
      <c r="AA272" s="3">
        <f t="shared" si="258"/>
        <v>3.0638377243674372E-6</v>
      </c>
      <c r="AB272" s="3">
        <f t="shared" si="258"/>
        <v>2.4803515017314243E-45</v>
      </c>
      <c r="AC272" s="3">
        <f t="shared" si="258"/>
        <v>0</v>
      </c>
      <c r="AD272" s="3">
        <f t="shared" si="258"/>
        <v>0</v>
      </c>
      <c r="AE272" s="3">
        <f t="shared" si="258"/>
        <v>0</v>
      </c>
      <c r="AF272" s="3">
        <f t="shared" si="258"/>
        <v>0</v>
      </c>
      <c r="AG272" s="3"/>
      <c r="AH272" s="3"/>
    </row>
    <row r="273" spans="1:34" x14ac:dyDescent="0.25">
      <c r="B273" s="3">
        <f t="shared" ref="B273:AF273" si="259">$C42*EXP(-B$246/$A42/EXP(-$E$126))</f>
        <v>7.4650772379504848E-2</v>
      </c>
      <c r="C273" s="3">
        <f t="shared" si="259"/>
        <v>7.4650772379504848E-2</v>
      </c>
      <c r="D273" s="3">
        <f t="shared" si="259"/>
        <v>7.4650772379504848E-2</v>
      </c>
      <c r="E273" s="3">
        <f t="shared" si="259"/>
        <v>7.4650772379504848E-2</v>
      </c>
      <c r="F273" s="3">
        <f t="shared" si="259"/>
        <v>7.4650772379504848E-2</v>
      </c>
      <c r="G273" s="3">
        <f t="shared" si="259"/>
        <v>7.4650772379504848E-2</v>
      </c>
      <c r="H273" s="3">
        <f t="shared" si="259"/>
        <v>7.4650772379504848E-2</v>
      </c>
      <c r="I273" s="3">
        <f t="shared" si="259"/>
        <v>7.4650772379504848E-2</v>
      </c>
      <c r="J273" s="3">
        <f t="shared" si="259"/>
        <v>7.4650772379504848E-2</v>
      </c>
      <c r="K273" s="3">
        <f t="shared" si="259"/>
        <v>7.4650772379504834E-2</v>
      </c>
      <c r="L273" s="3">
        <f t="shared" si="259"/>
        <v>7.4650772379504779E-2</v>
      </c>
      <c r="M273" s="3">
        <f t="shared" si="259"/>
        <v>7.4650772379504099E-2</v>
      </c>
      <c r="N273" s="3">
        <f t="shared" si="259"/>
        <v>7.4650772379497382E-2</v>
      </c>
      <c r="O273" s="3">
        <f t="shared" si="259"/>
        <v>7.4650772379430186E-2</v>
      </c>
      <c r="P273" s="3">
        <f t="shared" si="259"/>
        <v>7.4650772378758237E-2</v>
      </c>
      <c r="Q273" s="3">
        <f t="shared" si="259"/>
        <v>7.4650772372038765E-2</v>
      </c>
      <c r="R273" s="3">
        <f t="shared" si="259"/>
        <v>7.4650772304844043E-2</v>
      </c>
      <c r="S273" s="3">
        <f t="shared" si="259"/>
        <v>7.4650771632896878E-2</v>
      </c>
      <c r="T273" s="3">
        <f t="shared" si="259"/>
        <v>7.4650764913425455E-2</v>
      </c>
      <c r="U273" s="3">
        <f t="shared" si="259"/>
        <v>7.465069771874451E-2</v>
      </c>
      <c r="V273" s="3">
        <f t="shared" si="259"/>
        <v>7.4650025775261655E-2</v>
      </c>
      <c r="W273" s="3">
        <f t="shared" si="259"/>
        <v>7.4643306673079349E-2</v>
      </c>
      <c r="X273" s="3">
        <f t="shared" si="259"/>
        <v>7.4576148904801534E-2</v>
      </c>
      <c r="Y273" s="3">
        <f t="shared" si="259"/>
        <v>7.3907885528253017E-2</v>
      </c>
      <c r="Z273" s="3">
        <f t="shared" si="259"/>
        <v>6.7545905014395696E-2</v>
      </c>
      <c r="AA273" s="3">
        <f t="shared" si="259"/>
        <v>2.7458796574710245E-2</v>
      </c>
      <c r="AB273" s="3">
        <f t="shared" si="259"/>
        <v>3.3845914019531473E-6</v>
      </c>
      <c r="AC273" s="3">
        <f t="shared" si="259"/>
        <v>2.7400199102630313E-45</v>
      </c>
      <c r="AD273" s="3">
        <f t="shared" si="259"/>
        <v>0</v>
      </c>
      <c r="AE273" s="3">
        <f t="shared" si="259"/>
        <v>0</v>
      </c>
      <c r="AF273" s="3">
        <f t="shared" si="259"/>
        <v>0</v>
      </c>
      <c r="AG273" s="3"/>
      <c r="AH273" s="3"/>
    </row>
    <row r="274" spans="1:34" x14ac:dyDescent="0.25">
      <c r="B274" s="3">
        <f t="shared" ref="B274:AF274" si="260">$C43*EXP(-B$246/$A43/EXP(-$E$126))</f>
        <v>4.2437426023751848E-2</v>
      </c>
      <c r="C274" s="3">
        <f t="shared" si="260"/>
        <v>4.2437426023751848E-2</v>
      </c>
      <c r="D274" s="3">
        <f t="shared" si="260"/>
        <v>4.2437426023751848E-2</v>
      </c>
      <c r="E274" s="3">
        <f t="shared" si="260"/>
        <v>4.2437426023751848E-2</v>
      </c>
      <c r="F274" s="3">
        <f t="shared" si="260"/>
        <v>4.2437426023751848E-2</v>
      </c>
      <c r="G274" s="3">
        <f t="shared" si="260"/>
        <v>4.2437426023751848E-2</v>
      </c>
      <c r="H274" s="3">
        <f t="shared" si="260"/>
        <v>4.2437426023751848E-2</v>
      </c>
      <c r="I274" s="3">
        <f t="shared" si="260"/>
        <v>4.2437426023751848E-2</v>
      </c>
      <c r="J274" s="3">
        <f t="shared" si="260"/>
        <v>4.2437426023751848E-2</v>
      </c>
      <c r="K274" s="3">
        <f t="shared" si="260"/>
        <v>4.2437426023751848E-2</v>
      </c>
      <c r="L274" s="3">
        <f t="shared" si="260"/>
        <v>4.2437426023751841E-2</v>
      </c>
      <c r="M274" s="3">
        <f t="shared" si="260"/>
        <v>4.2437426023751806E-2</v>
      </c>
      <c r="N274" s="3">
        <f t="shared" si="260"/>
        <v>4.2437426023751425E-2</v>
      </c>
      <c r="O274" s="3">
        <f t="shared" si="260"/>
        <v>4.2437426023747601E-2</v>
      </c>
      <c r="P274" s="3">
        <f t="shared" si="260"/>
        <v>4.243742602370941E-2</v>
      </c>
      <c r="Q274" s="3">
        <f t="shared" si="260"/>
        <v>4.2437426023327417E-2</v>
      </c>
      <c r="R274" s="3">
        <f t="shared" si="260"/>
        <v>4.2437426019507535E-2</v>
      </c>
      <c r="S274" s="3">
        <f t="shared" si="260"/>
        <v>4.2437425981308723E-2</v>
      </c>
      <c r="T274" s="3">
        <f t="shared" si="260"/>
        <v>4.2437425599320601E-2</v>
      </c>
      <c r="U274" s="3">
        <f t="shared" si="260"/>
        <v>4.2437421779439544E-2</v>
      </c>
      <c r="V274" s="3">
        <f t="shared" si="260"/>
        <v>4.2437383580647879E-2</v>
      </c>
      <c r="W274" s="3">
        <f t="shared" si="260"/>
        <v>4.2437001594622326E-2</v>
      </c>
      <c r="X274" s="3">
        <f t="shared" si="260"/>
        <v>4.2433181923469315E-2</v>
      </c>
      <c r="Y274" s="3">
        <f t="shared" si="260"/>
        <v>4.2395004115894586E-2</v>
      </c>
      <c r="Z274" s="3">
        <f t="shared" si="260"/>
        <v>4.201511015495217E-2</v>
      </c>
      <c r="AA274" s="3">
        <f t="shared" si="260"/>
        <v>3.8398455312469992E-2</v>
      </c>
      <c r="AB274" s="3">
        <f t="shared" si="260"/>
        <v>1.5609760102903384E-2</v>
      </c>
      <c r="AC274" s="3">
        <f t="shared" si="260"/>
        <v>1.9240704772727491E-6</v>
      </c>
      <c r="AD274" s="3">
        <f t="shared" si="260"/>
        <v>1.5576448647344304E-45</v>
      </c>
      <c r="AE274" s="3">
        <f t="shared" si="260"/>
        <v>0</v>
      </c>
      <c r="AF274" s="3">
        <f t="shared" si="260"/>
        <v>0</v>
      </c>
      <c r="AG274" s="3"/>
      <c r="AH274" s="3"/>
    </row>
    <row r="275" spans="1:34" x14ac:dyDescent="0.25">
      <c r="B275" s="3">
        <f t="shared" ref="B275:AF275" si="261">$C44*EXP(-B$246/$A44/EXP(-$E$126))</f>
        <v>2.9362775672931045E-2</v>
      </c>
      <c r="C275" s="3">
        <f t="shared" si="261"/>
        <v>2.9362775672931045E-2</v>
      </c>
      <c r="D275" s="3">
        <f t="shared" si="261"/>
        <v>2.9362775672931045E-2</v>
      </c>
      <c r="E275" s="3">
        <f t="shared" si="261"/>
        <v>2.9362775672931045E-2</v>
      </c>
      <c r="F275" s="3">
        <f t="shared" si="261"/>
        <v>2.9362775672931045E-2</v>
      </c>
      <c r="G275" s="3">
        <f t="shared" si="261"/>
        <v>2.9362775672931045E-2</v>
      </c>
      <c r="H275" s="3">
        <f t="shared" si="261"/>
        <v>2.9362775672931045E-2</v>
      </c>
      <c r="I275" s="3">
        <f t="shared" si="261"/>
        <v>2.9362775672931045E-2</v>
      </c>
      <c r="J275" s="3">
        <f t="shared" si="261"/>
        <v>2.9362775672931045E-2</v>
      </c>
      <c r="K275" s="3">
        <f t="shared" si="261"/>
        <v>2.9362775672931045E-2</v>
      </c>
      <c r="L275" s="3">
        <f t="shared" si="261"/>
        <v>2.9362775672931045E-2</v>
      </c>
      <c r="M275" s="3">
        <f t="shared" si="261"/>
        <v>2.9362775672931041E-2</v>
      </c>
      <c r="N275" s="3">
        <f t="shared" si="261"/>
        <v>2.9362775672931017E-2</v>
      </c>
      <c r="O275" s="3">
        <f t="shared" si="261"/>
        <v>2.936277567293075E-2</v>
      </c>
      <c r="P275" s="3">
        <f t="shared" si="261"/>
        <v>2.9362775672928106E-2</v>
      </c>
      <c r="Q275" s="3">
        <f t="shared" si="261"/>
        <v>2.936277567290168E-2</v>
      </c>
      <c r="R275" s="3">
        <f t="shared" si="261"/>
        <v>2.9362775672637377E-2</v>
      </c>
      <c r="S275" s="3">
        <f t="shared" si="261"/>
        <v>2.9362775669994373E-2</v>
      </c>
      <c r="T275" s="3">
        <f t="shared" si="261"/>
        <v>2.9362775643564324E-2</v>
      </c>
      <c r="U275" s="3">
        <f t="shared" si="261"/>
        <v>2.9362775379263857E-2</v>
      </c>
      <c r="V275" s="3">
        <f t="shared" si="261"/>
        <v>2.9362772736259295E-2</v>
      </c>
      <c r="W275" s="3">
        <f t="shared" si="261"/>
        <v>2.9362746306226758E-2</v>
      </c>
      <c r="X275" s="3">
        <f t="shared" si="261"/>
        <v>2.9362482007209843E-2</v>
      </c>
      <c r="Y275" s="3">
        <f t="shared" si="261"/>
        <v>2.9359839147882146E-2</v>
      </c>
      <c r="Z275" s="3">
        <f t="shared" si="261"/>
        <v>2.9333423634394742E-2</v>
      </c>
      <c r="AA275" s="3">
        <f t="shared" si="261"/>
        <v>2.9070572132788353E-2</v>
      </c>
      <c r="AB275" s="3">
        <f t="shared" si="261"/>
        <v>2.6568181324100111E-2</v>
      </c>
      <c r="AC275" s="3">
        <f t="shared" si="261"/>
        <v>1.0800510944120149E-2</v>
      </c>
      <c r="AD275" s="3">
        <f t="shared" si="261"/>
        <v>1.3312788992303342E-6</v>
      </c>
      <c r="AE275" s="3">
        <f t="shared" si="261"/>
        <v>1.0777462496356785E-45</v>
      </c>
      <c r="AF275" s="3">
        <f t="shared" si="261"/>
        <v>0</v>
      </c>
      <c r="AG275" s="3"/>
      <c r="AH275" s="3"/>
    </row>
    <row r="276" spans="1:34" x14ac:dyDescent="0.25">
      <c r="B276" s="3">
        <f t="shared" ref="B276:AF276" si="262">$C45*EXP(-B$246/$A45/EXP(-$E$126))</f>
        <v>1.3317924951321973E-2</v>
      </c>
      <c r="C276" s="3">
        <f t="shared" si="262"/>
        <v>1.3317924951321973E-2</v>
      </c>
      <c r="D276" s="3">
        <f t="shared" si="262"/>
        <v>1.3317924951321973E-2</v>
      </c>
      <c r="E276" s="3">
        <f t="shared" si="262"/>
        <v>1.3317924951321973E-2</v>
      </c>
      <c r="F276" s="3">
        <f t="shared" si="262"/>
        <v>1.3317924951321973E-2</v>
      </c>
      <c r="G276" s="3">
        <f t="shared" si="262"/>
        <v>1.3317924951321973E-2</v>
      </c>
      <c r="H276" s="3">
        <f t="shared" si="262"/>
        <v>1.3317924951321973E-2</v>
      </c>
      <c r="I276" s="3">
        <f t="shared" si="262"/>
        <v>1.3317924951321973E-2</v>
      </c>
      <c r="J276" s="3">
        <f t="shared" si="262"/>
        <v>1.3317924951321973E-2</v>
      </c>
      <c r="K276" s="3">
        <f t="shared" si="262"/>
        <v>1.3317924951321973E-2</v>
      </c>
      <c r="L276" s="3">
        <f t="shared" si="262"/>
        <v>1.3317924951321973E-2</v>
      </c>
      <c r="M276" s="3">
        <f t="shared" si="262"/>
        <v>1.3317924951321973E-2</v>
      </c>
      <c r="N276" s="3">
        <f t="shared" si="262"/>
        <v>1.3317924951321971E-2</v>
      </c>
      <c r="O276" s="3">
        <f t="shared" si="262"/>
        <v>1.3317924951321959E-2</v>
      </c>
      <c r="P276" s="3">
        <f t="shared" si="262"/>
        <v>1.3317924951321839E-2</v>
      </c>
      <c r="Q276" s="3">
        <f t="shared" si="262"/>
        <v>1.331792495132064E-2</v>
      </c>
      <c r="R276" s="3">
        <f t="shared" si="262"/>
        <v>1.3317924951308653E-2</v>
      </c>
      <c r="S276" s="3">
        <f t="shared" si="262"/>
        <v>1.3317924951188775E-2</v>
      </c>
      <c r="T276" s="3">
        <f t="shared" si="262"/>
        <v>1.3317924949990002E-2</v>
      </c>
      <c r="U276" s="3">
        <f t="shared" si="262"/>
        <v>1.3317924938002259E-2</v>
      </c>
      <c r="V276" s="3">
        <f t="shared" si="262"/>
        <v>1.3317924818124839E-2</v>
      </c>
      <c r="W276" s="3">
        <f t="shared" si="262"/>
        <v>1.3317923619350691E-2</v>
      </c>
      <c r="X276" s="3">
        <f t="shared" si="262"/>
        <v>1.3317911631615139E-2</v>
      </c>
      <c r="Y276" s="3">
        <f t="shared" si="262"/>
        <v>1.3317791754853106E-2</v>
      </c>
      <c r="Z276" s="3">
        <f t="shared" si="262"/>
        <v>1.3316593046577866E-2</v>
      </c>
      <c r="AA276" s="3">
        <f t="shared" si="262"/>
        <v>1.3304611896359149E-2</v>
      </c>
      <c r="AB276" s="3">
        <f t="shared" si="262"/>
        <v>1.3185391676488609E-2</v>
      </c>
      <c r="AC276" s="3">
        <f t="shared" si="262"/>
        <v>1.205039499360651E-2</v>
      </c>
      <c r="AD276" s="3">
        <f t="shared" si="262"/>
        <v>4.8987328647654843E-3</v>
      </c>
      <c r="AE276" s="3">
        <f t="shared" si="262"/>
        <v>6.0382140526220527E-7</v>
      </c>
      <c r="AF276" s="3">
        <f t="shared" si="262"/>
        <v>4.8882788974370507E-46</v>
      </c>
      <c r="AG276" s="3"/>
      <c r="AH276" s="3"/>
    </row>
    <row r="277" spans="1:34" x14ac:dyDescent="0.25">
      <c r="B277" s="3">
        <f t="shared" ref="B277:AF277" si="263">$C46*EXP(-B$246/$A46/EXP(-$E$126))</f>
        <v>4.0600750332731679E-3</v>
      </c>
      <c r="C277" s="3">
        <f t="shared" si="263"/>
        <v>4.0600750332731679E-3</v>
      </c>
      <c r="D277" s="3">
        <f t="shared" si="263"/>
        <v>4.0600750332731679E-3</v>
      </c>
      <c r="E277" s="3">
        <f t="shared" si="263"/>
        <v>4.0600750332731679E-3</v>
      </c>
      <c r="F277" s="3">
        <f t="shared" si="263"/>
        <v>4.0600750332731679E-3</v>
      </c>
      <c r="G277" s="3">
        <f t="shared" si="263"/>
        <v>4.0600750332731679E-3</v>
      </c>
      <c r="H277" s="3">
        <f t="shared" si="263"/>
        <v>4.0600750332731679E-3</v>
      </c>
      <c r="I277" s="3">
        <f t="shared" si="263"/>
        <v>4.0600750332731679E-3</v>
      </c>
      <c r="J277" s="3">
        <f t="shared" si="263"/>
        <v>4.0600750332731679E-3</v>
      </c>
      <c r="K277" s="3">
        <f t="shared" si="263"/>
        <v>4.0600750332731679E-3</v>
      </c>
      <c r="L277" s="3">
        <f t="shared" si="263"/>
        <v>4.0600750332731679E-3</v>
      </c>
      <c r="M277" s="3">
        <f t="shared" si="263"/>
        <v>4.0600750332731679E-3</v>
      </c>
      <c r="N277" s="3">
        <f t="shared" si="263"/>
        <v>4.0600750332731679E-3</v>
      </c>
      <c r="O277" s="3">
        <f t="shared" si="263"/>
        <v>4.060075033273167E-3</v>
      </c>
      <c r="P277" s="3">
        <f t="shared" si="263"/>
        <v>4.0600750332731635E-3</v>
      </c>
      <c r="Q277" s="3">
        <f t="shared" si="263"/>
        <v>4.0600750332731271E-3</v>
      </c>
      <c r="R277" s="3">
        <f t="shared" si="263"/>
        <v>4.0600750332727619E-3</v>
      </c>
      <c r="S277" s="3">
        <f t="shared" si="263"/>
        <v>4.0600750332691077E-3</v>
      </c>
      <c r="T277" s="3">
        <f t="shared" si="263"/>
        <v>4.0600750332325615E-3</v>
      </c>
      <c r="U277" s="3">
        <f t="shared" si="263"/>
        <v>4.0600750328671055E-3</v>
      </c>
      <c r="V277" s="3">
        <f t="shared" si="263"/>
        <v>4.0600750292125471E-3</v>
      </c>
      <c r="W277" s="3">
        <f t="shared" si="263"/>
        <v>4.0600749926669654E-3</v>
      </c>
      <c r="X277" s="3">
        <f t="shared" si="263"/>
        <v>4.0600746272111601E-3</v>
      </c>
      <c r="Y277" s="3">
        <f t="shared" si="263"/>
        <v>4.0600709726549139E-3</v>
      </c>
      <c r="Z277" s="3">
        <f t="shared" si="263"/>
        <v>4.0600344272733787E-3</v>
      </c>
      <c r="AA277" s="3">
        <f t="shared" si="263"/>
        <v>4.0596689915498507E-3</v>
      </c>
      <c r="AB277" s="3">
        <f t="shared" si="263"/>
        <v>4.0560164428945075E-3</v>
      </c>
      <c r="AC277" s="3">
        <f t="shared" si="263"/>
        <v>4.019671213444204E-3</v>
      </c>
      <c r="AD277" s="3">
        <f t="shared" si="263"/>
        <v>3.6736584740827282E-3</v>
      </c>
      <c r="AE277" s="3">
        <f t="shared" si="263"/>
        <v>1.4934175610394041E-3</v>
      </c>
      <c r="AF277" s="3">
        <f t="shared" si="263"/>
        <v>1.8407974373047138E-7</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6.6069827735831333E-3</v>
      </c>
      <c r="C279" s="3">
        <f t="shared" si="265"/>
        <v>6.6069827735831333E-3</v>
      </c>
      <c r="D279" s="3">
        <f t="shared" si="265"/>
        <v>6.6069827735831333E-3</v>
      </c>
      <c r="E279" s="3">
        <f t="shared" si="265"/>
        <v>6.6069827735831333E-3</v>
      </c>
      <c r="F279" s="3">
        <f t="shared" si="265"/>
        <v>6.6069827735831333E-3</v>
      </c>
      <c r="G279" s="3">
        <f t="shared" si="265"/>
        <v>6.6069827735831333E-3</v>
      </c>
      <c r="H279" s="3">
        <f t="shared" si="265"/>
        <v>6.6069827735831333E-3</v>
      </c>
      <c r="I279" s="3">
        <f t="shared" si="265"/>
        <v>6.6069827735831333E-3</v>
      </c>
      <c r="J279" s="3">
        <f t="shared" si="265"/>
        <v>6.6069827735831333E-3</v>
      </c>
      <c r="K279" s="3">
        <f t="shared" si="265"/>
        <v>6.6069827735831333E-3</v>
      </c>
      <c r="L279" s="3">
        <f t="shared" si="265"/>
        <v>6.6069827735831333E-3</v>
      </c>
      <c r="M279" s="3">
        <f t="shared" si="265"/>
        <v>6.6069827735831333E-3</v>
      </c>
      <c r="N279" s="3">
        <f t="shared" si="265"/>
        <v>6.6069827735831333E-3</v>
      </c>
      <c r="O279" s="3">
        <f t="shared" si="265"/>
        <v>6.6069827735831333E-3</v>
      </c>
      <c r="P279" s="3">
        <f t="shared" si="265"/>
        <v>6.6069827735831333E-3</v>
      </c>
      <c r="Q279" s="3">
        <f t="shared" si="265"/>
        <v>6.6069827735831324E-3</v>
      </c>
      <c r="R279" s="3">
        <f t="shared" si="265"/>
        <v>6.6069827735831263E-3</v>
      </c>
      <c r="S279" s="3">
        <f t="shared" si="265"/>
        <v>6.6069827735830674E-3</v>
      </c>
      <c r="T279" s="3">
        <f t="shared" si="265"/>
        <v>6.6069827735824723E-3</v>
      </c>
      <c r="U279" s="3">
        <f t="shared" si="265"/>
        <v>6.6069827735765257E-3</v>
      </c>
      <c r="V279" s="3">
        <f t="shared" si="265"/>
        <v>6.6069827735170551E-3</v>
      </c>
      <c r="W279" s="3">
        <f t="shared" si="265"/>
        <v>6.6069827729223459E-3</v>
      </c>
      <c r="X279" s="3">
        <f t="shared" si="265"/>
        <v>6.6069827669752628E-3</v>
      </c>
      <c r="Y279" s="3">
        <f t="shared" si="265"/>
        <v>6.6069827075044335E-3</v>
      </c>
      <c r="Z279" s="3">
        <f t="shared" si="265"/>
        <v>6.6069821127961604E-3</v>
      </c>
      <c r="AA279" s="3">
        <f t="shared" si="265"/>
        <v>6.6069761657163734E-3</v>
      </c>
      <c r="AB279" s="3">
        <f t="shared" si="265"/>
        <v>6.6069166952129272E-3</v>
      </c>
      <c r="AC279" s="3">
        <f t="shared" si="265"/>
        <v>6.6063220196193942E-3</v>
      </c>
      <c r="AD279" s="3">
        <f t="shared" si="265"/>
        <v>6.6003782067962924E-3</v>
      </c>
      <c r="AE279" s="3">
        <f t="shared" si="265"/>
        <v>6.5412334119557668E-3</v>
      </c>
      <c r="AF279" s="3">
        <f t="shared" si="265"/>
        <v>5.9781649490169017E-3</v>
      </c>
      <c r="AG279" s="3"/>
      <c r="AH279" s="3"/>
    </row>
    <row r="280" spans="1:34" x14ac:dyDescent="0.25">
      <c r="A280" s="79">
        <f>AVERAGE(B280:AF280)</f>
        <v>1.1109353793515909E-5</v>
      </c>
      <c r="B280" s="80">
        <f>IF($D$61&lt;=B246,IF($E$61&gt;=B246,ABS((B248-B247)/B247),0),0)</f>
        <v>6.4553115572410022E-6</v>
      </c>
      <c r="C280" s="80">
        <f t="shared" ref="C280:AF280" si="266">IF($D$61&lt;=C246,IF($E$61&gt;=C246,ABS((C248-C247)/C247),0),0)</f>
        <v>3.4887183322300162E-6</v>
      </c>
      <c r="D280" s="80">
        <f t="shared" si="266"/>
        <v>1.8413806185213378E-6</v>
      </c>
      <c r="E280" s="80">
        <f t="shared" si="266"/>
        <v>3.2152293842805966E-6</v>
      </c>
      <c r="F280" s="80">
        <f t="shared" si="266"/>
        <v>3.6034032287448159E-6</v>
      </c>
      <c r="G280" s="80">
        <f t="shared" si="266"/>
        <v>3.7207363371831131E-6</v>
      </c>
      <c r="H280" s="80">
        <f t="shared" si="266"/>
        <v>3.736435161714124E-6</v>
      </c>
      <c r="I280" s="80">
        <f t="shared" si="266"/>
        <v>3.4859042172989898E-6</v>
      </c>
      <c r="J280" s="80">
        <f t="shared" si="266"/>
        <v>9.207258421693029E-7</v>
      </c>
      <c r="K280" s="80">
        <f t="shared" si="266"/>
        <v>2.1252256451636341E-5</v>
      </c>
      <c r="L280" s="80">
        <f t="shared" si="266"/>
        <v>1.4854540564546374E-5</v>
      </c>
      <c r="M280" s="80">
        <f t="shared" si="266"/>
        <v>2.8794440825555461E-5</v>
      </c>
      <c r="N280" s="80">
        <f t="shared" si="266"/>
        <v>4.1048169344233688E-5</v>
      </c>
      <c r="O280" s="80">
        <f t="shared" si="266"/>
        <v>4.1935355708870959E-5</v>
      </c>
      <c r="P280" s="80">
        <f t="shared" si="266"/>
        <v>4.172152077219587E-5</v>
      </c>
      <c r="Q280" s="80">
        <f t="shared" si="266"/>
        <v>2.8985311745602478E-5</v>
      </c>
      <c r="R280" s="80">
        <f t="shared" si="266"/>
        <v>2.381963795401954E-5</v>
      </c>
      <c r="S280" s="80">
        <f t="shared" si="266"/>
        <v>6.1046808766118388E-6</v>
      </c>
      <c r="T280" s="80">
        <f t="shared" si="266"/>
        <v>1.7738370912875926E-5</v>
      </c>
      <c r="U280" s="80">
        <f t="shared" si="266"/>
        <v>4.0715879169484922E-6</v>
      </c>
      <c r="V280" s="80">
        <f t="shared" si="266"/>
        <v>1.1440353281503515E-5</v>
      </c>
      <c r="W280" s="80">
        <f t="shared" si="266"/>
        <v>5.3969781744155798E-6</v>
      </c>
      <c r="X280" s="80">
        <f t="shared" si="266"/>
        <v>1.622196887220222E-5</v>
      </c>
      <c r="Y280" s="80">
        <f t="shared" si="266"/>
        <v>1.0536949518391646E-5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2.2128950559615955E-3</v>
      </c>
      <c r="C281" s="21">
        <f t="shared" ref="C281:AF281" si="267">(C248-C247)^2</f>
        <v>6.4634866315784237E-4</v>
      </c>
      <c r="D281" s="21">
        <f t="shared" si="267"/>
        <v>1.8006012439861357E-4</v>
      </c>
      <c r="E281" s="21">
        <f t="shared" si="267"/>
        <v>5.4897572565193713E-4</v>
      </c>
      <c r="F281" s="21">
        <f t="shared" si="267"/>
        <v>6.8953228228063059E-4</v>
      </c>
      <c r="G281" s="21">
        <f t="shared" si="267"/>
        <v>7.3516790353509223E-4</v>
      </c>
      <c r="H281" s="21">
        <f t="shared" si="267"/>
        <v>7.4138424184911093E-4</v>
      </c>
      <c r="I281" s="21">
        <f t="shared" si="267"/>
        <v>6.452926794237834E-4</v>
      </c>
      <c r="J281" s="21">
        <f t="shared" si="267"/>
        <v>4.5015335539780004E-5</v>
      </c>
      <c r="K281" s="21">
        <f t="shared" si="267"/>
        <v>2.3969092806200888E-2</v>
      </c>
      <c r="L281" s="21">
        <f t="shared" si="267"/>
        <v>1.1645162814207213E-2</v>
      </c>
      <c r="M281" s="21">
        <f t="shared" si="267"/>
        <v>4.24299399362532E-2</v>
      </c>
      <c r="N281" s="21">
        <f t="shared" si="267"/>
        <v>8.2845911649115367E-2</v>
      </c>
      <c r="O281" s="21">
        <f t="shared" si="267"/>
        <v>8.2631673442163295E-2</v>
      </c>
      <c r="P281" s="21">
        <f t="shared" si="267"/>
        <v>7.737934500101401E-2</v>
      </c>
      <c r="Q281" s="21">
        <f t="shared" si="267"/>
        <v>3.503765190244109E-2</v>
      </c>
      <c r="R281" s="21">
        <f t="shared" si="267"/>
        <v>2.1789780631991894E-2</v>
      </c>
      <c r="S281" s="21">
        <f t="shared" si="267"/>
        <v>1.2230264234673759E-3</v>
      </c>
      <c r="T281" s="21">
        <f t="shared" si="267"/>
        <v>7.5837881129947049E-3</v>
      </c>
      <c r="U281" s="21">
        <f t="shared" si="267"/>
        <v>2.7254737413633876E-4</v>
      </c>
      <c r="V281" s="21">
        <f t="shared" si="267"/>
        <v>1.4994393554929961E-3</v>
      </c>
      <c r="W281" s="21">
        <f t="shared" si="267"/>
        <v>2.3955376916847724E-4</v>
      </c>
      <c r="X281" s="21">
        <f t="shared" si="267"/>
        <v>1.5080894678491255E-3</v>
      </c>
      <c r="Y281" s="21">
        <f t="shared" si="267"/>
        <v>4.1059016849775585E-4</v>
      </c>
      <c r="Z281" s="21">
        <f t="shared" si="267"/>
        <v>1.7992023737813186E-3</v>
      </c>
      <c r="AA281" s="21">
        <f t="shared" si="267"/>
        <v>3.9202843612643666E-4</v>
      </c>
      <c r="AB281" s="21">
        <f t="shared" si="267"/>
        <v>1.038008158310372E-3</v>
      </c>
      <c r="AC281" s="21">
        <f t="shared" si="267"/>
        <v>5.7724400969721264E-5</v>
      </c>
      <c r="AD281" s="21">
        <f t="shared" si="267"/>
        <v>1.0167512588842456E-3</v>
      </c>
      <c r="AE281" s="21">
        <f t="shared" si="267"/>
        <v>1.1255516440632617E-3</v>
      </c>
      <c r="AF281" s="21">
        <f t="shared" si="267"/>
        <v>4.5205260480834857E-4</v>
      </c>
      <c r="AG281" s="3"/>
      <c r="AH281" s="3"/>
    </row>
    <row r="282" spans="1:34" s="3" customFormat="1" x14ac:dyDescent="0.25">
      <c r="A282" s="71">
        <f>SUM(B282:AF282)</f>
        <v>0.3969102648667921</v>
      </c>
      <c r="B282" s="21">
        <f>IF($D$61&lt;=B246,IF($E$61&gt;=B246,ABS(B281),0),0)</f>
        <v>2.2128950559615955E-3</v>
      </c>
      <c r="C282" s="21">
        <f t="shared" ref="C282:AF282" si="268">IF($D$61&lt;=C246,IF($E$61&gt;=C246,ABS(C281),0),0)</f>
        <v>6.4634866315784237E-4</v>
      </c>
      <c r="D282" s="21">
        <f t="shared" si="268"/>
        <v>1.8006012439861357E-4</v>
      </c>
      <c r="E282" s="21">
        <f t="shared" si="268"/>
        <v>5.4897572565193713E-4</v>
      </c>
      <c r="F282" s="21">
        <f t="shared" si="268"/>
        <v>6.8953228228063059E-4</v>
      </c>
      <c r="G282" s="21">
        <f t="shared" si="268"/>
        <v>7.3516790353509223E-4</v>
      </c>
      <c r="H282" s="21">
        <f t="shared" si="268"/>
        <v>7.4138424184911093E-4</v>
      </c>
      <c r="I282" s="21">
        <f t="shared" si="268"/>
        <v>6.452926794237834E-4</v>
      </c>
      <c r="J282" s="21">
        <f t="shared" si="268"/>
        <v>4.5015335539780004E-5</v>
      </c>
      <c r="K282" s="21">
        <f t="shared" si="268"/>
        <v>2.3969092806200888E-2</v>
      </c>
      <c r="L282" s="21">
        <f t="shared" si="268"/>
        <v>1.1645162814207213E-2</v>
      </c>
      <c r="M282" s="21">
        <f t="shared" si="268"/>
        <v>4.24299399362532E-2</v>
      </c>
      <c r="N282" s="21">
        <f t="shared" si="268"/>
        <v>8.2845911649115367E-2</v>
      </c>
      <c r="O282" s="21">
        <f t="shared" si="268"/>
        <v>8.2631673442163295E-2</v>
      </c>
      <c r="P282" s="21">
        <f t="shared" si="268"/>
        <v>7.737934500101401E-2</v>
      </c>
      <c r="Q282" s="21">
        <f t="shared" si="268"/>
        <v>3.503765190244109E-2</v>
      </c>
      <c r="R282" s="21">
        <f t="shared" si="268"/>
        <v>2.1789780631991894E-2</v>
      </c>
      <c r="S282" s="21">
        <f t="shared" si="268"/>
        <v>1.2230264234673759E-3</v>
      </c>
      <c r="T282" s="21">
        <f t="shared" si="268"/>
        <v>7.5837881129947049E-3</v>
      </c>
      <c r="U282" s="21">
        <f t="shared" si="268"/>
        <v>2.7254737413633876E-4</v>
      </c>
      <c r="V282" s="21">
        <f t="shared" si="268"/>
        <v>1.4994393554929961E-3</v>
      </c>
      <c r="W282" s="21">
        <f t="shared" si="268"/>
        <v>2.3955376916847724E-4</v>
      </c>
      <c r="X282" s="21">
        <f t="shared" si="268"/>
        <v>1.5080894678491255E-3</v>
      </c>
      <c r="Y282" s="21">
        <f t="shared" si="268"/>
        <v>4.1059016849775585E-4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7287.2887407051103</v>
      </c>
      <c r="C287" s="27">
        <f t="shared" ref="C287:AF287" si="269">($C$17+SUM(C288:C318))*$B$51</f>
        <v>7287.2846226122365</v>
      </c>
      <c r="D287" s="27">
        <f t="shared" si="269"/>
        <v>7287.2434543944837</v>
      </c>
      <c r="E287" s="27">
        <f t="shared" si="269"/>
        <v>7286.8330365767661</v>
      </c>
      <c r="F287" s="27">
        <f t="shared" si="269"/>
        <v>7282.8488651590696</v>
      </c>
      <c r="G287" s="27">
        <f t="shared" si="269"/>
        <v>7250.77216659021</v>
      </c>
      <c r="H287" s="27">
        <f t="shared" si="269"/>
        <v>7111.0130271569351</v>
      </c>
      <c r="I287" s="27">
        <f t="shared" si="269"/>
        <v>6976.469320258424</v>
      </c>
      <c r="J287" s="27">
        <f t="shared" si="269"/>
        <v>6805.1438246438038</v>
      </c>
      <c r="K287" s="27">
        <f t="shared" si="269"/>
        <v>6616.7876907266891</v>
      </c>
      <c r="L287" s="27">
        <f t="shared" si="269"/>
        <v>6396.7476957288272</v>
      </c>
      <c r="M287" s="27">
        <f t="shared" si="269"/>
        <v>6115.7352458633923</v>
      </c>
      <c r="N287" s="27">
        <f t="shared" si="269"/>
        <v>5541.4483203025984</v>
      </c>
      <c r="O287" s="27">
        <f t="shared" si="269"/>
        <v>4699.335327886165</v>
      </c>
      <c r="P287" s="27">
        <f t="shared" si="269"/>
        <v>3895.2848602166478</v>
      </c>
      <c r="Q287" s="27">
        <f t="shared" si="269"/>
        <v>3262.6479615644994</v>
      </c>
      <c r="R287" s="27">
        <f t="shared" si="269"/>
        <v>2781.3137857637662</v>
      </c>
      <c r="S287" s="27">
        <f t="shared" si="269"/>
        <v>2268.6018391113289</v>
      </c>
      <c r="T287" s="27">
        <f t="shared" si="269"/>
        <v>1796.2792016788887</v>
      </c>
      <c r="U287" s="27">
        <f t="shared" si="269"/>
        <v>1300.6257416053477</v>
      </c>
      <c r="V287" s="27">
        <f t="shared" si="269"/>
        <v>801.99103499396153</v>
      </c>
      <c r="W287" s="27">
        <f t="shared" si="269"/>
        <v>466.63675242957942</v>
      </c>
      <c r="X287" s="27">
        <f t="shared" si="269"/>
        <v>254.41727961181559</v>
      </c>
      <c r="Y287" s="27">
        <f t="shared" si="269"/>
        <v>147.2811353107646</v>
      </c>
      <c r="Z287" s="27">
        <f t="shared" si="269"/>
        <v>109.5362212225854</v>
      </c>
      <c r="AA287" s="27">
        <f t="shared" si="269"/>
        <v>97.40389340726459</v>
      </c>
      <c r="AB287" s="27">
        <f t="shared" si="269"/>
        <v>65.227328238097371</v>
      </c>
      <c r="AC287" s="27">
        <f t="shared" si="269"/>
        <v>56.683119390115927</v>
      </c>
      <c r="AD287" s="27">
        <f t="shared" si="269"/>
        <v>56.683117976827191</v>
      </c>
      <c r="AE287" s="27">
        <f t="shared" si="269"/>
        <v>56.683117976827191</v>
      </c>
      <c r="AF287" s="27">
        <f t="shared" si="269"/>
        <v>56.683117976827191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8.235560709796715E-4</v>
      </c>
      <c r="C297" s="3">
        <f t="shared" si="279"/>
        <v>8.2341163765649447E-4</v>
      </c>
      <c r="D297" s="3">
        <f t="shared" si="279"/>
        <v>8.2196869686266205E-4</v>
      </c>
      <c r="E297" s="3">
        <f t="shared" si="279"/>
        <v>8.0767763331348512E-4</v>
      </c>
      <c r="F297" s="3">
        <f t="shared" si="279"/>
        <v>6.7774423759881289E-4</v>
      </c>
      <c r="G297" s="3">
        <f t="shared" si="279"/>
        <v>1.1731231584849816E-4</v>
      </c>
      <c r="H297" s="3">
        <f t="shared" si="279"/>
        <v>2.83218326962324E-12</v>
      </c>
      <c r="I297" s="3">
        <f t="shared" si="279"/>
        <v>1.9050167580779187E-88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2.4665800755370674E-2</v>
      </c>
      <c r="C298" s="3">
        <f t="shared" si="280"/>
        <v>2.4665410498380634E-2</v>
      </c>
      <c r="D298" s="3">
        <f t="shared" si="280"/>
        <v>2.4661508268065038E-2</v>
      </c>
      <c r="E298" s="3">
        <f t="shared" si="280"/>
        <v>2.4622519903517447E-2</v>
      </c>
      <c r="F298" s="3">
        <f t="shared" si="280"/>
        <v>2.4236010334661075E-2</v>
      </c>
      <c r="G298" s="3">
        <f t="shared" si="280"/>
        <v>2.0689378619648896E-2</v>
      </c>
      <c r="H298" s="3">
        <f t="shared" si="280"/>
        <v>4.2521701139029595E-3</v>
      </c>
      <c r="I298" s="3">
        <f t="shared" si="280"/>
        <v>5.71797779708075E-10</v>
      </c>
      <c r="J298" s="3">
        <f t="shared" si="280"/>
        <v>1.1055052358047106E-78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1.6291195341772098E-2</v>
      </c>
      <c r="C299" s="3">
        <f t="shared" si="281"/>
        <v>1.6291172089888541E-2</v>
      </c>
      <c r="D299" s="3">
        <f t="shared" si="281"/>
        <v>1.6290939572878207E-2</v>
      </c>
      <c r="E299" s="3">
        <f t="shared" si="281"/>
        <v>1.6288614585291003E-2</v>
      </c>
      <c r="F299" s="3">
        <f t="shared" si="281"/>
        <v>1.6265382951395981E-2</v>
      </c>
      <c r="G299" s="3">
        <f t="shared" si="281"/>
        <v>1.6034881213425077E-2</v>
      </c>
      <c r="H299" s="3">
        <f t="shared" si="281"/>
        <v>1.3902096209885252E-2</v>
      </c>
      <c r="I299" s="3">
        <f t="shared" si="281"/>
        <v>3.3359975028402862E-3</v>
      </c>
      <c r="J299" s="3">
        <f t="shared" si="281"/>
        <v>2.11193228024558E-9</v>
      </c>
      <c r="K299" s="3">
        <f t="shared" si="281"/>
        <v>2.183849484363443E-71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2.6847553481782235E-2</v>
      </c>
      <c r="C300" s="3">
        <f t="shared" si="282"/>
        <v>2.6847550025121333E-2</v>
      </c>
      <c r="D300" s="3">
        <f t="shared" si="282"/>
        <v>2.6847515458536798E-2</v>
      </c>
      <c r="E300" s="3">
        <f t="shared" si="282"/>
        <v>2.6847169795139184E-2</v>
      </c>
      <c r="F300" s="3">
        <f t="shared" si="282"/>
        <v>2.6843713405927686E-2</v>
      </c>
      <c r="G300" s="3">
        <f t="shared" si="282"/>
        <v>2.6809173978616364E-2</v>
      </c>
      <c r="H300" s="3">
        <f t="shared" si="282"/>
        <v>2.6466214571350455E-2</v>
      </c>
      <c r="I300" s="3">
        <f t="shared" si="282"/>
        <v>2.3268896613888344E-2</v>
      </c>
      <c r="J300" s="3">
        <f t="shared" si="282"/>
        <v>6.4211881913030268E-3</v>
      </c>
      <c r="K300" s="3">
        <f t="shared" si="282"/>
        <v>1.6444151975525096E-8</v>
      </c>
      <c r="L300" s="3">
        <f t="shared" si="282"/>
        <v>1.9951351351413804E-64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2.5906186708171873E-2</v>
      </c>
      <c r="C301" s="3">
        <f t="shared" si="283"/>
        <v>2.5906186407285741E-2</v>
      </c>
      <c r="D301" s="3">
        <f t="shared" si="283"/>
        <v>2.5906183398424633E-2</v>
      </c>
      <c r="E301" s="3">
        <f t="shared" si="283"/>
        <v>2.5906153309832758E-2</v>
      </c>
      <c r="F301" s="3">
        <f t="shared" si="283"/>
        <v>2.590585242583604E-2</v>
      </c>
      <c r="G301" s="3">
        <f t="shared" si="283"/>
        <v>2.5902843778064191E-2</v>
      </c>
      <c r="H301" s="3">
        <f t="shared" si="283"/>
        <v>2.5872776511620812E-2</v>
      </c>
      <c r="I301" s="3">
        <f t="shared" si="283"/>
        <v>2.5574016744532468E-2</v>
      </c>
      <c r="J301" s="3">
        <f t="shared" si="283"/>
        <v>2.2769737615524838E-2</v>
      </c>
      <c r="K301" s="3">
        <f t="shared" si="283"/>
        <v>7.1276905287583269E-3</v>
      </c>
      <c r="L301" s="3">
        <f t="shared" si="283"/>
        <v>6.4395708507842563E-8</v>
      </c>
      <c r="M301" s="3">
        <f t="shared" si="283"/>
        <v>2.3331240617523102E-58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3.2694648533476173E-2</v>
      </c>
      <c r="C302" s="3">
        <f t="shared" si="284"/>
        <v>3.2694648499221331E-2</v>
      </c>
      <c r="D302" s="3">
        <f t="shared" si="284"/>
        <v>3.2694648156672938E-2</v>
      </c>
      <c r="E302" s="3">
        <f t="shared" si="284"/>
        <v>3.2694644731189146E-2</v>
      </c>
      <c r="F302" s="3">
        <f t="shared" si="284"/>
        <v>3.2694610476371025E-2</v>
      </c>
      <c r="G302" s="3">
        <f t="shared" si="284"/>
        <v>3.269426793016366E-2</v>
      </c>
      <c r="H302" s="3">
        <f t="shared" si="284"/>
        <v>3.2690842665473743E-2</v>
      </c>
      <c r="I302" s="3">
        <f t="shared" si="284"/>
        <v>3.265660974929098E-2</v>
      </c>
      <c r="J302" s="3">
        <f t="shared" si="284"/>
        <v>3.2316246031760212E-2</v>
      </c>
      <c r="K302" s="3">
        <f t="shared" si="284"/>
        <v>2.910174296381669E-2</v>
      </c>
      <c r="L302" s="3">
        <f t="shared" si="284"/>
        <v>1.020704307471869E-2</v>
      </c>
      <c r="M302" s="3">
        <f t="shared" si="284"/>
        <v>2.8754738162073738E-7</v>
      </c>
      <c r="N302" s="3">
        <f t="shared" si="284"/>
        <v>9.0532416963851971E-53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3.3282078427927436E-2</v>
      </c>
      <c r="C303" s="3">
        <f t="shared" si="285"/>
        <v>3.3282078424781848E-2</v>
      </c>
      <c r="D303" s="3">
        <f t="shared" si="285"/>
        <v>3.3282078393325934E-2</v>
      </c>
      <c r="E303" s="3">
        <f t="shared" si="285"/>
        <v>3.3282078078766798E-2</v>
      </c>
      <c r="F303" s="3">
        <f t="shared" si="285"/>
        <v>3.3282074933175636E-2</v>
      </c>
      <c r="G303" s="3">
        <f t="shared" si="285"/>
        <v>3.3282043477280324E-2</v>
      </c>
      <c r="H303" s="3">
        <f t="shared" si="285"/>
        <v>3.3281728919962394E-2</v>
      </c>
      <c r="I303" s="3">
        <f t="shared" si="285"/>
        <v>3.3278583510291476E-2</v>
      </c>
      <c r="J303" s="3">
        <f t="shared" si="285"/>
        <v>3.3247145758702391E-2</v>
      </c>
      <c r="K303" s="3">
        <f t="shared" si="285"/>
        <v>3.2934397053389936E-2</v>
      </c>
      <c r="L303" s="3">
        <f t="shared" si="285"/>
        <v>2.9964236281888702E-2</v>
      </c>
      <c r="M303" s="3">
        <f t="shared" si="285"/>
        <v>1.1644964616536024E-2</v>
      </c>
      <c r="N303" s="3">
        <f t="shared" si="285"/>
        <v>9.1514049980518146E-7</v>
      </c>
      <c r="O303" s="3">
        <f t="shared" si="285"/>
        <v>8.222119774905661E-48</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0.10755398982661221</v>
      </c>
      <c r="C304" s="3">
        <f t="shared" si="286"/>
        <v>0.10755398982569522</v>
      </c>
      <c r="D304" s="3">
        <f t="shared" si="286"/>
        <v>0.10755398981652531</v>
      </c>
      <c r="E304" s="3">
        <f t="shared" si="286"/>
        <v>0.10755398972482623</v>
      </c>
      <c r="F304" s="3">
        <f t="shared" si="286"/>
        <v>0.10755398880783544</v>
      </c>
      <c r="G304" s="3">
        <f t="shared" si="286"/>
        <v>0.10755397963792793</v>
      </c>
      <c r="H304" s="3">
        <f t="shared" si="286"/>
        <v>0.10755388793889571</v>
      </c>
      <c r="I304" s="3">
        <f t="shared" si="286"/>
        <v>0.10755297095287356</v>
      </c>
      <c r="J304" s="3">
        <f t="shared" si="286"/>
        <v>0.10754380152263465</v>
      </c>
      <c r="K304" s="3">
        <f t="shared" si="286"/>
        <v>0.10745215020494625</v>
      </c>
      <c r="L304" s="3">
        <f t="shared" si="286"/>
        <v>0.10653992196917424</v>
      </c>
      <c r="M304" s="3">
        <f t="shared" si="286"/>
        <v>9.7832919328513374E-2</v>
      </c>
      <c r="N304" s="3">
        <f t="shared" si="286"/>
        <v>4.170723506903732E-2</v>
      </c>
      <c r="O304" s="3">
        <f t="shared" si="286"/>
        <v>8.269424131142257E-6</v>
      </c>
      <c r="P304" s="3">
        <f t="shared" si="286"/>
        <v>7.7645079687665926E-43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0.13355176295713045</v>
      </c>
      <c r="C305" s="3">
        <f t="shared" si="287"/>
        <v>0.13355176295702773</v>
      </c>
      <c r="D305" s="3">
        <f t="shared" si="287"/>
        <v>0.13355176295600057</v>
      </c>
      <c r="E305" s="3">
        <f t="shared" si="287"/>
        <v>0.13355176294572907</v>
      </c>
      <c r="F305" s="3">
        <f t="shared" si="287"/>
        <v>0.13355176284301387</v>
      </c>
      <c r="G305" s="3">
        <f t="shared" si="287"/>
        <v>0.13355176181586198</v>
      </c>
      <c r="H305" s="3">
        <f t="shared" si="287"/>
        <v>0.13355175154434357</v>
      </c>
      <c r="I305" s="3">
        <f t="shared" si="287"/>
        <v>0.13355164882920298</v>
      </c>
      <c r="J305" s="3">
        <f t="shared" si="287"/>
        <v>0.13355062168214193</v>
      </c>
      <c r="K305" s="3">
        <f t="shared" si="287"/>
        <v>0.13354035064601039</v>
      </c>
      <c r="L305" s="3">
        <f t="shared" si="287"/>
        <v>0.13343768372022149</v>
      </c>
      <c r="M305" s="3">
        <f t="shared" si="287"/>
        <v>0.13241534568000682</v>
      </c>
      <c r="N305" s="3">
        <f t="shared" si="287"/>
        <v>0.12261301123200424</v>
      </c>
      <c r="O305" s="3">
        <f t="shared" si="287"/>
        <v>5.6822319187388101E-2</v>
      </c>
      <c r="P305" s="3">
        <f t="shared" si="287"/>
        <v>2.5962285754795721E-5</v>
      </c>
      <c r="Q305" s="3">
        <f t="shared" si="287"/>
        <v>1.0293963617230515E-38</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0.10276653551975425</v>
      </c>
      <c r="C306" s="3">
        <f t="shared" si="288"/>
        <v>0.10276653551974711</v>
      </c>
      <c r="D306" s="3">
        <f t="shared" si="288"/>
        <v>0.10276653551967581</v>
      </c>
      <c r="E306" s="3">
        <f t="shared" si="288"/>
        <v>0.10276653551896282</v>
      </c>
      <c r="F306" s="3">
        <f t="shared" si="288"/>
        <v>0.10276653551183293</v>
      </c>
      <c r="G306" s="3">
        <f t="shared" si="288"/>
        <v>0.10276653544053395</v>
      </c>
      <c r="H306" s="3">
        <f t="shared" si="288"/>
        <v>0.10276653472754409</v>
      </c>
      <c r="I306" s="3">
        <f t="shared" si="288"/>
        <v>0.10276652759764583</v>
      </c>
      <c r="J306" s="3">
        <f t="shared" si="288"/>
        <v>0.10276645629869056</v>
      </c>
      <c r="K306" s="3">
        <f t="shared" si="288"/>
        <v>0.10276574331185845</v>
      </c>
      <c r="L306" s="3">
        <f t="shared" si="288"/>
        <v>0.10275861371559773</v>
      </c>
      <c r="M306" s="3">
        <f t="shared" si="288"/>
        <v>0.10268734495204511</v>
      </c>
      <c r="N306" s="3">
        <f t="shared" si="288"/>
        <v>0.10197737025279786</v>
      </c>
      <c r="O306" s="3">
        <f t="shared" si="288"/>
        <v>9.5142080018560254E-2</v>
      </c>
      <c r="P306" s="3">
        <f t="shared" si="288"/>
        <v>4.7540196925507511E-2</v>
      </c>
      <c r="Q306" s="3">
        <f t="shared" si="288"/>
        <v>4.6125843561278795E-5</v>
      </c>
      <c r="R306" s="3">
        <f t="shared" si="288"/>
        <v>3.4101837084357108E-35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8.230869710065071E-2</v>
      </c>
      <c r="C307" s="3">
        <f t="shared" si="289"/>
        <v>8.2308697100650197E-2</v>
      </c>
      <c r="D307" s="3">
        <f t="shared" si="289"/>
        <v>8.2308697100645048E-2</v>
      </c>
      <c r="E307" s="3">
        <f t="shared" si="289"/>
        <v>8.230869710059352E-2</v>
      </c>
      <c r="F307" s="3">
        <f t="shared" si="289"/>
        <v>8.230869710007839E-2</v>
      </c>
      <c r="G307" s="3">
        <f t="shared" si="289"/>
        <v>8.2308697094927011E-2</v>
      </c>
      <c r="H307" s="3">
        <f t="shared" si="289"/>
        <v>8.2308697043413162E-2</v>
      </c>
      <c r="I307" s="3">
        <f t="shared" si="289"/>
        <v>8.230869652827473E-2</v>
      </c>
      <c r="J307" s="3">
        <f t="shared" si="289"/>
        <v>8.2308691376890591E-2</v>
      </c>
      <c r="K307" s="3">
        <f t="shared" si="289"/>
        <v>8.2308639863066982E-2</v>
      </c>
      <c r="L307" s="3">
        <f t="shared" si="289"/>
        <v>8.2308124726604051E-2</v>
      </c>
      <c r="M307" s="3">
        <f t="shared" si="289"/>
        <v>8.2302973539293015E-2</v>
      </c>
      <c r="N307" s="3">
        <f t="shared" si="289"/>
        <v>8.2251479393912849E-2</v>
      </c>
      <c r="O307" s="3">
        <f t="shared" si="289"/>
        <v>8.173830661479084E-2</v>
      </c>
      <c r="P307" s="3">
        <f t="shared" si="289"/>
        <v>7.6779418256743323E-2</v>
      </c>
      <c r="Q307" s="3">
        <f t="shared" si="289"/>
        <v>4.1061671879572346E-2</v>
      </c>
      <c r="R307" s="3">
        <f t="shared" si="289"/>
        <v>7.8587728954072287E-5</v>
      </c>
      <c r="S307" s="3">
        <f t="shared" si="289"/>
        <v>5.1824586086479243E-32</v>
      </c>
      <c r="T307" s="3">
        <f t="shared" si="289"/>
        <v>8.0602196595359989E-304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3.7013792035783415E-2</v>
      </c>
      <c r="C308" s="3">
        <f t="shared" si="290"/>
        <v>3.7013792035783394E-2</v>
      </c>
      <c r="D308" s="3">
        <f t="shared" si="290"/>
        <v>3.7013792035783186E-2</v>
      </c>
      <c r="E308" s="3">
        <f t="shared" si="290"/>
        <v>3.7013792035781097E-2</v>
      </c>
      <c r="F308" s="3">
        <f t="shared" si="290"/>
        <v>3.7013792035760204E-2</v>
      </c>
      <c r="G308" s="3">
        <f t="shared" si="290"/>
        <v>3.7013792035551232E-2</v>
      </c>
      <c r="H308" s="3">
        <f t="shared" si="290"/>
        <v>3.7013792033461508E-2</v>
      </c>
      <c r="I308" s="3">
        <f t="shared" si="290"/>
        <v>3.7013792012564294E-2</v>
      </c>
      <c r="J308" s="3">
        <f t="shared" si="290"/>
        <v>3.7013791803592155E-2</v>
      </c>
      <c r="K308" s="3">
        <f t="shared" si="290"/>
        <v>3.7013789713870794E-2</v>
      </c>
      <c r="L308" s="3">
        <f t="shared" si="290"/>
        <v>3.701376881666367E-2</v>
      </c>
      <c r="M308" s="3">
        <f t="shared" si="290"/>
        <v>3.7013559845241358E-2</v>
      </c>
      <c r="N308" s="3">
        <f t="shared" si="290"/>
        <v>3.7011470195906414E-2</v>
      </c>
      <c r="O308" s="3">
        <f t="shared" si="290"/>
        <v>3.6990580190023201E-2</v>
      </c>
      <c r="P308" s="3">
        <f t="shared" si="290"/>
        <v>3.678232752465678E-2</v>
      </c>
      <c r="Q308" s="3">
        <f t="shared" si="290"/>
        <v>3.476320803001387E-2</v>
      </c>
      <c r="R308" s="3">
        <f t="shared" si="290"/>
        <v>1.976633941974958E-2</v>
      </c>
      <c r="S308" s="3">
        <f t="shared" si="290"/>
        <v>6.9821674733563368E-5</v>
      </c>
      <c r="T308" s="3">
        <f t="shared" si="290"/>
        <v>2.1116911052455694E-29</v>
      </c>
      <c r="U308" s="3">
        <f t="shared" si="290"/>
        <v>1.352171199357388E-274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5.9919400803358086E-2</v>
      </c>
      <c r="C309" s="3">
        <f t="shared" si="291"/>
        <v>5.9919400803358072E-2</v>
      </c>
      <c r="D309" s="3">
        <f t="shared" si="291"/>
        <v>5.9919400803357982E-2</v>
      </c>
      <c r="E309" s="3">
        <f t="shared" si="291"/>
        <v>5.9919400803357045E-2</v>
      </c>
      <c r="F309" s="3">
        <f t="shared" si="291"/>
        <v>5.9919400803347692E-2</v>
      </c>
      <c r="G309" s="3">
        <f t="shared" si="291"/>
        <v>5.9919400803254128E-2</v>
      </c>
      <c r="H309" s="3">
        <f t="shared" si="291"/>
        <v>5.9919400802318494E-2</v>
      </c>
      <c r="I309" s="3">
        <f t="shared" si="291"/>
        <v>5.9919400792962173E-2</v>
      </c>
      <c r="J309" s="3">
        <f t="shared" si="291"/>
        <v>5.9919400699398953E-2</v>
      </c>
      <c r="K309" s="3">
        <f t="shared" si="291"/>
        <v>5.9919399763766805E-2</v>
      </c>
      <c r="L309" s="3">
        <f t="shared" si="291"/>
        <v>5.9919390407446128E-2</v>
      </c>
      <c r="M309" s="3">
        <f t="shared" si="291"/>
        <v>5.9919296844319653E-2</v>
      </c>
      <c r="N309" s="3">
        <f t="shared" si="291"/>
        <v>5.9918361221090205E-2</v>
      </c>
      <c r="O309" s="3">
        <f t="shared" si="291"/>
        <v>5.9909005792280423E-2</v>
      </c>
      <c r="P309" s="3">
        <f t="shared" si="291"/>
        <v>5.9815531806254055E-2</v>
      </c>
      <c r="Q309" s="3">
        <f t="shared" si="291"/>
        <v>5.8888775951808255E-2</v>
      </c>
      <c r="R309" s="3">
        <f t="shared" si="291"/>
        <v>5.0375354685798082E-2</v>
      </c>
      <c r="S309" s="3">
        <f t="shared" si="291"/>
        <v>1.0569976309430804E-2</v>
      </c>
      <c r="T309" s="3">
        <f t="shared" si="291"/>
        <v>1.7483685409579111E-9</v>
      </c>
      <c r="U309" s="3">
        <f t="shared" si="291"/>
        <v>2.6805423862370578E-77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6.4670451984415095E-2</v>
      </c>
      <c r="C310" s="3">
        <f t="shared" si="292"/>
        <v>6.4670451984415095E-2</v>
      </c>
      <c r="D310" s="3">
        <f t="shared" si="292"/>
        <v>6.4670451984415081E-2</v>
      </c>
      <c r="E310" s="3">
        <f t="shared" si="292"/>
        <v>6.4670451984414984E-2</v>
      </c>
      <c r="F310" s="3">
        <f t="shared" si="292"/>
        <v>6.4670451984413971E-2</v>
      </c>
      <c r="G310" s="3">
        <f t="shared" si="292"/>
        <v>6.4670451984403868E-2</v>
      </c>
      <c r="H310" s="3">
        <f t="shared" si="292"/>
        <v>6.4670451984302893E-2</v>
      </c>
      <c r="I310" s="3">
        <f t="shared" si="292"/>
        <v>6.4670451983293076E-2</v>
      </c>
      <c r="J310" s="3">
        <f t="shared" si="292"/>
        <v>6.4670451973194876E-2</v>
      </c>
      <c r="K310" s="3">
        <f t="shared" si="292"/>
        <v>6.4670451872212972E-2</v>
      </c>
      <c r="L310" s="3">
        <f t="shared" si="292"/>
        <v>6.4670450862393897E-2</v>
      </c>
      <c r="M310" s="3">
        <f t="shared" si="292"/>
        <v>6.4670440764204015E-2</v>
      </c>
      <c r="N310" s="3">
        <f t="shared" si="292"/>
        <v>6.4670339782391825E-2</v>
      </c>
      <c r="O310" s="3">
        <f t="shared" si="292"/>
        <v>6.4669329972942391E-2</v>
      </c>
      <c r="P310" s="3">
        <f t="shared" si="292"/>
        <v>6.4659232745641643E-2</v>
      </c>
      <c r="Q310" s="3">
        <f t="shared" si="292"/>
        <v>6.4558347141912914E-2</v>
      </c>
      <c r="R310" s="3">
        <f t="shared" si="292"/>
        <v>6.3558108167846711E-2</v>
      </c>
      <c r="S310" s="3">
        <f t="shared" si="292"/>
        <v>5.436965177767944E-2</v>
      </c>
      <c r="T310" s="3">
        <f t="shared" si="292"/>
        <v>1.1408077120776893E-2</v>
      </c>
      <c r="U310" s="3">
        <f t="shared" si="292"/>
        <v>1.8869979049046793E-9</v>
      </c>
      <c r="V310" s="3">
        <f t="shared" si="292"/>
        <v>2.8930844660852798E-77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6.7576207998846588E-2</v>
      </c>
      <c r="C311" s="3">
        <f t="shared" si="293"/>
        <v>6.7576207998846588E-2</v>
      </c>
      <c r="D311" s="3">
        <f t="shared" si="293"/>
        <v>6.7576207998846588E-2</v>
      </c>
      <c r="E311" s="3">
        <f t="shared" si="293"/>
        <v>6.7576207998846574E-2</v>
      </c>
      <c r="F311" s="3">
        <f t="shared" si="293"/>
        <v>6.7576207998846463E-2</v>
      </c>
      <c r="G311" s="3">
        <f t="shared" si="293"/>
        <v>6.7576207998845422E-2</v>
      </c>
      <c r="H311" s="3">
        <f t="shared" si="293"/>
        <v>6.7576207998834861E-2</v>
      </c>
      <c r="I311" s="3">
        <f t="shared" si="293"/>
        <v>6.7576207998729348E-2</v>
      </c>
      <c r="J311" s="3">
        <f t="shared" si="293"/>
        <v>6.7576207997674151E-2</v>
      </c>
      <c r="K311" s="3">
        <f t="shared" si="293"/>
        <v>6.757620798712223E-2</v>
      </c>
      <c r="L311" s="3">
        <f t="shared" si="293"/>
        <v>6.7576207881603026E-2</v>
      </c>
      <c r="M311" s="3">
        <f t="shared" si="293"/>
        <v>6.7576206826411023E-2</v>
      </c>
      <c r="N311" s="3">
        <f t="shared" si="293"/>
        <v>6.7576196274491879E-2</v>
      </c>
      <c r="O311" s="3">
        <f t="shared" si="293"/>
        <v>6.7576090755391033E-2</v>
      </c>
      <c r="P311" s="3">
        <f t="shared" si="293"/>
        <v>6.7575035573444728E-2</v>
      </c>
      <c r="Q311" s="3">
        <f t="shared" si="293"/>
        <v>6.7564484660139659E-2</v>
      </c>
      <c r="R311" s="3">
        <f t="shared" si="293"/>
        <v>6.7459066090569356E-2</v>
      </c>
      <c r="S311" s="3">
        <f t="shared" si="293"/>
        <v>6.6413884637742338E-2</v>
      </c>
      <c r="T311" s="3">
        <f t="shared" si="293"/>
        <v>5.6812574902657918E-2</v>
      </c>
      <c r="U311" s="3">
        <f t="shared" si="293"/>
        <v>1.192066189001253E-2</v>
      </c>
      <c r="V311" s="3">
        <f t="shared" si="293"/>
        <v>1.9717840064881008E-9</v>
      </c>
      <c r="W311" s="3">
        <f t="shared" si="293"/>
        <v>3.0230757887006147E-77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7.4650772379504848E-2</v>
      </c>
      <c r="C312" s="3">
        <f t="shared" si="294"/>
        <v>7.4650772379504848E-2</v>
      </c>
      <c r="D312" s="3">
        <f t="shared" si="294"/>
        <v>7.4650772379504848E-2</v>
      </c>
      <c r="E312" s="3">
        <f t="shared" si="294"/>
        <v>7.4650772379504848E-2</v>
      </c>
      <c r="F312" s="3">
        <f t="shared" si="294"/>
        <v>7.4650772379504834E-2</v>
      </c>
      <c r="G312" s="3">
        <f t="shared" si="294"/>
        <v>7.465077237950471E-2</v>
      </c>
      <c r="H312" s="3">
        <f t="shared" si="294"/>
        <v>7.4650772379503558E-2</v>
      </c>
      <c r="I312" s="3">
        <f t="shared" si="294"/>
        <v>7.46507723794919E-2</v>
      </c>
      <c r="J312" s="3">
        <f t="shared" si="294"/>
        <v>7.4650772379375327E-2</v>
      </c>
      <c r="K312" s="3">
        <f t="shared" si="294"/>
        <v>7.4650772378209676E-2</v>
      </c>
      <c r="L312" s="3">
        <f t="shared" si="294"/>
        <v>7.465077236655307E-2</v>
      </c>
      <c r="M312" s="3">
        <f t="shared" si="294"/>
        <v>7.4650772249987035E-2</v>
      </c>
      <c r="N312" s="3">
        <f t="shared" si="294"/>
        <v>7.4650771084326814E-2</v>
      </c>
      <c r="O312" s="3">
        <f t="shared" si="294"/>
        <v>7.4650759427725505E-2</v>
      </c>
      <c r="P312" s="3">
        <f t="shared" si="294"/>
        <v>7.4650642861812569E-2</v>
      </c>
      <c r="Q312" s="3">
        <f t="shared" si="294"/>
        <v>7.4649477212693952E-2</v>
      </c>
      <c r="R312" s="3">
        <f t="shared" si="294"/>
        <v>7.4637821722531694E-2</v>
      </c>
      <c r="S312" s="3">
        <f t="shared" si="294"/>
        <v>7.4521366865495334E-2</v>
      </c>
      <c r="T312" s="3">
        <f t="shared" si="294"/>
        <v>7.3366765193682057E-2</v>
      </c>
      <c r="U312" s="3">
        <f t="shared" si="294"/>
        <v>6.2760292756058086E-2</v>
      </c>
      <c r="V312" s="3">
        <f t="shared" si="294"/>
        <v>1.3168637952865781E-2</v>
      </c>
      <c r="W312" s="3">
        <f t="shared" si="294"/>
        <v>2.1782103999147704E-9</v>
      </c>
      <c r="X312" s="3">
        <f t="shared" si="294"/>
        <v>3.3395620925064864E-77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4.2437426023751848E-2</v>
      </c>
      <c r="C313" s="3">
        <f t="shared" si="295"/>
        <v>4.2437426023751848E-2</v>
      </c>
      <c r="D313" s="3">
        <f t="shared" si="295"/>
        <v>4.2437426023751848E-2</v>
      </c>
      <c r="E313" s="3">
        <f t="shared" si="295"/>
        <v>4.2437426023751848E-2</v>
      </c>
      <c r="F313" s="3">
        <f t="shared" si="295"/>
        <v>4.2437426023751848E-2</v>
      </c>
      <c r="G313" s="3">
        <f t="shared" si="295"/>
        <v>4.2437426023751841E-2</v>
      </c>
      <c r="H313" s="3">
        <f t="shared" si="295"/>
        <v>4.2437426023751772E-2</v>
      </c>
      <c r="I313" s="3">
        <f t="shared" si="295"/>
        <v>4.2437426023751113E-2</v>
      </c>
      <c r="J313" s="3">
        <f t="shared" si="295"/>
        <v>4.2437426023744486E-2</v>
      </c>
      <c r="K313" s="3">
        <f t="shared" si="295"/>
        <v>4.2437426023678219E-2</v>
      </c>
      <c r="L313" s="3">
        <f t="shared" si="295"/>
        <v>4.2437426023015569E-2</v>
      </c>
      <c r="M313" s="3">
        <f t="shared" si="295"/>
        <v>4.2437426016389022E-2</v>
      </c>
      <c r="N313" s="3">
        <f t="shared" si="295"/>
        <v>4.243742595012364E-2</v>
      </c>
      <c r="O313" s="3">
        <f t="shared" si="295"/>
        <v>4.243742528746982E-2</v>
      </c>
      <c r="P313" s="3">
        <f t="shared" si="295"/>
        <v>4.2437418660932147E-2</v>
      </c>
      <c r="Q313" s="3">
        <f t="shared" si="295"/>
        <v>4.2437352395612318E-2</v>
      </c>
      <c r="R313" s="3">
        <f t="shared" si="295"/>
        <v>4.2436689748104939E-2</v>
      </c>
      <c r="S313" s="3">
        <f t="shared" si="295"/>
        <v>4.2430063842092657E-2</v>
      </c>
      <c r="T313" s="3">
        <f t="shared" si="295"/>
        <v>4.2363861655255748E-2</v>
      </c>
      <c r="U313" s="3">
        <f t="shared" si="295"/>
        <v>4.1707494393770743E-2</v>
      </c>
      <c r="V313" s="3">
        <f t="shared" si="295"/>
        <v>3.5677933344403667E-2</v>
      </c>
      <c r="W313" s="3">
        <f t="shared" si="295"/>
        <v>7.4860993549711926E-3</v>
      </c>
      <c r="X313" s="3">
        <f t="shared" si="295"/>
        <v>1.2382677333949258E-9</v>
      </c>
      <c r="Y313" s="3">
        <f t="shared" si="295"/>
        <v>1.8984722426178063E-77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2.9362775672931045E-2</v>
      </c>
      <c r="C314" s="3">
        <f t="shared" si="296"/>
        <v>2.9362775672931045E-2</v>
      </c>
      <c r="D314" s="3">
        <f t="shared" si="296"/>
        <v>2.9362775672931045E-2</v>
      </c>
      <c r="E314" s="3">
        <f t="shared" si="296"/>
        <v>2.9362775672931045E-2</v>
      </c>
      <c r="F314" s="3">
        <f t="shared" si="296"/>
        <v>2.9362775672931045E-2</v>
      </c>
      <c r="G314" s="3">
        <f t="shared" si="296"/>
        <v>2.9362775672931045E-2</v>
      </c>
      <c r="H314" s="3">
        <f t="shared" si="296"/>
        <v>2.9362775672931038E-2</v>
      </c>
      <c r="I314" s="3">
        <f t="shared" si="296"/>
        <v>2.9362775672930993E-2</v>
      </c>
      <c r="J314" s="3">
        <f t="shared" si="296"/>
        <v>2.9362775672930535E-2</v>
      </c>
      <c r="K314" s="3">
        <f t="shared" si="296"/>
        <v>2.9362775672925948E-2</v>
      </c>
      <c r="L314" s="3">
        <f t="shared" si="296"/>
        <v>2.9362775672880103E-2</v>
      </c>
      <c r="M314" s="3">
        <f t="shared" si="296"/>
        <v>2.9362775672421609E-2</v>
      </c>
      <c r="N314" s="3">
        <f t="shared" si="296"/>
        <v>2.9362775667836651E-2</v>
      </c>
      <c r="O314" s="3">
        <f t="shared" si="296"/>
        <v>2.9362775621987133E-2</v>
      </c>
      <c r="P314" s="3">
        <f t="shared" si="296"/>
        <v>2.9362775163491946E-2</v>
      </c>
      <c r="Q314" s="3">
        <f t="shared" si="296"/>
        <v>2.9362770578540469E-2</v>
      </c>
      <c r="R314" s="3">
        <f t="shared" si="296"/>
        <v>2.9362724729065055E-2</v>
      </c>
      <c r="S314" s="3">
        <f t="shared" si="296"/>
        <v>2.936226623824852E-2</v>
      </c>
      <c r="T314" s="3">
        <f t="shared" si="296"/>
        <v>2.9357681723821097E-2</v>
      </c>
      <c r="U314" s="3">
        <f t="shared" si="296"/>
        <v>2.9311875930603061E-2</v>
      </c>
      <c r="V314" s="3">
        <f t="shared" si="296"/>
        <v>2.8857730463645346E-2</v>
      </c>
      <c r="W314" s="3">
        <f t="shared" si="296"/>
        <v>2.4685831621342379E-2</v>
      </c>
      <c r="X314" s="3">
        <f t="shared" si="296"/>
        <v>5.1796886998345696E-3</v>
      </c>
      <c r="Y314" s="3">
        <f t="shared" si="296"/>
        <v>8.5676679962526934E-10</v>
      </c>
      <c r="Z314" s="3">
        <f t="shared" si="296"/>
        <v>1.3135672872825348E-77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1.3317924951321973E-2</v>
      </c>
      <c r="C315" s="3">
        <f t="shared" si="297"/>
        <v>1.3317924951321973E-2</v>
      </c>
      <c r="D315" s="3">
        <f t="shared" si="297"/>
        <v>1.3317924951321973E-2</v>
      </c>
      <c r="E315" s="3">
        <f t="shared" si="297"/>
        <v>1.3317924951321973E-2</v>
      </c>
      <c r="F315" s="3">
        <f t="shared" si="297"/>
        <v>1.3317924951321973E-2</v>
      </c>
      <c r="G315" s="3">
        <f t="shared" si="297"/>
        <v>1.3317924951321973E-2</v>
      </c>
      <c r="H315" s="3">
        <f t="shared" si="297"/>
        <v>1.3317924951321973E-2</v>
      </c>
      <c r="I315" s="3">
        <f t="shared" si="297"/>
        <v>1.3317924951321969E-2</v>
      </c>
      <c r="J315" s="3">
        <f t="shared" si="297"/>
        <v>1.3317924951321948E-2</v>
      </c>
      <c r="K315" s="3">
        <f t="shared" si="297"/>
        <v>1.3317924951321742E-2</v>
      </c>
      <c r="L315" s="3">
        <f t="shared" si="297"/>
        <v>1.3317924951319662E-2</v>
      </c>
      <c r="M315" s="3">
        <f t="shared" si="297"/>
        <v>1.3317924951298866E-2</v>
      </c>
      <c r="N315" s="3">
        <f t="shared" si="297"/>
        <v>1.3317924951090909E-2</v>
      </c>
      <c r="O315" s="3">
        <f t="shared" si="297"/>
        <v>1.3317924949011335E-2</v>
      </c>
      <c r="P315" s="3">
        <f t="shared" si="297"/>
        <v>1.3317924928215602E-2</v>
      </c>
      <c r="Q315" s="3">
        <f t="shared" si="297"/>
        <v>1.331792472025827E-2</v>
      </c>
      <c r="R315" s="3">
        <f t="shared" si="297"/>
        <v>1.3317922640685128E-2</v>
      </c>
      <c r="S315" s="3">
        <f t="shared" si="297"/>
        <v>1.3317901844971553E-2</v>
      </c>
      <c r="T315" s="3">
        <f t="shared" si="297"/>
        <v>1.3317693889621776E-2</v>
      </c>
      <c r="U315" s="3">
        <f t="shared" si="297"/>
        <v>1.3315614514709717E-2</v>
      </c>
      <c r="V315" s="3">
        <f t="shared" si="297"/>
        <v>1.3294838613847733E-2</v>
      </c>
      <c r="W315" s="3">
        <f t="shared" si="297"/>
        <v>1.3088854162197213E-2</v>
      </c>
      <c r="X315" s="3">
        <f t="shared" si="297"/>
        <v>1.1196627204324201E-2</v>
      </c>
      <c r="Y315" s="3">
        <f t="shared" si="297"/>
        <v>2.3493250823423024E-3</v>
      </c>
      <c r="Z315" s="3">
        <f t="shared" si="297"/>
        <v>3.8859936353744055E-10</v>
      </c>
      <c r="AA315" s="3">
        <f t="shared" si="297"/>
        <v>5.9578803943483271E-78</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4.0600750332731679E-3</v>
      </c>
      <c r="C316" s="3">
        <f t="shared" si="298"/>
        <v>4.0600750332731679E-3</v>
      </c>
      <c r="D316" s="3">
        <f t="shared" si="298"/>
        <v>4.0600750332731679E-3</v>
      </c>
      <c r="E316" s="3">
        <f t="shared" si="298"/>
        <v>4.0600750332731679E-3</v>
      </c>
      <c r="F316" s="3">
        <f t="shared" si="298"/>
        <v>4.0600750332731679E-3</v>
      </c>
      <c r="G316" s="3">
        <f t="shared" si="298"/>
        <v>4.0600750332731679E-3</v>
      </c>
      <c r="H316" s="3">
        <f t="shared" si="298"/>
        <v>4.0600750332731679E-3</v>
      </c>
      <c r="I316" s="3">
        <f t="shared" si="298"/>
        <v>4.0600750332731679E-3</v>
      </c>
      <c r="J316" s="3">
        <f t="shared" si="298"/>
        <v>4.060075033273167E-3</v>
      </c>
      <c r="K316" s="3">
        <f t="shared" si="298"/>
        <v>4.0600750332731609E-3</v>
      </c>
      <c r="L316" s="3">
        <f t="shared" si="298"/>
        <v>4.0600750332730976E-3</v>
      </c>
      <c r="M316" s="3">
        <f t="shared" si="298"/>
        <v>4.0600750332724636E-3</v>
      </c>
      <c r="N316" s="3">
        <f t="shared" si="298"/>
        <v>4.060075033266124E-3</v>
      </c>
      <c r="O316" s="3">
        <f t="shared" si="298"/>
        <v>4.0600750332027268E-3</v>
      </c>
      <c r="P316" s="3">
        <f t="shared" si="298"/>
        <v>4.0600750325687513E-3</v>
      </c>
      <c r="Q316" s="3">
        <f t="shared" si="298"/>
        <v>4.0600750262290075E-3</v>
      </c>
      <c r="R316" s="3">
        <f t="shared" si="298"/>
        <v>4.0600749628315657E-3</v>
      </c>
      <c r="S316" s="3">
        <f t="shared" si="298"/>
        <v>4.0600743288572022E-3</v>
      </c>
      <c r="T316" s="3">
        <f t="shared" si="298"/>
        <v>4.0600679891190077E-3</v>
      </c>
      <c r="U316" s="3">
        <f t="shared" si="298"/>
        <v>4.060004592281531E-3</v>
      </c>
      <c r="V316" s="3">
        <f t="shared" si="298"/>
        <v>4.0593706783500355E-3</v>
      </c>
      <c r="W316" s="3">
        <f t="shared" si="298"/>
        <v>4.0530369802182454E-3</v>
      </c>
      <c r="X316" s="3">
        <f t="shared" si="298"/>
        <v>3.9902409866647811E-3</v>
      </c>
      <c r="Y316" s="3">
        <f t="shared" si="298"/>
        <v>3.4133805930954314E-3</v>
      </c>
      <c r="Z316" s="3">
        <f t="shared" si="298"/>
        <v>7.1621038162657615E-4</v>
      </c>
      <c r="AA316" s="3">
        <f t="shared" si="298"/>
        <v>1.1846759758828608E-10</v>
      </c>
      <c r="AB316" s="3">
        <f t="shared" si="298"/>
        <v>1.8163070845297284E-78</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6.6069827735831333E-3</v>
      </c>
      <c r="C318" s="3">
        <f t="shared" si="300"/>
        <v>6.6069827735831333E-3</v>
      </c>
      <c r="D318" s="3">
        <f t="shared" si="300"/>
        <v>6.6069827735831333E-3</v>
      </c>
      <c r="E318" s="3">
        <f t="shared" si="300"/>
        <v>6.6069827735831333E-3</v>
      </c>
      <c r="F318" s="3">
        <f t="shared" si="300"/>
        <v>6.6069827735831333E-3</v>
      </c>
      <c r="G318" s="3">
        <f t="shared" si="300"/>
        <v>6.6069827735831333E-3</v>
      </c>
      <c r="H318" s="3">
        <f t="shared" si="300"/>
        <v>6.6069827735831333E-3</v>
      </c>
      <c r="I318" s="3">
        <f t="shared" si="300"/>
        <v>6.6069827735831333E-3</v>
      </c>
      <c r="J318" s="3">
        <f t="shared" si="300"/>
        <v>6.6069827735831333E-3</v>
      </c>
      <c r="K318" s="3">
        <f t="shared" si="300"/>
        <v>6.6069827735831333E-3</v>
      </c>
      <c r="L318" s="3">
        <f t="shared" si="300"/>
        <v>6.6069827735831315E-3</v>
      </c>
      <c r="M318" s="3">
        <f t="shared" si="300"/>
        <v>6.6069827735831211E-3</v>
      </c>
      <c r="N318" s="3">
        <f t="shared" si="300"/>
        <v>6.6069827735830188E-3</v>
      </c>
      <c r="O318" s="3">
        <f t="shared" si="300"/>
        <v>6.6069827735819866E-3</v>
      </c>
      <c r="P318" s="3">
        <f t="shared" si="300"/>
        <v>6.6069827735716702E-3</v>
      </c>
      <c r="Q318" s="3">
        <f t="shared" si="300"/>
        <v>6.6069827734685036E-3</v>
      </c>
      <c r="R318" s="3">
        <f t="shared" si="300"/>
        <v>6.6069827724368332E-3</v>
      </c>
      <c r="S318" s="3">
        <f t="shared" si="300"/>
        <v>6.6069827621201317E-3</v>
      </c>
      <c r="T318" s="3">
        <f t="shared" si="300"/>
        <v>6.6069826589531203E-3</v>
      </c>
      <c r="U318" s="3">
        <f t="shared" si="300"/>
        <v>6.6069816272830983E-3</v>
      </c>
      <c r="V318" s="3">
        <f t="shared" si="300"/>
        <v>6.6069713105917334E-3</v>
      </c>
      <c r="W318" s="3">
        <f t="shared" si="300"/>
        <v>6.6068681445640917E-3</v>
      </c>
      <c r="X318" s="3">
        <f t="shared" si="300"/>
        <v>6.6058365728835187E-3</v>
      </c>
      <c r="Y318" s="3">
        <f t="shared" si="300"/>
        <v>6.5955297105455392E-3</v>
      </c>
      <c r="Z318" s="3">
        <f t="shared" si="300"/>
        <v>6.4933414395757548E-3</v>
      </c>
      <c r="AA318" s="3">
        <f t="shared" si="300"/>
        <v>5.5546132998638975E-3</v>
      </c>
      <c r="AB318" s="3">
        <f t="shared" si="300"/>
        <v>1.1654931534241463E-3</v>
      </c>
      <c r="AC318" s="3">
        <f t="shared" si="300"/>
        <v>1.9278298309245132E-10</v>
      </c>
      <c r="AD318" s="3">
        <f t="shared" si="300"/>
        <v>2.955686661128147E-78</v>
      </c>
      <c r="AE318" s="3">
        <f t="shared" si="300"/>
        <v>0</v>
      </c>
      <c r="AF318" s="3">
        <f t="shared" si="300"/>
        <v>0</v>
      </c>
      <c r="AG318" s="3"/>
      <c r="AH318" s="3"/>
    </row>
    <row r="319" spans="1:34" x14ac:dyDescent="0.25">
      <c r="A319" s="79">
        <f>AVERAGE(B319:AF319)</f>
        <v>0.13734786085767889</v>
      </c>
      <c r="B319" s="80">
        <f>IF($A$64&lt;=B285,IF($B$64&gt;=B285,ABS((B287-B286)/B286),0),0)</f>
        <v>7.4669105244526456E-3</v>
      </c>
      <c r="C319" s="80">
        <f t="shared" ref="C319:AF319" si="301">IF($A$64&lt;=C285,IF($B$64&gt;=C285,ABS((C287-C286)/C286),0),0)</f>
        <v>7.4572633239825929E-3</v>
      </c>
      <c r="D319" s="80">
        <f t="shared" si="301"/>
        <v>7.4649304317304455E-3</v>
      </c>
      <c r="E319" s="80">
        <f t="shared" si="301"/>
        <v>7.4894693876654313E-3</v>
      </c>
      <c r="F319" s="80">
        <f t="shared" si="301"/>
        <v>7.7235442883232443E-3</v>
      </c>
      <c r="G319" s="80">
        <f t="shared" si="301"/>
        <v>9.8628367311408369E-3</v>
      </c>
      <c r="H319" s="80">
        <f t="shared" si="301"/>
        <v>9.7043530261456158E-3</v>
      </c>
      <c r="I319" s="80">
        <f t="shared" si="301"/>
        <v>1.1570670062479386E-2</v>
      </c>
      <c r="J319" s="80">
        <f t="shared" si="301"/>
        <v>1.1419206208558547E-2</v>
      </c>
      <c r="K319" s="80">
        <f t="shared" si="301"/>
        <v>1.4417134646577279E-2</v>
      </c>
      <c r="L319" s="80">
        <f t="shared" si="301"/>
        <v>1.1540726796166351E-2</v>
      </c>
      <c r="M319" s="80">
        <f t="shared" si="301"/>
        <v>9.0547425466111636E-3</v>
      </c>
      <c r="N319" s="80">
        <f t="shared" si="301"/>
        <v>4.0732129456475911E-2</v>
      </c>
      <c r="O319" s="80">
        <f t="shared" si="301"/>
        <v>0.1449173756880788</v>
      </c>
      <c r="P319" s="80">
        <f t="shared" si="301"/>
        <v>0.24926086299137434</v>
      </c>
      <c r="Q319" s="80">
        <f t="shared" si="301"/>
        <v>0.32675825708802675</v>
      </c>
      <c r="R319" s="80">
        <f t="shared" si="301"/>
        <v>0.35431367214272447</v>
      </c>
      <c r="S319" s="80">
        <f t="shared" si="301"/>
        <v>0.33748766668603974</v>
      </c>
      <c r="T319" s="80">
        <f t="shared" si="301"/>
        <v>0.26910123954038229</v>
      </c>
      <c r="U319" s="80">
        <f t="shared" si="301"/>
        <v>0.19262866309397123</v>
      </c>
      <c r="V319" s="80">
        <f t="shared" si="301"/>
        <v>0.14925363858579835</v>
      </c>
      <c r="W319" s="80">
        <f t="shared" si="301"/>
        <v>8.5608143379698257E-2</v>
      </c>
      <c r="X319" s="80">
        <f t="shared" si="301"/>
        <v>6.2462822508519242E-2</v>
      </c>
      <c r="Y319" s="80">
        <f t="shared" si="301"/>
        <v>3.3946339453840353E-2</v>
      </c>
      <c r="Z319" s="80">
        <f t="shared" si="301"/>
        <v>4.3228798377441646E-2</v>
      </c>
      <c r="AA319" s="80">
        <f t="shared" si="301"/>
        <v>3.6226957621917889E-2</v>
      </c>
      <c r="AB319" s="80">
        <f t="shared" si="301"/>
        <v>0.29908216658438347</v>
      </c>
      <c r="AC319" s="80">
        <f t="shared" si="301"/>
        <v>0.38808253469027942</v>
      </c>
      <c r="AD319" s="80">
        <f t="shared" si="301"/>
        <v>0.37868768267557029</v>
      </c>
      <c r="AE319" s="80">
        <f t="shared" si="301"/>
        <v>0.3785421204286058</v>
      </c>
      <c r="AF319" s="80">
        <f t="shared" si="301"/>
        <v>0.3722908276210844</v>
      </c>
    </row>
    <row r="320" spans="1:34" x14ac:dyDescent="0.25">
      <c r="B320" s="21">
        <f>(B287-B286)^2</f>
        <v>2917.1063854607983</v>
      </c>
      <c r="C320" s="21">
        <f t="shared" ref="C320:AF320" si="302">(C287-C286)^2</f>
        <v>2909.6259240857771</v>
      </c>
      <c r="D320" s="21">
        <f t="shared" si="302"/>
        <v>2915.5346839996864</v>
      </c>
      <c r="E320" s="21">
        <f t="shared" si="302"/>
        <v>2934.2607635447052</v>
      </c>
      <c r="F320" s="21">
        <f t="shared" si="302"/>
        <v>3115.681578320432</v>
      </c>
      <c r="G320" s="21">
        <f t="shared" si="302"/>
        <v>5014.7285000972524</v>
      </c>
      <c r="H320" s="21">
        <f t="shared" si="302"/>
        <v>4670.9763164191309</v>
      </c>
      <c r="I320" s="21">
        <f t="shared" si="302"/>
        <v>6367.8956742365935</v>
      </c>
      <c r="J320" s="21">
        <f t="shared" si="302"/>
        <v>5903.1532098928965</v>
      </c>
      <c r="K320" s="21">
        <f t="shared" si="302"/>
        <v>8843.3976971986904</v>
      </c>
      <c r="L320" s="21">
        <f t="shared" si="302"/>
        <v>5326.2067017603513</v>
      </c>
      <c r="M320" s="21">
        <f t="shared" si="302"/>
        <v>3011.7582574855437</v>
      </c>
      <c r="N320" s="21">
        <f t="shared" si="302"/>
        <v>55365.727175634456</v>
      </c>
      <c r="O320" s="21">
        <f t="shared" si="302"/>
        <v>634304.26322950143</v>
      </c>
      <c r="P320" s="21">
        <f t="shared" si="302"/>
        <v>1672663.2718939323</v>
      </c>
      <c r="Q320" s="21">
        <f t="shared" si="302"/>
        <v>2507560.9773197225</v>
      </c>
      <c r="R320" s="21">
        <f t="shared" si="302"/>
        <v>2329338.5701634004</v>
      </c>
      <c r="S320" s="21">
        <f t="shared" si="302"/>
        <v>1335501.6761124656</v>
      </c>
      <c r="T320" s="21">
        <f t="shared" si="302"/>
        <v>437385.74892126309</v>
      </c>
      <c r="U320" s="21">
        <f t="shared" si="302"/>
        <v>96294.139613779204</v>
      </c>
      <c r="V320" s="21">
        <f t="shared" si="302"/>
        <v>19796.512173085044</v>
      </c>
      <c r="W320" s="21">
        <f t="shared" si="302"/>
        <v>1908.637003467411</v>
      </c>
      <c r="X320" s="21">
        <f t="shared" si="302"/>
        <v>287.31574217927226</v>
      </c>
      <c r="Y320" s="21">
        <f t="shared" si="302"/>
        <v>26.784136217326612</v>
      </c>
      <c r="Z320" s="21">
        <f t="shared" si="302"/>
        <v>24.493206668551974</v>
      </c>
      <c r="AA320" s="21">
        <f t="shared" si="302"/>
        <v>13.404999761159731</v>
      </c>
      <c r="AB320" s="21">
        <f t="shared" si="302"/>
        <v>774.65083994160545</v>
      </c>
      <c r="AC320" s="21">
        <f t="shared" si="302"/>
        <v>1292.319754551293</v>
      </c>
      <c r="AD320" s="21">
        <f t="shared" si="302"/>
        <v>1193.5754977951981</v>
      </c>
      <c r="AE320" s="21">
        <f t="shared" si="302"/>
        <v>1192.0994465622562</v>
      </c>
      <c r="AF320" s="21">
        <f t="shared" si="302"/>
        <v>1130.1996959841663</v>
      </c>
      <c r="AG320" s="3"/>
      <c r="AH320" s="3"/>
    </row>
    <row r="321" spans="1:34" x14ac:dyDescent="0.25">
      <c r="A321" s="71">
        <f>SUM(B321:AF321)</f>
        <v>9149984.6926184148</v>
      </c>
      <c r="B321" s="60">
        <f>IF($A$64&lt;=B285,IF($B$64&gt;=B285,ABS(B320),0),0)</f>
        <v>2917.1063854607983</v>
      </c>
      <c r="C321" s="60">
        <f t="shared" ref="C321" si="303">IF($A$64&lt;=C285,IF($B$64&gt;=C285,ABS(C320),0),0)</f>
        <v>2909.6259240857771</v>
      </c>
      <c r="D321" s="60">
        <f t="shared" ref="D321" si="304">IF($A$64&lt;=D285,IF($B$64&gt;=D285,ABS(D320),0),0)</f>
        <v>2915.5346839996864</v>
      </c>
      <c r="E321" s="60">
        <f t="shared" ref="E321" si="305">IF($A$64&lt;=E285,IF($B$64&gt;=E285,ABS(E320),0),0)</f>
        <v>2934.2607635447052</v>
      </c>
      <c r="F321" s="60">
        <f t="shared" ref="F321" si="306">IF($A$64&lt;=F285,IF($B$64&gt;=F285,ABS(F320),0),0)</f>
        <v>3115.681578320432</v>
      </c>
      <c r="G321" s="60">
        <f t="shared" ref="G321" si="307">IF($A$64&lt;=G285,IF($B$64&gt;=G285,ABS(G320),0),0)</f>
        <v>5014.7285000972524</v>
      </c>
      <c r="H321" s="60">
        <f t="shared" ref="H321" si="308">IF($A$64&lt;=H285,IF($B$64&gt;=H285,ABS(H320),0),0)</f>
        <v>4670.9763164191309</v>
      </c>
      <c r="I321" s="60">
        <f t="shared" ref="I321" si="309">IF($A$64&lt;=I285,IF($B$64&gt;=I285,ABS(I320),0),0)</f>
        <v>6367.8956742365935</v>
      </c>
      <c r="J321" s="60">
        <f t="shared" ref="J321" si="310">IF($A$64&lt;=J285,IF($B$64&gt;=J285,ABS(J320),0),0)</f>
        <v>5903.1532098928965</v>
      </c>
      <c r="K321" s="60">
        <f t="shared" ref="K321" si="311">IF($A$64&lt;=K285,IF($B$64&gt;=K285,ABS(K320),0),0)</f>
        <v>8843.3976971986904</v>
      </c>
      <c r="L321" s="60">
        <f t="shared" ref="L321" si="312">IF($A$64&lt;=L285,IF($B$64&gt;=L285,ABS(L320),0),0)</f>
        <v>5326.2067017603513</v>
      </c>
      <c r="M321" s="60">
        <f t="shared" ref="M321" si="313">IF($A$64&lt;=M285,IF($B$64&gt;=M285,ABS(M320),0),0)</f>
        <v>3011.7582574855437</v>
      </c>
      <c r="N321" s="60">
        <f t="shared" ref="N321" si="314">IF($A$64&lt;=N285,IF($B$64&gt;=N285,ABS(N320),0),0)</f>
        <v>55365.727175634456</v>
      </c>
      <c r="O321" s="60">
        <f t="shared" ref="O321" si="315">IF($A$64&lt;=O285,IF($B$64&gt;=O285,ABS(O320),0),0)</f>
        <v>634304.26322950143</v>
      </c>
      <c r="P321" s="60">
        <f t="shared" ref="P321" si="316">IF($A$64&lt;=P285,IF($B$64&gt;=P285,ABS(P320),0),0)</f>
        <v>1672663.2718939323</v>
      </c>
      <c r="Q321" s="60">
        <f t="shared" ref="Q321" si="317">IF($A$64&lt;=Q285,IF($B$64&gt;=Q285,ABS(Q320),0),0)</f>
        <v>2507560.9773197225</v>
      </c>
      <c r="R321" s="60">
        <f t="shared" ref="R321" si="318">IF($A$64&lt;=R285,IF($B$64&gt;=R285,ABS(R320),0),0)</f>
        <v>2329338.5701634004</v>
      </c>
      <c r="S321" s="60">
        <f t="shared" ref="S321" si="319">IF($A$64&lt;=S285,IF($B$64&gt;=S285,ABS(S320),0),0)</f>
        <v>1335501.6761124656</v>
      </c>
      <c r="T321" s="60">
        <f t="shared" ref="T321" si="320">IF($A$64&lt;=T285,IF($B$64&gt;=T285,ABS(T320),0),0)</f>
        <v>437385.74892126309</v>
      </c>
      <c r="U321" s="60">
        <f t="shared" ref="U321" si="321">IF($A$64&lt;=U285,IF($B$64&gt;=U285,ABS(U320),0),0)</f>
        <v>96294.139613779204</v>
      </c>
      <c r="V321" s="60">
        <f t="shared" ref="V321" si="322">IF($A$64&lt;=V285,IF($B$64&gt;=V285,ABS(V320),0),0)</f>
        <v>19796.512173085044</v>
      </c>
      <c r="W321" s="60">
        <f t="shared" ref="W321" si="323">IF($A$64&lt;=W285,IF($B$64&gt;=W285,ABS(W320),0),0)</f>
        <v>1908.637003467411</v>
      </c>
      <c r="X321" s="60">
        <f t="shared" ref="X321" si="324">IF($A$64&lt;=X285,IF($B$64&gt;=X285,ABS(X320),0),0)</f>
        <v>287.31574217927226</v>
      </c>
      <c r="Y321" s="60">
        <f t="shared" ref="Y321" si="325">IF($A$64&lt;=Y285,IF($B$64&gt;=Y285,ABS(Y320),0),0)</f>
        <v>26.784136217326612</v>
      </c>
      <c r="Z321" s="60">
        <f t="shared" ref="Z321" si="326">IF($A$64&lt;=Z285,IF($B$64&gt;=Z285,ABS(Z320),0),0)</f>
        <v>24.493206668551974</v>
      </c>
      <c r="AA321" s="60">
        <f t="shared" ref="AA321" si="327">IF($A$64&lt;=AA285,IF($B$64&gt;=AA285,ABS(AA320),0),0)</f>
        <v>13.404999761159731</v>
      </c>
      <c r="AB321" s="60">
        <f t="shared" ref="AB321" si="328">IF($A$64&lt;=AB285,IF($B$64&gt;=AB285,ABS(AB320),0),0)</f>
        <v>774.65083994160545</v>
      </c>
      <c r="AC321" s="60">
        <f t="shared" ref="AC321" si="329">IF($A$64&lt;=AC285,IF($B$64&gt;=AC285,ABS(AC320),0),0)</f>
        <v>1292.319754551293</v>
      </c>
      <c r="AD321" s="60">
        <f t="shared" ref="AD321" si="330">IF($A$64&lt;=AD285,IF($B$64&gt;=AD285,ABS(AD320),0),0)</f>
        <v>1193.5754977951981</v>
      </c>
      <c r="AE321" s="60">
        <f t="shared" ref="AE321" si="331">IF($A$64&lt;=AE285,IF($B$64&gt;=AE285,ABS(AE320),0),0)</f>
        <v>1192.0994465622562</v>
      </c>
      <c r="AF321" s="60">
        <f t="shared" ref="AF321" si="332">IF($A$64&lt;=AF285,IF($B$64&gt;=AF285,ABS(AF320),0),0)</f>
        <v>1130.1996959841663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6701.1823482950258</v>
      </c>
      <c r="C326" s="27">
        <f t="shared" ref="C326:AF326" si="333">($C$17+SUM(C327:C357))*$B$51</f>
        <v>6498.9686117063593</v>
      </c>
      <c r="D326" s="27">
        <f t="shared" si="333"/>
        <v>6247.9936132618895</v>
      </c>
      <c r="E326" s="27">
        <f t="shared" si="333"/>
        <v>5847.9191288755228</v>
      </c>
      <c r="F326" s="27">
        <f t="shared" si="333"/>
        <v>5055.1974858423</v>
      </c>
      <c r="G326" s="27">
        <f t="shared" si="333"/>
        <v>4179.0699838260953</v>
      </c>
      <c r="H326" s="27">
        <f t="shared" si="333"/>
        <v>3485.0684376577751</v>
      </c>
      <c r="I326" s="27">
        <f t="shared" si="333"/>
        <v>2943.9814881538628</v>
      </c>
      <c r="J326" s="27">
        <f t="shared" si="333"/>
        <v>2498.7015019217934</v>
      </c>
      <c r="K326" s="27">
        <f t="shared" si="333"/>
        <v>2015.8262040810584</v>
      </c>
      <c r="L326" s="27">
        <f t="shared" si="333"/>
        <v>1529.9842530535718</v>
      </c>
      <c r="M326" s="27">
        <f t="shared" si="333"/>
        <v>1025.4063647635517</v>
      </c>
      <c r="N326" s="27">
        <f t="shared" si="333"/>
        <v>597.47391837889859</v>
      </c>
      <c r="O326" s="27">
        <f t="shared" si="333"/>
        <v>339.45569273865289</v>
      </c>
      <c r="P326" s="27">
        <f t="shared" si="333"/>
        <v>184.46847065047439</v>
      </c>
      <c r="Q326" s="27">
        <f t="shared" si="333"/>
        <v>120.55059491220264</v>
      </c>
      <c r="R326" s="27">
        <f t="shared" si="333"/>
        <v>102.13258584600094</v>
      </c>
      <c r="S326" s="27">
        <f t="shared" si="333"/>
        <v>82.05609291325068</v>
      </c>
      <c r="T326" s="27">
        <f t="shared" si="333"/>
        <v>56.758492665155181</v>
      </c>
      <c r="U326" s="27">
        <f t="shared" si="333"/>
        <v>56.683117976827191</v>
      </c>
      <c r="V326" s="27">
        <f t="shared" si="333"/>
        <v>56.683117976827191</v>
      </c>
      <c r="W326" s="27">
        <f t="shared" si="333"/>
        <v>56.683117976827191</v>
      </c>
      <c r="X326" s="27">
        <f t="shared" si="333"/>
        <v>56.683117976827191</v>
      </c>
      <c r="Y326" s="27">
        <f t="shared" si="333"/>
        <v>56.683117976827191</v>
      </c>
      <c r="Z326" s="27">
        <f t="shared" si="333"/>
        <v>56.683117976827191</v>
      </c>
      <c r="AA326" s="27">
        <f t="shared" si="333"/>
        <v>56.683117976827191</v>
      </c>
      <c r="AB326" s="27">
        <f t="shared" si="333"/>
        <v>56.683117976827191</v>
      </c>
      <c r="AC326" s="27">
        <f t="shared" si="333"/>
        <v>56.683117976827191</v>
      </c>
      <c r="AD326" s="27">
        <f t="shared" si="333"/>
        <v>56.683117976827191</v>
      </c>
      <c r="AE326" s="27">
        <f t="shared" si="333"/>
        <v>56.683117976827191</v>
      </c>
      <c r="AF326" s="27">
        <f t="shared" si="333"/>
        <v>56.683117976827191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7.4914644939773696E-287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3.5164538591830185E-28</v>
      </c>
      <c r="C338" s="3">
        <f t="shared" si="345"/>
        <v>3.5766138327932511E-259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1.2990674612028898E-4</v>
      </c>
      <c r="C339" s="3">
        <f t="shared" si="346"/>
        <v>1.8887502994237579E-25</v>
      </c>
      <c r="D339" s="3">
        <f t="shared" si="346"/>
        <v>7.9726547985300326E-234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1.6015725046573864E-2</v>
      </c>
      <c r="C340" s="3">
        <f t="shared" si="347"/>
        <v>2.1126843620501509E-4</v>
      </c>
      <c r="D340" s="3">
        <f t="shared" si="347"/>
        <v>3.3706584785381607E-23</v>
      </c>
      <c r="E340" s="3">
        <f t="shared" si="347"/>
        <v>3.601770911466201E-211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3.1306610091368446E-2</v>
      </c>
      <c r="C341" s="3">
        <f t="shared" si="348"/>
        <v>2.118704482717065E-2</v>
      </c>
      <c r="D341" s="3">
        <f t="shared" si="348"/>
        <v>4.2698615819559223E-4</v>
      </c>
      <c r="E341" s="3">
        <f t="shared" si="348"/>
        <v>4.7189775063442481E-21</v>
      </c>
      <c r="F341" s="3">
        <f t="shared" si="348"/>
        <v>1.2828888015084315E-190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3.3152085837906541E-2</v>
      </c>
      <c r="C342" s="3">
        <f t="shared" si="349"/>
        <v>3.2004763707554833E-2</v>
      </c>
      <c r="D342" s="3">
        <f t="shared" si="349"/>
        <v>2.250361526692559E-2</v>
      </c>
      <c r="E342" s="3">
        <f t="shared" si="349"/>
        <v>6.6470506189824784E-4</v>
      </c>
      <c r="F342" s="3">
        <f t="shared" si="349"/>
        <v>3.3604381269944807E-19</v>
      </c>
      <c r="G342" s="3">
        <f t="shared" si="349"/>
        <v>3.6649248857133145E-172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0.10751602738548362</v>
      </c>
      <c r="C343" s="3">
        <f t="shared" si="350"/>
        <v>0.10717496781521196</v>
      </c>
      <c r="D343" s="3">
        <f t="shared" si="350"/>
        <v>0.10382331393381442</v>
      </c>
      <c r="E343" s="3">
        <f t="shared" si="350"/>
        <v>7.5563164841227631E-2</v>
      </c>
      <c r="F343" s="3">
        <f t="shared" si="350"/>
        <v>3.1511034624189913E-3</v>
      </c>
      <c r="G343" s="3">
        <f t="shared" si="350"/>
        <v>5.0117326830209768E-17</v>
      </c>
      <c r="H343" s="3">
        <f t="shared" si="350"/>
        <v>5.190871209491958E-155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0.13354750997495257</v>
      </c>
      <c r="C344" s="3">
        <f t="shared" si="351"/>
        <v>0.13350923922939897</v>
      </c>
      <c r="D344" s="3">
        <f t="shared" si="351"/>
        <v>0.13312713445476013</v>
      </c>
      <c r="E344" s="3">
        <f t="shared" si="351"/>
        <v>0.12936572054813025</v>
      </c>
      <c r="F344" s="3">
        <f t="shared" si="351"/>
        <v>9.7128233510216586E-2</v>
      </c>
      <c r="G344" s="3">
        <f t="shared" si="351"/>
        <v>5.5285122241620355E-3</v>
      </c>
      <c r="H344" s="3">
        <f t="shared" si="351"/>
        <v>1.9734953804239846E-15</v>
      </c>
      <c r="I344" s="3">
        <f t="shared" si="351"/>
        <v>6.6300150373784354E-140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0.1027662402978783</v>
      </c>
      <c r="C345" s="3">
        <f t="shared" si="352"/>
        <v>0.10276358333915174</v>
      </c>
      <c r="D345" s="3">
        <f t="shared" si="352"/>
        <v>0.10273701752976611</v>
      </c>
      <c r="E345" s="3">
        <f t="shared" si="352"/>
        <v>0.10247173686275261</v>
      </c>
      <c r="F345" s="3">
        <f t="shared" si="352"/>
        <v>9.9856314304391555E-2</v>
      </c>
      <c r="G345" s="3">
        <f t="shared" si="352"/>
        <v>7.710630291364591E-2</v>
      </c>
      <c r="H345" s="3">
        <f t="shared" si="352"/>
        <v>5.8107656306102973E-3</v>
      </c>
      <c r="I345" s="3">
        <f t="shared" si="352"/>
        <v>3.4329553042347797E-14</v>
      </c>
      <c r="J345" s="3">
        <f t="shared" si="352"/>
        <v>1.7783451267694382E-126</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8.230867577070719E-2</v>
      </c>
      <c r="C346" s="3">
        <f t="shared" si="353"/>
        <v>8.2308483801463786E-2</v>
      </c>
      <c r="D346" s="3">
        <f t="shared" si="353"/>
        <v>8.2306564133654767E-2</v>
      </c>
      <c r="E346" s="3">
        <f t="shared" si="353"/>
        <v>8.2287369917858399E-2</v>
      </c>
      <c r="F346" s="3">
        <f t="shared" si="353"/>
        <v>8.2095673776918954E-2</v>
      </c>
      <c r="G346" s="3">
        <f t="shared" si="353"/>
        <v>8.0203103086239499E-2</v>
      </c>
      <c r="H346" s="3">
        <f t="shared" si="353"/>
        <v>6.3518491012735226E-2</v>
      </c>
      <c r="I346" s="3">
        <f t="shared" si="353"/>
        <v>6.1658105647212982E-3</v>
      </c>
      <c r="J346" s="3">
        <f t="shared" si="353"/>
        <v>4.5802610537623867E-13</v>
      </c>
      <c r="K346" s="3">
        <f t="shared" si="353"/>
        <v>2.3436392942537304E-114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3.7013791170508334E-2</v>
      </c>
      <c r="C347" s="3">
        <f t="shared" si="354"/>
        <v>3.7013783383033412E-2</v>
      </c>
      <c r="D347" s="3">
        <f t="shared" si="354"/>
        <v>3.7013705508374371E-2</v>
      </c>
      <c r="E347" s="3">
        <f t="shared" si="354"/>
        <v>3.701292677079529E-2</v>
      </c>
      <c r="F347" s="3">
        <f t="shared" si="354"/>
        <v>3.7005140296067128E-2</v>
      </c>
      <c r="G347" s="3">
        <f t="shared" si="354"/>
        <v>3.6927365584944014E-2</v>
      </c>
      <c r="H347" s="3">
        <f t="shared" si="354"/>
        <v>3.6158552392951376E-2</v>
      </c>
      <c r="I347" s="3">
        <f t="shared" si="354"/>
        <v>2.929801028096626E-2</v>
      </c>
      <c r="J347" s="3">
        <f t="shared" si="354"/>
        <v>3.5736255617674984E-3</v>
      </c>
      <c r="K347" s="3">
        <f t="shared" si="354"/>
        <v>2.6050630243121536E-12</v>
      </c>
      <c r="L347" s="3">
        <f t="shared" si="354"/>
        <v>1.1038501520519588E-103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5.9919400415947975E-2</v>
      </c>
      <c r="C348" s="3">
        <f t="shared" si="355"/>
        <v>5.9919396929257109E-2</v>
      </c>
      <c r="D348" s="3">
        <f t="shared" si="355"/>
        <v>5.99193620623596E-2</v>
      </c>
      <c r="E348" s="3">
        <f t="shared" si="355"/>
        <v>5.9919013394500405E-2</v>
      </c>
      <c r="F348" s="3">
        <f t="shared" si="355"/>
        <v>5.9915526827494903E-2</v>
      </c>
      <c r="G348" s="3">
        <f t="shared" si="355"/>
        <v>5.9880672313690465E-2</v>
      </c>
      <c r="H348" s="3">
        <f t="shared" si="355"/>
        <v>5.9533240402470163E-2</v>
      </c>
      <c r="I348" s="3">
        <f t="shared" si="355"/>
        <v>5.6167884024054981E-2</v>
      </c>
      <c r="J348" s="3">
        <f t="shared" si="355"/>
        <v>3.1388710691432418E-2</v>
      </c>
      <c r="K348" s="3">
        <f t="shared" si="355"/>
        <v>9.3245442890016456E-5</v>
      </c>
      <c r="L348" s="3">
        <f t="shared" si="355"/>
        <v>4.9907866531416544E-30</v>
      </c>
      <c r="M348" s="3">
        <f t="shared" si="355"/>
        <v>9.6290378549015422E-283</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6.4670451942602278E-2</v>
      </c>
      <c r="C349" s="3">
        <f t="shared" si="356"/>
        <v>6.4670451566286966E-2</v>
      </c>
      <c r="D349" s="3">
        <f t="shared" si="356"/>
        <v>6.467044780313394E-2</v>
      </c>
      <c r="E349" s="3">
        <f t="shared" si="356"/>
        <v>6.4670410171615761E-2</v>
      </c>
      <c r="F349" s="3">
        <f t="shared" si="356"/>
        <v>6.467003385763824E-2</v>
      </c>
      <c r="G349" s="3">
        <f t="shared" si="356"/>
        <v>6.4666270838297318E-2</v>
      </c>
      <c r="H349" s="3">
        <f t="shared" si="356"/>
        <v>6.4628652685725541E-2</v>
      </c>
      <c r="I349" s="3">
        <f t="shared" si="356"/>
        <v>6.4253672655365038E-2</v>
      </c>
      <c r="J349" s="3">
        <f t="shared" si="356"/>
        <v>6.0621474816888878E-2</v>
      </c>
      <c r="K349" s="3">
        <f t="shared" si="356"/>
        <v>3.3877543506897236E-2</v>
      </c>
      <c r="L349" s="3">
        <f t="shared" si="356"/>
        <v>1.006389392473092E-4</v>
      </c>
      <c r="M349" s="3">
        <f t="shared" si="356"/>
        <v>5.386509616070348E-30</v>
      </c>
      <c r="N349" s="3">
        <f t="shared" si="356"/>
        <v>1.0392530998351147E-282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6.757620799447743E-2</v>
      </c>
      <c r="C350" s="3">
        <f t="shared" si="357"/>
        <v>6.7576207955155052E-2</v>
      </c>
      <c r="D350" s="3">
        <f t="shared" si="357"/>
        <v>6.7576207561931237E-2</v>
      </c>
      <c r="E350" s="3">
        <f t="shared" si="357"/>
        <v>6.7576203629693202E-2</v>
      </c>
      <c r="F350" s="3">
        <f t="shared" si="357"/>
        <v>6.7576164307325368E-2</v>
      </c>
      <c r="G350" s="3">
        <f t="shared" si="357"/>
        <v>6.7575771084905589E-2</v>
      </c>
      <c r="H350" s="3">
        <f t="shared" si="357"/>
        <v>6.7571838986553362E-2</v>
      </c>
      <c r="I350" s="3">
        <f t="shared" si="357"/>
        <v>6.7532530584884301E-2</v>
      </c>
      <c r="J350" s="3">
        <f t="shared" si="357"/>
        <v>6.7140702048829506E-2</v>
      </c>
      <c r="K350" s="3">
        <f t="shared" si="357"/>
        <v>6.334530323694279E-2</v>
      </c>
      <c r="L350" s="3">
        <f t="shared" si="357"/>
        <v>3.5399720525592794E-2</v>
      </c>
      <c r="M350" s="3">
        <f t="shared" si="357"/>
        <v>1.0516082202422789E-4</v>
      </c>
      <c r="N350" s="3">
        <f t="shared" si="357"/>
        <v>5.6285348723258858E-30</v>
      </c>
      <c r="O350" s="3">
        <f t="shared" si="357"/>
        <v>1.0859485511996761E-282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7.4650772379022193E-2</v>
      </c>
      <c r="C351" s="3">
        <f t="shared" si="358"/>
        <v>7.4650772374678293E-2</v>
      </c>
      <c r="D351" s="3">
        <f t="shared" si="358"/>
        <v>7.4650772331239235E-2</v>
      </c>
      <c r="E351" s="3">
        <f t="shared" si="358"/>
        <v>7.4650771896848753E-2</v>
      </c>
      <c r="F351" s="3">
        <f t="shared" si="358"/>
        <v>7.4650767552944072E-2</v>
      </c>
      <c r="G351" s="3">
        <f t="shared" si="358"/>
        <v>7.4650724113911049E-2</v>
      </c>
      <c r="H351" s="3">
        <f t="shared" si="358"/>
        <v>7.4650289724971175E-2</v>
      </c>
      <c r="I351" s="3">
        <f t="shared" si="358"/>
        <v>7.4645945974592773E-2</v>
      </c>
      <c r="J351" s="3">
        <f t="shared" si="358"/>
        <v>7.460252236985826E-2</v>
      </c>
      <c r="K351" s="3">
        <f t="shared" si="358"/>
        <v>7.4169673239624145E-2</v>
      </c>
      <c r="L351" s="3">
        <f t="shared" si="358"/>
        <v>6.9976933499027366E-2</v>
      </c>
      <c r="M351" s="3">
        <f t="shared" si="358"/>
        <v>3.9105723116325479E-2</v>
      </c>
      <c r="N351" s="3">
        <f t="shared" si="358"/>
        <v>1.1617012585711007E-4</v>
      </c>
      <c r="O351" s="3">
        <f t="shared" si="358"/>
        <v>6.2177871180826949E-30</v>
      </c>
      <c r="P351" s="3">
        <f t="shared" si="358"/>
        <v>1.1996366844502987E-282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4.2437426023724412E-2</v>
      </c>
      <c r="C352" s="3">
        <f t="shared" si="359"/>
        <v>4.243742602347747E-2</v>
      </c>
      <c r="D352" s="3">
        <f t="shared" si="359"/>
        <v>4.243742602100805E-2</v>
      </c>
      <c r="E352" s="3">
        <f t="shared" si="359"/>
        <v>4.2437425996313845E-2</v>
      </c>
      <c r="F352" s="3">
        <f t="shared" si="359"/>
        <v>4.2437425749371802E-2</v>
      </c>
      <c r="G352" s="3">
        <f t="shared" si="359"/>
        <v>4.2437423279951487E-2</v>
      </c>
      <c r="H352" s="3">
        <f t="shared" si="359"/>
        <v>4.2437398585756222E-2</v>
      </c>
      <c r="I352" s="3">
        <f t="shared" si="359"/>
        <v>4.2437151644593871E-2</v>
      </c>
      <c r="J352" s="3">
        <f t="shared" si="359"/>
        <v>4.2434682312000607E-2</v>
      </c>
      <c r="K352" s="3">
        <f t="shared" si="359"/>
        <v>4.2409996887391242E-2</v>
      </c>
      <c r="L352" s="3">
        <f t="shared" si="359"/>
        <v>4.2163931075099671E-2</v>
      </c>
      <c r="M352" s="3">
        <f t="shared" si="359"/>
        <v>3.978044491806601E-2</v>
      </c>
      <c r="N352" s="3">
        <f t="shared" si="359"/>
        <v>2.2230797873298475E-2</v>
      </c>
      <c r="O352" s="3">
        <f t="shared" si="359"/>
        <v>6.6040323027984595E-5</v>
      </c>
      <c r="P352" s="3">
        <f t="shared" si="359"/>
        <v>3.5346838678860803E-30</v>
      </c>
      <c r="Q352" s="3">
        <f t="shared" si="359"/>
        <v>6.81968738286241E-283</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2.9362775672929147E-2</v>
      </c>
      <c r="C353" s="3">
        <f t="shared" si="360"/>
        <v>2.936277567291206E-2</v>
      </c>
      <c r="D353" s="3">
        <f t="shared" si="360"/>
        <v>2.93627756727412E-2</v>
      </c>
      <c r="E353" s="3">
        <f t="shared" si="360"/>
        <v>2.9362775671032591E-2</v>
      </c>
      <c r="F353" s="3">
        <f t="shared" si="360"/>
        <v>2.9362775653946481E-2</v>
      </c>
      <c r="G353" s="3">
        <f t="shared" si="360"/>
        <v>2.936277548308542E-2</v>
      </c>
      <c r="H353" s="3">
        <f t="shared" si="360"/>
        <v>2.9362773774474847E-2</v>
      </c>
      <c r="I353" s="3">
        <f t="shared" si="360"/>
        <v>2.936275668837458E-2</v>
      </c>
      <c r="J353" s="3">
        <f t="shared" si="360"/>
        <v>2.9362585827918754E-2</v>
      </c>
      <c r="K353" s="3">
        <f t="shared" si="360"/>
        <v>2.9360877278042114E-2</v>
      </c>
      <c r="L353" s="3">
        <f t="shared" si="360"/>
        <v>2.9343797246260964E-2</v>
      </c>
      <c r="M353" s="3">
        <f t="shared" si="360"/>
        <v>2.917354245175361E-2</v>
      </c>
      <c r="N353" s="3">
        <f t="shared" si="360"/>
        <v>2.7524390372894128E-2</v>
      </c>
      <c r="O353" s="3">
        <f t="shared" si="360"/>
        <v>1.5381656998202316E-2</v>
      </c>
      <c r="P353" s="3">
        <f t="shared" si="360"/>
        <v>4.5693798425788169E-5</v>
      </c>
      <c r="Q353" s="3">
        <f t="shared" si="360"/>
        <v>2.4456744720892808E-30</v>
      </c>
      <c r="R353" s="3">
        <f t="shared" si="360"/>
        <v>4.7185932217102857E-283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1.3317924951321888E-2</v>
      </c>
      <c r="C354" s="3">
        <f t="shared" si="361"/>
        <v>1.3317924951321112E-2</v>
      </c>
      <c r="D354" s="3">
        <f t="shared" si="361"/>
        <v>1.3317924951313362E-2</v>
      </c>
      <c r="E354" s="3">
        <f t="shared" si="361"/>
        <v>1.3317924951235866E-2</v>
      </c>
      <c r="F354" s="3">
        <f t="shared" si="361"/>
        <v>1.3317924950460899E-2</v>
      </c>
      <c r="G354" s="3">
        <f t="shared" si="361"/>
        <v>1.3317924942711241E-2</v>
      </c>
      <c r="H354" s="3">
        <f t="shared" si="361"/>
        <v>1.3317924865214657E-2</v>
      </c>
      <c r="I354" s="3">
        <f t="shared" si="361"/>
        <v>1.3317924090248841E-2</v>
      </c>
      <c r="J354" s="3">
        <f t="shared" si="361"/>
        <v>1.3317916340593169E-2</v>
      </c>
      <c r="K354" s="3">
        <f t="shared" si="361"/>
        <v>1.3317838844284471E-2</v>
      </c>
      <c r="L354" s="3">
        <f t="shared" si="361"/>
        <v>1.3317063905999134E-2</v>
      </c>
      <c r="M354" s="3">
        <f t="shared" si="361"/>
        <v>1.3309317002778494E-2</v>
      </c>
      <c r="N354" s="3">
        <f t="shared" si="361"/>
        <v>1.3232095400805012E-2</v>
      </c>
      <c r="O354" s="3">
        <f t="shared" si="361"/>
        <v>1.2484097872771084E-2</v>
      </c>
      <c r="P354" s="3">
        <f t="shared" si="361"/>
        <v>6.9765800008438437E-3</v>
      </c>
      <c r="Q354" s="3">
        <f t="shared" si="361"/>
        <v>2.0725103953182731E-5</v>
      </c>
      <c r="R354" s="3">
        <f t="shared" si="361"/>
        <v>1.1092721423021279E-30</v>
      </c>
      <c r="S354" s="3">
        <f t="shared" si="361"/>
        <v>2.1401883494443206E-283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4.0600750332731653E-3</v>
      </c>
      <c r="C355" s="3">
        <f t="shared" si="362"/>
        <v>4.0600750332731418E-3</v>
      </c>
      <c r="D355" s="3">
        <f t="shared" si="362"/>
        <v>4.0600750332729059E-3</v>
      </c>
      <c r="E355" s="3">
        <f t="shared" si="362"/>
        <v>4.0600750332705424E-3</v>
      </c>
      <c r="F355" s="3">
        <f t="shared" si="362"/>
        <v>4.0600750332469172E-3</v>
      </c>
      <c r="G355" s="3">
        <f t="shared" si="362"/>
        <v>4.0600750330106634E-3</v>
      </c>
      <c r="H355" s="3">
        <f t="shared" si="362"/>
        <v>4.0600750306481184E-3</v>
      </c>
      <c r="I355" s="3">
        <f t="shared" si="362"/>
        <v>4.0600750070226696E-3</v>
      </c>
      <c r="J355" s="3">
        <f t="shared" si="362"/>
        <v>4.0600747707681953E-3</v>
      </c>
      <c r="K355" s="3">
        <f t="shared" si="362"/>
        <v>4.0600724082242084E-3</v>
      </c>
      <c r="L355" s="3">
        <f t="shared" si="362"/>
        <v>4.0600487828599515E-3</v>
      </c>
      <c r="M355" s="3">
        <f t="shared" si="362"/>
        <v>4.0598125367783643E-3</v>
      </c>
      <c r="N355" s="3">
        <f t="shared" si="362"/>
        <v>4.0574508318981925E-3</v>
      </c>
      <c r="O355" s="3">
        <f t="shared" si="362"/>
        <v>4.0339092141651106E-3</v>
      </c>
      <c r="P355" s="3">
        <f t="shared" si="362"/>
        <v>3.8058762360832555E-3</v>
      </c>
      <c r="Q355" s="3">
        <f t="shared" si="362"/>
        <v>2.1268657379126714E-3</v>
      </c>
      <c r="R355" s="3">
        <f t="shared" si="362"/>
        <v>6.3182122913191321E-6</v>
      </c>
      <c r="S355" s="3">
        <f t="shared" si="362"/>
        <v>3.3817040916867892E-31</v>
      </c>
      <c r="T355" s="3">
        <f t="shared" si="362"/>
        <v>6.5245339013706261E-284</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6.6069827735831333E-3</v>
      </c>
      <c r="C357" s="3">
        <f t="shared" si="364"/>
        <v>6.6069827735831324E-3</v>
      </c>
      <c r="D357" s="3">
        <f t="shared" si="364"/>
        <v>6.6069827735831289E-3</v>
      </c>
      <c r="E357" s="3">
        <f t="shared" si="364"/>
        <v>6.6069827735830908E-3</v>
      </c>
      <c r="F357" s="3">
        <f t="shared" si="364"/>
        <v>6.6069827735827065E-3</v>
      </c>
      <c r="G357" s="3">
        <f t="shared" si="364"/>
        <v>6.6069827735788615E-3</v>
      </c>
      <c r="H357" s="3">
        <f t="shared" si="364"/>
        <v>6.6069827735404157E-3</v>
      </c>
      <c r="I357" s="3">
        <f t="shared" si="364"/>
        <v>6.6069827731559576E-3</v>
      </c>
      <c r="J357" s="3">
        <f t="shared" si="364"/>
        <v>6.606982769311375E-3</v>
      </c>
      <c r="K357" s="3">
        <f t="shared" si="364"/>
        <v>6.6069827308655512E-3</v>
      </c>
      <c r="L357" s="3">
        <f t="shared" si="364"/>
        <v>6.6069823464073264E-3</v>
      </c>
      <c r="M357" s="3">
        <f t="shared" si="364"/>
        <v>6.6069785018263031E-3</v>
      </c>
      <c r="N357" s="3">
        <f t="shared" si="364"/>
        <v>6.6069400561391215E-3</v>
      </c>
      <c r="O357" s="3">
        <f t="shared" si="364"/>
        <v>6.6065556115713284E-3</v>
      </c>
      <c r="P357" s="3">
        <f t="shared" si="364"/>
        <v>6.6027123960317857E-3</v>
      </c>
      <c r="Q357" s="3">
        <f t="shared" si="364"/>
        <v>6.5644029900355731E-3</v>
      </c>
      <c r="R357" s="3">
        <f t="shared" si="364"/>
        <v>6.193323651439933E-3</v>
      </c>
      <c r="S357" s="3">
        <f t="shared" si="364"/>
        <v>3.4610604919743482E-3</v>
      </c>
      <c r="T357" s="3">
        <f t="shared" si="364"/>
        <v>1.0281662143306036E-5</v>
      </c>
      <c r="U357" s="3">
        <f t="shared" si="364"/>
        <v>5.5030659522362955E-31</v>
      </c>
      <c r="V357" s="3">
        <f t="shared" si="364"/>
        <v>1.0617410451467031E-283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0.36730397544816584</v>
      </c>
      <c r="B358" s="80">
        <f>IF($A$64&lt;=B324,IF($B$64&gt;=B324,ABS((B326-B325)/B325),0),0)</f>
        <v>1.7528841354231335E-2</v>
      </c>
      <c r="C358" s="80">
        <f t="shared" ref="C358:AF358" si="365">IF($A$64&lt;=C324,IF($B$64&gt;=C324,ABS((C326-C325)/C325),0),0)</f>
        <v>2.5982979617921488E-2</v>
      </c>
      <c r="D358" s="80">
        <f t="shared" si="365"/>
        <v>2.4645660696803427E-2</v>
      </c>
      <c r="E358" s="80">
        <f t="shared" si="365"/>
        <v>3.8756855886545763E-3</v>
      </c>
      <c r="F358" s="80">
        <f t="shared" si="365"/>
        <v>8.8650008291847257E-2</v>
      </c>
      <c r="G358" s="80">
        <f t="shared" si="365"/>
        <v>0.20509688705140697</v>
      </c>
      <c r="H358" s="80">
        <f t="shared" si="365"/>
        <v>0.29500601954486988</v>
      </c>
      <c r="I358" s="80">
        <f t="shared" si="365"/>
        <v>0.35626282712142632</v>
      </c>
      <c r="J358" s="80">
        <f t="shared" si="365"/>
        <v>0.38746416740222783</v>
      </c>
      <c r="K358" s="80">
        <f t="shared" si="365"/>
        <v>0.41726491715202146</v>
      </c>
      <c r="L358" s="80">
        <f t="shared" si="365"/>
        <v>0.43395018717074985</v>
      </c>
      <c r="M358" s="80">
        <f t="shared" si="365"/>
        <v>0.44032676070061771</v>
      </c>
      <c r="N358" s="80">
        <f t="shared" si="365"/>
        <v>0.45936804314733165</v>
      </c>
      <c r="O358" s="80">
        <f t="shared" si="365"/>
        <v>0.46196602457882174</v>
      </c>
      <c r="P358" s="80">
        <f t="shared" si="365"/>
        <v>0.4793253242256974</v>
      </c>
      <c r="Q358" s="80">
        <f t="shared" si="365"/>
        <v>0.51434659436051877</v>
      </c>
      <c r="R358" s="80">
        <f t="shared" si="365"/>
        <v>0.52402331623042309</v>
      </c>
      <c r="S358" s="80">
        <f t="shared" si="365"/>
        <v>0.55818716071663044</v>
      </c>
      <c r="T358" s="80">
        <f t="shared" si="365"/>
        <v>0.64098849022013682</v>
      </c>
      <c r="U358" s="80">
        <f t="shared" si="365"/>
        <v>0.57208685349295418</v>
      </c>
      <c r="V358" s="80">
        <f t="shared" si="365"/>
        <v>0.50984691131391635</v>
      </c>
      <c r="W358" s="80">
        <f t="shared" si="365"/>
        <v>0.46375334639366123</v>
      </c>
      <c r="X358" s="80">
        <f t="shared" si="365"/>
        <v>0.43185673885101239</v>
      </c>
      <c r="Y358" s="80">
        <f t="shared" si="365"/>
        <v>0.41054159325472372</v>
      </c>
      <c r="Z358" s="80">
        <f t="shared" si="365"/>
        <v>0.39610676112373377</v>
      </c>
      <c r="AA358" s="80">
        <f t="shared" si="365"/>
        <v>0.38642120338879726</v>
      </c>
      <c r="AB358" s="80">
        <f t="shared" si="365"/>
        <v>0.38472541292876694</v>
      </c>
      <c r="AC358" s="80">
        <f t="shared" si="365"/>
        <v>0.37769853959362737</v>
      </c>
      <c r="AD358" s="80">
        <f t="shared" si="365"/>
        <v>0.37633191285824136</v>
      </c>
      <c r="AE358" s="80">
        <f t="shared" si="365"/>
        <v>0.37221255309371126</v>
      </c>
      <c r="AF358" s="80">
        <f t="shared" si="365"/>
        <v>0.37058151742765766</v>
      </c>
    </row>
    <row r="359" spans="1:34" x14ac:dyDescent="0.25">
      <c r="B359" s="21">
        <f>(B326-B325)^2</f>
        <v>13326.491808894785</v>
      </c>
      <c r="C359" s="21">
        <f t="shared" ref="C359:AF359" si="366">(C326-C325)^2</f>
        <v>27088.594481715725</v>
      </c>
      <c r="D359" s="21">
        <f t="shared" si="366"/>
        <v>22584.718082086794</v>
      </c>
      <c r="E359" s="21">
        <f t="shared" si="366"/>
        <v>509.72967928710403</v>
      </c>
      <c r="F359" s="21">
        <f t="shared" si="366"/>
        <v>241803.96943064648</v>
      </c>
      <c r="G359" s="21">
        <f t="shared" si="366"/>
        <v>1162650.0911436512</v>
      </c>
      <c r="H359" s="21">
        <f t="shared" si="366"/>
        <v>2126735.8882751111</v>
      </c>
      <c r="I359" s="21">
        <f t="shared" si="366"/>
        <v>2654568.8430698765</v>
      </c>
      <c r="J359" s="21">
        <f t="shared" si="366"/>
        <v>2498209.4523223629</v>
      </c>
      <c r="K359" s="21">
        <f t="shared" si="366"/>
        <v>2083471.6043639954</v>
      </c>
      <c r="L359" s="21">
        <f t="shared" si="366"/>
        <v>1375765.3900417392</v>
      </c>
      <c r="M359" s="21">
        <f t="shared" si="366"/>
        <v>650838.28943981882</v>
      </c>
      <c r="N359" s="21">
        <f t="shared" si="366"/>
        <v>257724.69564506877</v>
      </c>
      <c r="O359" s="21">
        <f t="shared" si="366"/>
        <v>84950.680712387373</v>
      </c>
      <c r="P359" s="21">
        <f t="shared" si="366"/>
        <v>28838.464541463742</v>
      </c>
      <c r="Q359" s="21">
        <f t="shared" si="366"/>
        <v>16300.37425699155</v>
      </c>
      <c r="R359" s="21">
        <f t="shared" si="366"/>
        <v>12643.244021740089</v>
      </c>
      <c r="S359" s="21">
        <f t="shared" si="366"/>
        <v>10747.431579091242</v>
      </c>
      <c r="T359" s="21">
        <f t="shared" si="366"/>
        <v>10269.408389723687</v>
      </c>
      <c r="U359" s="21">
        <f t="shared" si="366"/>
        <v>5742.7530380590379</v>
      </c>
      <c r="V359" s="21">
        <f t="shared" si="366"/>
        <v>3476.3505295654641</v>
      </c>
      <c r="W359" s="21">
        <f t="shared" si="366"/>
        <v>2402.9923373034644</v>
      </c>
      <c r="X359" s="21">
        <f t="shared" si="366"/>
        <v>1856.3982281270758</v>
      </c>
      <c r="Y359" s="21">
        <f t="shared" si="366"/>
        <v>1558.5310468373325</v>
      </c>
      <c r="Z359" s="21">
        <f t="shared" si="366"/>
        <v>1382.3297003717485</v>
      </c>
      <c r="AA359" s="21">
        <f t="shared" si="366"/>
        <v>1274.3498545656828</v>
      </c>
      <c r="AB359" s="21">
        <f t="shared" si="366"/>
        <v>1256.2360633293861</v>
      </c>
      <c r="AC359" s="21">
        <f t="shared" si="366"/>
        <v>1183.5767732518384</v>
      </c>
      <c r="AD359" s="21">
        <f t="shared" si="366"/>
        <v>1169.8832288982476</v>
      </c>
      <c r="AE359" s="21">
        <f t="shared" si="366"/>
        <v>1129.4427969664443</v>
      </c>
      <c r="AF359" s="21">
        <f t="shared" si="366"/>
        <v>1113.7712173494581</v>
      </c>
      <c r="AG359" s="3"/>
      <c r="AH359" s="3"/>
    </row>
    <row r="360" spans="1:34" x14ac:dyDescent="0.25">
      <c r="A360" s="71">
        <f>SUM(B360:AF360)</f>
        <v>13302573.976100272</v>
      </c>
      <c r="B360" s="60">
        <f>IF($A$64&lt;=B324,IF($B$64&gt;=B324,ABS(B359),0),0)</f>
        <v>13326.491808894785</v>
      </c>
      <c r="C360" s="60">
        <f t="shared" ref="C360:AF360" si="367">IF($A$64&lt;=C324,IF($B$64&gt;=C324,ABS(C359),0),0)</f>
        <v>27088.594481715725</v>
      </c>
      <c r="D360" s="60">
        <f t="shared" si="367"/>
        <v>22584.718082086794</v>
      </c>
      <c r="E360" s="60">
        <f t="shared" si="367"/>
        <v>509.72967928710403</v>
      </c>
      <c r="F360" s="60">
        <f t="shared" si="367"/>
        <v>241803.96943064648</v>
      </c>
      <c r="G360" s="60">
        <f t="shared" si="367"/>
        <v>1162650.0911436512</v>
      </c>
      <c r="H360" s="60">
        <f t="shared" si="367"/>
        <v>2126735.8882751111</v>
      </c>
      <c r="I360" s="60">
        <f t="shared" si="367"/>
        <v>2654568.8430698765</v>
      </c>
      <c r="J360" s="60">
        <f t="shared" si="367"/>
        <v>2498209.4523223629</v>
      </c>
      <c r="K360" s="60">
        <f t="shared" si="367"/>
        <v>2083471.6043639954</v>
      </c>
      <c r="L360" s="60">
        <f t="shared" si="367"/>
        <v>1375765.3900417392</v>
      </c>
      <c r="M360" s="60">
        <f t="shared" si="367"/>
        <v>650838.28943981882</v>
      </c>
      <c r="N360" s="60">
        <f t="shared" si="367"/>
        <v>257724.69564506877</v>
      </c>
      <c r="O360" s="60">
        <f t="shared" si="367"/>
        <v>84950.680712387373</v>
      </c>
      <c r="P360" s="60">
        <f t="shared" si="367"/>
        <v>28838.464541463742</v>
      </c>
      <c r="Q360" s="60">
        <f t="shared" si="367"/>
        <v>16300.37425699155</v>
      </c>
      <c r="R360" s="60">
        <f t="shared" si="367"/>
        <v>12643.244021740089</v>
      </c>
      <c r="S360" s="60">
        <f t="shared" si="367"/>
        <v>10747.431579091242</v>
      </c>
      <c r="T360" s="60">
        <f t="shared" si="367"/>
        <v>10269.408389723687</v>
      </c>
      <c r="U360" s="60">
        <f t="shared" si="367"/>
        <v>5742.7530380590379</v>
      </c>
      <c r="V360" s="60">
        <f t="shared" si="367"/>
        <v>3476.3505295654641</v>
      </c>
      <c r="W360" s="60">
        <f t="shared" si="367"/>
        <v>2402.9923373034644</v>
      </c>
      <c r="X360" s="60">
        <f t="shared" si="367"/>
        <v>1856.3982281270758</v>
      </c>
      <c r="Y360" s="60">
        <f t="shared" si="367"/>
        <v>1558.5310468373325</v>
      </c>
      <c r="Z360" s="60">
        <f t="shared" si="367"/>
        <v>1382.3297003717485</v>
      </c>
      <c r="AA360" s="60">
        <f t="shared" si="367"/>
        <v>1274.3498545656828</v>
      </c>
      <c r="AB360" s="60">
        <f t="shared" si="367"/>
        <v>1256.2360633293861</v>
      </c>
      <c r="AC360" s="60">
        <f t="shared" si="367"/>
        <v>1183.5767732518384</v>
      </c>
      <c r="AD360" s="60">
        <f t="shared" si="367"/>
        <v>1169.8832288982476</v>
      </c>
      <c r="AE360" s="60">
        <f t="shared" si="367"/>
        <v>1129.4427969664443</v>
      </c>
      <c r="AF360" s="60">
        <f t="shared" si="367"/>
        <v>1113.7712173494581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6306.3560300284735</v>
      </c>
      <c r="C365" s="27">
        <f t="shared" ref="C365:AF365" si="368">($C$17+SUM(C366:C396))*$B$51</f>
        <v>5970.3322520139745</v>
      </c>
      <c r="D365" s="27">
        <f t="shared" si="368"/>
        <v>5244.959139426709</v>
      </c>
      <c r="E365" s="27">
        <f t="shared" si="368"/>
        <v>4371.859144459956</v>
      </c>
      <c r="F365" s="27">
        <f t="shared" si="368"/>
        <v>3641.9990390115545</v>
      </c>
      <c r="G365" s="27">
        <f t="shared" si="368"/>
        <v>3067.6793552231484</v>
      </c>
      <c r="H365" s="27">
        <f t="shared" si="368"/>
        <v>2627.7310404649734</v>
      </c>
      <c r="I365" s="27">
        <f t="shared" si="368"/>
        <v>2117.1306063163229</v>
      </c>
      <c r="J365" s="27">
        <f t="shared" si="368"/>
        <v>1636.1961361647443</v>
      </c>
      <c r="K365" s="27">
        <f t="shared" si="368"/>
        <v>1134.1698201800793</v>
      </c>
      <c r="L365" s="27">
        <f t="shared" si="368"/>
        <v>666.02942808906255</v>
      </c>
      <c r="M365" s="27">
        <f t="shared" si="368"/>
        <v>383.98398189780062</v>
      </c>
      <c r="N365" s="27">
        <f t="shared" si="368"/>
        <v>205.88882764527804</v>
      </c>
      <c r="O365" s="27">
        <f t="shared" si="368"/>
        <v>127.67378582202876</v>
      </c>
      <c r="P365" s="27">
        <f t="shared" si="368"/>
        <v>104.03168540771539</v>
      </c>
      <c r="Q365" s="27">
        <f t="shared" si="368"/>
        <v>89.959881095572882</v>
      </c>
      <c r="R365" s="27">
        <f t="shared" si="368"/>
        <v>57.817925945021855</v>
      </c>
      <c r="S365" s="27">
        <f t="shared" si="368"/>
        <v>56.683117976827191</v>
      </c>
      <c r="T365" s="27">
        <f t="shared" si="368"/>
        <v>56.683117976827191</v>
      </c>
      <c r="U365" s="27">
        <f t="shared" si="368"/>
        <v>56.683117976827191</v>
      </c>
      <c r="V365" s="27">
        <f t="shared" si="368"/>
        <v>56.683117976827191</v>
      </c>
      <c r="W365" s="27">
        <f t="shared" si="368"/>
        <v>56.683117976827191</v>
      </c>
      <c r="X365" s="27">
        <f t="shared" si="368"/>
        <v>56.683117976827191</v>
      </c>
      <c r="Y365" s="27">
        <f t="shared" si="368"/>
        <v>56.683117976827191</v>
      </c>
      <c r="Z365" s="27">
        <f t="shared" si="368"/>
        <v>56.683117976827191</v>
      </c>
      <c r="AA365" s="27">
        <f t="shared" si="368"/>
        <v>56.683117976827191</v>
      </c>
      <c r="AB365" s="27">
        <f t="shared" si="368"/>
        <v>56.683117976827191</v>
      </c>
      <c r="AC365" s="27">
        <f t="shared" si="368"/>
        <v>56.683117976827191</v>
      </c>
      <c r="AD365" s="27">
        <f t="shared" si="368"/>
        <v>56.683117976827191</v>
      </c>
      <c r="AE365" s="27">
        <f t="shared" si="368"/>
        <v>56.683117976827191</v>
      </c>
      <c r="AF365" s="27">
        <f t="shared" si="368"/>
        <v>56.683117976827191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1.0186346685243043E-136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1.9387476134243183E-14</v>
      </c>
      <c r="C379" s="3">
        <f t="shared" si="382"/>
        <v>1.427517155781755E-123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2.6340330486275074E-3</v>
      </c>
      <c r="C380" s="3">
        <f t="shared" si="383"/>
        <v>3.7663626852747677E-13</v>
      </c>
      <c r="D380" s="3">
        <f t="shared" si="383"/>
        <v>1.3456475549622143E-111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2.6517683191646782E-2</v>
      </c>
      <c r="C381" s="3">
        <f t="shared" si="384"/>
        <v>3.4313247326904243E-3</v>
      </c>
      <c r="D381" s="3">
        <f t="shared" si="384"/>
        <v>4.515691343095286E-12</v>
      </c>
      <c r="E381" s="3">
        <f t="shared" si="384"/>
        <v>7.0363678623190542E-101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0.10537200218017172</v>
      </c>
      <c r="C382" s="3">
        <f t="shared" si="385"/>
        <v>8.7622086627845458E-2</v>
      </c>
      <c r="D382" s="3">
        <f t="shared" si="385"/>
        <v>1.3851511970682543E-2</v>
      </c>
      <c r="E382" s="3">
        <f t="shared" si="385"/>
        <v>1.3499978790136663E-10</v>
      </c>
      <c r="F382" s="3">
        <f t="shared" si="385"/>
        <v>1.0439798854209457E-90</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0.13330506610969833</v>
      </c>
      <c r="C383" s="3">
        <f t="shared" si="386"/>
        <v>0.13110520022787234</v>
      </c>
      <c r="D383" s="3">
        <f t="shared" si="386"/>
        <v>0.11100755912609157</v>
      </c>
      <c r="E383" s="3">
        <f t="shared" si="386"/>
        <v>2.1022235912722082E-2</v>
      </c>
      <c r="F383" s="3">
        <f t="shared" si="386"/>
        <v>1.2472181626625042E-9</v>
      </c>
      <c r="G383" s="3">
        <f t="shared" si="386"/>
        <v>6.7387235261765395E-82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0.10274939683511169</v>
      </c>
      <c r="C384" s="3">
        <f t="shared" si="387"/>
        <v>0.10259527723828903</v>
      </c>
      <c r="D384" s="3">
        <f t="shared" si="387"/>
        <v>0.10106673872340598</v>
      </c>
      <c r="E384" s="3">
        <f t="shared" si="387"/>
        <v>8.6979534040927328E-2</v>
      </c>
      <c r="F384" s="3">
        <f t="shared" si="387"/>
        <v>1.9386764096817506E-2</v>
      </c>
      <c r="G384" s="3">
        <f t="shared" si="387"/>
        <v>5.866618065936113E-9</v>
      </c>
      <c r="H384" s="3">
        <f t="shared" si="387"/>
        <v>3.7775716541175984E-74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8.2307458728890906E-2</v>
      </c>
      <c r="C385" s="3">
        <f t="shared" si="388"/>
        <v>8.2296314221452491E-2</v>
      </c>
      <c r="D385" s="3">
        <f t="shared" si="388"/>
        <v>8.2184952107089509E-2</v>
      </c>
      <c r="E385" s="3">
        <f t="shared" si="388"/>
        <v>8.1079585551274341E-2</v>
      </c>
      <c r="F385" s="3">
        <f t="shared" si="388"/>
        <v>7.0811477597485351E-2</v>
      </c>
      <c r="G385" s="3">
        <f t="shared" si="388"/>
        <v>1.828205551888442E-2</v>
      </c>
      <c r="H385" s="3">
        <f t="shared" si="388"/>
        <v>2.4056846147232447E-8</v>
      </c>
      <c r="I385" s="3">
        <f t="shared" si="388"/>
        <v>3.7443407400685636E-67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3.7013741799389599E-2</v>
      </c>
      <c r="C386" s="3">
        <f t="shared" si="389"/>
        <v>3.7013289674913366E-2</v>
      </c>
      <c r="D386" s="3">
        <f t="shared" si="389"/>
        <v>3.7008768733889544E-2</v>
      </c>
      <c r="E386" s="3">
        <f t="shared" si="389"/>
        <v>3.6963589683776464E-2</v>
      </c>
      <c r="F386" s="3">
        <f t="shared" si="389"/>
        <v>3.65148215183356E-2</v>
      </c>
      <c r="G386" s="3">
        <f t="shared" si="389"/>
        <v>3.2316148646965859E-2</v>
      </c>
      <c r="H386" s="3">
        <f t="shared" si="389"/>
        <v>9.526288865435429E-3</v>
      </c>
      <c r="I386" s="3">
        <f t="shared" si="389"/>
        <v>4.7202525990848289E-8</v>
      </c>
      <c r="J386" s="3">
        <f t="shared" si="389"/>
        <v>4.2109508822531014E-61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5.9919378310978058E-2</v>
      </c>
      <c r="C387" s="3">
        <f t="shared" si="390"/>
        <v>5.991917587993778E-2</v>
      </c>
      <c r="D387" s="3">
        <f t="shared" si="390"/>
        <v>5.9917151607148562E-2</v>
      </c>
      <c r="E387" s="3">
        <f t="shared" si="390"/>
        <v>5.9896912640148937E-2</v>
      </c>
      <c r="F387" s="3">
        <f t="shared" si="390"/>
        <v>5.9694898589711082E-2</v>
      </c>
      <c r="G387" s="3">
        <f t="shared" si="390"/>
        <v>5.7711854727074331E-2</v>
      </c>
      <c r="H387" s="3">
        <f t="shared" si="390"/>
        <v>4.1166425809305164E-2</v>
      </c>
      <c r="I387" s="3">
        <f t="shared" si="390"/>
        <v>1.4038621443976222E-3</v>
      </c>
      <c r="J387" s="3">
        <f t="shared" si="390"/>
        <v>2.9863278007000746E-18</v>
      </c>
      <c r="K387" s="3">
        <f t="shared" si="390"/>
        <v>5.6658831939620478E-165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6.4670449556833029E-2</v>
      </c>
      <c r="C388" s="3">
        <f t="shared" si="391"/>
        <v>6.467042770859853E-2</v>
      </c>
      <c r="D388" s="3">
        <f t="shared" si="391"/>
        <v>6.4670209226659545E-2</v>
      </c>
      <c r="E388" s="3">
        <f t="shared" si="391"/>
        <v>6.4668024447865638E-2</v>
      </c>
      <c r="F388" s="3">
        <f t="shared" si="391"/>
        <v>6.4646180719022978E-2</v>
      </c>
      <c r="G388" s="3">
        <f t="shared" si="391"/>
        <v>6.4428148833292134E-2</v>
      </c>
      <c r="H388" s="3">
        <f t="shared" si="391"/>
        <v>6.2287868036384503E-2</v>
      </c>
      <c r="I388" s="3">
        <f t="shared" si="391"/>
        <v>4.4430540492345079E-2</v>
      </c>
      <c r="J388" s="3">
        <f t="shared" si="391"/>
        <v>1.5151753553068973E-3</v>
      </c>
      <c r="K388" s="3">
        <f t="shared" si="391"/>
        <v>3.2231158198443566E-18</v>
      </c>
      <c r="L388" s="3">
        <f t="shared" si="391"/>
        <v>6.1151350335911744E-165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6.7576207745180833E-2</v>
      </c>
      <c r="C389" s="3">
        <f t="shared" si="392"/>
        <v>6.7576205462189023E-2</v>
      </c>
      <c r="D389" s="3">
        <f t="shared" si="392"/>
        <v>6.7576182632275314E-2</v>
      </c>
      <c r="E389" s="3">
        <f t="shared" si="392"/>
        <v>6.757595433356238E-2</v>
      </c>
      <c r="F389" s="3">
        <f t="shared" si="392"/>
        <v>6.7573671388853049E-2</v>
      </c>
      <c r="G389" s="3">
        <f t="shared" si="392"/>
        <v>6.7550846183238311E-2</v>
      </c>
      <c r="H389" s="3">
        <f t="shared" si="392"/>
        <v>6.7323017745235761E-2</v>
      </c>
      <c r="I389" s="3">
        <f t="shared" si="392"/>
        <v>6.5086570405380739E-2</v>
      </c>
      <c r="J389" s="3">
        <f t="shared" si="392"/>
        <v>4.6426882040896289E-2</v>
      </c>
      <c r="K389" s="3">
        <f t="shared" si="392"/>
        <v>1.5832548223046292E-3</v>
      </c>
      <c r="L389" s="3">
        <f t="shared" si="392"/>
        <v>3.3679360258478262E-18</v>
      </c>
      <c r="M389" s="3">
        <f t="shared" si="392"/>
        <v>6.3898986985675761E-165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7.4650772351482639E-2</v>
      </c>
      <c r="C390" s="3">
        <f t="shared" si="393"/>
        <v>7.4650772099282781E-2</v>
      </c>
      <c r="D390" s="3">
        <f t="shared" si="393"/>
        <v>7.4650769577284198E-2</v>
      </c>
      <c r="E390" s="3">
        <f t="shared" si="393"/>
        <v>7.4650744357303039E-2</v>
      </c>
      <c r="F390" s="3">
        <f t="shared" si="393"/>
        <v>7.4650492157960116E-2</v>
      </c>
      <c r="G390" s="3">
        <f t="shared" si="393"/>
        <v>7.4647970211391967E-2</v>
      </c>
      <c r="H390" s="3">
        <f t="shared" si="393"/>
        <v>7.4622755431230134E-2</v>
      </c>
      <c r="I390" s="3">
        <f t="shared" si="393"/>
        <v>7.4371075596410208E-2</v>
      </c>
      <c r="J390" s="3">
        <f t="shared" si="393"/>
        <v>7.190049421502942E-2</v>
      </c>
      <c r="K390" s="3">
        <f t="shared" si="393"/>
        <v>5.1287319992625598E-2</v>
      </c>
      <c r="L390" s="3">
        <f t="shared" si="393"/>
        <v>1.7490060312445107E-3</v>
      </c>
      <c r="M390" s="3">
        <f t="shared" si="393"/>
        <v>3.7205258048600965E-18</v>
      </c>
      <c r="N390" s="3">
        <f t="shared" si="393"/>
        <v>7.0588582490897404E-165</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4.2437426022158845E-2</v>
      </c>
      <c r="C391" s="3">
        <f t="shared" si="394"/>
        <v>4.2437426007821799E-2</v>
      </c>
      <c r="D391" s="3">
        <f t="shared" si="394"/>
        <v>4.2437425864451379E-2</v>
      </c>
      <c r="E391" s="3">
        <f t="shared" si="394"/>
        <v>4.2437424430747141E-2</v>
      </c>
      <c r="F391" s="3">
        <f t="shared" si="394"/>
        <v>4.2437410093707481E-2</v>
      </c>
      <c r="G391" s="3">
        <f t="shared" si="394"/>
        <v>4.2437266723577241E-2</v>
      </c>
      <c r="H391" s="3">
        <f t="shared" si="394"/>
        <v>4.2435833048914406E-2</v>
      </c>
      <c r="I391" s="3">
        <f t="shared" si="394"/>
        <v>4.2421498965907425E-2</v>
      </c>
      <c r="J391" s="3">
        <f t="shared" si="394"/>
        <v>4.2278424165320724E-2</v>
      </c>
      <c r="K391" s="3">
        <f t="shared" si="394"/>
        <v>4.0873949552854547E-2</v>
      </c>
      <c r="L391" s="3">
        <f t="shared" si="394"/>
        <v>2.9155784712832925E-2</v>
      </c>
      <c r="M391" s="3">
        <f t="shared" si="394"/>
        <v>9.9427389295723523E-4</v>
      </c>
      <c r="N391" s="3">
        <f t="shared" si="394"/>
        <v>2.1150422638702433E-18</v>
      </c>
      <c r="O391" s="3">
        <f t="shared" si="394"/>
        <v>4.0128154767778348E-165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2.9362775672820824E-2</v>
      </c>
      <c r="C392" s="3">
        <f t="shared" si="395"/>
        <v>2.9362775671828833E-2</v>
      </c>
      <c r="D392" s="3">
        <f t="shared" si="395"/>
        <v>2.9362775661908924E-2</v>
      </c>
      <c r="E392" s="3">
        <f t="shared" si="395"/>
        <v>2.9362775562709845E-2</v>
      </c>
      <c r="F392" s="3">
        <f t="shared" si="395"/>
        <v>2.9362774570719053E-2</v>
      </c>
      <c r="G392" s="3">
        <f t="shared" si="395"/>
        <v>2.9362764650812997E-2</v>
      </c>
      <c r="H392" s="3">
        <f t="shared" si="395"/>
        <v>2.9362665451936752E-2</v>
      </c>
      <c r="I392" s="3">
        <f t="shared" si="395"/>
        <v>2.9361673481606381E-2</v>
      </c>
      <c r="J392" s="3">
        <f t="shared" si="395"/>
        <v>2.9351755621282439E-2</v>
      </c>
      <c r="K392" s="3">
        <f t="shared" si="395"/>
        <v>2.9252761085852199E-2</v>
      </c>
      <c r="L392" s="3">
        <f t="shared" si="395"/>
        <v>2.8280994490934543E-2</v>
      </c>
      <c r="M392" s="3">
        <f t="shared" si="395"/>
        <v>2.0173107709502383E-2</v>
      </c>
      <c r="N392" s="3">
        <f t="shared" si="395"/>
        <v>6.8794561809698757E-4</v>
      </c>
      <c r="O392" s="3">
        <f t="shared" si="395"/>
        <v>1.4634137211345336E-18</v>
      </c>
      <c r="P392" s="3">
        <f t="shared" si="395"/>
        <v>2.7764973444795273E-165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1.3317924951316973E-2</v>
      </c>
      <c r="C393" s="3">
        <f t="shared" si="396"/>
        <v>1.331792495127198E-2</v>
      </c>
      <c r="D393" s="3">
        <f t="shared" si="396"/>
        <v>1.3317924950822048E-2</v>
      </c>
      <c r="E393" s="3">
        <f t="shared" si="396"/>
        <v>1.3317924946322727E-2</v>
      </c>
      <c r="F393" s="3">
        <f t="shared" si="396"/>
        <v>1.3317924901329502E-2</v>
      </c>
      <c r="G393" s="3">
        <f t="shared" si="396"/>
        <v>1.3317924451397281E-2</v>
      </c>
      <c r="H393" s="3">
        <f t="shared" si="396"/>
        <v>1.33179199520759E-2</v>
      </c>
      <c r="I393" s="3">
        <f t="shared" si="396"/>
        <v>1.3317874958945692E-2</v>
      </c>
      <c r="J393" s="3">
        <f t="shared" si="396"/>
        <v>1.3317425036003768E-2</v>
      </c>
      <c r="K393" s="3">
        <f t="shared" si="396"/>
        <v>1.3312926642495497E-2</v>
      </c>
      <c r="L393" s="3">
        <f t="shared" si="396"/>
        <v>1.3268026194113625E-2</v>
      </c>
      <c r="M393" s="3">
        <f t="shared" si="396"/>
        <v>1.2827266957811386E-2</v>
      </c>
      <c r="N393" s="3">
        <f t="shared" si="396"/>
        <v>9.1498139516068763E-3</v>
      </c>
      <c r="O393" s="3">
        <f t="shared" si="396"/>
        <v>3.1202799811779234E-4</v>
      </c>
      <c r="P393" s="3">
        <f t="shared" si="396"/>
        <v>6.6375312497352361E-19</v>
      </c>
      <c r="Q393" s="3">
        <f t="shared" si="396"/>
        <v>1.2593217914140052E-165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4.0600750332730152E-3</v>
      </c>
      <c r="C394" s="3">
        <f t="shared" si="397"/>
        <v>4.0600750332716439E-3</v>
      </c>
      <c r="D394" s="3">
        <f t="shared" si="397"/>
        <v>4.0600750332579275E-3</v>
      </c>
      <c r="E394" s="3">
        <f t="shared" si="397"/>
        <v>4.060075033120762E-3</v>
      </c>
      <c r="F394" s="3">
        <f t="shared" si="397"/>
        <v>4.0600750317491083E-3</v>
      </c>
      <c r="G394" s="3">
        <f t="shared" si="397"/>
        <v>4.0600750180325674E-3</v>
      </c>
      <c r="H394" s="3">
        <f t="shared" si="397"/>
        <v>4.0600748808671608E-3</v>
      </c>
      <c r="I394" s="3">
        <f t="shared" si="397"/>
        <v>4.0600735092133581E-3</v>
      </c>
      <c r="J394" s="3">
        <f t="shared" si="397"/>
        <v>4.0600597927008169E-3</v>
      </c>
      <c r="K394" s="3">
        <f t="shared" si="397"/>
        <v>4.0599226301240576E-3</v>
      </c>
      <c r="L394" s="3">
        <f t="shared" si="397"/>
        <v>4.0585512591905584E-3</v>
      </c>
      <c r="M394" s="3">
        <f t="shared" si="397"/>
        <v>4.0448630014383686E-3</v>
      </c>
      <c r="N394" s="3">
        <f t="shared" si="397"/>
        <v>3.9104940530071321E-3</v>
      </c>
      <c r="O394" s="3">
        <f t="shared" si="397"/>
        <v>2.789393341665143E-3</v>
      </c>
      <c r="P394" s="3">
        <f t="shared" si="397"/>
        <v>9.5124209625051549E-5</v>
      </c>
      <c r="Q394" s="3">
        <f t="shared" si="397"/>
        <v>2.0235040374623423E-19</v>
      </c>
      <c r="R394" s="3">
        <f t="shared" si="397"/>
        <v>3.8391423460223948E-166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6.6069827735831307E-3</v>
      </c>
      <c r="C396" s="3">
        <f t="shared" si="399"/>
        <v>6.6069827735831081E-3</v>
      </c>
      <c r="D396" s="3">
        <f t="shared" si="399"/>
        <v>6.6069827735828852E-3</v>
      </c>
      <c r="E396" s="3">
        <f t="shared" si="399"/>
        <v>6.6069827735806535E-3</v>
      </c>
      <c r="F396" s="3">
        <f t="shared" si="399"/>
        <v>6.6069827735583319E-3</v>
      </c>
      <c r="G396" s="3">
        <f t="shared" si="399"/>
        <v>6.6069827733351216E-3</v>
      </c>
      <c r="H396" s="3">
        <f t="shared" si="399"/>
        <v>6.6069827711030217E-3</v>
      </c>
      <c r="I396" s="3">
        <f t="shared" si="399"/>
        <v>6.6069827487820181E-3</v>
      </c>
      <c r="J396" s="3">
        <f t="shared" si="399"/>
        <v>6.6069825255719869E-3</v>
      </c>
      <c r="K396" s="3">
        <f t="shared" si="399"/>
        <v>6.6069802934720949E-3</v>
      </c>
      <c r="L396" s="3">
        <f t="shared" si="399"/>
        <v>6.606957972514641E-3</v>
      </c>
      <c r="M396" s="3">
        <f t="shared" si="399"/>
        <v>6.6067347670875493E-3</v>
      </c>
      <c r="N396" s="3">
        <f t="shared" si="399"/>
        <v>6.6045031275095692E-3</v>
      </c>
      <c r="O396" s="3">
        <f t="shared" si="399"/>
        <v>6.5822281492325854E-3</v>
      </c>
      <c r="P396" s="3">
        <f t="shared" si="399"/>
        <v>6.3635688091183825E-3</v>
      </c>
      <c r="Q396" s="3">
        <f t="shared" si="399"/>
        <v>4.5391953611930028E-3</v>
      </c>
      <c r="R396" s="3">
        <f t="shared" si="399"/>
        <v>1.5479615750764897E-4</v>
      </c>
      <c r="S396" s="3">
        <f t="shared" si="399"/>
        <v>3.2928594196476055E-19</v>
      </c>
      <c r="T396" s="3">
        <f t="shared" si="399"/>
        <v>6.2474577779057747E-166</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0.40116822084843073</v>
      </c>
      <c r="B397" s="80">
        <f>IF($A$64&lt;=B363,IF($B$64&gt;=B363,ABS((B365-B364)/B364),0),0)</f>
        <v>2.3108477713702221E-2</v>
      </c>
      <c r="C397" s="80">
        <f t="shared" ref="C397:AF397" si="400">IF($A$64&lt;=C363,IF($B$64&gt;=C363,ABS((C365-C364)/C364),0),0)</f>
        <v>2.1964581658053435E-2</v>
      </c>
      <c r="D397" s="80">
        <f t="shared" si="400"/>
        <v>5.6251166470460981E-2</v>
      </c>
      <c r="E397" s="80">
        <f t="shared" si="400"/>
        <v>0.17128714852964352</v>
      </c>
      <c r="F397" s="80">
        <f t="shared" si="400"/>
        <v>0.26667254252419875</v>
      </c>
      <c r="G397" s="80">
        <f t="shared" si="400"/>
        <v>0.33614608184437428</v>
      </c>
      <c r="H397" s="80">
        <f t="shared" si="400"/>
        <v>0.36764640237769514</v>
      </c>
      <c r="I397" s="80">
        <f t="shared" si="400"/>
        <v>0.40642959116967586</v>
      </c>
      <c r="J397" s="80">
        <f t="shared" si="400"/>
        <v>0.42608634732810119</v>
      </c>
      <c r="K397" s="80">
        <f t="shared" si="400"/>
        <v>0.43364054381276979</v>
      </c>
      <c r="L397" s="80">
        <f t="shared" si="400"/>
        <v>0.4656917142805943</v>
      </c>
      <c r="M397" s="80">
        <f t="shared" si="400"/>
        <v>0.4678888871352016</v>
      </c>
      <c r="N397" s="80">
        <f t="shared" si="400"/>
        <v>0.49128877873691568</v>
      </c>
      <c r="O397" s="80">
        <f t="shared" si="400"/>
        <v>0.51834263236829159</v>
      </c>
      <c r="P397" s="80">
        <f t="shared" si="400"/>
        <v>0.53640222115468272</v>
      </c>
      <c r="Q397" s="80">
        <f t="shared" si="400"/>
        <v>0.55573608817474252</v>
      </c>
      <c r="R397" s="80">
        <f t="shared" si="400"/>
        <v>0.69543499601828318</v>
      </c>
      <c r="S397" s="80">
        <f t="shared" si="400"/>
        <v>0.6663007448998437</v>
      </c>
      <c r="T397" s="80">
        <f t="shared" si="400"/>
        <v>0.60164691813189197</v>
      </c>
      <c r="U397" s="80">
        <f t="shared" si="400"/>
        <v>0.53430095420743107</v>
      </c>
      <c r="V397" s="80">
        <f t="shared" si="400"/>
        <v>0.48128861551657115</v>
      </c>
      <c r="W397" s="80">
        <f t="shared" si="400"/>
        <v>0.44386848753279962</v>
      </c>
      <c r="X397" s="80">
        <f t="shared" si="400"/>
        <v>0.41864237522594627</v>
      </c>
      <c r="Y397" s="80">
        <f t="shared" si="400"/>
        <v>0.40152692394801992</v>
      </c>
      <c r="Z397" s="80">
        <f t="shared" si="400"/>
        <v>0.39004145372388249</v>
      </c>
      <c r="AA397" s="80">
        <f t="shared" si="400"/>
        <v>0.38392059039034354</v>
      </c>
      <c r="AB397" s="80">
        <f t="shared" si="400"/>
        <v>0.38228967132956104</v>
      </c>
      <c r="AC397" s="80">
        <f t="shared" si="400"/>
        <v>0.375802369452996</v>
      </c>
      <c r="AD397" s="80">
        <f t="shared" si="400"/>
        <v>0.37569833811681436</v>
      </c>
      <c r="AE397" s="80">
        <f t="shared" si="400"/>
        <v>0.37128798341976771</v>
      </c>
      <c r="AF397" s="80">
        <f t="shared" si="400"/>
        <v>0.36958121910809705</v>
      </c>
    </row>
    <row r="398" spans="1:34" x14ac:dyDescent="0.25">
      <c r="B398" s="21">
        <f>(B365-B364)^2</f>
        <v>20288.796135699413</v>
      </c>
      <c r="C398" s="21">
        <f t="shared" ref="C398:AF398" si="401">(C365-C364)^2</f>
        <v>16465.358222640647</v>
      </c>
      <c r="D398" s="21">
        <f t="shared" si="401"/>
        <v>97731.469343037199</v>
      </c>
      <c r="E398" s="21">
        <f t="shared" si="401"/>
        <v>816532.98571704258</v>
      </c>
      <c r="F398" s="21">
        <f t="shared" si="401"/>
        <v>1754043.5193045558</v>
      </c>
      <c r="G398" s="21">
        <f t="shared" si="401"/>
        <v>2412853.6919935998</v>
      </c>
      <c r="H398" s="21">
        <f t="shared" si="401"/>
        <v>2334008.7300274367</v>
      </c>
      <c r="I398" s="21">
        <f t="shared" si="401"/>
        <v>2101461.5969001134</v>
      </c>
      <c r="J398" s="21">
        <f t="shared" si="401"/>
        <v>1475614.2842474726</v>
      </c>
      <c r="K398" s="21">
        <f t="shared" si="401"/>
        <v>754104.65561047674</v>
      </c>
      <c r="L398" s="21">
        <f t="shared" si="401"/>
        <v>336976.8304419273</v>
      </c>
      <c r="M398" s="21">
        <f t="shared" si="401"/>
        <v>114000.56886075168</v>
      </c>
      <c r="N398" s="21">
        <f t="shared" si="401"/>
        <v>39536.353932431542</v>
      </c>
      <c r="O398" s="21">
        <f t="shared" si="401"/>
        <v>18878.214528618188</v>
      </c>
      <c r="P398" s="21">
        <f t="shared" si="401"/>
        <v>14488.709704570294</v>
      </c>
      <c r="Q398" s="21">
        <f t="shared" si="401"/>
        <v>12663.47427045547</v>
      </c>
      <c r="R398" s="21">
        <f t="shared" si="401"/>
        <v>17429.226020014361</v>
      </c>
      <c r="S398" s="21">
        <f t="shared" si="401"/>
        <v>12809.659516332236</v>
      </c>
      <c r="T398" s="21">
        <f t="shared" si="401"/>
        <v>7329.1648992838263</v>
      </c>
      <c r="U398" s="21">
        <f t="shared" si="401"/>
        <v>4229.3016958012058</v>
      </c>
      <c r="V398" s="21">
        <f t="shared" si="401"/>
        <v>2766.0949338872474</v>
      </c>
      <c r="W398" s="21">
        <f t="shared" si="401"/>
        <v>2046.7324764925618</v>
      </c>
      <c r="X398" s="21">
        <f t="shared" si="401"/>
        <v>1666.1231125510631</v>
      </c>
      <c r="Y398" s="21">
        <f t="shared" si="401"/>
        <v>1446.263986742202</v>
      </c>
      <c r="Z398" s="21">
        <f t="shared" si="401"/>
        <v>1313.797268345292</v>
      </c>
      <c r="AA398" s="21">
        <f t="shared" si="401"/>
        <v>1247.7192750996549</v>
      </c>
      <c r="AB398" s="21">
        <f t="shared" si="401"/>
        <v>1230.6168734774556</v>
      </c>
      <c r="AC398" s="21">
        <f t="shared" si="401"/>
        <v>1164.6146786852921</v>
      </c>
      <c r="AD398" s="21">
        <f t="shared" si="401"/>
        <v>1163.5820929293011</v>
      </c>
      <c r="AE398" s="21">
        <f t="shared" si="401"/>
        <v>1120.5357790494872</v>
      </c>
      <c r="AF398" s="21">
        <f t="shared" si="401"/>
        <v>1104.2539587415629</v>
      </c>
      <c r="AG398" s="3"/>
      <c r="AH398" s="3"/>
    </row>
    <row r="399" spans="1:34" x14ac:dyDescent="0.25">
      <c r="A399" s="71">
        <f>SUM(B399:AF399)</f>
        <v>12377716.925808266</v>
      </c>
      <c r="B399" s="60">
        <f>IF($A$64&lt;=B363,IF($B$64&gt;=B363,ABS(B398),0),0)</f>
        <v>20288.796135699413</v>
      </c>
      <c r="C399" s="60">
        <f t="shared" ref="C399" si="402">IF($A$64&lt;=C363,IF($B$64&gt;=C363,ABS(C398),0),0)</f>
        <v>16465.358222640647</v>
      </c>
      <c r="D399" s="60">
        <f t="shared" ref="D399" si="403">IF($A$64&lt;=D363,IF($B$64&gt;=D363,ABS(D398),0),0)</f>
        <v>97731.469343037199</v>
      </c>
      <c r="E399" s="60">
        <f t="shared" ref="E399" si="404">IF($A$64&lt;=E363,IF($B$64&gt;=E363,ABS(E398),0),0)</f>
        <v>816532.98571704258</v>
      </c>
      <c r="F399" s="60">
        <f t="shared" ref="F399" si="405">IF($A$64&lt;=F363,IF($B$64&gt;=F363,ABS(F398),0),0)</f>
        <v>1754043.5193045558</v>
      </c>
      <c r="G399" s="60">
        <f t="shared" ref="G399" si="406">IF($A$64&lt;=G363,IF($B$64&gt;=G363,ABS(G398),0),0)</f>
        <v>2412853.6919935998</v>
      </c>
      <c r="H399" s="60">
        <f t="shared" ref="H399" si="407">IF($A$64&lt;=H363,IF($B$64&gt;=H363,ABS(H398),0),0)</f>
        <v>2334008.7300274367</v>
      </c>
      <c r="I399" s="60">
        <f t="shared" ref="I399" si="408">IF($A$64&lt;=I363,IF($B$64&gt;=I363,ABS(I398),0),0)</f>
        <v>2101461.5969001134</v>
      </c>
      <c r="J399" s="60">
        <f t="shared" ref="J399" si="409">IF($A$64&lt;=J363,IF($B$64&gt;=J363,ABS(J398),0),0)</f>
        <v>1475614.2842474726</v>
      </c>
      <c r="K399" s="60">
        <f t="shared" ref="K399" si="410">IF($A$64&lt;=K363,IF($B$64&gt;=K363,ABS(K398),0),0)</f>
        <v>754104.65561047674</v>
      </c>
      <c r="L399" s="60">
        <f t="shared" ref="L399" si="411">IF($A$64&lt;=L363,IF($B$64&gt;=L363,ABS(L398),0),0)</f>
        <v>336976.8304419273</v>
      </c>
      <c r="M399" s="60">
        <f t="shared" ref="M399" si="412">IF($A$64&lt;=M363,IF($B$64&gt;=M363,ABS(M398),0),0)</f>
        <v>114000.56886075168</v>
      </c>
      <c r="N399" s="60">
        <f t="shared" ref="N399" si="413">IF($A$64&lt;=N363,IF($B$64&gt;=N363,ABS(N398),0),0)</f>
        <v>39536.353932431542</v>
      </c>
      <c r="O399" s="60">
        <f t="shared" ref="O399" si="414">IF($A$64&lt;=O363,IF($B$64&gt;=O363,ABS(O398),0),0)</f>
        <v>18878.214528618188</v>
      </c>
      <c r="P399" s="60">
        <f t="shared" ref="P399" si="415">IF($A$64&lt;=P363,IF($B$64&gt;=P363,ABS(P398),0),0)</f>
        <v>14488.709704570294</v>
      </c>
      <c r="Q399" s="60">
        <f t="shared" ref="Q399" si="416">IF($A$64&lt;=Q363,IF($B$64&gt;=Q363,ABS(Q398),0),0)</f>
        <v>12663.47427045547</v>
      </c>
      <c r="R399" s="60">
        <f t="shared" ref="R399" si="417">IF($A$64&lt;=R363,IF($B$64&gt;=R363,ABS(R398),0),0)</f>
        <v>17429.226020014361</v>
      </c>
      <c r="S399" s="60">
        <f t="shared" ref="S399" si="418">IF($A$64&lt;=S363,IF($B$64&gt;=S363,ABS(S398),0),0)</f>
        <v>12809.659516332236</v>
      </c>
      <c r="T399" s="60">
        <f t="shared" ref="T399" si="419">IF($A$64&lt;=T363,IF($B$64&gt;=T363,ABS(T398),0),0)</f>
        <v>7329.1648992838263</v>
      </c>
      <c r="U399" s="60">
        <f t="shared" ref="U399" si="420">IF($A$64&lt;=U363,IF($B$64&gt;=U363,ABS(U398),0),0)</f>
        <v>4229.3016958012058</v>
      </c>
      <c r="V399" s="60">
        <f t="shared" ref="V399" si="421">IF($A$64&lt;=V363,IF($B$64&gt;=V363,ABS(V398),0),0)</f>
        <v>2766.0949338872474</v>
      </c>
      <c r="W399" s="60">
        <f t="shared" ref="W399" si="422">IF($A$64&lt;=W363,IF($B$64&gt;=W363,ABS(W398),0),0)</f>
        <v>2046.7324764925618</v>
      </c>
      <c r="X399" s="60">
        <f t="shared" ref="X399" si="423">IF($A$64&lt;=X363,IF($B$64&gt;=X363,ABS(X398),0),0)</f>
        <v>1666.1231125510631</v>
      </c>
      <c r="Y399" s="60">
        <f t="shared" ref="Y399" si="424">IF($A$64&lt;=Y363,IF($B$64&gt;=Y363,ABS(Y398),0),0)</f>
        <v>1446.263986742202</v>
      </c>
      <c r="Z399" s="60">
        <f t="shared" ref="Z399" si="425">IF($A$64&lt;=Z363,IF($B$64&gt;=Z363,ABS(Z398),0),0)</f>
        <v>1313.797268345292</v>
      </c>
      <c r="AA399" s="60">
        <f t="shared" ref="AA399" si="426">IF($A$64&lt;=AA363,IF($B$64&gt;=AA363,ABS(AA398),0),0)</f>
        <v>1247.7192750996549</v>
      </c>
      <c r="AB399" s="60">
        <f t="shared" ref="AB399" si="427">IF($A$64&lt;=AB363,IF($B$64&gt;=AB363,ABS(AB398),0),0)</f>
        <v>1230.6168734774556</v>
      </c>
      <c r="AC399" s="60">
        <f t="shared" ref="AC399" si="428">IF($A$64&lt;=AC363,IF($B$64&gt;=AC363,ABS(AC398),0),0)</f>
        <v>1164.6146786852921</v>
      </c>
      <c r="AD399" s="60">
        <f t="shared" ref="AD399" si="429">IF($A$64&lt;=AD363,IF($B$64&gt;=AD363,ABS(AD398),0),0)</f>
        <v>1163.5820929293011</v>
      </c>
      <c r="AE399" s="60">
        <f t="shared" ref="AE399" si="430">IF($A$64&lt;=AE363,IF($B$64&gt;=AE363,ABS(AE398),0),0)</f>
        <v>1120.5357790494872</v>
      </c>
      <c r="AF399" s="60">
        <f t="shared" ref="AF399" si="431">IF($A$64&lt;=AF363,IF($B$64&gt;=AF363,ABS(AF398),0),0)</f>
        <v>1104.2539587415629</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2022-01-11T18:50:25Z</dcterms:modified>
</cp:coreProperties>
</file>