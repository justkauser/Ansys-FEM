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B403" i="43"/>
  <c r="E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34" i="43"/>
  <c r="C420" i="43"/>
  <c r="C431" i="43"/>
  <c r="C419" i="43"/>
  <c r="C430" i="43"/>
  <c r="C409" i="43"/>
  <c r="C421" i="43"/>
  <c r="C412" i="43"/>
  <c r="C417" i="43"/>
  <c r="C426" i="43"/>
  <c r="C407" i="43"/>
  <c r="C414" i="43"/>
  <c r="C418" i="43"/>
  <c r="C425" i="43"/>
  <c r="C427" i="43"/>
  <c r="C429" i="43"/>
  <c r="C432" i="43"/>
  <c r="C410" i="43"/>
  <c r="C422" i="43"/>
  <c r="C405" i="43"/>
  <c r="C408" i="43"/>
  <c r="C415" i="43"/>
  <c r="C424" i="43"/>
  <c r="C433" i="43"/>
  <c r="C413" i="43"/>
  <c r="C411" i="43"/>
  <c r="C416" i="43"/>
  <c r="H434" i="43"/>
  <c r="H418" i="43"/>
  <c r="H415" i="43"/>
  <c r="H410" i="43"/>
  <c r="H424" i="43"/>
  <c r="H405" i="43"/>
  <c r="H404" i="43"/>
  <c r="H427" i="43"/>
  <c r="H409" i="43"/>
  <c r="H422" i="43"/>
  <c r="H426" i="43"/>
  <c r="H417" i="43"/>
  <c r="H414" i="43"/>
  <c r="H430" i="43"/>
  <c r="H423" i="43"/>
  <c r="H433" i="43"/>
  <c r="H408" i="43"/>
  <c r="H420" i="43"/>
  <c r="H416" i="43"/>
  <c r="H413" i="43"/>
  <c r="H421" i="43"/>
  <c r="H428" i="43"/>
  <c r="H432" i="43"/>
  <c r="H412" i="43"/>
  <c r="H425" i="43"/>
  <c r="H407" i="43"/>
  <c r="H419" i="43"/>
  <c r="H431" i="43"/>
  <c r="H411" i="43"/>
  <c r="H429" i="43"/>
  <c r="H406" i="43"/>
  <c r="E405" i="43"/>
  <c r="E408" i="43"/>
  <c r="E413" i="43"/>
  <c r="E415" i="43"/>
  <c r="E424" i="43"/>
  <c r="E433" i="43"/>
  <c r="E404" i="43"/>
  <c r="E425" i="43"/>
  <c r="E406" i="43"/>
  <c r="E417" i="43"/>
  <c r="E419" i="43"/>
  <c r="E426" i="43"/>
  <c r="E430" i="43"/>
  <c r="E434" i="43"/>
  <c r="E429" i="43"/>
  <c r="E411" i="43"/>
  <c r="E416" i="43"/>
  <c r="E423" i="43"/>
  <c r="E427" i="43"/>
  <c r="E420" i="43"/>
  <c r="E418" i="43"/>
  <c r="E410" i="43"/>
  <c r="E422" i="43"/>
  <c r="E431" i="43"/>
  <c r="E412" i="43"/>
  <c r="E432" i="43"/>
  <c r="E421" i="43"/>
  <c r="E409" i="43"/>
  <c r="E407" i="43"/>
  <c r="E428" i="43"/>
  <c r="E414" i="43"/>
  <c r="G410" i="43"/>
  <c r="G434" i="43"/>
  <c r="G413" i="43"/>
  <c r="G431" i="43"/>
  <c r="G416" i="43"/>
  <c r="G428" i="43"/>
  <c r="G429" i="43"/>
  <c r="G411" i="43"/>
  <c r="G427" i="43"/>
  <c r="G409" i="43"/>
  <c r="G423" i="43"/>
  <c r="G405" i="43"/>
  <c r="G421" i="43"/>
  <c r="G407" i="43"/>
  <c r="G420" i="43"/>
  <c r="G422" i="43"/>
  <c r="G426" i="43"/>
  <c r="G408" i="43"/>
  <c r="G424" i="43"/>
  <c r="G418" i="43"/>
  <c r="G406" i="43"/>
  <c r="G419" i="43"/>
  <c r="G404" i="43"/>
  <c r="G417" i="43"/>
  <c r="G433" i="43"/>
  <c r="G415" i="43"/>
  <c r="G425" i="43"/>
  <c r="G432" i="43"/>
  <c r="G414" i="43"/>
  <c r="G430" i="43"/>
  <c r="G412" i="43"/>
  <c r="B405" i="43"/>
  <c r="B424" i="43"/>
  <c r="B425" i="43"/>
  <c r="B413" i="43"/>
  <c r="B414" i="43"/>
  <c r="B408" i="43"/>
  <c r="B428" i="43"/>
  <c r="B410" i="43"/>
  <c r="B427" i="43"/>
  <c r="B420" i="43"/>
  <c r="B415" i="43"/>
  <c r="B417" i="43"/>
  <c r="B409" i="43"/>
  <c r="B406" i="43"/>
  <c r="B429" i="43"/>
  <c r="B431" i="43"/>
  <c r="B411" i="43"/>
  <c r="B416" i="43"/>
  <c r="B432" i="43"/>
  <c r="B404" i="43"/>
  <c r="B407" i="43"/>
  <c r="B434" i="43"/>
  <c r="B430" i="43"/>
  <c r="B423" i="43"/>
  <c r="B418" i="43"/>
  <c r="B419" i="43"/>
  <c r="B433" i="43"/>
  <c r="B426" i="43"/>
  <c r="B421" i="43"/>
  <c r="B422" i="43"/>
  <c r="B412" i="43"/>
  <c r="D406" i="43"/>
  <c r="D417" i="43"/>
  <c r="D419" i="43"/>
  <c r="D426" i="43"/>
  <c r="D430" i="43"/>
  <c r="D425" i="43"/>
  <c r="D431" i="43"/>
  <c r="D413" i="43"/>
  <c r="D424" i="43"/>
  <c r="D411" i="43"/>
  <c r="D416" i="43"/>
  <c r="D423" i="43"/>
  <c r="D428" i="43"/>
  <c r="D404" i="43"/>
  <c r="D407" i="43"/>
  <c r="D418" i="43"/>
  <c r="D429" i="43"/>
  <c r="D408" i="43"/>
  <c r="D433" i="43"/>
  <c r="D409" i="43"/>
  <c r="D421" i="43"/>
  <c r="D434" i="43"/>
  <c r="D414" i="43"/>
  <c r="D427" i="43"/>
  <c r="D432" i="43"/>
  <c r="D405" i="43"/>
  <c r="D415" i="43"/>
  <c r="D410" i="43"/>
  <c r="D412" i="43"/>
  <c r="D420" i="43"/>
  <c r="D422" i="43"/>
  <c r="F415" i="43"/>
  <c r="F410" i="43"/>
  <c r="F420" i="43"/>
  <c r="F431" i="43"/>
  <c r="F404" i="43"/>
  <c r="F424" i="43"/>
  <c r="F423" i="43"/>
  <c r="F419" i="43"/>
  <c r="F430" i="43"/>
  <c r="F416" i="43"/>
  <c r="F434" i="43"/>
  <c r="F427"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A49" i="43" l="1"/>
  <c r="AA50"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<sst xmlns="http://schemas.openxmlformats.org/spreadsheetml/2006/main" count="311" uniqueCount="164">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</sst>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1254784"/>
        <c:axId val="451260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2547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60664"/>
        <c:crossesAt val="-8.0000000000000019E-3"/>
        <c:crossBetween val="midCat"/>
      </c:valAx>
      <c:valAx>
        <c:axId val="451260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54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1255568"/>
        <c:axId val="451255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2555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55960"/>
        <c:crosses val="autoZero"/>
        <c:crossBetween val="midCat"/>
      </c:valAx>
      <c:valAx>
        <c:axId val="45125596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555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1258704"/>
        <c:axId val="4533911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1258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1192"/>
        <c:crosses val="autoZero"/>
        <c:crossBetween val="midCat"/>
        <c:majorUnit val="10000"/>
      </c:valAx>
      <c:valAx>
        <c:axId val="45339119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5870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3388448"/>
        <c:axId val="4533872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3884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387272"/>
        <c:crosses val="autoZero"/>
        <c:crossBetween val="midCat"/>
        <c:majorUnit val="10000"/>
      </c:valAx>
      <c:valAx>
        <c:axId val="4533872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38844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3390408"/>
        <c:axId val="4533919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39040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1976"/>
        <c:crosses val="autoZero"/>
        <c:crossBetween val="midCat"/>
        <c:majorUnit val="10000"/>
      </c:valAx>
      <c:valAx>
        <c:axId val="45339197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040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5.1215880052082739E-5</c:v>
                </c:pt>
                <c:pt idx="1">
                  <c:v>4.1143463122608028E-5</c:v>
                </c:pt>
                <c:pt idx="2">
                  <c:v>4.3796590619313912E-5</c:v>
                </c:pt>
                <c:pt idx="3">
                  <c:v>1.90518485834096E-5</c:v>
                </c:pt>
                <c:pt idx="4">
                  <c:v>1.9518428823748194E-4</c:v>
                </c:pt>
                <c:pt idx="5">
                  <c:v>4.5429954789733599E-5</c:v>
                </c:pt>
                <c:pt idx="6">
                  <c:v>8.0012647718011146E-6</c:v>
                </c:pt>
                <c:pt idx="7">
                  <c:v>7.8969850457090773E-6</c:v>
                </c:pt>
                <c:pt idx="8">
                  <c:v>1.7510943506298101E-5</c:v>
                </c:pt>
                <c:pt idx="9">
                  <c:v>3.6917291480505001E-5</c:v>
                </c:pt>
                <c:pt idx="10">
                  <c:v>6.5727363751683535E-5</c:v>
                </c:pt>
                <c:pt idx="11">
                  <c:v>9.9138078911711352E-5</c:v>
                </c:pt>
                <c:pt idx="12">
                  <c:v>1.2768493254251281E-4</c:v>
                </c:pt>
                <c:pt idx="13">
                  <c:v>1.4088195611606884E-4</c:v>
                </c:pt>
                <c:pt idx="14">
                  <c:v>1.3356430232890377E-4</c:v>
                </c:pt>
                <c:pt idx="15">
                  <c:v>1.0864161125312359E-4</c:v>
                </c:pt>
                <c:pt idx="16">
                  <c:v>7.9198386219219024E-5</c:v>
                </c:pt>
                <c:pt idx="17">
                  <c:v>5.6438989742588712E-5</c:v>
                </c:pt>
                <c:pt idx="18">
                  <c:v>4.0600055994889522E-5</c:v>
                </c:pt>
                <c:pt idx="19">
                  <c:v>2.8731869784741182E-5</c:v>
                </c:pt>
                <c:pt idx="20">
                  <c:v>1.7610213227375697E-5</c:v>
                </c:pt>
                <c:pt idx="21">
                  <c:v>5.5769448746685824E-6</c:v>
                </c:pt>
                <c:pt idx="22">
                  <c:v>1.8179089948189901E-5</c:v>
                </c:pt>
                <c:pt idx="23">
                  <c:v>8.561005362961197E-5</c:v>
                </c:pt>
                <c:pt idx="24">
                  <c:v>1.7066642569976028E-4</c:v>
                </c:pt>
                <c:pt idx="25">
                  <c:v>2.2943148355939331E-4</c:v>
                </c:pt>
                <c:pt idx="26">
                  <c:v>9.7550496224414144E-4</c:v>
                </c:pt>
                <c:pt idx="27">
                  <c:v>2.0581165927523351E-3</c:v>
                </c:pt>
                <c:pt idx="28">
                  <c:v>2.8234686620210742E-3</c:v>
                </c:pt>
                <c:pt idx="29">
                  <c:v>1.8226365266288422E-3</c:v>
                </c:pt>
                <c:pt idx="30">
                  <c:v>2.3245398234655683E-4</c:v>
                </c:pt>
              </c:numCache>
            </c:numRef>
          </c:yVal>
          <c:smooth val="1"/>
        </c:ser>
        <c:dLbls>
          <c:showLegendKey val="0"/>
          <c:showVal val="0"/>
          <c:showCatName val="0"/>
          <c:showSerName val="0"/>
          <c:showPercent val="0"/>
          <c:showBubbleSize val="0"/>
        </c:dLbls>
        <c:axId val="453389624"/>
        <c:axId val="453390800"/>
      </c:scatterChart>
      <c:valAx>
        <c:axId val="4533896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0800"/>
        <c:crossesAt val="-1.5000000000000005E-3"/>
        <c:crossBetween val="midCat"/>
      </c:valAx>
      <c:valAx>
        <c:axId val="45339080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896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7233.6489560907294</c:v>
                </c:pt>
                <c:pt idx="1">
                  <c:v>7233.6412789301585</c:v>
                </c:pt>
                <c:pt idx="2">
                  <c:v>7233.5645546389878</c:v>
                </c:pt>
                <c:pt idx="3">
                  <c:v>7232.8020149385047</c:v>
                </c:pt>
                <c:pt idx="4">
                  <c:v>7225.6199716255396</c:v>
                </c:pt>
                <c:pt idx="5">
                  <c:v>7180.283603972659</c:v>
                </c:pt>
                <c:pt idx="6">
                  <c:v>7042.6121356681679</c:v>
                </c:pt>
                <c:pt idx="7">
                  <c:v>6896.7246874619395</c:v>
                </c:pt>
                <c:pt idx="8">
                  <c:v>6728.194025170129</c:v>
                </c:pt>
                <c:pt idx="9">
                  <c:v>6522.9891517081924</c:v>
                </c:pt>
                <c:pt idx="10">
                  <c:v>6323.3511858935899</c:v>
                </c:pt>
                <c:pt idx="11">
                  <c:v>6061.456618964623</c:v>
                </c:pt>
                <c:pt idx="12">
                  <c:v>5776.0099456976832</c:v>
                </c:pt>
                <c:pt idx="13">
                  <c:v>5496.5417911767963</c:v>
                </c:pt>
                <c:pt idx="14">
                  <c:v>5187.9066871761761</c:v>
                </c:pt>
                <c:pt idx="15">
                  <c:v>4846.7024738878008</c:v>
                </c:pt>
                <c:pt idx="16">
                  <c:v>4307.1897145932844</c:v>
                </c:pt>
                <c:pt idx="17">
                  <c:v>3424.4341767327073</c:v>
                </c:pt>
                <c:pt idx="18">
                  <c:v>2457.5308781659355</c:v>
                </c:pt>
                <c:pt idx="19">
                  <c:v>1610.9849973113182</c:v>
                </c:pt>
                <c:pt idx="20">
                  <c:v>942.67451279802947</c:v>
                </c:pt>
                <c:pt idx="21">
                  <c:v>510.3275488058012</c:v>
                </c:pt>
                <c:pt idx="22">
                  <c:v>271.37260344935805</c:v>
                </c:pt>
                <c:pt idx="23">
                  <c:v>152.44342274073426</c:v>
                </c:pt>
                <c:pt idx="24">
                  <c:v>114.50482120715523</c:v>
                </c:pt>
                <c:pt idx="25">
                  <c:v>101.04198976888745</c:v>
                </c:pt>
                <c:pt idx="26">
                  <c:v>93.150658619000509</c:v>
                </c:pt>
                <c:pt idx="27">
                  <c:v>92.441321139508887</c:v>
                </c:pt>
                <c:pt idx="28">
                  <c:v>91.488868639986578</c:v>
                </c:pt>
                <c:pt idx="29">
                  <c:v>91.043668630577599</c:v>
                </c:pt>
                <c:pt idx="30">
                  <c:v>90.322551729589989</c:v>
                </c:pt>
              </c:numCache>
            </c:numRef>
          </c:yVal>
          <c:smooth val="1"/>
        </c:ser>
        <c:dLbls>
          <c:showLegendKey val="0"/>
          <c:showVal val="0"/>
          <c:showCatName val="0"/>
          <c:showSerName val="0"/>
          <c:showPercent val="0"/>
          <c:showBubbleSize val="0"/>
        </c:dLbls>
        <c:axId val="450391144"/>
        <c:axId val="450389968"/>
      </c:scatterChart>
      <c:valAx>
        <c:axId val="4503911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89968"/>
        <c:crosses val="autoZero"/>
        <c:crossBetween val="midCat"/>
      </c:valAx>
      <c:valAx>
        <c:axId val="4503899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9114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2.7700742555804285E-2</c:v>
                </c:pt>
                <c:pt idx="11">
                  <c:v>2.7705050531332855E-2</c:v>
                </c:pt>
                <c:pt idx="12">
                  <c:v>2.774809319000647E-2</c:v>
                </c:pt>
                <c:pt idx="13">
                  <c:v>2.8167595214956015E-2</c:v>
                </c:pt>
                <c:pt idx="14">
                  <c:v>3.1503473991149521E-2</c:v>
                </c:pt>
                <c:pt idx="15">
                  <c:v>4.4469427472068869E-2</c:v>
                </c:pt>
                <c:pt idx="16">
                  <c:v>6.4052841555903892E-2</c:v>
                </c:pt>
                <c:pt idx="17">
                  <c:v>7.7758979533215755E-2</c:v>
                </c:pt>
                <c:pt idx="18">
                  <c:v>8.5890910389080546E-2</c:v>
                </c:pt>
                <c:pt idx="19">
                  <c:v>9.4484745823594049E-2</c:v>
                </c:pt>
                <c:pt idx="20">
                  <c:v>8.6926891301300713E-2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7.3542702044208817E-3</c:v>
                </c:pt>
                <c:pt idx="1">
                  <c:v>7.3641412390939177E-3</c:v>
                </c:pt>
                <c:pt idx="2">
                  <c:v>7.3588523691531698E-3</c:v>
                </c:pt>
                <c:pt idx="3">
                  <c:v>7.3575085915212907E-3</c:v>
                </c:pt>
                <c:pt idx="4">
                  <c:v>7.3573228593036858E-3</c:v>
                </c:pt>
                <c:pt idx="5">
                  <c:v>7.3592019934459046E-3</c:v>
                </c:pt>
                <c:pt idx="6">
                  <c:v>7.3791184124460448E-3</c:v>
                </c:pt>
                <c:pt idx="7">
                  <c:v>7.5763111935377601E-3</c:v>
                </c:pt>
                <c:pt idx="8">
                  <c:v>9.3358999211381414E-3</c:v>
                </c:pt>
                <c:pt idx="9">
                  <c:v>1.8027375557692207E-2</c:v>
                </c:pt>
                <c:pt idx="10">
                  <c:v>3.6537140210049113E-2</c:v>
                </c:pt>
                <c:pt idx="11">
                  <c:v>4.218703086803928E-2</c:v>
                </c:pt>
                <c:pt idx="12">
                  <c:v>4.863963046585372E-2</c:v>
                </c:pt>
                <c:pt idx="13">
                  <c:v>5.7925624803748826E-2</c:v>
                </c:pt>
                <c:pt idx="14">
                  <c:v>6.1598933420649461E-2</c:v>
                </c:pt>
                <c:pt idx="15">
                  <c:v>7.6332995065986495E-2</c:v>
                </c:pt>
                <c:pt idx="16">
                  <c:v>8.1788564153777402E-2</c:v>
                </c:pt>
                <c:pt idx="17">
                  <c:v>5.6904067304225384E-2</c:v>
                </c:pt>
                <c:pt idx="18">
                  <c:v>3.5787101865135368E-2</c:v>
                </c:pt>
                <c:pt idx="19">
                  <c:v>0.165399306966964</c:v>
                </c:pt>
                <c:pt idx="20">
                  <c:v>0.19932273713370713</c:v>
                </c:pt>
                <c:pt idx="21">
                  <c:v>9.3462015826988626E-2</c:v>
                </c:pt>
                <c:pt idx="22">
                  <c:v>7.7659421400875825E-2</c:v>
                </c:pt>
                <c:pt idx="23">
                  <c:v>0.26447603852697149</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6.5239103455425098E-5</c:v>
                </c:pt>
                <c:pt idx="11">
                  <c:v>9.9909817512575547E-5</c:v>
                </c:pt>
                <c:pt idx="12">
                  <c:v>1.2699563172351597E-4</c:v>
                </c:pt>
                <c:pt idx="13">
                  <c:v>1.4165718954895444E-4</c:v>
                </c:pt>
                <c:pt idx="14">
                  <c:v>1.3268046894378128E-4</c:v>
                </c:pt>
                <c:pt idx="15">
                  <c:v>1.0968740977638522E-4</c:v>
                </c:pt>
                <c:pt idx="16">
                  <c:v>7.6744826413116293E-5</c:v>
                </c:pt>
                <c:pt idx="17">
                  <c:v>6.0070112589477583E-5</c:v>
                </c:pt>
                <c:pt idx="18">
                  <c:v>3.6156749095694184E-5</c:v>
                </c:pt>
                <c:pt idx="19">
                  <c:v>3.4205181604394563E-5</c:v>
                </c:pt>
                <c:pt idx="20">
                  <c:v>1.104411102315309E-5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1.6859155743936254E-2</c:v>
                </c:pt>
                <c:pt idx="11">
                  <c:v>7.1728091883613201E-3</c:v>
                </c:pt>
                <c:pt idx="12">
                  <c:v>5.1099467919866271E-3</c:v>
                </c:pt>
                <c:pt idx="13">
                  <c:v>0.2621014146146074</c:v>
                </c:pt>
                <c:pt idx="14">
                  <c:v>0.45371777436340249</c:v>
                </c:pt>
                <c:pt idx="15">
                  <c:v>0.46041631079476303</c:v>
                </c:pt>
                <c:pt idx="16">
                  <c:v>0.50321743168744115</c:v>
                </c:pt>
                <c:pt idx="17">
                  <c:v>0.45284408265893505</c:v>
                </c:pt>
                <c:pt idx="18">
                  <c:v>0.35405391598951169</c:v>
                </c:pt>
                <c:pt idx="19">
                  <c:v>0.25100912980745305</c:v>
                </c:pt>
                <c:pt idx="20">
                  <c:v>0.16857548727676186</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50394280"/>
        <c:axId val="450391928"/>
      </c:scatterChart>
      <c:valAx>
        <c:axId val="4503942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91928"/>
        <c:crossesAt val="1.0000000000000005E-9"/>
        <c:crossBetween val="midCat"/>
      </c:valAx>
      <c:valAx>
        <c:axId val="450391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9428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-21.592748433065772</c:v>
                </c:pt>
                <c:pt idx="1">
                  <c:v>-17.596432358829645</c:v>
                </c:pt>
                <c:pt idx="2">
                  <c:v>-15.24976564949475</c:v>
                </c:pt>
                <c:pt idx="3">
                  <c:v>-8.555378080915407</c:v>
                </c:pt>
                <c:pt idx="4">
                  <c:v>0</c:v>
                </c:pt>
                <c:pt idx="5">
                  <c:v>17.695201106913999</c:v>
                </c:pt>
                <c:pt idx="6">
                  <c:v>21.815131002612322</c:v>
                </c:pt>
              </c:numCache>
            </c:numRef>
          </c:yVal>
          <c:smooth val="0"/>
        </c:ser>
        <c:dLbls>
          <c:showLegendKey val="0"/>
          <c:showVal val="0"/>
          <c:showCatName val="0"/>
          <c:showSerName val="0"/>
          <c:showPercent val="0"/>
          <c:showBubbleSize val="0"/>
        </c:dLbls>
        <c:axId val="450393104"/>
        <c:axId val="450393888"/>
      </c:scatterChart>
      <c:valAx>
        <c:axId val="450393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93888"/>
        <c:crossesAt val="-100"/>
        <c:crossBetween val="midCat"/>
      </c:valAx>
      <c:valAx>
        <c:axId val="45039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9310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50387224"/>
        <c:axId val="453393544"/>
      </c:scatterChart>
      <c:valAx>
        <c:axId val="45038722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3544"/>
        <c:crosses val="autoZero"/>
        <c:crossBetween val="midCat"/>
      </c:valAx>
      <c:valAx>
        <c:axId val="4533935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8722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4.1916837249277672E-25</c:v>
                </c:pt>
                <c:pt idx="1">
                  <c:v>4.191683724927767E-24</c:v>
                </c:pt>
                <c:pt idx="2">
                  <c:v>4.1916837249277667E-23</c:v>
                </c:pt>
                <c:pt idx="3">
                  <c:v>4.1916837249277669E-22</c:v>
                </c:pt>
                <c:pt idx="4">
                  <c:v>4.1916837249277667E-21</c:v>
                </c:pt>
                <c:pt idx="5">
                  <c:v>4.191683724927767E-20</c:v>
                </c:pt>
                <c:pt idx="6">
                  <c:v>4.1916837249277672E-19</c:v>
                </c:pt>
                <c:pt idx="7">
                  <c:v>4.1916837249277668E-18</c:v>
                </c:pt>
                <c:pt idx="8">
                  <c:v>4.1916837249277665E-17</c:v>
                </c:pt>
                <c:pt idx="9">
                  <c:v>4.1916837249277666E-16</c:v>
                </c:pt>
                <c:pt idx="10">
                  <c:v>4.1916837249277668E-15</c:v>
                </c:pt>
                <c:pt idx="11">
                  <c:v>4.1916837249277668E-14</c:v>
                </c:pt>
                <c:pt idx="12">
                  <c:v>4.1916837249277668E-13</c:v>
                </c:pt>
                <c:pt idx="13">
                  <c:v>4.191683724927767E-12</c:v>
                </c:pt>
                <c:pt idx="14">
                  <c:v>4.1916837249277668E-11</c:v>
                </c:pt>
                <c:pt idx="15">
                  <c:v>4.191683724927767E-10</c:v>
                </c:pt>
                <c:pt idx="16">
                  <c:v>4.1916837249277665E-9</c:v>
                </c:pt>
                <c:pt idx="17">
                  <c:v>4.1916837249277669E-8</c:v>
                </c:pt>
                <c:pt idx="18">
                  <c:v>4.191683724927767E-7</c:v>
                </c:pt>
                <c:pt idx="19">
                  <c:v>4.1916837249277669E-6</c:v>
                </c:pt>
                <c:pt idx="20">
                  <c:v>4.1916837249277669E-5</c:v>
                </c:pt>
                <c:pt idx="21">
                  <c:v>4.1916837249277668E-4</c:v>
                </c:pt>
                <c:pt idx="22">
                  <c:v>4.191683724927767E-3</c:v>
                </c:pt>
                <c:pt idx="23">
                  <c:v>4.1916837249277666E-2</c:v>
                </c:pt>
                <c:pt idx="24">
                  <c:v>0.41916837249277666</c:v>
                </c:pt>
                <c:pt idx="25">
                  <c:v>4.191683724927767</c:v>
                </c:pt>
                <c:pt idx="26">
                  <c:v>41.91683724927767</c:v>
                </c:pt>
                <c:pt idx="27">
                  <c:v>419.16837249277665</c:v>
                </c:pt>
                <c:pt idx="28">
                  <c:v>4191.6837249277669</c:v>
                </c:pt>
                <c:pt idx="29">
                  <c:v>41916.837249277669</c:v>
                </c:pt>
                <c:pt idx="30">
                  <c:v>419168.37249277666</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2.2801663141821097E-23</c:v>
                </c:pt>
                <c:pt idx="1">
                  <c:v>2.2801663141821096E-22</c:v>
                </c:pt>
                <c:pt idx="2">
                  <c:v>2.2801663141821093E-21</c:v>
                </c:pt>
                <c:pt idx="3">
                  <c:v>2.2801663141821093E-20</c:v>
                </c:pt>
                <c:pt idx="4">
                  <c:v>2.2801663141821092E-19</c:v>
                </c:pt>
                <c:pt idx="5">
                  <c:v>2.2801663141821095E-18</c:v>
                </c:pt>
                <c:pt idx="6">
                  <c:v>2.2801663141821095E-17</c:v>
                </c:pt>
                <c:pt idx="7">
                  <c:v>2.2801663141821095E-16</c:v>
                </c:pt>
                <c:pt idx="8">
                  <c:v>2.2801663141821094E-15</c:v>
                </c:pt>
                <c:pt idx="9">
                  <c:v>2.2801663141821093E-14</c:v>
                </c:pt>
                <c:pt idx="10">
                  <c:v>2.2801663141821094E-13</c:v>
                </c:pt>
                <c:pt idx="11">
                  <c:v>2.2801663141821096E-12</c:v>
                </c:pt>
                <c:pt idx="12">
                  <c:v>2.2801663141821094E-11</c:v>
                </c:pt>
                <c:pt idx="13">
                  <c:v>2.2801663141821094E-10</c:v>
                </c:pt>
                <c:pt idx="14">
                  <c:v>2.2801663141821097E-9</c:v>
                </c:pt>
                <c:pt idx="15">
                  <c:v>2.2801663141821095E-8</c:v>
                </c:pt>
                <c:pt idx="16">
                  <c:v>2.2801663141821093E-7</c:v>
                </c:pt>
                <c:pt idx="17">
                  <c:v>2.2801663141821093E-6</c:v>
                </c:pt>
                <c:pt idx="18">
                  <c:v>2.2801663141821096E-5</c:v>
                </c:pt>
                <c:pt idx="19">
                  <c:v>2.2801663141821095E-4</c:v>
                </c:pt>
                <c:pt idx="20">
                  <c:v>2.2801663141821093E-3</c:v>
                </c:pt>
                <c:pt idx="21">
                  <c:v>2.2801663141821093E-2</c:v>
                </c:pt>
                <c:pt idx="22">
                  <c:v>0.22801663141821094</c:v>
                </c:pt>
                <c:pt idx="23">
                  <c:v>2.2801663141821096</c:v>
                </c:pt>
                <c:pt idx="24">
                  <c:v>22.801663141821095</c:v>
                </c:pt>
                <c:pt idx="25">
                  <c:v>228.01663141821095</c:v>
                </c:pt>
                <c:pt idx="26">
                  <c:v>2280.1663141821095</c:v>
                </c:pt>
                <c:pt idx="27">
                  <c:v>22801.663141821093</c:v>
                </c:pt>
                <c:pt idx="28">
                  <c:v>228016.63141821095</c:v>
                </c:pt>
                <c:pt idx="29">
                  <c:v>2280166.3141821097</c:v>
                </c:pt>
                <c:pt idx="30">
                  <c:v>22801663.141821094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2.3829280424622621E-22</c:v>
                </c:pt>
                <c:pt idx="1">
                  <c:v>2.3829280424622617E-21</c:v>
                </c:pt>
                <c:pt idx="2">
                  <c:v>2.3829280424622618E-20</c:v>
                </c:pt>
                <c:pt idx="3">
                  <c:v>2.3829280424622616E-19</c:v>
                </c:pt>
                <c:pt idx="4">
                  <c:v>2.3829280424622617E-18</c:v>
                </c:pt>
                <c:pt idx="5">
                  <c:v>2.3829280424622619E-17</c:v>
                </c:pt>
                <c:pt idx="6">
                  <c:v>2.3829280424622621E-16</c:v>
                </c:pt>
                <c:pt idx="7">
                  <c:v>2.3829280424622619E-15</c:v>
                </c:pt>
                <c:pt idx="8">
                  <c:v>2.3829280424622616E-14</c:v>
                </c:pt>
                <c:pt idx="9">
                  <c:v>2.382928042462262E-13</c:v>
                </c:pt>
                <c:pt idx="10">
                  <c:v>2.3829280424622621E-12</c:v>
                </c:pt>
                <c:pt idx="11">
                  <c:v>2.3829280424622619E-11</c:v>
                </c:pt>
                <c:pt idx="12">
                  <c:v>2.3829280424622618E-10</c:v>
                </c:pt>
                <c:pt idx="13">
                  <c:v>2.382928042462262E-9</c:v>
                </c:pt>
                <c:pt idx="14">
                  <c:v>2.382928042462262E-8</c:v>
                </c:pt>
                <c:pt idx="15">
                  <c:v>2.3829280424622618E-7</c:v>
                </c:pt>
                <c:pt idx="16">
                  <c:v>2.3829280424622618E-6</c:v>
                </c:pt>
                <c:pt idx="17">
                  <c:v>2.3829280424622618E-5</c:v>
                </c:pt>
                <c:pt idx="18">
                  <c:v>2.3829280424622618E-4</c:v>
                </c:pt>
                <c:pt idx="19">
                  <c:v>2.3829280424622619E-3</c:v>
                </c:pt>
                <c:pt idx="20">
                  <c:v>2.382928042462262E-2</c:v>
                </c:pt>
                <c:pt idx="21">
                  <c:v>0.23829280424622618</c:v>
                </c:pt>
                <c:pt idx="22">
                  <c:v>2.3829280424622619</c:v>
                </c:pt>
                <c:pt idx="23">
                  <c:v>23.829280424622617</c:v>
                </c:pt>
                <c:pt idx="24">
                  <c:v>238.29280424622618</c:v>
                </c:pt>
                <c:pt idx="25">
                  <c:v>2382.9280424622616</c:v>
                </c:pt>
                <c:pt idx="26">
                  <c:v>23829.280424622619</c:v>
                </c:pt>
                <c:pt idx="27">
                  <c:v>238292.80424622618</c:v>
                </c:pt>
                <c:pt idx="28">
                  <c:v>2382928.0424622619</c:v>
                </c:pt>
                <c:pt idx="29">
                  <c:v>23829280.424622618</c:v>
                </c:pt>
                <c:pt idx="30">
                  <c:v>238292804.24622619</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1.9250699236629017E-19</c:v>
                </c:pt>
                <c:pt idx="1">
                  <c:v>1.9250699236629015E-18</c:v>
                </c:pt>
                <c:pt idx="2">
                  <c:v>1.9250699236629017E-17</c:v>
                </c:pt>
                <c:pt idx="3">
                  <c:v>1.9250699236629014E-16</c:v>
                </c:pt>
                <c:pt idx="4">
                  <c:v>1.9250699236629012E-15</c:v>
                </c:pt>
                <c:pt idx="5">
                  <c:v>1.9250699236629015E-14</c:v>
                </c:pt>
                <c:pt idx="6">
                  <c:v>1.9250699236629017E-13</c:v>
                </c:pt>
                <c:pt idx="7">
                  <c:v>1.9250699236629017E-12</c:v>
                </c:pt>
                <c:pt idx="8">
                  <c:v>1.9250699236629016E-11</c:v>
                </c:pt>
                <c:pt idx="9">
                  <c:v>1.9250699236629014E-10</c:v>
                </c:pt>
                <c:pt idx="10">
                  <c:v>1.9250699236629017E-9</c:v>
                </c:pt>
                <c:pt idx="11">
                  <c:v>1.9250699236629015E-8</c:v>
                </c:pt>
                <c:pt idx="12">
                  <c:v>1.9250699236629015E-7</c:v>
                </c:pt>
                <c:pt idx="13">
                  <c:v>1.9250699236629014E-6</c:v>
                </c:pt>
                <c:pt idx="14">
                  <c:v>1.9250699236629017E-5</c:v>
                </c:pt>
                <c:pt idx="15">
                  <c:v>1.9250699236629017E-4</c:v>
                </c:pt>
                <c:pt idx="16">
                  <c:v>1.9250699236629015E-3</c:v>
                </c:pt>
                <c:pt idx="17">
                  <c:v>1.9250699236629015E-2</c:v>
                </c:pt>
                <c:pt idx="18">
                  <c:v>0.19250699236629015</c:v>
                </c:pt>
                <c:pt idx="19">
                  <c:v>1.9250699236629016</c:v>
                </c:pt>
                <c:pt idx="20">
                  <c:v>19.250699236629014</c:v>
                </c:pt>
                <c:pt idx="21">
                  <c:v>192.50699236629015</c:v>
                </c:pt>
                <c:pt idx="22">
                  <c:v>1925.0699236629016</c:v>
                </c:pt>
                <c:pt idx="23">
                  <c:v>19250.699236629014</c:v>
                </c:pt>
                <c:pt idx="24">
                  <c:v>192506.99236629016</c:v>
                </c:pt>
                <c:pt idx="25">
                  <c:v>1925069.9236629016</c:v>
                </c:pt>
                <c:pt idx="26">
                  <c:v>19250699.236629017</c:v>
                </c:pt>
                <c:pt idx="27">
                  <c:v>192506992.36629015</c:v>
                </c:pt>
                <c:pt idx="28">
                  <c:v>1925069923.6629016</c:v>
                </c:pt>
                <c:pt idx="29">
                  <c:v>19250699236.629017</c:v>
                </c:pt>
                <c:pt idx="30">
                  <c:v>192506992366.29016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4.8409232465443706E-8</c:v>
                </c:pt>
                <c:pt idx="1">
                  <c:v>4.8409232465443698E-7</c:v>
                </c:pt>
                <c:pt idx="2">
                  <c:v>4.8409232465443706E-6</c:v>
                </c:pt>
                <c:pt idx="3">
                  <c:v>4.8409232465443701E-5</c:v>
                </c:pt>
                <c:pt idx="4">
                  <c:v>4.84092324654437E-4</c:v>
                </c:pt>
                <c:pt idx="5">
                  <c:v>4.8409232465443704E-3</c:v>
                </c:pt>
                <c:pt idx="6">
                  <c:v>4.8409232465443708E-2</c:v>
                </c:pt>
                <c:pt idx="7">
                  <c:v>0.48409232465443702</c:v>
                </c:pt>
                <c:pt idx="8">
                  <c:v>4.8409232465443699</c:v>
                </c:pt>
                <c:pt idx="9">
                  <c:v>48.409232465443701</c:v>
                </c:pt>
                <c:pt idx="10">
                  <c:v>484.09232465443705</c:v>
                </c:pt>
                <c:pt idx="11">
                  <c:v>4840.9232465443702</c:v>
                </c:pt>
                <c:pt idx="12">
                  <c:v>48409.232465443703</c:v>
                </c:pt>
                <c:pt idx="13">
                  <c:v>484092.32465443702</c:v>
                </c:pt>
                <c:pt idx="14">
                  <c:v>4840923.2465443704</c:v>
                </c:pt>
                <c:pt idx="15">
                  <c:v>48409232.465443701</c:v>
                </c:pt>
                <c:pt idx="16">
                  <c:v>484092324.65443701</c:v>
                </c:pt>
                <c:pt idx="17">
                  <c:v>4840923246.5443707</c:v>
                </c:pt>
                <c:pt idx="18">
                  <c:v>48409232465.443703</c:v>
                </c:pt>
                <c:pt idx="19">
                  <c:v>484092324654.43701</c:v>
                </c:pt>
                <c:pt idx="20">
                  <c:v>4840923246544.3701</c:v>
                </c:pt>
                <c:pt idx="21">
                  <c:v>48409232465443.703</c:v>
                </c:pt>
                <c:pt idx="22">
                  <c:v>484092324654437</c:v>
                </c:pt>
                <c:pt idx="23">
                  <c:v>4840923246544370</c:v>
                </c:pt>
                <c:pt idx="24">
                  <c:v>4.8409232465443704E+16</c:v>
                </c:pt>
                <c:pt idx="25">
                  <c:v>4.8409232465443706E+17</c:v>
                </c:pt>
                <c:pt idx="26">
                  <c:v>4.8409232465443707E+18</c:v>
                </c:pt>
                <c:pt idx="27">
                  <c:v>4.8409232465443701E+19</c:v>
                </c:pt>
                <c:pt idx="28">
                  <c:v>4.8409232465443704E+20</c:v>
                </c:pt>
                <c:pt idx="29">
                  <c:v>4.8409232465443705E+21</c:v>
                </c:pt>
                <c:pt idx="30">
                  <c:v>4.8409232465443699E+22</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2.9798267631784186E-6</c:v>
                </c:pt>
                <c:pt idx="1">
                  <c:v>2.9798267631784181E-5</c:v>
                </c:pt>
                <c:pt idx="2">
                  <c:v>2.9798267631784181E-4</c:v>
                </c:pt>
                <c:pt idx="3">
                  <c:v>2.9798267631784181E-3</c:v>
                </c:pt>
                <c:pt idx="4">
                  <c:v>2.979826763178418E-2</c:v>
                </c:pt>
                <c:pt idx="5">
                  <c:v>0.29798267631784181</c:v>
                </c:pt>
                <c:pt idx="6">
                  <c:v>2.9798267631784183</c:v>
                </c:pt>
                <c:pt idx="7">
                  <c:v>29.798267631784185</c:v>
                </c:pt>
                <c:pt idx="8">
                  <c:v>297.98267631784182</c:v>
                </c:pt>
                <c:pt idx="9">
                  <c:v>2979.8267631784183</c:v>
                </c:pt>
                <c:pt idx="10">
                  <c:v>29798.267631784183</c:v>
                </c:pt>
                <c:pt idx="11">
                  <c:v>297982.67631784186</c:v>
                </c:pt>
                <c:pt idx="12">
                  <c:v>2979826.7631784184</c:v>
                </c:pt>
                <c:pt idx="13">
                  <c:v>29798267.631784182</c:v>
                </c:pt>
                <c:pt idx="14">
                  <c:v>297982676.31784183</c:v>
                </c:pt>
                <c:pt idx="15">
                  <c:v>2979826763.1784182</c:v>
                </c:pt>
                <c:pt idx="16">
                  <c:v>29798267631.784184</c:v>
                </c:pt>
                <c:pt idx="17">
                  <c:v>297982676317.8418</c:v>
                </c:pt>
                <c:pt idx="18">
                  <c:v>2979826763178.4185</c:v>
                </c:pt>
                <c:pt idx="19">
                  <c:v>29798267631784.184</c:v>
                </c:pt>
                <c:pt idx="20">
                  <c:v>297982676317841.81</c:v>
                </c:pt>
                <c:pt idx="21">
                  <c:v>2979826763178418.5</c:v>
                </c:pt>
                <c:pt idx="22">
                  <c:v>2.9798267631784184E+16</c:v>
                </c:pt>
                <c:pt idx="23">
                  <c:v>2.9798267631784186E+17</c:v>
                </c:pt>
                <c:pt idx="24">
                  <c:v>2.9798267631784182E+18</c:v>
                </c:pt>
                <c:pt idx="25">
                  <c:v>2.9798267631784182E+19</c:v>
                </c:pt>
                <c:pt idx="26">
                  <c:v>2.9798267631784185E+20</c:v>
                </c:pt>
                <c:pt idx="27">
                  <c:v>2.9798267631784181E+21</c:v>
                </c:pt>
                <c:pt idx="28">
                  <c:v>2.9798267631784184E+22</c:v>
                </c:pt>
                <c:pt idx="29">
                  <c:v>2.9798267631784182E+23</c:v>
                </c:pt>
                <c:pt idx="30">
                  <c:v>2.9798267631784185E+24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53390016"/>
        <c:axId val="453388056"/>
      </c:scatterChart>
      <c:valAx>
        <c:axId val="45339001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88056"/>
        <c:crosses val="autoZero"/>
        <c:crossBetween val="midCat"/>
      </c:valAx>
      <c:valAx>
        <c:axId val="453388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9001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4.1916837249277672E-25</c:v>
                </c:pt>
                <c:pt idx="1">
                  <c:v>4.191683724927767E-24</c:v>
                </c:pt>
                <c:pt idx="2">
                  <c:v>4.1916837249277667E-23</c:v>
                </c:pt>
                <c:pt idx="3">
                  <c:v>4.1916837249277669E-22</c:v>
                </c:pt>
                <c:pt idx="4">
                  <c:v>4.1916837249277667E-21</c:v>
                </c:pt>
                <c:pt idx="5">
                  <c:v>4.191683724927767E-20</c:v>
                </c:pt>
                <c:pt idx="6">
                  <c:v>4.1916837249277672E-19</c:v>
                </c:pt>
                <c:pt idx="7">
                  <c:v>4.1916837249277668E-18</c:v>
                </c:pt>
                <c:pt idx="8">
                  <c:v>4.1916837249277665E-17</c:v>
                </c:pt>
                <c:pt idx="9">
                  <c:v>4.1916837249277666E-16</c:v>
                </c:pt>
                <c:pt idx="10">
                  <c:v>4.1916837249277668E-15</c:v>
                </c:pt>
                <c:pt idx="11">
                  <c:v>4.1916837249277668E-14</c:v>
                </c:pt>
                <c:pt idx="12">
                  <c:v>4.1916837249277668E-13</c:v>
                </c:pt>
                <c:pt idx="13">
                  <c:v>4.191683724927767E-12</c:v>
                </c:pt>
                <c:pt idx="14">
                  <c:v>4.1916837249277668E-11</c:v>
                </c:pt>
                <c:pt idx="15">
                  <c:v>4.191683724927767E-10</c:v>
                </c:pt>
                <c:pt idx="16">
                  <c:v>4.1916837249277665E-9</c:v>
                </c:pt>
                <c:pt idx="17">
                  <c:v>4.1916837249277669E-8</c:v>
                </c:pt>
                <c:pt idx="18">
                  <c:v>4.191683724927767E-7</c:v>
                </c:pt>
                <c:pt idx="19">
                  <c:v>4.1916837249277669E-6</c:v>
                </c:pt>
                <c:pt idx="20">
                  <c:v>4.1916837249277669E-5</c:v>
                </c:pt>
                <c:pt idx="21">
                  <c:v>4.1916837249277668E-4</c:v>
                </c:pt>
                <c:pt idx="22">
                  <c:v>4.191683724927767E-3</c:v>
                </c:pt>
                <c:pt idx="23">
                  <c:v>4.1916837249277666E-2</c:v>
                </c:pt>
                <c:pt idx="24">
                  <c:v>0.41916837249277666</c:v>
                </c:pt>
                <c:pt idx="25">
                  <c:v>4.191683724927767</c:v>
                </c:pt>
                <c:pt idx="26">
                  <c:v>41.91683724927767</c:v>
                </c:pt>
                <c:pt idx="27">
                  <c:v>419.16837249277665</c:v>
                </c:pt>
                <c:pt idx="28">
                  <c:v>4191.6837249277669</c:v>
                </c:pt>
                <c:pt idx="29">
                  <c:v>41916.837249277669</c:v>
                </c:pt>
                <c:pt idx="30">
                  <c:v>419168.37249277666</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2.2801663141821097E-23</c:v>
                </c:pt>
                <c:pt idx="1">
                  <c:v>2.2801663141821096E-22</c:v>
                </c:pt>
                <c:pt idx="2">
                  <c:v>2.2801663141821093E-21</c:v>
                </c:pt>
                <c:pt idx="3">
                  <c:v>2.2801663141821093E-20</c:v>
                </c:pt>
                <c:pt idx="4">
                  <c:v>2.2801663141821092E-19</c:v>
                </c:pt>
                <c:pt idx="5">
                  <c:v>2.2801663141821095E-18</c:v>
                </c:pt>
                <c:pt idx="6">
                  <c:v>2.2801663141821095E-17</c:v>
                </c:pt>
                <c:pt idx="7">
                  <c:v>2.2801663141821095E-16</c:v>
                </c:pt>
                <c:pt idx="8">
                  <c:v>2.2801663141821094E-15</c:v>
                </c:pt>
                <c:pt idx="9">
                  <c:v>2.2801663141821093E-14</c:v>
                </c:pt>
                <c:pt idx="10">
                  <c:v>2.2801663141821094E-13</c:v>
                </c:pt>
                <c:pt idx="11">
                  <c:v>2.2801663141821096E-12</c:v>
                </c:pt>
                <c:pt idx="12">
                  <c:v>2.2801663141821094E-11</c:v>
                </c:pt>
                <c:pt idx="13">
                  <c:v>2.2801663141821094E-10</c:v>
                </c:pt>
                <c:pt idx="14">
                  <c:v>2.2801663141821097E-9</c:v>
                </c:pt>
                <c:pt idx="15">
                  <c:v>2.2801663141821095E-8</c:v>
                </c:pt>
                <c:pt idx="16">
                  <c:v>2.2801663141821093E-7</c:v>
                </c:pt>
                <c:pt idx="17">
                  <c:v>2.2801663141821093E-6</c:v>
                </c:pt>
                <c:pt idx="18">
                  <c:v>2.2801663141821096E-5</c:v>
                </c:pt>
                <c:pt idx="19">
                  <c:v>2.2801663141821095E-4</c:v>
                </c:pt>
                <c:pt idx="20">
                  <c:v>2.2801663141821093E-3</c:v>
                </c:pt>
                <c:pt idx="21">
                  <c:v>2.2801663141821093E-2</c:v>
                </c:pt>
                <c:pt idx="22">
                  <c:v>0.22801663141821094</c:v>
                </c:pt>
                <c:pt idx="23">
                  <c:v>2.2801663141821096</c:v>
                </c:pt>
                <c:pt idx="24">
                  <c:v>22.801663141821095</c:v>
                </c:pt>
                <c:pt idx="25">
                  <c:v>228.01663141821095</c:v>
                </c:pt>
                <c:pt idx="26">
                  <c:v>2280.1663141821095</c:v>
                </c:pt>
                <c:pt idx="27">
                  <c:v>22801.663141821093</c:v>
                </c:pt>
                <c:pt idx="28">
                  <c:v>228016.63141821095</c:v>
                </c:pt>
                <c:pt idx="29">
                  <c:v>2280166.3141821097</c:v>
                </c:pt>
                <c:pt idx="30">
                  <c:v>22801663.141821094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2.3829280424622621E-22</c:v>
                </c:pt>
                <c:pt idx="1">
                  <c:v>2.3829280424622617E-21</c:v>
                </c:pt>
                <c:pt idx="2">
                  <c:v>2.3829280424622618E-20</c:v>
                </c:pt>
                <c:pt idx="3">
                  <c:v>2.3829280424622616E-19</c:v>
                </c:pt>
                <c:pt idx="4">
                  <c:v>2.3829280424622617E-18</c:v>
                </c:pt>
                <c:pt idx="5">
                  <c:v>2.3829280424622619E-17</c:v>
                </c:pt>
                <c:pt idx="6">
                  <c:v>2.3829280424622621E-16</c:v>
                </c:pt>
                <c:pt idx="7">
                  <c:v>2.3829280424622619E-15</c:v>
                </c:pt>
                <c:pt idx="8">
                  <c:v>2.3829280424622616E-14</c:v>
                </c:pt>
                <c:pt idx="9">
                  <c:v>2.382928042462262E-13</c:v>
                </c:pt>
                <c:pt idx="10">
                  <c:v>2.3829280424622621E-12</c:v>
                </c:pt>
                <c:pt idx="11">
                  <c:v>2.3829280424622619E-11</c:v>
                </c:pt>
                <c:pt idx="12">
                  <c:v>2.3829280424622618E-10</c:v>
                </c:pt>
                <c:pt idx="13">
                  <c:v>2.382928042462262E-9</c:v>
                </c:pt>
                <c:pt idx="14">
                  <c:v>2.382928042462262E-8</c:v>
                </c:pt>
                <c:pt idx="15">
                  <c:v>2.3829280424622618E-7</c:v>
                </c:pt>
                <c:pt idx="16">
                  <c:v>2.3829280424622618E-6</c:v>
                </c:pt>
                <c:pt idx="17">
                  <c:v>2.3829280424622618E-5</c:v>
                </c:pt>
                <c:pt idx="18">
                  <c:v>2.3829280424622618E-4</c:v>
                </c:pt>
                <c:pt idx="19">
                  <c:v>2.3829280424622619E-3</c:v>
                </c:pt>
                <c:pt idx="20">
                  <c:v>2.382928042462262E-2</c:v>
                </c:pt>
                <c:pt idx="21">
                  <c:v>0.23829280424622618</c:v>
                </c:pt>
                <c:pt idx="22">
                  <c:v>2.3829280424622619</c:v>
                </c:pt>
                <c:pt idx="23">
                  <c:v>23.829280424622617</c:v>
                </c:pt>
                <c:pt idx="24">
                  <c:v>238.29280424622618</c:v>
                </c:pt>
                <c:pt idx="25">
                  <c:v>2382.9280424622616</c:v>
                </c:pt>
                <c:pt idx="26">
                  <c:v>23829.280424622619</c:v>
                </c:pt>
                <c:pt idx="27">
                  <c:v>238292.80424622618</c:v>
                </c:pt>
                <c:pt idx="28">
                  <c:v>2382928.0424622619</c:v>
                </c:pt>
                <c:pt idx="29">
                  <c:v>23829280.424622618</c:v>
                </c:pt>
                <c:pt idx="30">
                  <c:v>238292804.24622619</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1.9250699236629017E-19</c:v>
                </c:pt>
                <c:pt idx="1">
                  <c:v>1.9250699236629015E-18</c:v>
                </c:pt>
                <c:pt idx="2">
                  <c:v>1.9250699236629017E-17</c:v>
                </c:pt>
                <c:pt idx="3">
                  <c:v>1.9250699236629014E-16</c:v>
                </c:pt>
                <c:pt idx="4">
                  <c:v>1.9250699236629012E-15</c:v>
                </c:pt>
                <c:pt idx="5">
                  <c:v>1.9250699236629015E-14</c:v>
                </c:pt>
                <c:pt idx="6">
                  <c:v>1.9250699236629017E-13</c:v>
                </c:pt>
                <c:pt idx="7">
                  <c:v>1.9250699236629017E-12</c:v>
                </c:pt>
                <c:pt idx="8">
                  <c:v>1.9250699236629016E-11</c:v>
                </c:pt>
                <c:pt idx="9">
                  <c:v>1.9250699236629014E-10</c:v>
                </c:pt>
                <c:pt idx="10">
                  <c:v>1.9250699236629017E-9</c:v>
                </c:pt>
                <c:pt idx="11">
                  <c:v>1.9250699236629015E-8</c:v>
                </c:pt>
                <c:pt idx="12">
                  <c:v>1.9250699236629015E-7</c:v>
                </c:pt>
                <c:pt idx="13">
                  <c:v>1.9250699236629014E-6</c:v>
                </c:pt>
                <c:pt idx="14">
                  <c:v>1.9250699236629017E-5</c:v>
                </c:pt>
                <c:pt idx="15">
                  <c:v>1.9250699236629017E-4</c:v>
                </c:pt>
                <c:pt idx="16">
                  <c:v>1.9250699236629015E-3</c:v>
                </c:pt>
                <c:pt idx="17">
                  <c:v>1.9250699236629015E-2</c:v>
                </c:pt>
                <c:pt idx="18">
                  <c:v>0.19250699236629015</c:v>
                </c:pt>
                <c:pt idx="19">
                  <c:v>1.9250699236629016</c:v>
                </c:pt>
                <c:pt idx="20">
                  <c:v>19.250699236629014</c:v>
                </c:pt>
                <c:pt idx="21">
                  <c:v>192.50699236629015</c:v>
                </c:pt>
                <c:pt idx="22">
                  <c:v>1925.0699236629016</c:v>
                </c:pt>
                <c:pt idx="23">
                  <c:v>19250.699236629014</c:v>
                </c:pt>
                <c:pt idx="24">
                  <c:v>192506.99236629016</c:v>
                </c:pt>
                <c:pt idx="25">
                  <c:v>1925069.9236629016</c:v>
                </c:pt>
                <c:pt idx="26">
                  <c:v>19250699.236629017</c:v>
                </c:pt>
                <c:pt idx="27">
                  <c:v>192506992.36629015</c:v>
                </c:pt>
                <c:pt idx="28">
                  <c:v>1925069923.6629016</c:v>
                </c:pt>
                <c:pt idx="29">
                  <c:v>19250699236.629017</c:v>
                </c:pt>
                <c:pt idx="30">
                  <c:v>192506992366.29016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4.8409232465443706E-8</c:v>
                </c:pt>
                <c:pt idx="1">
                  <c:v>4.8409232465443698E-7</c:v>
                </c:pt>
                <c:pt idx="2">
                  <c:v>4.8409232465443706E-6</c:v>
                </c:pt>
                <c:pt idx="3">
                  <c:v>4.8409232465443701E-5</c:v>
                </c:pt>
                <c:pt idx="4">
                  <c:v>4.84092324654437E-4</c:v>
                </c:pt>
                <c:pt idx="5">
                  <c:v>4.8409232465443704E-3</c:v>
                </c:pt>
                <c:pt idx="6">
                  <c:v>4.8409232465443708E-2</c:v>
                </c:pt>
                <c:pt idx="7">
                  <c:v>0.48409232465443702</c:v>
                </c:pt>
                <c:pt idx="8">
                  <c:v>4.8409232465443699</c:v>
                </c:pt>
                <c:pt idx="9">
                  <c:v>48.409232465443701</c:v>
                </c:pt>
                <c:pt idx="10">
                  <c:v>484.09232465443705</c:v>
                </c:pt>
                <c:pt idx="11">
                  <c:v>4840.9232465443702</c:v>
                </c:pt>
                <c:pt idx="12">
                  <c:v>48409.232465443703</c:v>
                </c:pt>
                <c:pt idx="13">
                  <c:v>484092.32465443702</c:v>
                </c:pt>
                <c:pt idx="14">
                  <c:v>4840923.2465443704</c:v>
                </c:pt>
                <c:pt idx="15">
                  <c:v>48409232.465443701</c:v>
                </c:pt>
                <c:pt idx="16">
                  <c:v>484092324.65443701</c:v>
                </c:pt>
                <c:pt idx="17">
                  <c:v>4840923246.5443707</c:v>
                </c:pt>
                <c:pt idx="18">
                  <c:v>48409232465.443703</c:v>
                </c:pt>
                <c:pt idx="19">
                  <c:v>484092324654.43701</c:v>
                </c:pt>
                <c:pt idx="20">
                  <c:v>4840923246544.3701</c:v>
                </c:pt>
                <c:pt idx="21">
                  <c:v>48409232465443.703</c:v>
                </c:pt>
                <c:pt idx="22">
                  <c:v>484092324654437</c:v>
                </c:pt>
                <c:pt idx="23">
                  <c:v>4840923246544370</c:v>
                </c:pt>
                <c:pt idx="24">
                  <c:v>4.8409232465443704E+16</c:v>
                </c:pt>
                <c:pt idx="25">
                  <c:v>4.8409232465443706E+17</c:v>
                </c:pt>
                <c:pt idx="26">
                  <c:v>4.8409232465443707E+18</c:v>
                </c:pt>
                <c:pt idx="27">
                  <c:v>4.8409232465443701E+19</c:v>
                </c:pt>
                <c:pt idx="28">
                  <c:v>4.8409232465443704E+20</c:v>
                </c:pt>
                <c:pt idx="29">
                  <c:v>4.8409232465443705E+21</c:v>
                </c:pt>
                <c:pt idx="30">
                  <c:v>4.8409232465443699E+22</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2.9798267631784186E-6</c:v>
                </c:pt>
                <c:pt idx="1">
                  <c:v>2.9798267631784181E-5</c:v>
                </c:pt>
                <c:pt idx="2">
                  <c:v>2.9798267631784181E-4</c:v>
                </c:pt>
                <c:pt idx="3">
                  <c:v>2.9798267631784181E-3</c:v>
                </c:pt>
                <c:pt idx="4">
                  <c:v>2.979826763178418E-2</c:v>
                </c:pt>
                <c:pt idx="5">
                  <c:v>0.29798267631784181</c:v>
                </c:pt>
                <c:pt idx="6">
                  <c:v>2.9798267631784183</c:v>
                </c:pt>
                <c:pt idx="7">
                  <c:v>29.798267631784185</c:v>
                </c:pt>
                <c:pt idx="8">
                  <c:v>297.98267631784182</c:v>
                </c:pt>
                <c:pt idx="9">
                  <c:v>2979.8267631784183</c:v>
                </c:pt>
                <c:pt idx="10">
                  <c:v>29798.267631784183</c:v>
                </c:pt>
                <c:pt idx="11">
                  <c:v>297982.67631784186</c:v>
                </c:pt>
                <c:pt idx="12">
                  <c:v>2979826.7631784184</c:v>
                </c:pt>
                <c:pt idx="13">
                  <c:v>29798267.631784182</c:v>
                </c:pt>
                <c:pt idx="14">
                  <c:v>297982676.31784183</c:v>
                </c:pt>
                <c:pt idx="15">
                  <c:v>2979826763.1784182</c:v>
                </c:pt>
                <c:pt idx="16">
                  <c:v>29798267631.784184</c:v>
                </c:pt>
                <c:pt idx="17">
                  <c:v>297982676317.8418</c:v>
                </c:pt>
                <c:pt idx="18">
                  <c:v>2979826763178.4185</c:v>
                </c:pt>
                <c:pt idx="19">
                  <c:v>29798267631784.184</c:v>
                </c:pt>
                <c:pt idx="20">
                  <c:v>297982676317841.81</c:v>
                </c:pt>
                <c:pt idx="21">
                  <c:v>2979826763178418.5</c:v>
                </c:pt>
                <c:pt idx="22">
                  <c:v>2.9798267631784184E+16</c:v>
                </c:pt>
                <c:pt idx="23">
                  <c:v>2.9798267631784186E+17</c:v>
                </c:pt>
                <c:pt idx="24">
                  <c:v>2.9798267631784182E+18</c:v>
                </c:pt>
                <c:pt idx="25">
                  <c:v>2.9798267631784182E+19</c:v>
                </c:pt>
                <c:pt idx="26">
                  <c:v>2.9798267631784185E+20</c:v>
                </c:pt>
                <c:pt idx="27">
                  <c:v>2.9798267631784181E+21</c:v>
                </c:pt>
                <c:pt idx="28">
                  <c:v>2.9798267631784184E+22</c:v>
                </c:pt>
                <c:pt idx="29">
                  <c:v>2.9798267631784182E+23</c:v>
                </c:pt>
                <c:pt idx="30">
                  <c:v>2.9798267631784185E+24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7621104"/>
        <c:axId val="451261056"/>
      </c:scatterChart>
      <c:valAx>
        <c:axId val="44762110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61056"/>
        <c:crosses val="autoZero"/>
        <c:crossBetween val="midCat"/>
      </c:valAx>
      <c:valAx>
        <c:axId val="451261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2110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-21.592748433065772</c:v>
                </c:pt>
                <c:pt idx="1">
                  <c:v>-21.469605473318303</c:v>
                </c:pt>
                <c:pt idx="2">
                  <c:v>-21.346549699529156</c:v>
                </c:pt>
                <c:pt idx="3">
                  <c:v>-21.223668297656641</c:v>
                </c:pt>
                <c:pt idx="4">
                  <c:v>-21.101048453659079</c:v>
                </c:pt>
                <c:pt idx="5">
                  <c:v>-20.978777353494785</c:v>
                </c:pt>
                <c:pt idx="6">
                  <c:v>-20.856942183122079</c:v>
                </c:pt>
                <c:pt idx="7">
                  <c:v>-20.735630128499274</c:v>
                </c:pt>
                <c:pt idx="8">
                  <c:v>-20.614928375584697</c:v>
                </c:pt>
                <c:pt idx="9">
                  <c:v>-20.494924110336651</c:v>
                </c:pt>
                <c:pt idx="10">
                  <c:v>-20.375704518713462</c:v>
                </c:pt>
                <c:pt idx="11">
                  <c:v>-20.257356786673448</c:v>
                </c:pt>
                <c:pt idx="12">
                  <c:v>-20.139968100174922</c:v>
                </c:pt>
                <c:pt idx="13">
                  <c:v>-20.023625645176207</c:v>
                </c:pt>
                <c:pt idx="14">
                  <c:v>-19.908416607635615</c:v>
                </c:pt>
                <c:pt idx="15">
                  <c:v>-19.794428173511463</c:v>
                </c:pt>
                <c:pt idx="16">
                  <c:v>-19.681747528762074</c:v>
                </c:pt>
                <c:pt idx="17">
                  <c:v>-19.570461859345762</c:v>
                </c:pt>
                <c:pt idx="18">
                  <c:v>-19.460658351220847</c:v>
                </c:pt>
                <c:pt idx="19">
                  <c:v>-19.352424190345641</c:v>
                </c:pt>
                <c:pt idx="20">
                  <c:v>-19.245846562678462</c:v>
                </c:pt>
                <c:pt idx="21">
                  <c:v>-19.141012654177629</c:v>
                </c:pt>
                <c:pt idx="22">
                  <c:v>-19.038009650801463</c:v>
                </c:pt>
                <c:pt idx="23">
                  <c:v>-18.936924738508274</c:v>
                </c:pt>
                <c:pt idx="24">
                  <c:v>-18.837845103256385</c:v>
                </c:pt>
                <c:pt idx="25">
                  <c:v>-18.740857931004115</c:v>
                </c:pt>
                <c:pt idx="26">
                  <c:v>-18.646050407709772</c:v>
                </c:pt>
                <c:pt idx="27">
                  <c:v>-18.553509719331682</c:v>
                </c:pt>
                <c:pt idx="28">
                  <c:v>-18.463323051828159</c:v>
                </c:pt>
                <c:pt idx="29">
                  <c:v>-18.375577591157523</c:v>
                </c:pt>
                <c:pt idx="30">
                  <c:v>-18.290360523278085</c:v>
                </c:pt>
                <c:pt idx="31">
                  <c:v>-18.207759034148168</c:v>
                </c:pt>
                <c:pt idx="32">
                  <c:v>-18.127860309726088</c:v>
                </c:pt>
                <c:pt idx="33">
                  <c:v>-18.050751535970164</c:v>
                </c:pt>
                <c:pt idx="34">
                  <c:v>-17.97651989883871</c:v>
                </c:pt>
                <c:pt idx="35">
                  <c:v>-17.905252584290043</c:v>
                </c:pt>
                <c:pt idx="36">
                  <c:v>-17.837036778282481</c:v>
                </c:pt>
                <c:pt idx="37">
                  <c:v>-17.771959666774343</c:v>
                </c:pt>
                <c:pt idx="38">
                  <c:v>-17.710108435723946</c:v>
                </c:pt>
                <c:pt idx="39">
                  <c:v>-17.651570271089607</c:v>
                </c:pt>
                <c:pt idx="40">
                  <c:v>-17.596432358829649</c:v>
                </c:pt>
                <c:pt idx="41">
                  <c:v>-17.526767661265556</c:v>
                </c:pt>
                <c:pt idx="42">
                  <c:v>-17.459955294045685</c:v>
                </c:pt>
                <c:pt idx="43">
                  <c:v>-17.395360149181549</c:v>
                </c:pt>
                <c:pt idx="44">
                  <c:v>-17.332347118684673</c:v>
                </c:pt>
                <c:pt idx="45">
                  <c:v>-17.270281094566588</c:v>
                </c:pt>
                <c:pt idx="46">
                  <c:v>-17.208526968838804</c:v>
                </c:pt>
                <c:pt idx="47">
                  <c:v>-17.146449633512852</c:v>
                </c:pt>
                <c:pt idx="48">
                  <c:v>-17.083413980600252</c:v>
                </c:pt>
                <c:pt idx="49">
                  <c:v>-17.018784902112529</c:v>
                </c:pt>
                <c:pt idx="50">
                  <c:v>-16.951927290061207</c:v>
                </c:pt>
                <c:pt idx="51">
                  <c:v>-16.882206036457799</c:v>
                </c:pt>
                <c:pt idx="52">
                  <c:v>-16.808986033313843</c:v>
                </c:pt>
                <c:pt idx="53">
                  <c:v>-16.73163217264085</c:v>
                </c:pt>
                <c:pt idx="54">
                  <c:v>-16.649509346450351</c:v>
                </c:pt>
                <c:pt idx="55">
                  <c:v>-16.561982446753859</c:v>
                </c:pt>
                <c:pt idx="56">
                  <c:v>-16.468416365562909</c:v>
                </c:pt>
                <c:pt idx="57">
                  <c:v>-16.368175994889015</c:v>
                </c:pt>
                <c:pt idx="58">
                  <c:v>-16.260626226743703</c:v>
                </c:pt>
                <c:pt idx="59">
                  <c:v>-16.145131953138499</c:v>
                </c:pt>
                <c:pt idx="60">
                  <c:v>-16.021058066084922</c:v>
                </c:pt>
                <c:pt idx="61">
                  <c:v>-15.887769457594494</c:v>
                </c:pt>
                <c:pt idx="62">
                  <c:v>-15.74463101967874</c:v>
                </c:pt>
                <c:pt idx="63">
                  <c:v>-15.591007644349183</c:v>
                </c:pt>
                <c:pt idx="64">
                  <c:v>-15.426264223617345</c:v>
                </c:pt>
                <c:pt idx="65">
                  <c:v>-15.249765649494751</c:v>
                </c:pt>
                <c:pt idx="66">
                  <c:v>-15.061094170313098</c:v>
                </c:pt>
                <c:pt idx="67">
                  <c:v>-14.860701459684803</c:v>
                </c:pt>
                <c:pt idx="68">
                  <c:v>-14.649256547542448</c:v>
                </c:pt>
                <c:pt idx="69">
                  <c:v>-14.427428463818627</c:v>
                </c:pt>
                <c:pt idx="70">
                  <c:v>-14.195886238445929</c:v>
                </c:pt>
                <c:pt idx="71">
                  <c:v>-13.955298901356946</c:v>
                </c:pt>
                <c:pt idx="72">
                  <c:v>-13.70633548248426</c:v>
                </c:pt>
                <c:pt idx="73">
                  <c:v>-13.449665011760468</c:v>
                </c:pt>
                <c:pt idx="74">
                  <c:v>-13.185956519118157</c:v>
                </c:pt>
                <c:pt idx="75">
                  <c:v>-12.915879034489913</c:v>
                </c:pt>
                <c:pt idx="76">
                  <c:v>-12.64010158780833</c:v>
                </c:pt>
                <c:pt idx="77">
                  <c:v>-12.359293209005994</c:v>
                </c:pt>
                <c:pt idx="78">
                  <c:v>-12.074122928015495</c:v>
                </c:pt>
                <c:pt idx="79">
                  <c:v>-11.785259774769425</c:v>
                </c:pt>
                <c:pt idx="80">
                  <c:v>-11.493372779200371</c:v>
                </c:pt>
                <c:pt idx="81">
                  <c:v>-11.199130971240924</c:v>
                </c:pt>
                <c:pt idx="82">
                  <c:v>-10.903203380823673</c:v>
                </c:pt>
                <c:pt idx="83">
                  <c:v>-10.606259037881204</c:v>
                </c:pt>
                <c:pt idx="84">
                  <c:v>-10.308966972346109</c:v>
                </c:pt>
                <c:pt idx="85">
                  <c:v>-10.01199621415098</c:v>
                </c:pt>
                <c:pt idx="86">
                  <c:v>-9.7160157932284026</c:v>
                </c:pt>
                <c:pt idx="87">
                  <c:v>-9.4216947395109667</c:v>
                </c:pt>
                <c:pt idx="88">
                  <c:v>-9.1297020829312636</c:v>
                </c:pt>
                <c:pt idx="89">
                  <c:v>-8.8407068534218798</c:v>
                </c:pt>
                <c:pt idx="90">
                  <c:v>-8.555378080915407</c:v>
                </c:pt>
                <c:pt idx="91">
                  <c:v>-8.2741989136452592</c:v>
                </c:pt>
                <c:pt idx="92">
                  <c:v>-7.9969089730481526</c:v>
                </c:pt>
                <c:pt idx="93">
                  <c:v>-7.7230619988616276</c:v>
                </c:pt>
                <c:pt idx="94">
                  <c:v>-7.4522117308232243</c:v>
                </c:pt>
                <c:pt idx="95">
                  <c:v>-7.1839119086704857</c:v>
                </c:pt>
                <c:pt idx="96">
                  <c:v>-6.9177162721409511</c:v>
                </c:pt>
                <c:pt idx="97">
                  <c:v>-6.6531785609721616</c:v>
                </c:pt>
                <c:pt idx="98">
                  <c:v>-6.3898525149016594</c:v>
                </c:pt>
                <c:pt idx="99">
                  <c:v>-6.1272918736669846</c:v>
                </c:pt>
                <c:pt idx="100">
                  <c:v>-5.8650503770056774</c:v>
                </c:pt>
                <c:pt idx="101">
                  <c:v>-5.60268176465528</c:v>
                </c:pt>
                <c:pt idx="102">
                  <c:v>-5.3397397763533316</c:v>
                </c:pt>
                <c:pt idx="103">
                  <c:v>-5.075778151837377</c:v>
                </c:pt>
                <c:pt idx="104">
                  <c:v>-4.8103506308449537</c:v>
                </c:pt>
                <c:pt idx="105">
                  <c:v>-4.5430109531136038</c:v>
                </c:pt>
                <c:pt idx="106">
                  <c:v>-4.2733128583808675</c:v>
                </c:pt>
                <c:pt idx="107">
                  <c:v>-4.0008100863842859</c:v>
                </c:pt>
                <c:pt idx="108">
                  <c:v>-3.725056376861402</c:v>
                </c:pt>
                <c:pt idx="109">
                  <c:v>-3.4456054695497551</c:v>
                </c:pt>
                <c:pt idx="110">
                  <c:v>-3.162011104186885</c:v>
                </c:pt>
                <c:pt idx="111">
                  <c:v>-2.8738270205103347</c:v>
                </c:pt>
                <c:pt idx="112">
                  <c:v>-2.5806069582576443</c:v>
                </c:pt>
                <c:pt idx="113">
                  <c:v>-2.281904657166355</c:v>
                </c:pt>
                <c:pt idx="114">
                  <c:v>-1.977273856974008</c:v>
                </c:pt>
                <c:pt idx="115">
                  <c:v>-1.6662682974181435</c:v>
                </c:pt>
                <c:pt idx="116">
                  <c:v>-1.3484417182363031</c:v>
                </c:pt>
                <c:pt idx="117">
                  <c:v>-1.0233478591660279</c:v>
                </c:pt>
                <c:pt idx="118">
                  <c:v>-0.69054045994485791</c:v>
                </c:pt>
                <c:pt idx="119">
                  <c:v>-0.3495732603103352</c:v>
                </c:pt>
                <c:pt idx="120">
                  <c:v>0</c:v>
                </c:pt>
                <c:pt idx="121">
                  <c:v>0.35846998203255909</c:v>
                </c:pt>
                <c:pt idx="122">
                  <c:v>0.72550494996956627</c:v>
                </c:pt>
                <c:pt idx="123">
                  <c:v>1.1006175687771975</c:v>
                </c:pt>
                <c:pt idx="124">
                  <c:v>1.4833205034216301</c:v>
                </c:pt>
                <c:pt idx="125">
                  <c:v>1.87312641886904</c:v>
                </c:pt>
                <c:pt idx="126">
                  <c:v>2.269547980085604</c:v>
                </c:pt>
                <c:pt idx="127">
                  <c:v>2.6720978520374987</c:v>
                </c:pt>
                <c:pt idx="128">
                  <c:v>3.0802886996909007</c:v>
                </c:pt>
                <c:pt idx="129">
                  <c:v>3.493633188011986</c:v>
                </c:pt>
                <c:pt idx="130">
                  <c:v>3.9116439819669324</c:v>
                </c:pt>
                <c:pt idx="131">
                  <c:v>4.3338337465219148</c:v>
                </c:pt>
                <c:pt idx="132">
                  <c:v>4.7597151466431109</c:v>
                </c:pt>
                <c:pt idx="133">
                  <c:v>5.1888008472966982</c:v>
                </c:pt>
                <c:pt idx="134">
                  <c:v>5.6206035134488506</c:v>
                </c:pt>
                <c:pt idx="135">
                  <c:v>6.054635810065748</c:v>
                </c:pt>
                <c:pt idx="136">
                  <c:v>6.4904104021135636</c:v>
                </c:pt>
                <c:pt idx="137">
                  <c:v>6.9274399545584755</c:v>
                </c:pt>
                <c:pt idx="138">
                  <c:v>7.3652371323666603</c:v>
                </c:pt>
                <c:pt idx="139">
                  <c:v>7.8033146005042964</c:v>
                </c:pt>
                <c:pt idx="140">
                  <c:v>8.2411850239375575</c:v>
                </c:pt>
                <c:pt idx="141">
                  <c:v>8.6783610676326202</c:v>
                </c:pt>
                <c:pt idx="142">
                  <c:v>9.1143553965556627</c:v>
                </c:pt>
                <c:pt idx="143">
                  <c:v>9.5486806756728608</c:v>
                </c:pt>
                <c:pt idx="144">
                  <c:v>9.9808495699503901</c:v>
                </c:pt>
                <c:pt idx="145">
                  <c:v>10.410374744354431</c:v>
                </c:pt>
                <c:pt idx="146">
                  <c:v>10.836768863851155</c:v>
                </c:pt>
                <c:pt idx="147">
                  <c:v>11.259544593406742</c:v>
                </c:pt>
                <c:pt idx="148">
                  <c:v>11.678214597987367</c:v>
                </c:pt>
                <c:pt idx="149">
                  <c:v>12.092291542559208</c:v>
                </c:pt>
                <c:pt idx="150">
                  <c:v>12.501288092088442</c:v>
                </c:pt>
                <c:pt idx="151">
                  <c:v>12.904716911541243</c:v>
                </c:pt>
                <c:pt idx="152">
                  <c:v>13.302090665883787</c:v>
                </c:pt>
                <c:pt idx="153">
                  <c:v>13.692922020082253</c:v>
                </c:pt>
                <c:pt idx="154">
                  <c:v>14.076723639102818</c:v>
                </c:pt>
                <c:pt idx="155">
                  <c:v>14.453008187911657</c:v>
                </c:pt>
                <c:pt idx="156">
                  <c:v>14.821288331474948</c:v>
                </c:pt>
                <c:pt idx="157">
                  <c:v>15.181076734758864</c:v>
                </c:pt>
                <c:pt idx="158">
                  <c:v>15.53188606272959</c:v>
                </c:pt>
                <c:pt idx="159">
                  <c:v>15.873228980353295</c:v>
                </c:pt>
                <c:pt idx="160">
                  <c:v>16.204618152596154</c:v>
                </c:pt>
                <c:pt idx="161">
                  <c:v>16.525566244424351</c:v>
                </c:pt>
                <c:pt idx="162">
                  <c:v>16.835585920804053</c:v>
                </c:pt>
                <c:pt idx="163">
                  <c:v>17.134189846701446</c:v>
                </c:pt>
                <c:pt idx="164">
                  <c:v>17.420890687082704</c:v>
                </c:pt>
                <c:pt idx="165">
                  <c:v>17.695201106913999</c:v>
                </c:pt>
                <c:pt idx="166">
                  <c:v>17.956776316312791</c:v>
                </c:pt>
                <c:pt idx="167">
                  <c:v>18.205841706001614</c:v>
                </c:pt>
                <c:pt idx="168">
                  <c:v>18.442765211854301</c:v>
                </c:pt>
                <c:pt idx="169">
                  <c:v>18.667914769744673</c:v>
                </c:pt>
                <c:pt idx="170">
                  <c:v>18.881658315546552</c:v>
                </c:pt>
                <c:pt idx="171">
                  <c:v>19.08436378513376</c:v>
                </c:pt>
                <c:pt idx="172">
                  <c:v>19.276399114380116</c:v>
                </c:pt>
                <c:pt idx="173">
                  <c:v>19.458132239159447</c:v>
                </c:pt>
                <c:pt idx="174">
                  <c:v>19.629931095345576</c:v>
                </c:pt>
                <c:pt idx="175">
                  <c:v>19.792163618812321</c:v>
                </c:pt>
                <c:pt idx="176">
                  <c:v>19.945197745433507</c:v>
                </c:pt>
                <c:pt idx="177">
                  <c:v>20.089401411082957</c:v>
                </c:pt>
                <c:pt idx="178">
                  <c:v>20.225142551634491</c:v>
                </c:pt>
                <c:pt idx="179">
                  <c:v>20.352789102961935</c:v>
                </c:pt>
                <c:pt idx="180">
                  <c:v>20.472709000939105</c:v>
                </c:pt>
                <c:pt idx="181">
                  <c:v>20.585270181439832</c:v>
                </c:pt>
                <c:pt idx="182">
                  <c:v>20.69084058033793</c:v>
                </c:pt>
                <c:pt idx="183">
                  <c:v>20.789788133507223</c:v>
                </c:pt>
                <c:pt idx="184">
                  <c:v>20.882480776821541</c:v>
                </c:pt>
                <c:pt idx="185">
                  <c:v>20.969286446154698</c:v>
                </c:pt>
                <c:pt idx="186">
                  <c:v>21.05057307738052</c:v>
                </c:pt>
                <c:pt idx="187">
                  <c:v>21.12670860637283</c:v>
                </c:pt>
                <c:pt idx="188">
                  <c:v>21.198060969005446</c:v>
                </c:pt>
                <c:pt idx="189">
                  <c:v>21.264998101152202</c:v>
                </c:pt>
                <c:pt idx="190">
                  <c:v>21.327887938686903</c:v>
                </c:pt>
                <c:pt idx="191">
                  <c:v>21.387098417483383</c:v>
                </c:pt>
                <c:pt idx="192">
                  <c:v>21.44299747341546</c:v>
                </c:pt>
                <c:pt idx="193">
                  <c:v>21.495953042356959</c:v>
                </c:pt>
                <c:pt idx="194">
                  <c:v>21.546333060181706</c:v>
                </c:pt>
                <c:pt idx="195">
                  <c:v>21.594505462763511</c:v>
                </c:pt>
                <c:pt idx="196">
                  <c:v>21.640838185976207</c:v>
                </c:pt>
                <c:pt idx="197">
                  <c:v>21.685699165693617</c:v>
                </c:pt>
                <c:pt idx="198">
                  <c:v>21.729456337789557</c:v>
                </c:pt>
                <c:pt idx="199">
                  <c:v>21.77247763813785</c:v>
                </c:pt>
                <c:pt idx="200">
                  <c:v>21.815131002612322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-21.592748433065772</c:v>
                </c:pt>
                <c:pt idx="1">
                  <c:v>-17.596432358829645</c:v>
                </c:pt>
                <c:pt idx="2">
                  <c:v>-15.24976564949475</c:v>
                </c:pt>
                <c:pt idx="3">
                  <c:v>-8.555378080915407</c:v>
                </c:pt>
                <c:pt idx="4">
                  <c:v>0</c:v>
                </c:pt>
                <c:pt idx="5">
                  <c:v>17.695201106913999</c:v>
                </c:pt>
                <c:pt idx="6">
                  <c:v>21.815131002612322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-21.599717436572547</c:v>
                </c:pt>
                <c:pt idx="1">
                  <c:v>-21.514953556621833</c:v>
                </c:pt>
                <c:pt idx="2">
                  <c:v>-21.414146134538072</c:v>
                </c:pt>
                <c:pt idx="3">
                  <c:v>-21.300338504480038</c:v>
                </c:pt>
                <c:pt idx="4">
                  <c:v>-21.176270021861654</c:v>
                </c:pt>
                <c:pt idx="5">
                  <c:v>-21.044394935221447</c:v>
                </c:pt>
                <c:pt idx="6">
                  <c:v>-20.90690050049713</c:v>
                </c:pt>
                <c:pt idx="7">
                  <c:v>-20.765724355977909</c:v>
                </c:pt>
                <c:pt idx="8">
                  <c:v>-20.622571176000335</c:v>
                </c:pt>
                <c:pt idx="9">
                  <c:v>-20.478928621253516</c:v>
                </c:pt>
                <c:pt idx="10">
                  <c:v>-20.336082603355294</c:v>
                </c:pt>
                <c:pt idx="11">
                  <c:v>-20.195131881156556</c:v>
                </c:pt>
                <c:pt idx="12">
                  <c:v>-20.057002006030203</c:v>
                </c:pt>
                <c:pt idx="13">
                  <c:v>-19.922458633196555</c:v>
                </c:pt>
                <c:pt idx="14">
                  <c:v>-19.792120215933977</c:v>
                </c:pt>
                <c:pt idx="15">
                  <c:v>-19.666470099320847</c:v>
                </c:pt>
                <c:pt idx="16">
                  <c:v>-19.545868029952089</c:v>
                </c:pt>
                <c:pt idx="17">
                  <c:v>-19.430561097869223</c:v>
                </c:pt>
                <c:pt idx="18">
                  <c:v>-19.320694126741444</c:v>
                </c:pt>
                <c:pt idx="19">
                  <c:v>-19.216319528130448</c:v>
                </c:pt>
                <c:pt idx="20">
                  <c:v>-19.117406635470033</c:v>
                </c:pt>
                <c:pt idx="21">
                  <c:v>-19.023850533187449</c:v>
                </c:pt>
                <c:pt idx="22">
                  <c:v>-18.935480396190627</c:v>
                </c:pt>
                <c:pt idx="23">
                  <c:v>-18.8520673547429</c:v>
                </c:pt>
                <c:pt idx="24">
                  <c:v>-18.77333189954232</c:v>
                </c:pt>
                <c:pt idx="25">
                  <c:v>-18.698950841621389</c:v>
                </c:pt>
                <c:pt idx="26">
                  <c:v>-18.628563841478101</c:v>
                </c:pt>
                <c:pt idx="27">
                  <c:v>-18.561779521647669</c:v>
                </c:pt>
                <c:pt idx="28">
                  <c:v>-18.498181176720042</c:v>
                </c:pt>
                <c:pt idx="29">
                  <c:v>-18.437332094605669</c:v>
                </c:pt>
                <c:pt idx="30">
                  <c:v>-18.37878050264915</c:v>
                </c:pt>
                <c:pt idx="31">
                  <c:v>-18.322064151986545</c:v>
                </c:pt>
                <c:pt idx="32">
                  <c:v>-18.266714553339963</c:v>
                </c:pt>
                <c:pt idx="33">
                  <c:v>-18.212260877238808</c:v>
                </c:pt>
                <c:pt idx="34">
                  <c:v>-18.158233531455242</c:v>
                </c:pt>
                <c:pt idx="35">
                  <c:v>-18.10416742823714</c:v>
                </c:pt>
                <c:pt idx="36">
                  <c:v>-18.04960495371942</c:v>
                </c:pt>
                <c:pt idx="37">
                  <c:v>-17.994098651691409</c:v>
                </c:pt>
                <c:pt idx="38">
                  <c:v>-17.937213633694416</c:v>
                </c:pt>
                <c:pt idx="39">
                  <c:v>-17.878529727221192</c:v>
                </c:pt>
                <c:pt idx="40">
                  <c:v>-17.81764337358528</c:v>
                </c:pt>
                <c:pt idx="41">
                  <c:v>-17.754169286825469</c:v>
                </c:pt>
                <c:pt idx="42">
                  <c:v>-17.687741884807423</c:v>
                </c:pt>
                <c:pt idx="43">
                  <c:v>-17.618016503481368</c:v>
                </c:pt>
                <c:pt idx="44">
                  <c:v>-17.544670405051534</c:v>
                </c:pt>
                <c:pt idx="45">
                  <c:v>-17.467403590610289</c:v>
                </c:pt>
                <c:pt idx="46">
                  <c:v>-17.385939427586301</c:v>
                </c:pt>
                <c:pt idx="47">
                  <c:v>-17.300025102153445</c:v>
                </c:pt>
                <c:pt idx="48">
                  <c:v>-17.209431906543593</c:v>
                </c:pt>
                <c:pt idx="49">
                  <c:v>-17.113955371003748</c:v>
                </c:pt>
                <c:pt idx="50">
                  <c:v>-17.013415249934621</c:v>
                </c:pt>
                <c:pt idx="51">
                  <c:v>-16.907655371544593</c:v>
                </c:pt>
                <c:pt idx="52">
                  <c:v>-16.796543360150189</c:v>
                </c:pt>
                <c:pt idx="53">
                  <c:v>-16.679970240050757</c:v>
                </c:pt>
                <c:pt idx="54">
                  <c:v>-16.55784992970209</c:v>
                </c:pt>
                <c:pt idx="55">
                  <c:v>-16.430118634710688</c:v>
                </c:pt>
                <c:pt idx="56">
                  <c:v>-16.29673414796709</c:v>
                </c:pt>
                <c:pt idx="57">
                  <c:v>-16.157675065033647</c:v>
                </c:pt>
                <c:pt idx="58">
                  <c:v>-16.012939922699164</c:v>
                </c:pt>
                <c:pt idx="59">
                  <c:v>-15.862546268409424</c:v>
                </c:pt>
                <c:pt idx="60">
                  <c:v>-15.706529668079792</c:v>
                </c:pt>
                <c:pt idx="61">
                  <c:v>-15.544942659592774</c:v>
                </c:pt>
                <c:pt idx="62">
                  <c:v>-15.377853659080461</c:v>
                </c:pt>
                <c:pt idx="63">
                  <c:v>-15.205345826888564</c:v>
                </c:pt>
                <c:pt idx="64">
                  <c:v>-15.027515899915665</c:v>
                </c:pt>
                <c:pt idx="65">
                  <c:v>-14.844472996818261</c:v>
                </c:pt>
                <c:pt idx="66">
                  <c:v>-14.656337402368976</c:v>
                </c:pt>
                <c:pt idx="67">
                  <c:v>-14.463239337052299</c:v>
                </c:pt>
                <c:pt idx="68">
                  <c:v>-14.265317717778986</c:v>
                </c:pt>
                <c:pt idx="69">
                  <c:v>-14.062718915397312</c:v>
                </c:pt>
                <c:pt idx="70">
                  <c:v>-13.855595514476093</c:v>
                </c:pt>
                <c:pt idx="71">
                  <c:v>-13.64410508063135</c:v>
                </c:pt>
                <c:pt idx="72">
                  <c:v>-13.428408940465472</c:v>
                </c:pt>
                <c:pt idx="73">
                  <c:v>-13.208670978984413</c:v>
                </c:pt>
                <c:pt idx="74">
                  <c:v>-12.985056459155595</c:v>
                </c:pt>
                <c:pt idx="75">
                  <c:v>-12.757730868065906</c:v>
                </c:pt>
                <c:pt idx="76">
                  <c:v>-12.526858793936109</c:v>
                </c:pt>
                <c:pt idx="77">
                  <c:v>-12.292602838044935</c:v>
                </c:pt>
                <c:pt idx="78">
                  <c:v>-12.055122565412967</c:v>
                </c:pt>
                <c:pt idx="79">
                  <c:v>-11.814573497893317</c:v>
                </c:pt>
                <c:pt idx="80">
                  <c:v>-11.571106153113009</c:v>
                </c:pt>
                <c:pt idx="81">
                  <c:v>-11.324865132505822</c:v>
                </c:pt>
                <c:pt idx="82">
                  <c:v>-11.075988261474381</c:v>
                </c:pt>
                <c:pt idx="83">
                  <c:v>-10.824605784515935</c:v>
                </c:pt>
                <c:pt idx="84">
                  <c:v>-10.570839617943426</c:v>
                </c:pt>
                <c:pt idx="85">
                  <c:v>-10.314802662630088</c:v>
                </c:pt>
                <c:pt idx="86">
                  <c:v>-10.056598179002938</c:v>
                </c:pt>
                <c:pt idx="87">
                  <c:v>-9.7963192263072187</c:v>
                </c:pt>
                <c:pt idx="88">
                  <c:v>-9.5340481679608615</c:v>
                </c:pt>
                <c:pt idx="89">
                  <c:v>-9.2698562446149264</c:v>
                </c:pt>
                <c:pt idx="90">
                  <c:v>-9.0038032163327575</c:v>
                </c:pt>
                <c:pt idx="91">
                  <c:v>-8.7359370750976577</c:v>
                </c:pt>
                <c:pt idx="92">
                  <c:v>-8.4662938286556084</c:v>
                </c:pt>
                <c:pt idx="93">
                  <c:v>-8.194897356496579</c:v>
                </c:pt>
                <c:pt idx="94">
                  <c:v>-7.9217593385747547</c:v>
                </c:pt>
                <c:pt idx="95">
                  <c:v>-7.6468792571650512</c:v>
                </c:pt>
                <c:pt idx="96">
                  <c:v>-7.3702444720499658</c:v>
                </c:pt>
                <c:pt idx="97">
                  <c:v>-7.091830369027905</c:v>
                </c:pt>
                <c:pt idx="98">
                  <c:v>-6.8116005815309331</c:v>
                </c:pt>
                <c:pt idx="99">
                  <c:v>-6.529507284936745</c:v>
                </c:pt>
                <c:pt idx="100">
                  <c:v>-6.2454915629566283</c:v>
                </c:pt>
                <c:pt idx="101">
                  <c:v>-5.959483845278033</c:v>
                </c:pt>
                <c:pt idx="102">
                  <c:v>-5.6714044154372631</c:v>
                </c:pt>
                <c:pt idx="103">
                  <c:v>-5.3811639876946904</c:v>
                </c:pt>
                <c:pt idx="104">
                  <c:v>-5.0886643514818077</c:v>
                </c:pt>
                <c:pt idx="105">
                  <c:v>-4.7937990817862994</c:v>
                </c:pt>
                <c:pt idx="106">
                  <c:v>-4.4964543136382114</c:v>
                </c:pt>
                <c:pt idx="107">
                  <c:v>-4.1965095786572109</c:v>
                </c:pt>
                <c:pt idx="108">
                  <c:v>-3.893838701417768</c:v>
                </c:pt>
                <c:pt idx="109">
                  <c:v>-3.588310753186065</c:v>
                </c:pt>
                <c:pt idx="110">
                  <c:v>-3.279791060379234</c:v>
                </c:pt>
                <c:pt idx="111">
                  <c:v>-2.9681422648944902</c:v>
                </c:pt>
                <c:pt idx="112">
                  <c:v>-2.6532254332525924</c:v>
                </c:pt>
                <c:pt idx="113">
                  <c:v>-2.3349012112969438</c:v>
                </c:pt>
                <c:pt idx="114">
                  <c:v>-2.0130310209865505</c:v>
                </c:pt>
                <c:pt idx="115">
                  <c:v>-1.6874782956179506</c:v>
                </c:pt>
                <c:pt idx="116">
                  <c:v>-1.3581097496081038</c:v>
                </c:pt>
                <c:pt idx="117">
                  <c:v>-1.0247966787671383</c:v>
                </c:pt>
                <c:pt idx="118">
                  <c:v>-0.68741628678672873</c:v>
                </c:pt>
                <c:pt idx="119">
                  <c:v>-0.34585303346678287</c:v>
                </c:pt>
                <c:pt idx="120">
                  <c:v>0</c:v>
                </c:pt>
                <c:pt idx="121">
                  <c:v>0.35023973356924554</c:v>
                </c:pt>
                <c:pt idx="122">
                  <c:v>0.70495170379834582</c:v>
                </c:pt>
                <c:pt idx="123">
                  <c:v>1.0642086775019894</c:v>
                </c:pt>
                <c:pt idx="124">
                  <c:v>1.4280692691026475</c:v>
                </c:pt>
                <c:pt idx="125">
                  <c:v>1.7965765673719964</c:v>
                </c:pt>
                <c:pt idx="126">
                  <c:v>2.1697567774623647</c:v>
                </c:pt>
                <c:pt idx="127">
                  <c:v>2.5476178843303945</c:v>
                </c:pt>
                <c:pt idx="128">
                  <c:v>2.9301483438582259</c:v>
                </c:pt>
                <c:pt idx="129">
                  <c:v>3.3173158081806178</c:v>
                </c:pt>
                <c:pt idx="130">
                  <c:v>3.709065891929519</c:v>
                </c:pt>
                <c:pt idx="131">
                  <c:v>4.105320986310721</c:v>
                </c:pt>
                <c:pt idx="132">
                  <c:v>4.5059791281303507</c:v>
                </c:pt>
                <c:pt idx="133">
                  <c:v>4.9109129310919934</c:v>
                </c:pt>
                <c:pt idx="134">
                  <c:v>5.3199685868884776</c:v>
                </c:pt>
                <c:pt idx="135">
                  <c:v>5.732964943815321</c:v>
                </c:pt>
                <c:pt idx="136">
                  <c:v>6.1496926708360382</c:v>
                </c:pt>
                <c:pt idx="137">
                  <c:v>6.5699135152325914</c:v>
                </c:pt>
                <c:pt idx="138">
                  <c:v>6.9933596621773484</c:v>
                </c:pt>
                <c:pt idx="139">
                  <c:v>7.4197332047660964</c:v>
                </c:pt>
                <c:pt idx="140">
                  <c:v>7.8487057332546382</c:v>
                </c:pt>
                <c:pt idx="141">
                  <c:v>8.2799180524447689</c:v>
                </c:pt>
                <c:pt idx="142">
                  <c:v>8.7129800363683945</c:v>
                </c:pt>
                <c:pt idx="143">
                  <c:v>9.1474706296217487</c:v>
                </c:pt>
                <c:pt idx="144">
                  <c:v>9.5829380049047579</c:v>
                </c:pt>
                <c:pt idx="145">
                  <c:v>10.018899886523661</c:v>
                </c:pt>
                <c:pt idx="146">
                  <c:v>10.454844049818188</c:v>
                </c:pt>
                <c:pt idx="147">
                  <c:v>10.890229006677632</c:v>
                </c:pt>
                <c:pt idx="148">
                  <c:v>11.324484887513307</c:v>
                </c:pt>
                <c:pt idx="149">
                  <c:v>11.757014530257953</c:v>
                </c:pt>
                <c:pt idx="150">
                  <c:v>12.187194787165785</c:v>
                </c:pt>
                <c:pt idx="151">
                  <c:v>12.614378060389994</c:v>
                </c:pt>
                <c:pt idx="152">
                  <c:v>13.037894077517628</c:v>
                </c:pt>
                <c:pt idx="153">
                  <c:v>13.457051918444773</c:v>
                </c:pt>
                <c:pt idx="154">
                  <c:v>13.871142305178301</c:v>
                </c:pt>
                <c:pt idx="155">
                  <c:v>14.279440166353313</c:v>
                </c:pt>
                <c:pt idx="156">
                  <c:v>14.681207488458622</c:v>
                </c:pt>
                <c:pt idx="157">
                  <c:v>15.075696465965802</c:v>
                </c:pt>
                <c:pt idx="158">
                  <c:v>15.462152962760275</c:v>
                </c:pt>
                <c:pt idx="159">
                  <c:v>15.839820297476153</c:v>
                </c:pt>
                <c:pt idx="160">
                  <c:v>16.207943365539606</c:v>
                </c:pt>
                <c:pt idx="161">
                  <c:v>16.565773110928561</c:v>
                </c:pt>
                <c:pt idx="162">
                  <c:v>16.912571360859918</c:v>
                </c:pt>
                <c:pt idx="163">
                  <c:v>17.247616036818119</c:v>
                </c:pt>
                <c:pt idx="164">
                  <c:v>17.570206755542536</c:v>
                </c:pt>
                <c:pt idx="165">
                  <c:v>17.879670833793764</c:v>
                </c:pt>
                <c:pt idx="166">
                  <c:v>18.175369710922446</c:v>
                </c:pt>
                <c:pt idx="167">
                  <c:v>18.456705803467027</c:v>
                </c:pt>
                <c:pt idx="168">
                  <c:v>18.723129806210153</c:v>
                </c:pt>
                <c:pt idx="169">
                  <c:v>18.974148454326425</c:v>
                </c:pt>
                <c:pt idx="170">
                  <c:v>19.209332761457361</c:v>
                </c:pt>
                <c:pt idx="171">
                  <c:v>19.4283267487526</c:v>
                </c:pt>
                <c:pt idx="172">
                  <c:v>19.630856680119372</c:v>
                </c:pt>
                <c:pt idx="173">
                  <c:v>19.816740819125403</c:v>
                </c:pt>
                <c:pt idx="174">
                  <c:v>19.985899723203552</c:v>
                </c:pt>
                <c:pt idx="175">
                  <c:v>20.138367091009727</c:v>
                </c:pt>
                <c:pt idx="176">
                  <c:v>20.274301178988267</c:v>
                </c:pt>
                <c:pt idx="177">
                  <c:v>20.393996803402793</c:v>
                </c:pt>
                <c:pt idx="178">
                  <c:v>20.497897944292966</c:v>
                </c:pt>
                <c:pt idx="179">
                  <c:v>20.586610968021137</c:v>
                </c:pt>
                <c:pt idx="180">
                  <c:v>20.660918485275754</c:v>
                </c:pt>
                <c:pt idx="181">
                  <c:v>20.721793861601657</c:v>
                </c:pt>
                <c:pt idx="182">
                  <c:v>20.770416397730308</c:v>
                </c:pt>
                <c:pt idx="183">
                  <c:v>20.80818719718642</c:v>
                </c:pt>
                <c:pt idx="184">
                  <c:v>20.836745738850116</c:v>
                </c:pt>
                <c:pt idx="185">
                  <c:v>20.857987172357241</c:v>
                </c:pt>
                <c:pt idx="186">
                  <c:v>20.874080354423523</c:v>
                </c:pt>
                <c:pt idx="187">
                  <c:v>20.88748664438106</c:v>
                </c:pt>
                <c:pt idx="188">
                  <c:v>20.900979477419071</c:v>
                </c:pt>
                <c:pt idx="189">
                  <c:v>20.917664734223891</c:v>
                </c:pt>
                <c:pt idx="190">
                  <c:v>20.94100192591608</c:v>
                </c:pt>
                <c:pt idx="191">
                  <c:v>20.974826213385924</c:v>
                </c:pt>
                <c:pt idx="192">
                  <c:v>21.023371280331503</c:v>
                </c:pt>
                <c:pt idx="193">
                  <c:v>21.091293079506698</c:v>
                </c:pt>
                <c:pt idx="194">
                  <c:v>21.183694471889627</c:v>
                </c:pt>
                <c:pt idx="195">
                  <c:v>21.306150778684998</c:v>
                </c:pt>
                <c:pt idx="196">
                  <c:v>21.464736266277178</c:v>
                </c:pt>
                <c:pt idx="197">
                  <c:v>21.666051584453648</c:v>
                </c:pt>
                <c:pt idx="198">
                  <c:v>21.917252178421833</c:v>
                </c:pt>
                <c:pt idx="199">
                  <c:v>22.226077695345303</c:v>
                </c:pt>
                <c:pt idx="200">
                  <c:v>22.600882406328324</c:v>
                </c:pt>
              </c:numCache>
            </c:numRef>
          </c:yVal>
          <c:smooth val="1"/>
        </c:ser>
        <c:dLbls>
          <c:showLegendKey val="0"/>
          <c:showVal val="0"/>
          <c:showCatName val="0"/>
          <c:showSerName val="0"/>
          <c:showPercent val="0"/>
          <c:showBubbleSize val="0"/>
        </c:dLbls>
        <c:axId val="456900960"/>
        <c:axId val="456900568"/>
      </c:scatterChart>
      <c:valAx>
        <c:axId val="45690096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900568"/>
        <c:crossesAt val="-1000"/>
        <c:crossBetween val="midCat"/>
      </c:valAx>
      <c:valAx>
        <c:axId val="456900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90096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0.34803113258856955</v>
      </c>
      <c r="D59" s="55">
        <v>1</v>
      </c>
    </row>
    <row r="60" spans="1:4" s="11" customFormat="1" x14ac:dyDescent="0.25">
      <c r="A60" s="54">
        <v>2</v>
      </c>
      <c r="B60" s="56">
        <f>'Shiftfunktion bestimmen'!N2</f>
        <v>2.193824349321315E-3</v>
      </c>
      <c r="D60" s="55">
        <v>2</v>
      </c>
    </row>
    <row r="61" spans="1:4" s="11" customFormat="1" x14ac:dyDescent="0.25">
      <c r="A61" s="54">
        <v>3</v>
      </c>
      <c r="B61" s="56">
        <f>'Shiftfunktion bestimmen'!N3</f>
        <v>1.5262488730145906E-5</v>
      </c>
      <c r="D61" s="55">
        <v>3</v>
      </c>
    </row>
    <row r="62" spans="1:4" s="11" customFormat="1" x14ac:dyDescent="0.25">
      <c r="A62" s="54">
        <v>4</v>
      </c>
      <c r="B62" s="56">
        <f>'Shiftfunktion bestimmen'!N4</f>
        <v>-4.7429552739035347E-7</v>
      </c>
      <c r="D62" s="55">
        <v>4</v>
      </c>
    </row>
    <row r="63" spans="1:4" s="11" customFormat="1" x14ac:dyDescent="0.25">
      <c r="A63" s="54">
        <v>5</v>
      </c>
      <c r="B63" s="56">
        <f>'Shiftfunktion bestimmen'!N5</f>
        <v>-1.1560355162567215E-8</v>
      </c>
      <c r="D63" s="55">
        <v>5</v>
      </c>
    </row>
    <row r="64" spans="1:4" s="11" customFormat="1" x14ac:dyDescent="0.25">
      <c r="A64" s="54">
        <v>6</v>
      </c>
      <c r="B64" s="56">
        <f>'Shiftfunktion bestimmen'!N6</f>
        <v>-2.5676243381356204E-12</v>
      </c>
      <c r="D64" s="55">
        <v>6</v>
      </c>
    </row>
    <row r="65" spans="1:5" s="11" customFormat="1" x14ac:dyDescent="0.25">
      <c r="A65" s="54">
        <v>7</v>
      </c>
      <c r="B65" s="56">
        <f>'Shiftfunktion bestimmen'!N7</f>
        <v>1.0697054791324989E-12</v>
      </c>
      <c r="D65" s="55">
        <v>7</v>
      </c>
    </row>
    <row r="66" spans="1:5" x14ac:dyDescent="0.25">
      <c r="A66" s="54">
        <v>8</v>
      </c>
      <c r="B66" s="56">
        <f>'Shiftfunktion bestimmen'!N8</f>
        <v>5.0374125225068369E-15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1.3276936189005386E-2</v>
      </c>
      <c r="D74" s="51">
        <v>1</v>
      </c>
      <c r="E74" s="56">
        <f>'Mastercurve bestimmen'!A18</f>
        <v>1.0000000000000001E-30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3.909200422421294E-3</v>
      </c>
      <c r="D78" s="51">
        <v>5</v>
      </c>
      <c r="E78" s="56">
        <f>'Mastercurve bestimmen'!A22</f>
        <v>5.31812225239524E-11</v>
      </c>
    </row>
    <row r="79" spans="1:5" x14ac:dyDescent="0.25">
      <c r="A79" s="50">
        <f t="shared" si="0"/>
        <v>6</v>
      </c>
      <c r="B79" s="56">
        <f>'Mastercurve bestimmen'!C23</f>
        <v>2.3295496720476597E-2</v>
      </c>
      <c r="D79" s="51">
        <v>6</v>
      </c>
      <c r="E79" s="56">
        <f>'Mastercurve bestimmen'!A23</f>
        <v>5.8953789402578301E-10</v>
      </c>
    </row>
    <row r="80" spans="1:5" x14ac:dyDescent="0.25">
      <c r="A80" s="50">
        <f t="shared" si="0"/>
        <v>7</v>
      </c>
      <c r="B80" s="56">
        <f>'Mastercurve bestimmen'!C24</f>
        <v>1.9365606168399295E-2</v>
      </c>
      <c r="D80" s="51">
        <v>7</v>
      </c>
      <c r="E80" s="56">
        <f>'Mastercurve bestimmen'!A24</f>
        <v>6.5352940755699598E-9</v>
      </c>
    </row>
    <row r="81" spans="1:5" x14ac:dyDescent="0.25">
      <c r="A81" s="50">
        <f t="shared" si="0"/>
        <v>8</v>
      </c>
      <c r="B81" s="56">
        <f>'Mastercurve bestimmen'!C25</f>
        <v>2.4448597422102241E-2</v>
      </c>
      <c r="D81" s="51">
        <v>8</v>
      </c>
      <c r="E81" s="56">
        <f>'Mastercurve bestimmen'!A25</f>
        <v>7.2446689325643296E-8</v>
      </c>
    </row>
    <row r="82" spans="1:5" x14ac:dyDescent="0.25">
      <c r="A82" s="50">
        <f t="shared" si="0"/>
        <v>9</v>
      </c>
      <c r="B82" s="56">
        <f>'Mastercurve bestimmen'!C26</f>
        <v>3.2100597383085405E-2</v>
      </c>
      <c r="D82" s="51">
        <f>A82</f>
        <v>9</v>
      </c>
      <c r="E82" s="56">
        <f>'Mastercurve bestimmen'!A26</f>
        <v>8.03104303120212E-7</v>
      </c>
    </row>
    <row r="83" spans="1:5" x14ac:dyDescent="0.25">
      <c r="A83" s="50">
        <f t="shared" si="0"/>
        <v>10</v>
      </c>
      <c r="B83" s="56">
        <f>'Mastercurve bestimmen'!C27</f>
        <v>2.4137735607646905E-2</v>
      </c>
      <c r="C83" s="11"/>
      <c r="D83" s="51">
        <f t="shared" ref="D83:D104" si="1">A83</f>
        <v>10</v>
      </c>
      <c r="E83" s="56">
        <f>'Mastercurve bestimmen'!A27</f>
        <v>8.9027742702096099E-6</v>
      </c>
    </row>
    <row r="84" spans="1:5" x14ac:dyDescent="0.25">
      <c r="A84" s="50">
        <f t="shared" si="0"/>
        <v>11</v>
      </c>
      <c r="B84" s="56">
        <f>'Mastercurve bestimmen'!C28</f>
        <v>4.5517611487633891E-2</v>
      </c>
      <c r="C84" s="11"/>
      <c r="D84" s="51">
        <f t="shared" si="1"/>
        <v>11</v>
      </c>
      <c r="E84" s="56">
        <f>'Mastercurve bestimmen'!A28</f>
        <v>9.86912775817142E-5</v>
      </c>
    </row>
    <row r="85" spans="1:5" x14ac:dyDescent="0.25">
      <c r="A85" s="50">
        <f t="shared" si="0"/>
        <v>12</v>
      </c>
      <c r="B85" s="56">
        <f>'Mastercurve bestimmen'!C29</f>
        <v>3.7438549850033177E-2</v>
      </c>
      <c r="C85" s="11"/>
      <c r="D85" s="51">
        <f t="shared" si="1"/>
        <v>12</v>
      </c>
      <c r="E85" s="56">
        <f>'Mastercurve bestimmen'!A29</f>
        <v>1.0940374286813801E-3</v>
      </c>
    </row>
    <row r="86" spans="1:5" x14ac:dyDescent="0.25">
      <c r="A86" s="50">
        <f t="shared" si="0"/>
        <v>13</v>
      </c>
      <c r="B86" s="56">
        <f>'Mastercurve bestimmen'!C30</f>
        <v>4.1083418704934697E-2</v>
      </c>
      <c r="C86" s="11"/>
      <c r="D86" s="51">
        <f t="shared" si="1"/>
        <v>13</v>
      </c>
      <c r="E86" s="56">
        <f>'Mastercurve bestimmen'!A30</f>
        <v>1.2127899493091E-2</v>
      </c>
    </row>
    <row r="87" spans="1:5" x14ac:dyDescent="0.25">
      <c r="A87" s="50">
        <f t="shared" si="0"/>
        <v>14</v>
      </c>
      <c r="B87" s="56">
        <f>'Mastercurve bestimmen'!C31</f>
        <v>4.6249511553516282E-2</v>
      </c>
      <c r="C87" s="11"/>
      <c r="D87" s="51">
        <f t="shared" si="1"/>
        <v>14</v>
      </c>
      <c r="E87" s="56">
        <f>'Mastercurve bestimmen'!A31</f>
        <v>0.13444324870292301</v>
      </c>
    </row>
    <row r="88" spans="1:5" x14ac:dyDescent="0.25">
      <c r="A88" s="50">
        <f t="shared" si="0"/>
        <v>15</v>
      </c>
      <c r="B88" s="56">
        <f>'Mastercurve bestimmen'!C32</f>
        <v>4.2148935673183355E-2</v>
      </c>
      <c r="C88" s="11"/>
      <c r="D88" s="51">
        <f t="shared" si="1"/>
        <v>15</v>
      </c>
      <c r="E88" s="56">
        <f>'Mastercurve bestimmen'!A32</f>
        <v>1.49036419143257</v>
      </c>
    </row>
    <row r="89" spans="1:5" x14ac:dyDescent="0.25">
      <c r="A89" s="50">
        <f t="shared" si="0"/>
        <v>16</v>
      </c>
      <c r="B89" s="56">
        <f>'Mastercurve bestimmen'!C33</f>
        <v>0.11274262500279238</v>
      </c>
      <c r="C89" s="11"/>
      <c r="D89" s="51">
        <f t="shared" si="1"/>
        <v>16</v>
      </c>
      <c r="E89" s="56">
        <f>'Mastercurve bestimmen'!A33</f>
        <v>16.521360830937301</v>
      </c>
    </row>
    <row r="90" spans="1:5" x14ac:dyDescent="0.25">
      <c r="A90" s="50">
        <f t="shared" si="0"/>
        <v>17</v>
      </c>
      <c r="B90" s="56">
        <f>'Mastercurve bestimmen'!C34</f>
        <v>0.14424606622338945</v>
      </c>
      <c r="C90" s="11"/>
      <c r="D90" s="51">
        <f t="shared" si="1"/>
        <v>17</v>
      </c>
      <c r="E90" s="56">
        <f>'Mastercurve bestimmen'!A34</f>
        <v>183.146753843879</v>
      </c>
    </row>
    <row r="91" spans="1:5" x14ac:dyDescent="0.25">
      <c r="A91" s="50">
        <f t="shared" si="0"/>
        <v>18</v>
      </c>
      <c r="B91" s="56">
        <f>'Mastercurve bestimmen'!C35</f>
        <v>0.12974045708141974</v>
      </c>
      <c r="C91" s="11"/>
      <c r="D91" s="51">
        <f t="shared" si="1"/>
        <v>18</v>
      </c>
      <c r="E91" s="56">
        <f>'Mastercurve bestimmen'!A35</f>
        <v>2030.26456396616</v>
      </c>
    </row>
    <row r="92" spans="1:5" x14ac:dyDescent="0.25">
      <c r="A92" s="50">
        <f t="shared" si="0"/>
        <v>19</v>
      </c>
      <c r="B92" s="56">
        <f>'Mastercurve bestimmen'!C36</f>
        <v>0.10714973449748261</v>
      </c>
      <c r="C92" s="11"/>
      <c r="D92" s="51">
        <f t="shared" si="1"/>
        <v>19</v>
      </c>
      <c r="E92" s="56">
        <f>'Mastercurve bestimmen'!A36</f>
        <v>22506.400540467101</v>
      </c>
    </row>
    <row r="93" spans="1:5" x14ac:dyDescent="0.25">
      <c r="A93" s="50">
        <f t="shared" si="0"/>
        <v>20</v>
      </c>
      <c r="B93" s="56">
        <f>'Mastercurve bestimmen'!C37</f>
        <v>7.4657991153057213E-2</v>
      </c>
      <c r="C93" s="11"/>
      <c r="D93" s="51">
        <f t="shared" si="1"/>
        <v>20</v>
      </c>
      <c r="E93" s="56">
        <f>'Mastercurve bestimmen'!A37</f>
        <v>249493.62476110301</v>
      </c>
    </row>
    <row r="94" spans="1:5" x14ac:dyDescent="0.25">
      <c r="A94" s="50">
        <f t="shared" si="0"/>
        <v>21</v>
      </c>
      <c r="B94" s="56">
        <f>'Mastercurve bestimmen'!C38</f>
        <v>2.5780107678568913E-2</v>
      </c>
      <c r="C94" s="11"/>
      <c r="D94" s="51">
        <f t="shared" si="1"/>
        <v>21</v>
      </c>
      <c r="E94" s="56">
        <f>'Mastercurve bestimmen'!A38</f>
        <v>2765749.6224023802</v>
      </c>
    </row>
    <row r="95" spans="1:5" x14ac:dyDescent="0.25">
      <c r="A95" s="50">
        <f t="shared" si="0"/>
        <v>22</v>
      </c>
      <c r="B95" s="56">
        <f>'Mastercurve bestimmen'!C39</f>
        <v>2.4060337070104312E-2</v>
      </c>
      <c r="C95" s="11"/>
      <c r="D95" s="51">
        <f t="shared" si="1"/>
        <v>22</v>
      </c>
      <c r="E95" s="56">
        <f>'Mastercurve bestimmen'!A39</f>
        <v>10000000</v>
      </c>
    </row>
    <row r="96" spans="1:5" x14ac:dyDescent="0.25">
      <c r="A96" s="50">
        <f t="shared" si="0"/>
        <v>23</v>
      </c>
      <c r="B96" s="56">
        <f>'Mastercurve bestimmen'!C40</f>
        <v>1.2267955807966149E-2</v>
      </c>
      <c r="C96" s="11"/>
      <c r="D96" s="51">
        <f t="shared" si="1"/>
        <v>23</v>
      </c>
      <c r="E96" s="56">
        <f>'Mastercurve bestimmen'!A40</f>
        <v>100000000</v>
      </c>
    </row>
    <row r="97" spans="1:5" x14ac:dyDescent="0.25">
      <c r="A97" s="50">
        <f t="shared" si="0"/>
        <v>24</v>
      </c>
      <c r="B97" s="56">
        <f>'Mastercurve bestimmen'!C41</f>
        <v>7.7350329579382458E-4</v>
      </c>
      <c r="C97" s="11"/>
      <c r="D97" s="51">
        <f t="shared" si="1"/>
        <v>24</v>
      </c>
      <c r="E97" s="56">
        <f>'Mastercurve bestimmen'!A41</f>
        <v>1000000000</v>
      </c>
    </row>
    <row r="98" spans="1:5" x14ac:dyDescent="0.25">
      <c r="A98" s="50">
        <f t="shared" si="0"/>
        <v>25</v>
      </c>
      <c r="B98" s="56">
        <f>'Mastercurve bestimmen'!C42</f>
        <v>2.8862774017939779E-3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1.5898164143456024E-4</v>
      </c>
      <c r="C100" s="11"/>
      <c r="D100" s="51">
        <f t="shared" si="1"/>
        <v>27</v>
      </c>
      <c r="E100" s="56">
        <f>'Mastercurve bestimmen'!A44</f>
        <v>1000000000000</v>
      </c>
    </row>
    <row r="101" spans="1:5" x14ac:dyDescent="0.25">
      <c r="A101" s="50">
        <f t="shared" si="0"/>
        <v>28</v>
      </c>
      <c r="B101" s="56">
        <f>'Mastercurve bestimmen'!C45</f>
        <v>1.3061991748101505E-4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8.1332295555460314E-5</v>
      </c>
      <c r="C103" s="11"/>
      <c r="D103" s="51">
        <f t="shared" si="1"/>
        <v>30</v>
      </c>
      <c r="E103" s="56">
        <f>'Mastercurve bestimmen'!A47</f>
        <v>1000000000000000</v>
      </c>
    </row>
    <row r="104" spans="1:5" x14ac:dyDescent="0.25">
      <c r="A104" s="50">
        <f t="shared" si="0"/>
        <v>31</v>
      </c>
      <c r="B104" s="56">
        <f>'Mastercurve bestimmen'!C48</f>
        <v>6.4178085162845428E-4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9" zoomScale="120" zoomScaleNormal="120" zoomScaleSheetLayoutView="110" workbookViewId="0">
      <selection activeCell="E67" sqref="E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7233.2784973668249</v>
      </c>
      <c r="G16" s="26">
        <f>INDEX(Comparison!$AM$3:$AS$33,G14,$B$3)</f>
        <v>7233.3436741214491</v>
      </c>
      <c r="H16" s="26">
        <f>INDEX(Comparison!$AM$3:$AS$33,H14,$B$3)</f>
        <v>7233.2477630478616</v>
      </c>
      <c r="I16" s="26">
        <f>INDEX(Comparison!$AM$3:$AS$33,I14,$B$3)</f>
        <v>7232.6642193149437</v>
      </c>
      <c r="J16" s="26">
        <f>INDEX(Comparison!$AM$3:$AS$33,J14,$B$3)</f>
        <v>7227.030574444283</v>
      </c>
      <c r="K16" s="26">
        <f>INDEX(Comparison!$AM$3:$AS$33,K14,$B$3)</f>
        <v>7179.9574188317292</v>
      </c>
      <c r="L16" s="26">
        <f>INDEX(Comparison!$AM$3:$AS$33,L14,$B$3)</f>
        <v>7042.6684859234238</v>
      </c>
      <c r="M16" s="26">
        <f>INDEX(Comparison!$AM$3:$AS$33,M14,$B$3)</f>
        <v>6896.670224560311</v>
      </c>
      <c r="N16" s="26">
        <f>INDEX(Comparison!$AM$3:$AS$33,N14,$B$3)</f>
        <v>6728.3118442587265</v>
      </c>
      <c r="O16" s="26">
        <f>INDEX(Comparison!$AM$3:$AS$33,O14,$B$3)</f>
        <v>6522.7483495061197</v>
      </c>
      <c r="P16" s="26">
        <f>INDEX(Comparison!$AM$3:$AS$33,P14,$B$3)</f>
        <v>6323.7668304163335</v>
      </c>
      <c r="Q16" s="26">
        <f>INDEX(Comparison!$AM$3:$AS$33,Q14,$B$3)</f>
        <v>6060.8557573682765</v>
      </c>
      <c r="R16" s="26">
        <f>INDEX(Comparison!$AM$3:$AS$33,R14,$B$3)</f>
        <v>5776.7475493188331</v>
      </c>
      <c r="S16" s="26">
        <f>INDEX(Comparison!$AM$3:$AS$33,S14,$B$3)</f>
        <v>5495.7675366958674</v>
      </c>
      <c r="T16" s="26">
        <f>INDEX(Comparison!$AM$3:$AS$33,T14,$B$3)</f>
        <v>5188.5996988750203</v>
      </c>
      <c r="U16" s="26">
        <f>INDEX(Comparison!$AM$3:$AS$33,U14,$B$3)</f>
        <v>4846.1759775211867</v>
      </c>
      <c r="V16" s="26">
        <f>INDEX(Comparison!$AM$3:$AS$33,V14,$B$3)</f>
        <v>4307.5308640863095</v>
      </c>
      <c r="W16" s="26">
        <f>INDEX(Comparison!$AM$3:$AS$33,W14,$B$3)</f>
        <v>3424.2409160347711</v>
      </c>
      <c r="X16" s="26">
        <f>INDEX(Comparison!$AM$3:$AS$33,X14,$B$3)</f>
        <v>2457.6306581082695</v>
      </c>
      <c r="Y16" s="26">
        <f>INDEX(Comparison!$AM$3:$AS$33,Y14,$B$3)</f>
        <v>1610.938712030013</v>
      </c>
      <c r="Z16" s="26">
        <f>INDEX(Comparison!$AM$3:$AS$33,Z14,$B$3)</f>
        <v>942.69111378955085</v>
      </c>
      <c r="AA16" s="26">
        <f>INDEX(Comparison!$AM$3:$AS$33,AA14,$B$3)</f>
        <v>510.32470275306576</v>
      </c>
      <c r="AB16" s="26">
        <f>INDEX(Comparison!$AM$3:$AS$33,AB14,$B$3)</f>
        <v>271.36767023207187</v>
      </c>
      <c r="AC16" s="26">
        <f>INDEX(Comparison!$AM$3:$AS$33,AC14,$B$3)</f>
        <v>152.45647454769647</v>
      </c>
      <c r="AD16" s="26">
        <f>INDEX(Comparison!$AM$3:$AS$33,AD14,$B$3)</f>
        <v>114.48528241321054</v>
      </c>
      <c r="AE16" s="26">
        <f>INDEX(Comparison!$AM$3:$AS$33,AE14,$B$3)</f>
        <v>101.06517730245214</v>
      </c>
      <c r="AF16" s="26">
        <f>INDEX(Comparison!$AM$3:$AS$33,AF14,$B$3)</f>
        <v>93.059878245985715</v>
      </c>
      <c r="AG16" s="26">
        <f>INDEX(Comparison!$AM$3:$AS$33,AG14,$B$3)</f>
        <v>92.631968530961771</v>
      </c>
      <c r="AH16" s="26">
        <f>INDEX(Comparison!$AM$3:$AS$33,AH14,$B$3)</f>
        <v>91.23127997996707</v>
      </c>
      <c r="AI16" s="26">
        <f>INDEX(Comparison!$AM$3:$AS$33,AI14,$B$3)</f>
        <v>91.209911146223277</v>
      </c>
      <c r="AJ16" s="26">
        <f>INDEX(Comparison!$AM$3:$AS$33,AJ14,$B$3)</f>
        <v>90.301560772176387</v>
      </c>
    </row>
    <row r="17" spans="1:36" x14ac:dyDescent="0.25">
      <c r="A17" s="14" t="s">
        <v>20</v>
      </c>
      <c r="B17" s="105">
        <v>1.0461648342028718E-2</v>
      </c>
      <c r="C17" s="18">
        <f t="shared" ref="C17:C48" si="3">ABS(B17/$B$49)</f>
        <v>1.1710032899093699E-2</v>
      </c>
      <c r="D17" s="66"/>
      <c r="E17" s="65" t="s">
        <v>22</v>
      </c>
      <c r="F17" s="27">
        <f>($C$17+SUM(F18:F48))*$B$51</f>
        <v>7233.6489560907294</v>
      </c>
      <c r="G17" s="27">
        <f t="shared" ref="G17:M17" si="4">($C$17+SUM(G18:G48))*$B$51</f>
        <v>7233.6412789301585</v>
      </c>
      <c r="H17" s="27">
        <f t="shared" si="4"/>
        <v>7233.5645546389878</v>
      </c>
      <c r="I17" s="27">
        <f t="shared" si="4"/>
        <v>7232.8020149385047</v>
      </c>
      <c r="J17" s="27">
        <f t="shared" si="4"/>
        <v>7225.6199716255396</v>
      </c>
      <c r="K17" s="27">
        <f t="shared" si="4"/>
        <v>7180.283603972659</v>
      </c>
      <c r="L17" s="27">
        <f t="shared" si="4"/>
        <v>7042.6121356681679</v>
      </c>
      <c r="M17" s="27">
        <f t="shared" si="4"/>
        <v>6896.7246874619395</v>
      </c>
      <c r="N17" s="27">
        <f t="shared" ref="N17" si="5">($C$17+SUM(N18:N48))*$B$51</f>
        <v>6728.194025170129</v>
      </c>
      <c r="O17" s="27">
        <f t="shared" ref="O17" si="6">($C$17+SUM(O18:O48))*$B$51</f>
        <v>6522.9891517081924</v>
      </c>
      <c r="P17" s="27">
        <f t="shared" ref="P17" si="7">($C$17+SUM(P18:P48))*$B$51</f>
        <v>6323.3511858935899</v>
      </c>
      <c r="Q17" s="27">
        <f t="shared" ref="Q17" si="8">($C$17+SUM(Q18:Q48))*$B$51</f>
        <v>6061.456618964623</v>
      </c>
      <c r="R17" s="27">
        <f t="shared" ref="R17" si="9">($C$17+SUM(R18:R48))*$B$51</f>
        <v>5776.0099456976832</v>
      </c>
      <c r="S17" s="27">
        <f t="shared" ref="S17:T17" si="10">($C$17+SUM(S18:S48))*$B$51</f>
        <v>5496.5417911767963</v>
      </c>
      <c r="T17" s="27">
        <f t="shared" si="10"/>
        <v>5187.9066871761761</v>
      </c>
      <c r="U17" s="27">
        <f t="shared" ref="U17" si="11">($C$17+SUM(U18:U48))*$B$51</f>
        <v>4846.7024738878008</v>
      </c>
      <c r="V17" s="27">
        <f t="shared" ref="V17" si="12">($C$17+SUM(V18:V48))*$B$51</f>
        <v>4307.1897145932844</v>
      </c>
      <c r="W17" s="27">
        <f t="shared" ref="W17" si="13">($C$17+SUM(W18:W48))*$B$51</f>
        <v>3424.4341767327073</v>
      </c>
      <c r="X17" s="27">
        <f t="shared" ref="X17" si="14">($C$17+SUM(X18:X48))*$B$51</f>
        <v>2457.5308781659355</v>
      </c>
      <c r="Y17" s="27">
        <f t="shared" ref="Y17" si="15">($C$17+SUM(Y18:Y48))*$B$51</f>
        <v>1610.9849973113182</v>
      </c>
      <c r="Z17" s="27">
        <f t="shared" ref="Z17:AA17" si="16">($C$17+SUM(Z18:Z48))*$B$51</f>
        <v>942.67451279802947</v>
      </c>
      <c r="AA17" s="27">
        <f t="shared" si="16"/>
        <v>510.3275488058012</v>
      </c>
      <c r="AB17" s="27">
        <f t="shared" ref="AB17" si="17">($C$17+SUM(AB18:AB48))*$B$51</f>
        <v>271.37260344935805</v>
      </c>
      <c r="AC17" s="27">
        <f t="shared" ref="AC17" si="18">($C$17+SUM(AC18:AC48))*$B$51</f>
        <v>152.44342274073426</v>
      </c>
      <c r="AD17" s="27">
        <f t="shared" ref="AD17" si="19">($C$17+SUM(AD18:AD48))*$B$51</f>
        <v>114.50482120715523</v>
      </c>
      <c r="AE17" s="27">
        <f t="shared" ref="AE17" si="20">($C$17+SUM(AE18:AE48))*$B$51</f>
        <v>101.04198976888745</v>
      </c>
      <c r="AF17" s="27">
        <f t="shared" ref="AF17" si="21">($C$17+SUM(AF18:AF48))*$B$51</f>
        <v>93.150658619000509</v>
      </c>
      <c r="AG17" s="27">
        <f t="shared" ref="AG17:AH17" si="22">($C$17+SUM(AG18:AG48))*$B$51</f>
        <v>92.441321139508887</v>
      </c>
      <c r="AH17" s="27">
        <f t="shared" si="22"/>
        <v>91.488868639986578</v>
      </c>
      <c r="AI17" s="27">
        <f t="shared" ref="AI17" si="23">($C$17+SUM(AI18:AI48))*$B$51</f>
        <v>91.043668630577599</v>
      </c>
      <c r="AJ17" s="27">
        <f t="shared" ref="AJ17" si="24">($C$17+SUM(AJ18:AJ48))*$B$51</f>
        <v>90.322551729589989</v>
      </c>
    </row>
    <row r="18" spans="1:36" x14ac:dyDescent="0.25">
      <c r="A18" s="3">
        <f>0.000000000000001/10^15</f>
        <v>1.0000000000000001E-30</v>
      </c>
      <c r="B18" s="106">
        <v>1.1861507022724024E-2</v>
      </c>
      <c r="C18" s="18">
        <f t="shared" si="3"/>
        <v>1.3276936189005386E-2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3.4924479265166625E-3</v>
      </c>
      <c r="C22" s="18">
        <f t="shared" si="3"/>
        <v>3.909200422421294E-3</v>
      </c>
      <c r="D22" s="17"/>
      <c r="F22" s="3">
        <f t="shared" si="25"/>
        <v>3.9091269159563513E-3</v>
      </c>
      <c r="G22" s="3">
        <f t="shared" si="25"/>
        <v>3.9084654199666368E-3</v>
      </c>
      <c r="H22" s="3">
        <f t="shared" si="25"/>
        <v>3.9018566134942862E-3</v>
      </c>
      <c r="I22" s="3">
        <f t="shared" si="25"/>
        <v>3.8363800555959379E-3</v>
      </c>
      <c r="J22" s="3">
        <f t="shared" si="25"/>
        <v>3.2391034010082259E-3</v>
      </c>
      <c r="K22" s="3">
        <f t="shared" si="25"/>
        <v>5.9628884883319811E-4</v>
      </c>
      <c r="L22" s="3">
        <f t="shared" si="25"/>
        <v>2.6654800955641834E-11</v>
      </c>
      <c r="M22" s="3">
        <f t="shared" si="25"/>
        <v>8.4910814063877569E-85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2.0812007681154456E-2</v>
      </c>
      <c r="C23" s="18">
        <f t="shared" si="3"/>
        <v>2.3295496720476597E-2</v>
      </c>
      <c r="D23" s="17"/>
      <c r="F23" s="3">
        <f t="shared" si="25"/>
        <v>2.3295457205668137E-2</v>
      </c>
      <c r="G23" s="3">
        <f t="shared" si="25"/>
        <v>2.3295101575408175E-2</v>
      </c>
      <c r="H23" s="3">
        <f t="shared" si="25"/>
        <v>2.3291545571394217E-2</v>
      </c>
      <c r="I23" s="3">
        <f t="shared" si="25"/>
        <v>2.3256015372963981E-2</v>
      </c>
      <c r="J23" s="3">
        <f t="shared" si="25"/>
        <v>2.290368077213981E-2</v>
      </c>
      <c r="K23" s="3">
        <f t="shared" si="25"/>
        <v>1.9660974628699014E-2</v>
      </c>
      <c r="L23" s="3">
        <f t="shared" si="25"/>
        <v>4.2717187509218064E-3</v>
      </c>
      <c r="M23" s="3">
        <f t="shared" si="25"/>
        <v>1.0013334737402461E-9</v>
      </c>
      <c r="N23" s="3">
        <f t="shared" si="25"/>
        <v>5.0157925791253427E-76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1.730107536074434E-2</v>
      </c>
      <c r="C24" s="18">
        <f t="shared" si="3"/>
        <v>1.9365606168399295E-2</v>
      </c>
      <c r="D24" s="17"/>
      <c r="F24" s="3">
        <f t="shared" si="25"/>
        <v>1.9365603205165435E-2</v>
      </c>
      <c r="G24" s="3">
        <f t="shared" si="25"/>
        <v>1.9365576536081106E-2</v>
      </c>
      <c r="H24" s="3">
        <f t="shared" si="25"/>
        <v>1.9365309847257758E-2</v>
      </c>
      <c r="I24" s="3">
        <f t="shared" si="25"/>
        <v>1.9362643161011561E-2</v>
      </c>
      <c r="J24" s="3">
        <f t="shared" si="25"/>
        <v>1.9335996486985849E-2</v>
      </c>
      <c r="K24" s="3">
        <f t="shared" si="25"/>
        <v>1.9071538341303707E-2</v>
      </c>
      <c r="L24" s="3">
        <f t="shared" si="25"/>
        <v>1.6617947935648716E-2</v>
      </c>
      <c r="M24" s="3">
        <f t="shared" si="25"/>
        <v>4.1927028165698261E-3</v>
      </c>
      <c r="N24" s="3">
        <f t="shared" si="25"/>
        <v>4.3818846672842032E-9</v>
      </c>
      <c r="O24" s="3">
        <f t="shared" si="25"/>
        <v>6.8128615968531816E-69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2.1842178488299474E-2</v>
      </c>
      <c r="C25" s="18">
        <f t="shared" si="3"/>
        <v>2.4448597422102241E-2</v>
      </c>
      <c r="D25" s="17"/>
      <c r="F25" s="3">
        <f t="shared" si="25"/>
        <v>2.4448597084632061E-2</v>
      </c>
      <c r="G25" s="3">
        <f t="shared" si="25"/>
        <v>2.4448594047400657E-2</v>
      </c>
      <c r="H25" s="3">
        <f t="shared" si="25"/>
        <v>2.4448563675107348E-2</v>
      </c>
      <c r="I25" s="3">
        <f t="shared" si="25"/>
        <v>2.4448259954249461E-2</v>
      </c>
      <c r="J25" s="3">
        <f t="shared" si="25"/>
        <v>2.4445222953182213E-2</v>
      </c>
      <c r="K25" s="3">
        <f t="shared" si="25"/>
        <v>2.4414873684135203E-2</v>
      </c>
      <c r="L25" s="3">
        <f t="shared" si="25"/>
        <v>2.4113445653955613E-2</v>
      </c>
      <c r="M25" s="3">
        <f t="shared" si="25"/>
        <v>2.1296448391100519E-2</v>
      </c>
      <c r="N25" s="3">
        <f t="shared" si="25"/>
        <v>6.1487420978859758E-3</v>
      </c>
      <c r="O25" s="3">
        <f t="shared" si="25"/>
        <v>2.475011549617492E-8</v>
      </c>
      <c r="P25" s="3">
        <f t="shared" si="25"/>
        <v>2.7636736299078695E-62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2.8678413142364283E-2</v>
      </c>
      <c r="C26" s="18">
        <f t="shared" si="3"/>
        <v>3.2100597383085405E-2</v>
      </c>
      <c r="D26" s="17"/>
      <c r="F26" s="3">
        <f t="shared" si="25"/>
        <v>3.210059734311476E-2</v>
      </c>
      <c r="G26" s="3">
        <f t="shared" si="25"/>
        <v>3.210059698337895E-2</v>
      </c>
      <c r="H26" s="3">
        <f t="shared" si="25"/>
        <v>3.2100593386021108E-2</v>
      </c>
      <c r="I26" s="3">
        <f t="shared" si="25"/>
        <v>3.2100557412464807E-2</v>
      </c>
      <c r="J26" s="3">
        <f t="shared" si="25"/>
        <v>3.2100197679119105E-2</v>
      </c>
      <c r="K26" s="3">
        <f t="shared" si="25"/>
        <v>3.2096600567378022E-2</v>
      </c>
      <c r="L26" s="3">
        <f t="shared" si="25"/>
        <v>3.2060651612370247E-2</v>
      </c>
      <c r="M26" s="3">
        <f t="shared" si="25"/>
        <v>3.1703369140639447E-2</v>
      </c>
      <c r="N26" s="3">
        <f t="shared" si="25"/>
        <v>2.8342368706179143E-2</v>
      </c>
      <c r="O26" s="3">
        <f t="shared" si="25"/>
        <v>9.2415199116641575E-3</v>
      </c>
      <c r="P26" s="3">
        <f t="shared" si="25"/>
        <v>1.2554979402483244E-7</v>
      </c>
      <c r="Q26" s="3">
        <f t="shared" si="25"/>
        <v>2.6886979392774335E-56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2.156445706652205E-2</v>
      </c>
      <c r="C27" s="18">
        <f t="shared" si="3"/>
        <v>2.4137735607646905E-2</v>
      </c>
      <c r="D27" s="17"/>
      <c r="F27" s="3">
        <f t="shared" si="25"/>
        <v>2.4137735604935647E-2</v>
      </c>
      <c r="G27" s="3">
        <f t="shared" si="25"/>
        <v>2.4137735580534305E-2</v>
      </c>
      <c r="H27" s="3">
        <f t="shared" si="25"/>
        <v>2.4137735336520909E-2</v>
      </c>
      <c r="I27" s="3">
        <f t="shared" si="25"/>
        <v>2.4137732896387078E-2</v>
      </c>
      <c r="J27" s="3">
        <f t="shared" si="25"/>
        <v>2.4137708495062311E-2</v>
      </c>
      <c r="K27" s="3">
        <f t="shared" si="25"/>
        <v>2.4137464483171406E-2</v>
      </c>
      <c r="L27" s="3">
        <f t="shared" si="25"/>
        <v>2.413502449992971E-2</v>
      </c>
      <c r="M27" s="3">
        <f t="shared" si="25"/>
        <v>2.4110638229178354E-2</v>
      </c>
      <c r="N27" s="3">
        <f t="shared" si="25"/>
        <v>2.3868126629295945E-2</v>
      </c>
      <c r="O27" s="3">
        <f t="shared" si="25"/>
        <v>2.15732014657312E-2</v>
      </c>
      <c r="P27" s="3">
        <f t="shared" si="25"/>
        <v>7.8501374125895754E-3</v>
      </c>
      <c r="Q27" s="3">
        <f t="shared" si="25"/>
        <v>3.1952427318263145E-7</v>
      </c>
      <c r="R27" s="3">
        <f t="shared" si="25"/>
        <v>3.9881347424014358E-51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4.0665064637825842E-2</v>
      </c>
      <c r="C28" s="18">
        <f t="shared" si="3"/>
        <v>4.5517611487633891E-2</v>
      </c>
      <c r="D28" s="17"/>
      <c r="F28" s="3">
        <f t="shared" si="25"/>
        <v>4.5517611487172684E-2</v>
      </c>
      <c r="G28" s="3">
        <f t="shared" si="25"/>
        <v>4.5517611483021768E-2</v>
      </c>
      <c r="H28" s="3">
        <f t="shared" si="25"/>
        <v>4.551761144151268E-2</v>
      </c>
      <c r="I28" s="3">
        <f t="shared" si="25"/>
        <v>4.5517611026421795E-2</v>
      </c>
      <c r="J28" s="3">
        <f t="shared" si="25"/>
        <v>4.5517606875513116E-2</v>
      </c>
      <c r="K28" s="3">
        <f t="shared" si="25"/>
        <v>4.5517565366447153E-2</v>
      </c>
      <c r="L28" s="3">
        <f t="shared" si="25"/>
        <v>4.5517150277869484E-2</v>
      </c>
      <c r="M28" s="3">
        <f t="shared" si="25"/>
        <v>4.5512999600279679E-2</v>
      </c>
      <c r="N28" s="3">
        <f t="shared" si="25"/>
        <v>4.5471513636046408E-2</v>
      </c>
      <c r="O28" s="3">
        <f t="shared" si="25"/>
        <v>4.5058728155104304E-2</v>
      </c>
      <c r="P28" s="3">
        <f t="shared" si="25"/>
        <v>4.1131458388711711E-2</v>
      </c>
      <c r="Q28" s="3">
        <f t="shared" si="25"/>
        <v>1.6524407756709325E-2</v>
      </c>
      <c r="R28" s="3">
        <f t="shared" si="25"/>
        <v>1.8098552814312633E-6</v>
      </c>
      <c r="S28" s="3">
        <f t="shared" si="25"/>
        <v>4.4959690518091718E-46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3.3447296548319044E-2</v>
      </c>
      <c r="C29" s="18">
        <f t="shared" si="3"/>
        <v>3.7438549850033177E-2</v>
      </c>
      <c r="D29" s="17"/>
      <c r="F29" s="3">
        <f t="shared" si="25"/>
        <v>3.7438549849998955E-2</v>
      </c>
      <c r="G29" s="3">
        <f t="shared" si="25"/>
        <v>3.7438549849690972E-2</v>
      </c>
      <c r="H29" s="3">
        <f t="shared" si="25"/>
        <v>3.7438549846611123E-2</v>
      </c>
      <c r="I29" s="3">
        <f t="shared" si="25"/>
        <v>3.7438549815812641E-2</v>
      </c>
      <c r="J29" s="3">
        <f t="shared" si="25"/>
        <v>3.7438549507827795E-2</v>
      </c>
      <c r="K29" s="3">
        <f t="shared" si="25"/>
        <v>3.7438546427979495E-2</v>
      </c>
      <c r="L29" s="3">
        <f t="shared" si="25"/>
        <v>3.7438515629510408E-2</v>
      </c>
      <c r="M29" s="3">
        <f t="shared" si="25"/>
        <v>3.7438207646213029E-2</v>
      </c>
      <c r="N29" s="3">
        <f t="shared" si="25"/>
        <v>3.7435127952583074E-2</v>
      </c>
      <c r="O29" s="3">
        <f t="shared" si="25"/>
        <v>3.7404344946424049E-2</v>
      </c>
      <c r="P29" s="3">
        <f t="shared" si="25"/>
        <v>3.7097903668187014E-2</v>
      </c>
      <c r="Q29" s="3">
        <f t="shared" si="25"/>
        <v>3.4168233492355399E-2</v>
      </c>
      <c r="R29" s="3">
        <f t="shared" si="25"/>
        <v>1.5009080846973964E-2</v>
      </c>
      <c r="S29" s="3">
        <f t="shared" si="25"/>
        <v>4.0148544382195386E-6</v>
      </c>
      <c r="T29" s="3">
        <f t="shared" si="25"/>
        <v>7.5305531263037297E-42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3.6703592797985754E-2</v>
      </c>
      <c r="C30" s="18">
        <f t="shared" si="3"/>
        <v>4.1083418704934697E-2</v>
      </c>
      <c r="D30" s="17"/>
      <c r="F30" s="3">
        <f t="shared" si="25"/>
        <v>4.1083418704931311E-2</v>
      </c>
      <c r="G30" s="3">
        <f t="shared" si="25"/>
        <v>4.1083418704900822E-2</v>
      </c>
      <c r="H30" s="3">
        <f t="shared" si="25"/>
        <v>4.1083418704595948E-2</v>
      </c>
      <c r="I30" s="3">
        <f t="shared" si="25"/>
        <v>4.1083418701547185E-2</v>
      </c>
      <c r="J30" s="3">
        <f t="shared" si="25"/>
        <v>4.1083418671059566E-2</v>
      </c>
      <c r="K30" s="3">
        <f t="shared" si="25"/>
        <v>4.1083418366183386E-2</v>
      </c>
      <c r="L30" s="3">
        <f t="shared" si="25"/>
        <v>4.1083415317421712E-2</v>
      </c>
      <c r="M30" s="3">
        <f t="shared" si="25"/>
        <v>4.1083384829817417E-2</v>
      </c>
      <c r="N30" s="3">
        <f t="shared" si="25"/>
        <v>4.1083079955018822E-2</v>
      </c>
      <c r="O30" s="3">
        <f t="shared" si="25"/>
        <v>4.1080031331464269E-2</v>
      </c>
      <c r="P30" s="3">
        <f t="shared" si="25"/>
        <v>4.1049557535639054E-2</v>
      </c>
      <c r="Q30" s="3">
        <f t="shared" si="25"/>
        <v>4.0746060140574872E-2</v>
      </c>
      <c r="R30" s="3">
        <f t="shared" si="25"/>
        <v>3.7831802810623712E-2</v>
      </c>
      <c r="S30" s="3">
        <f t="shared" si="25"/>
        <v>1.8012383805508417E-2</v>
      </c>
      <c r="T30" s="3">
        <f t="shared" si="25"/>
        <v>1.0782333028072856E-5</v>
      </c>
      <c r="U30" s="3">
        <f t="shared" si="25"/>
        <v>6.3698357495004331E-38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4.1318938215872056E-2</v>
      </c>
      <c r="C31" s="18">
        <f t="shared" si="3"/>
        <v>4.6249511553516282E-2</v>
      </c>
      <c r="D31" s="17"/>
      <c r="F31" s="3">
        <f t="shared" si="25"/>
        <v>4.6249511553515935E-2</v>
      </c>
      <c r="G31" s="3">
        <f t="shared" si="25"/>
        <v>4.624951155351284E-2</v>
      </c>
      <c r="H31" s="3">
        <f t="shared" si="25"/>
        <v>4.6249511553481878E-2</v>
      </c>
      <c r="I31" s="3">
        <f t="shared" si="25"/>
        <v>4.6249511553172272E-2</v>
      </c>
      <c r="J31" s="3">
        <f t="shared" si="25"/>
        <v>4.6249511550076207E-2</v>
      </c>
      <c r="K31" s="3">
        <f t="shared" si="25"/>
        <v>4.6249511519115515E-2</v>
      </c>
      <c r="L31" s="3">
        <f t="shared" si="25"/>
        <v>4.6249511209508591E-2</v>
      </c>
      <c r="M31" s="3">
        <f t="shared" si="25"/>
        <v>4.6249508113439503E-2</v>
      </c>
      <c r="N31" s="3">
        <f t="shared" si="25"/>
        <v>4.6249477152759975E-2</v>
      </c>
      <c r="O31" s="3">
        <f t="shared" si="25"/>
        <v>4.6249167547104682E-2</v>
      </c>
      <c r="P31" s="3">
        <f t="shared" si="25"/>
        <v>4.6246071604541236E-2</v>
      </c>
      <c r="Q31" s="3">
        <f t="shared" si="25"/>
        <v>4.6215123575035537E-2</v>
      </c>
      <c r="R31" s="3">
        <f t="shared" si="25"/>
        <v>4.590678007521333E-2</v>
      </c>
      <c r="S31" s="3">
        <f t="shared" si="25"/>
        <v>4.2934258602456019E-2</v>
      </c>
      <c r="T31" s="3">
        <f t="shared" si="25"/>
        <v>2.1982411022583217E-2</v>
      </c>
      <c r="U31" s="3">
        <f t="shared" si="25"/>
        <v>2.7213780990383867E-5</v>
      </c>
      <c r="V31" s="3">
        <f t="shared" si="26"/>
        <v>2.3010417552586291E-34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3.7655517008646576E-2</v>
      </c>
      <c r="C32" s="18">
        <f t="shared" si="3"/>
        <v>4.2148935673183355E-2</v>
      </c>
      <c r="D32" s="17"/>
      <c r="F32" s="3">
        <f t="shared" si="25"/>
        <v>4.2148935673183327E-2</v>
      </c>
      <c r="G32" s="3">
        <f t="shared" si="25"/>
        <v>4.2148935673183077E-2</v>
      </c>
      <c r="H32" s="3">
        <f t="shared" si="25"/>
        <v>4.2148935673180531E-2</v>
      </c>
      <c r="I32" s="3">
        <f t="shared" si="25"/>
        <v>4.2148935673155072E-2</v>
      </c>
      <c r="J32" s="3">
        <f t="shared" si="25"/>
        <v>4.2148935672900546E-2</v>
      </c>
      <c r="K32" s="3">
        <f t="shared" si="25"/>
        <v>4.2148935670355263E-2</v>
      </c>
      <c r="L32" s="3">
        <f t="shared" si="25"/>
        <v>4.2148935644902394E-2</v>
      </c>
      <c r="M32" s="3">
        <f t="shared" si="25"/>
        <v>4.2148935390373718E-2</v>
      </c>
      <c r="N32" s="3">
        <f t="shared" si="25"/>
        <v>4.2148932845087077E-2</v>
      </c>
      <c r="O32" s="3">
        <f t="shared" si="25"/>
        <v>4.2148907392229096E-2</v>
      </c>
      <c r="P32" s="3">
        <f t="shared" si="25"/>
        <v>4.2148652864494637E-2</v>
      </c>
      <c r="Q32" s="3">
        <f t="shared" si="25"/>
        <v>4.2146107671685536E-2</v>
      </c>
      <c r="R32" s="3">
        <f t="shared" si="25"/>
        <v>4.2120664195248202E-2</v>
      </c>
      <c r="S32" s="3">
        <f t="shared" si="25"/>
        <v>4.1867072710890761E-2</v>
      </c>
      <c r="T32" s="3">
        <f t="shared" si="25"/>
        <v>3.9413631731891198E-2</v>
      </c>
      <c r="U32" s="3">
        <f t="shared" si="25"/>
        <v>2.1546911670328118E-2</v>
      </c>
      <c r="V32" s="3">
        <f t="shared" si="26"/>
        <v>5.1377243625169402E-5</v>
      </c>
      <c r="W32" s="3">
        <f t="shared" si="26"/>
        <v>3.0523089873410331E-31</v>
      </c>
      <c r="X32" s="3">
        <f t="shared" si="26"/>
        <v>1.6718813070316812E-293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0.10072334604864466</v>
      </c>
      <c r="C33" s="18">
        <f t="shared" si="3"/>
        <v>0.11274262500279238</v>
      </c>
      <c r="D33" s="17"/>
      <c r="F33" s="3">
        <f t="shared" si="25"/>
        <v>0.11274262500279236</v>
      </c>
      <c r="G33" s="3">
        <f t="shared" si="25"/>
        <v>0.11274262500279231</v>
      </c>
      <c r="H33" s="3">
        <f t="shared" si="25"/>
        <v>0.11274262500279168</v>
      </c>
      <c r="I33" s="3">
        <f t="shared" si="25"/>
        <v>0.11274262500278555</v>
      </c>
      <c r="J33" s="3">
        <f t="shared" si="25"/>
        <v>0.11274262500272414</v>
      </c>
      <c r="K33" s="3">
        <f t="shared" si="25"/>
        <v>0.11274262500210996</v>
      </c>
      <c r="L33" s="3">
        <f t="shared" si="25"/>
        <v>0.11274262499596832</v>
      </c>
      <c r="M33" s="3">
        <f t="shared" si="25"/>
        <v>0.11274262493455185</v>
      </c>
      <c r="N33" s="3">
        <f t="shared" si="25"/>
        <v>0.11274262432038717</v>
      </c>
      <c r="O33" s="3">
        <f t="shared" si="25"/>
        <v>0.11274261817874061</v>
      </c>
      <c r="P33" s="3">
        <f t="shared" si="25"/>
        <v>0.11274255676229328</v>
      </c>
      <c r="Q33" s="3">
        <f t="shared" si="25"/>
        <v>0.11274194259966012</v>
      </c>
      <c r="R33" s="3">
        <f t="shared" si="25"/>
        <v>0.11273580115733561</v>
      </c>
      <c r="S33" s="3">
        <f t="shared" si="25"/>
        <v>0.11267440513108853</v>
      </c>
      <c r="T33" s="3">
        <f t="shared" si="25"/>
        <v>0.11206228086576392</v>
      </c>
      <c r="U33" s="3">
        <f t="shared" ref="P33:AE48" si="27">$C33*EXP(-U$15/$A33)</f>
        <v>0.10612099064568313</v>
      </c>
      <c r="V33" s="3">
        <f t="shared" si="27"/>
        <v>6.1548811879214342E-2</v>
      </c>
      <c r="W33" s="3">
        <f t="shared" si="27"/>
        <v>2.650961725341998E-4</v>
      </c>
      <c r="X33" s="3">
        <f t="shared" si="27"/>
        <v>5.8242672300949236E-28</v>
      </c>
      <c r="Y33" s="3">
        <f t="shared" si="27"/>
        <v>1.5262288206411122E-264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0.12886826472254237</v>
      </c>
      <c r="C34" s="18">
        <f t="shared" si="3"/>
        <v>0.14424606622338945</v>
      </c>
      <c r="D34" s="17"/>
      <c r="F34" s="3">
        <f t="shared" ref="F34:O48" si="28">$C34*EXP(-F$15/$A34)</f>
        <v>0.14424606622338945</v>
      </c>
      <c r="G34" s="3">
        <f t="shared" si="28"/>
        <v>0.14424606622338945</v>
      </c>
      <c r="H34" s="3">
        <f t="shared" si="28"/>
        <v>0.14424606622338937</v>
      </c>
      <c r="I34" s="3">
        <f t="shared" si="28"/>
        <v>0.14424606622338867</v>
      </c>
      <c r="J34" s="3">
        <f t="shared" si="28"/>
        <v>0.14424606622338157</v>
      </c>
      <c r="K34" s="3">
        <f t="shared" si="28"/>
        <v>0.14424606622331068</v>
      </c>
      <c r="L34" s="3">
        <f t="shared" si="28"/>
        <v>0.14424606622260186</v>
      </c>
      <c r="M34" s="3">
        <f t="shared" si="28"/>
        <v>0.14424606621551347</v>
      </c>
      <c r="N34" s="3">
        <f t="shared" si="28"/>
        <v>0.14424606614462962</v>
      </c>
      <c r="O34" s="3">
        <f t="shared" si="28"/>
        <v>0.14424606543579119</v>
      </c>
      <c r="P34" s="3">
        <f t="shared" si="27"/>
        <v>0.14424605834740697</v>
      </c>
      <c r="Q34" s="3">
        <f t="shared" si="27"/>
        <v>0.14424598746358408</v>
      </c>
      <c r="R34" s="3">
        <f t="shared" si="27"/>
        <v>0.14424527862727105</v>
      </c>
      <c r="S34" s="3">
        <f t="shared" si="27"/>
        <v>0.14423819045571809</v>
      </c>
      <c r="T34" s="3">
        <f t="shared" si="27"/>
        <v>0.14416732789445397</v>
      </c>
      <c r="U34" s="3">
        <f t="shared" si="27"/>
        <v>0.14346061423027204</v>
      </c>
      <c r="V34" s="3">
        <f t="shared" si="27"/>
        <v>0.13658124132454885</v>
      </c>
      <c r="W34" s="3">
        <f t="shared" si="27"/>
        <v>8.3555443954828362E-2</v>
      </c>
      <c r="X34" s="3">
        <f t="shared" si="27"/>
        <v>6.1349595967226725E-4</v>
      </c>
      <c r="Y34" s="3">
        <f t="shared" si="27"/>
        <v>2.793709632661821E-25</v>
      </c>
      <c r="Z34" s="3">
        <f t="shared" si="27"/>
        <v>1.0712155008765425E-238</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0.11590907125674527</v>
      </c>
      <c r="C35" s="18">
        <f t="shared" si="3"/>
        <v>0.12974045708141974</v>
      </c>
      <c r="D35" s="17"/>
      <c r="F35" s="3">
        <f t="shared" si="28"/>
        <v>0.12974045708141974</v>
      </c>
      <c r="G35" s="3">
        <f t="shared" si="28"/>
        <v>0.12974045708141974</v>
      </c>
      <c r="H35" s="3">
        <f t="shared" si="28"/>
        <v>0.12974045708141974</v>
      </c>
      <c r="I35" s="3">
        <f t="shared" si="28"/>
        <v>0.12974045708141968</v>
      </c>
      <c r="J35" s="3">
        <f t="shared" si="28"/>
        <v>0.1297404570814191</v>
      </c>
      <c r="K35" s="3">
        <f t="shared" si="28"/>
        <v>0.12974045708141335</v>
      </c>
      <c r="L35" s="3">
        <f t="shared" si="28"/>
        <v>0.12974045708135584</v>
      </c>
      <c r="M35" s="3">
        <f t="shared" si="28"/>
        <v>0.12974045708078069</v>
      </c>
      <c r="N35" s="3">
        <f t="shared" si="28"/>
        <v>0.1297404570750294</v>
      </c>
      <c r="O35" s="3">
        <f t="shared" si="28"/>
        <v>0.12974045701751649</v>
      </c>
      <c r="P35" s="3">
        <f t="shared" si="27"/>
        <v>0.12974045644238746</v>
      </c>
      <c r="Q35" s="3">
        <f t="shared" si="27"/>
        <v>0.12974045069109719</v>
      </c>
      <c r="R35" s="3">
        <f t="shared" si="27"/>
        <v>0.12974039317820857</v>
      </c>
      <c r="S35" s="3">
        <f t="shared" si="27"/>
        <v>0.1297398180507246</v>
      </c>
      <c r="T35" s="3">
        <f t="shared" si="27"/>
        <v>0.12973406691610459</v>
      </c>
      <c r="U35" s="3">
        <f t="shared" si="27"/>
        <v>0.12967656958960447</v>
      </c>
      <c r="V35" s="3">
        <f t="shared" si="27"/>
        <v>0.12910299599783823</v>
      </c>
      <c r="W35" s="3">
        <f t="shared" si="27"/>
        <v>0.12350495865422408</v>
      </c>
      <c r="X35" s="3">
        <f t="shared" si="27"/>
        <v>7.9280272370087848E-2</v>
      </c>
      <c r="Y35" s="3">
        <f t="shared" si="27"/>
        <v>9.418300055379599E-4</v>
      </c>
      <c r="Z35" s="3">
        <f t="shared" si="27"/>
        <v>5.2728620747764382E-23</v>
      </c>
      <c r="AA35" s="3">
        <f t="shared" si="27"/>
        <v>1.5950903998905884E-215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9.5726703068542487E-2</v>
      </c>
      <c r="C36" s="18">
        <f t="shared" si="3"/>
        <v>0.10714973449748261</v>
      </c>
      <c r="D36" s="17"/>
      <c r="F36" s="3">
        <f t="shared" si="28"/>
        <v>0.10714973449748261</v>
      </c>
      <c r="G36" s="3">
        <f t="shared" si="28"/>
        <v>0.10714973449748261</v>
      </c>
      <c r="H36" s="3">
        <f t="shared" si="28"/>
        <v>0.10714973449748261</v>
      </c>
      <c r="I36" s="3">
        <f t="shared" si="28"/>
        <v>0.10714973449748261</v>
      </c>
      <c r="J36" s="3">
        <f t="shared" si="28"/>
        <v>0.10714973449748257</v>
      </c>
      <c r="K36" s="3">
        <f t="shared" si="28"/>
        <v>0.10714973449748214</v>
      </c>
      <c r="L36" s="3">
        <f t="shared" si="28"/>
        <v>0.10714973449747785</v>
      </c>
      <c r="M36" s="3">
        <f t="shared" si="28"/>
        <v>0.10714973449743499</v>
      </c>
      <c r="N36" s="3">
        <f t="shared" si="28"/>
        <v>0.10714973449700652</v>
      </c>
      <c r="O36" s="3">
        <f t="shared" si="28"/>
        <v>0.10714973449272175</v>
      </c>
      <c r="P36" s="3">
        <f t="shared" si="27"/>
        <v>0.10714973444987405</v>
      </c>
      <c r="Q36" s="3">
        <f t="shared" si="27"/>
        <v>0.10714973402139699</v>
      </c>
      <c r="R36" s="3">
        <f t="shared" si="27"/>
        <v>0.10714972973662661</v>
      </c>
      <c r="S36" s="3">
        <f t="shared" si="27"/>
        <v>0.1071496868889321</v>
      </c>
      <c r="T36" s="3">
        <f t="shared" si="27"/>
        <v>0.10714925841292941</v>
      </c>
      <c r="U36" s="3">
        <f t="shared" si="27"/>
        <v>0.10714497374713908</v>
      </c>
      <c r="V36" s="3">
        <f t="shared" si="27"/>
        <v>0.10710213651150102</v>
      </c>
      <c r="W36" s="3">
        <f t="shared" si="27"/>
        <v>0.1066747049890356</v>
      </c>
      <c r="X36" s="3">
        <f t="shared" si="27"/>
        <v>0.10249309588200609</v>
      </c>
      <c r="Y36" s="3">
        <f t="shared" si="27"/>
        <v>6.8710992526177475E-2</v>
      </c>
      <c r="Z36" s="3">
        <f t="shared" si="27"/>
        <v>1.2599181321283519E-3</v>
      </c>
      <c r="AA36" s="3">
        <f t="shared" si="27"/>
        <v>5.4138144637114509E-21</v>
      </c>
      <c r="AB36" s="3">
        <f t="shared" si="27"/>
        <v>1.1617529580880501E-194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6.6698843299238295E-2</v>
      </c>
      <c r="C37" s="18">
        <f t="shared" si="3"/>
        <v>7.4657991153057213E-2</v>
      </c>
      <c r="D37" s="17"/>
      <c r="F37" s="3">
        <f t="shared" si="28"/>
        <v>7.4657991153057213E-2</v>
      </c>
      <c r="G37" s="3">
        <f t="shared" si="28"/>
        <v>7.4657991153057213E-2</v>
      </c>
      <c r="H37" s="3">
        <f t="shared" si="28"/>
        <v>7.4657991153057213E-2</v>
      </c>
      <c r="I37" s="3">
        <f t="shared" si="28"/>
        <v>7.4657991153057213E-2</v>
      </c>
      <c r="J37" s="3">
        <f t="shared" si="28"/>
        <v>7.4657991153057213E-2</v>
      </c>
      <c r="K37" s="3">
        <f t="shared" si="28"/>
        <v>7.4657991153057185E-2</v>
      </c>
      <c r="L37" s="3">
        <f t="shared" si="28"/>
        <v>7.4657991153056907E-2</v>
      </c>
      <c r="M37" s="3">
        <f t="shared" si="28"/>
        <v>7.4657991153054215E-2</v>
      </c>
      <c r="N37" s="3">
        <f t="shared" si="28"/>
        <v>7.4657991153027292E-2</v>
      </c>
      <c r="O37" s="3">
        <f t="shared" si="28"/>
        <v>7.465799115275798E-2</v>
      </c>
      <c r="P37" s="3">
        <f t="shared" si="27"/>
        <v>7.4657991150064829E-2</v>
      </c>
      <c r="Q37" s="3">
        <f t="shared" si="27"/>
        <v>7.4657991123133413E-2</v>
      </c>
      <c r="R37" s="3">
        <f t="shared" si="27"/>
        <v>7.4657990853819148E-2</v>
      </c>
      <c r="S37" s="3">
        <f t="shared" si="27"/>
        <v>7.465798816067655E-2</v>
      </c>
      <c r="T37" s="3">
        <f t="shared" si="27"/>
        <v>7.4657961229256053E-2</v>
      </c>
      <c r="U37" s="3">
        <f t="shared" si="27"/>
        <v>7.4657691915585286E-2</v>
      </c>
      <c r="V37" s="3">
        <f t="shared" si="27"/>
        <v>7.4654998832309374E-2</v>
      </c>
      <c r="W37" s="3">
        <f t="shared" si="27"/>
        <v>7.4628073342003026E-2</v>
      </c>
      <c r="X37" s="3">
        <f t="shared" si="27"/>
        <v>7.4359351971854115E-2</v>
      </c>
      <c r="Y37" s="3">
        <f t="shared" si="27"/>
        <v>7.1724786272517937E-2</v>
      </c>
      <c r="Z37" s="3">
        <f t="shared" si="27"/>
        <v>5.0004135987014399E-2</v>
      </c>
      <c r="AA37" s="3">
        <f t="shared" si="27"/>
        <v>1.3563525098853049E-3</v>
      </c>
      <c r="AB37" s="3">
        <f t="shared" si="27"/>
        <v>2.9244153400665948E-19</v>
      </c>
      <c r="AC37" s="3">
        <f t="shared" si="27"/>
        <v>6.3489781575831227E-176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2.3031738943593914E-2</v>
      </c>
      <c r="C38" s="18">
        <f t="shared" si="3"/>
        <v>2.5780107678568913E-2</v>
      </c>
      <c r="D38" s="17"/>
      <c r="F38" s="3">
        <f t="shared" si="28"/>
        <v>2.5780107678568913E-2</v>
      </c>
      <c r="G38" s="3">
        <f t="shared" si="28"/>
        <v>2.5780107678568913E-2</v>
      </c>
      <c r="H38" s="3">
        <f t="shared" si="28"/>
        <v>2.5780107678568913E-2</v>
      </c>
      <c r="I38" s="3">
        <f t="shared" si="28"/>
        <v>2.5780107678568913E-2</v>
      </c>
      <c r="J38" s="3">
        <f t="shared" si="28"/>
        <v>2.5780107678568913E-2</v>
      </c>
      <c r="K38" s="3">
        <f t="shared" si="28"/>
        <v>2.5780107678568913E-2</v>
      </c>
      <c r="L38" s="3">
        <f t="shared" si="28"/>
        <v>2.5780107678568906E-2</v>
      </c>
      <c r="M38" s="3">
        <f t="shared" si="28"/>
        <v>2.5780107678568819E-2</v>
      </c>
      <c r="N38" s="3">
        <f t="shared" si="28"/>
        <v>2.578010767856798E-2</v>
      </c>
      <c r="O38" s="3">
        <f t="shared" si="28"/>
        <v>2.578010767855959E-2</v>
      </c>
      <c r="P38" s="3">
        <f t="shared" si="27"/>
        <v>2.5780107678475699E-2</v>
      </c>
      <c r="Q38" s="3">
        <f t="shared" si="27"/>
        <v>2.5780107677636794E-2</v>
      </c>
      <c r="R38" s="3">
        <f t="shared" si="27"/>
        <v>2.5780107669247709E-2</v>
      </c>
      <c r="S38" s="3">
        <f t="shared" si="27"/>
        <v>2.5780107585356902E-2</v>
      </c>
      <c r="T38" s="3">
        <f t="shared" si="27"/>
        <v>2.5780106746448848E-2</v>
      </c>
      <c r="U38" s="3">
        <f t="shared" si="27"/>
        <v>2.5780098357369767E-2</v>
      </c>
      <c r="V38" s="3">
        <f t="shared" si="27"/>
        <v>2.5780014466729114E-2</v>
      </c>
      <c r="W38" s="3">
        <f t="shared" si="27"/>
        <v>2.5779175575336741E-2</v>
      </c>
      <c r="X38" s="3">
        <f t="shared" si="27"/>
        <v>2.5770788162647794E-2</v>
      </c>
      <c r="Y38" s="3">
        <f t="shared" si="27"/>
        <v>2.5687063978641532E-2</v>
      </c>
      <c r="Z38" s="3">
        <f t="shared" si="27"/>
        <v>2.4864637454268573E-2</v>
      </c>
      <c r="AA38" s="3">
        <f t="shared" si="27"/>
        <v>1.795803318478752E-2</v>
      </c>
      <c r="AB38" s="3">
        <f t="shared" si="27"/>
        <v>6.9346597103564066E-4</v>
      </c>
      <c r="AC38" s="3">
        <f t="shared" si="27"/>
        <v>5.1131555456076435E-18</v>
      </c>
      <c r="AD38" s="3">
        <f t="shared" si="27"/>
        <v>2.4284406930970551E-159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2.1495309841323341E-2</v>
      </c>
      <c r="C39" s="18">
        <f t="shared" si="3"/>
        <v>2.4060337070104312E-2</v>
      </c>
      <c r="D39" s="17"/>
      <c r="F39" s="3">
        <f t="shared" si="28"/>
        <v>2.4060337070104312E-2</v>
      </c>
      <c r="G39" s="3">
        <f t="shared" si="28"/>
        <v>2.4060337070104312E-2</v>
      </c>
      <c r="H39" s="3">
        <f t="shared" si="28"/>
        <v>2.4060337070104312E-2</v>
      </c>
      <c r="I39" s="3">
        <f t="shared" si="28"/>
        <v>2.4060337070104312E-2</v>
      </c>
      <c r="J39" s="3">
        <f t="shared" si="28"/>
        <v>2.4060337070104312E-2</v>
      </c>
      <c r="K39" s="3">
        <f t="shared" si="28"/>
        <v>2.4060337070104312E-2</v>
      </c>
      <c r="L39" s="3">
        <f t="shared" si="28"/>
        <v>2.4060337070104309E-2</v>
      </c>
      <c r="M39" s="3">
        <f t="shared" si="28"/>
        <v>2.4060337070104288E-2</v>
      </c>
      <c r="N39" s="3">
        <f t="shared" si="28"/>
        <v>2.4060337070104073E-2</v>
      </c>
      <c r="O39" s="3">
        <f t="shared" si="28"/>
        <v>2.4060337070101905E-2</v>
      </c>
      <c r="P39" s="3">
        <f t="shared" si="27"/>
        <v>2.4060337070080252E-2</v>
      </c>
      <c r="Q39" s="3">
        <f t="shared" si="27"/>
        <v>2.406033706986371E-2</v>
      </c>
      <c r="R39" s="3">
        <f t="shared" si="27"/>
        <v>2.4060337067698279E-2</v>
      </c>
      <c r="S39" s="3">
        <f t="shared" si="27"/>
        <v>2.4060337046043975E-2</v>
      </c>
      <c r="T39" s="3">
        <f t="shared" si="27"/>
        <v>2.4060336829500942E-2</v>
      </c>
      <c r="U39" s="3">
        <f t="shared" si="27"/>
        <v>2.4060334664070728E-2</v>
      </c>
      <c r="V39" s="3">
        <f t="shared" si="27"/>
        <v>2.4060313009779274E-2</v>
      </c>
      <c r="W39" s="3">
        <f t="shared" si="27"/>
        <v>2.4060096467936623E-2</v>
      </c>
      <c r="X39" s="3">
        <f t="shared" si="27"/>
        <v>2.4057931156694978E-2</v>
      </c>
      <c r="Y39" s="3">
        <f t="shared" si="27"/>
        <v>2.403628875919369E-2</v>
      </c>
      <c r="Z39" s="3">
        <f t="shared" si="27"/>
        <v>2.3820932716205719E-2</v>
      </c>
      <c r="AA39" s="3">
        <f t="shared" si="27"/>
        <v>2.1770693271588069E-2</v>
      </c>
      <c r="AB39" s="3">
        <f t="shared" si="27"/>
        <v>8.8513033557465117E-3</v>
      </c>
      <c r="AC39" s="3">
        <f t="shared" si="27"/>
        <v>1.0923376130444464E-6</v>
      </c>
      <c r="AD39" s="3">
        <f t="shared" si="27"/>
        <v>8.9506281909458603E-46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1.0960092140170144E-2</v>
      </c>
      <c r="C40" s="18">
        <f t="shared" si="3"/>
        <v>1.2267955807966149E-2</v>
      </c>
      <c r="D40" s="17"/>
      <c r="F40" s="3">
        <f t="shared" si="28"/>
        <v>1.2267955807966149E-2</v>
      </c>
      <c r="G40" s="3">
        <f t="shared" si="28"/>
        <v>1.2267955807966149E-2</v>
      </c>
      <c r="H40" s="3">
        <f t="shared" si="28"/>
        <v>1.2267955807966149E-2</v>
      </c>
      <c r="I40" s="3">
        <f t="shared" si="28"/>
        <v>1.2267955807966149E-2</v>
      </c>
      <c r="J40" s="3">
        <f t="shared" si="28"/>
        <v>1.2267955807966149E-2</v>
      </c>
      <c r="K40" s="3">
        <f t="shared" si="28"/>
        <v>1.2267955807966149E-2</v>
      </c>
      <c r="L40" s="3">
        <f t="shared" si="28"/>
        <v>1.2267955807966149E-2</v>
      </c>
      <c r="M40" s="3">
        <f t="shared" si="28"/>
        <v>1.2267955807966148E-2</v>
      </c>
      <c r="N40" s="3">
        <f t="shared" si="28"/>
        <v>1.2267955807966137E-2</v>
      </c>
      <c r="O40" s="3">
        <f t="shared" si="28"/>
        <v>1.2267955807966026E-2</v>
      </c>
      <c r="P40" s="3">
        <f t="shared" si="27"/>
        <v>1.2267955807964923E-2</v>
      </c>
      <c r="Q40" s="3">
        <f t="shared" si="27"/>
        <v>1.2267955807953881E-2</v>
      </c>
      <c r="R40" s="3">
        <f t="shared" si="27"/>
        <v>1.226795580784347E-2</v>
      </c>
      <c r="S40" s="3">
        <f t="shared" si="27"/>
        <v>1.2267955806739353E-2</v>
      </c>
      <c r="T40" s="3">
        <f t="shared" si="27"/>
        <v>1.2267955795698194E-2</v>
      </c>
      <c r="U40" s="3">
        <f t="shared" si="27"/>
        <v>1.2267955685286592E-2</v>
      </c>
      <c r="V40" s="3">
        <f t="shared" si="27"/>
        <v>1.226795458117063E-2</v>
      </c>
      <c r="W40" s="3">
        <f t="shared" si="27"/>
        <v>1.2267943540016476E-2</v>
      </c>
      <c r="X40" s="3">
        <f t="shared" si="27"/>
        <v>1.2267833129021466E-2</v>
      </c>
      <c r="Y40" s="3">
        <f t="shared" si="27"/>
        <v>1.2266729073723087E-2</v>
      </c>
      <c r="Z40" s="3">
        <f t="shared" si="27"/>
        <v>1.225569398409194E-2</v>
      </c>
      <c r="AA40" s="3">
        <f t="shared" si="27"/>
        <v>1.2145887608119027E-2</v>
      </c>
      <c r="AB40" s="3">
        <f t="shared" si="27"/>
        <v>1.1100505457859344E-2</v>
      </c>
      <c r="AC40" s="3">
        <f t="shared" si="27"/>
        <v>4.513128726950537E-3</v>
      </c>
      <c r="AD40" s="3">
        <f t="shared" si="27"/>
        <v>5.569643320109313E-7</v>
      </c>
      <c r="AE40" s="3">
        <f t="shared" si="27"/>
        <v>4.5637727676100162E-46</v>
      </c>
      <c r="AF40" s="3">
        <f t="shared" si="29"/>
        <v>0</v>
      </c>
      <c r="AG40" s="3">
        <f t="shared" si="29"/>
        <v>0</v>
      </c>
      <c r="AH40" s="3">
        <f t="shared" si="29"/>
        <v>0</v>
      </c>
      <c r="AI40" s="3">
        <f t="shared" si="29"/>
        <v>0</v>
      </c>
      <c r="AJ40" s="3">
        <f t="shared" si="29"/>
        <v>0</v>
      </c>
    </row>
    <row r="41" spans="1:36" x14ac:dyDescent="0.25">
      <c r="A41" s="3">
        <f t="shared" si="30"/>
        <v>1000000000</v>
      </c>
      <c r="B41" s="106">
        <v>6.9104156595678782E-4</v>
      </c>
      <c r="C41" s="18">
        <f t="shared" si="3"/>
        <v>7.7350329579382458E-4</v>
      </c>
      <c r="D41" s="17"/>
      <c r="F41" s="3">
        <f t="shared" si="28"/>
        <v>7.7350329579382458E-4</v>
      </c>
      <c r="G41" s="3">
        <f t="shared" si="28"/>
        <v>7.7350329579382458E-4</v>
      </c>
      <c r="H41" s="3">
        <f t="shared" si="28"/>
        <v>7.7350329579382458E-4</v>
      </c>
      <c r="I41" s="3">
        <f t="shared" si="28"/>
        <v>7.7350329579382458E-4</v>
      </c>
      <c r="J41" s="3">
        <f t="shared" si="28"/>
        <v>7.7350329579382458E-4</v>
      </c>
      <c r="K41" s="3">
        <f t="shared" si="28"/>
        <v>7.7350329579382458E-4</v>
      </c>
      <c r="L41" s="3">
        <f t="shared" si="28"/>
        <v>7.7350329579382458E-4</v>
      </c>
      <c r="M41" s="3">
        <f t="shared" si="28"/>
        <v>7.7350329579382458E-4</v>
      </c>
      <c r="N41" s="3">
        <f t="shared" si="28"/>
        <v>7.7350329579382448E-4</v>
      </c>
      <c r="O41" s="3">
        <f t="shared" si="28"/>
        <v>7.7350329579382383E-4</v>
      </c>
      <c r="P41" s="3">
        <f t="shared" si="27"/>
        <v>7.7350329579381689E-4</v>
      </c>
      <c r="Q41" s="3">
        <f t="shared" si="27"/>
        <v>7.7350329579374717E-4</v>
      </c>
      <c r="R41" s="3">
        <f t="shared" si="27"/>
        <v>7.7350329579305111E-4</v>
      </c>
      <c r="S41" s="3">
        <f t="shared" si="27"/>
        <v>7.7350329578608956E-4</v>
      </c>
      <c r="T41" s="3">
        <f t="shared" si="27"/>
        <v>7.7350329571647424E-4</v>
      </c>
      <c r="U41" s="3">
        <f t="shared" si="27"/>
        <v>7.7350329502032136E-4</v>
      </c>
      <c r="V41" s="3">
        <f t="shared" si="27"/>
        <v>7.735032880587917E-4</v>
      </c>
      <c r="W41" s="3">
        <f t="shared" si="27"/>
        <v>7.735032184434989E-4</v>
      </c>
      <c r="X41" s="3">
        <f t="shared" si="27"/>
        <v>7.7350252229091551E-4</v>
      </c>
      <c r="Y41" s="3">
        <f t="shared" si="27"/>
        <v>7.734955607995417E-4</v>
      </c>
      <c r="Z41" s="3">
        <f t="shared" si="27"/>
        <v>7.7342594933163273E-4</v>
      </c>
      <c r="AA41" s="3">
        <f t="shared" si="27"/>
        <v>7.7273017912079373E-4</v>
      </c>
      <c r="AB41" s="3">
        <f t="shared" si="27"/>
        <v>7.6580680940510962E-4</v>
      </c>
      <c r="AC41" s="3">
        <f t="shared" si="27"/>
        <v>6.9989472500838932E-4</v>
      </c>
      <c r="AD41" s="3">
        <f t="shared" si="27"/>
        <v>2.8455596020090102E-4</v>
      </c>
      <c r="AE41" s="3">
        <f t="shared" si="27"/>
        <v>3.5116995300090185E-8</v>
      </c>
      <c r="AF41" s="3">
        <f t="shared" si="29"/>
        <v>2.8774910280555455E-47</v>
      </c>
      <c r="AG41" s="3">
        <f t="shared" si="29"/>
        <v>0</v>
      </c>
      <c r="AH41" s="3">
        <f t="shared" si="29"/>
        <v>0</v>
      </c>
      <c r="AI41" s="3">
        <f t="shared" si="29"/>
        <v>0</v>
      </c>
      <c r="AJ41" s="3">
        <f t="shared" si="29"/>
        <v>0</v>
      </c>
    </row>
    <row r="42" spans="1:36" x14ac:dyDescent="0.25">
      <c r="A42" s="3">
        <f t="shared" si="30"/>
        <v>10000000000</v>
      </c>
      <c r="B42" s="106">
        <v>2.5785768029268213E-3</v>
      </c>
      <c r="C42" s="18">
        <f t="shared" si="3"/>
        <v>2.8862774017939779E-3</v>
      </c>
      <c r="D42" s="17"/>
      <c r="F42" s="3">
        <f t="shared" si="28"/>
        <v>2.8862774017939779E-3</v>
      </c>
      <c r="G42" s="3">
        <f t="shared" si="28"/>
        <v>2.8862774017939779E-3</v>
      </c>
      <c r="H42" s="3">
        <f t="shared" si="28"/>
        <v>2.8862774017939779E-3</v>
      </c>
      <c r="I42" s="3">
        <f t="shared" si="28"/>
        <v>2.8862774017939779E-3</v>
      </c>
      <c r="J42" s="3">
        <f t="shared" si="28"/>
        <v>2.8862774017939779E-3</v>
      </c>
      <c r="K42" s="3">
        <f t="shared" si="28"/>
        <v>2.8862774017939779E-3</v>
      </c>
      <c r="L42" s="3">
        <f t="shared" si="28"/>
        <v>2.8862774017939779E-3</v>
      </c>
      <c r="M42" s="3">
        <f t="shared" si="28"/>
        <v>2.8862774017939779E-3</v>
      </c>
      <c r="N42" s="3">
        <f t="shared" si="28"/>
        <v>2.8862774017939779E-3</v>
      </c>
      <c r="O42" s="3">
        <f t="shared" si="28"/>
        <v>2.8862774017939775E-3</v>
      </c>
      <c r="P42" s="3">
        <f t="shared" si="27"/>
        <v>2.8862774017939749E-3</v>
      </c>
      <c r="Q42" s="3">
        <f t="shared" si="27"/>
        <v>2.8862774017939493E-3</v>
      </c>
      <c r="R42" s="3">
        <f t="shared" si="27"/>
        <v>2.8862774017936891E-3</v>
      </c>
      <c r="S42" s="3">
        <f t="shared" si="27"/>
        <v>2.8862774017910917E-3</v>
      </c>
      <c r="T42" s="3">
        <f t="shared" si="27"/>
        <v>2.8862774017651151E-3</v>
      </c>
      <c r="U42" s="3">
        <f t="shared" si="27"/>
        <v>2.8862774015053503E-3</v>
      </c>
      <c r="V42" s="3">
        <f t="shared" si="27"/>
        <v>2.8862773989077007E-3</v>
      </c>
      <c r="W42" s="3">
        <f t="shared" si="27"/>
        <v>2.8862773729312042E-3</v>
      </c>
      <c r="X42" s="3">
        <f t="shared" si="27"/>
        <v>2.8862771131662524E-3</v>
      </c>
      <c r="Y42" s="3">
        <f t="shared" si="27"/>
        <v>2.8862745155180192E-3</v>
      </c>
      <c r="Z42" s="3">
        <f t="shared" si="27"/>
        <v>2.8862485391642732E-3</v>
      </c>
      <c r="AA42" s="3">
        <f t="shared" si="27"/>
        <v>2.8859887884847045E-3</v>
      </c>
      <c r="AB42" s="3">
        <f t="shared" si="27"/>
        <v>2.8833925670499589E-3</v>
      </c>
      <c r="AC42" s="3">
        <f t="shared" si="27"/>
        <v>2.8575584618001086E-3</v>
      </c>
      <c r="AD42" s="3">
        <f t="shared" si="27"/>
        <v>2.6116117919748006E-3</v>
      </c>
      <c r="AE42" s="3">
        <f t="shared" si="27"/>
        <v>1.0618021176377311E-3</v>
      </c>
      <c r="AF42" s="3">
        <f t="shared" si="29"/>
        <v>1.3103679131649388E-7</v>
      </c>
      <c r="AG42" s="3">
        <f t="shared" si="29"/>
        <v>1.0737171222545615E-46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1.420329080079353E-4</v>
      </c>
      <c r="C44" s="18">
        <f t="shared" si="3"/>
        <v>1.5898164143456024E-4</v>
      </c>
      <c r="D44" s="17"/>
      <c r="F44" s="3">
        <f t="shared" si="28"/>
        <v>1.5898164143456024E-4</v>
      </c>
      <c r="G44" s="3">
        <f t="shared" si="28"/>
        <v>1.5898164143456024E-4</v>
      </c>
      <c r="H44" s="3">
        <f t="shared" si="28"/>
        <v>1.5898164143456024E-4</v>
      </c>
      <c r="I44" s="3">
        <f t="shared" si="28"/>
        <v>1.5898164143456024E-4</v>
      </c>
      <c r="J44" s="3">
        <f t="shared" si="28"/>
        <v>1.5898164143456024E-4</v>
      </c>
      <c r="K44" s="3">
        <f t="shared" si="28"/>
        <v>1.5898164143456024E-4</v>
      </c>
      <c r="L44" s="3">
        <f t="shared" si="28"/>
        <v>1.5898164143456024E-4</v>
      </c>
      <c r="M44" s="3">
        <f t="shared" si="28"/>
        <v>1.5898164143456024E-4</v>
      </c>
      <c r="N44" s="3">
        <f t="shared" si="28"/>
        <v>1.5898164143456024E-4</v>
      </c>
      <c r="O44" s="3">
        <f t="shared" si="28"/>
        <v>1.5898164143456024E-4</v>
      </c>
      <c r="P44" s="3">
        <f t="shared" si="27"/>
        <v>1.5898164143456024E-4</v>
      </c>
      <c r="Q44" s="3">
        <f t="shared" si="27"/>
        <v>1.5898164143456021E-4</v>
      </c>
      <c r="R44" s="3">
        <f t="shared" si="27"/>
        <v>1.5898164143456008E-4</v>
      </c>
      <c r="S44" s="3">
        <f t="shared" si="27"/>
        <v>1.5898164143455864E-4</v>
      </c>
      <c r="T44" s="3">
        <f t="shared" si="27"/>
        <v>1.5898164143454433E-4</v>
      </c>
      <c r="U44" s="3">
        <f t="shared" si="27"/>
        <v>1.5898164143440127E-4</v>
      </c>
      <c r="V44" s="3">
        <f t="shared" si="27"/>
        <v>1.5898164143297042E-4</v>
      </c>
      <c r="W44" s="3">
        <f t="shared" si="27"/>
        <v>1.5898164141866207E-4</v>
      </c>
      <c r="X44" s="3">
        <f t="shared" si="27"/>
        <v>1.5898164127557861E-4</v>
      </c>
      <c r="Y44" s="3">
        <f t="shared" si="27"/>
        <v>1.5898163984474383E-4</v>
      </c>
      <c r="Z44" s="3">
        <f t="shared" si="27"/>
        <v>1.5898162553639689E-4</v>
      </c>
      <c r="AA44" s="3">
        <f t="shared" si="27"/>
        <v>1.589814824529983E-4</v>
      </c>
      <c r="AB44" s="3">
        <f t="shared" si="27"/>
        <v>1.5898005162609495E-4</v>
      </c>
      <c r="AC44" s="3">
        <f t="shared" si="27"/>
        <v>1.589657440652985E-4</v>
      </c>
      <c r="AD44" s="3">
        <f t="shared" si="27"/>
        <v>1.5882273925745609E-4</v>
      </c>
      <c r="AE44" s="3">
        <f t="shared" si="27"/>
        <v>1.5739974767145623E-4</v>
      </c>
      <c r="AF44" s="3">
        <f t="shared" si="29"/>
        <v>1.4385253795076621E-4</v>
      </c>
      <c r="AG44" s="3">
        <f t="shared" si="29"/>
        <v>5.8486077407464643E-5</v>
      </c>
      <c r="AH44" s="3">
        <f t="shared" si="29"/>
        <v>7.2177553546535869E-9</v>
      </c>
      <c r="AI44" s="3">
        <f t="shared" si="29"/>
        <v>5.9142378492906629E-48</v>
      </c>
      <c r="AJ44" s="3">
        <f t="shared" si="29"/>
        <v>0</v>
      </c>
    </row>
    <row r="45" spans="1:36" x14ac:dyDescent="0.25">
      <c r="A45" s="3">
        <f t="shared" si="30"/>
        <v>10000000000000</v>
      </c>
      <c r="B45" s="106">
        <v>1.1669477403918734E-4</v>
      </c>
      <c r="C45" s="18">
        <f t="shared" si="3"/>
        <v>1.3061991748101505E-4</v>
      </c>
      <c r="D45" s="17"/>
      <c r="F45" s="3">
        <f t="shared" si="28"/>
        <v>1.3061991748101505E-4</v>
      </c>
      <c r="G45" s="3">
        <f t="shared" si="28"/>
        <v>1.3061991748101505E-4</v>
      </c>
      <c r="H45" s="3">
        <f t="shared" si="28"/>
        <v>1.3061991748101505E-4</v>
      </c>
      <c r="I45" s="3">
        <f t="shared" si="28"/>
        <v>1.3061991748101505E-4</v>
      </c>
      <c r="J45" s="3">
        <f t="shared" si="28"/>
        <v>1.3061991748101505E-4</v>
      </c>
      <c r="K45" s="3">
        <f t="shared" si="28"/>
        <v>1.3061991748101505E-4</v>
      </c>
      <c r="L45" s="3">
        <f t="shared" si="28"/>
        <v>1.3061991748101505E-4</v>
      </c>
      <c r="M45" s="3">
        <f t="shared" si="28"/>
        <v>1.3061991748101505E-4</v>
      </c>
      <c r="N45" s="3">
        <f t="shared" si="28"/>
        <v>1.3061991748101505E-4</v>
      </c>
      <c r="O45" s="3">
        <f t="shared" si="28"/>
        <v>1.3061991748101505E-4</v>
      </c>
      <c r="P45" s="3">
        <f t="shared" si="27"/>
        <v>1.3061991748101505E-4</v>
      </c>
      <c r="Q45" s="3">
        <f t="shared" si="27"/>
        <v>1.3061991748101505E-4</v>
      </c>
      <c r="R45" s="3">
        <f t="shared" si="27"/>
        <v>1.3061991748101502E-4</v>
      </c>
      <c r="S45" s="3">
        <f t="shared" si="27"/>
        <v>1.3061991748101491E-4</v>
      </c>
      <c r="T45" s="3">
        <f t="shared" si="27"/>
        <v>1.3061991748101375E-4</v>
      </c>
      <c r="U45" s="3">
        <f t="shared" si="27"/>
        <v>1.3061991748100198E-4</v>
      </c>
      <c r="V45" s="3">
        <f t="shared" si="27"/>
        <v>1.3061991748088443E-4</v>
      </c>
      <c r="W45" s="3">
        <f t="shared" si="27"/>
        <v>1.3061991747970886E-4</v>
      </c>
      <c r="X45" s="3">
        <f t="shared" si="27"/>
        <v>1.3061991746795307E-4</v>
      </c>
      <c r="Y45" s="3">
        <f t="shared" si="27"/>
        <v>1.3061991735039514E-4</v>
      </c>
      <c r="Z45" s="3">
        <f t="shared" si="27"/>
        <v>1.3061991617481589E-4</v>
      </c>
      <c r="AA45" s="3">
        <f t="shared" si="27"/>
        <v>1.3061990441902397E-4</v>
      </c>
      <c r="AB45" s="3">
        <f t="shared" si="27"/>
        <v>1.3061978686116287E-4</v>
      </c>
      <c r="AC45" s="3">
        <f t="shared" si="27"/>
        <v>1.306186112883712E-4</v>
      </c>
      <c r="AD45" s="3">
        <f t="shared" si="27"/>
        <v>1.3060685614234475E-4</v>
      </c>
      <c r="AE45" s="3">
        <f t="shared" si="27"/>
        <v>1.3048936285172823E-4</v>
      </c>
      <c r="AF45" s="3">
        <f t="shared" si="29"/>
        <v>1.2932022758640902E-4</v>
      </c>
      <c r="AG45" s="3">
        <f t="shared" si="29"/>
        <v>1.1818978887759175E-4</v>
      </c>
      <c r="AH45" s="3">
        <f t="shared" si="29"/>
        <v>4.805238224877573E-5</v>
      </c>
      <c r="AI45" s="3">
        <f t="shared" si="29"/>
        <v>5.9301350792196506E-9</v>
      </c>
      <c r="AJ45" s="3">
        <f t="shared" si="29"/>
        <v>4.8591601701094811E-48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7.2661612677196182E-5</v>
      </c>
      <c r="C47" s="18">
        <f t="shared" si="3"/>
        <v>8.1332295555460314E-5</v>
      </c>
      <c r="D47" s="17"/>
      <c r="F47" s="3">
        <f t="shared" si="28"/>
        <v>8.1332295555460314E-5</v>
      </c>
      <c r="G47" s="3">
        <f t="shared" si="28"/>
        <v>8.1332295555460314E-5</v>
      </c>
      <c r="H47" s="3">
        <f t="shared" si="28"/>
        <v>8.1332295555460314E-5</v>
      </c>
      <c r="I47" s="3">
        <f t="shared" si="28"/>
        <v>8.1332295555460314E-5</v>
      </c>
      <c r="J47" s="3">
        <f t="shared" si="28"/>
        <v>8.1332295555460314E-5</v>
      </c>
      <c r="K47" s="3">
        <f t="shared" si="28"/>
        <v>8.1332295555460314E-5</v>
      </c>
      <c r="L47" s="3">
        <f t="shared" si="28"/>
        <v>8.1332295555460314E-5</v>
      </c>
      <c r="M47" s="3">
        <f t="shared" si="28"/>
        <v>8.1332295555460314E-5</v>
      </c>
      <c r="N47" s="3">
        <f t="shared" si="28"/>
        <v>8.1332295555460314E-5</v>
      </c>
      <c r="O47" s="3">
        <f t="shared" si="28"/>
        <v>8.1332295555460314E-5</v>
      </c>
      <c r="P47" s="3">
        <f t="shared" si="27"/>
        <v>8.1332295555460314E-5</v>
      </c>
      <c r="Q47" s="3">
        <f t="shared" si="27"/>
        <v>8.1332295555460314E-5</v>
      </c>
      <c r="R47" s="3">
        <f t="shared" si="27"/>
        <v>8.1332295555460314E-5</v>
      </c>
      <c r="S47" s="3">
        <f t="shared" si="27"/>
        <v>8.1332295555460314E-5</v>
      </c>
      <c r="T47" s="3">
        <f t="shared" si="27"/>
        <v>8.13322955554603E-5</v>
      </c>
      <c r="U47" s="3">
        <f t="shared" si="27"/>
        <v>8.1332295555460233E-5</v>
      </c>
      <c r="V47" s="3">
        <f t="shared" si="27"/>
        <v>8.1332295555459501E-5</v>
      </c>
      <c r="W47" s="3">
        <f t="shared" si="27"/>
        <v>8.1332295555452182E-5</v>
      </c>
      <c r="X47" s="3">
        <f t="shared" si="27"/>
        <v>8.1332295555378985E-5</v>
      </c>
      <c r="Y47" s="3">
        <f t="shared" si="27"/>
        <v>8.1332295554646986E-5</v>
      </c>
      <c r="Z47" s="3">
        <f t="shared" si="27"/>
        <v>8.133229554732709E-5</v>
      </c>
      <c r="AA47" s="3">
        <f t="shared" si="27"/>
        <v>8.1332295474128021E-5</v>
      </c>
      <c r="AB47" s="3">
        <f t="shared" si="27"/>
        <v>8.1332294742137367E-5</v>
      </c>
      <c r="AC47" s="3">
        <f t="shared" si="27"/>
        <v>8.1332287422231171E-5</v>
      </c>
      <c r="AD47" s="3">
        <f t="shared" si="27"/>
        <v>8.1332214223205432E-5</v>
      </c>
      <c r="AE47" s="3">
        <f t="shared" si="27"/>
        <v>8.1331482236571365E-5</v>
      </c>
      <c r="AF47" s="3">
        <f t="shared" si="29"/>
        <v>8.1324162732552689E-5</v>
      </c>
      <c r="AG47" s="3">
        <f t="shared" si="29"/>
        <v>8.1251003912500639E-5</v>
      </c>
      <c r="AH47" s="3">
        <f t="shared" si="29"/>
        <v>8.052302569312169E-5</v>
      </c>
      <c r="AI47" s="3">
        <f t="shared" si="29"/>
        <v>7.3592504313340257E-5</v>
      </c>
      <c r="AJ47" s="3">
        <f t="shared" si="29"/>
        <v>2.9920479438133323E-5</v>
      </c>
    </row>
    <row r="48" spans="1:36" x14ac:dyDescent="0.25">
      <c r="A48" s="3">
        <f t="shared" si="30"/>
        <v>1E+16</v>
      </c>
      <c r="B48" s="106">
        <v>5.7336180352697693E-4</v>
      </c>
      <c r="C48" s="18">
        <f t="shared" si="3"/>
        <v>6.4178085162845428E-4</v>
      </c>
      <c r="D48" s="17"/>
      <c r="F48" s="3">
        <f t="shared" si="28"/>
        <v>6.4178085162845428E-4</v>
      </c>
      <c r="G48" s="3">
        <f t="shared" si="28"/>
        <v>6.4178085162845428E-4</v>
      </c>
      <c r="H48" s="3">
        <f t="shared" si="28"/>
        <v>6.4178085162845428E-4</v>
      </c>
      <c r="I48" s="3">
        <f t="shared" si="28"/>
        <v>6.4178085162845428E-4</v>
      </c>
      <c r="J48" s="3">
        <f t="shared" si="28"/>
        <v>6.4178085162845428E-4</v>
      </c>
      <c r="K48" s="3">
        <f t="shared" si="28"/>
        <v>6.4178085162845428E-4</v>
      </c>
      <c r="L48" s="3">
        <f t="shared" si="28"/>
        <v>6.4178085162845428E-4</v>
      </c>
      <c r="M48" s="3">
        <f t="shared" si="28"/>
        <v>6.4178085162845428E-4</v>
      </c>
      <c r="N48" s="3">
        <f t="shared" si="28"/>
        <v>6.4178085162845428E-4</v>
      </c>
      <c r="O48" s="3">
        <f t="shared" si="28"/>
        <v>6.4178085162845428E-4</v>
      </c>
      <c r="P48" s="3">
        <f t="shared" si="27"/>
        <v>6.4178085162845428E-4</v>
      </c>
      <c r="Q48" s="3">
        <f t="shared" si="27"/>
        <v>6.4178085162845428E-4</v>
      </c>
      <c r="R48" s="3">
        <f t="shared" si="27"/>
        <v>6.4178085162845428E-4</v>
      </c>
      <c r="S48" s="3">
        <f t="shared" si="27"/>
        <v>6.4178085162845428E-4</v>
      </c>
      <c r="T48" s="3">
        <f t="shared" si="27"/>
        <v>6.4178085162845428E-4</v>
      </c>
      <c r="U48" s="3">
        <f t="shared" si="27"/>
        <v>6.4178085162845417E-4</v>
      </c>
      <c r="V48" s="3">
        <f t="shared" si="27"/>
        <v>6.4178085162845363E-4</v>
      </c>
      <c r="W48" s="3">
        <f t="shared" si="27"/>
        <v>6.4178085162844788E-4</v>
      </c>
      <c r="X48" s="3">
        <f t="shared" si="27"/>
        <v>6.4178085162839009E-4</v>
      </c>
      <c r="Y48" s="3">
        <f t="shared" si="27"/>
        <v>6.4178085162781254E-4</v>
      </c>
      <c r="Z48" s="3">
        <f t="shared" si="27"/>
        <v>6.4178085162203645E-4</v>
      </c>
      <c r="AA48" s="3">
        <f t="shared" si="27"/>
        <v>6.4178085156427623E-4</v>
      </c>
      <c r="AB48" s="3">
        <f t="shared" si="27"/>
        <v>6.4178085098667349E-4</v>
      </c>
      <c r="AC48" s="3">
        <f t="shared" si="27"/>
        <v>6.4178084521064583E-4</v>
      </c>
      <c r="AD48" s="3">
        <f t="shared" si="27"/>
        <v>6.4178078745037238E-4</v>
      </c>
      <c r="AE48" s="3">
        <f t="shared" si="27"/>
        <v>6.4178020984792354E-4</v>
      </c>
      <c r="AF48" s="3">
        <f t="shared" si="29"/>
        <v>6.4177443385202691E-4</v>
      </c>
      <c r="AG48" s="3">
        <f t="shared" si="29"/>
        <v>6.4171667675208869E-4</v>
      </c>
      <c r="AH48" s="3">
        <f t="shared" si="29"/>
        <v>6.4113939156031487E-4</v>
      </c>
      <c r="AI48" s="3">
        <f t="shared" si="29"/>
        <v>6.3539502545815064E-4</v>
      </c>
      <c r="AJ48" s="3">
        <f t="shared" si="29"/>
        <v>5.8070732873240975E-4</v>
      </c>
    </row>
    <row r="49" spans="1:36" x14ac:dyDescent="0.25">
      <c r="B49" s="16">
        <f>SUM(B17:B48)</f>
        <v>0.89339188302693839</v>
      </c>
      <c r="C49" s="18">
        <f>SUM(C17:C48)</f>
        <v>1.0000000000000002</v>
      </c>
      <c r="F49" s="3">
        <f t="shared" ref="F49:AJ49" si="31">F16-F17</f>
        <v>-0.37045872390444856</v>
      </c>
      <c r="G49" s="3">
        <f t="shared" si="31"/>
        <v>-0.2976048087093659</v>
      </c>
      <c r="H49" s="3">
        <f t="shared" si="31"/>
        <v>-0.31679159112627531</v>
      </c>
      <c r="I49" s="3">
        <f t="shared" si="31"/>
        <v>-0.1377956235610327</v>
      </c>
      <c r="J49" s="3">
        <f t="shared" si="31"/>
        <v>1.4106028187434276</v>
      </c>
      <c r="K49" s="3">
        <f t="shared" si="31"/>
        <v>-0.32618514092973783</v>
      </c>
      <c r="L49" s="3">
        <f t="shared" si="31"/>
        <v>5.6350255255892989E-2</v>
      </c>
      <c r="M49" s="3">
        <f t="shared" si="31"/>
        <v>-5.4462901628539839E-2</v>
      </c>
      <c r="N49" s="3">
        <f t="shared" si="31"/>
        <v>0.11781908859757095</v>
      </c>
      <c r="O49" s="3">
        <f t="shared" si="31"/>
        <v>-0.24080220207270031</v>
      </c>
      <c r="P49" s="3">
        <f t="shared" si="31"/>
        <v>0.41564452274360519</v>
      </c>
      <c r="Q49" s="3">
        <f t="shared" si="31"/>
        <v>-0.60086159634647629</v>
      </c>
      <c r="R49" s="3">
        <f t="shared" si="31"/>
        <v>0.7376036211499013</v>
      </c>
      <c r="S49" s="3">
        <f t="shared" si="31"/>
        <v>-0.77425448092890292</v>
      </c>
      <c r="T49" s="3">
        <f t="shared" si="31"/>
        <v>0.69301169884420233</v>
      </c>
      <c r="U49" s="3">
        <f t="shared" si="31"/>
        <v>-0.52649636661408294</v>
      </c>
      <c r="V49" s="3">
        <f t="shared" si="31"/>
        <v>0.34114949302511377</v>
      </c>
      <c r="W49" s="3">
        <f t="shared" si="31"/>
        <v>-0.19326069793623901</v>
      </c>
      <c r="X49" s="3">
        <f t="shared" si="31"/>
        <v>9.9779942333952931E-2</v>
      </c>
      <c r="Y49" s="3">
        <f t="shared" si="31"/>
        <v>-4.6285281305245007E-2</v>
      </c>
      <c r="Z49" s="3">
        <f t="shared" si="31"/>
        <v>1.6600991521386277E-2</v>
      </c>
      <c r="AA49" s="3">
        <f t="shared" si="31"/>
        <v>-2.8460527354354781E-3</v>
      </c>
      <c r="AB49" s="3">
        <f t="shared" si="31"/>
        <v>-4.9332172861795698E-3</v>
      </c>
      <c r="AC49" s="3">
        <f t="shared" si="31"/>
        <v>1.3051806962209866E-2</v>
      </c>
      <c r="AD49" s="3">
        <f t="shared" si="31"/>
        <v>-1.9538793944690269E-2</v>
      </c>
      <c r="AE49" s="3">
        <f t="shared" si="31"/>
        <v>2.3187533564694718E-2</v>
      </c>
      <c r="AF49" s="3">
        <f t="shared" si="31"/>
        <v>-9.0780373014794691E-2</v>
      </c>
      <c r="AG49" s="3">
        <f t="shared" si="31"/>
        <v>0.19064739145288456</v>
      </c>
      <c r="AH49" s="3">
        <f t="shared" si="31"/>
        <v>-0.25758866001950764</v>
      </c>
      <c r="AI49" s="3">
        <f t="shared" si="31"/>
        <v>0.16624251564567771</v>
      </c>
      <c r="AJ49" s="3">
        <f t="shared" si="31"/>
        <v>-2.0990957413602018E-2</v>
      </c>
    </row>
    <row r="50" spans="1:36" x14ac:dyDescent="0.25">
      <c r="F50" s="57">
        <f t="shared" ref="F50:AJ50" si="32">F49/F17</f>
        <v>-5.1213257120048999E-5</v>
      </c>
      <c r="G50" s="57">
        <f t="shared" si="32"/>
        <v>-4.1141770407694458E-5</v>
      </c>
      <c r="H50" s="57">
        <f t="shared" si="32"/>
        <v>-4.3794672561968406E-5</v>
      </c>
      <c r="I50" s="57">
        <f t="shared" si="32"/>
        <v>-1.9051485617390326E-5</v>
      </c>
      <c r="J50" s="57">
        <f t="shared" si="32"/>
        <v>1.9522239258122593E-4</v>
      </c>
      <c r="K50" s="57">
        <f t="shared" si="32"/>
        <v>-4.5427891002699156E-5</v>
      </c>
      <c r="L50" s="57">
        <f t="shared" si="32"/>
        <v>8.0013287925513111E-6</v>
      </c>
      <c r="M50" s="57">
        <f t="shared" si="32"/>
        <v>-7.8969226838287353E-6</v>
      </c>
      <c r="N50" s="57">
        <f t="shared" si="32"/>
        <v>1.7511250144810111E-5</v>
      </c>
      <c r="O50" s="57">
        <f t="shared" si="32"/>
        <v>-3.6915928644406959E-5</v>
      </c>
      <c r="P50" s="57">
        <f t="shared" si="32"/>
        <v>6.5731684121995827E-5</v>
      </c>
      <c r="Q50" s="57">
        <f t="shared" si="32"/>
        <v>-9.9128251527289059E-5</v>
      </c>
      <c r="R50" s="57">
        <f t="shared" si="32"/>
        <v>1.2770123806648092E-4</v>
      </c>
      <c r="S50" s="57">
        <f t="shared" si="32"/>
        <v>-1.4086211118630228E-4</v>
      </c>
      <c r="T50" s="57">
        <f t="shared" si="32"/>
        <v>1.3358214413478875E-4</v>
      </c>
      <c r="U50" s="57">
        <f t="shared" si="32"/>
        <v>-1.0862980953558552E-4</v>
      </c>
      <c r="V50" s="57">
        <f t="shared" si="32"/>
        <v>7.9204659100400813E-5</v>
      </c>
      <c r="W50" s="57">
        <f t="shared" si="32"/>
        <v>-5.6435804562793874E-5</v>
      </c>
      <c r="X50" s="57">
        <f t="shared" si="32"/>
        <v>4.060170442636272E-5</v>
      </c>
      <c r="Y50" s="57">
        <f t="shared" si="32"/>
        <v>-2.8731044288117918E-5</v>
      </c>
      <c r="Z50" s="57">
        <f t="shared" si="32"/>
        <v>1.761052335244698E-5</v>
      </c>
      <c r="AA50" s="57">
        <f t="shared" si="32"/>
        <v>-5.5769137725279026E-6</v>
      </c>
      <c r="AB50" s="57">
        <f t="shared" si="32"/>
        <v>-1.8178759474886261E-5</v>
      </c>
      <c r="AC50" s="57">
        <f t="shared" si="32"/>
        <v>8.5617383338391185E-5</v>
      </c>
      <c r="AD50" s="57">
        <f t="shared" si="32"/>
        <v>-1.7063730364105681E-4</v>
      </c>
      <c r="AE50" s="57">
        <f t="shared" si="32"/>
        <v>2.2948413444481231E-4</v>
      </c>
      <c r="AF50" s="57">
        <f t="shared" si="32"/>
        <v>-9.7455427970830966E-4</v>
      </c>
      <c r="AG50" s="57">
        <f t="shared" si="32"/>
        <v>2.0623611725017091E-3</v>
      </c>
      <c r="AH50" s="57">
        <f t="shared" si="32"/>
        <v>-2.815519131984595E-3</v>
      </c>
      <c r="AI50" s="57">
        <f t="shared" si="32"/>
        <v>1.8259645963985694E-3</v>
      </c>
      <c r="AJ50" s="57">
        <f t="shared" si="32"/>
        <v>-2.3239996005034594E-4</v>
      </c>
    </row>
    <row r="51" spans="1:36" x14ac:dyDescent="0.25">
      <c r="A51" s="13" t="s">
        <v>21</v>
      </c>
      <c r="B51" s="3">
        <f>STUTT!D8</f>
        <v>7330.9827999999998</v>
      </c>
      <c r="E51" s="11" t="s">
        <v>24</v>
      </c>
      <c r="F51" s="20">
        <f t="shared" ref="F51:AJ51" si="33">(F16-F17)^2</f>
        <v>0.13723966611691243</v>
      </c>
      <c r="G51" s="20">
        <f t="shared" si="33"/>
        <v>8.8568622166938268E-2</v>
      </c>
      <c r="H51" s="20">
        <f t="shared" si="33"/>
        <v>0.10035691220831719</v>
      </c>
      <c r="I51" s="20">
        <f t="shared" si="33"/>
        <v>1.8987633872573829E-2</v>
      </c>
      <c r="J51" s="20">
        <f t="shared" si="33"/>
        <v>1.9898003122469035</v>
      </c>
      <c r="K51" s="20">
        <f t="shared" si="33"/>
        <v>0.10639674616335293</v>
      </c>
      <c r="L51" s="20">
        <f t="shared" si="33"/>
        <v>3.1753512674042956E-3</v>
      </c>
      <c r="M51" s="20">
        <f t="shared" si="33"/>
        <v>2.9662076538000074E-3</v>
      </c>
      <c r="N51" s="20">
        <f t="shared" si="33"/>
        <v>1.3881337637962274E-2</v>
      </c>
      <c r="O51" s="20">
        <f t="shared" si="33"/>
        <v>5.7985700523061595E-2</v>
      </c>
      <c r="P51" s="20">
        <f t="shared" si="33"/>
        <v>0.17276036928675934</v>
      </c>
      <c r="Q51" s="20">
        <f t="shared" si="33"/>
        <v>0.36103465796403583</v>
      </c>
      <c r="R51" s="20">
        <f t="shared" si="33"/>
        <v>0.54405910193344709</v>
      </c>
      <c r="S51" s="20">
        <f t="shared" si="33"/>
        <v>0.59947000123848493</v>
      </c>
      <c r="T51" s="20">
        <f t="shared" si="33"/>
        <v>0.48026521473492739</v>
      </c>
      <c r="U51" s="20">
        <f t="shared" si="33"/>
        <v>0.27719842405783085</v>
      </c>
      <c r="V51" s="20">
        <f t="shared" si="33"/>
        <v>0.11638297659129215</v>
      </c>
      <c r="W51" s="20">
        <f t="shared" si="33"/>
        <v>3.7349697366802215E-2</v>
      </c>
      <c r="X51" s="20">
        <f t="shared" si="33"/>
        <v>9.9560368921669719E-3</v>
      </c>
      <c r="Y51" s="20">
        <f t="shared" si="33"/>
        <v>2.1423272655056629E-3</v>
      </c>
      <c r="Z51" s="20">
        <f t="shared" si="33"/>
        <v>2.7559291949313903E-4</v>
      </c>
      <c r="AA51" s="20">
        <f t="shared" si="33"/>
        <v>8.1000161728797676E-6</v>
      </c>
      <c r="AB51" s="20">
        <f t="shared" si="33"/>
        <v>2.4336632792660921E-5</v>
      </c>
      <c r="AC51" s="20">
        <f t="shared" si="33"/>
        <v>1.7034966497878995E-4</v>
      </c>
      <c r="AD51" s="20">
        <f t="shared" si="33"/>
        <v>3.8176446881306512E-4</v>
      </c>
      <c r="AE51" s="20">
        <f t="shared" si="33"/>
        <v>5.3766171281384412E-4</v>
      </c>
      <c r="AF51" s="20">
        <f t="shared" si="33"/>
        <v>8.2410761247052634E-3</v>
      </c>
      <c r="AG51" s="20">
        <f t="shared" si="33"/>
        <v>3.6346427867789403E-2</v>
      </c>
      <c r="AH51" s="20">
        <f t="shared" si="33"/>
        <v>6.6351917770645488E-2</v>
      </c>
      <c r="AI51" s="20">
        <f t="shared" si="33"/>
        <v>2.76365740082034E-2</v>
      </c>
      <c r="AJ51" s="20">
        <f t="shared" si="33"/>
        <v>4.4062029313965352E-4</v>
      </c>
    </row>
    <row r="52" spans="1:36" x14ac:dyDescent="0.25">
      <c r="A52" s="13"/>
    </row>
    <row r="53" spans="1:36" x14ac:dyDescent="0.25">
      <c r="E53" s="118" t="s">
        <v>25</v>
      </c>
      <c r="F53" s="118"/>
      <c r="G53" s="104">
        <f>SUM(F51:AJ51)</f>
        <v>5.2603917186680258</v>
      </c>
      <c r="I53" s="3">
        <f>G53+C123</f>
        <v>5.2603917186680258</v>
      </c>
      <c r="K53" s="3">
        <f>SUM(Z51:AJ51)</f>
        <v>0.14041442147954758</v>
      </c>
    </row>
    <row r="55" spans="1:36" x14ac:dyDescent="0.25">
      <c r="E55" s="30" t="s">
        <v>30</v>
      </c>
      <c r="F55" s="31">
        <f t="shared" ref="F55:AJ55" si="34">ABS(F17-F16)/F16</f>
        <v>5.1215880052082739E-5</v>
      </c>
      <c r="G55" s="31">
        <f t="shared" si="34"/>
        <v>4.1143463122608028E-5</v>
      </c>
      <c r="H55" s="31">
        <f t="shared" si="34"/>
        <v>4.3796590619313912E-5</v>
      </c>
      <c r="I55" s="31">
        <f t="shared" si="34"/>
        <v>1.90518485834096E-5</v>
      </c>
      <c r="J55" s="31">
        <f t="shared" si="34"/>
        <v>1.9518428823748194E-4</v>
      </c>
      <c r="K55" s="31">
        <f t="shared" si="34"/>
        <v>4.5429954789733599E-5</v>
      </c>
      <c r="L55" s="31">
        <f t="shared" si="34"/>
        <v>8.0012647718011146E-6</v>
      </c>
      <c r="M55" s="31">
        <f t="shared" si="34"/>
        <v>7.8969850457090773E-6</v>
      </c>
      <c r="N55" s="31">
        <f t="shared" si="34"/>
        <v>1.7510943506298101E-5</v>
      </c>
      <c r="O55" s="31">
        <f t="shared" si="34"/>
        <v>3.6917291480505001E-5</v>
      </c>
      <c r="P55" s="31">
        <f t="shared" si="34"/>
        <v>6.5727363751683535E-5</v>
      </c>
      <c r="Q55" s="31">
        <f t="shared" si="34"/>
        <v>9.9138078911711352E-5</v>
      </c>
      <c r="R55" s="31">
        <f t="shared" si="34"/>
        <v>1.2768493254251281E-4</v>
      </c>
      <c r="S55" s="31">
        <f t="shared" si="34"/>
        <v>1.4088195611606884E-4</v>
      </c>
      <c r="T55" s="31">
        <f t="shared" si="34"/>
        <v>1.3356430232890377E-4</v>
      </c>
      <c r="U55" s="31">
        <f t="shared" si="34"/>
        <v>1.0864161125312359E-4</v>
      </c>
      <c r="V55" s="31">
        <f t="shared" si="34"/>
        <v>7.9198386219219024E-5</v>
      </c>
      <c r="W55" s="31">
        <f t="shared" si="34"/>
        <v>5.6438989742588712E-5</v>
      </c>
      <c r="X55" s="31">
        <f t="shared" si="34"/>
        <v>4.0600055994889522E-5</v>
      </c>
      <c r="Y55" s="31">
        <f t="shared" si="34"/>
        <v>2.8731869784741182E-5</v>
      </c>
      <c r="Z55" s="31">
        <f t="shared" si="34"/>
        <v>1.7610213227375697E-5</v>
      </c>
      <c r="AA55" s="31">
        <f t="shared" si="34"/>
        <v>5.5769448746685824E-6</v>
      </c>
      <c r="AB55" s="31">
        <f t="shared" si="34"/>
        <v>1.8179089948189901E-5</v>
      </c>
      <c r="AC55" s="31">
        <f t="shared" si="34"/>
        <v>8.561005362961197E-5</v>
      </c>
      <c r="AD55" s="31">
        <f t="shared" si="34"/>
        <v>1.7066642569976028E-4</v>
      </c>
      <c r="AE55" s="31">
        <f t="shared" si="34"/>
        <v>2.2943148355939331E-4</v>
      </c>
      <c r="AF55" s="31">
        <f t="shared" si="34"/>
        <v>9.7550496224414144E-4</v>
      </c>
      <c r="AG55" s="31">
        <f t="shared" si="34"/>
        <v>2.0581165927523351E-3</v>
      </c>
      <c r="AH55" s="31">
        <f t="shared" si="34"/>
        <v>2.8234686620210742E-3</v>
      </c>
      <c r="AI55" s="31">
        <f t="shared" si="34"/>
        <v>1.8226365266288422E-3</v>
      </c>
      <c r="AJ55" s="31">
        <f t="shared" si="34"/>
        <v>2.3245398234655683E-4</v>
      </c>
    </row>
    <row r="56" spans="1:36" x14ac:dyDescent="0.25">
      <c r="E56" s="13" t="s">
        <v>31</v>
      </c>
      <c r="F56" s="32">
        <f>AVERAGE(F55:AJ55)</f>
        <v>3.1567777399310761E-4</v>
      </c>
    </row>
    <row r="57" spans="1:36" x14ac:dyDescent="0.25">
      <c r="A57" s="42"/>
      <c r="B57" s="15"/>
      <c r="C57" s="15"/>
      <c r="D57" s="15"/>
      <c r="F57" s="60">
        <f>AVERAGE(S55:X55)</f>
        <v>9.3220883609132239E-5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-21.592748433065772</v>
      </c>
    </row>
    <row r="119" spans="1:14" x14ac:dyDescent="0.25">
      <c r="L119" s="11">
        <f>L118+1</f>
        <v>2</v>
      </c>
      <c r="M119" s="11">
        <f t="shared" ref="M119:M124" si="35">INDEX($B$125:$K$126,1,L119)</f>
        <v>0</v>
      </c>
      <c r="N119" s="11">
        <f t="shared" ref="N119:N124" si="36">IF(L119=$B$3,0,INDEX($B$125:$K$126,2,L119))</f>
        <v>-17.596432358829645</v>
      </c>
    </row>
    <row r="120" spans="1:14" x14ac:dyDescent="0.25">
      <c r="L120" s="11">
        <f t="shared" ref="L120:L124" si="37">L119+1</f>
        <v>3</v>
      </c>
      <c r="M120" s="11">
        <f t="shared" si="35"/>
        <v>25</v>
      </c>
      <c r="N120" s="11">
        <f t="shared" si="36"/>
        <v>-15.24976564949475</v>
      </c>
    </row>
    <row r="121" spans="1:14" x14ac:dyDescent="0.25">
      <c r="A121" s="103">
        <f>(A165+A204+A243+A282+A321+A360+A399)*10^9</f>
        <v>8426828328044062</v>
      </c>
      <c r="L121" s="11">
        <f t="shared" si="37"/>
        <v>4</v>
      </c>
      <c r="M121" s="11">
        <f t="shared" si="35"/>
        <v>50</v>
      </c>
      <c r="N121" s="11">
        <f t="shared" si="36"/>
        <v>-8.555378080915407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17.695201106913999</v>
      </c>
    </row>
    <row r="124" spans="1:14" x14ac:dyDescent="0.25">
      <c r="B124" s="3"/>
      <c r="C124" s="3"/>
      <c r="D124" s="3"/>
      <c r="E124" s="3"/>
      <c r="F124" s="3"/>
      <c r="G124" s="3"/>
      <c r="H124" s="3"/>
      <c r="I124" s="3"/>
      <c r="J124" s="3"/>
      <c r="K124" s="3"/>
      <c r="L124" s="11">
        <f t="shared" si="37"/>
        <v>7</v>
      </c>
      <c r="M124" s="11">
        <f t="shared" si="35"/>
        <v>160</v>
      </c>
      <c r="N124" s="11">
        <f t="shared" si="36"/>
        <v>21.815131002612322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-21.592748433065772</v>
      </c>
      <c r="C126" s="107">
        <v>-17.596432358829645</v>
      </c>
      <c r="D126" s="107">
        <v>-15.24976564949475</v>
      </c>
      <c r="E126" s="107">
        <v>-8.555378080915407</v>
      </c>
      <c r="F126" s="107">
        <v>-3.1516823131739745E-5</v>
      </c>
      <c r="G126" s="107">
        <v>17.695201106913999</v>
      </c>
      <c r="H126" s="107">
        <v>21.815131002612322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7233.6498091617041</v>
      </c>
      <c r="C131" s="27">
        <f t="shared" ref="C131:AF131" si="40">($C$17+SUM(C132:C162))*$B$51</f>
        <v>7233.6498091617004</v>
      </c>
      <c r="D131" s="27">
        <f t="shared" si="40"/>
        <v>7233.6498091616695</v>
      </c>
      <c r="E131" s="27">
        <f t="shared" si="40"/>
        <v>7233.6498091613475</v>
      </c>
      <c r="F131" s="27">
        <f t="shared" si="40"/>
        <v>7233.6498091581288</v>
      </c>
      <c r="G131" s="27">
        <f t="shared" si="40"/>
        <v>7233.6498091259455</v>
      </c>
      <c r="H131" s="27">
        <f t="shared" si="40"/>
        <v>7233.6498088041226</v>
      </c>
      <c r="I131" s="27">
        <f t="shared" si="40"/>
        <v>7233.6498055858783</v>
      </c>
      <c r="J131" s="27">
        <f t="shared" si="40"/>
        <v>7233.6497734034538</v>
      </c>
      <c r="K131" s="27">
        <f t="shared" si="40"/>
        <v>7233.6494515800387</v>
      </c>
      <c r="L131" s="27">
        <f t="shared" si="40"/>
        <v>7233.6462334290682</v>
      </c>
      <c r="M131" s="27">
        <f t="shared" si="40"/>
        <v>7233.6140602358446</v>
      </c>
      <c r="N131" s="27">
        <f t="shared" si="40"/>
        <v>7233.2931578655034</v>
      </c>
      <c r="O131" s="27">
        <f t="shared" si="40"/>
        <v>7230.1650443455046</v>
      </c>
      <c r="P131" s="27">
        <f t="shared" si="40"/>
        <v>7205.2759610738085</v>
      </c>
      <c r="Q131" s="27">
        <f t="shared" si="40"/>
        <v>7108.1144242595974</v>
      </c>
      <c r="R131" s="27">
        <f t="shared" si="40"/>
        <v>6955.7386596443994</v>
      </c>
      <c r="S131" s="27">
        <f t="shared" si="40"/>
        <v>6800.7854951517784</v>
      </c>
      <c r="T131" s="27">
        <f t="shared" si="40"/>
        <v>6608.2009343501022</v>
      </c>
      <c r="U131" s="27">
        <f t="shared" si="40"/>
        <v>6397.4659223473509</v>
      </c>
      <c r="V131" s="27">
        <f t="shared" si="40"/>
        <v>6175.3791235136769</v>
      </c>
      <c r="W131" s="27">
        <f t="shared" si="40"/>
        <v>5873.0594904099444</v>
      </c>
      <c r="X131" s="27">
        <f t="shared" si="40"/>
        <v>5599.0057819025114</v>
      </c>
      <c r="Y131" s="27">
        <f t="shared" si="40"/>
        <v>5299.1536079865864</v>
      </c>
      <c r="Z131" s="27">
        <f t="shared" si="40"/>
        <v>4968.2585694334748</v>
      </c>
      <c r="AA131" s="27">
        <f t="shared" si="40"/>
        <v>4550.6509764182956</v>
      </c>
      <c r="AB131" s="27">
        <f t="shared" si="40"/>
        <v>3744.8903708203202</v>
      </c>
      <c r="AC131" s="27">
        <f t="shared" si="40"/>
        <v>2773.7213840939567</v>
      </c>
      <c r="AD131" s="27">
        <f t="shared" si="40"/>
        <v>1885.9494037106792</v>
      </c>
      <c r="AE131" s="27">
        <f t="shared" si="40"/>
        <v>1156.4543730677485</v>
      </c>
      <c r="AF131" s="27">
        <f t="shared" si="40"/>
        <v>643.21486460438211</v>
      </c>
    </row>
    <row r="132" spans="1:33" x14ac:dyDescent="0.25">
      <c r="B132" s="3">
        <f t="shared" ref="B132:Z133" si="41">$C18*EXP(-B$129/$A18/EXP(-$B$126))</f>
        <v>0</v>
      </c>
      <c r="C132" s="3">
        <f t="shared" ref="C132:AF132" si="42">$C18*EXP(-C$129/$A18/EXP(-$B$126))</f>
        <v>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3.9092004224212627E-3</v>
      </c>
      <c r="C136" s="3">
        <f t="shared" si="49"/>
        <v>3.909200422420986E-3</v>
      </c>
      <c r="D136" s="3">
        <f t="shared" si="49"/>
        <v>3.9092004224182131E-3</v>
      </c>
      <c r="E136" s="3">
        <f t="shared" si="49"/>
        <v>3.9092004223904818E-3</v>
      </c>
      <c r="F136" s="3">
        <f t="shared" si="49"/>
        <v>3.909200422113175E-3</v>
      </c>
      <c r="G136" s="3">
        <f t="shared" si="49"/>
        <v>3.9092004193401067E-3</v>
      </c>
      <c r="H136" s="3">
        <f t="shared" si="49"/>
        <v>3.9092003916094192E-3</v>
      </c>
      <c r="I136" s="3">
        <f t="shared" si="49"/>
        <v>3.9092001143025568E-3</v>
      </c>
      <c r="J136" s="3">
        <f t="shared" si="49"/>
        <v>3.9091973412350121E-3</v>
      </c>
      <c r="K136" s="3">
        <f t="shared" si="49"/>
        <v>3.9091696106677582E-3</v>
      </c>
      <c r="L136" s="3">
        <f t="shared" si="49"/>
        <v>3.9088923158141255E-3</v>
      </c>
      <c r="M136" s="3">
        <f t="shared" si="49"/>
        <v>3.9061204488845223E-3</v>
      </c>
      <c r="N136" s="3">
        <f t="shared" si="49"/>
        <v>3.8785096569128822E-3</v>
      </c>
      <c r="O136" s="3">
        <f t="shared" si="49"/>
        <v>3.6129116198778963E-3</v>
      </c>
      <c r="P136" s="3">
        <f t="shared" si="49"/>
        <v>1.7773867788127241E-3</v>
      </c>
      <c r="Q136" s="3">
        <f t="shared" si="49"/>
        <v>1.4758017465121073E-6</v>
      </c>
      <c r="R136" s="3">
        <f t="shared" si="49"/>
        <v>2.2987342488544758E-37</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2.3295496720476584E-2</v>
      </c>
      <c r="C137" s="3">
        <f t="shared" si="51"/>
        <v>2.3295496720476431E-2</v>
      </c>
      <c r="D137" s="3">
        <f t="shared" si="51"/>
        <v>2.3295496720474942E-2</v>
      </c>
      <c r="E137" s="3">
        <f t="shared" si="51"/>
        <v>2.3295496720460034E-2</v>
      </c>
      <c r="F137" s="3">
        <f t="shared" si="51"/>
        <v>2.3295496720310966E-2</v>
      </c>
      <c r="G137" s="3">
        <f t="shared" si="51"/>
        <v>2.3295496718820263E-2</v>
      </c>
      <c r="H137" s="3">
        <f t="shared" si="51"/>
        <v>2.3295496703913225E-2</v>
      </c>
      <c r="I137" s="3">
        <f t="shared" si="51"/>
        <v>2.3295496554842879E-2</v>
      </c>
      <c r="J137" s="3">
        <f t="shared" si="51"/>
        <v>2.3295495064139457E-2</v>
      </c>
      <c r="K137" s="3">
        <f t="shared" si="51"/>
        <v>2.3295480157110488E-2</v>
      </c>
      <c r="L137" s="3">
        <f t="shared" si="51"/>
        <v>2.3295331087345435E-2</v>
      </c>
      <c r="M137" s="3">
        <f t="shared" si="51"/>
        <v>2.3293840442158979E-2</v>
      </c>
      <c r="N137" s="3">
        <f t="shared" si="51"/>
        <v>2.3278939235457562E-2</v>
      </c>
      <c r="O137" s="3">
        <f t="shared" si="51"/>
        <v>2.3130450444996908E-2</v>
      </c>
      <c r="P137" s="3">
        <f t="shared" si="51"/>
        <v>2.1696672171252759E-2</v>
      </c>
      <c r="Q137" s="3">
        <f t="shared" si="51"/>
        <v>1.1441513926101368E-2</v>
      </c>
      <c r="R137" s="3">
        <f t="shared" si="51"/>
        <v>1.9027737824803173E-5</v>
      </c>
      <c r="S137" s="3">
        <f t="shared" si="51"/>
        <v>3.0791001278747324E-33</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1.9365606168399292E-2</v>
      </c>
      <c r="C138" s="3">
        <f t="shared" si="53"/>
        <v>1.9365606168399281E-2</v>
      </c>
      <c r="D138" s="3">
        <f t="shared" si="53"/>
        <v>1.936560616839917E-2</v>
      </c>
      <c r="E138" s="3">
        <f t="shared" si="53"/>
        <v>1.9365606168398053E-2</v>
      </c>
      <c r="F138" s="3">
        <f t="shared" si="53"/>
        <v>1.9365606168386874E-2</v>
      </c>
      <c r="G138" s="3">
        <f t="shared" si="53"/>
        <v>1.9365606168275085E-2</v>
      </c>
      <c r="H138" s="3">
        <f t="shared" si="53"/>
        <v>1.9365606167157202E-2</v>
      </c>
      <c r="I138" s="3">
        <f t="shared" si="53"/>
        <v>1.9365606155978356E-2</v>
      </c>
      <c r="J138" s="3">
        <f t="shared" si="53"/>
        <v>1.9365606044189895E-2</v>
      </c>
      <c r="K138" s="3">
        <f t="shared" si="53"/>
        <v>1.9365604926305326E-2</v>
      </c>
      <c r="L138" s="3">
        <f t="shared" si="53"/>
        <v>1.9365593747463185E-2</v>
      </c>
      <c r="M138" s="3">
        <f t="shared" si="53"/>
        <v>1.9365481959396701E-2</v>
      </c>
      <c r="N138" s="3">
        <f t="shared" si="53"/>
        <v>1.9364364114222637E-2</v>
      </c>
      <c r="O138" s="3">
        <f t="shared" si="53"/>
        <v>1.9353189210799589E-2</v>
      </c>
      <c r="P138" s="3">
        <f t="shared" si="53"/>
        <v>1.9241794251637315E-2</v>
      </c>
      <c r="Q138" s="3">
        <f t="shared" si="53"/>
        <v>1.8162507456171043E-2</v>
      </c>
      <c r="R138" s="3">
        <f t="shared" si="53"/>
        <v>1.0197135642856802E-2</v>
      </c>
      <c r="S138" s="3">
        <f t="shared" si="53"/>
        <v>3.1732340362491996E-5</v>
      </c>
      <c r="T138" s="3">
        <f t="shared" si="53"/>
        <v>2.7023474028078899E-30</v>
      </c>
      <c r="U138" s="3">
        <f t="shared" si="53"/>
        <v>5.4216557008779961E-281</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2.4448597422102241E-2</v>
      </c>
      <c r="C139" s="3">
        <f t="shared" si="55"/>
        <v>2.4448597422102238E-2</v>
      </c>
      <c r="D139" s="3">
        <f t="shared" si="55"/>
        <v>2.4448597422102227E-2</v>
      </c>
      <c r="E139" s="3">
        <f t="shared" si="55"/>
        <v>2.4448597422102099E-2</v>
      </c>
      <c r="F139" s="3">
        <f t="shared" si="55"/>
        <v>2.4448597422100826E-2</v>
      </c>
      <c r="G139" s="3">
        <f t="shared" si="55"/>
        <v>2.4448597422088096E-2</v>
      </c>
      <c r="H139" s="3">
        <f t="shared" si="55"/>
        <v>2.4448597421960785E-2</v>
      </c>
      <c r="I139" s="3">
        <f t="shared" si="55"/>
        <v>2.4448597420687675E-2</v>
      </c>
      <c r="J139" s="3">
        <f t="shared" si="55"/>
        <v>2.4448597407956556E-2</v>
      </c>
      <c r="K139" s="3">
        <f t="shared" si="55"/>
        <v>2.4448597280645412E-2</v>
      </c>
      <c r="L139" s="3">
        <f t="shared" si="55"/>
        <v>2.4448596007534011E-2</v>
      </c>
      <c r="M139" s="3">
        <f t="shared" si="55"/>
        <v>2.4448583276423644E-2</v>
      </c>
      <c r="N139" s="3">
        <f t="shared" si="55"/>
        <v>2.4448455965684568E-2</v>
      </c>
      <c r="O139" s="3">
        <f t="shared" si="55"/>
        <v>2.444718289475515E-2</v>
      </c>
      <c r="P139" s="3">
        <f t="shared" si="55"/>
        <v>2.4434455830889691E-2</v>
      </c>
      <c r="Q139" s="3">
        <f t="shared" si="55"/>
        <v>2.4307549033721888E-2</v>
      </c>
      <c r="R139" s="3">
        <f t="shared" si="55"/>
        <v>2.3074173854372222E-2</v>
      </c>
      <c r="S139" s="3">
        <f t="shared" si="55"/>
        <v>1.3708062029622632E-2</v>
      </c>
      <c r="T139" s="3">
        <f t="shared" si="55"/>
        <v>7.5071495105654269E-5</v>
      </c>
      <c r="U139" s="3">
        <f t="shared" si="55"/>
        <v>1.8216507132018819E-27</v>
      </c>
      <c r="V139" s="3">
        <f t="shared" si="55"/>
        <v>1.289334302783274E-253</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3.2100597383085405E-2</v>
      </c>
      <c r="C140" s="3">
        <f t="shared" si="57"/>
        <v>3.2100597383085405E-2</v>
      </c>
      <c r="D140" s="3">
        <f t="shared" si="57"/>
        <v>3.2100597383085405E-2</v>
      </c>
      <c r="E140" s="3">
        <f t="shared" si="57"/>
        <v>3.2100597383085384E-2</v>
      </c>
      <c r="F140" s="3">
        <f t="shared" si="57"/>
        <v>3.2100597383085239E-2</v>
      </c>
      <c r="G140" s="3">
        <f t="shared" si="57"/>
        <v>3.2100597383083733E-2</v>
      </c>
      <c r="H140" s="3">
        <f t="shared" si="57"/>
        <v>3.2100597383068655E-2</v>
      </c>
      <c r="I140" s="3">
        <f t="shared" si="57"/>
        <v>3.2100597382917859E-2</v>
      </c>
      <c r="J140" s="3">
        <f t="shared" si="57"/>
        <v>3.2100597381409961E-2</v>
      </c>
      <c r="K140" s="3">
        <f t="shared" si="57"/>
        <v>3.2100597366330974E-2</v>
      </c>
      <c r="L140" s="3">
        <f t="shared" si="57"/>
        <v>3.21005972155411E-2</v>
      </c>
      <c r="M140" s="3">
        <f t="shared" si="57"/>
        <v>3.2100595707642406E-2</v>
      </c>
      <c r="N140" s="3">
        <f t="shared" si="57"/>
        <v>3.2100580628659364E-2</v>
      </c>
      <c r="O140" s="3">
        <f t="shared" si="57"/>
        <v>3.2100429839218507E-2</v>
      </c>
      <c r="P140" s="3">
        <f t="shared" si="57"/>
        <v>3.2098921983766966E-2</v>
      </c>
      <c r="Q140" s="3">
        <f t="shared" si="57"/>
        <v>3.2083847324274828E-2</v>
      </c>
      <c r="R140" s="3">
        <f t="shared" si="57"/>
        <v>3.1933489555564402E-2</v>
      </c>
      <c r="S140" s="3">
        <f t="shared" si="57"/>
        <v>3.0468127099770474E-2</v>
      </c>
      <c r="T140" s="3">
        <f t="shared" si="57"/>
        <v>1.9047568975441492E-2</v>
      </c>
      <c r="U140" s="3">
        <f t="shared" si="57"/>
        <v>1.7369108097768556E-4</v>
      </c>
      <c r="V140" s="3">
        <f t="shared" si="57"/>
        <v>6.9048961180713206E-25</v>
      </c>
      <c r="W140" s="3">
        <f t="shared" si="57"/>
        <v>6.8069641015243923E-229</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2.4137735607646905E-2</v>
      </c>
      <c r="C141" s="3">
        <f t="shared" si="59"/>
        <v>2.4137735607646905E-2</v>
      </c>
      <c r="D141" s="3">
        <f t="shared" si="59"/>
        <v>2.4137735607646905E-2</v>
      </c>
      <c r="E141" s="3">
        <f t="shared" si="59"/>
        <v>2.4137735607646905E-2</v>
      </c>
      <c r="F141" s="3">
        <f t="shared" si="59"/>
        <v>2.4137735607646895E-2</v>
      </c>
      <c r="G141" s="3">
        <f t="shared" si="59"/>
        <v>2.4137735607646794E-2</v>
      </c>
      <c r="H141" s="3">
        <f t="shared" si="59"/>
        <v>2.4137735607645767E-2</v>
      </c>
      <c r="I141" s="3">
        <f t="shared" si="59"/>
        <v>2.413773560763554E-2</v>
      </c>
      <c r="J141" s="3">
        <f t="shared" si="59"/>
        <v>2.413773560753326E-2</v>
      </c>
      <c r="K141" s="3">
        <f t="shared" si="59"/>
        <v>2.4137735606510433E-2</v>
      </c>
      <c r="L141" s="3">
        <f t="shared" si="59"/>
        <v>2.413773559628216E-2</v>
      </c>
      <c r="M141" s="3">
        <f t="shared" si="59"/>
        <v>2.4137735493999463E-2</v>
      </c>
      <c r="N141" s="3">
        <f t="shared" si="59"/>
        <v>2.4137734471172498E-2</v>
      </c>
      <c r="O141" s="3">
        <f t="shared" si="59"/>
        <v>2.413772424290524E-2</v>
      </c>
      <c r="P141" s="3">
        <f t="shared" si="59"/>
        <v>2.4137621960471041E-2</v>
      </c>
      <c r="Q141" s="3">
        <f t="shared" si="59"/>
        <v>2.4136599159966673E-2</v>
      </c>
      <c r="R141" s="3">
        <f t="shared" si="59"/>
        <v>2.412637353831168E-2</v>
      </c>
      <c r="S141" s="3">
        <f t="shared" si="59"/>
        <v>2.4024355287368789E-2</v>
      </c>
      <c r="T141" s="3">
        <f t="shared" si="59"/>
        <v>2.3027600432953849E-2</v>
      </c>
      <c r="U141" s="3">
        <f t="shared" si="59"/>
        <v>1.5073639264118456E-2</v>
      </c>
      <c r="V141" s="3">
        <f t="shared" si="59"/>
        <v>2.1772707772369017E-4</v>
      </c>
      <c r="W141" s="3">
        <f t="shared" si="59"/>
        <v>8.6070772878131553E-23</v>
      </c>
      <c r="X141" s="3">
        <f t="shared" si="59"/>
        <v>8.0221041136636836E-207</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4.5517611487633891E-2</v>
      </c>
      <c r="C142" s="3">
        <f t="shared" si="61"/>
        <v>4.5517611487633891E-2</v>
      </c>
      <c r="D142" s="3">
        <f t="shared" si="61"/>
        <v>4.5517611487633891E-2</v>
      </c>
      <c r="E142" s="3">
        <f t="shared" si="61"/>
        <v>4.5517611487633891E-2</v>
      </c>
      <c r="F142" s="3">
        <f t="shared" si="61"/>
        <v>4.5517611487633891E-2</v>
      </c>
      <c r="G142" s="3">
        <f t="shared" si="61"/>
        <v>4.551761148763387E-2</v>
      </c>
      <c r="H142" s="3">
        <f t="shared" si="61"/>
        <v>4.5517611487633697E-2</v>
      </c>
      <c r="I142" s="3">
        <f t="shared" si="61"/>
        <v>4.5517611487631955E-2</v>
      </c>
      <c r="J142" s="3">
        <f t="shared" si="61"/>
        <v>4.5517611487614559E-2</v>
      </c>
      <c r="K142" s="3">
        <f t="shared" si="61"/>
        <v>4.5517611487440567E-2</v>
      </c>
      <c r="L142" s="3">
        <f t="shared" si="61"/>
        <v>4.5517611485700639E-2</v>
      </c>
      <c r="M142" s="3">
        <f t="shared" si="61"/>
        <v>4.5517611468301335E-2</v>
      </c>
      <c r="N142" s="3">
        <f t="shared" si="61"/>
        <v>4.5517611294308369E-2</v>
      </c>
      <c r="O142" s="3">
        <f t="shared" si="61"/>
        <v>4.5517609554378675E-2</v>
      </c>
      <c r="P142" s="3">
        <f t="shared" si="61"/>
        <v>4.5517592155085419E-2</v>
      </c>
      <c r="Q142" s="3">
        <f t="shared" si="61"/>
        <v>4.5517418162518676E-2</v>
      </c>
      <c r="R142" s="3">
        <f t="shared" si="61"/>
        <v>4.5515678273430921E-2</v>
      </c>
      <c r="S142" s="3">
        <f t="shared" si="61"/>
        <v>4.5498283040003334E-2</v>
      </c>
      <c r="T142" s="3">
        <f t="shared" si="61"/>
        <v>4.5324695933967235E-2</v>
      </c>
      <c r="U142" s="3">
        <f t="shared" si="61"/>
        <v>4.3624836379623819E-2</v>
      </c>
      <c r="V142" s="3">
        <f t="shared" si="61"/>
        <v>2.9766168057756521E-2</v>
      </c>
      <c r="W142" s="3">
        <f t="shared" si="61"/>
        <v>6.5104965442121438E-4</v>
      </c>
      <c r="X142" s="3">
        <f t="shared" si="61"/>
        <v>1.6312703616422551E-20</v>
      </c>
      <c r="Y142" s="3">
        <f t="shared" si="61"/>
        <v>1.5909051019828702E-186</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3.7438549850033177E-2</v>
      </c>
      <c r="C143" s="3">
        <f t="shared" si="63"/>
        <v>3.7438549850033177E-2</v>
      </c>
      <c r="D143" s="3">
        <f t="shared" si="63"/>
        <v>3.7438549850033177E-2</v>
      </c>
      <c r="E143" s="3">
        <f t="shared" si="63"/>
        <v>3.7438549850033177E-2</v>
      </c>
      <c r="F143" s="3">
        <f t="shared" si="63"/>
        <v>3.7438549850033177E-2</v>
      </c>
      <c r="G143" s="3">
        <f t="shared" si="63"/>
        <v>3.7438549850033177E-2</v>
      </c>
      <c r="H143" s="3">
        <f t="shared" si="63"/>
        <v>3.7438549850033163E-2</v>
      </c>
      <c r="I143" s="3">
        <f t="shared" si="63"/>
        <v>3.7438549850033032E-2</v>
      </c>
      <c r="J143" s="3">
        <f t="shared" si="63"/>
        <v>3.7438549850031741E-2</v>
      </c>
      <c r="K143" s="3">
        <f t="shared" si="63"/>
        <v>3.7438549850018835E-2</v>
      </c>
      <c r="L143" s="3">
        <f t="shared" si="63"/>
        <v>3.7438549849889736E-2</v>
      </c>
      <c r="M143" s="3">
        <f t="shared" si="63"/>
        <v>3.7438549848598762E-2</v>
      </c>
      <c r="N143" s="3">
        <f t="shared" si="63"/>
        <v>3.7438549835689013E-2</v>
      </c>
      <c r="O143" s="3">
        <f t="shared" si="63"/>
        <v>3.7438549706591502E-2</v>
      </c>
      <c r="P143" s="3">
        <f t="shared" si="63"/>
        <v>3.7438548415616467E-2</v>
      </c>
      <c r="Q143" s="3">
        <f t="shared" si="63"/>
        <v>3.7438535505868537E-2</v>
      </c>
      <c r="R143" s="3">
        <f t="shared" si="63"/>
        <v>3.7438406408634058E-2</v>
      </c>
      <c r="S143" s="3">
        <f t="shared" si="63"/>
        <v>3.7437115460772767E-2</v>
      </c>
      <c r="T143" s="3">
        <f t="shared" si="63"/>
        <v>3.7424208430195928E-2</v>
      </c>
      <c r="U143" s="3">
        <f t="shared" si="63"/>
        <v>3.7295382615990275E-2</v>
      </c>
      <c r="V143" s="3">
        <f t="shared" si="63"/>
        <v>3.6031264551225593E-2</v>
      </c>
      <c r="W143" s="3">
        <f t="shared" si="63"/>
        <v>2.5522539129636413E-2</v>
      </c>
      <c r="X143" s="3">
        <f t="shared" si="63"/>
        <v>8.1164780388929972E-4</v>
      </c>
      <c r="Y143" s="3">
        <f t="shared" si="63"/>
        <v>8.5862793454232101E-19</v>
      </c>
      <c r="Z143" s="3">
        <f t="shared" si="63"/>
        <v>1.5072280624699663E-168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4.1083418704934697E-2</v>
      </c>
      <c r="C144" s="3">
        <f t="shared" si="65"/>
        <v>4.1083418704934697E-2</v>
      </c>
      <c r="D144" s="3">
        <f t="shared" si="65"/>
        <v>4.1083418704934697E-2</v>
      </c>
      <c r="E144" s="3">
        <f t="shared" si="65"/>
        <v>4.1083418704934697E-2</v>
      </c>
      <c r="F144" s="3">
        <f t="shared" si="65"/>
        <v>4.1083418704934697E-2</v>
      </c>
      <c r="G144" s="3">
        <f t="shared" si="65"/>
        <v>4.1083418704934697E-2</v>
      </c>
      <c r="H144" s="3">
        <f t="shared" si="65"/>
        <v>4.1083418704934697E-2</v>
      </c>
      <c r="I144" s="3">
        <f t="shared" si="65"/>
        <v>4.1083418704934684E-2</v>
      </c>
      <c r="J144" s="3">
        <f t="shared" si="65"/>
        <v>4.1083418704934559E-2</v>
      </c>
      <c r="K144" s="3">
        <f t="shared" si="65"/>
        <v>4.1083418704933282E-2</v>
      </c>
      <c r="L144" s="3">
        <f t="shared" si="65"/>
        <v>4.10834187049205E-2</v>
      </c>
      <c r="M144" s="3">
        <f t="shared" si="65"/>
        <v>4.1083418704792707E-2</v>
      </c>
      <c r="N144" s="3">
        <f t="shared" si="65"/>
        <v>4.1083418703514757E-2</v>
      </c>
      <c r="O144" s="3">
        <f t="shared" si="65"/>
        <v>4.1083418690735313E-2</v>
      </c>
      <c r="P144" s="3">
        <f t="shared" si="65"/>
        <v>4.1083418562940864E-2</v>
      </c>
      <c r="Q144" s="3">
        <f t="shared" si="65"/>
        <v>4.1083417284996357E-2</v>
      </c>
      <c r="R144" s="3">
        <f t="shared" si="65"/>
        <v>4.108340450555352E-2</v>
      </c>
      <c r="S144" s="3">
        <f t="shared" si="65"/>
        <v>4.1083276711343757E-2</v>
      </c>
      <c r="T144" s="3">
        <f t="shared" si="65"/>
        <v>4.1081998791109423E-2</v>
      </c>
      <c r="U144" s="3">
        <f t="shared" si="65"/>
        <v>4.1069221774838641E-2</v>
      </c>
      <c r="V144" s="3">
        <f t="shared" si="65"/>
        <v>4.0941669967999875E-2</v>
      </c>
      <c r="W144" s="3">
        <f t="shared" si="65"/>
        <v>3.9687738252538261E-2</v>
      </c>
      <c r="X144" s="3">
        <f t="shared" si="65"/>
        <v>2.9077985565896629E-2</v>
      </c>
      <c r="Y144" s="3">
        <f t="shared" si="65"/>
        <v>1.2961163378972806E-3</v>
      </c>
      <c r="Z144" s="3">
        <f t="shared" si="65"/>
        <v>4.0127367487605384E-17</v>
      </c>
      <c r="AA144" s="3">
        <f t="shared" ref="AA144" si="66">$C30*EXP(-AA$129/$A30/EXP(-$B$126))</f>
        <v>3.2464409753713391E-152</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4.6249511553516282E-2</v>
      </c>
      <c r="C145" s="3">
        <f t="shared" si="68"/>
        <v>4.6249511553516282E-2</v>
      </c>
      <c r="D145" s="3">
        <f t="shared" si="68"/>
        <v>4.6249511553516282E-2</v>
      </c>
      <c r="E145" s="3">
        <f t="shared" si="68"/>
        <v>4.6249511553516282E-2</v>
      </c>
      <c r="F145" s="3">
        <f t="shared" si="68"/>
        <v>4.6249511553516282E-2</v>
      </c>
      <c r="G145" s="3">
        <f t="shared" si="68"/>
        <v>4.6249511553516282E-2</v>
      </c>
      <c r="H145" s="3">
        <f t="shared" si="68"/>
        <v>4.6249511553516282E-2</v>
      </c>
      <c r="I145" s="3">
        <f t="shared" si="68"/>
        <v>4.6249511553516282E-2</v>
      </c>
      <c r="J145" s="3">
        <f t="shared" si="68"/>
        <v>4.6249511553516268E-2</v>
      </c>
      <c r="K145" s="3">
        <f t="shared" si="68"/>
        <v>4.6249511553516136E-2</v>
      </c>
      <c r="L145" s="3">
        <f t="shared" si="68"/>
        <v>4.6249511553514838E-2</v>
      </c>
      <c r="M145" s="3">
        <f t="shared" si="68"/>
        <v>4.6249511553501862E-2</v>
      </c>
      <c r="N145" s="3">
        <f t="shared" si="68"/>
        <v>4.6249511553372084E-2</v>
      </c>
      <c r="O145" s="3">
        <f t="shared" si="68"/>
        <v>4.624951155207431E-2</v>
      </c>
      <c r="P145" s="3">
        <f t="shared" si="68"/>
        <v>4.6249511539096566E-2</v>
      </c>
      <c r="Q145" s="3">
        <f t="shared" si="68"/>
        <v>4.6249511409319134E-2</v>
      </c>
      <c r="R145" s="3">
        <f t="shared" si="68"/>
        <v>4.6249510111544864E-2</v>
      </c>
      <c r="S145" s="3">
        <f t="shared" si="68"/>
        <v>4.6249497133804135E-2</v>
      </c>
      <c r="T145" s="3">
        <f t="shared" si="68"/>
        <v>4.6249367356597119E-2</v>
      </c>
      <c r="U145" s="3">
        <f t="shared" si="68"/>
        <v>4.6248069604555492E-2</v>
      </c>
      <c r="V145" s="3">
        <f t="shared" si="68"/>
        <v>4.6235094086783342E-2</v>
      </c>
      <c r="W145" s="3">
        <f t="shared" si="68"/>
        <v>4.610553896570764E-2</v>
      </c>
      <c r="X145" s="3">
        <f t="shared" si="68"/>
        <v>4.4829787264402017E-2</v>
      </c>
      <c r="Y145" s="3">
        <f t="shared" si="68"/>
        <v>3.3861206281615194E-2</v>
      </c>
      <c r="Z145" s="3">
        <f t="shared" si="68"/>
        <v>2.0467269148299059E-3</v>
      </c>
      <c r="AA145" s="3">
        <f t="shared" ref="AA145" si="69">$C31*EXP(-AA$129/$A31/EXP(-$B$126))</f>
        <v>1.3324000869024437E-15</v>
      </c>
      <c r="AB145" s="3">
        <f t="shared" si="67"/>
        <v>1.8213028587411985E-137</v>
      </c>
      <c r="AC145" s="3">
        <f t="shared" si="67"/>
        <v>0</v>
      </c>
      <c r="AD145" s="3">
        <f t="shared" si="67"/>
        <v>0</v>
      </c>
      <c r="AE145" s="3">
        <f t="shared" si="67"/>
        <v>0</v>
      </c>
      <c r="AF145" s="3">
        <f t="shared" si="67"/>
        <v>0</v>
      </c>
    </row>
    <row r="146" spans="1:32" x14ac:dyDescent="0.25">
      <c r="B146" s="3">
        <f t="shared" ref="B146:Z146" si="70">$C32*EXP(-B$129/$A32/EXP(-$B$126))</f>
        <v>4.2148935673183355E-2</v>
      </c>
      <c r="C146" s="3">
        <f t="shared" si="70"/>
        <v>4.2148935673183355E-2</v>
      </c>
      <c r="D146" s="3">
        <f t="shared" si="70"/>
        <v>4.2148935673183355E-2</v>
      </c>
      <c r="E146" s="3">
        <f t="shared" si="70"/>
        <v>4.2148935673183355E-2</v>
      </c>
      <c r="F146" s="3">
        <f t="shared" si="70"/>
        <v>4.2148935673183355E-2</v>
      </c>
      <c r="G146" s="3">
        <f t="shared" si="70"/>
        <v>4.2148935673183355E-2</v>
      </c>
      <c r="H146" s="3">
        <f t="shared" si="70"/>
        <v>4.2148935673183355E-2</v>
      </c>
      <c r="I146" s="3">
        <f t="shared" si="70"/>
        <v>4.2148935673183355E-2</v>
      </c>
      <c r="J146" s="3">
        <f t="shared" si="70"/>
        <v>4.2148935673183355E-2</v>
      </c>
      <c r="K146" s="3">
        <f t="shared" si="70"/>
        <v>4.2148935673183341E-2</v>
      </c>
      <c r="L146" s="3">
        <f t="shared" si="70"/>
        <v>4.2148935673183237E-2</v>
      </c>
      <c r="M146" s="3">
        <f t="shared" si="70"/>
        <v>4.2148935673182168E-2</v>
      </c>
      <c r="N146" s="3">
        <f t="shared" si="70"/>
        <v>4.2148935673171503E-2</v>
      </c>
      <c r="O146" s="3">
        <f t="shared" si="70"/>
        <v>4.2148935673064811E-2</v>
      </c>
      <c r="P146" s="3">
        <f t="shared" si="70"/>
        <v>4.2148935671997907E-2</v>
      </c>
      <c r="Q146" s="3">
        <f t="shared" si="70"/>
        <v>4.2148935661328865E-2</v>
      </c>
      <c r="R146" s="3">
        <f t="shared" si="70"/>
        <v>4.21489355546385E-2</v>
      </c>
      <c r="S146" s="3">
        <f t="shared" si="70"/>
        <v>4.2148934487734817E-2</v>
      </c>
      <c r="T146" s="3">
        <f t="shared" si="70"/>
        <v>4.2148923818699474E-2</v>
      </c>
      <c r="U146" s="3">
        <f t="shared" si="70"/>
        <v>4.2148817128494581E-2</v>
      </c>
      <c r="V146" s="3">
        <f t="shared" si="70"/>
        <v>4.2147750241298916E-2</v>
      </c>
      <c r="W146" s="3">
        <f t="shared" si="70"/>
        <v>4.2137082854529911E-2</v>
      </c>
      <c r="X146" s="3">
        <f t="shared" si="70"/>
        <v>4.2030557366599559E-2</v>
      </c>
      <c r="Y146" s="3">
        <f t="shared" si="70"/>
        <v>4.0980002431113563E-2</v>
      </c>
      <c r="Z146" s="3">
        <f t="shared" si="70"/>
        <v>3.1815612314207216E-2</v>
      </c>
      <c r="AA146" s="3">
        <f t="shared" ref="AA146" si="71">$C32*EXP(-AA$129/$A32/EXP(-$B$126))</f>
        <v>2.5311818475438198E-3</v>
      </c>
      <c r="AB146" s="3">
        <f t="shared" si="67"/>
        <v>2.5713071672730143E-14</v>
      </c>
      <c r="AC146" s="3">
        <f t="shared" si="67"/>
        <v>3.0092626264833863E-124</v>
      </c>
      <c r="AD146" s="3">
        <f t="shared" si="67"/>
        <v>0</v>
      </c>
      <c r="AE146" s="3">
        <f t="shared" si="67"/>
        <v>0</v>
      </c>
      <c r="AF146" s="3">
        <f t="shared" si="67"/>
        <v>0</v>
      </c>
    </row>
    <row r="147" spans="1:32" x14ac:dyDescent="0.25">
      <c r="B147" s="3">
        <f t="shared" ref="B147:Z147" si="72">$C33*EXP(-B$129/$A33/EXP(-$B$126))</f>
        <v>0.11274262500279238</v>
      </c>
      <c r="C147" s="3">
        <f t="shared" si="72"/>
        <v>0.11274262500279238</v>
      </c>
      <c r="D147" s="3">
        <f t="shared" si="72"/>
        <v>0.11274262500279238</v>
      </c>
      <c r="E147" s="3">
        <f t="shared" si="72"/>
        <v>0.11274262500279238</v>
      </c>
      <c r="F147" s="3">
        <f t="shared" si="72"/>
        <v>0.11274262500279238</v>
      </c>
      <c r="G147" s="3">
        <f t="shared" si="72"/>
        <v>0.11274262500279238</v>
      </c>
      <c r="H147" s="3">
        <f t="shared" si="72"/>
        <v>0.11274262500279238</v>
      </c>
      <c r="I147" s="3">
        <f t="shared" si="72"/>
        <v>0.11274262500279238</v>
      </c>
      <c r="J147" s="3">
        <f t="shared" si="72"/>
        <v>0.11274262500279238</v>
      </c>
      <c r="K147" s="3">
        <f t="shared" si="72"/>
        <v>0.11274262500279238</v>
      </c>
      <c r="L147" s="3">
        <f t="shared" si="72"/>
        <v>0.11274262500279235</v>
      </c>
      <c r="M147" s="3">
        <f t="shared" si="72"/>
        <v>0.11274262500279209</v>
      </c>
      <c r="N147" s="3">
        <f t="shared" si="72"/>
        <v>0.1127426250027895</v>
      </c>
      <c r="O147" s="3">
        <f t="shared" si="72"/>
        <v>0.11274262500276377</v>
      </c>
      <c r="P147" s="3">
        <f t="shared" si="72"/>
        <v>0.11274262500250634</v>
      </c>
      <c r="Q147" s="3">
        <f t="shared" si="72"/>
        <v>0.11274262499993196</v>
      </c>
      <c r="R147" s="3">
        <f t="shared" si="72"/>
        <v>0.11274262497418812</v>
      </c>
      <c r="S147" s="3">
        <f t="shared" si="72"/>
        <v>0.1127426247167497</v>
      </c>
      <c r="T147" s="3">
        <f t="shared" si="72"/>
        <v>0.11274262214236566</v>
      </c>
      <c r="U147" s="3">
        <f t="shared" si="72"/>
        <v>0.11274259639852841</v>
      </c>
      <c r="V147" s="3">
        <f t="shared" si="72"/>
        <v>0.11274233896047924</v>
      </c>
      <c r="W147" s="3">
        <f t="shared" si="72"/>
        <v>0.1127397646123184</v>
      </c>
      <c r="X147" s="3">
        <f t="shared" si="72"/>
        <v>0.11271402436352221</v>
      </c>
      <c r="Y147" s="3">
        <f t="shared" si="72"/>
        <v>0.11245694488380782</v>
      </c>
      <c r="Z147" s="3">
        <f t="shared" si="72"/>
        <v>0.10991817967212347</v>
      </c>
      <c r="AA147" s="3">
        <f t="shared" ref="AA147" si="73">$C33*EXP(-AA$129/$A33/EXP(-$B$126))</f>
        <v>8.7478634286055484E-2</v>
      </c>
      <c r="AB147" s="3">
        <f t="shared" si="67"/>
        <v>8.9171620930830441E-3</v>
      </c>
      <c r="AC147" s="3">
        <f t="shared" si="67"/>
        <v>1.0801232900165721E-12</v>
      </c>
      <c r="AD147" s="3">
        <f t="shared" si="67"/>
        <v>7.3441244038966759E-112</v>
      </c>
      <c r="AE147" s="3">
        <f t="shared" si="67"/>
        <v>0</v>
      </c>
      <c r="AF147" s="3">
        <f t="shared" si="67"/>
        <v>0</v>
      </c>
    </row>
    <row r="148" spans="1:32" x14ac:dyDescent="0.25">
      <c r="B148" s="3">
        <f t="shared" ref="B148:Z148" si="74">$C34*EXP(-B$129/$A34/EXP(-$B$126))</f>
        <v>0.14424606622338945</v>
      </c>
      <c r="C148" s="3">
        <f t="shared" si="74"/>
        <v>0.14424606622338945</v>
      </c>
      <c r="D148" s="3">
        <f t="shared" si="74"/>
        <v>0.14424606622338945</v>
      </c>
      <c r="E148" s="3">
        <f t="shared" si="74"/>
        <v>0.14424606622338945</v>
      </c>
      <c r="F148" s="3">
        <f t="shared" si="74"/>
        <v>0.14424606622338945</v>
      </c>
      <c r="G148" s="3">
        <f t="shared" si="74"/>
        <v>0.14424606622338945</v>
      </c>
      <c r="H148" s="3">
        <f t="shared" si="74"/>
        <v>0.14424606622338945</v>
      </c>
      <c r="I148" s="3">
        <f t="shared" si="74"/>
        <v>0.14424606622338945</v>
      </c>
      <c r="J148" s="3">
        <f t="shared" si="74"/>
        <v>0.14424606622338945</v>
      </c>
      <c r="K148" s="3">
        <f t="shared" si="74"/>
        <v>0.14424606622338945</v>
      </c>
      <c r="L148" s="3">
        <f t="shared" si="74"/>
        <v>0.14424606622338945</v>
      </c>
      <c r="M148" s="3">
        <f t="shared" si="74"/>
        <v>0.14424606622338942</v>
      </c>
      <c r="N148" s="3">
        <f t="shared" si="74"/>
        <v>0.14424606622338912</v>
      </c>
      <c r="O148" s="3">
        <f t="shared" si="74"/>
        <v>0.14424606622338615</v>
      </c>
      <c r="P148" s="3">
        <f t="shared" si="74"/>
        <v>0.14424606622335645</v>
      </c>
      <c r="Q148" s="3">
        <f t="shared" si="74"/>
        <v>0.1442460662230593</v>
      </c>
      <c r="R148" s="3">
        <f t="shared" si="74"/>
        <v>0.14424606622008809</v>
      </c>
      <c r="S148" s="3">
        <f t="shared" si="74"/>
        <v>0.1442460661903758</v>
      </c>
      <c r="T148" s="3">
        <f t="shared" si="74"/>
        <v>0.14424606589325317</v>
      </c>
      <c r="U148" s="3">
        <f t="shared" si="74"/>
        <v>0.14424606292202666</v>
      </c>
      <c r="V148" s="3">
        <f t="shared" si="74"/>
        <v>0.14424603320976478</v>
      </c>
      <c r="W148" s="3">
        <f t="shared" si="74"/>
        <v>0.14424573608748281</v>
      </c>
      <c r="X148" s="3">
        <f t="shared" si="74"/>
        <v>0.14424276489832416</v>
      </c>
      <c r="Y148" s="3">
        <f t="shared" si="74"/>
        <v>0.14421305637257753</v>
      </c>
      <c r="Z148" s="3">
        <f t="shared" si="74"/>
        <v>0.14391630744273293</v>
      </c>
      <c r="AA148" s="3">
        <f>$C34*EXP(-AA$129/$A34/EXP(-$B$126))</f>
        <v>0.14098219598463196</v>
      </c>
      <c r="AB148" s="3">
        <f t="shared" si="67"/>
        <v>0.11473790240495482</v>
      </c>
      <c r="AC148" s="3">
        <f t="shared" si="67"/>
        <v>1.4626258884257989E-2</v>
      </c>
      <c r="AD148" s="3">
        <f t="shared" si="67"/>
        <v>1.657283313209627E-11</v>
      </c>
      <c r="AE148" s="3">
        <f t="shared" si="67"/>
        <v>5.7813834083265498E-101</v>
      </c>
      <c r="AF148" s="3">
        <f t="shared" si="67"/>
        <v>0</v>
      </c>
    </row>
    <row r="149" spans="1:32" x14ac:dyDescent="0.25">
      <c r="B149" s="3">
        <f t="shared" ref="B149:Z149" si="75">$C35*EXP(-B$129/$A35/EXP(-$B$126))</f>
        <v>0.12974045708141974</v>
      </c>
      <c r="C149" s="3">
        <f t="shared" si="75"/>
        <v>0.12974045708141974</v>
      </c>
      <c r="D149" s="3">
        <f t="shared" si="75"/>
        <v>0.12974045708141974</v>
      </c>
      <c r="E149" s="3">
        <f t="shared" si="75"/>
        <v>0.12974045708141974</v>
      </c>
      <c r="F149" s="3">
        <f t="shared" si="75"/>
        <v>0.12974045708141974</v>
      </c>
      <c r="G149" s="3">
        <f t="shared" si="75"/>
        <v>0.12974045708141974</v>
      </c>
      <c r="H149" s="3">
        <f t="shared" si="75"/>
        <v>0.12974045708141974</v>
      </c>
      <c r="I149" s="3">
        <f t="shared" si="75"/>
        <v>0.12974045708141974</v>
      </c>
      <c r="J149" s="3">
        <f t="shared" si="75"/>
        <v>0.12974045708141974</v>
      </c>
      <c r="K149" s="3">
        <f t="shared" si="75"/>
        <v>0.12974045708141974</v>
      </c>
      <c r="L149" s="3">
        <f t="shared" si="75"/>
        <v>0.12974045708141974</v>
      </c>
      <c r="M149" s="3">
        <f t="shared" si="75"/>
        <v>0.12974045708141974</v>
      </c>
      <c r="N149" s="3">
        <f t="shared" si="75"/>
        <v>0.12974045708141971</v>
      </c>
      <c r="O149" s="3">
        <f t="shared" si="75"/>
        <v>0.12974045708141946</v>
      </c>
      <c r="P149" s="3">
        <f t="shared" si="75"/>
        <v>0.12974045708141704</v>
      </c>
      <c r="Q149" s="3">
        <f t="shared" si="75"/>
        <v>0.12974045708139295</v>
      </c>
      <c r="R149" s="3">
        <f t="shared" si="75"/>
        <v>0.12974045708115187</v>
      </c>
      <c r="S149" s="3">
        <f t="shared" si="75"/>
        <v>0.1297404570787411</v>
      </c>
      <c r="T149" s="3">
        <f t="shared" si="75"/>
        <v>0.12974045705463352</v>
      </c>
      <c r="U149" s="3">
        <f t="shared" si="75"/>
        <v>0.12974045681355761</v>
      </c>
      <c r="V149" s="3">
        <f t="shared" si="75"/>
        <v>0.12974045440279861</v>
      </c>
      <c r="W149" s="3">
        <f t="shared" si="75"/>
        <v>0.1297404302952109</v>
      </c>
      <c r="X149" s="3">
        <f t="shared" si="75"/>
        <v>0.12974018921958011</v>
      </c>
      <c r="Y149" s="3">
        <f t="shared" si="75"/>
        <v>0.12973777848790963</v>
      </c>
      <c r="Z149" s="3">
        <f t="shared" si="75"/>
        <v>0.1297136736347565</v>
      </c>
      <c r="AA149" s="3">
        <f t="shared" ref="AA149" si="76">$C35*EXP(-AA$129/$A35/EXP(-$B$126))</f>
        <v>0.12947287128911836</v>
      </c>
      <c r="AB149" s="3">
        <f t="shared" si="67"/>
        <v>0.12708929800432769</v>
      </c>
      <c r="AC149" s="3">
        <f t="shared" si="67"/>
        <v>0.1055385189867777</v>
      </c>
      <c r="AD149" s="3">
        <f t="shared" si="67"/>
        <v>1.6460049689925576E-2</v>
      </c>
      <c r="AE149" s="3">
        <f t="shared" si="67"/>
        <v>1.4016274898090269E-10</v>
      </c>
      <c r="AF149" s="3">
        <f t="shared" si="67"/>
        <v>2.809617851180151E-91</v>
      </c>
    </row>
    <row r="150" spans="1:32" x14ac:dyDescent="0.25">
      <c r="B150" s="3">
        <f t="shared" ref="B150:Z150" si="77">$C36*EXP(-B$129/$A36/EXP(-$B$126))</f>
        <v>0.10714973449748261</v>
      </c>
      <c r="C150" s="3">
        <f t="shared" si="77"/>
        <v>0.10714973449748261</v>
      </c>
      <c r="D150" s="3">
        <f t="shared" si="77"/>
        <v>0.10714973449748261</v>
      </c>
      <c r="E150" s="3">
        <f t="shared" si="77"/>
        <v>0.10714973449748261</v>
      </c>
      <c r="F150" s="3">
        <f t="shared" si="77"/>
        <v>0.10714973449748261</v>
      </c>
      <c r="G150" s="3">
        <f t="shared" si="77"/>
        <v>0.10714973449748261</v>
      </c>
      <c r="H150" s="3">
        <f t="shared" si="77"/>
        <v>0.10714973449748261</v>
      </c>
      <c r="I150" s="3">
        <f t="shared" si="77"/>
        <v>0.10714973449748261</v>
      </c>
      <c r="J150" s="3">
        <f t="shared" si="77"/>
        <v>0.10714973449748261</v>
      </c>
      <c r="K150" s="3">
        <f t="shared" si="77"/>
        <v>0.10714973449748261</v>
      </c>
      <c r="L150" s="3">
        <f t="shared" si="77"/>
        <v>0.10714973449748261</v>
      </c>
      <c r="M150" s="3">
        <f t="shared" si="77"/>
        <v>0.10714973449748261</v>
      </c>
      <c r="N150" s="3">
        <f t="shared" si="77"/>
        <v>0.10714973449748261</v>
      </c>
      <c r="O150" s="3">
        <f t="shared" si="77"/>
        <v>0.10714973449748258</v>
      </c>
      <c r="P150" s="3">
        <f t="shared" si="77"/>
        <v>0.1071497344974824</v>
      </c>
      <c r="Q150" s="3">
        <f t="shared" si="77"/>
        <v>0.10714973449748061</v>
      </c>
      <c r="R150" s="3">
        <f t="shared" si="77"/>
        <v>0.10714973449746265</v>
      </c>
      <c r="S150" s="3">
        <f t="shared" si="77"/>
        <v>0.10714973449728306</v>
      </c>
      <c r="T150" s="3">
        <f t="shared" si="77"/>
        <v>0.10714973449548701</v>
      </c>
      <c r="U150" s="3">
        <f t="shared" si="77"/>
        <v>0.10714973447752661</v>
      </c>
      <c r="V150" s="3">
        <f t="shared" si="77"/>
        <v>0.10714973429792257</v>
      </c>
      <c r="W150" s="3">
        <f t="shared" si="77"/>
        <v>0.10714973250188231</v>
      </c>
      <c r="X150" s="3">
        <f t="shared" si="77"/>
        <v>0.10714971454148139</v>
      </c>
      <c r="Y150" s="3">
        <f t="shared" si="77"/>
        <v>0.10714953493763776</v>
      </c>
      <c r="Z150" s="3">
        <f t="shared" si="77"/>
        <v>0.10714773891575918</v>
      </c>
      <c r="AA150" s="3">
        <f t="shared" ref="AA150" si="78">$C36*EXP(-AA$129/$A36/EXP(-$B$126))</f>
        <v>0.10712978035264342</v>
      </c>
      <c r="AB150" s="3">
        <f t="shared" si="67"/>
        <v>0.10695036018585852</v>
      </c>
      <c r="AC150" s="3">
        <f t="shared" si="67"/>
        <v>0.10517260279395783</v>
      </c>
      <c r="AD150" s="3">
        <f t="shared" si="67"/>
        <v>8.8941884222777129E-2</v>
      </c>
      <c r="AE150" s="3">
        <f t="shared" si="67"/>
        <v>1.6639618447698484E-2</v>
      </c>
      <c r="AF150" s="3">
        <f t="shared" si="67"/>
        <v>8.7400464777878236E-10</v>
      </c>
    </row>
    <row r="151" spans="1:32" x14ac:dyDescent="0.25">
      <c r="B151" s="3">
        <f t="shared" ref="B151:Z151" si="79">$C37*EXP(-B$129/$A37/EXP(-$B$126))</f>
        <v>7.4657991153057213E-2</v>
      </c>
      <c r="C151" s="3">
        <f t="shared" si="79"/>
        <v>7.4657991153057213E-2</v>
      </c>
      <c r="D151" s="3">
        <f t="shared" si="79"/>
        <v>7.4657991153057213E-2</v>
      </c>
      <c r="E151" s="3">
        <f t="shared" si="79"/>
        <v>7.4657991153057213E-2</v>
      </c>
      <c r="F151" s="3">
        <f t="shared" si="79"/>
        <v>7.4657991153057213E-2</v>
      </c>
      <c r="G151" s="3">
        <f t="shared" si="79"/>
        <v>7.4657991153057213E-2</v>
      </c>
      <c r="H151" s="3">
        <f t="shared" si="79"/>
        <v>7.4657991153057213E-2</v>
      </c>
      <c r="I151" s="3">
        <f t="shared" si="79"/>
        <v>7.4657991153057213E-2</v>
      </c>
      <c r="J151" s="3">
        <f t="shared" si="79"/>
        <v>7.4657991153057213E-2</v>
      </c>
      <c r="K151" s="3">
        <f t="shared" si="79"/>
        <v>7.4657991153057213E-2</v>
      </c>
      <c r="L151" s="3">
        <f t="shared" si="79"/>
        <v>7.4657991153057213E-2</v>
      </c>
      <c r="M151" s="3">
        <f t="shared" si="79"/>
        <v>7.4657991153057213E-2</v>
      </c>
      <c r="N151" s="3">
        <f t="shared" si="79"/>
        <v>7.4657991153057213E-2</v>
      </c>
      <c r="O151" s="3">
        <f t="shared" si="79"/>
        <v>7.4657991153057213E-2</v>
      </c>
      <c r="P151" s="3">
        <f t="shared" si="79"/>
        <v>7.4657991153057199E-2</v>
      </c>
      <c r="Q151" s="3">
        <f t="shared" si="79"/>
        <v>7.4657991153057088E-2</v>
      </c>
      <c r="R151" s="3">
        <f t="shared" si="79"/>
        <v>7.4657991153055964E-2</v>
      </c>
      <c r="S151" s="3">
        <f t="shared" si="79"/>
        <v>7.4657991153044667E-2</v>
      </c>
      <c r="T151" s="3">
        <f t="shared" si="79"/>
        <v>7.4657991152931785E-2</v>
      </c>
      <c r="U151" s="3">
        <f t="shared" si="79"/>
        <v>7.4657991151802897E-2</v>
      </c>
      <c r="V151" s="3">
        <f t="shared" si="79"/>
        <v>7.4657991140514107E-2</v>
      </c>
      <c r="W151" s="3">
        <f t="shared" si="79"/>
        <v>7.4657991027626075E-2</v>
      </c>
      <c r="X151" s="3">
        <f t="shared" si="79"/>
        <v>7.4657989898745877E-2</v>
      </c>
      <c r="Y151" s="3">
        <f t="shared" si="79"/>
        <v>7.465797860994472E-2</v>
      </c>
      <c r="Z151" s="3">
        <f t="shared" si="79"/>
        <v>7.4657865722027109E-2</v>
      </c>
      <c r="AA151" s="3">
        <f t="shared" ref="AA151" si="80">$C37*EXP(-AA$129/$A37/EXP(-$B$126))</f>
        <v>7.4656736852239183E-2</v>
      </c>
      <c r="AB151" s="3">
        <f t="shared" si="67"/>
        <v>7.4645449093121152E-2</v>
      </c>
      <c r="AC151" s="3">
        <f t="shared" si="67"/>
        <v>7.4532665325558925E-2</v>
      </c>
      <c r="AD151" s="3">
        <f t="shared" si="67"/>
        <v>7.3414157732306404E-2</v>
      </c>
      <c r="AE151" s="3">
        <f t="shared" si="67"/>
        <v>6.3111936388132062E-2</v>
      </c>
      <c r="AF151" s="3">
        <f t="shared" si="67"/>
        <v>1.3913242438394416E-2</v>
      </c>
    </row>
    <row r="152" spans="1:32" x14ac:dyDescent="0.25">
      <c r="B152" s="3">
        <f t="shared" ref="B152:Z152" si="81">$C38*EXP(-B$129/$A38/EXP(-$B$126))</f>
        <v>2.5780107678568913E-2</v>
      </c>
      <c r="C152" s="3">
        <f t="shared" si="81"/>
        <v>2.5780107678568913E-2</v>
      </c>
      <c r="D152" s="3">
        <f t="shared" si="81"/>
        <v>2.5780107678568913E-2</v>
      </c>
      <c r="E152" s="3">
        <f t="shared" si="81"/>
        <v>2.5780107678568913E-2</v>
      </c>
      <c r="F152" s="3">
        <f t="shared" si="81"/>
        <v>2.5780107678568913E-2</v>
      </c>
      <c r="G152" s="3">
        <f t="shared" si="81"/>
        <v>2.5780107678568913E-2</v>
      </c>
      <c r="H152" s="3">
        <f t="shared" si="81"/>
        <v>2.5780107678568913E-2</v>
      </c>
      <c r="I152" s="3">
        <f t="shared" si="81"/>
        <v>2.5780107678568913E-2</v>
      </c>
      <c r="J152" s="3">
        <f t="shared" si="81"/>
        <v>2.5780107678568913E-2</v>
      </c>
      <c r="K152" s="3">
        <f t="shared" si="81"/>
        <v>2.5780107678568913E-2</v>
      </c>
      <c r="L152" s="3">
        <f t="shared" si="81"/>
        <v>2.5780107678568913E-2</v>
      </c>
      <c r="M152" s="3">
        <f t="shared" si="81"/>
        <v>2.5780107678568913E-2</v>
      </c>
      <c r="N152" s="3">
        <f t="shared" si="81"/>
        <v>2.5780107678568913E-2</v>
      </c>
      <c r="O152" s="3">
        <f t="shared" si="81"/>
        <v>2.5780107678568913E-2</v>
      </c>
      <c r="P152" s="3">
        <f t="shared" si="81"/>
        <v>2.5780107678568913E-2</v>
      </c>
      <c r="Q152" s="3">
        <f t="shared" si="81"/>
        <v>2.5780107678568909E-2</v>
      </c>
      <c r="R152" s="3">
        <f t="shared" si="81"/>
        <v>2.5780107678568871E-2</v>
      </c>
      <c r="S152" s="3">
        <f t="shared" si="81"/>
        <v>2.5780107678568521E-2</v>
      </c>
      <c r="T152" s="3">
        <f t="shared" si="81"/>
        <v>2.5780107678565006E-2</v>
      </c>
      <c r="U152" s="3">
        <f t="shared" si="81"/>
        <v>2.578010767852984E-2</v>
      </c>
      <c r="V152" s="3">
        <f t="shared" si="81"/>
        <v>2.5780107678178198E-2</v>
      </c>
      <c r="W152" s="3">
        <f t="shared" si="81"/>
        <v>2.5780107674661761E-2</v>
      </c>
      <c r="X152" s="3">
        <f t="shared" si="81"/>
        <v>2.5780107639497386E-2</v>
      </c>
      <c r="Y152" s="3">
        <f t="shared" si="81"/>
        <v>2.5780107287853658E-2</v>
      </c>
      <c r="Z152" s="3">
        <f t="shared" si="81"/>
        <v>2.5780103771416627E-2</v>
      </c>
      <c r="AA152" s="3">
        <f t="shared" ref="AA152" si="82">$C38*EXP(-AA$129/$A38/EXP(-$B$126))</f>
        <v>2.5780068607072701E-2</v>
      </c>
      <c r="AB152" s="3">
        <f t="shared" si="67"/>
        <v>2.5779716966271477E-2</v>
      </c>
      <c r="AC152" s="3">
        <f t="shared" si="67"/>
        <v>2.5776200822049886E-2</v>
      </c>
      <c r="AD152" s="3">
        <f t="shared" si="67"/>
        <v>2.5741065745589067E-2</v>
      </c>
      <c r="AE152" s="3">
        <f t="shared" si="67"/>
        <v>2.539233829851948E-2</v>
      </c>
      <c r="AF152" s="3">
        <f t="shared" si="67"/>
        <v>2.2154625444186997E-2</v>
      </c>
    </row>
    <row r="153" spans="1:32" x14ac:dyDescent="0.25">
      <c r="B153" s="3">
        <f t="shared" ref="B153:Z153" si="83">$C39*EXP(-B$129/$A39/EXP(-$B$126))</f>
        <v>2.4060337070104312E-2</v>
      </c>
      <c r="C153" s="3">
        <f t="shared" si="83"/>
        <v>2.4060337070104312E-2</v>
      </c>
      <c r="D153" s="3">
        <f t="shared" si="83"/>
        <v>2.4060337070104312E-2</v>
      </c>
      <c r="E153" s="3">
        <f t="shared" si="83"/>
        <v>2.4060337070104312E-2</v>
      </c>
      <c r="F153" s="3">
        <f t="shared" si="83"/>
        <v>2.4060337070104312E-2</v>
      </c>
      <c r="G153" s="3">
        <f t="shared" si="83"/>
        <v>2.4060337070104312E-2</v>
      </c>
      <c r="H153" s="3">
        <f t="shared" si="83"/>
        <v>2.4060337070104312E-2</v>
      </c>
      <c r="I153" s="3">
        <f t="shared" si="83"/>
        <v>2.4060337070104312E-2</v>
      </c>
      <c r="J153" s="3">
        <f t="shared" si="83"/>
        <v>2.4060337070104312E-2</v>
      </c>
      <c r="K153" s="3">
        <f t="shared" si="83"/>
        <v>2.4060337070104312E-2</v>
      </c>
      <c r="L153" s="3">
        <f t="shared" si="83"/>
        <v>2.4060337070104312E-2</v>
      </c>
      <c r="M153" s="3">
        <f t="shared" si="83"/>
        <v>2.4060337070104312E-2</v>
      </c>
      <c r="N153" s="3">
        <f t="shared" si="83"/>
        <v>2.4060337070104312E-2</v>
      </c>
      <c r="O153" s="3">
        <f t="shared" si="83"/>
        <v>2.4060337070104312E-2</v>
      </c>
      <c r="P153" s="3">
        <f t="shared" si="83"/>
        <v>2.4060337070104312E-2</v>
      </c>
      <c r="Q153" s="3">
        <f t="shared" si="83"/>
        <v>2.4060337070104312E-2</v>
      </c>
      <c r="R153" s="3">
        <f t="shared" si="83"/>
        <v>2.4060337070104302E-2</v>
      </c>
      <c r="S153" s="3">
        <f t="shared" si="83"/>
        <v>2.4060337070104212E-2</v>
      </c>
      <c r="T153" s="3">
        <f t="shared" si="83"/>
        <v>2.4060337070103303E-2</v>
      </c>
      <c r="U153" s="3">
        <f t="shared" si="83"/>
        <v>2.4060337070094227E-2</v>
      </c>
      <c r="V153" s="3">
        <f t="shared" si="83"/>
        <v>2.4060337070003459E-2</v>
      </c>
      <c r="W153" s="3">
        <f t="shared" si="83"/>
        <v>2.4060337069095779E-2</v>
      </c>
      <c r="X153" s="3">
        <f t="shared" si="83"/>
        <v>2.406033706001898E-2</v>
      </c>
      <c r="Y153" s="3">
        <f t="shared" si="83"/>
        <v>2.406033696925099E-2</v>
      </c>
      <c r="Z153" s="3">
        <f t="shared" si="83"/>
        <v>2.4060336061571101E-2</v>
      </c>
      <c r="AA153" s="3">
        <f t="shared" ref="AA153" si="84">$C39*EXP(-AA$129/$A39/EXP(-$B$126))</f>
        <v>2.4060326984774096E-2</v>
      </c>
      <c r="AB153" s="3">
        <f t="shared" si="67"/>
        <v>2.4060236216992371E-2</v>
      </c>
      <c r="AC153" s="3">
        <f t="shared" si="67"/>
        <v>2.4059328558008148E-2</v>
      </c>
      <c r="AD153" s="3">
        <f t="shared" si="67"/>
        <v>2.4050253851203875E-2</v>
      </c>
      <c r="AE153" s="3">
        <f t="shared" si="67"/>
        <v>2.3959694824381757E-2</v>
      </c>
      <c r="AF153" s="3">
        <f t="shared" si="67"/>
        <v>2.3072648832070757E-2</v>
      </c>
    </row>
    <row r="154" spans="1:32" x14ac:dyDescent="0.25">
      <c r="B154" s="3">
        <f t="shared" ref="B154:Z154" si="85">$C40*EXP(-B$129/$A40/EXP(-$B$126))</f>
        <v>1.2267955807966149E-2</v>
      </c>
      <c r="C154" s="3">
        <f t="shared" si="85"/>
        <v>1.2267955807966149E-2</v>
      </c>
      <c r="D154" s="3">
        <f t="shared" si="85"/>
        <v>1.2267955807966149E-2</v>
      </c>
      <c r="E154" s="3">
        <f t="shared" si="85"/>
        <v>1.2267955807966149E-2</v>
      </c>
      <c r="F154" s="3">
        <f t="shared" si="85"/>
        <v>1.2267955807966149E-2</v>
      </c>
      <c r="G154" s="3">
        <f t="shared" si="85"/>
        <v>1.2267955807966149E-2</v>
      </c>
      <c r="H154" s="3">
        <f t="shared" si="85"/>
        <v>1.2267955807966149E-2</v>
      </c>
      <c r="I154" s="3">
        <f t="shared" si="85"/>
        <v>1.2267955807966149E-2</v>
      </c>
      <c r="J154" s="3">
        <f t="shared" si="85"/>
        <v>1.2267955807966149E-2</v>
      </c>
      <c r="K154" s="3">
        <f t="shared" si="85"/>
        <v>1.2267955807966149E-2</v>
      </c>
      <c r="L154" s="3">
        <f t="shared" si="85"/>
        <v>1.2267955807966149E-2</v>
      </c>
      <c r="M154" s="3">
        <f t="shared" si="85"/>
        <v>1.2267955807966149E-2</v>
      </c>
      <c r="N154" s="3">
        <f t="shared" si="85"/>
        <v>1.2267955807966149E-2</v>
      </c>
      <c r="O154" s="3">
        <f t="shared" si="85"/>
        <v>1.2267955807966149E-2</v>
      </c>
      <c r="P154" s="3">
        <f t="shared" si="85"/>
        <v>1.2267955807966149E-2</v>
      </c>
      <c r="Q154" s="3">
        <f t="shared" si="85"/>
        <v>1.2267955807966149E-2</v>
      </c>
      <c r="R154" s="3">
        <f t="shared" si="85"/>
        <v>1.2267955807966149E-2</v>
      </c>
      <c r="S154" s="3">
        <f t="shared" si="85"/>
        <v>1.2267955807966144E-2</v>
      </c>
      <c r="T154" s="3">
        <f t="shared" si="85"/>
        <v>1.2267955807966097E-2</v>
      </c>
      <c r="U154" s="3">
        <f t="shared" si="85"/>
        <v>1.2267955807965634E-2</v>
      </c>
      <c r="V154" s="3">
        <f t="shared" si="85"/>
        <v>1.2267955807961006E-2</v>
      </c>
      <c r="W154" s="3">
        <f t="shared" si="85"/>
        <v>1.2267955807914727E-2</v>
      </c>
      <c r="X154" s="3">
        <f t="shared" si="85"/>
        <v>1.2267955807451917E-2</v>
      </c>
      <c r="Y154" s="3">
        <f t="shared" si="85"/>
        <v>1.226795580282381E-2</v>
      </c>
      <c r="Z154" s="3">
        <f t="shared" si="85"/>
        <v>1.226795575654276E-2</v>
      </c>
      <c r="AA154" s="3">
        <f t="shared" ref="AA154:AF154" si="86">$C40*EXP(-AA$129/$A40/EXP(-$B$126))</f>
        <v>1.2267955293732254E-2</v>
      </c>
      <c r="AB154" s="3">
        <f t="shared" si="86"/>
        <v>1.2267950665628158E-2</v>
      </c>
      <c r="AC154" s="3">
        <f t="shared" si="86"/>
        <v>1.2267904384683226E-2</v>
      </c>
      <c r="AD154" s="3">
        <f t="shared" si="86"/>
        <v>1.2267441584836544E-2</v>
      </c>
      <c r="AE154" s="3">
        <f t="shared" si="86"/>
        <v>1.226281454649869E-2</v>
      </c>
      <c r="AF154" s="3">
        <f t="shared" si="86"/>
        <v>1.2216640042133721E-2</v>
      </c>
    </row>
    <row r="155" spans="1:32" x14ac:dyDescent="0.25">
      <c r="B155" s="3">
        <f t="shared" ref="B155:Z155" si="87">$C41*EXP(-B$129/$A41/EXP(-$B$126))</f>
        <v>7.7350329579382458E-4</v>
      </c>
      <c r="C155" s="3">
        <f t="shared" si="87"/>
        <v>7.7350329579382458E-4</v>
      </c>
      <c r="D155" s="3">
        <f t="shared" si="87"/>
        <v>7.7350329579382458E-4</v>
      </c>
      <c r="E155" s="3">
        <f t="shared" si="87"/>
        <v>7.7350329579382458E-4</v>
      </c>
      <c r="F155" s="3">
        <f t="shared" si="87"/>
        <v>7.7350329579382458E-4</v>
      </c>
      <c r="G155" s="3">
        <f t="shared" si="87"/>
        <v>7.7350329579382458E-4</v>
      </c>
      <c r="H155" s="3">
        <f t="shared" si="87"/>
        <v>7.7350329579382458E-4</v>
      </c>
      <c r="I155" s="3">
        <f t="shared" si="87"/>
        <v>7.7350329579382458E-4</v>
      </c>
      <c r="J155" s="3">
        <f t="shared" si="87"/>
        <v>7.7350329579382458E-4</v>
      </c>
      <c r="K155" s="3">
        <f t="shared" si="87"/>
        <v>7.7350329579382458E-4</v>
      </c>
      <c r="L155" s="3">
        <f t="shared" si="87"/>
        <v>7.7350329579382458E-4</v>
      </c>
      <c r="M155" s="3">
        <f t="shared" si="87"/>
        <v>7.7350329579382458E-4</v>
      </c>
      <c r="N155" s="3">
        <f t="shared" si="87"/>
        <v>7.7350329579382458E-4</v>
      </c>
      <c r="O155" s="3">
        <f t="shared" si="87"/>
        <v>7.7350329579382458E-4</v>
      </c>
      <c r="P155" s="3">
        <f t="shared" si="87"/>
        <v>7.7350329579382458E-4</v>
      </c>
      <c r="Q155" s="3">
        <f t="shared" si="87"/>
        <v>7.7350329579382458E-4</v>
      </c>
      <c r="R155" s="3">
        <f t="shared" si="87"/>
        <v>7.7350329579382458E-4</v>
      </c>
      <c r="S155" s="3">
        <f t="shared" si="87"/>
        <v>7.7350329579382458E-4</v>
      </c>
      <c r="T155" s="3">
        <f t="shared" si="87"/>
        <v>7.7350329579382426E-4</v>
      </c>
      <c r="U155" s="3">
        <f t="shared" si="87"/>
        <v>7.7350329579382133E-4</v>
      </c>
      <c r="V155" s="3">
        <f t="shared" si="87"/>
        <v>7.7350329579379217E-4</v>
      </c>
      <c r="W155" s="3">
        <f t="shared" si="87"/>
        <v>7.735032957935003E-4</v>
      </c>
      <c r="X155" s="3">
        <f t="shared" si="87"/>
        <v>7.7350329579058228E-4</v>
      </c>
      <c r="Y155" s="3">
        <f t="shared" si="87"/>
        <v>7.7350329576140184E-4</v>
      </c>
      <c r="Z155" s="3">
        <f t="shared" si="87"/>
        <v>7.7350329546959642E-4</v>
      </c>
      <c r="AA155" s="3">
        <f t="shared" ref="AA155:AF155" si="88">$C41*EXP(-AA$129/$A41/EXP(-$B$126))</f>
        <v>7.7350329255154347E-4</v>
      </c>
      <c r="AB155" s="3">
        <f t="shared" si="88"/>
        <v>7.7350326337101351E-4</v>
      </c>
      <c r="AC155" s="3">
        <f t="shared" si="88"/>
        <v>7.735029715657749E-4</v>
      </c>
      <c r="AD155" s="3">
        <f t="shared" si="88"/>
        <v>7.7350005351944375E-4</v>
      </c>
      <c r="AE155" s="3">
        <f t="shared" si="88"/>
        <v>7.7347087366158444E-4</v>
      </c>
      <c r="AF155" s="3">
        <f t="shared" si="88"/>
        <v>7.7317913561980155E-4</v>
      </c>
    </row>
    <row r="156" spans="1:32" x14ac:dyDescent="0.25">
      <c r="B156" s="3">
        <f t="shared" ref="B156:Z156" si="89">$C42*EXP(-B$129/$A42/EXP(-$B$126))</f>
        <v>2.8862774017939779E-3</v>
      </c>
      <c r="C156" s="3">
        <f t="shared" si="89"/>
        <v>2.8862774017939779E-3</v>
      </c>
      <c r="D156" s="3">
        <f t="shared" si="89"/>
        <v>2.8862774017939779E-3</v>
      </c>
      <c r="E156" s="3">
        <f t="shared" si="89"/>
        <v>2.8862774017939779E-3</v>
      </c>
      <c r="F156" s="3">
        <f t="shared" si="89"/>
        <v>2.8862774017939779E-3</v>
      </c>
      <c r="G156" s="3">
        <f t="shared" si="89"/>
        <v>2.8862774017939779E-3</v>
      </c>
      <c r="H156" s="3">
        <f t="shared" si="89"/>
        <v>2.8862774017939779E-3</v>
      </c>
      <c r="I156" s="3">
        <f t="shared" si="89"/>
        <v>2.8862774017939779E-3</v>
      </c>
      <c r="J156" s="3">
        <f t="shared" si="89"/>
        <v>2.8862774017939779E-3</v>
      </c>
      <c r="K156" s="3">
        <f t="shared" si="89"/>
        <v>2.8862774017939779E-3</v>
      </c>
      <c r="L156" s="3">
        <f t="shared" si="89"/>
        <v>2.8862774017939779E-3</v>
      </c>
      <c r="M156" s="3">
        <f t="shared" si="89"/>
        <v>2.8862774017939779E-3</v>
      </c>
      <c r="N156" s="3">
        <f t="shared" si="89"/>
        <v>2.8862774017939779E-3</v>
      </c>
      <c r="O156" s="3">
        <f t="shared" si="89"/>
        <v>2.8862774017939779E-3</v>
      </c>
      <c r="P156" s="3">
        <f t="shared" si="89"/>
        <v>2.8862774017939779E-3</v>
      </c>
      <c r="Q156" s="3">
        <f t="shared" si="89"/>
        <v>2.8862774017939779E-3</v>
      </c>
      <c r="R156" s="3">
        <f t="shared" si="89"/>
        <v>2.8862774017939779E-3</v>
      </c>
      <c r="S156" s="3">
        <f t="shared" si="89"/>
        <v>2.8862774017939779E-3</v>
      </c>
      <c r="T156" s="3">
        <f t="shared" si="89"/>
        <v>2.8862774017939779E-3</v>
      </c>
      <c r="U156" s="3">
        <f t="shared" si="89"/>
        <v>2.8862774017939766E-3</v>
      </c>
      <c r="V156" s="3">
        <f t="shared" si="89"/>
        <v>2.8862774017939657E-3</v>
      </c>
      <c r="W156" s="3">
        <f t="shared" si="89"/>
        <v>2.8862774017938569E-3</v>
      </c>
      <c r="X156" s="3">
        <f t="shared" si="89"/>
        <v>2.8862774017927679E-3</v>
      </c>
      <c r="Y156" s="3">
        <f t="shared" si="89"/>
        <v>2.8862774017818795E-3</v>
      </c>
      <c r="Z156" s="3">
        <f t="shared" si="89"/>
        <v>2.8862774016729944E-3</v>
      </c>
      <c r="AA156" s="3">
        <f t="shared" ref="AA156:AF156" si="90">$C42*EXP(-AA$129/$A42/EXP(-$B$126))</f>
        <v>2.8862774005841418E-3</v>
      </c>
      <c r="AB156" s="3">
        <f t="shared" si="90"/>
        <v>2.8862773896956161E-3</v>
      </c>
      <c r="AC156" s="3">
        <f t="shared" si="90"/>
        <v>2.8862772808103602E-3</v>
      </c>
      <c r="AD156" s="3">
        <f t="shared" si="90"/>
        <v>2.8862761919580303E-3</v>
      </c>
      <c r="AE156" s="3">
        <f t="shared" si="90"/>
        <v>2.8862653034573233E-3</v>
      </c>
      <c r="AF156" s="3">
        <f t="shared" si="90"/>
        <v>2.8861564207094607E-3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1.5898164143456024E-4</v>
      </c>
      <c r="C158" s="3">
        <f t="shared" si="93"/>
        <v>1.5898164143456024E-4</v>
      </c>
      <c r="D158" s="3">
        <f t="shared" si="93"/>
        <v>1.5898164143456024E-4</v>
      </c>
      <c r="E158" s="3">
        <f t="shared" si="93"/>
        <v>1.5898164143456024E-4</v>
      </c>
      <c r="F158" s="3">
        <f t="shared" si="93"/>
        <v>1.5898164143456024E-4</v>
      </c>
      <c r="G158" s="3">
        <f t="shared" si="93"/>
        <v>1.5898164143456024E-4</v>
      </c>
      <c r="H158" s="3">
        <f t="shared" si="93"/>
        <v>1.5898164143456024E-4</v>
      </c>
      <c r="I158" s="3">
        <f t="shared" si="93"/>
        <v>1.5898164143456024E-4</v>
      </c>
      <c r="J158" s="3">
        <f t="shared" si="93"/>
        <v>1.5898164143456024E-4</v>
      </c>
      <c r="K158" s="3">
        <f t="shared" si="93"/>
        <v>1.5898164143456024E-4</v>
      </c>
      <c r="L158" s="3">
        <f t="shared" si="93"/>
        <v>1.5898164143456024E-4</v>
      </c>
      <c r="M158" s="3">
        <f t="shared" si="93"/>
        <v>1.5898164143456024E-4</v>
      </c>
      <c r="N158" s="3">
        <f t="shared" si="93"/>
        <v>1.5898164143456024E-4</v>
      </c>
      <c r="O158" s="3">
        <f t="shared" si="93"/>
        <v>1.5898164143456024E-4</v>
      </c>
      <c r="P158" s="3">
        <f t="shared" si="93"/>
        <v>1.5898164143456024E-4</v>
      </c>
      <c r="Q158" s="3">
        <f t="shared" si="93"/>
        <v>1.5898164143456024E-4</v>
      </c>
      <c r="R158" s="3">
        <f t="shared" si="93"/>
        <v>1.5898164143456024E-4</v>
      </c>
      <c r="S158" s="3">
        <f t="shared" si="93"/>
        <v>1.5898164143456024E-4</v>
      </c>
      <c r="T158" s="3">
        <f t="shared" si="93"/>
        <v>1.5898164143456024E-4</v>
      </c>
      <c r="U158" s="3">
        <f t="shared" si="93"/>
        <v>1.5898164143456024E-4</v>
      </c>
      <c r="V158" s="3">
        <f t="shared" si="93"/>
        <v>1.5898164143456024E-4</v>
      </c>
      <c r="W158" s="3">
        <f t="shared" si="93"/>
        <v>1.5898164143456016E-4</v>
      </c>
      <c r="X158" s="3">
        <f t="shared" si="93"/>
        <v>1.5898164143455956E-4</v>
      </c>
      <c r="Y158" s="3">
        <f t="shared" si="93"/>
        <v>1.5898164143455357E-4</v>
      </c>
      <c r="Z158" s="3">
        <f t="shared" si="93"/>
        <v>1.5898164143449359E-4</v>
      </c>
      <c r="AA158" s="3">
        <f t="shared" ref="AA158:AF158" si="94">$C44*EXP(-AA$129/$A44/EXP(-$B$126))</f>
        <v>1.5898164143389383E-4</v>
      </c>
      <c r="AB158" s="3">
        <f t="shared" si="94"/>
        <v>1.5898164142789625E-4</v>
      </c>
      <c r="AC158" s="3">
        <f t="shared" si="94"/>
        <v>1.5898164136792016E-4</v>
      </c>
      <c r="AD158" s="3">
        <f t="shared" si="94"/>
        <v>1.5898164076815949E-4</v>
      </c>
      <c r="AE158" s="3">
        <f t="shared" si="94"/>
        <v>1.5898163477055279E-4</v>
      </c>
      <c r="AF158" s="3">
        <f t="shared" si="94"/>
        <v>1.5898157479449831E-4</v>
      </c>
    </row>
    <row r="159" spans="1:32" x14ac:dyDescent="0.25">
      <c r="A159" s="11" t="s">
        <v>75</v>
      </c>
      <c r="B159" s="3">
        <f t="shared" ref="B159:Z159" si="95">$C45*EXP(-B$129/$A45/EXP(-$B$126))</f>
        <v>1.3061991748101505E-4</v>
      </c>
      <c r="C159" s="3">
        <f t="shared" si="95"/>
        <v>1.3061991748101505E-4</v>
      </c>
      <c r="D159" s="3">
        <f t="shared" si="95"/>
        <v>1.3061991748101505E-4</v>
      </c>
      <c r="E159" s="3">
        <f t="shared" si="95"/>
        <v>1.3061991748101505E-4</v>
      </c>
      <c r="F159" s="3">
        <f t="shared" si="95"/>
        <v>1.3061991748101505E-4</v>
      </c>
      <c r="G159" s="3">
        <f t="shared" si="95"/>
        <v>1.3061991748101505E-4</v>
      </c>
      <c r="H159" s="3">
        <f t="shared" si="95"/>
        <v>1.3061991748101505E-4</v>
      </c>
      <c r="I159" s="3">
        <f t="shared" si="95"/>
        <v>1.3061991748101505E-4</v>
      </c>
      <c r="J159" s="3">
        <f t="shared" si="95"/>
        <v>1.3061991748101505E-4</v>
      </c>
      <c r="K159" s="3">
        <f t="shared" si="95"/>
        <v>1.3061991748101505E-4</v>
      </c>
      <c r="L159" s="3">
        <f t="shared" si="95"/>
        <v>1.3061991748101505E-4</v>
      </c>
      <c r="M159" s="3">
        <f t="shared" si="95"/>
        <v>1.3061991748101505E-4</v>
      </c>
      <c r="N159" s="3">
        <f t="shared" si="95"/>
        <v>1.3061991748101505E-4</v>
      </c>
      <c r="O159" s="3">
        <f t="shared" si="95"/>
        <v>1.3061991748101505E-4</v>
      </c>
      <c r="P159" s="3">
        <f t="shared" si="95"/>
        <v>1.3061991748101505E-4</v>
      </c>
      <c r="Q159" s="3">
        <f t="shared" si="95"/>
        <v>1.3061991748101505E-4</v>
      </c>
      <c r="R159" s="3">
        <f t="shared" si="95"/>
        <v>1.3061991748101505E-4</v>
      </c>
      <c r="S159" s="3">
        <f t="shared" si="95"/>
        <v>1.3061991748101505E-4</v>
      </c>
      <c r="T159" s="3">
        <f t="shared" si="95"/>
        <v>1.3061991748101505E-4</v>
      </c>
      <c r="U159" s="3">
        <f t="shared" si="95"/>
        <v>1.3061991748101505E-4</v>
      </c>
      <c r="V159" s="3">
        <f t="shared" si="95"/>
        <v>1.3061991748101505E-4</v>
      </c>
      <c r="W159" s="3">
        <f t="shared" si="95"/>
        <v>1.3061991748101505E-4</v>
      </c>
      <c r="X159" s="3">
        <f t="shared" si="95"/>
        <v>1.3061991748101499E-4</v>
      </c>
      <c r="Y159" s="3">
        <f t="shared" si="95"/>
        <v>1.3061991748101451E-4</v>
      </c>
      <c r="Z159" s="3">
        <f t="shared" si="95"/>
        <v>1.3061991748100957E-4</v>
      </c>
      <c r="AA159" s="3">
        <f t="shared" ref="AA159:AF159" si="96">$C45*EXP(-AA$129/$A45/EXP(-$B$126))</f>
        <v>1.306199174809603E-4</v>
      </c>
      <c r="AB159" s="3">
        <f t="shared" si="96"/>
        <v>1.3061991748046753E-4</v>
      </c>
      <c r="AC159" s="3">
        <f t="shared" si="96"/>
        <v>1.3061991747553988E-4</v>
      </c>
      <c r="AD159" s="3">
        <f t="shared" si="96"/>
        <v>1.306199174262633E-4</v>
      </c>
      <c r="AE159" s="3">
        <f t="shared" si="96"/>
        <v>1.3061991693349767E-4</v>
      </c>
      <c r="AF159" s="3">
        <f t="shared" si="96"/>
        <v>1.3061991200584135E-4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8.1332295555460314E-5</v>
      </c>
      <c r="C161" s="3">
        <f t="shared" si="99"/>
        <v>8.1332295555460314E-5</v>
      </c>
      <c r="D161" s="3">
        <f t="shared" si="99"/>
        <v>8.1332295555460314E-5</v>
      </c>
      <c r="E161" s="3">
        <f t="shared" si="99"/>
        <v>8.1332295555460314E-5</v>
      </c>
      <c r="F161" s="3">
        <f t="shared" si="99"/>
        <v>8.1332295555460314E-5</v>
      </c>
      <c r="G161" s="3">
        <f t="shared" si="99"/>
        <v>8.1332295555460314E-5</v>
      </c>
      <c r="H161" s="3">
        <f t="shared" si="99"/>
        <v>8.1332295555460314E-5</v>
      </c>
      <c r="I161" s="3">
        <f t="shared" si="99"/>
        <v>8.1332295555460314E-5</v>
      </c>
      <c r="J161" s="3">
        <f t="shared" si="99"/>
        <v>8.1332295555460314E-5</v>
      </c>
      <c r="K161" s="3">
        <f t="shared" si="99"/>
        <v>8.1332295555460314E-5</v>
      </c>
      <c r="L161" s="3">
        <f t="shared" si="99"/>
        <v>8.1332295555460314E-5</v>
      </c>
      <c r="M161" s="3">
        <f t="shared" si="99"/>
        <v>8.1332295555460314E-5</v>
      </c>
      <c r="N161" s="3">
        <f t="shared" si="99"/>
        <v>8.1332295555460314E-5</v>
      </c>
      <c r="O161" s="3">
        <f t="shared" si="99"/>
        <v>8.1332295555460314E-5</v>
      </c>
      <c r="P161" s="3">
        <f t="shared" si="99"/>
        <v>8.1332295555460314E-5</v>
      </c>
      <c r="Q161" s="3">
        <f t="shared" si="99"/>
        <v>8.1332295555460314E-5</v>
      </c>
      <c r="R161" s="3">
        <f t="shared" si="99"/>
        <v>8.1332295555460314E-5</v>
      </c>
      <c r="S161" s="3">
        <f t="shared" si="99"/>
        <v>8.1332295555460314E-5</v>
      </c>
      <c r="T161" s="3">
        <f t="shared" si="99"/>
        <v>8.1332295555460314E-5</v>
      </c>
      <c r="U161" s="3">
        <f t="shared" si="99"/>
        <v>8.1332295555460314E-5</v>
      </c>
      <c r="V161" s="3">
        <f t="shared" si="99"/>
        <v>8.1332295555460314E-5</v>
      </c>
      <c r="W161" s="3">
        <f t="shared" si="99"/>
        <v>8.1332295555460314E-5</v>
      </c>
      <c r="X161" s="3">
        <f t="shared" si="99"/>
        <v>8.1332295555460314E-5</v>
      </c>
      <c r="Y161" s="3">
        <f t="shared" si="99"/>
        <v>8.1332295555460314E-5</v>
      </c>
      <c r="Z161" s="3">
        <f t="shared" si="99"/>
        <v>8.1332295555460273E-5</v>
      </c>
      <c r="AA161" s="3">
        <f t="shared" ref="AA161:AF161" si="100">$C47*EXP(-AA$129/$A47/EXP(-$B$126))</f>
        <v>8.1332295555459975E-5</v>
      </c>
      <c r="AB161" s="3">
        <f t="shared" si="100"/>
        <v>8.1332295555456899E-5</v>
      </c>
      <c r="AC161" s="3">
        <f t="shared" si="100"/>
        <v>8.1332295555426216E-5</v>
      </c>
      <c r="AD161" s="3">
        <f t="shared" si="100"/>
        <v>8.13322955551194E-5</v>
      </c>
      <c r="AE161" s="3">
        <f t="shared" si="100"/>
        <v>8.1332295552051121E-5</v>
      </c>
      <c r="AF161" s="3">
        <f t="shared" si="100"/>
        <v>8.133229552136839E-5</v>
      </c>
    </row>
    <row r="162" spans="1:34" x14ac:dyDescent="0.25">
      <c r="B162" s="3">
        <f t="shared" ref="B162:Z162" si="101">$C48*EXP(-B$129/$A48/EXP(-$B$126))</f>
        <v>6.4178085162845428E-4</v>
      </c>
      <c r="C162" s="3">
        <f t="shared" si="101"/>
        <v>6.4178085162845428E-4</v>
      </c>
      <c r="D162" s="3">
        <f t="shared" si="101"/>
        <v>6.4178085162845428E-4</v>
      </c>
      <c r="E162" s="3">
        <f t="shared" si="101"/>
        <v>6.4178085162845428E-4</v>
      </c>
      <c r="F162" s="3">
        <f t="shared" si="101"/>
        <v>6.4178085162845428E-4</v>
      </c>
      <c r="G162" s="3">
        <f t="shared" si="101"/>
        <v>6.4178085162845428E-4</v>
      </c>
      <c r="H162" s="3">
        <f t="shared" si="101"/>
        <v>6.4178085162845428E-4</v>
      </c>
      <c r="I162" s="3">
        <f t="shared" si="101"/>
        <v>6.4178085162845428E-4</v>
      </c>
      <c r="J162" s="3">
        <f t="shared" si="101"/>
        <v>6.4178085162845428E-4</v>
      </c>
      <c r="K162" s="3">
        <f t="shared" si="101"/>
        <v>6.4178085162845428E-4</v>
      </c>
      <c r="L162" s="3">
        <f t="shared" si="101"/>
        <v>6.4178085162845428E-4</v>
      </c>
      <c r="M162" s="3">
        <f t="shared" si="101"/>
        <v>6.4178085162845428E-4</v>
      </c>
      <c r="N162" s="3">
        <f t="shared" si="101"/>
        <v>6.4178085162845428E-4</v>
      </c>
      <c r="O162" s="3">
        <f t="shared" si="101"/>
        <v>6.4178085162845428E-4</v>
      </c>
      <c r="P162" s="3">
        <f t="shared" si="101"/>
        <v>6.4178085162845428E-4</v>
      </c>
      <c r="Q162" s="3">
        <f t="shared" si="101"/>
        <v>6.4178085162845428E-4</v>
      </c>
      <c r="R162" s="3">
        <f t="shared" si="101"/>
        <v>6.4178085162845428E-4</v>
      </c>
      <c r="S162" s="3">
        <f t="shared" si="101"/>
        <v>6.4178085162845428E-4</v>
      </c>
      <c r="T162" s="3">
        <f t="shared" si="101"/>
        <v>6.4178085162845428E-4</v>
      </c>
      <c r="U162" s="3">
        <f t="shared" si="101"/>
        <v>6.4178085162845428E-4</v>
      </c>
      <c r="V162" s="3">
        <f t="shared" si="101"/>
        <v>6.4178085162845428E-4</v>
      </c>
      <c r="W162" s="3">
        <f t="shared" si="101"/>
        <v>6.4178085162845428E-4</v>
      </c>
      <c r="X162" s="3">
        <f t="shared" si="101"/>
        <v>6.4178085162845428E-4</v>
      </c>
      <c r="Y162" s="3">
        <f t="shared" si="101"/>
        <v>6.4178085162845428E-4</v>
      </c>
      <c r="Z162" s="3">
        <f t="shared" si="101"/>
        <v>6.4178085162845428E-4</v>
      </c>
      <c r="AA162" s="3">
        <f t="shared" ref="AA162:AF162" si="102">$C48*EXP(-AA$129/$A48/EXP(-$B$126))</f>
        <v>6.4178085162845395E-4</v>
      </c>
      <c r="AB162" s="3">
        <f t="shared" si="102"/>
        <v>6.4178085162845157E-4</v>
      </c>
      <c r="AC162" s="3">
        <f t="shared" si="102"/>
        <v>6.4178085162842739E-4</v>
      </c>
      <c r="AD162" s="3">
        <f t="shared" si="102"/>
        <v>6.4178085162818518E-4</v>
      </c>
      <c r="AE162" s="3">
        <f t="shared" si="102"/>
        <v>6.4178085162576416E-4</v>
      </c>
      <c r="AF162" s="3">
        <f t="shared" si="102"/>
        <v>6.4178085160155284E-4</v>
      </c>
    </row>
    <row r="163" spans="1:34" x14ac:dyDescent="0.25">
      <c r="A163" s="79">
        <f>AVERAGE(B163:AF163)</f>
        <v>1.9238991985755256E-2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2.7700742555804285E-2</v>
      </c>
      <c r="M163" s="80">
        <f t="shared" si="103"/>
        <v>2.7705050531332855E-2</v>
      </c>
      <c r="N163" s="80">
        <f t="shared" si="103"/>
        <v>2.774809319000647E-2</v>
      </c>
      <c r="O163" s="80">
        <f t="shared" si="103"/>
        <v>2.8167595214956015E-2</v>
      </c>
      <c r="P163" s="80">
        <f t="shared" si="103"/>
        <v>3.1503473991149521E-2</v>
      </c>
      <c r="Q163" s="80">
        <f t="shared" si="103"/>
        <v>4.4469427472068869E-2</v>
      </c>
      <c r="R163" s="80">
        <f t="shared" si="103"/>
        <v>6.4052841555903892E-2</v>
      </c>
      <c r="S163" s="80">
        <f t="shared" si="103"/>
        <v>7.7758979533215755E-2</v>
      </c>
      <c r="T163" s="80">
        <f t="shared" si="103"/>
        <v>8.5890910389080546E-2</v>
      </c>
      <c r="U163" s="80">
        <f t="shared" si="103"/>
        <v>9.4484745823594049E-2</v>
      </c>
      <c r="V163" s="80">
        <f t="shared" si="103"/>
        <v>8.6926891301300713E-2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42460.808107776276</v>
      </c>
      <c r="C164" s="21">
        <f t="shared" ref="C164:AF164" si="104">(C131-C130)^2</f>
        <v>42492.462368417779</v>
      </c>
      <c r="D164" s="21">
        <f t="shared" si="104"/>
        <v>42476.060048446569</v>
      </c>
      <c r="E164" s="21">
        <f t="shared" si="104"/>
        <v>42471.810072060252</v>
      </c>
      <c r="F164" s="21">
        <f t="shared" si="104"/>
        <v>42470.558589331456</v>
      </c>
      <c r="G164" s="21">
        <f t="shared" si="104"/>
        <v>42470.167517819973</v>
      </c>
      <c r="H164" s="21">
        <f t="shared" si="104"/>
        <v>42470.063361511391</v>
      </c>
      <c r="I164" s="21">
        <f t="shared" si="104"/>
        <v>42470.038615742575</v>
      </c>
      <c r="J164" s="21">
        <f t="shared" si="104"/>
        <v>42470.025808005565</v>
      </c>
      <c r="K164" s="21">
        <f t="shared" si="104"/>
        <v>42470.158452502306</v>
      </c>
      <c r="L164" s="21">
        <f t="shared" si="104"/>
        <v>42471.4848745778</v>
      </c>
      <c r="M164" s="21">
        <f t="shared" si="104"/>
        <v>42484.694652752478</v>
      </c>
      <c r="N164" s="21">
        <f t="shared" si="104"/>
        <v>42616.797951514964</v>
      </c>
      <c r="O164" s="21">
        <f t="shared" si="104"/>
        <v>43915.032870990501</v>
      </c>
      <c r="P164" s="21">
        <f t="shared" si="104"/>
        <v>54931.568294204502</v>
      </c>
      <c r="Q164" s="21">
        <f t="shared" si="104"/>
        <v>109431.59338298398</v>
      </c>
      <c r="R164" s="21">
        <f t="shared" si="104"/>
        <v>226600.39077929276</v>
      </c>
      <c r="S164" s="21">
        <f t="shared" si="104"/>
        <v>328798.92436782533</v>
      </c>
      <c r="T164" s="21">
        <f t="shared" si="104"/>
        <v>385535.91122364067</v>
      </c>
      <c r="U164" s="21">
        <f t="shared" si="104"/>
        <v>445602.7055169887</v>
      </c>
      <c r="V164" s="21">
        <f t="shared" si="104"/>
        <v>345640.35533851455</v>
      </c>
      <c r="W164" s="21">
        <f t="shared" si="104"/>
        <v>41296.475117197355</v>
      </c>
      <c r="X164" s="21">
        <f t="shared" si="104"/>
        <v>198945.47555383385</v>
      </c>
      <c r="Y164" s="21">
        <f t="shared" si="104"/>
        <v>901922.02845041535</v>
      </c>
      <c r="Z164" s="21">
        <f t="shared" si="104"/>
        <v>1459063.8081091859</v>
      </c>
      <c r="AA164" s="21">
        <f t="shared" si="104"/>
        <v>1474324.8609119183</v>
      </c>
      <c r="AB164" s="21">
        <f t="shared" si="104"/>
        <v>561888.18177338468</v>
      </c>
      <c r="AC164" s="21">
        <f t="shared" si="104"/>
        <v>5310.5303926829129</v>
      </c>
      <c r="AD164" s="21">
        <f t="shared" si="104"/>
        <v>244977.85750712588</v>
      </c>
      <c r="AE164" s="21">
        <f t="shared" si="104"/>
        <v>732695.2413400925</v>
      </c>
      <c r="AF164" s="21">
        <f t="shared" si="104"/>
        <v>907974.90577028936</v>
      </c>
    </row>
    <row r="165" spans="1:34" x14ac:dyDescent="0.25">
      <c r="A165" s="71">
        <f>SUM(B165:AF165)</f>
        <v>2068029.4592532862</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42471.4848745778</v>
      </c>
      <c r="M165" s="60">
        <f t="shared" si="105"/>
        <v>42484.694652752478</v>
      </c>
      <c r="N165" s="60">
        <f t="shared" si="105"/>
        <v>42616.797951514964</v>
      </c>
      <c r="O165" s="60">
        <f t="shared" si="105"/>
        <v>43915.032870990501</v>
      </c>
      <c r="P165" s="60">
        <f t="shared" si="105"/>
        <v>54931.568294204502</v>
      </c>
      <c r="Q165" s="60">
        <f t="shared" si="105"/>
        <v>109431.59338298398</v>
      </c>
      <c r="R165" s="60">
        <f t="shared" si="105"/>
        <v>226600.39077929276</v>
      </c>
      <c r="S165" s="60">
        <f t="shared" si="105"/>
        <v>328798.92436782533</v>
      </c>
      <c r="T165" s="60">
        <f t="shared" si="105"/>
        <v>385535.91122364067</v>
      </c>
      <c r="U165" s="60">
        <f t="shared" si="105"/>
        <v>445602.7055169887</v>
      </c>
      <c r="V165" s="60">
        <f t="shared" si="105"/>
        <v>345640.35533851455</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7233.6498091616859</v>
      </c>
      <c r="C170" s="27">
        <f t="shared" ref="C170:AF170" si="106">($C$17+SUM(C171:C201))*$B$51</f>
        <v>7233.6498091615103</v>
      </c>
      <c r="D170" s="27">
        <f t="shared" si="106"/>
        <v>7233.6498091597605</v>
      </c>
      <c r="E170" s="27">
        <f t="shared" si="106"/>
        <v>7233.6498091422527</v>
      </c>
      <c r="F170" s="27">
        <f t="shared" si="106"/>
        <v>7233.6498089671895</v>
      </c>
      <c r="G170" s="27">
        <f t="shared" si="106"/>
        <v>7233.6498072165477</v>
      </c>
      <c r="H170" s="27">
        <f t="shared" si="106"/>
        <v>7233.6497897101481</v>
      </c>
      <c r="I170" s="27">
        <f t="shared" si="106"/>
        <v>7233.6496146463996</v>
      </c>
      <c r="J170" s="27">
        <f t="shared" si="106"/>
        <v>7233.6478640335126</v>
      </c>
      <c r="K170" s="27">
        <f t="shared" si="106"/>
        <v>7233.6303603658725</v>
      </c>
      <c r="L170" s="27">
        <f t="shared" si="106"/>
        <v>7233.4555694756245</v>
      </c>
      <c r="M170" s="27">
        <f t="shared" si="106"/>
        <v>7231.7319065863139</v>
      </c>
      <c r="N170" s="27">
        <f t="shared" si="106"/>
        <v>7216.6200154384524</v>
      </c>
      <c r="O170" s="27">
        <f t="shared" si="106"/>
        <v>7145.1039768514402</v>
      </c>
      <c r="P170" s="27">
        <f t="shared" si="106"/>
        <v>6989.693798865479</v>
      </c>
      <c r="Q170" s="27">
        <f t="shared" si="106"/>
        <v>6841.0585050295094</v>
      </c>
      <c r="R170" s="27">
        <f t="shared" si="106"/>
        <v>6657.2372256843155</v>
      </c>
      <c r="S170" s="27">
        <f t="shared" si="106"/>
        <v>6443.2047643153555</v>
      </c>
      <c r="T170" s="27">
        <f t="shared" si="106"/>
        <v>6239.2645299943752</v>
      </c>
      <c r="U170" s="27">
        <f t="shared" si="106"/>
        <v>5942.2701518031772</v>
      </c>
      <c r="V170" s="27">
        <f t="shared" si="106"/>
        <v>5668.8013730947596</v>
      </c>
      <c r="W170" s="27">
        <f t="shared" si="106"/>
        <v>5378.4835777761573</v>
      </c>
      <c r="X170" s="27">
        <f t="shared" si="106"/>
        <v>5057.9353440688765</v>
      </c>
      <c r="Y170" s="27">
        <f t="shared" si="106"/>
        <v>4689.4773879416534</v>
      </c>
      <c r="Z170" s="27">
        <f t="shared" si="106"/>
        <v>3989.4834556692185</v>
      </c>
      <c r="AA170" s="27">
        <f t="shared" si="106"/>
        <v>3054.3826860162912</v>
      </c>
      <c r="AB170" s="27">
        <f t="shared" si="106"/>
        <v>2136.7645416441328</v>
      </c>
      <c r="AC170" s="27">
        <f t="shared" si="106"/>
        <v>1358.1757395730151</v>
      </c>
      <c r="AD170" s="27">
        <f t="shared" si="106"/>
        <v>775.75445163110055</v>
      </c>
      <c r="AE170" s="27">
        <f t="shared" si="106"/>
        <v>431.34333234993858</v>
      </c>
      <c r="AF170" s="27">
        <f t="shared" si="106"/>
        <v>209.61130823672016</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3.9092004224196182E-3</v>
      </c>
      <c r="C175" s="3">
        <f t="shared" si="111"/>
        <v>3.9092004224045331E-3</v>
      </c>
      <c r="D175" s="3">
        <f t="shared" si="111"/>
        <v>3.9092004222536858E-3</v>
      </c>
      <c r="E175" s="3">
        <f t="shared" si="111"/>
        <v>3.9092004207452085E-3</v>
      </c>
      <c r="F175" s="3">
        <f t="shared" si="111"/>
        <v>3.90920040566044E-3</v>
      </c>
      <c r="G175" s="3">
        <f t="shared" si="111"/>
        <v>3.9092002548127567E-3</v>
      </c>
      <c r="H175" s="3">
        <f t="shared" si="111"/>
        <v>3.9091987463362428E-3</v>
      </c>
      <c r="I175" s="3">
        <f t="shared" si="111"/>
        <v>3.9091836616031196E-3</v>
      </c>
      <c r="J175" s="3">
        <f t="shared" si="111"/>
        <v>3.9090328174733327E-3</v>
      </c>
      <c r="K175" s="3">
        <f t="shared" si="111"/>
        <v>3.9075246962736107E-3</v>
      </c>
      <c r="L175" s="3">
        <f t="shared" si="111"/>
        <v>3.8924754484368326E-3</v>
      </c>
      <c r="M175" s="3">
        <f t="shared" si="111"/>
        <v>3.7451342164743044E-3</v>
      </c>
      <c r="N175" s="3">
        <f t="shared" si="111"/>
        <v>2.5461408835412815E-3</v>
      </c>
      <c r="O175" s="3">
        <f t="shared" si="111"/>
        <v>5.370724451780499E-5</v>
      </c>
      <c r="P175" s="3">
        <f t="shared" si="111"/>
        <v>9.3656360893662874E-22</v>
      </c>
      <c r="Q175" s="3">
        <f t="shared" si="111"/>
        <v>2.4354619860680231E-189</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2.3295496720475699E-2</v>
      </c>
      <c r="C176" s="3">
        <f t="shared" si="112"/>
        <v>2.3295496720467587E-2</v>
      </c>
      <c r="D176" s="3">
        <f t="shared" si="112"/>
        <v>2.3295496720386499E-2</v>
      </c>
      <c r="E176" s="3">
        <f t="shared" si="112"/>
        <v>2.3295496719575592E-2</v>
      </c>
      <c r="F176" s="3">
        <f t="shared" si="112"/>
        <v>2.3295496711466555E-2</v>
      </c>
      <c r="G176" s="3">
        <f t="shared" si="112"/>
        <v>2.3295496630376188E-2</v>
      </c>
      <c r="H176" s="3">
        <f t="shared" si="112"/>
        <v>2.3295495819472496E-2</v>
      </c>
      <c r="I176" s="3">
        <f t="shared" si="112"/>
        <v>2.3295487710437181E-2</v>
      </c>
      <c r="J176" s="3">
        <f t="shared" si="112"/>
        <v>2.3295406620239257E-2</v>
      </c>
      <c r="K176" s="3">
        <f t="shared" si="112"/>
        <v>2.3294595733784715E-2</v>
      </c>
      <c r="L176" s="3">
        <f t="shared" si="112"/>
        <v>2.3286488421508818E-2</v>
      </c>
      <c r="M176" s="3">
        <f t="shared" si="112"/>
        <v>2.3205570325964969E-2</v>
      </c>
      <c r="N176" s="3">
        <f t="shared" si="112"/>
        <v>2.2411694270198294E-2</v>
      </c>
      <c r="O176" s="3">
        <f t="shared" si="112"/>
        <v>1.5823374884379193E-2</v>
      </c>
      <c r="P176" s="3">
        <f t="shared" si="112"/>
        <v>4.8701618879857009E-4</v>
      </c>
      <c r="Q176" s="3">
        <f t="shared" si="112"/>
        <v>3.7152342427528298E-19</v>
      </c>
      <c r="R176" s="3">
        <f t="shared" si="112"/>
        <v>2.479786163970112E-170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1.9365606168399229E-2</v>
      </c>
      <c r="C177" s="3">
        <f t="shared" si="113"/>
        <v>1.9365606168398618E-2</v>
      </c>
      <c r="D177" s="3">
        <f t="shared" si="113"/>
        <v>1.9365606168392537E-2</v>
      </c>
      <c r="E177" s="3">
        <f t="shared" si="113"/>
        <v>1.9365606168331728E-2</v>
      </c>
      <c r="F177" s="3">
        <f t="shared" si="113"/>
        <v>1.9365606167723631E-2</v>
      </c>
      <c r="G177" s="3">
        <f t="shared" si="113"/>
        <v>1.9365606161642627E-2</v>
      </c>
      <c r="H177" s="3">
        <f t="shared" si="113"/>
        <v>1.9365606100832627E-2</v>
      </c>
      <c r="I177" s="3">
        <f t="shared" si="113"/>
        <v>1.9365605492732654E-2</v>
      </c>
      <c r="J177" s="3">
        <f t="shared" si="113"/>
        <v>1.9365599411733929E-2</v>
      </c>
      <c r="K177" s="3">
        <f t="shared" si="113"/>
        <v>1.9365538601851719E-2</v>
      </c>
      <c r="L177" s="3">
        <f t="shared" si="113"/>
        <v>1.9364930513531723E-2</v>
      </c>
      <c r="M177" s="3">
        <f t="shared" si="113"/>
        <v>1.9358850680419343E-2</v>
      </c>
      <c r="N177" s="3">
        <f t="shared" si="113"/>
        <v>1.9298157236152781E-2</v>
      </c>
      <c r="O177" s="3">
        <f t="shared" si="113"/>
        <v>1.8701590634448172E-2</v>
      </c>
      <c r="P177" s="3">
        <f t="shared" si="113"/>
        <v>1.3661727037117856E-2</v>
      </c>
      <c r="Q177" s="3">
        <f t="shared" si="113"/>
        <v>5.9125684105115533E-4</v>
      </c>
      <c r="R177" s="3">
        <f t="shared" si="113"/>
        <v>1.3629562878751952E-17</v>
      </c>
      <c r="S177" s="3">
        <f t="shared" si="113"/>
        <v>5.7748328195762452E-154</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2.4448597422102234E-2</v>
      </c>
      <c r="C178" s="3">
        <f t="shared" si="114"/>
        <v>2.4448597422102165E-2</v>
      </c>
      <c r="D178" s="3">
        <f t="shared" si="114"/>
        <v>2.4448597422101474E-2</v>
      </c>
      <c r="E178" s="3">
        <f t="shared" si="114"/>
        <v>2.4448597422094546E-2</v>
      </c>
      <c r="F178" s="3">
        <f t="shared" si="114"/>
        <v>2.4448597422025292E-2</v>
      </c>
      <c r="G178" s="3">
        <f t="shared" si="114"/>
        <v>2.4448597421332752E-2</v>
      </c>
      <c r="H178" s="3">
        <f t="shared" si="114"/>
        <v>2.4448597414407358E-2</v>
      </c>
      <c r="I178" s="3">
        <f t="shared" si="114"/>
        <v>2.4448597345153429E-2</v>
      </c>
      <c r="J178" s="3">
        <f t="shared" si="114"/>
        <v>2.4448596652614112E-2</v>
      </c>
      <c r="K178" s="3">
        <f t="shared" si="114"/>
        <v>2.4448589727222043E-2</v>
      </c>
      <c r="L178" s="3">
        <f t="shared" si="114"/>
        <v>2.4448520473409261E-2</v>
      </c>
      <c r="M178" s="3">
        <f t="shared" si="114"/>
        <v>2.4447827946070713E-2</v>
      </c>
      <c r="N178" s="3">
        <f t="shared" si="114"/>
        <v>2.4440903751500407E-2</v>
      </c>
      <c r="O178" s="3">
        <f t="shared" si="114"/>
        <v>2.4371769574332666E-2</v>
      </c>
      <c r="P178" s="3">
        <f t="shared" si="114"/>
        <v>2.3691092557419274E-2</v>
      </c>
      <c r="Q178" s="3">
        <f t="shared" si="114"/>
        <v>1.78470051997013E-2</v>
      </c>
      <c r="R178" s="3">
        <f t="shared" si="114"/>
        <v>1.0504320335743352E-3</v>
      </c>
      <c r="S178" s="3">
        <f t="shared" si="114"/>
        <v>5.2407570740840646E-16</v>
      </c>
      <c r="T178" s="3">
        <f t="shared" si="114"/>
        <v>5.0078896192282363E-139</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3.2100597383085405E-2</v>
      </c>
      <c r="C179" s="3">
        <f t="shared" si="115"/>
        <v>3.2100597383085391E-2</v>
      </c>
      <c r="D179" s="3">
        <f t="shared" si="115"/>
        <v>3.2100597383085315E-2</v>
      </c>
      <c r="E179" s="3">
        <f t="shared" si="115"/>
        <v>3.2100597383084496E-2</v>
      </c>
      <c r="F179" s="3">
        <f t="shared" si="115"/>
        <v>3.2100597383076294E-2</v>
      </c>
      <c r="G179" s="3">
        <f t="shared" si="115"/>
        <v>3.2100597382994263E-2</v>
      </c>
      <c r="H179" s="3">
        <f t="shared" si="115"/>
        <v>3.2100597382174009E-2</v>
      </c>
      <c r="I179" s="3">
        <f t="shared" si="115"/>
        <v>3.2100597373971432E-2</v>
      </c>
      <c r="J179" s="3">
        <f t="shared" si="115"/>
        <v>3.2100597291945684E-2</v>
      </c>
      <c r="K179" s="3">
        <f t="shared" si="115"/>
        <v>3.2100596471688225E-2</v>
      </c>
      <c r="L179" s="3">
        <f t="shared" si="115"/>
        <v>3.2100588269114758E-2</v>
      </c>
      <c r="M179" s="3">
        <f t="shared" si="115"/>
        <v>3.2100506243495412E-2</v>
      </c>
      <c r="N179" s="3">
        <f t="shared" si="115"/>
        <v>3.2099685998829647E-2</v>
      </c>
      <c r="O179" s="3">
        <f t="shared" si="115"/>
        <v>3.2091484704840363E-2</v>
      </c>
      <c r="P179" s="3">
        <f t="shared" si="115"/>
        <v>3.2009586922871924E-2</v>
      </c>
      <c r="Q179" s="3">
        <f t="shared" si="115"/>
        <v>3.1202016759675259E-2</v>
      </c>
      <c r="R179" s="3">
        <f t="shared" si="115"/>
        <v>2.4166214540430459E-2</v>
      </c>
      <c r="S179" s="3">
        <f t="shared" si="115"/>
        <v>1.8770171288337819E-3</v>
      </c>
      <c r="T179" s="3">
        <f t="shared" si="115"/>
        <v>1.4999069828497312E-14</v>
      </c>
      <c r="U179" s="3">
        <f t="shared" si="115"/>
        <v>1.5923012600145471E-125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2.4137735607646905E-2</v>
      </c>
      <c r="C180" s="3">
        <f t="shared" si="116"/>
        <v>2.4137735607646905E-2</v>
      </c>
      <c r="D180" s="3">
        <f t="shared" si="116"/>
        <v>2.4137735607646899E-2</v>
      </c>
      <c r="E180" s="3">
        <f t="shared" si="116"/>
        <v>2.4137735607646843E-2</v>
      </c>
      <c r="F180" s="3">
        <f t="shared" si="116"/>
        <v>2.4137735607646288E-2</v>
      </c>
      <c r="G180" s="3">
        <f t="shared" si="116"/>
        <v>2.4137735607640723E-2</v>
      </c>
      <c r="H180" s="3">
        <f t="shared" si="116"/>
        <v>2.4137735607585083E-2</v>
      </c>
      <c r="I180" s="3">
        <f t="shared" si="116"/>
        <v>2.4137735607028695E-2</v>
      </c>
      <c r="J180" s="3">
        <f t="shared" si="116"/>
        <v>2.4137735601464785E-2</v>
      </c>
      <c r="K180" s="3">
        <f t="shared" si="116"/>
        <v>2.413773554582567E-2</v>
      </c>
      <c r="L180" s="3">
        <f t="shared" si="116"/>
        <v>2.4137734989434546E-2</v>
      </c>
      <c r="M180" s="3">
        <f t="shared" si="116"/>
        <v>2.4137729425524019E-2</v>
      </c>
      <c r="N180" s="3">
        <f t="shared" si="116"/>
        <v>2.4137673786489275E-2</v>
      </c>
      <c r="O180" s="3">
        <f t="shared" si="116"/>
        <v>2.4137117403195626E-2</v>
      </c>
      <c r="P180" s="3">
        <f t="shared" si="116"/>
        <v>2.4131554275577876E-2</v>
      </c>
      <c r="Q180" s="3">
        <f t="shared" si="116"/>
        <v>2.4075993471153852E-2</v>
      </c>
      <c r="R180" s="3">
        <f t="shared" si="116"/>
        <v>2.3527372867450744E-2</v>
      </c>
      <c r="S180" s="3">
        <f t="shared" si="116"/>
        <v>1.8683817646406704E-2</v>
      </c>
      <c r="T180" s="3">
        <f t="shared" si="116"/>
        <v>1.8637491820045027E-3</v>
      </c>
      <c r="U180" s="3">
        <f t="shared" si="116"/>
        <v>1.8180504270199536E-13</v>
      </c>
      <c r="V180" s="3">
        <f t="shared" si="116"/>
        <v>1.4183731999969218E-113</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4.5517611487633891E-2</v>
      </c>
      <c r="C181" s="3">
        <f t="shared" si="117"/>
        <v>4.5517611487633891E-2</v>
      </c>
      <c r="D181" s="3">
        <f t="shared" si="117"/>
        <v>4.5517611487633891E-2</v>
      </c>
      <c r="E181" s="3">
        <f t="shared" si="117"/>
        <v>4.5517611487633884E-2</v>
      </c>
      <c r="F181" s="3">
        <f t="shared" si="117"/>
        <v>4.5517611487633787E-2</v>
      </c>
      <c r="G181" s="3">
        <f t="shared" si="117"/>
        <v>4.5517611487632843E-2</v>
      </c>
      <c r="H181" s="3">
        <f t="shared" si="117"/>
        <v>4.5517611487623372E-2</v>
      </c>
      <c r="I181" s="3">
        <f t="shared" si="117"/>
        <v>4.5517611487528725E-2</v>
      </c>
      <c r="J181" s="3">
        <f t="shared" si="117"/>
        <v>4.5517611486582246E-2</v>
      </c>
      <c r="K181" s="3">
        <f t="shared" si="117"/>
        <v>4.5517611477117491E-2</v>
      </c>
      <c r="L181" s="3">
        <f t="shared" si="117"/>
        <v>4.5517611382469861E-2</v>
      </c>
      <c r="M181" s="3">
        <f t="shared" si="117"/>
        <v>4.5517610435993609E-2</v>
      </c>
      <c r="N181" s="3">
        <f t="shared" si="117"/>
        <v>4.5517600971232142E-2</v>
      </c>
      <c r="O181" s="3">
        <f t="shared" si="117"/>
        <v>4.5517506323725726E-2</v>
      </c>
      <c r="P181" s="3">
        <f t="shared" si="117"/>
        <v>4.5516559859485876E-2</v>
      </c>
      <c r="Q181" s="3">
        <f t="shared" si="117"/>
        <v>4.5507096299432011E-2</v>
      </c>
      <c r="R181" s="3">
        <f t="shared" si="117"/>
        <v>4.5412568850128378E-2</v>
      </c>
      <c r="S181" s="3">
        <f t="shared" si="117"/>
        <v>4.4478026733683333E-2</v>
      </c>
      <c r="T181" s="3">
        <f t="shared" si="117"/>
        <v>3.6127668384081088E-2</v>
      </c>
      <c r="U181" s="3">
        <f t="shared" si="117"/>
        <v>4.5163142939850963E-3</v>
      </c>
      <c r="V181" s="3">
        <f t="shared" si="117"/>
        <v>4.2094600344251206E-12</v>
      </c>
      <c r="W181" s="3">
        <f t="shared" si="117"/>
        <v>2.0828055406828269E-102</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3.7438549850033177E-2</v>
      </c>
      <c r="C182" s="3">
        <f t="shared" si="118"/>
        <v>3.7438549850033177E-2</v>
      </c>
      <c r="D182" s="3">
        <f t="shared" si="118"/>
        <v>3.7438549850033177E-2</v>
      </c>
      <c r="E182" s="3">
        <f t="shared" si="118"/>
        <v>3.7438549850033177E-2</v>
      </c>
      <c r="F182" s="3">
        <f t="shared" si="118"/>
        <v>3.743854985003317E-2</v>
      </c>
      <c r="G182" s="3">
        <f t="shared" si="118"/>
        <v>3.7438549850033101E-2</v>
      </c>
      <c r="H182" s="3">
        <f t="shared" si="118"/>
        <v>3.7438549850032393E-2</v>
      </c>
      <c r="I182" s="3">
        <f t="shared" si="118"/>
        <v>3.7438549850025378E-2</v>
      </c>
      <c r="J182" s="3">
        <f t="shared" si="118"/>
        <v>3.7438549849955149E-2</v>
      </c>
      <c r="K182" s="3">
        <f t="shared" si="118"/>
        <v>3.7438549849252892E-2</v>
      </c>
      <c r="L182" s="3">
        <f t="shared" si="118"/>
        <v>3.7438549842230322E-2</v>
      </c>
      <c r="M182" s="3">
        <f t="shared" si="118"/>
        <v>3.7438549772004656E-2</v>
      </c>
      <c r="N182" s="3">
        <f t="shared" si="118"/>
        <v>3.7438549069747994E-2</v>
      </c>
      <c r="O182" s="3">
        <f t="shared" si="118"/>
        <v>3.7438542047182097E-2</v>
      </c>
      <c r="P182" s="3">
        <f t="shared" si="118"/>
        <v>3.7438471821595556E-2</v>
      </c>
      <c r="Q182" s="3">
        <f t="shared" si="118"/>
        <v>3.7437769572975024E-2</v>
      </c>
      <c r="R182" s="3">
        <f t="shared" si="118"/>
        <v>3.7430747811208899E-2</v>
      </c>
      <c r="S182" s="3">
        <f t="shared" si="118"/>
        <v>3.7360602587212084E-2</v>
      </c>
      <c r="T182" s="3">
        <f t="shared" si="118"/>
        <v>3.6666339721370372E-2</v>
      </c>
      <c r="U182" s="3">
        <f t="shared" si="118"/>
        <v>3.0395158624457099E-2</v>
      </c>
      <c r="V182" s="3">
        <f t="shared" si="118"/>
        <v>4.6577157034466592E-3</v>
      </c>
      <c r="W182" s="3">
        <f t="shared" si="118"/>
        <v>3.3255126263633112E-11</v>
      </c>
      <c r="X182" s="3">
        <f t="shared" si="118"/>
        <v>1.144761053835809E-92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4.1083418704934697E-2</v>
      </c>
      <c r="C183" s="3">
        <f t="shared" si="119"/>
        <v>4.1083418704934697E-2</v>
      </c>
      <c r="D183" s="3">
        <f t="shared" si="119"/>
        <v>4.1083418704934697E-2</v>
      </c>
      <c r="E183" s="3">
        <f t="shared" si="119"/>
        <v>4.1083418704934697E-2</v>
      </c>
      <c r="F183" s="3">
        <f t="shared" si="119"/>
        <v>4.1083418704934697E-2</v>
      </c>
      <c r="G183" s="3">
        <f t="shared" si="119"/>
        <v>4.1083418704934691E-2</v>
      </c>
      <c r="H183" s="3">
        <f t="shared" si="119"/>
        <v>4.1083418704934621E-2</v>
      </c>
      <c r="I183" s="3">
        <f t="shared" si="119"/>
        <v>4.1083418704933927E-2</v>
      </c>
      <c r="J183" s="3">
        <f t="shared" si="119"/>
        <v>4.1083418704926974E-2</v>
      </c>
      <c r="K183" s="3">
        <f t="shared" si="119"/>
        <v>4.1083418704857461E-2</v>
      </c>
      <c r="L183" s="3">
        <f t="shared" si="119"/>
        <v>4.1083418704162288E-2</v>
      </c>
      <c r="M183" s="3">
        <f t="shared" si="119"/>
        <v>4.1083418697210605E-2</v>
      </c>
      <c r="N183" s="3">
        <f t="shared" si="119"/>
        <v>4.1083418627693762E-2</v>
      </c>
      <c r="O183" s="3">
        <f t="shared" si="119"/>
        <v>4.1083417932525373E-2</v>
      </c>
      <c r="P183" s="3">
        <f t="shared" si="119"/>
        <v>4.108341098084211E-2</v>
      </c>
      <c r="Q183" s="3">
        <f t="shared" si="119"/>
        <v>4.1083341464074156E-2</v>
      </c>
      <c r="R183" s="3">
        <f t="shared" si="119"/>
        <v>4.1082646302864165E-2</v>
      </c>
      <c r="S183" s="3">
        <f t="shared" si="119"/>
        <v>4.1075695337677326E-2</v>
      </c>
      <c r="T183" s="3">
        <f t="shared" si="119"/>
        <v>4.1006250336635824E-2</v>
      </c>
      <c r="U183" s="3">
        <f t="shared" si="119"/>
        <v>4.0318225115296619E-2</v>
      </c>
      <c r="V183" s="3">
        <f t="shared" si="119"/>
        <v>3.4041984735879292E-2</v>
      </c>
      <c r="W183" s="3">
        <f t="shared" si="119"/>
        <v>6.2682967033456617E-3</v>
      </c>
      <c r="X183" s="3">
        <f t="shared" si="119"/>
        <v>2.8086412525793107E-10</v>
      </c>
      <c r="Y183" s="3">
        <f t="shared" si="119"/>
        <v>9.1614353729880648E-84</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4.6249511553516282E-2</v>
      </c>
      <c r="C184" s="3">
        <f t="shared" si="120"/>
        <v>4.6249511553516282E-2</v>
      </c>
      <c r="D184" s="3">
        <f t="shared" si="120"/>
        <v>4.6249511553516282E-2</v>
      </c>
      <c r="E184" s="3">
        <f t="shared" si="120"/>
        <v>4.6249511553516282E-2</v>
      </c>
      <c r="F184" s="3">
        <f t="shared" si="120"/>
        <v>4.6249511553516282E-2</v>
      </c>
      <c r="G184" s="3">
        <f t="shared" si="120"/>
        <v>4.6249511553516282E-2</v>
      </c>
      <c r="H184" s="3">
        <f t="shared" si="120"/>
        <v>4.6249511553516275E-2</v>
      </c>
      <c r="I184" s="3">
        <f t="shared" si="120"/>
        <v>4.6249511553516205E-2</v>
      </c>
      <c r="J184" s="3">
        <f t="shared" si="120"/>
        <v>4.6249511553515497E-2</v>
      </c>
      <c r="K184" s="3">
        <f t="shared" si="120"/>
        <v>4.6249511553508434E-2</v>
      </c>
      <c r="L184" s="3">
        <f t="shared" si="120"/>
        <v>4.6249511553437844E-2</v>
      </c>
      <c r="M184" s="3">
        <f t="shared" si="120"/>
        <v>4.6249511552731888E-2</v>
      </c>
      <c r="N184" s="3">
        <f t="shared" si="120"/>
        <v>4.6249511545672334E-2</v>
      </c>
      <c r="O184" s="3">
        <f t="shared" si="120"/>
        <v>4.6249511475076804E-2</v>
      </c>
      <c r="P184" s="3">
        <f t="shared" si="120"/>
        <v>4.6249510769121538E-2</v>
      </c>
      <c r="Q184" s="3">
        <f t="shared" si="120"/>
        <v>4.6249503709569456E-2</v>
      </c>
      <c r="R184" s="3">
        <f t="shared" si="120"/>
        <v>4.6249433114107917E-2</v>
      </c>
      <c r="S184" s="3">
        <f t="shared" si="120"/>
        <v>4.6248727165419154E-2</v>
      </c>
      <c r="T184" s="3">
        <f t="shared" si="120"/>
        <v>4.6241668271160184E-2</v>
      </c>
      <c r="U184" s="3">
        <f t="shared" si="120"/>
        <v>4.6171138557981564E-2</v>
      </c>
      <c r="V184" s="3">
        <f t="shared" si="120"/>
        <v>4.5471731052442614E-2</v>
      </c>
      <c r="W184" s="3">
        <f t="shared" si="120"/>
        <v>3.9034670841504658E-2</v>
      </c>
      <c r="X184" s="3">
        <f t="shared" si="120"/>
        <v>8.4828319069828462E-3</v>
      </c>
      <c r="Y184" s="3">
        <f t="shared" si="120"/>
        <v>1.9927107253893234E-9</v>
      </c>
      <c r="Z184" s="3">
        <f t="shared" si="120"/>
        <v>1.0197136409069203E-75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4.2148935673183355E-2</v>
      </c>
      <c r="C185" s="3">
        <f t="shared" si="121"/>
        <v>4.2148935673183355E-2</v>
      </c>
      <c r="D185" s="3">
        <f t="shared" si="121"/>
        <v>4.2148935673183355E-2</v>
      </c>
      <c r="E185" s="3">
        <f t="shared" si="121"/>
        <v>4.2148935673183355E-2</v>
      </c>
      <c r="F185" s="3">
        <f t="shared" si="121"/>
        <v>4.2148935673183355E-2</v>
      </c>
      <c r="G185" s="3">
        <f t="shared" si="121"/>
        <v>4.2148935673183355E-2</v>
      </c>
      <c r="H185" s="3">
        <f t="shared" si="121"/>
        <v>4.2148935673183355E-2</v>
      </c>
      <c r="I185" s="3">
        <f t="shared" si="121"/>
        <v>4.2148935673183348E-2</v>
      </c>
      <c r="J185" s="3">
        <f t="shared" si="121"/>
        <v>4.2148935673183292E-2</v>
      </c>
      <c r="K185" s="3">
        <f t="shared" si="121"/>
        <v>4.2148935673182709E-2</v>
      </c>
      <c r="L185" s="3">
        <f t="shared" si="121"/>
        <v>4.2148935673176909E-2</v>
      </c>
      <c r="M185" s="3">
        <f t="shared" si="121"/>
        <v>4.2148935673118872E-2</v>
      </c>
      <c r="N185" s="3">
        <f t="shared" si="121"/>
        <v>4.2148935672538503E-2</v>
      </c>
      <c r="O185" s="3">
        <f t="shared" si="121"/>
        <v>4.2148935666734826E-2</v>
      </c>
      <c r="P185" s="3">
        <f t="shared" si="121"/>
        <v>4.2148935608698056E-2</v>
      </c>
      <c r="Q185" s="3">
        <f t="shared" si="121"/>
        <v>4.214893502833035E-2</v>
      </c>
      <c r="R185" s="3">
        <f t="shared" si="121"/>
        <v>4.2148929224653763E-2</v>
      </c>
      <c r="S185" s="3">
        <f t="shared" si="121"/>
        <v>4.2148871187931806E-2</v>
      </c>
      <c r="T185" s="3">
        <f t="shared" si="121"/>
        <v>4.2148290825107487E-2</v>
      </c>
      <c r="U185" s="3">
        <f t="shared" si="121"/>
        <v>4.2142487636363399E-2</v>
      </c>
      <c r="V185" s="3">
        <f t="shared" si="121"/>
        <v>4.2084499676447847E-2</v>
      </c>
      <c r="W185" s="3">
        <f t="shared" si="121"/>
        <v>4.1508990532274352E-2</v>
      </c>
      <c r="X185" s="3">
        <f t="shared" si="121"/>
        <v>3.6169475044222757E-2</v>
      </c>
      <c r="Y185" s="3">
        <f t="shared" si="121"/>
        <v>9.1273045785422308E-3</v>
      </c>
      <c r="Z185" s="3">
        <f t="shared" si="121"/>
        <v>9.5575354961457034E-9</v>
      </c>
      <c r="AA185" s="3">
        <f t="shared" si="121"/>
        <v>1.5148850652936416E-68</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0.11274262500279238</v>
      </c>
      <c r="C186" s="3">
        <f t="shared" si="122"/>
        <v>0.11274262500279238</v>
      </c>
      <c r="D186" s="3">
        <f t="shared" si="122"/>
        <v>0.11274262500279238</v>
      </c>
      <c r="E186" s="3">
        <f t="shared" si="122"/>
        <v>0.11274262500279238</v>
      </c>
      <c r="F186" s="3">
        <f t="shared" si="122"/>
        <v>0.11274262500279238</v>
      </c>
      <c r="G186" s="3">
        <f t="shared" si="122"/>
        <v>0.11274262500279238</v>
      </c>
      <c r="H186" s="3">
        <f t="shared" si="122"/>
        <v>0.11274262500279238</v>
      </c>
      <c r="I186" s="3">
        <f t="shared" si="122"/>
        <v>0.11274262500279238</v>
      </c>
      <c r="J186" s="3">
        <f t="shared" si="122"/>
        <v>0.11274262500279236</v>
      </c>
      <c r="K186" s="3">
        <f t="shared" si="122"/>
        <v>0.11274262500279222</v>
      </c>
      <c r="L186" s="3">
        <f t="shared" si="122"/>
        <v>0.11274262500279082</v>
      </c>
      <c r="M186" s="3">
        <f t="shared" si="122"/>
        <v>0.11274262500277682</v>
      </c>
      <c r="N186" s="3">
        <f t="shared" si="122"/>
        <v>0.11274262500263678</v>
      </c>
      <c r="O186" s="3">
        <f t="shared" si="122"/>
        <v>0.11274262500123639</v>
      </c>
      <c r="P186" s="3">
        <f t="shared" si="122"/>
        <v>0.11274262498723239</v>
      </c>
      <c r="Q186" s="3">
        <f t="shared" si="122"/>
        <v>0.11274262484719265</v>
      </c>
      <c r="R186" s="3">
        <f t="shared" si="122"/>
        <v>0.11274262344679505</v>
      </c>
      <c r="S186" s="3">
        <f t="shared" si="122"/>
        <v>0.11274260944282001</v>
      </c>
      <c r="T186" s="3">
        <f t="shared" si="122"/>
        <v>0.11274246940316536</v>
      </c>
      <c r="U186" s="3">
        <f t="shared" si="122"/>
        <v>0.11274106901618584</v>
      </c>
      <c r="V186" s="3">
        <f t="shared" si="122"/>
        <v>0.11272706610304516</v>
      </c>
      <c r="W186" s="3">
        <f t="shared" si="122"/>
        <v>0.11258713259313054</v>
      </c>
      <c r="X186" s="3">
        <f t="shared" si="122"/>
        <v>0.11119731584273701</v>
      </c>
      <c r="Y186" s="3">
        <f t="shared" si="122"/>
        <v>9.8208654180147514E-2</v>
      </c>
      <c r="Z186" s="3">
        <f t="shared" si="122"/>
        <v>2.8359875203963443E-2</v>
      </c>
      <c r="AA186" s="3">
        <f t="shared" si="122"/>
        <v>1.143536083912845E-7</v>
      </c>
      <c r="AB186" s="3">
        <f t="shared" si="122"/>
        <v>1.2992880697955977E-61</v>
      </c>
      <c r="AC186" s="3">
        <f t="shared" si="122"/>
        <v>0</v>
      </c>
      <c r="AD186" s="3">
        <f t="shared" si="122"/>
        <v>0</v>
      </c>
      <c r="AE186" s="3">
        <f t="shared" si="122"/>
        <v>0</v>
      </c>
      <c r="AF186" s="3">
        <f t="shared" si="122"/>
        <v>0</v>
      </c>
      <c r="AG186" s="3"/>
      <c r="AH186" s="3"/>
    </row>
    <row r="187" spans="2:34" x14ac:dyDescent="0.25">
      <c r="B187" s="3">
        <f t="shared" ref="B187:AF187" si="123">$C34*EXP(-B$168/$A34/EXP(-$C$126))</f>
        <v>0.14424606622338945</v>
      </c>
      <c r="C187" s="3">
        <f t="shared" si="123"/>
        <v>0.14424606622338945</v>
      </c>
      <c r="D187" s="3">
        <f t="shared" si="123"/>
        <v>0.14424606622338945</v>
      </c>
      <c r="E187" s="3">
        <f t="shared" si="123"/>
        <v>0.14424606622338945</v>
      </c>
      <c r="F187" s="3">
        <f t="shared" si="123"/>
        <v>0.14424606622338945</v>
      </c>
      <c r="G187" s="3">
        <f t="shared" si="123"/>
        <v>0.14424606622338945</v>
      </c>
      <c r="H187" s="3">
        <f t="shared" si="123"/>
        <v>0.14424606622338945</v>
      </c>
      <c r="I187" s="3">
        <f t="shared" si="123"/>
        <v>0.14424606622338945</v>
      </c>
      <c r="J187" s="3">
        <f t="shared" si="123"/>
        <v>0.14424606622338945</v>
      </c>
      <c r="K187" s="3">
        <f t="shared" si="123"/>
        <v>0.14424606622338942</v>
      </c>
      <c r="L187" s="3">
        <f t="shared" si="123"/>
        <v>0.14424606622338929</v>
      </c>
      <c r="M187" s="3">
        <f t="shared" si="123"/>
        <v>0.14424606622338765</v>
      </c>
      <c r="N187" s="3">
        <f t="shared" si="123"/>
        <v>0.14424606622337149</v>
      </c>
      <c r="O187" s="3">
        <f t="shared" si="123"/>
        <v>0.14424606622320987</v>
      </c>
      <c r="P187" s="3">
        <f t="shared" si="123"/>
        <v>0.14424606622159361</v>
      </c>
      <c r="Q187" s="3">
        <f t="shared" si="123"/>
        <v>0.1442460662054309</v>
      </c>
      <c r="R187" s="3">
        <f t="shared" si="123"/>
        <v>0.14424606604380394</v>
      </c>
      <c r="S187" s="3">
        <f t="shared" si="123"/>
        <v>0.14424606442753443</v>
      </c>
      <c r="T187" s="3">
        <f t="shared" si="123"/>
        <v>0.14424604826484017</v>
      </c>
      <c r="U187" s="3">
        <f t="shared" si="123"/>
        <v>0.14424588663799712</v>
      </c>
      <c r="V187" s="3">
        <f t="shared" si="123"/>
        <v>0.14424427037952742</v>
      </c>
      <c r="W187" s="3">
        <f t="shared" si="123"/>
        <v>0.14422810879084633</v>
      </c>
      <c r="X187" s="3">
        <f t="shared" si="123"/>
        <v>0.14406659246434658</v>
      </c>
      <c r="Y187" s="3">
        <f t="shared" si="123"/>
        <v>0.14246134407789632</v>
      </c>
      <c r="Z187" s="3">
        <f t="shared" si="123"/>
        <v>0.12736044582305725</v>
      </c>
      <c r="AA187" s="3">
        <f t="shared" si="123"/>
        <v>4.1534587573956915E-2</v>
      </c>
      <c r="AB187" s="3">
        <f t="shared" si="123"/>
        <v>5.651493339754709E-7</v>
      </c>
      <c r="AC187" s="3">
        <f t="shared" si="123"/>
        <v>1.2294090260296189E-55</v>
      </c>
      <c r="AD187" s="3">
        <f t="shared" si="123"/>
        <v>0</v>
      </c>
      <c r="AE187" s="3">
        <f t="shared" si="123"/>
        <v>0</v>
      </c>
      <c r="AF187" s="3">
        <f t="shared" si="123"/>
        <v>0</v>
      </c>
      <c r="AG187" s="3"/>
      <c r="AH187" s="3"/>
    </row>
    <row r="188" spans="2:34" x14ac:dyDescent="0.25">
      <c r="B188" s="3">
        <f t="shared" ref="B188:AF188" si="124">$C35*EXP(-B$168/$A35/EXP(-$C$126))</f>
        <v>0.12974045708141974</v>
      </c>
      <c r="C188" s="3">
        <f t="shared" si="124"/>
        <v>0.12974045708141974</v>
      </c>
      <c r="D188" s="3">
        <f t="shared" si="124"/>
        <v>0.12974045708141974</v>
      </c>
      <c r="E188" s="3">
        <f t="shared" si="124"/>
        <v>0.12974045708141974</v>
      </c>
      <c r="F188" s="3">
        <f t="shared" si="124"/>
        <v>0.12974045708141974</v>
      </c>
      <c r="G188" s="3">
        <f t="shared" si="124"/>
        <v>0.12974045708141974</v>
      </c>
      <c r="H188" s="3">
        <f t="shared" si="124"/>
        <v>0.12974045708141974</v>
      </c>
      <c r="I188" s="3">
        <f t="shared" si="124"/>
        <v>0.12974045708141974</v>
      </c>
      <c r="J188" s="3">
        <f t="shared" si="124"/>
        <v>0.12974045708141974</v>
      </c>
      <c r="K188" s="3">
        <f t="shared" si="124"/>
        <v>0.12974045708141974</v>
      </c>
      <c r="L188" s="3">
        <f t="shared" si="124"/>
        <v>0.12974045708141971</v>
      </c>
      <c r="M188" s="3">
        <f t="shared" si="124"/>
        <v>0.1297404570814196</v>
      </c>
      <c r="N188" s="3">
        <f t="shared" si="124"/>
        <v>0.12974045708141829</v>
      </c>
      <c r="O188" s="3">
        <f t="shared" si="124"/>
        <v>0.12974045708140516</v>
      </c>
      <c r="P188" s="3">
        <f t="shared" si="124"/>
        <v>0.12974045708127402</v>
      </c>
      <c r="Q188" s="3">
        <f t="shared" si="124"/>
        <v>0.12974045707996262</v>
      </c>
      <c r="R188" s="3">
        <f t="shared" si="124"/>
        <v>0.12974045706684872</v>
      </c>
      <c r="S188" s="3">
        <f t="shared" si="124"/>
        <v>0.12974045693570974</v>
      </c>
      <c r="T188" s="3">
        <f t="shared" si="124"/>
        <v>0.12974045562431988</v>
      </c>
      <c r="U188" s="3">
        <f t="shared" si="124"/>
        <v>0.12974044251042202</v>
      </c>
      <c r="V188" s="3">
        <f t="shared" si="124"/>
        <v>0.12974031137151623</v>
      </c>
      <c r="W188" s="3">
        <f t="shared" si="124"/>
        <v>0.12973899998974869</v>
      </c>
      <c r="X188" s="3">
        <f t="shared" si="124"/>
        <v>0.12972588690108236</v>
      </c>
      <c r="Y188" s="3">
        <f t="shared" si="124"/>
        <v>0.12959482888805846</v>
      </c>
      <c r="Z188" s="3">
        <f t="shared" si="124"/>
        <v>0.12829150894139829</v>
      </c>
      <c r="AA188" s="3">
        <f t="shared" si="124"/>
        <v>0.11595789417515301</v>
      </c>
      <c r="AB188" s="3">
        <f t="shared" si="124"/>
        <v>4.2201159717377361E-2</v>
      </c>
      <c r="AC188" s="3">
        <f t="shared" si="124"/>
        <v>1.7201449536434089E-6</v>
      </c>
      <c r="AD188" s="3">
        <f t="shared" si="124"/>
        <v>2.1775675909043655E-50</v>
      </c>
      <c r="AE188" s="3">
        <f t="shared" si="124"/>
        <v>0</v>
      </c>
      <c r="AF188" s="3">
        <f t="shared" si="124"/>
        <v>0</v>
      </c>
      <c r="AG188" s="3"/>
      <c r="AH188" s="3"/>
    </row>
    <row r="189" spans="2:34" x14ac:dyDescent="0.25">
      <c r="B189" s="3">
        <f t="shared" ref="B189:AF189" si="125">$C36*EXP(-B$168/$A36/EXP(-$C$126))</f>
        <v>0.10714973449748261</v>
      </c>
      <c r="C189" s="3">
        <f t="shared" si="125"/>
        <v>0.10714973449748261</v>
      </c>
      <c r="D189" s="3">
        <f t="shared" si="125"/>
        <v>0.10714973449748261</v>
      </c>
      <c r="E189" s="3">
        <f t="shared" si="125"/>
        <v>0.10714973449748261</v>
      </c>
      <c r="F189" s="3">
        <f t="shared" si="125"/>
        <v>0.10714973449748261</v>
      </c>
      <c r="G189" s="3">
        <f t="shared" si="125"/>
        <v>0.10714973449748261</v>
      </c>
      <c r="H189" s="3">
        <f t="shared" si="125"/>
        <v>0.10714973449748261</v>
      </c>
      <c r="I189" s="3">
        <f t="shared" si="125"/>
        <v>0.10714973449748261</v>
      </c>
      <c r="J189" s="3">
        <f t="shared" si="125"/>
        <v>0.10714973449748261</v>
      </c>
      <c r="K189" s="3">
        <f t="shared" si="125"/>
        <v>0.10714973449748261</v>
      </c>
      <c r="L189" s="3">
        <f t="shared" si="125"/>
        <v>0.10714973449748261</v>
      </c>
      <c r="M189" s="3">
        <f t="shared" si="125"/>
        <v>0.10714973449748259</v>
      </c>
      <c r="N189" s="3">
        <f t="shared" si="125"/>
        <v>0.1071497344974825</v>
      </c>
      <c r="O189" s="3">
        <f t="shared" si="125"/>
        <v>0.10714973449748152</v>
      </c>
      <c r="P189" s="3">
        <f t="shared" si="125"/>
        <v>0.10714973449747174</v>
      </c>
      <c r="Q189" s="3">
        <f t="shared" si="125"/>
        <v>0.10714973449737406</v>
      </c>
      <c r="R189" s="3">
        <f t="shared" si="125"/>
        <v>0.10714973449639704</v>
      </c>
      <c r="S189" s="3">
        <f t="shared" si="125"/>
        <v>0.10714973448662705</v>
      </c>
      <c r="T189" s="3">
        <f t="shared" si="125"/>
        <v>0.10714973438892718</v>
      </c>
      <c r="U189" s="3">
        <f t="shared" si="125"/>
        <v>0.10714973341192824</v>
      </c>
      <c r="V189" s="3">
        <f t="shared" si="125"/>
        <v>0.10714972364193943</v>
      </c>
      <c r="W189" s="3">
        <f t="shared" si="125"/>
        <v>0.10714962594210034</v>
      </c>
      <c r="X189" s="3">
        <f t="shared" si="125"/>
        <v>0.107148648948609</v>
      </c>
      <c r="Y189" s="3">
        <f t="shared" si="125"/>
        <v>0.10713887950363626</v>
      </c>
      <c r="Z189" s="3">
        <f t="shared" si="125"/>
        <v>0.10704123403145085</v>
      </c>
      <c r="AA189" s="3">
        <f t="shared" si="125"/>
        <v>0.10606966058052804</v>
      </c>
      <c r="AB189" s="3">
        <f t="shared" si="125"/>
        <v>9.68259792566699E-2</v>
      </c>
      <c r="AC189" s="3">
        <f t="shared" si="125"/>
        <v>3.8904432639412165E-2</v>
      </c>
      <c r="AD189" s="3">
        <f t="shared" si="125"/>
        <v>4.2664923236474118E-6</v>
      </c>
      <c r="AE189" s="3">
        <f t="shared" si="125"/>
        <v>1.0734697050149847E-45</v>
      </c>
      <c r="AF189" s="3">
        <f t="shared" si="125"/>
        <v>0</v>
      </c>
      <c r="AG189" s="3"/>
      <c r="AH189" s="3"/>
    </row>
    <row r="190" spans="2:34" x14ac:dyDescent="0.25">
      <c r="B190" s="3">
        <f t="shared" ref="B190:AF190" si="126">$C37*EXP(-B$168/$A37/EXP(-$C$126))</f>
        <v>7.4657991153057213E-2</v>
      </c>
      <c r="C190" s="3">
        <f t="shared" si="126"/>
        <v>7.4657991153057213E-2</v>
      </c>
      <c r="D190" s="3">
        <f t="shared" si="126"/>
        <v>7.4657991153057213E-2</v>
      </c>
      <c r="E190" s="3">
        <f t="shared" si="126"/>
        <v>7.4657991153057213E-2</v>
      </c>
      <c r="F190" s="3">
        <f t="shared" si="126"/>
        <v>7.4657991153057213E-2</v>
      </c>
      <c r="G190" s="3">
        <f t="shared" si="126"/>
        <v>7.4657991153057213E-2</v>
      </c>
      <c r="H190" s="3">
        <f t="shared" si="126"/>
        <v>7.4657991153057213E-2</v>
      </c>
      <c r="I190" s="3">
        <f t="shared" si="126"/>
        <v>7.4657991153057213E-2</v>
      </c>
      <c r="J190" s="3">
        <f t="shared" si="126"/>
        <v>7.4657991153057213E-2</v>
      </c>
      <c r="K190" s="3">
        <f t="shared" si="126"/>
        <v>7.4657991153057213E-2</v>
      </c>
      <c r="L190" s="3">
        <f t="shared" si="126"/>
        <v>7.4657991153057213E-2</v>
      </c>
      <c r="M190" s="3">
        <f t="shared" si="126"/>
        <v>7.4657991153057213E-2</v>
      </c>
      <c r="N190" s="3">
        <f t="shared" si="126"/>
        <v>7.4657991153057199E-2</v>
      </c>
      <c r="O190" s="3">
        <f t="shared" si="126"/>
        <v>7.4657991153057143E-2</v>
      </c>
      <c r="P190" s="3">
        <f t="shared" si="126"/>
        <v>7.4657991153056533E-2</v>
      </c>
      <c r="Q190" s="3">
        <f t="shared" si="126"/>
        <v>7.4657991153050385E-2</v>
      </c>
      <c r="R190" s="3">
        <f t="shared" si="126"/>
        <v>7.4657991152988976E-2</v>
      </c>
      <c r="S190" s="3">
        <f t="shared" si="126"/>
        <v>7.4657991152374897E-2</v>
      </c>
      <c r="T190" s="3">
        <f t="shared" si="126"/>
        <v>7.4657991146234087E-2</v>
      </c>
      <c r="U190" s="3">
        <f t="shared" si="126"/>
        <v>7.4657991084825945E-2</v>
      </c>
      <c r="V190" s="3">
        <f t="shared" si="126"/>
        <v>7.4657990470744645E-2</v>
      </c>
      <c r="W190" s="3">
        <f t="shared" si="126"/>
        <v>7.4657984329931815E-2</v>
      </c>
      <c r="X190" s="3">
        <f t="shared" si="126"/>
        <v>7.4657922921831307E-2</v>
      </c>
      <c r="Y190" s="3">
        <f t="shared" si="126"/>
        <v>7.4657308843604275E-2</v>
      </c>
      <c r="Z190" s="3">
        <f t="shared" si="126"/>
        <v>7.4651168339128368E-2</v>
      </c>
      <c r="AA190" s="3">
        <f t="shared" si="126"/>
        <v>7.4589791065355612E-2</v>
      </c>
      <c r="AB190" s="3">
        <f t="shared" si="126"/>
        <v>7.3978786993163501E-2</v>
      </c>
      <c r="AC190" s="3">
        <f t="shared" si="126"/>
        <v>6.8137369002615411E-2</v>
      </c>
      <c r="AD190" s="3">
        <f t="shared" si="126"/>
        <v>2.9934147923260268E-2</v>
      </c>
      <c r="AE190" s="3">
        <f t="shared" si="126"/>
        <v>8.0164539858627315E-6</v>
      </c>
      <c r="AF190" s="3">
        <f t="shared" si="126"/>
        <v>1.5210249582860746E-41</v>
      </c>
      <c r="AG190" s="3"/>
      <c r="AH190" s="3"/>
    </row>
    <row r="191" spans="2:34" x14ac:dyDescent="0.25">
      <c r="B191" s="3">
        <f t="shared" ref="B191:AF191" si="127">$C38*EXP(-B$168/$A38/EXP(-$C$126))</f>
        <v>2.5780107678568913E-2</v>
      </c>
      <c r="C191" s="3">
        <f t="shared" si="127"/>
        <v>2.5780107678568913E-2</v>
      </c>
      <c r="D191" s="3">
        <f t="shared" si="127"/>
        <v>2.5780107678568913E-2</v>
      </c>
      <c r="E191" s="3">
        <f t="shared" si="127"/>
        <v>2.5780107678568913E-2</v>
      </c>
      <c r="F191" s="3">
        <f t="shared" si="127"/>
        <v>2.5780107678568913E-2</v>
      </c>
      <c r="G191" s="3">
        <f t="shared" si="127"/>
        <v>2.5780107678568913E-2</v>
      </c>
      <c r="H191" s="3">
        <f t="shared" si="127"/>
        <v>2.5780107678568913E-2</v>
      </c>
      <c r="I191" s="3">
        <f t="shared" si="127"/>
        <v>2.5780107678568913E-2</v>
      </c>
      <c r="J191" s="3">
        <f t="shared" si="127"/>
        <v>2.5780107678568913E-2</v>
      </c>
      <c r="K191" s="3">
        <f t="shared" si="127"/>
        <v>2.5780107678568913E-2</v>
      </c>
      <c r="L191" s="3">
        <f t="shared" si="127"/>
        <v>2.5780107678568913E-2</v>
      </c>
      <c r="M191" s="3">
        <f t="shared" si="127"/>
        <v>2.5780107678568913E-2</v>
      </c>
      <c r="N191" s="3">
        <f t="shared" si="127"/>
        <v>2.5780107678568913E-2</v>
      </c>
      <c r="O191" s="3">
        <f t="shared" si="127"/>
        <v>2.5780107678568909E-2</v>
      </c>
      <c r="P191" s="3">
        <f t="shared" si="127"/>
        <v>2.5780107678568892E-2</v>
      </c>
      <c r="Q191" s="3">
        <f t="shared" si="127"/>
        <v>2.5780107678568701E-2</v>
      </c>
      <c r="R191" s="3">
        <f t="shared" si="127"/>
        <v>2.5780107678566786E-2</v>
      </c>
      <c r="S191" s="3">
        <f t="shared" si="127"/>
        <v>2.5780107678547659E-2</v>
      </c>
      <c r="T191" s="3">
        <f t="shared" si="127"/>
        <v>2.5780107678356375E-2</v>
      </c>
      <c r="U191" s="3">
        <f t="shared" si="127"/>
        <v>2.5780107676443526E-2</v>
      </c>
      <c r="V191" s="3">
        <f t="shared" si="127"/>
        <v>2.5780107657315025E-2</v>
      </c>
      <c r="W191" s="3">
        <f t="shared" si="127"/>
        <v>2.5780107466030034E-2</v>
      </c>
      <c r="X191" s="3">
        <f t="shared" si="127"/>
        <v>2.5780105553180187E-2</v>
      </c>
      <c r="Y191" s="3">
        <f t="shared" si="127"/>
        <v>2.5780086424689534E-2</v>
      </c>
      <c r="Z191" s="3">
        <f t="shared" si="127"/>
        <v>2.5779895140563603E-2</v>
      </c>
      <c r="AA191" s="3">
        <f t="shared" si="127"/>
        <v>2.5777982377363947E-2</v>
      </c>
      <c r="AB191" s="3">
        <f t="shared" si="127"/>
        <v>2.5758862549188282E-2</v>
      </c>
      <c r="AC191" s="3">
        <f t="shared" si="127"/>
        <v>2.5568442511343537E-2</v>
      </c>
      <c r="AD191" s="3">
        <f t="shared" si="127"/>
        <v>2.3739971714766654E-2</v>
      </c>
      <c r="AE191" s="3">
        <f t="shared" si="127"/>
        <v>1.130418948923231E-2</v>
      </c>
      <c r="AF191" s="3">
        <f t="shared" si="127"/>
        <v>6.7737902686830627E-6</v>
      </c>
      <c r="AG191" s="3"/>
      <c r="AH191" s="3"/>
    </row>
    <row r="192" spans="2:34" x14ac:dyDescent="0.25">
      <c r="B192" s="3">
        <f t="shared" ref="B192:AF192" si="128">$C39*EXP(-B$168/$A39/EXP(-$C$126))</f>
        <v>2.4060337070104312E-2</v>
      </c>
      <c r="C192" s="3">
        <f t="shared" si="128"/>
        <v>2.4060337070104312E-2</v>
      </c>
      <c r="D192" s="3">
        <f t="shared" si="128"/>
        <v>2.4060337070104312E-2</v>
      </c>
      <c r="E192" s="3">
        <f t="shared" si="128"/>
        <v>2.4060337070104312E-2</v>
      </c>
      <c r="F192" s="3">
        <f t="shared" si="128"/>
        <v>2.4060337070104312E-2</v>
      </c>
      <c r="G192" s="3">
        <f t="shared" si="128"/>
        <v>2.4060337070104312E-2</v>
      </c>
      <c r="H192" s="3">
        <f t="shared" si="128"/>
        <v>2.4060337070104312E-2</v>
      </c>
      <c r="I192" s="3">
        <f t="shared" si="128"/>
        <v>2.4060337070104312E-2</v>
      </c>
      <c r="J192" s="3">
        <f t="shared" si="128"/>
        <v>2.4060337070104312E-2</v>
      </c>
      <c r="K192" s="3">
        <f t="shared" si="128"/>
        <v>2.4060337070104312E-2</v>
      </c>
      <c r="L192" s="3">
        <f t="shared" si="128"/>
        <v>2.4060337070104312E-2</v>
      </c>
      <c r="M192" s="3">
        <f t="shared" si="128"/>
        <v>2.4060337070104312E-2</v>
      </c>
      <c r="N192" s="3">
        <f t="shared" si="128"/>
        <v>2.4060337070104312E-2</v>
      </c>
      <c r="O192" s="3">
        <f t="shared" si="128"/>
        <v>2.4060337070104312E-2</v>
      </c>
      <c r="P192" s="3">
        <f t="shared" si="128"/>
        <v>2.4060337070104305E-2</v>
      </c>
      <c r="Q192" s="3">
        <f t="shared" si="128"/>
        <v>2.4060337070104257E-2</v>
      </c>
      <c r="R192" s="3">
        <f t="shared" si="128"/>
        <v>2.4060337070103764E-2</v>
      </c>
      <c r="S192" s="3">
        <f t="shared" si="128"/>
        <v>2.4060337070098827E-2</v>
      </c>
      <c r="T192" s="3">
        <f t="shared" si="128"/>
        <v>2.406033707004945E-2</v>
      </c>
      <c r="U192" s="3">
        <f t="shared" si="128"/>
        <v>2.4060337069555696E-2</v>
      </c>
      <c r="V192" s="3">
        <f t="shared" si="128"/>
        <v>2.4060337064618156E-2</v>
      </c>
      <c r="W192" s="3">
        <f t="shared" si="128"/>
        <v>2.4060337015242742E-2</v>
      </c>
      <c r="X192" s="3">
        <f t="shared" si="128"/>
        <v>2.4060336521488618E-2</v>
      </c>
      <c r="Y192" s="3">
        <f t="shared" si="128"/>
        <v>2.4060331583947929E-2</v>
      </c>
      <c r="Z192" s="3">
        <f t="shared" si="128"/>
        <v>2.4060282208596764E-2</v>
      </c>
      <c r="AA192" s="3">
        <f t="shared" si="128"/>
        <v>2.405978846065799E-2</v>
      </c>
      <c r="AB192" s="3">
        <f t="shared" si="128"/>
        <v>2.4054851538514783E-2</v>
      </c>
      <c r="AC192" s="3">
        <f t="shared" si="128"/>
        <v>2.4005537999249319E-2</v>
      </c>
      <c r="AD192" s="3">
        <f t="shared" si="128"/>
        <v>2.3517928775118734E-2</v>
      </c>
      <c r="AE192" s="3">
        <f t="shared" si="128"/>
        <v>1.9154699468861607E-2</v>
      </c>
      <c r="AF192" s="3">
        <f t="shared" si="128"/>
        <v>2.4605832266049593E-3</v>
      </c>
      <c r="AG192" s="3"/>
      <c r="AH192" s="3"/>
    </row>
    <row r="193" spans="1:34" x14ac:dyDescent="0.25">
      <c r="B193" s="3">
        <f t="shared" ref="B193:AF193" si="129">$C40*EXP(-B$168/$A40/EXP(-$C$126))</f>
        <v>1.2267955807966149E-2</v>
      </c>
      <c r="C193" s="3">
        <f t="shared" si="129"/>
        <v>1.2267955807966149E-2</v>
      </c>
      <c r="D193" s="3">
        <f t="shared" si="129"/>
        <v>1.2267955807966149E-2</v>
      </c>
      <c r="E193" s="3">
        <f t="shared" si="129"/>
        <v>1.2267955807966149E-2</v>
      </c>
      <c r="F193" s="3">
        <f t="shared" si="129"/>
        <v>1.2267955807966149E-2</v>
      </c>
      <c r="G193" s="3">
        <f t="shared" si="129"/>
        <v>1.2267955807966149E-2</v>
      </c>
      <c r="H193" s="3">
        <f t="shared" si="129"/>
        <v>1.2267955807966149E-2</v>
      </c>
      <c r="I193" s="3">
        <f t="shared" si="129"/>
        <v>1.2267955807966149E-2</v>
      </c>
      <c r="J193" s="3">
        <f t="shared" si="129"/>
        <v>1.2267955807966149E-2</v>
      </c>
      <c r="K193" s="3">
        <f t="shared" si="129"/>
        <v>1.2267955807966149E-2</v>
      </c>
      <c r="L193" s="3">
        <f t="shared" si="129"/>
        <v>1.2267955807966149E-2</v>
      </c>
      <c r="M193" s="3">
        <f t="shared" si="129"/>
        <v>1.2267955807966149E-2</v>
      </c>
      <c r="N193" s="3">
        <f t="shared" si="129"/>
        <v>1.2267955807966149E-2</v>
      </c>
      <c r="O193" s="3">
        <f t="shared" si="129"/>
        <v>1.2267955807966149E-2</v>
      </c>
      <c r="P193" s="3">
        <f t="shared" si="129"/>
        <v>1.2267955807966149E-2</v>
      </c>
      <c r="Q193" s="3">
        <f t="shared" si="129"/>
        <v>1.2267955807966146E-2</v>
      </c>
      <c r="R193" s="3">
        <f t="shared" si="129"/>
        <v>1.2267955807966122E-2</v>
      </c>
      <c r="S193" s="3">
        <f t="shared" si="129"/>
        <v>1.226795580796587E-2</v>
      </c>
      <c r="T193" s="3">
        <f t="shared" si="129"/>
        <v>1.2267955807963351E-2</v>
      </c>
      <c r="U193" s="3">
        <f t="shared" si="129"/>
        <v>1.2267955807938177E-2</v>
      </c>
      <c r="V193" s="3">
        <f t="shared" si="129"/>
        <v>1.226795580768642E-2</v>
      </c>
      <c r="W193" s="3">
        <f t="shared" si="129"/>
        <v>1.2267955805168852E-2</v>
      </c>
      <c r="X193" s="3">
        <f t="shared" si="129"/>
        <v>1.226795577999317E-2</v>
      </c>
      <c r="Y193" s="3">
        <f t="shared" si="129"/>
        <v>1.2267955528236356E-2</v>
      </c>
      <c r="Z193" s="3">
        <f t="shared" si="129"/>
        <v>1.2267953010668511E-2</v>
      </c>
      <c r="AA193" s="3">
        <f t="shared" si="129"/>
        <v>1.2267927835018464E-2</v>
      </c>
      <c r="AB193" s="3">
        <f t="shared" si="129"/>
        <v>1.2267676081359506E-2</v>
      </c>
      <c r="AC193" s="3">
        <f t="shared" si="129"/>
        <v>1.226515882889942E-2</v>
      </c>
      <c r="AD193" s="3">
        <f t="shared" si="129"/>
        <v>1.2240014695686306E-2</v>
      </c>
      <c r="AE193" s="3">
        <f t="shared" si="129"/>
        <v>1.1991391062702233E-2</v>
      </c>
      <c r="AF193" s="3">
        <f t="shared" si="129"/>
        <v>9.7666548026398067E-3</v>
      </c>
      <c r="AG193" s="3"/>
      <c r="AH193" s="3"/>
    </row>
    <row r="194" spans="1:34" x14ac:dyDescent="0.25">
      <c r="B194" s="3">
        <f t="shared" ref="B194:AF194" si="130">$C41*EXP(-B$168/$A41/EXP(-$C$126))</f>
        <v>7.7350329579382458E-4</v>
      </c>
      <c r="C194" s="3">
        <f t="shared" si="130"/>
        <v>7.7350329579382458E-4</v>
      </c>
      <c r="D194" s="3">
        <f t="shared" si="130"/>
        <v>7.7350329579382458E-4</v>
      </c>
      <c r="E194" s="3">
        <f t="shared" si="130"/>
        <v>7.7350329579382458E-4</v>
      </c>
      <c r="F194" s="3">
        <f t="shared" si="130"/>
        <v>7.7350329579382458E-4</v>
      </c>
      <c r="G194" s="3">
        <f t="shared" si="130"/>
        <v>7.7350329579382458E-4</v>
      </c>
      <c r="H194" s="3">
        <f t="shared" si="130"/>
        <v>7.7350329579382458E-4</v>
      </c>
      <c r="I194" s="3">
        <f t="shared" si="130"/>
        <v>7.7350329579382458E-4</v>
      </c>
      <c r="J194" s="3">
        <f t="shared" si="130"/>
        <v>7.7350329579382458E-4</v>
      </c>
      <c r="K194" s="3">
        <f t="shared" si="130"/>
        <v>7.7350329579382458E-4</v>
      </c>
      <c r="L194" s="3">
        <f t="shared" si="130"/>
        <v>7.7350329579382458E-4</v>
      </c>
      <c r="M194" s="3">
        <f t="shared" si="130"/>
        <v>7.7350329579382458E-4</v>
      </c>
      <c r="N194" s="3">
        <f t="shared" si="130"/>
        <v>7.7350329579382458E-4</v>
      </c>
      <c r="O194" s="3">
        <f t="shared" si="130"/>
        <v>7.7350329579382458E-4</v>
      </c>
      <c r="P194" s="3">
        <f t="shared" si="130"/>
        <v>7.7350329579382458E-4</v>
      </c>
      <c r="Q194" s="3">
        <f t="shared" si="130"/>
        <v>7.7350329579382458E-4</v>
      </c>
      <c r="R194" s="3">
        <f t="shared" si="130"/>
        <v>7.7350329579382437E-4</v>
      </c>
      <c r="S194" s="3">
        <f t="shared" si="130"/>
        <v>7.7350329579382274E-4</v>
      </c>
      <c r="T194" s="3">
        <f t="shared" si="130"/>
        <v>7.7350329579380702E-4</v>
      </c>
      <c r="U194" s="3">
        <f t="shared" si="130"/>
        <v>7.7350329579364818E-4</v>
      </c>
      <c r="V194" s="3">
        <f t="shared" si="130"/>
        <v>7.7350329579206091E-4</v>
      </c>
      <c r="W194" s="3">
        <f t="shared" si="130"/>
        <v>7.7350329577618743E-4</v>
      </c>
      <c r="X194" s="3">
        <f t="shared" si="130"/>
        <v>7.7350329561745297E-4</v>
      </c>
      <c r="Y194" s="3">
        <f t="shared" si="130"/>
        <v>7.7350329403010846E-4</v>
      </c>
      <c r="Z194" s="3">
        <f t="shared" si="130"/>
        <v>7.7350327815666321E-4</v>
      </c>
      <c r="AA194" s="3">
        <f t="shared" si="130"/>
        <v>7.7350311942222887E-4</v>
      </c>
      <c r="AB194" s="3">
        <f t="shared" si="130"/>
        <v>7.7350153207967633E-4</v>
      </c>
      <c r="AC194" s="3">
        <f t="shared" si="130"/>
        <v>7.7348565883331155E-4</v>
      </c>
      <c r="AD194" s="3">
        <f t="shared" si="130"/>
        <v>7.7332694428422944E-4</v>
      </c>
      <c r="AE194" s="3">
        <f t="shared" si="130"/>
        <v>7.7174158889049761E-4</v>
      </c>
      <c r="AF194" s="3">
        <f t="shared" si="130"/>
        <v>7.560656928785037E-4</v>
      </c>
      <c r="AG194" s="3"/>
      <c r="AH194" s="3"/>
    </row>
    <row r="195" spans="1:34" x14ac:dyDescent="0.25">
      <c r="B195" s="3">
        <f t="shared" ref="B195:AF195" si="131">$C42*EXP(-B$168/$A42/EXP(-$C$126))</f>
        <v>2.8862774017939779E-3</v>
      </c>
      <c r="C195" s="3">
        <f t="shared" si="131"/>
        <v>2.8862774017939779E-3</v>
      </c>
      <c r="D195" s="3">
        <f t="shared" si="131"/>
        <v>2.8862774017939779E-3</v>
      </c>
      <c r="E195" s="3">
        <f t="shared" si="131"/>
        <v>2.8862774017939779E-3</v>
      </c>
      <c r="F195" s="3">
        <f t="shared" si="131"/>
        <v>2.8862774017939779E-3</v>
      </c>
      <c r="G195" s="3">
        <f t="shared" si="131"/>
        <v>2.8862774017939779E-3</v>
      </c>
      <c r="H195" s="3">
        <f t="shared" si="131"/>
        <v>2.8862774017939779E-3</v>
      </c>
      <c r="I195" s="3">
        <f t="shared" si="131"/>
        <v>2.8862774017939779E-3</v>
      </c>
      <c r="J195" s="3">
        <f t="shared" si="131"/>
        <v>2.8862774017939779E-3</v>
      </c>
      <c r="K195" s="3">
        <f t="shared" si="131"/>
        <v>2.8862774017939779E-3</v>
      </c>
      <c r="L195" s="3">
        <f t="shared" si="131"/>
        <v>2.8862774017939779E-3</v>
      </c>
      <c r="M195" s="3">
        <f t="shared" si="131"/>
        <v>2.8862774017939779E-3</v>
      </c>
      <c r="N195" s="3">
        <f t="shared" si="131"/>
        <v>2.8862774017939779E-3</v>
      </c>
      <c r="O195" s="3">
        <f t="shared" si="131"/>
        <v>2.8862774017939779E-3</v>
      </c>
      <c r="P195" s="3">
        <f t="shared" si="131"/>
        <v>2.8862774017939779E-3</v>
      </c>
      <c r="Q195" s="3">
        <f t="shared" si="131"/>
        <v>2.8862774017939779E-3</v>
      </c>
      <c r="R195" s="3">
        <f t="shared" si="131"/>
        <v>2.8862774017939779E-3</v>
      </c>
      <c r="S195" s="3">
        <f t="shared" si="131"/>
        <v>2.8862774017939775E-3</v>
      </c>
      <c r="T195" s="3">
        <f t="shared" si="131"/>
        <v>2.886277401793971E-3</v>
      </c>
      <c r="U195" s="3">
        <f t="shared" si="131"/>
        <v>2.8862774017939124E-3</v>
      </c>
      <c r="V195" s="3">
        <f t="shared" si="131"/>
        <v>2.8862774017933196E-3</v>
      </c>
      <c r="W195" s="3">
        <f t="shared" si="131"/>
        <v>2.8862774017873968E-3</v>
      </c>
      <c r="X195" s="3">
        <f t="shared" si="131"/>
        <v>2.886277401728166E-3</v>
      </c>
      <c r="Y195" s="3">
        <f t="shared" si="131"/>
        <v>2.8862774011358585E-3</v>
      </c>
      <c r="Z195" s="3">
        <f t="shared" si="131"/>
        <v>2.8862773952127857E-3</v>
      </c>
      <c r="AA195" s="3">
        <f t="shared" si="131"/>
        <v>2.8862773359820534E-3</v>
      </c>
      <c r="AB195" s="3">
        <f t="shared" si="131"/>
        <v>2.8862767436748024E-3</v>
      </c>
      <c r="AC195" s="3">
        <f t="shared" si="131"/>
        <v>2.886270820608976E-3</v>
      </c>
      <c r="AD195" s="3">
        <f t="shared" si="131"/>
        <v>2.8862115906192333E-3</v>
      </c>
      <c r="AE195" s="3">
        <f t="shared" si="131"/>
        <v>2.8856193575688472E-3</v>
      </c>
      <c r="AF195" s="3">
        <f t="shared" si="131"/>
        <v>2.8797037066962232E-3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1.5898164143456024E-4</v>
      </c>
      <c r="C197" s="3">
        <f t="shared" si="133"/>
        <v>1.5898164143456024E-4</v>
      </c>
      <c r="D197" s="3">
        <f t="shared" si="133"/>
        <v>1.5898164143456024E-4</v>
      </c>
      <c r="E197" s="3">
        <f t="shared" si="133"/>
        <v>1.5898164143456024E-4</v>
      </c>
      <c r="F197" s="3">
        <f t="shared" si="133"/>
        <v>1.5898164143456024E-4</v>
      </c>
      <c r="G197" s="3">
        <f t="shared" si="133"/>
        <v>1.5898164143456024E-4</v>
      </c>
      <c r="H197" s="3">
        <f t="shared" si="133"/>
        <v>1.5898164143456024E-4</v>
      </c>
      <c r="I197" s="3">
        <f t="shared" si="133"/>
        <v>1.5898164143456024E-4</v>
      </c>
      <c r="J197" s="3">
        <f t="shared" si="133"/>
        <v>1.5898164143456024E-4</v>
      </c>
      <c r="K197" s="3">
        <f t="shared" si="133"/>
        <v>1.5898164143456024E-4</v>
      </c>
      <c r="L197" s="3">
        <f t="shared" si="133"/>
        <v>1.5898164143456024E-4</v>
      </c>
      <c r="M197" s="3">
        <f t="shared" si="133"/>
        <v>1.5898164143456024E-4</v>
      </c>
      <c r="N197" s="3">
        <f t="shared" si="133"/>
        <v>1.5898164143456024E-4</v>
      </c>
      <c r="O197" s="3">
        <f t="shared" si="133"/>
        <v>1.5898164143456024E-4</v>
      </c>
      <c r="P197" s="3">
        <f t="shared" si="133"/>
        <v>1.5898164143456024E-4</v>
      </c>
      <c r="Q197" s="3">
        <f t="shared" si="133"/>
        <v>1.5898164143456024E-4</v>
      </c>
      <c r="R197" s="3">
        <f t="shared" si="133"/>
        <v>1.5898164143456024E-4</v>
      </c>
      <c r="S197" s="3">
        <f t="shared" si="133"/>
        <v>1.5898164143456024E-4</v>
      </c>
      <c r="T197" s="3">
        <f t="shared" si="133"/>
        <v>1.5898164143456024E-4</v>
      </c>
      <c r="U197" s="3">
        <f t="shared" si="133"/>
        <v>1.5898164143456021E-4</v>
      </c>
      <c r="V197" s="3">
        <f t="shared" si="133"/>
        <v>1.5898164143455986E-4</v>
      </c>
      <c r="W197" s="3">
        <f t="shared" si="133"/>
        <v>1.5898164143455663E-4</v>
      </c>
      <c r="X197" s="3">
        <f t="shared" si="133"/>
        <v>1.5898164143452397E-4</v>
      </c>
      <c r="Y197" s="3">
        <f t="shared" si="133"/>
        <v>1.5898164143419774E-4</v>
      </c>
      <c r="Z197" s="3">
        <f t="shared" si="133"/>
        <v>1.5898164143093518E-4</v>
      </c>
      <c r="AA197" s="3">
        <f t="shared" si="133"/>
        <v>1.5898164139830978E-4</v>
      </c>
      <c r="AB197" s="3">
        <f t="shared" si="133"/>
        <v>1.5898164107205567E-4</v>
      </c>
      <c r="AC197" s="3">
        <f t="shared" si="133"/>
        <v>1.5898163780951445E-4</v>
      </c>
      <c r="AD197" s="3">
        <f t="shared" si="133"/>
        <v>1.5898160518410605E-4</v>
      </c>
      <c r="AE197" s="3">
        <f t="shared" si="133"/>
        <v>1.5898127893039014E-4</v>
      </c>
      <c r="AF197" s="3">
        <f t="shared" si="133"/>
        <v>1.5897801643005474E-4</v>
      </c>
      <c r="AG197" s="3"/>
      <c r="AH197" s="3"/>
    </row>
    <row r="198" spans="1:34" x14ac:dyDescent="0.25">
      <c r="B198" s="3">
        <f t="shared" ref="B198:AF198" si="134">$C45*EXP(-B$168/$A45/EXP(-$C$126))</f>
        <v>1.3061991748101505E-4</v>
      </c>
      <c r="C198" s="3">
        <f t="shared" si="134"/>
        <v>1.3061991748101505E-4</v>
      </c>
      <c r="D198" s="3">
        <f t="shared" si="134"/>
        <v>1.3061991748101505E-4</v>
      </c>
      <c r="E198" s="3">
        <f t="shared" si="134"/>
        <v>1.3061991748101505E-4</v>
      </c>
      <c r="F198" s="3">
        <f t="shared" si="134"/>
        <v>1.3061991748101505E-4</v>
      </c>
      <c r="G198" s="3">
        <f t="shared" si="134"/>
        <v>1.3061991748101505E-4</v>
      </c>
      <c r="H198" s="3">
        <f t="shared" si="134"/>
        <v>1.3061991748101505E-4</v>
      </c>
      <c r="I198" s="3">
        <f t="shared" si="134"/>
        <v>1.3061991748101505E-4</v>
      </c>
      <c r="J198" s="3">
        <f t="shared" si="134"/>
        <v>1.3061991748101505E-4</v>
      </c>
      <c r="K198" s="3">
        <f t="shared" si="134"/>
        <v>1.3061991748101505E-4</v>
      </c>
      <c r="L198" s="3">
        <f t="shared" si="134"/>
        <v>1.3061991748101505E-4</v>
      </c>
      <c r="M198" s="3">
        <f t="shared" si="134"/>
        <v>1.3061991748101505E-4</v>
      </c>
      <c r="N198" s="3">
        <f t="shared" si="134"/>
        <v>1.3061991748101505E-4</v>
      </c>
      <c r="O198" s="3">
        <f t="shared" si="134"/>
        <v>1.3061991748101505E-4</v>
      </c>
      <c r="P198" s="3">
        <f t="shared" si="134"/>
        <v>1.3061991748101505E-4</v>
      </c>
      <c r="Q198" s="3">
        <f t="shared" si="134"/>
        <v>1.3061991748101505E-4</v>
      </c>
      <c r="R198" s="3">
        <f t="shared" si="134"/>
        <v>1.3061991748101505E-4</v>
      </c>
      <c r="S198" s="3">
        <f t="shared" si="134"/>
        <v>1.3061991748101505E-4</v>
      </c>
      <c r="T198" s="3">
        <f t="shared" si="134"/>
        <v>1.3061991748101505E-4</v>
      </c>
      <c r="U198" s="3">
        <f t="shared" si="134"/>
        <v>1.3061991748101505E-4</v>
      </c>
      <c r="V198" s="3">
        <f t="shared" si="134"/>
        <v>1.3061991748101502E-4</v>
      </c>
      <c r="W198" s="3">
        <f t="shared" si="134"/>
        <v>1.3061991748101475E-4</v>
      </c>
      <c r="X198" s="3">
        <f t="shared" si="134"/>
        <v>1.3061991748101207E-4</v>
      </c>
      <c r="Y198" s="3">
        <f t="shared" si="134"/>
        <v>1.3061991748098526E-4</v>
      </c>
      <c r="Z198" s="3">
        <f t="shared" si="134"/>
        <v>1.3061991748071722E-4</v>
      </c>
      <c r="AA198" s="3">
        <f t="shared" si="134"/>
        <v>1.3061991747803669E-4</v>
      </c>
      <c r="AB198" s="3">
        <f t="shared" si="134"/>
        <v>1.3061991745123153E-4</v>
      </c>
      <c r="AC198" s="3">
        <f t="shared" si="134"/>
        <v>1.3061991718317991E-4</v>
      </c>
      <c r="AD198" s="3">
        <f t="shared" si="134"/>
        <v>1.3061991450266373E-4</v>
      </c>
      <c r="AE198" s="3">
        <f t="shared" si="134"/>
        <v>1.3061988769750486E-4</v>
      </c>
      <c r="AF198" s="3">
        <f t="shared" si="134"/>
        <v>1.3061961964621881E-4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8.1332295555460314E-5</v>
      </c>
      <c r="C200" s="3">
        <f t="shared" si="136"/>
        <v>8.1332295555460314E-5</v>
      </c>
      <c r="D200" s="3">
        <f t="shared" si="136"/>
        <v>8.1332295555460314E-5</v>
      </c>
      <c r="E200" s="3">
        <f t="shared" si="136"/>
        <v>8.1332295555460314E-5</v>
      </c>
      <c r="F200" s="3">
        <f t="shared" si="136"/>
        <v>8.1332295555460314E-5</v>
      </c>
      <c r="G200" s="3">
        <f t="shared" si="136"/>
        <v>8.1332295555460314E-5</v>
      </c>
      <c r="H200" s="3">
        <f t="shared" si="136"/>
        <v>8.1332295555460314E-5</v>
      </c>
      <c r="I200" s="3">
        <f t="shared" si="136"/>
        <v>8.1332295555460314E-5</v>
      </c>
      <c r="J200" s="3">
        <f t="shared" si="136"/>
        <v>8.1332295555460314E-5</v>
      </c>
      <c r="K200" s="3">
        <f t="shared" si="136"/>
        <v>8.1332295555460314E-5</v>
      </c>
      <c r="L200" s="3">
        <f t="shared" si="136"/>
        <v>8.1332295555460314E-5</v>
      </c>
      <c r="M200" s="3">
        <f t="shared" si="136"/>
        <v>8.1332295555460314E-5</v>
      </c>
      <c r="N200" s="3">
        <f t="shared" si="136"/>
        <v>8.1332295555460314E-5</v>
      </c>
      <c r="O200" s="3">
        <f t="shared" si="136"/>
        <v>8.1332295555460314E-5</v>
      </c>
      <c r="P200" s="3">
        <f t="shared" si="136"/>
        <v>8.1332295555460314E-5</v>
      </c>
      <c r="Q200" s="3">
        <f t="shared" si="136"/>
        <v>8.1332295555460314E-5</v>
      </c>
      <c r="R200" s="3">
        <f t="shared" si="136"/>
        <v>8.1332295555460314E-5</v>
      </c>
      <c r="S200" s="3">
        <f t="shared" si="136"/>
        <v>8.1332295555460314E-5</v>
      </c>
      <c r="T200" s="3">
        <f t="shared" si="136"/>
        <v>8.1332295555460314E-5</v>
      </c>
      <c r="U200" s="3">
        <f t="shared" si="136"/>
        <v>8.1332295555460314E-5</v>
      </c>
      <c r="V200" s="3">
        <f t="shared" si="136"/>
        <v>8.1332295555460314E-5</v>
      </c>
      <c r="W200" s="3">
        <f t="shared" si="136"/>
        <v>8.1332295555460314E-5</v>
      </c>
      <c r="X200" s="3">
        <f t="shared" si="136"/>
        <v>8.13322955554603E-5</v>
      </c>
      <c r="Y200" s="3">
        <f t="shared" si="136"/>
        <v>8.1332295555460124E-5</v>
      </c>
      <c r="Z200" s="3">
        <f t="shared" si="136"/>
        <v>8.1332295555458457E-5</v>
      </c>
      <c r="AA200" s="3">
        <f t="shared" si="136"/>
        <v>8.133229555544176E-5</v>
      </c>
      <c r="AB200" s="3">
        <f t="shared" si="136"/>
        <v>8.1332295555274861E-5</v>
      </c>
      <c r="AC200" s="3">
        <f t="shared" si="136"/>
        <v>8.13322955536058E-5</v>
      </c>
      <c r="AD200" s="3">
        <f t="shared" si="136"/>
        <v>8.1332295536915198E-5</v>
      </c>
      <c r="AE200" s="3">
        <f t="shared" si="136"/>
        <v>8.1332295370009159E-5</v>
      </c>
      <c r="AF200" s="3">
        <f t="shared" si="136"/>
        <v>8.1332293700948734E-5</v>
      </c>
      <c r="AG200" s="3"/>
      <c r="AH200" s="3"/>
    </row>
    <row r="201" spans="1:34" x14ac:dyDescent="0.25">
      <c r="B201" s="3">
        <f t="shared" ref="B201:AF201" si="137">$C48*EXP(-B$168/$A48/EXP(-$C$126))</f>
        <v>6.4178085162845428E-4</v>
      </c>
      <c r="C201" s="3">
        <f t="shared" si="137"/>
        <v>6.4178085162845428E-4</v>
      </c>
      <c r="D201" s="3">
        <f t="shared" si="137"/>
        <v>6.4178085162845428E-4</v>
      </c>
      <c r="E201" s="3">
        <f t="shared" si="137"/>
        <v>6.4178085162845428E-4</v>
      </c>
      <c r="F201" s="3">
        <f t="shared" si="137"/>
        <v>6.4178085162845428E-4</v>
      </c>
      <c r="G201" s="3">
        <f t="shared" si="137"/>
        <v>6.4178085162845428E-4</v>
      </c>
      <c r="H201" s="3">
        <f t="shared" si="137"/>
        <v>6.4178085162845428E-4</v>
      </c>
      <c r="I201" s="3">
        <f t="shared" si="137"/>
        <v>6.4178085162845428E-4</v>
      </c>
      <c r="J201" s="3">
        <f t="shared" si="137"/>
        <v>6.4178085162845428E-4</v>
      </c>
      <c r="K201" s="3">
        <f t="shared" si="137"/>
        <v>6.4178085162845428E-4</v>
      </c>
      <c r="L201" s="3">
        <f t="shared" si="137"/>
        <v>6.4178085162845428E-4</v>
      </c>
      <c r="M201" s="3">
        <f t="shared" si="137"/>
        <v>6.4178085162845428E-4</v>
      </c>
      <c r="N201" s="3">
        <f t="shared" si="137"/>
        <v>6.4178085162845428E-4</v>
      </c>
      <c r="O201" s="3">
        <f t="shared" si="137"/>
        <v>6.4178085162845428E-4</v>
      </c>
      <c r="P201" s="3">
        <f t="shared" si="137"/>
        <v>6.4178085162845428E-4</v>
      </c>
      <c r="Q201" s="3">
        <f t="shared" si="137"/>
        <v>6.4178085162845428E-4</v>
      </c>
      <c r="R201" s="3">
        <f t="shared" si="137"/>
        <v>6.4178085162845428E-4</v>
      </c>
      <c r="S201" s="3">
        <f t="shared" si="137"/>
        <v>6.4178085162845428E-4</v>
      </c>
      <c r="T201" s="3">
        <f t="shared" si="137"/>
        <v>6.4178085162845428E-4</v>
      </c>
      <c r="U201" s="3">
        <f t="shared" si="137"/>
        <v>6.4178085162845428E-4</v>
      </c>
      <c r="V201" s="3">
        <f t="shared" si="137"/>
        <v>6.4178085162845428E-4</v>
      </c>
      <c r="W201" s="3">
        <f t="shared" si="137"/>
        <v>6.4178085162845428E-4</v>
      </c>
      <c r="X201" s="3">
        <f t="shared" si="137"/>
        <v>6.4178085162845428E-4</v>
      </c>
      <c r="Y201" s="3">
        <f t="shared" si="137"/>
        <v>6.4178085162845417E-4</v>
      </c>
      <c r="Z201" s="3">
        <f t="shared" si="137"/>
        <v>6.4178085162845276E-4</v>
      </c>
      <c r="AA201" s="3">
        <f t="shared" si="137"/>
        <v>6.4178085162843964E-4</v>
      </c>
      <c r="AB201" s="3">
        <f t="shared" si="137"/>
        <v>6.4178085162830791E-4</v>
      </c>
      <c r="AC201" s="3">
        <f t="shared" si="137"/>
        <v>6.4178085162699093E-4</v>
      </c>
      <c r="AD201" s="3">
        <f t="shared" si="137"/>
        <v>6.4178085161382058E-4</v>
      </c>
      <c r="AE201" s="3">
        <f t="shared" si="137"/>
        <v>6.4178085148211756E-4</v>
      </c>
      <c r="AF201" s="3">
        <f t="shared" si="137"/>
        <v>6.417808501650872E-4</v>
      </c>
      <c r="AG201" s="3"/>
      <c r="AH201" s="3"/>
    </row>
    <row r="202" spans="1:34" x14ac:dyDescent="0.25">
      <c r="A202" s="79">
        <f>AVERAGE(B202:AF202)</f>
        <v>1.8474987132027585E-2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1.9011263345746068E-2</v>
      </c>
      <c r="M202" s="80">
        <f t="shared" si="138"/>
        <v>1.9244668138367109E-2</v>
      </c>
      <c r="N202" s="80">
        <f t="shared" si="138"/>
        <v>2.129060396486113E-2</v>
      </c>
      <c r="O202" s="80">
        <f t="shared" si="138"/>
        <v>3.0954810832603364E-2</v>
      </c>
      <c r="P202" s="80">
        <f t="shared" si="138"/>
        <v>5.1695213518679228E-2</v>
      </c>
      <c r="Q202" s="80">
        <f t="shared" si="138"/>
        <v>6.8811222101692091E-2</v>
      </c>
      <c r="R202" s="80">
        <f t="shared" si="138"/>
        <v>7.8640064609749372E-2</v>
      </c>
      <c r="S202" s="80">
        <f t="shared" si="138"/>
        <v>8.924322762010807E-2</v>
      </c>
      <c r="T202" s="80">
        <f t="shared" si="138"/>
        <v>8.7477984809156403E-2</v>
      </c>
      <c r="U202" s="80">
        <f t="shared" si="138"/>
        <v>5.5233674001695925E-2</v>
      </c>
      <c r="V202" s="80">
        <f t="shared" si="138"/>
        <v>5.1121868150196495E-2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19590.792745410581</v>
      </c>
      <c r="C203" s="21">
        <f t="shared" ref="C203:AF203" si="139">(C170-C169)^2</f>
        <v>19611.776203307472</v>
      </c>
      <c r="D203" s="21">
        <f t="shared" si="139"/>
        <v>19600.743645685961</v>
      </c>
      <c r="E203" s="21">
        <f t="shared" si="139"/>
        <v>19597.890327255107</v>
      </c>
      <c r="F203" s="21">
        <f t="shared" si="139"/>
        <v>19597.072695302209</v>
      </c>
      <c r="G203" s="21">
        <f t="shared" si="139"/>
        <v>19596.812227157887</v>
      </c>
      <c r="H203" s="21">
        <f t="shared" si="139"/>
        <v>19596.74753997114</v>
      </c>
      <c r="I203" s="21">
        <f t="shared" si="139"/>
        <v>19596.761759498564</v>
      </c>
      <c r="J203" s="21">
        <f t="shared" si="139"/>
        <v>19597.251893677716</v>
      </c>
      <c r="K203" s="21">
        <f t="shared" si="139"/>
        <v>19602.118084358415</v>
      </c>
      <c r="L203" s="21">
        <f t="shared" si="139"/>
        <v>19651.040466187809</v>
      </c>
      <c r="M203" s="21">
        <f t="shared" si="139"/>
        <v>20136.506768757103</v>
      </c>
      <c r="N203" s="21">
        <f t="shared" si="139"/>
        <v>24645.414377897549</v>
      </c>
      <c r="O203" s="21">
        <f t="shared" si="139"/>
        <v>52093.718060441926</v>
      </c>
      <c r="P203" s="21">
        <f t="shared" si="139"/>
        <v>145184.7774658807</v>
      </c>
      <c r="Q203" s="21">
        <f t="shared" si="139"/>
        <v>255558.11979349601</v>
      </c>
      <c r="R203" s="21">
        <f t="shared" si="139"/>
        <v>322862.15595347056</v>
      </c>
      <c r="S203" s="21">
        <f t="shared" si="139"/>
        <v>398611.28134874161</v>
      </c>
      <c r="T203" s="21">
        <f t="shared" si="139"/>
        <v>357748.34723308746</v>
      </c>
      <c r="U203" s="21">
        <f t="shared" si="139"/>
        <v>120687.92986688744</v>
      </c>
      <c r="V203" s="21">
        <f t="shared" si="139"/>
        <v>76013.331855021373</v>
      </c>
      <c r="W203" s="21">
        <f t="shared" si="139"/>
        <v>672000.53388266382</v>
      </c>
      <c r="X203" s="21">
        <f t="shared" si="139"/>
        <v>1277804.908484316</v>
      </c>
      <c r="Y203" s="21">
        <f t="shared" si="139"/>
        <v>1485107.1119562469</v>
      </c>
      <c r="Z203" s="21">
        <f t="shared" si="139"/>
        <v>757533.39297248004</v>
      </c>
      <c r="AA203" s="21">
        <f t="shared" si="139"/>
        <v>55187.185745150928</v>
      </c>
      <c r="AB203" s="21">
        <f t="shared" si="139"/>
        <v>151438.68665390366</v>
      </c>
      <c r="AC203" s="21">
        <f t="shared" si="139"/>
        <v>679784.09160277247</v>
      </c>
      <c r="AD203" s="21">
        <f t="shared" si="139"/>
        <v>1020393.6260676242</v>
      </c>
      <c r="AE203" s="21">
        <f t="shared" si="139"/>
        <v>821496.11428054352</v>
      </c>
      <c r="AF203" s="21">
        <f t="shared" si="139"/>
        <v>428906.32738280226</v>
      </c>
      <c r="AG203" s="3"/>
      <c r="AH203" s="3"/>
    </row>
    <row r="204" spans="1:34" x14ac:dyDescent="0.25">
      <c r="A204" s="71">
        <f>SUM(B204:AF204)</f>
        <v>1793192.6231898696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19651.040466187809</v>
      </c>
      <c r="M204" s="60">
        <f t="shared" ref="M204" si="150">IF($A$64&lt;=M168,IF($B$64&gt;=M168,ABS(M203),0),0)</f>
        <v>20136.506768757103</v>
      </c>
      <c r="N204" s="60">
        <f t="shared" ref="N204" si="151">IF($A$64&lt;=N168,IF($B$64&gt;=N168,ABS(N203),0),0)</f>
        <v>24645.414377897549</v>
      </c>
      <c r="O204" s="60">
        <f t="shared" ref="O204" si="152">IF($A$64&lt;=O168,IF($B$64&gt;=O168,ABS(O203),0),0)</f>
        <v>52093.718060441926</v>
      </c>
      <c r="P204" s="60">
        <f t="shared" ref="P204" si="153">IF($A$64&lt;=P168,IF($B$64&gt;=P168,ABS(P203),0),0)</f>
        <v>145184.7774658807</v>
      </c>
      <c r="Q204" s="60">
        <f t="shared" ref="Q204" si="154">IF($A$64&lt;=Q168,IF($B$64&gt;=Q168,ABS(Q203),0),0)</f>
        <v>255558.11979349601</v>
      </c>
      <c r="R204" s="60">
        <f t="shared" ref="R204" si="155">IF($A$64&lt;=R168,IF($B$64&gt;=R168,ABS(R203),0),0)</f>
        <v>322862.15595347056</v>
      </c>
      <c r="S204" s="60">
        <f t="shared" ref="S204" si="156">IF($A$64&lt;=S168,IF($B$64&gt;=S168,ABS(S203),0),0)</f>
        <v>398611.28134874161</v>
      </c>
      <c r="T204" s="60">
        <f t="shared" ref="T204" si="157">IF($A$64&lt;=T168,IF($B$64&gt;=T168,ABS(T203),0),0)</f>
        <v>357748.34723308746</v>
      </c>
      <c r="U204" s="60">
        <f t="shared" ref="U204" si="158">IF($A$64&lt;=U168,IF($B$64&gt;=U168,ABS(U203),0),0)</f>
        <v>120687.92986688744</v>
      </c>
      <c r="V204" s="60">
        <f t="shared" ref="V204" si="159">IF($A$64&lt;=V168,IF($B$64&gt;=V168,ABS(V203),0),0)</f>
        <v>76013.331855021373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7233.6498091615022</v>
      </c>
      <c r="C209" s="27">
        <f t="shared" ref="C209:AF209" si="170">($C$17+SUM(C210:C240))*$B$51</f>
        <v>7233.6498091596723</v>
      </c>
      <c r="D209" s="27">
        <f t="shared" si="170"/>
        <v>7233.649809141376</v>
      </c>
      <c r="E209" s="27">
        <f t="shared" si="170"/>
        <v>7233.6498089584238</v>
      </c>
      <c r="F209" s="27">
        <f t="shared" si="170"/>
        <v>7233.6498071288861</v>
      </c>
      <c r="G209" s="27">
        <f t="shared" si="170"/>
        <v>7233.6497888335134</v>
      </c>
      <c r="H209" s="27">
        <f t="shared" si="170"/>
        <v>7233.6496058800649</v>
      </c>
      <c r="I209" s="27">
        <f t="shared" si="170"/>
        <v>7233.6477763724643</v>
      </c>
      <c r="J209" s="27">
        <f t="shared" si="170"/>
        <v>7233.6294839845104</v>
      </c>
      <c r="K209" s="27">
        <f t="shared" si="170"/>
        <v>7233.4468285259863</v>
      </c>
      <c r="L209" s="27">
        <f t="shared" si="170"/>
        <v>7231.6467366152528</v>
      </c>
      <c r="M209" s="27">
        <f t="shared" si="170"/>
        <v>7215.9515510296387</v>
      </c>
      <c r="N209" s="27">
        <f t="shared" si="170"/>
        <v>7142.7863142014821</v>
      </c>
      <c r="O209" s="27">
        <f t="shared" si="170"/>
        <v>6987.2815462728531</v>
      </c>
      <c r="P209" s="27">
        <f t="shared" si="170"/>
        <v>6838.2684558962774</v>
      </c>
      <c r="Q209" s="27">
        <f t="shared" si="170"/>
        <v>6653.7299113479103</v>
      </c>
      <c r="R209" s="27">
        <f t="shared" si="170"/>
        <v>6439.6122183665211</v>
      </c>
      <c r="S209" s="27">
        <f t="shared" si="170"/>
        <v>6234.7509218038776</v>
      </c>
      <c r="T209" s="27">
        <f t="shared" si="170"/>
        <v>5936.6340039010765</v>
      </c>
      <c r="U209" s="27">
        <f t="shared" si="170"/>
        <v>5663.3527324945799</v>
      </c>
      <c r="V209" s="27">
        <f t="shared" si="170"/>
        <v>5372.3038377911926</v>
      </c>
      <c r="W209" s="27">
        <f t="shared" si="170"/>
        <v>5050.9658284865345</v>
      </c>
      <c r="X209" s="27">
        <f t="shared" si="170"/>
        <v>4679.9172288264463</v>
      </c>
      <c r="Y209" s="27">
        <f t="shared" si="170"/>
        <v>3971.2076015344815</v>
      </c>
      <c r="Z209" s="27">
        <f t="shared" si="170"/>
        <v>3033.0979716660322</v>
      </c>
      <c r="AA209" s="27">
        <f t="shared" si="170"/>
        <v>2118.0275338721663</v>
      </c>
      <c r="AB209" s="27">
        <f t="shared" si="170"/>
        <v>1343.2994609510517</v>
      </c>
      <c r="AC209" s="27">
        <f t="shared" si="170"/>
        <v>766.05618266252884</v>
      </c>
      <c r="AD209" s="27">
        <f t="shared" si="170"/>
        <v>426.77420909203272</v>
      </c>
      <c r="AE209" s="27">
        <f t="shared" si="170"/>
        <v>207.0944318501061</v>
      </c>
      <c r="AF209" s="27">
        <f t="shared" si="170"/>
        <v>126.69847771939435</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3.9092004224037776E-3</v>
      </c>
      <c r="C214" s="3">
        <f t="shared" si="175"/>
        <v>3.909200422246132E-3</v>
      </c>
      <c r="D214" s="3">
        <f t="shared" si="175"/>
        <v>3.9092004206696717E-3</v>
      </c>
      <c r="E214" s="3">
        <f t="shared" si="175"/>
        <v>3.9092004049050676E-3</v>
      </c>
      <c r="F214" s="3">
        <f t="shared" si="175"/>
        <v>3.9092002472590343E-3</v>
      </c>
      <c r="G214" s="3">
        <f t="shared" si="175"/>
        <v>3.9091986707990517E-3</v>
      </c>
      <c r="H214" s="3">
        <f t="shared" si="175"/>
        <v>3.9091829062341925E-3</v>
      </c>
      <c r="I214" s="3">
        <f t="shared" si="175"/>
        <v>3.9090252640820965E-3</v>
      </c>
      <c r="J214" s="3">
        <f t="shared" si="175"/>
        <v>3.907449192159085E-3</v>
      </c>
      <c r="K214" s="3">
        <f t="shared" si="175"/>
        <v>3.8917233806161837E-3</v>
      </c>
      <c r="L214" s="3">
        <f t="shared" si="175"/>
        <v>3.737904505346161E-3</v>
      </c>
      <c r="M214" s="3">
        <f t="shared" si="175"/>
        <v>2.4974142566745851E-3</v>
      </c>
      <c r="N214" s="3">
        <f t="shared" si="175"/>
        <v>4.4270500575452693E-5</v>
      </c>
      <c r="O214" s="3">
        <f t="shared" si="175"/>
        <v>1.3562910420785603E-22</v>
      </c>
      <c r="P214" s="3">
        <f t="shared" si="175"/>
        <v>9.8795576648658266E-198</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2.3295496720467181E-2</v>
      </c>
      <c r="C215" s="3">
        <f t="shared" si="176"/>
        <v>2.3295496720382437E-2</v>
      </c>
      <c r="D215" s="3">
        <f t="shared" si="176"/>
        <v>2.3295496719534989E-2</v>
      </c>
      <c r="E215" s="3">
        <f t="shared" si="176"/>
        <v>2.3295496711060494E-2</v>
      </c>
      <c r="F215" s="3">
        <f t="shared" si="176"/>
        <v>2.3295496626315571E-2</v>
      </c>
      <c r="G215" s="3">
        <f t="shared" si="176"/>
        <v>2.3295495778866367E-2</v>
      </c>
      <c r="H215" s="3">
        <f t="shared" si="176"/>
        <v>2.3295487304375997E-2</v>
      </c>
      <c r="I215" s="3">
        <f t="shared" si="176"/>
        <v>2.3295402559641864E-2</v>
      </c>
      <c r="J215" s="3">
        <f t="shared" si="176"/>
        <v>2.3294555129256062E-2</v>
      </c>
      <c r="K215" s="3">
        <f t="shared" si="176"/>
        <v>2.3286082520723742E-2</v>
      </c>
      <c r="L215" s="3">
        <f t="shared" si="176"/>
        <v>2.3201525739999878E-2</v>
      </c>
      <c r="M215" s="3">
        <f t="shared" si="176"/>
        <v>2.2372662710017022E-2</v>
      </c>
      <c r="N215" s="3">
        <f t="shared" si="176"/>
        <v>1.5549949255962451E-2</v>
      </c>
      <c r="O215" s="3">
        <f t="shared" si="176"/>
        <v>4.0911178003685226E-4</v>
      </c>
      <c r="P215" s="3">
        <f t="shared" si="176"/>
        <v>6.5008788373581616E-20</v>
      </c>
      <c r="Q215" s="3">
        <f t="shared" si="176"/>
        <v>6.6722596938112963E-178</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1.9365606168398591E-2</v>
      </c>
      <c r="C216" s="3">
        <f t="shared" si="177"/>
        <v>1.9365606168392235E-2</v>
      </c>
      <c r="D216" s="3">
        <f t="shared" si="177"/>
        <v>1.9365606168328685E-2</v>
      </c>
      <c r="E216" s="3">
        <f t="shared" si="177"/>
        <v>1.9365606167693176E-2</v>
      </c>
      <c r="F216" s="3">
        <f t="shared" si="177"/>
        <v>1.936560616133812E-2</v>
      </c>
      <c r="G216" s="3">
        <f t="shared" si="177"/>
        <v>1.936560609778756E-2</v>
      </c>
      <c r="H216" s="3">
        <f t="shared" si="177"/>
        <v>1.936560546228195E-2</v>
      </c>
      <c r="I216" s="3">
        <f t="shared" si="177"/>
        <v>1.9365599107226981E-2</v>
      </c>
      <c r="J216" s="3">
        <f t="shared" si="177"/>
        <v>1.9365535556792022E-2</v>
      </c>
      <c r="K216" s="3">
        <f t="shared" si="177"/>
        <v>1.936490006391247E-2</v>
      </c>
      <c r="L216" s="3">
        <f t="shared" si="177"/>
        <v>1.9358546281980627E-2</v>
      </c>
      <c r="M216" s="3">
        <f t="shared" si="177"/>
        <v>1.929512300990064E-2</v>
      </c>
      <c r="N216" s="3">
        <f t="shared" si="177"/>
        <v>1.8672207142166171E-2</v>
      </c>
      <c r="O216" s="3">
        <f t="shared" si="177"/>
        <v>1.3448588542379446E-2</v>
      </c>
      <c r="P216" s="3">
        <f t="shared" si="177"/>
        <v>5.0522776168119763E-4</v>
      </c>
      <c r="Q216" s="3">
        <f t="shared" si="177"/>
        <v>2.8287346193516624E-18</v>
      </c>
      <c r="R216" s="3">
        <f t="shared" si="177"/>
        <v>8.5633204516603483E-161</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2.4448597422102161E-2</v>
      </c>
      <c r="C217" s="3">
        <f t="shared" si="178"/>
        <v>2.4448597422101436E-2</v>
      </c>
      <c r="D217" s="3">
        <f t="shared" si="178"/>
        <v>2.4448597422094199E-2</v>
      </c>
      <c r="E217" s="3">
        <f t="shared" si="178"/>
        <v>2.4448597422021823E-2</v>
      </c>
      <c r="F217" s="3">
        <f t="shared" si="178"/>
        <v>2.4448597421298075E-2</v>
      </c>
      <c r="G217" s="3">
        <f t="shared" si="178"/>
        <v>2.444859741406057E-2</v>
      </c>
      <c r="H217" s="3">
        <f t="shared" si="178"/>
        <v>2.4448597341685526E-2</v>
      </c>
      <c r="I217" s="3">
        <f t="shared" si="178"/>
        <v>2.4448596617935095E-2</v>
      </c>
      <c r="J217" s="3">
        <f t="shared" si="178"/>
        <v>2.4448589380431963E-2</v>
      </c>
      <c r="K217" s="3">
        <f t="shared" si="178"/>
        <v>2.4448517005518509E-2</v>
      </c>
      <c r="L217" s="3">
        <f t="shared" si="178"/>
        <v>2.4447793268167636E-2</v>
      </c>
      <c r="M217" s="3">
        <f t="shared" si="178"/>
        <v>2.4440557072898401E-2</v>
      </c>
      <c r="N217" s="3">
        <f t="shared" si="178"/>
        <v>2.4368312815203238E-2</v>
      </c>
      <c r="O217" s="3">
        <f t="shared" si="178"/>
        <v>2.3657511840004686E-2</v>
      </c>
      <c r="P217" s="3">
        <f t="shared" si="178"/>
        <v>1.7595641980221899E-2</v>
      </c>
      <c r="Q217" s="3">
        <f t="shared" si="178"/>
        <v>9.1151878525251356E-4</v>
      </c>
      <c r="R217" s="3">
        <f t="shared" si="178"/>
        <v>1.2687343232383775E-16</v>
      </c>
      <c r="S217" s="3">
        <f t="shared" si="178"/>
        <v>3.4627516598792849E-145</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3.2100597383085391E-2</v>
      </c>
      <c r="C218" s="3">
        <f t="shared" si="179"/>
        <v>3.2100597383085308E-2</v>
      </c>
      <c r="D218" s="3">
        <f t="shared" si="179"/>
        <v>3.2100597383084455E-2</v>
      </c>
      <c r="E218" s="3">
        <f t="shared" si="179"/>
        <v>3.2100597383075878E-2</v>
      </c>
      <c r="F218" s="3">
        <f t="shared" si="179"/>
        <v>3.2100597382990155E-2</v>
      </c>
      <c r="G218" s="3">
        <f t="shared" si="179"/>
        <v>3.2100597382132931E-2</v>
      </c>
      <c r="H218" s="3">
        <f t="shared" si="179"/>
        <v>3.2100597373560691E-2</v>
      </c>
      <c r="I218" s="3">
        <f t="shared" si="179"/>
        <v>3.2100597287838234E-2</v>
      </c>
      <c r="J218" s="3">
        <f t="shared" si="179"/>
        <v>3.21005964306137E-2</v>
      </c>
      <c r="K218" s="3">
        <f t="shared" si="179"/>
        <v>3.2100587858369618E-2</v>
      </c>
      <c r="L218" s="3">
        <f t="shared" si="179"/>
        <v>3.2100502136054726E-2</v>
      </c>
      <c r="M218" s="3">
        <f t="shared" si="179"/>
        <v>3.2099644925495996E-2</v>
      </c>
      <c r="N218" s="3">
        <f t="shared" si="179"/>
        <v>3.2091074078808332E-2</v>
      </c>
      <c r="O218" s="3">
        <f t="shared" si="179"/>
        <v>3.2005491377593676E-2</v>
      </c>
      <c r="P218" s="3">
        <f t="shared" si="179"/>
        <v>3.1162117550288006E-2</v>
      </c>
      <c r="Q218" s="3">
        <f t="shared" si="179"/>
        <v>2.3858964099524337E-2</v>
      </c>
      <c r="R218" s="3">
        <f t="shared" si="179"/>
        <v>1.6515731191203058E-3</v>
      </c>
      <c r="S218" s="3">
        <f t="shared" si="179"/>
        <v>4.172151074675788E-15</v>
      </c>
      <c r="T218" s="3">
        <f t="shared" si="179"/>
        <v>4.4155237833533902E-131</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2.4137735607646905E-2</v>
      </c>
      <c r="C219" s="3">
        <f t="shared" si="180"/>
        <v>2.4137735607646899E-2</v>
      </c>
      <c r="D219" s="3">
        <f t="shared" si="180"/>
        <v>2.413773560764684E-2</v>
      </c>
      <c r="E219" s="3">
        <f t="shared" si="180"/>
        <v>2.413773560764626E-2</v>
      </c>
      <c r="F219" s="3">
        <f t="shared" si="180"/>
        <v>2.4137735607640445E-2</v>
      </c>
      <c r="G219" s="3">
        <f t="shared" si="180"/>
        <v>2.4137735607582297E-2</v>
      </c>
      <c r="H219" s="3">
        <f t="shared" si="180"/>
        <v>2.4137735607000832E-2</v>
      </c>
      <c r="I219" s="3">
        <f t="shared" si="180"/>
        <v>2.4137735601186167E-2</v>
      </c>
      <c r="J219" s="3">
        <f t="shared" si="180"/>
        <v>2.413773554303953E-2</v>
      </c>
      <c r="K219" s="3">
        <f t="shared" si="180"/>
        <v>2.4137734961573169E-2</v>
      </c>
      <c r="L219" s="3">
        <f t="shared" si="180"/>
        <v>2.4137729146910328E-2</v>
      </c>
      <c r="M219" s="3">
        <f t="shared" si="180"/>
        <v>2.4137671000358955E-2</v>
      </c>
      <c r="N219" s="3">
        <f t="shared" si="180"/>
        <v>2.4137089542549121E-2</v>
      </c>
      <c r="O219" s="3">
        <f t="shared" si="180"/>
        <v>2.4131275734772899E-2</v>
      </c>
      <c r="P219" s="3">
        <f t="shared" si="180"/>
        <v>2.4073214620605046E-2</v>
      </c>
      <c r="Q219" s="3">
        <f t="shared" si="180"/>
        <v>2.350023167956428E-2</v>
      </c>
      <c r="R219" s="3">
        <f t="shared" si="180"/>
        <v>1.8469396501259564E-2</v>
      </c>
      <c r="S219" s="3">
        <f t="shared" si="180"/>
        <v>1.6605743100673147E-3</v>
      </c>
      <c r="T219" s="3">
        <f t="shared" si="180"/>
        <v>5.7321086716686553E-14</v>
      </c>
      <c r="U219" s="3">
        <f t="shared" si="180"/>
        <v>1.3768144643095182E-118</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4.5517611487633891E-2</v>
      </c>
      <c r="C220" s="3">
        <f t="shared" si="181"/>
        <v>4.5517611487633891E-2</v>
      </c>
      <c r="D220" s="3">
        <f t="shared" si="181"/>
        <v>4.5517611487633884E-2</v>
      </c>
      <c r="E220" s="3">
        <f t="shared" si="181"/>
        <v>4.551761148763378E-2</v>
      </c>
      <c r="F220" s="3">
        <f t="shared" si="181"/>
        <v>4.5517611487632795E-2</v>
      </c>
      <c r="G220" s="3">
        <f t="shared" si="181"/>
        <v>4.55176114876229E-2</v>
      </c>
      <c r="H220" s="3">
        <f t="shared" si="181"/>
        <v>4.5517611487523986E-2</v>
      </c>
      <c r="I220" s="3">
        <f t="shared" si="181"/>
        <v>4.551761148653486E-2</v>
      </c>
      <c r="J220" s="3">
        <f t="shared" si="181"/>
        <v>4.5517611476643537E-2</v>
      </c>
      <c r="K220" s="3">
        <f t="shared" si="181"/>
        <v>4.5517611377730367E-2</v>
      </c>
      <c r="L220" s="3">
        <f t="shared" si="181"/>
        <v>4.5517610388598653E-2</v>
      </c>
      <c r="M220" s="3">
        <f t="shared" si="181"/>
        <v>4.5517600497282727E-2</v>
      </c>
      <c r="N220" s="3">
        <f t="shared" si="181"/>
        <v>4.5517501584241664E-2</v>
      </c>
      <c r="O220" s="3">
        <f t="shared" si="181"/>
        <v>4.5516512465652949E-2</v>
      </c>
      <c r="P220" s="3">
        <f t="shared" si="181"/>
        <v>4.550662246186165E-2</v>
      </c>
      <c r="Q220" s="3">
        <f t="shared" si="181"/>
        <v>4.5407840538542923E-2</v>
      </c>
      <c r="R220" s="3">
        <f t="shared" si="181"/>
        <v>4.4431738345697386E-2</v>
      </c>
      <c r="S220" s="3">
        <f t="shared" si="181"/>
        <v>3.5753442785897267E-2</v>
      </c>
      <c r="T220" s="3">
        <f t="shared" si="181"/>
        <v>4.0697102753778844E-3</v>
      </c>
      <c r="U220" s="3">
        <f t="shared" si="181"/>
        <v>1.4860032026188835E-12</v>
      </c>
      <c r="V220" s="3">
        <f t="shared" si="181"/>
        <v>6.2601144408806132E-107</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3.7438549850033177E-2</v>
      </c>
      <c r="C221" s="3">
        <f t="shared" si="182"/>
        <v>3.7438549850033177E-2</v>
      </c>
      <c r="D221" s="3">
        <f t="shared" si="182"/>
        <v>3.7438549850033177E-2</v>
      </c>
      <c r="E221" s="3">
        <f t="shared" si="182"/>
        <v>3.743854985003317E-2</v>
      </c>
      <c r="F221" s="3">
        <f t="shared" si="182"/>
        <v>3.7438549850033094E-2</v>
      </c>
      <c r="G221" s="3">
        <f t="shared" si="182"/>
        <v>3.7438549850032365E-2</v>
      </c>
      <c r="H221" s="3">
        <f t="shared" si="182"/>
        <v>3.7438549850025024E-2</v>
      </c>
      <c r="I221" s="3">
        <f t="shared" si="182"/>
        <v>3.7438549849951631E-2</v>
      </c>
      <c r="J221" s="3">
        <f t="shared" si="182"/>
        <v>3.7438549849217725E-2</v>
      </c>
      <c r="K221" s="3">
        <f t="shared" si="182"/>
        <v>3.7438549841878672E-2</v>
      </c>
      <c r="L221" s="3">
        <f t="shared" si="182"/>
        <v>3.7438549768488094E-2</v>
      </c>
      <c r="M221" s="3">
        <f t="shared" si="182"/>
        <v>3.743854903458238E-2</v>
      </c>
      <c r="N221" s="3">
        <f t="shared" si="182"/>
        <v>3.7438541695526004E-2</v>
      </c>
      <c r="O221" s="3">
        <f t="shared" si="182"/>
        <v>3.7438468305041377E-2</v>
      </c>
      <c r="P221" s="3">
        <f t="shared" si="182"/>
        <v>3.7437734408107749E-2</v>
      </c>
      <c r="Q221" s="3">
        <f t="shared" si="182"/>
        <v>3.7430396229976806E-2</v>
      </c>
      <c r="R221" s="3">
        <f t="shared" si="182"/>
        <v>3.7357093511847149E-2</v>
      </c>
      <c r="S221" s="3">
        <f t="shared" si="182"/>
        <v>3.6631915602753522E-2</v>
      </c>
      <c r="T221" s="3">
        <f t="shared" si="182"/>
        <v>3.0110996893053757E-2</v>
      </c>
      <c r="U221" s="3">
        <f t="shared" si="182"/>
        <v>4.2401397948140249E-3</v>
      </c>
      <c r="V221" s="3">
        <f t="shared" si="182"/>
        <v>1.299961789982793E-11</v>
      </c>
      <c r="W221" s="3">
        <f t="shared" si="182"/>
        <v>9.5375034188196436E-97</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4.1083418704934697E-2</v>
      </c>
      <c r="C222" s="3">
        <f t="shared" si="183"/>
        <v>4.1083418704934697E-2</v>
      </c>
      <c r="D222" s="3">
        <f t="shared" si="183"/>
        <v>4.1083418704934697E-2</v>
      </c>
      <c r="E222" s="3">
        <f t="shared" si="183"/>
        <v>4.1083418704934697E-2</v>
      </c>
      <c r="F222" s="3">
        <f t="shared" si="183"/>
        <v>4.1083418704934691E-2</v>
      </c>
      <c r="G222" s="3">
        <f t="shared" si="183"/>
        <v>4.1083418704934614E-2</v>
      </c>
      <c r="H222" s="3">
        <f t="shared" si="183"/>
        <v>4.1083418704933893E-2</v>
      </c>
      <c r="I222" s="3">
        <f t="shared" si="183"/>
        <v>4.1083418704926628E-2</v>
      </c>
      <c r="J222" s="3">
        <f t="shared" si="183"/>
        <v>4.108341870485397E-2</v>
      </c>
      <c r="K222" s="3">
        <f t="shared" si="183"/>
        <v>4.1083418704127482E-2</v>
      </c>
      <c r="L222" s="3">
        <f t="shared" si="183"/>
        <v>4.1083418696862495E-2</v>
      </c>
      <c r="M222" s="3">
        <f t="shared" si="183"/>
        <v>4.1083418624212699E-2</v>
      </c>
      <c r="N222" s="3">
        <f t="shared" si="183"/>
        <v>4.1083417897714705E-2</v>
      </c>
      <c r="O222" s="3">
        <f t="shared" si="183"/>
        <v>4.1083410632735469E-2</v>
      </c>
      <c r="P222" s="3">
        <f t="shared" si="183"/>
        <v>4.1083337983013814E-2</v>
      </c>
      <c r="Q222" s="3">
        <f t="shared" si="183"/>
        <v>4.1082611492863054E-2</v>
      </c>
      <c r="R222" s="3">
        <f t="shared" si="183"/>
        <v>4.1075347297889975E-2</v>
      </c>
      <c r="S222" s="3">
        <f t="shared" si="183"/>
        <v>4.1002775955405954E-2</v>
      </c>
      <c r="T222" s="3">
        <f t="shared" si="183"/>
        <v>4.0284077275408128E-2</v>
      </c>
      <c r="U222" s="3">
        <f t="shared" si="183"/>
        <v>3.3754759855427377E-2</v>
      </c>
      <c r="V222" s="3">
        <f t="shared" si="183"/>
        <v>5.7590525936456471E-3</v>
      </c>
      <c r="W222" s="3">
        <f t="shared" si="183"/>
        <v>1.2036806125004024E-10</v>
      </c>
      <c r="X222" s="3">
        <f t="shared" si="183"/>
        <v>1.9147561513406512E-87</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4.6249511553516282E-2</v>
      </c>
      <c r="C223" s="3">
        <f t="shared" si="184"/>
        <v>4.6249511553516282E-2</v>
      </c>
      <c r="D223" s="3">
        <f t="shared" si="184"/>
        <v>4.6249511553516282E-2</v>
      </c>
      <c r="E223" s="3">
        <f t="shared" si="184"/>
        <v>4.6249511553516282E-2</v>
      </c>
      <c r="F223" s="3">
        <f t="shared" si="184"/>
        <v>4.6249511553516282E-2</v>
      </c>
      <c r="G223" s="3">
        <f t="shared" si="184"/>
        <v>4.6249511553516275E-2</v>
      </c>
      <c r="H223" s="3">
        <f t="shared" si="184"/>
        <v>4.6249511553516198E-2</v>
      </c>
      <c r="I223" s="3">
        <f t="shared" si="184"/>
        <v>4.6249511553515463E-2</v>
      </c>
      <c r="J223" s="3">
        <f t="shared" si="184"/>
        <v>4.6249511553508087E-2</v>
      </c>
      <c r="K223" s="3">
        <f t="shared" si="184"/>
        <v>4.6249511553434305E-2</v>
      </c>
      <c r="L223" s="3">
        <f t="shared" si="184"/>
        <v>4.6249511552696534E-2</v>
      </c>
      <c r="M223" s="3">
        <f t="shared" si="184"/>
        <v>4.6249511545318825E-2</v>
      </c>
      <c r="N223" s="3">
        <f t="shared" si="184"/>
        <v>4.6249511471541729E-2</v>
      </c>
      <c r="O223" s="3">
        <f t="shared" si="184"/>
        <v>4.6249510733770718E-2</v>
      </c>
      <c r="P223" s="3">
        <f t="shared" si="184"/>
        <v>4.6249503356061268E-2</v>
      </c>
      <c r="Q223" s="3">
        <f t="shared" si="184"/>
        <v>4.624942957903156E-2</v>
      </c>
      <c r="R223" s="3">
        <f t="shared" si="184"/>
        <v>4.6248691815207348E-2</v>
      </c>
      <c r="S223" s="3">
        <f t="shared" si="184"/>
        <v>4.6241314824212454E-2</v>
      </c>
      <c r="T223" s="3">
        <f t="shared" si="184"/>
        <v>4.6167609600806341E-2</v>
      </c>
      <c r="U223" s="3">
        <f t="shared" si="184"/>
        <v>4.5436988003902529E-2</v>
      </c>
      <c r="V223" s="3">
        <f t="shared" si="184"/>
        <v>3.8737446608650736E-2</v>
      </c>
      <c r="W223" s="3">
        <f t="shared" si="184"/>
        <v>7.8586066693122573E-3</v>
      </c>
      <c r="X223" s="3">
        <f t="shared" si="184"/>
        <v>9.2787862553829014E-10</v>
      </c>
      <c r="Y223" s="3">
        <f t="shared" si="184"/>
        <v>4.8859312399707E-79</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4.2148935673183355E-2</v>
      </c>
      <c r="C224" s="3">
        <f t="shared" si="185"/>
        <v>4.2148935673183355E-2</v>
      </c>
      <c r="D224" s="3">
        <f t="shared" si="185"/>
        <v>4.2148935673183355E-2</v>
      </c>
      <c r="E224" s="3">
        <f t="shared" si="185"/>
        <v>4.2148935673183355E-2</v>
      </c>
      <c r="F224" s="3">
        <f t="shared" si="185"/>
        <v>4.2148935673183355E-2</v>
      </c>
      <c r="G224" s="3">
        <f t="shared" si="185"/>
        <v>4.2148935673183355E-2</v>
      </c>
      <c r="H224" s="3">
        <f t="shared" si="185"/>
        <v>4.2148935673183348E-2</v>
      </c>
      <c r="I224" s="3">
        <f t="shared" si="185"/>
        <v>4.2148935673183292E-2</v>
      </c>
      <c r="J224" s="3">
        <f t="shared" si="185"/>
        <v>4.2148935673182682E-2</v>
      </c>
      <c r="K224" s="3">
        <f t="shared" si="185"/>
        <v>4.2148935673176617E-2</v>
      </c>
      <c r="L224" s="3">
        <f t="shared" si="185"/>
        <v>4.2148935673115964E-2</v>
      </c>
      <c r="M224" s="3">
        <f t="shared" si="185"/>
        <v>4.2148935672509442E-2</v>
      </c>
      <c r="N224" s="3">
        <f t="shared" si="185"/>
        <v>4.2148935666444204E-2</v>
      </c>
      <c r="O224" s="3">
        <f t="shared" si="185"/>
        <v>4.2148935605791853E-2</v>
      </c>
      <c r="P224" s="3">
        <f t="shared" si="185"/>
        <v>4.2148934999268348E-2</v>
      </c>
      <c r="Q224" s="3">
        <f t="shared" si="185"/>
        <v>4.2148928934033734E-2</v>
      </c>
      <c r="R224" s="3">
        <f t="shared" si="185"/>
        <v>4.2148868281735641E-2</v>
      </c>
      <c r="S224" s="3">
        <f t="shared" si="185"/>
        <v>4.214826176355501E-2</v>
      </c>
      <c r="T224" s="3">
        <f t="shared" si="185"/>
        <v>4.2142197061753622E-2</v>
      </c>
      <c r="U224" s="3">
        <f t="shared" si="185"/>
        <v>4.2081598018682567E-2</v>
      </c>
      <c r="V224" s="3">
        <f t="shared" si="185"/>
        <v>4.1480379636968941E-2</v>
      </c>
      <c r="W224" s="3">
        <f t="shared" si="185"/>
        <v>3.5920941615237678E-2</v>
      </c>
      <c r="X224" s="3">
        <f t="shared" si="185"/>
        <v>8.5191764422751903E-3</v>
      </c>
      <c r="Y224" s="3">
        <f t="shared" si="185"/>
        <v>4.7961926432490959E-9</v>
      </c>
      <c r="Z224" s="3">
        <f t="shared" si="185"/>
        <v>1.5342165864177477E-71</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0.11274262500279238</v>
      </c>
      <c r="C225" s="3">
        <f t="shared" si="186"/>
        <v>0.11274262500279238</v>
      </c>
      <c r="D225" s="3">
        <f t="shared" si="186"/>
        <v>0.11274262500279238</v>
      </c>
      <c r="E225" s="3">
        <f t="shared" si="186"/>
        <v>0.11274262500279238</v>
      </c>
      <c r="F225" s="3">
        <f t="shared" si="186"/>
        <v>0.11274262500279238</v>
      </c>
      <c r="G225" s="3">
        <f t="shared" si="186"/>
        <v>0.11274262500279238</v>
      </c>
      <c r="H225" s="3">
        <f t="shared" si="186"/>
        <v>0.11274262500279238</v>
      </c>
      <c r="I225" s="3">
        <f t="shared" si="186"/>
        <v>0.11274262500279236</v>
      </c>
      <c r="J225" s="3">
        <f t="shared" si="186"/>
        <v>0.11274262500279221</v>
      </c>
      <c r="K225" s="3">
        <f t="shared" si="186"/>
        <v>0.11274262500279075</v>
      </c>
      <c r="L225" s="3">
        <f t="shared" si="186"/>
        <v>0.11274262500277611</v>
      </c>
      <c r="M225" s="3">
        <f t="shared" si="186"/>
        <v>0.11274262500262977</v>
      </c>
      <c r="N225" s="3">
        <f t="shared" si="186"/>
        <v>0.11274262500116625</v>
      </c>
      <c r="O225" s="3">
        <f t="shared" si="186"/>
        <v>0.11274262498653115</v>
      </c>
      <c r="P225" s="3">
        <f t="shared" si="186"/>
        <v>0.11274262484018013</v>
      </c>
      <c r="Q225" s="3">
        <f t="shared" si="186"/>
        <v>0.1127426233766699</v>
      </c>
      <c r="R225" s="3">
        <f t="shared" si="186"/>
        <v>0.11274260874156873</v>
      </c>
      <c r="S225" s="3">
        <f t="shared" si="186"/>
        <v>0.11274246239066152</v>
      </c>
      <c r="T225" s="3">
        <f t="shared" si="186"/>
        <v>0.11274099889203799</v>
      </c>
      <c r="U225" s="3">
        <f t="shared" si="186"/>
        <v>0.1127263649506262</v>
      </c>
      <c r="V225" s="3">
        <f t="shared" si="186"/>
        <v>0.11258012996868504</v>
      </c>
      <c r="W225" s="3">
        <f t="shared" si="186"/>
        <v>0.11112817338222569</v>
      </c>
      <c r="X225" s="3">
        <f t="shared" si="186"/>
        <v>9.759969889768523E-2</v>
      </c>
      <c r="Y225" s="3">
        <f t="shared" si="186"/>
        <v>2.6649649242099723E-2</v>
      </c>
      <c r="Z225" s="3">
        <f t="shared" si="186"/>
        <v>6.1393400896778101E-8</v>
      </c>
      <c r="AA225" s="3">
        <f t="shared" si="186"/>
        <v>2.5847803145128673E-64</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0.14424606622338945</v>
      </c>
      <c r="C226" s="3">
        <f t="shared" si="187"/>
        <v>0.14424606622338945</v>
      </c>
      <c r="D226" s="3">
        <f t="shared" si="187"/>
        <v>0.14424606622338945</v>
      </c>
      <c r="E226" s="3">
        <f t="shared" si="187"/>
        <v>0.14424606622338945</v>
      </c>
      <c r="F226" s="3">
        <f t="shared" si="187"/>
        <v>0.14424606622338945</v>
      </c>
      <c r="G226" s="3">
        <f t="shared" si="187"/>
        <v>0.14424606622338945</v>
      </c>
      <c r="H226" s="3">
        <f t="shared" si="187"/>
        <v>0.14424606622338945</v>
      </c>
      <c r="I226" s="3">
        <f t="shared" si="187"/>
        <v>0.14424606622338945</v>
      </c>
      <c r="J226" s="3">
        <f t="shared" si="187"/>
        <v>0.14424606622338942</v>
      </c>
      <c r="K226" s="3">
        <f t="shared" si="187"/>
        <v>0.14424606622338926</v>
      </c>
      <c r="L226" s="3">
        <f t="shared" si="187"/>
        <v>0.14424606622338756</v>
      </c>
      <c r="M226" s="3">
        <f t="shared" si="187"/>
        <v>0.14424606622337069</v>
      </c>
      <c r="N226" s="3">
        <f t="shared" si="187"/>
        <v>0.14424606622320177</v>
      </c>
      <c r="O226" s="3">
        <f t="shared" si="187"/>
        <v>0.14424606622151265</v>
      </c>
      <c r="P226" s="3">
        <f t="shared" si="187"/>
        <v>0.14424606620462155</v>
      </c>
      <c r="Q226" s="3">
        <f t="shared" si="187"/>
        <v>0.14424606603571044</v>
      </c>
      <c r="R226" s="3">
        <f t="shared" si="187"/>
        <v>0.14424606434659945</v>
      </c>
      <c r="S226" s="3">
        <f t="shared" si="187"/>
        <v>0.14424604745549066</v>
      </c>
      <c r="T226" s="3">
        <f t="shared" si="187"/>
        <v>0.14424587854451151</v>
      </c>
      <c r="U226" s="3">
        <f t="shared" si="187"/>
        <v>0.1442441894455985</v>
      </c>
      <c r="V226" s="3">
        <f t="shared" si="187"/>
        <v>0.14422729954428118</v>
      </c>
      <c r="W226" s="3">
        <f t="shared" si="187"/>
        <v>0.14405850926527658</v>
      </c>
      <c r="X226" s="3">
        <f t="shared" si="187"/>
        <v>0.14238143292830996</v>
      </c>
      <c r="Y226" s="3">
        <f t="shared" si="187"/>
        <v>0.12664784072643653</v>
      </c>
      <c r="Z226" s="3">
        <f t="shared" si="187"/>
        <v>3.9268299364004784E-2</v>
      </c>
      <c r="AA226" s="3">
        <f t="shared" si="187"/>
        <v>3.2246688922242799E-7</v>
      </c>
      <c r="AB226" s="3">
        <f t="shared" si="187"/>
        <v>4.496923263407537E-58</v>
      </c>
      <c r="AC226" s="3">
        <f t="shared" si="187"/>
        <v>0</v>
      </c>
      <c r="AD226" s="3">
        <f t="shared" si="187"/>
        <v>0</v>
      </c>
      <c r="AE226" s="3">
        <f t="shared" si="187"/>
        <v>0</v>
      </c>
      <c r="AF226" s="3">
        <f t="shared" si="187"/>
        <v>0</v>
      </c>
      <c r="AG226" s="3"/>
      <c r="AH226" s="3"/>
    </row>
    <row r="227" spans="2:34" x14ac:dyDescent="0.25">
      <c r="B227" s="3">
        <f t="shared" ref="B227:AF227" si="188">$C35*EXP(-B$207/$A35/EXP(-$D$126))</f>
        <v>0.12974045708141974</v>
      </c>
      <c r="C227" s="3">
        <f t="shared" si="188"/>
        <v>0.12974045708141974</v>
      </c>
      <c r="D227" s="3">
        <f t="shared" si="188"/>
        <v>0.12974045708141974</v>
      </c>
      <c r="E227" s="3">
        <f t="shared" si="188"/>
        <v>0.12974045708141974</v>
      </c>
      <c r="F227" s="3">
        <f t="shared" si="188"/>
        <v>0.12974045708141974</v>
      </c>
      <c r="G227" s="3">
        <f t="shared" si="188"/>
        <v>0.12974045708141974</v>
      </c>
      <c r="H227" s="3">
        <f t="shared" si="188"/>
        <v>0.12974045708141974</v>
      </c>
      <c r="I227" s="3">
        <f t="shared" si="188"/>
        <v>0.12974045708141974</v>
      </c>
      <c r="J227" s="3">
        <f t="shared" si="188"/>
        <v>0.12974045708141974</v>
      </c>
      <c r="K227" s="3">
        <f t="shared" si="188"/>
        <v>0.12974045708141971</v>
      </c>
      <c r="L227" s="3">
        <f t="shared" si="188"/>
        <v>0.12974045708141957</v>
      </c>
      <c r="M227" s="3">
        <f t="shared" si="188"/>
        <v>0.12974045708141821</v>
      </c>
      <c r="N227" s="3">
        <f t="shared" si="188"/>
        <v>0.1297404570814045</v>
      </c>
      <c r="O227" s="3">
        <f t="shared" si="188"/>
        <v>0.12974045708126747</v>
      </c>
      <c r="P227" s="3">
        <f t="shared" si="188"/>
        <v>0.12974045707989695</v>
      </c>
      <c r="Q227" s="3">
        <f t="shared" si="188"/>
        <v>0.12974045706619206</v>
      </c>
      <c r="R227" s="3">
        <f t="shared" si="188"/>
        <v>0.12974045692914293</v>
      </c>
      <c r="S227" s="3">
        <f t="shared" si="188"/>
        <v>0.12974045555865182</v>
      </c>
      <c r="T227" s="3">
        <f t="shared" si="188"/>
        <v>0.12974044185374148</v>
      </c>
      <c r="U227" s="3">
        <f t="shared" si="188"/>
        <v>0.12974030480471774</v>
      </c>
      <c r="V227" s="3">
        <f t="shared" si="188"/>
        <v>0.12973893432244243</v>
      </c>
      <c r="W227" s="3">
        <f t="shared" si="188"/>
        <v>0.12972523029588715</v>
      </c>
      <c r="X227" s="3">
        <f t="shared" si="188"/>
        <v>0.12958826961898323</v>
      </c>
      <c r="Y227" s="3">
        <f t="shared" si="188"/>
        <v>0.12822659069586775</v>
      </c>
      <c r="Z227" s="3">
        <f t="shared" si="188"/>
        <v>0.11537245678094719</v>
      </c>
      <c r="AA227" s="3">
        <f t="shared" si="188"/>
        <v>4.0118306750997292E-2</v>
      </c>
      <c r="AB227" s="3">
        <f t="shared" si="188"/>
        <v>1.0369244968413793E-6</v>
      </c>
      <c r="AC227" s="3">
        <f t="shared" si="188"/>
        <v>1.3797249989064438E-52</v>
      </c>
      <c r="AD227" s="3">
        <f t="shared" si="188"/>
        <v>0</v>
      </c>
      <c r="AE227" s="3">
        <f t="shared" si="188"/>
        <v>0</v>
      </c>
      <c r="AF227" s="3">
        <f t="shared" si="188"/>
        <v>0</v>
      </c>
      <c r="AG227" s="3"/>
      <c r="AH227" s="3"/>
    </row>
    <row r="228" spans="2:34" x14ac:dyDescent="0.25">
      <c r="B228" s="3">
        <f t="shared" ref="B228:AF228" si="189">$C36*EXP(-B$207/$A36/EXP(-$D$126))</f>
        <v>0.10714973449748261</v>
      </c>
      <c r="C228" s="3">
        <f t="shared" si="189"/>
        <v>0.10714973449748261</v>
      </c>
      <c r="D228" s="3">
        <f t="shared" si="189"/>
        <v>0.10714973449748261</v>
      </c>
      <c r="E228" s="3">
        <f t="shared" si="189"/>
        <v>0.10714973449748261</v>
      </c>
      <c r="F228" s="3">
        <f t="shared" si="189"/>
        <v>0.10714973449748261</v>
      </c>
      <c r="G228" s="3">
        <f t="shared" si="189"/>
        <v>0.10714973449748261</v>
      </c>
      <c r="H228" s="3">
        <f t="shared" si="189"/>
        <v>0.10714973449748261</v>
      </c>
      <c r="I228" s="3">
        <f t="shared" si="189"/>
        <v>0.10714973449748261</v>
      </c>
      <c r="J228" s="3">
        <f t="shared" si="189"/>
        <v>0.10714973449748261</v>
      </c>
      <c r="K228" s="3">
        <f t="shared" si="189"/>
        <v>0.10714973449748261</v>
      </c>
      <c r="L228" s="3">
        <f t="shared" si="189"/>
        <v>0.10714973449748259</v>
      </c>
      <c r="M228" s="3">
        <f t="shared" si="189"/>
        <v>0.10714973449748248</v>
      </c>
      <c r="N228" s="3">
        <f t="shared" si="189"/>
        <v>0.10714973449748148</v>
      </c>
      <c r="O228" s="3">
        <f t="shared" si="189"/>
        <v>0.10714973449747126</v>
      </c>
      <c r="P228" s="3">
        <f t="shared" si="189"/>
        <v>0.10714973449736916</v>
      </c>
      <c r="Q228" s="3">
        <f t="shared" si="189"/>
        <v>0.10714973449634813</v>
      </c>
      <c r="R228" s="3">
        <f t="shared" si="189"/>
        <v>0.10714973448613783</v>
      </c>
      <c r="S228" s="3">
        <f t="shared" si="189"/>
        <v>0.10714973438403483</v>
      </c>
      <c r="T228" s="3">
        <f t="shared" si="189"/>
        <v>0.10714973336300486</v>
      </c>
      <c r="U228" s="3">
        <f t="shared" si="189"/>
        <v>0.10714972315270567</v>
      </c>
      <c r="V228" s="3">
        <f t="shared" si="189"/>
        <v>0.10714962104976739</v>
      </c>
      <c r="W228" s="3">
        <f t="shared" si="189"/>
        <v>0.10714860002573563</v>
      </c>
      <c r="X228" s="3">
        <f t="shared" si="189"/>
        <v>0.10713839032051392</v>
      </c>
      <c r="Y228" s="3">
        <f t="shared" si="189"/>
        <v>0.10703634675901813</v>
      </c>
      <c r="Z228" s="3">
        <f t="shared" si="189"/>
        <v>0.10602124140478583</v>
      </c>
      <c r="AA228" s="3">
        <f t="shared" si="189"/>
        <v>9.638489032394891E-2</v>
      </c>
      <c r="AB228" s="3">
        <f t="shared" si="189"/>
        <v>3.7168041887720771E-2</v>
      </c>
      <c r="AC228" s="3">
        <f t="shared" si="189"/>
        <v>2.70256983900378E-6</v>
      </c>
      <c r="AD228" s="3">
        <f t="shared" si="189"/>
        <v>1.116475927139094E-47</v>
      </c>
      <c r="AE228" s="3">
        <f t="shared" si="189"/>
        <v>0</v>
      </c>
      <c r="AF228" s="3">
        <f t="shared" si="189"/>
        <v>0</v>
      </c>
      <c r="AG228" s="3"/>
      <c r="AH228" s="3"/>
    </row>
    <row r="229" spans="2:34" x14ac:dyDescent="0.25">
      <c r="B229" s="3">
        <f t="shared" ref="B229:AF229" si="190">$C37*EXP(-B$207/$A37/EXP(-$D$126))</f>
        <v>7.4657991153057213E-2</v>
      </c>
      <c r="C229" s="3">
        <f t="shared" si="190"/>
        <v>7.4657991153057213E-2</v>
      </c>
      <c r="D229" s="3">
        <f t="shared" si="190"/>
        <v>7.4657991153057213E-2</v>
      </c>
      <c r="E229" s="3">
        <f t="shared" si="190"/>
        <v>7.4657991153057213E-2</v>
      </c>
      <c r="F229" s="3">
        <f t="shared" si="190"/>
        <v>7.4657991153057213E-2</v>
      </c>
      <c r="G229" s="3">
        <f t="shared" si="190"/>
        <v>7.4657991153057213E-2</v>
      </c>
      <c r="H229" s="3">
        <f t="shared" si="190"/>
        <v>7.4657991153057213E-2</v>
      </c>
      <c r="I229" s="3">
        <f t="shared" si="190"/>
        <v>7.4657991153057213E-2</v>
      </c>
      <c r="J229" s="3">
        <f t="shared" si="190"/>
        <v>7.4657991153057213E-2</v>
      </c>
      <c r="K229" s="3">
        <f t="shared" si="190"/>
        <v>7.4657991153057213E-2</v>
      </c>
      <c r="L229" s="3">
        <f t="shared" si="190"/>
        <v>7.4657991153057213E-2</v>
      </c>
      <c r="M229" s="3">
        <f t="shared" si="190"/>
        <v>7.4657991153057199E-2</v>
      </c>
      <c r="N229" s="3">
        <f t="shared" si="190"/>
        <v>7.4657991153057143E-2</v>
      </c>
      <c r="O229" s="3">
        <f t="shared" si="190"/>
        <v>7.4657991153056505E-2</v>
      </c>
      <c r="P229" s="3">
        <f t="shared" si="190"/>
        <v>7.4657991153050079E-2</v>
      </c>
      <c r="Q229" s="3">
        <f t="shared" si="190"/>
        <v>7.4657991152985909E-2</v>
      </c>
      <c r="R229" s="3">
        <f t="shared" si="190"/>
        <v>7.4657991152344158E-2</v>
      </c>
      <c r="S229" s="3">
        <f t="shared" si="190"/>
        <v>7.4657991145926583E-2</v>
      </c>
      <c r="T229" s="3">
        <f t="shared" si="190"/>
        <v>7.4657991081750932E-2</v>
      </c>
      <c r="U229" s="3">
        <f t="shared" si="190"/>
        <v>7.4657990439994423E-2</v>
      </c>
      <c r="V229" s="3">
        <f t="shared" si="190"/>
        <v>7.4657984022429638E-2</v>
      </c>
      <c r="W229" s="3">
        <f t="shared" si="190"/>
        <v>7.465791984681204E-2</v>
      </c>
      <c r="X229" s="3">
        <f t="shared" si="190"/>
        <v>7.4657278093670232E-2</v>
      </c>
      <c r="Y229" s="3">
        <f t="shared" si="190"/>
        <v>7.4650860865649399E-2</v>
      </c>
      <c r="Z229" s="3">
        <f t="shared" si="190"/>
        <v>7.4586718915516728E-2</v>
      </c>
      <c r="AA229" s="3">
        <f t="shared" si="190"/>
        <v>7.3948322797412563E-2</v>
      </c>
      <c r="AB229" s="3">
        <f t="shared" si="190"/>
        <v>6.7857301173210899E-2</v>
      </c>
      <c r="AC229" s="3">
        <f t="shared" si="190"/>
        <v>2.8726262724827787E-2</v>
      </c>
      <c r="AD229" s="3">
        <f t="shared" si="190"/>
        <v>5.3101230001720728E-6</v>
      </c>
      <c r="AE229" s="3">
        <f t="shared" si="190"/>
        <v>2.4737688052867628E-43</v>
      </c>
      <c r="AF229" s="3">
        <f t="shared" si="190"/>
        <v>0</v>
      </c>
      <c r="AG229" s="3"/>
      <c r="AH229" s="3"/>
    </row>
    <row r="230" spans="2:34" x14ac:dyDescent="0.25">
      <c r="B230" s="3">
        <f t="shared" ref="B230:AF230" si="191">$C38*EXP(-B$207/$A38/EXP(-$D$126))</f>
        <v>2.5780107678568913E-2</v>
      </c>
      <c r="C230" s="3">
        <f t="shared" si="191"/>
        <v>2.5780107678568913E-2</v>
      </c>
      <c r="D230" s="3">
        <f t="shared" si="191"/>
        <v>2.5780107678568913E-2</v>
      </c>
      <c r="E230" s="3">
        <f t="shared" si="191"/>
        <v>2.5780107678568913E-2</v>
      </c>
      <c r="F230" s="3">
        <f t="shared" si="191"/>
        <v>2.5780107678568913E-2</v>
      </c>
      <c r="G230" s="3">
        <f t="shared" si="191"/>
        <v>2.5780107678568913E-2</v>
      </c>
      <c r="H230" s="3">
        <f t="shared" si="191"/>
        <v>2.5780107678568913E-2</v>
      </c>
      <c r="I230" s="3">
        <f t="shared" si="191"/>
        <v>2.5780107678568913E-2</v>
      </c>
      <c r="J230" s="3">
        <f t="shared" si="191"/>
        <v>2.5780107678568913E-2</v>
      </c>
      <c r="K230" s="3">
        <f t="shared" si="191"/>
        <v>2.5780107678568913E-2</v>
      </c>
      <c r="L230" s="3">
        <f t="shared" si="191"/>
        <v>2.5780107678568913E-2</v>
      </c>
      <c r="M230" s="3">
        <f t="shared" si="191"/>
        <v>2.5780107678568913E-2</v>
      </c>
      <c r="N230" s="3">
        <f t="shared" si="191"/>
        <v>2.5780107678568909E-2</v>
      </c>
      <c r="O230" s="3">
        <f t="shared" si="191"/>
        <v>2.5780107678568889E-2</v>
      </c>
      <c r="P230" s="3">
        <f t="shared" si="191"/>
        <v>2.5780107678568691E-2</v>
      </c>
      <c r="Q230" s="3">
        <f t="shared" si="191"/>
        <v>2.5780107678566692E-2</v>
      </c>
      <c r="R230" s="3">
        <f t="shared" si="191"/>
        <v>2.5780107678546701E-2</v>
      </c>
      <c r="S230" s="3">
        <f t="shared" si="191"/>
        <v>2.5780107678346795E-2</v>
      </c>
      <c r="T230" s="3">
        <f t="shared" si="191"/>
        <v>2.5780107676347738E-2</v>
      </c>
      <c r="U230" s="3">
        <f t="shared" si="191"/>
        <v>2.578010765635716E-2</v>
      </c>
      <c r="V230" s="3">
        <f t="shared" si="191"/>
        <v>2.5780107456451404E-2</v>
      </c>
      <c r="W230" s="3">
        <f t="shared" si="191"/>
        <v>2.5780105457393922E-2</v>
      </c>
      <c r="X230" s="3">
        <f t="shared" si="191"/>
        <v>2.5780085466827633E-2</v>
      </c>
      <c r="Y230" s="3">
        <f t="shared" si="191"/>
        <v>2.5779885562017282E-2</v>
      </c>
      <c r="Z230" s="3">
        <f t="shared" si="191"/>
        <v>2.5777886599167757E-2</v>
      </c>
      <c r="AA230" s="3">
        <f t="shared" si="191"/>
        <v>2.5757905493626203E-2</v>
      </c>
      <c r="AB230" s="3">
        <f t="shared" si="191"/>
        <v>2.5558944293342351E-2</v>
      </c>
      <c r="AC230" s="3">
        <f t="shared" si="191"/>
        <v>2.3651929254090178E-2</v>
      </c>
      <c r="AD230" s="3">
        <f t="shared" si="191"/>
        <v>1.0891888080941515E-2</v>
      </c>
      <c r="AE230" s="3">
        <f t="shared" si="191"/>
        <v>4.6716377408101264E-6</v>
      </c>
      <c r="AF230" s="3">
        <f t="shared" si="191"/>
        <v>9.8430352479937612E-40</v>
      </c>
      <c r="AG230" s="3"/>
      <c r="AH230" s="3"/>
    </row>
    <row r="231" spans="2:34" x14ac:dyDescent="0.25">
      <c r="B231" s="3">
        <f t="shared" ref="B231:AF231" si="192">$C39*EXP(-B$207/$A39/EXP(-$D$126))</f>
        <v>2.4060337070104312E-2</v>
      </c>
      <c r="C231" s="3">
        <f t="shared" si="192"/>
        <v>2.4060337070104312E-2</v>
      </c>
      <c r="D231" s="3">
        <f t="shared" si="192"/>
        <v>2.4060337070104312E-2</v>
      </c>
      <c r="E231" s="3">
        <f t="shared" si="192"/>
        <v>2.4060337070104312E-2</v>
      </c>
      <c r="F231" s="3">
        <f t="shared" si="192"/>
        <v>2.4060337070104312E-2</v>
      </c>
      <c r="G231" s="3">
        <f t="shared" si="192"/>
        <v>2.4060337070104312E-2</v>
      </c>
      <c r="H231" s="3">
        <f t="shared" si="192"/>
        <v>2.4060337070104312E-2</v>
      </c>
      <c r="I231" s="3">
        <f t="shared" si="192"/>
        <v>2.4060337070104312E-2</v>
      </c>
      <c r="J231" s="3">
        <f t="shared" si="192"/>
        <v>2.4060337070104312E-2</v>
      </c>
      <c r="K231" s="3">
        <f t="shared" si="192"/>
        <v>2.4060337070104312E-2</v>
      </c>
      <c r="L231" s="3">
        <f t="shared" si="192"/>
        <v>2.4060337070104312E-2</v>
      </c>
      <c r="M231" s="3">
        <f t="shared" si="192"/>
        <v>2.4060337070104312E-2</v>
      </c>
      <c r="N231" s="3">
        <f t="shared" si="192"/>
        <v>2.4060337070104312E-2</v>
      </c>
      <c r="O231" s="3">
        <f t="shared" si="192"/>
        <v>2.4060337070104305E-2</v>
      </c>
      <c r="P231" s="3">
        <f t="shared" si="192"/>
        <v>2.4060337070104257E-2</v>
      </c>
      <c r="Q231" s="3">
        <f t="shared" si="192"/>
        <v>2.4060337070103736E-2</v>
      </c>
      <c r="R231" s="3">
        <f t="shared" si="192"/>
        <v>2.4060337070098581E-2</v>
      </c>
      <c r="S231" s="3">
        <f t="shared" si="192"/>
        <v>2.4060337070046976E-2</v>
      </c>
      <c r="T231" s="3">
        <f t="shared" si="192"/>
        <v>2.4060337069530972E-2</v>
      </c>
      <c r="U231" s="3">
        <f t="shared" si="192"/>
        <v>2.4060337064370906E-2</v>
      </c>
      <c r="V231" s="3">
        <f t="shared" si="192"/>
        <v>2.4060337012770258E-2</v>
      </c>
      <c r="W231" s="3">
        <f t="shared" si="192"/>
        <v>2.4060336496763802E-2</v>
      </c>
      <c r="X231" s="3">
        <f t="shared" si="192"/>
        <v>2.4060331336699804E-2</v>
      </c>
      <c r="Y231" s="3">
        <f t="shared" si="192"/>
        <v>2.406027973612071E-2</v>
      </c>
      <c r="Z231" s="3">
        <f t="shared" si="192"/>
        <v>2.4059763736416249E-2</v>
      </c>
      <c r="AA231" s="3">
        <f t="shared" si="192"/>
        <v>2.4054604347973109E-2</v>
      </c>
      <c r="AB231" s="3">
        <f t="shared" si="192"/>
        <v>2.4003071275420795E-2</v>
      </c>
      <c r="AC231" s="3">
        <f t="shared" si="192"/>
        <v>2.3493773758235768E-2</v>
      </c>
      <c r="AD231" s="3">
        <f t="shared" si="192"/>
        <v>1.8958870376737141E-2</v>
      </c>
      <c r="AE231" s="3">
        <f t="shared" si="192"/>
        <v>2.2202874679084087E-3</v>
      </c>
      <c r="AF231" s="3">
        <f t="shared" si="192"/>
        <v>1.0773993547148084E-12</v>
      </c>
      <c r="AG231" s="3"/>
      <c r="AH231" s="3"/>
    </row>
    <row r="232" spans="2:34" x14ac:dyDescent="0.25">
      <c r="B232" s="3">
        <f t="shared" ref="B232:AF232" si="193">$C40*EXP(-B$207/$A40/EXP(-$D$126))</f>
        <v>1.2267955807966149E-2</v>
      </c>
      <c r="C232" s="3">
        <f t="shared" si="193"/>
        <v>1.2267955807966149E-2</v>
      </c>
      <c r="D232" s="3">
        <f t="shared" si="193"/>
        <v>1.2267955807966149E-2</v>
      </c>
      <c r="E232" s="3">
        <f t="shared" si="193"/>
        <v>1.2267955807966149E-2</v>
      </c>
      <c r="F232" s="3">
        <f t="shared" si="193"/>
        <v>1.2267955807966149E-2</v>
      </c>
      <c r="G232" s="3">
        <f t="shared" si="193"/>
        <v>1.2267955807966149E-2</v>
      </c>
      <c r="H232" s="3">
        <f t="shared" si="193"/>
        <v>1.2267955807966149E-2</v>
      </c>
      <c r="I232" s="3">
        <f t="shared" si="193"/>
        <v>1.2267955807966149E-2</v>
      </c>
      <c r="J232" s="3">
        <f t="shared" si="193"/>
        <v>1.2267955807966149E-2</v>
      </c>
      <c r="K232" s="3">
        <f t="shared" si="193"/>
        <v>1.2267955807966149E-2</v>
      </c>
      <c r="L232" s="3">
        <f t="shared" si="193"/>
        <v>1.2267955807966149E-2</v>
      </c>
      <c r="M232" s="3">
        <f t="shared" si="193"/>
        <v>1.2267955807966149E-2</v>
      </c>
      <c r="N232" s="3">
        <f t="shared" si="193"/>
        <v>1.2267955807966149E-2</v>
      </c>
      <c r="O232" s="3">
        <f t="shared" si="193"/>
        <v>1.2267955807966149E-2</v>
      </c>
      <c r="P232" s="3">
        <f t="shared" si="193"/>
        <v>1.2267955807966146E-2</v>
      </c>
      <c r="Q232" s="3">
        <f t="shared" si="193"/>
        <v>1.2267955807966122E-2</v>
      </c>
      <c r="R232" s="3">
        <f t="shared" si="193"/>
        <v>1.2267955807965856E-2</v>
      </c>
      <c r="S232" s="3">
        <f t="shared" si="193"/>
        <v>1.2267955807963226E-2</v>
      </c>
      <c r="T232" s="3">
        <f t="shared" si="193"/>
        <v>1.2267955807936916E-2</v>
      </c>
      <c r="U232" s="3">
        <f t="shared" si="193"/>
        <v>1.2267955807673814E-2</v>
      </c>
      <c r="V232" s="3">
        <f t="shared" si="193"/>
        <v>1.2267955805042783E-2</v>
      </c>
      <c r="W232" s="3">
        <f t="shared" si="193"/>
        <v>1.2267955778732492E-2</v>
      </c>
      <c r="X232" s="3">
        <f t="shared" si="193"/>
        <v>1.2267955515629593E-2</v>
      </c>
      <c r="Y232" s="3">
        <f t="shared" si="193"/>
        <v>1.2267952884600907E-2</v>
      </c>
      <c r="Z232" s="3">
        <f t="shared" si="193"/>
        <v>1.2267926574345061E-2</v>
      </c>
      <c r="AA232" s="3">
        <f t="shared" si="193"/>
        <v>1.2267663474890021E-2</v>
      </c>
      <c r="AB232" s="3">
        <f t="shared" si="193"/>
        <v>1.2265032790655127E-2</v>
      </c>
      <c r="AC232" s="3">
        <f t="shared" si="193"/>
        <v>1.2238756955246901E-2</v>
      </c>
      <c r="AD232" s="3">
        <f t="shared" si="193"/>
        <v>1.1979074831271334E-2</v>
      </c>
      <c r="AE232" s="3">
        <f t="shared" si="193"/>
        <v>9.6668048861113243E-3</v>
      </c>
      <c r="AF232" s="3">
        <f t="shared" si="193"/>
        <v>1.1320867391806382E-3</v>
      </c>
      <c r="AG232" s="3"/>
      <c r="AH232" s="3"/>
    </row>
    <row r="233" spans="2:34" x14ac:dyDescent="0.25">
      <c r="B233" s="3">
        <f t="shared" ref="B233:AF233" si="194">$C41*EXP(-B$207/$A41/EXP(-$D$126))</f>
        <v>7.7350329579382458E-4</v>
      </c>
      <c r="C233" s="3">
        <f t="shared" si="194"/>
        <v>7.7350329579382458E-4</v>
      </c>
      <c r="D233" s="3">
        <f t="shared" si="194"/>
        <v>7.7350329579382458E-4</v>
      </c>
      <c r="E233" s="3">
        <f t="shared" si="194"/>
        <v>7.7350329579382458E-4</v>
      </c>
      <c r="F233" s="3">
        <f t="shared" si="194"/>
        <v>7.7350329579382458E-4</v>
      </c>
      <c r="G233" s="3">
        <f t="shared" si="194"/>
        <v>7.7350329579382458E-4</v>
      </c>
      <c r="H233" s="3">
        <f t="shared" si="194"/>
        <v>7.7350329579382458E-4</v>
      </c>
      <c r="I233" s="3">
        <f t="shared" si="194"/>
        <v>7.7350329579382458E-4</v>
      </c>
      <c r="J233" s="3">
        <f t="shared" si="194"/>
        <v>7.7350329579382458E-4</v>
      </c>
      <c r="K233" s="3">
        <f t="shared" si="194"/>
        <v>7.7350329579382458E-4</v>
      </c>
      <c r="L233" s="3">
        <f t="shared" si="194"/>
        <v>7.7350329579382458E-4</v>
      </c>
      <c r="M233" s="3">
        <f t="shared" si="194"/>
        <v>7.7350329579382458E-4</v>
      </c>
      <c r="N233" s="3">
        <f t="shared" si="194"/>
        <v>7.7350329579382458E-4</v>
      </c>
      <c r="O233" s="3">
        <f t="shared" si="194"/>
        <v>7.7350329579382458E-4</v>
      </c>
      <c r="P233" s="3">
        <f t="shared" si="194"/>
        <v>7.7350329579382458E-4</v>
      </c>
      <c r="Q233" s="3">
        <f t="shared" si="194"/>
        <v>7.7350329579382437E-4</v>
      </c>
      <c r="R233" s="3">
        <f t="shared" si="194"/>
        <v>7.7350329579382274E-4</v>
      </c>
      <c r="S233" s="3">
        <f t="shared" si="194"/>
        <v>7.7350329579380615E-4</v>
      </c>
      <c r="T233" s="3">
        <f t="shared" si="194"/>
        <v>7.7350329579364027E-4</v>
      </c>
      <c r="U233" s="3">
        <f t="shared" si="194"/>
        <v>7.7350329579198133E-4</v>
      </c>
      <c r="V233" s="3">
        <f t="shared" si="194"/>
        <v>7.7350329577539261E-4</v>
      </c>
      <c r="W233" s="3">
        <f t="shared" si="194"/>
        <v>7.7350329560950425E-4</v>
      </c>
      <c r="X233" s="3">
        <f t="shared" si="194"/>
        <v>7.7350329395062191E-4</v>
      </c>
      <c r="Y233" s="3">
        <f t="shared" si="194"/>
        <v>7.7350327736179785E-4</v>
      </c>
      <c r="Z233" s="3">
        <f t="shared" si="194"/>
        <v>7.7350311147357715E-4</v>
      </c>
      <c r="AA233" s="3">
        <f t="shared" si="194"/>
        <v>7.7350145259332621E-4</v>
      </c>
      <c r="AB233" s="3">
        <f t="shared" si="194"/>
        <v>7.7348486398648897E-4</v>
      </c>
      <c r="AC233" s="3">
        <f t="shared" si="194"/>
        <v>7.7331899748372881E-4</v>
      </c>
      <c r="AD233" s="3">
        <f t="shared" si="194"/>
        <v>7.7166228746568309E-4</v>
      </c>
      <c r="AE233" s="3">
        <f t="shared" si="194"/>
        <v>7.5528914577051894E-4</v>
      </c>
      <c r="AF233" s="3">
        <f t="shared" si="194"/>
        <v>6.0949888932169103E-4</v>
      </c>
      <c r="AG233" s="3"/>
      <c r="AH233" s="3"/>
    </row>
    <row r="234" spans="2:34" x14ac:dyDescent="0.25">
      <c r="B234" s="3">
        <f t="shared" ref="B234:AF234" si="195">$C42*EXP(-B$207/$A42/EXP(-$D$126))</f>
        <v>2.8862774017939779E-3</v>
      </c>
      <c r="C234" s="3">
        <f t="shared" si="195"/>
        <v>2.8862774017939779E-3</v>
      </c>
      <c r="D234" s="3">
        <f t="shared" si="195"/>
        <v>2.8862774017939779E-3</v>
      </c>
      <c r="E234" s="3">
        <f t="shared" si="195"/>
        <v>2.8862774017939779E-3</v>
      </c>
      <c r="F234" s="3">
        <f t="shared" si="195"/>
        <v>2.8862774017939779E-3</v>
      </c>
      <c r="G234" s="3">
        <f t="shared" si="195"/>
        <v>2.8862774017939779E-3</v>
      </c>
      <c r="H234" s="3">
        <f t="shared" si="195"/>
        <v>2.8862774017939779E-3</v>
      </c>
      <c r="I234" s="3">
        <f t="shared" si="195"/>
        <v>2.8862774017939779E-3</v>
      </c>
      <c r="J234" s="3">
        <f t="shared" si="195"/>
        <v>2.8862774017939779E-3</v>
      </c>
      <c r="K234" s="3">
        <f t="shared" si="195"/>
        <v>2.8862774017939779E-3</v>
      </c>
      <c r="L234" s="3">
        <f t="shared" si="195"/>
        <v>2.8862774017939779E-3</v>
      </c>
      <c r="M234" s="3">
        <f t="shared" si="195"/>
        <v>2.8862774017939779E-3</v>
      </c>
      <c r="N234" s="3">
        <f t="shared" si="195"/>
        <v>2.8862774017939779E-3</v>
      </c>
      <c r="O234" s="3">
        <f t="shared" si="195"/>
        <v>2.8862774017939779E-3</v>
      </c>
      <c r="P234" s="3">
        <f t="shared" si="195"/>
        <v>2.8862774017939779E-3</v>
      </c>
      <c r="Q234" s="3">
        <f t="shared" si="195"/>
        <v>2.8862774017939779E-3</v>
      </c>
      <c r="R234" s="3">
        <f t="shared" si="195"/>
        <v>2.8862774017939775E-3</v>
      </c>
      <c r="S234" s="3">
        <f t="shared" si="195"/>
        <v>2.886277401793971E-3</v>
      </c>
      <c r="T234" s="3">
        <f t="shared" si="195"/>
        <v>2.8862774017939089E-3</v>
      </c>
      <c r="U234" s="3">
        <f t="shared" si="195"/>
        <v>2.8862774017932901E-3</v>
      </c>
      <c r="V234" s="3">
        <f t="shared" si="195"/>
        <v>2.8862774017871001E-3</v>
      </c>
      <c r="W234" s="3">
        <f t="shared" si="195"/>
        <v>2.8862774017252E-3</v>
      </c>
      <c r="X234" s="3">
        <f t="shared" si="195"/>
        <v>2.8862774011061986E-3</v>
      </c>
      <c r="Y234" s="3">
        <f t="shared" si="195"/>
        <v>2.8862773949161866E-3</v>
      </c>
      <c r="Z234" s="3">
        <f t="shared" si="195"/>
        <v>2.8862773330160653E-3</v>
      </c>
      <c r="AA234" s="3">
        <f t="shared" si="195"/>
        <v>2.8862767140149241E-3</v>
      </c>
      <c r="AB234" s="3">
        <f t="shared" si="195"/>
        <v>2.8862705240108137E-3</v>
      </c>
      <c r="AC234" s="3">
        <f t="shared" si="195"/>
        <v>2.8862086246998452E-3</v>
      </c>
      <c r="AD234" s="3">
        <f t="shared" si="195"/>
        <v>2.8855897045979725E-3</v>
      </c>
      <c r="AE234" s="3">
        <f t="shared" si="195"/>
        <v>2.8794077985706636E-3</v>
      </c>
      <c r="AF234" s="3">
        <f t="shared" si="195"/>
        <v>2.8183124818110575E-3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1.5898164143456024E-4</v>
      </c>
      <c r="C236" s="3">
        <f t="shared" si="197"/>
        <v>1.5898164143456024E-4</v>
      </c>
      <c r="D236" s="3">
        <f t="shared" si="197"/>
        <v>1.5898164143456024E-4</v>
      </c>
      <c r="E236" s="3">
        <f t="shared" si="197"/>
        <v>1.5898164143456024E-4</v>
      </c>
      <c r="F236" s="3">
        <f t="shared" si="197"/>
        <v>1.5898164143456024E-4</v>
      </c>
      <c r="G236" s="3">
        <f t="shared" si="197"/>
        <v>1.5898164143456024E-4</v>
      </c>
      <c r="H236" s="3">
        <f t="shared" si="197"/>
        <v>1.5898164143456024E-4</v>
      </c>
      <c r="I236" s="3">
        <f t="shared" si="197"/>
        <v>1.5898164143456024E-4</v>
      </c>
      <c r="J236" s="3">
        <f t="shared" si="197"/>
        <v>1.5898164143456024E-4</v>
      </c>
      <c r="K236" s="3">
        <f t="shared" si="197"/>
        <v>1.5898164143456024E-4</v>
      </c>
      <c r="L236" s="3">
        <f t="shared" si="197"/>
        <v>1.5898164143456024E-4</v>
      </c>
      <c r="M236" s="3">
        <f t="shared" si="197"/>
        <v>1.5898164143456024E-4</v>
      </c>
      <c r="N236" s="3">
        <f t="shared" si="197"/>
        <v>1.5898164143456024E-4</v>
      </c>
      <c r="O236" s="3">
        <f t="shared" si="197"/>
        <v>1.5898164143456024E-4</v>
      </c>
      <c r="P236" s="3">
        <f t="shared" si="197"/>
        <v>1.5898164143456024E-4</v>
      </c>
      <c r="Q236" s="3">
        <f t="shared" si="197"/>
        <v>1.5898164143456024E-4</v>
      </c>
      <c r="R236" s="3">
        <f t="shared" si="197"/>
        <v>1.5898164143456024E-4</v>
      </c>
      <c r="S236" s="3">
        <f t="shared" si="197"/>
        <v>1.5898164143456024E-4</v>
      </c>
      <c r="T236" s="3">
        <f t="shared" si="197"/>
        <v>1.5898164143456021E-4</v>
      </c>
      <c r="U236" s="3">
        <f t="shared" si="197"/>
        <v>1.5898164143455986E-4</v>
      </c>
      <c r="V236" s="3">
        <f t="shared" si="197"/>
        <v>1.5898164143455645E-4</v>
      </c>
      <c r="W236" s="3">
        <f t="shared" si="197"/>
        <v>1.5898164143452237E-4</v>
      </c>
      <c r="X236" s="3">
        <f t="shared" si="197"/>
        <v>1.5898164143418139E-4</v>
      </c>
      <c r="Y236" s="3">
        <f t="shared" si="197"/>
        <v>1.5898164143077182E-4</v>
      </c>
      <c r="Z236" s="3">
        <f t="shared" si="197"/>
        <v>1.5898164139667605E-4</v>
      </c>
      <c r="AA236" s="3">
        <f t="shared" si="197"/>
        <v>1.5898164105571843E-4</v>
      </c>
      <c r="AB236" s="3">
        <f t="shared" si="197"/>
        <v>1.5898163764614217E-4</v>
      </c>
      <c r="AC236" s="3">
        <f t="shared" si="197"/>
        <v>1.589816035503836E-4</v>
      </c>
      <c r="AD236" s="3">
        <f t="shared" si="197"/>
        <v>1.5898126259320002E-4</v>
      </c>
      <c r="AE236" s="3">
        <f t="shared" si="197"/>
        <v>1.5897785306158142E-4</v>
      </c>
      <c r="AF236" s="3">
        <f t="shared" si="197"/>
        <v>1.5894376176680449E-4</v>
      </c>
      <c r="AG236" s="3"/>
      <c r="AH236" s="3"/>
    </row>
    <row r="237" spans="2:34" x14ac:dyDescent="0.25">
      <c r="B237" s="3">
        <f t="shared" ref="B237:AF237" si="198">$C45*EXP(-B$207/$A45/EXP(-$D$126))</f>
        <v>1.3061991748101505E-4</v>
      </c>
      <c r="C237" s="3">
        <f t="shared" si="198"/>
        <v>1.3061991748101505E-4</v>
      </c>
      <c r="D237" s="3">
        <f t="shared" si="198"/>
        <v>1.3061991748101505E-4</v>
      </c>
      <c r="E237" s="3">
        <f t="shared" si="198"/>
        <v>1.3061991748101505E-4</v>
      </c>
      <c r="F237" s="3">
        <f t="shared" si="198"/>
        <v>1.3061991748101505E-4</v>
      </c>
      <c r="G237" s="3">
        <f t="shared" si="198"/>
        <v>1.3061991748101505E-4</v>
      </c>
      <c r="H237" s="3">
        <f t="shared" si="198"/>
        <v>1.3061991748101505E-4</v>
      </c>
      <c r="I237" s="3">
        <f t="shared" si="198"/>
        <v>1.3061991748101505E-4</v>
      </c>
      <c r="J237" s="3">
        <f t="shared" si="198"/>
        <v>1.3061991748101505E-4</v>
      </c>
      <c r="K237" s="3">
        <f t="shared" si="198"/>
        <v>1.3061991748101505E-4</v>
      </c>
      <c r="L237" s="3">
        <f t="shared" si="198"/>
        <v>1.3061991748101505E-4</v>
      </c>
      <c r="M237" s="3">
        <f t="shared" si="198"/>
        <v>1.3061991748101505E-4</v>
      </c>
      <c r="N237" s="3">
        <f t="shared" si="198"/>
        <v>1.3061991748101505E-4</v>
      </c>
      <c r="O237" s="3">
        <f t="shared" si="198"/>
        <v>1.3061991748101505E-4</v>
      </c>
      <c r="P237" s="3">
        <f t="shared" si="198"/>
        <v>1.3061991748101505E-4</v>
      </c>
      <c r="Q237" s="3">
        <f t="shared" si="198"/>
        <v>1.3061991748101505E-4</v>
      </c>
      <c r="R237" s="3">
        <f t="shared" si="198"/>
        <v>1.3061991748101505E-4</v>
      </c>
      <c r="S237" s="3">
        <f t="shared" si="198"/>
        <v>1.3061991748101505E-4</v>
      </c>
      <c r="T237" s="3">
        <f t="shared" si="198"/>
        <v>1.3061991748101505E-4</v>
      </c>
      <c r="U237" s="3">
        <f t="shared" si="198"/>
        <v>1.3061991748101502E-4</v>
      </c>
      <c r="V237" s="3">
        <f t="shared" si="198"/>
        <v>1.3061991748101475E-4</v>
      </c>
      <c r="W237" s="3">
        <f t="shared" si="198"/>
        <v>1.3061991748101193E-4</v>
      </c>
      <c r="X237" s="3">
        <f t="shared" si="198"/>
        <v>1.3061991748098393E-4</v>
      </c>
      <c r="Y237" s="3">
        <f t="shared" si="198"/>
        <v>1.3061991748070377E-4</v>
      </c>
      <c r="Z237" s="3">
        <f t="shared" si="198"/>
        <v>1.3061991747790247E-4</v>
      </c>
      <c r="AA237" s="3">
        <f t="shared" si="198"/>
        <v>1.3061991744988926E-4</v>
      </c>
      <c r="AB237" s="3">
        <f t="shared" si="198"/>
        <v>1.3061991716975719E-4</v>
      </c>
      <c r="AC237" s="3">
        <f t="shared" si="198"/>
        <v>1.3061991436843644E-4</v>
      </c>
      <c r="AD237" s="3">
        <f t="shared" si="198"/>
        <v>1.3061988635523232E-4</v>
      </c>
      <c r="AE237" s="3">
        <f t="shared" si="198"/>
        <v>1.3061960622352164E-4</v>
      </c>
      <c r="AF237" s="3">
        <f t="shared" si="198"/>
        <v>1.306168049394573E-4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8.1332295555460314E-5</v>
      </c>
      <c r="C239" s="3">
        <f t="shared" si="200"/>
        <v>8.1332295555460314E-5</v>
      </c>
      <c r="D239" s="3">
        <f t="shared" si="200"/>
        <v>8.1332295555460314E-5</v>
      </c>
      <c r="E239" s="3">
        <f t="shared" si="200"/>
        <v>8.1332295555460314E-5</v>
      </c>
      <c r="F239" s="3">
        <f t="shared" si="200"/>
        <v>8.1332295555460314E-5</v>
      </c>
      <c r="G239" s="3">
        <f t="shared" si="200"/>
        <v>8.1332295555460314E-5</v>
      </c>
      <c r="H239" s="3">
        <f t="shared" si="200"/>
        <v>8.1332295555460314E-5</v>
      </c>
      <c r="I239" s="3">
        <f t="shared" si="200"/>
        <v>8.1332295555460314E-5</v>
      </c>
      <c r="J239" s="3">
        <f t="shared" si="200"/>
        <v>8.1332295555460314E-5</v>
      </c>
      <c r="K239" s="3">
        <f t="shared" si="200"/>
        <v>8.1332295555460314E-5</v>
      </c>
      <c r="L239" s="3">
        <f t="shared" si="200"/>
        <v>8.1332295555460314E-5</v>
      </c>
      <c r="M239" s="3">
        <f t="shared" si="200"/>
        <v>8.1332295555460314E-5</v>
      </c>
      <c r="N239" s="3">
        <f t="shared" si="200"/>
        <v>8.1332295555460314E-5</v>
      </c>
      <c r="O239" s="3">
        <f t="shared" si="200"/>
        <v>8.1332295555460314E-5</v>
      </c>
      <c r="P239" s="3">
        <f t="shared" si="200"/>
        <v>8.1332295555460314E-5</v>
      </c>
      <c r="Q239" s="3">
        <f t="shared" si="200"/>
        <v>8.1332295555460314E-5</v>
      </c>
      <c r="R239" s="3">
        <f t="shared" si="200"/>
        <v>8.1332295555460314E-5</v>
      </c>
      <c r="S239" s="3">
        <f t="shared" si="200"/>
        <v>8.1332295555460314E-5</v>
      </c>
      <c r="T239" s="3">
        <f t="shared" si="200"/>
        <v>8.1332295555460314E-5</v>
      </c>
      <c r="U239" s="3">
        <f t="shared" si="200"/>
        <v>8.1332295555460314E-5</v>
      </c>
      <c r="V239" s="3">
        <f t="shared" si="200"/>
        <v>8.1332295555460314E-5</v>
      </c>
      <c r="W239" s="3">
        <f t="shared" si="200"/>
        <v>8.13322955554603E-5</v>
      </c>
      <c r="X239" s="3">
        <f t="shared" si="200"/>
        <v>8.1332295555460124E-5</v>
      </c>
      <c r="Y239" s="3">
        <f t="shared" si="200"/>
        <v>8.1332295555458376E-5</v>
      </c>
      <c r="Z239" s="3">
        <f t="shared" si="200"/>
        <v>8.1332295555440934E-5</v>
      </c>
      <c r="AA239" s="3">
        <f t="shared" si="200"/>
        <v>8.1332295555266499E-5</v>
      </c>
      <c r="AB239" s="3">
        <f t="shared" si="200"/>
        <v>8.1332295553522221E-5</v>
      </c>
      <c r="AC239" s="3">
        <f t="shared" si="200"/>
        <v>8.1332295536079414E-5</v>
      </c>
      <c r="AD239" s="3">
        <f t="shared" si="200"/>
        <v>8.1332295361651302E-5</v>
      </c>
      <c r="AE239" s="3">
        <f t="shared" si="200"/>
        <v>8.1332293617370258E-5</v>
      </c>
      <c r="AF239" s="3">
        <f t="shared" si="200"/>
        <v>8.1332276174561844E-5</v>
      </c>
      <c r="AG239" s="3"/>
      <c r="AH239" s="3"/>
    </row>
    <row r="240" spans="2:34" x14ac:dyDescent="0.25">
      <c r="B240" s="3">
        <f t="shared" ref="B240:AF240" si="201">$C48*EXP(-B$207/$A48/EXP(-$D$126))</f>
        <v>6.4178085162845428E-4</v>
      </c>
      <c r="C240" s="3">
        <f t="shared" si="201"/>
        <v>6.4178085162845428E-4</v>
      </c>
      <c r="D240" s="3">
        <f t="shared" si="201"/>
        <v>6.4178085162845428E-4</v>
      </c>
      <c r="E240" s="3">
        <f t="shared" si="201"/>
        <v>6.4178085162845428E-4</v>
      </c>
      <c r="F240" s="3">
        <f t="shared" si="201"/>
        <v>6.4178085162845428E-4</v>
      </c>
      <c r="G240" s="3">
        <f t="shared" si="201"/>
        <v>6.4178085162845428E-4</v>
      </c>
      <c r="H240" s="3">
        <f t="shared" si="201"/>
        <v>6.4178085162845428E-4</v>
      </c>
      <c r="I240" s="3">
        <f t="shared" si="201"/>
        <v>6.4178085162845428E-4</v>
      </c>
      <c r="J240" s="3">
        <f t="shared" si="201"/>
        <v>6.4178085162845428E-4</v>
      </c>
      <c r="K240" s="3">
        <f t="shared" si="201"/>
        <v>6.4178085162845428E-4</v>
      </c>
      <c r="L240" s="3">
        <f t="shared" si="201"/>
        <v>6.4178085162845428E-4</v>
      </c>
      <c r="M240" s="3">
        <f t="shared" si="201"/>
        <v>6.4178085162845428E-4</v>
      </c>
      <c r="N240" s="3">
        <f t="shared" si="201"/>
        <v>6.4178085162845428E-4</v>
      </c>
      <c r="O240" s="3">
        <f t="shared" si="201"/>
        <v>6.4178085162845428E-4</v>
      </c>
      <c r="P240" s="3">
        <f t="shared" si="201"/>
        <v>6.4178085162845428E-4</v>
      </c>
      <c r="Q240" s="3">
        <f t="shared" si="201"/>
        <v>6.4178085162845428E-4</v>
      </c>
      <c r="R240" s="3">
        <f t="shared" si="201"/>
        <v>6.4178085162845428E-4</v>
      </c>
      <c r="S240" s="3">
        <f t="shared" si="201"/>
        <v>6.4178085162845428E-4</v>
      </c>
      <c r="T240" s="3">
        <f t="shared" si="201"/>
        <v>6.4178085162845428E-4</v>
      </c>
      <c r="U240" s="3">
        <f t="shared" si="201"/>
        <v>6.4178085162845428E-4</v>
      </c>
      <c r="V240" s="3">
        <f t="shared" si="201"/>
        <v>6.4178085162845428E-4</v>
      </c>
      <c r="W240" s="3">
        <f t="shared" si="201"/>
        <v>6.4178085162845428E-4</v>
      </c>
      <c r="X240" s="3">
        <f t="shared" si="201"/>
        <v>6.4178085162845417E-4</v>
      </c>
      <c r="Y240" s="3">
        <f t="shared" si="201"/>
        <v>6.4178085162845276E-4</v>
      </c>
      <c r="Z240" s="3">
        <f t="shared" si="201"/>
        <v>6.4178085162843899E-4</v>
      </c>
      <c r="AA240" s="3">
        <f t="shared" si="201"/>
        <v>6.4178085162830141E-4</v>
      </c>
      <c r="AB240" s="3">
        <f t="shared" si="201"/>
        <v>6.417808516269249E-4</v>
      </c>
      <c r="AC240" s="3">
        <f t="shared" si="201"/>
        <v>6.4178085161316106E-4</v>
      </c>
      <c r="AD240" s="3">
        <f t="shared" si="201"/>
        <v>6.4178085147552247E-4</v>
      </c>
      <c r="AE240" s="3">
        <f t="shared" si="201"/>
        <v>6.417808500991367E-4</v>
      </c>
      <c r="AF240" s="3">
        <f t="shared" si="201"/>
        <v>6.4178083633527859E-4</v>
      </c>
      <c r="AG240" s="3"/>
      <c r="AH240" s="3"/>
    </row>
    <row r="241" spans="1:34" x14ac:dyDescent="0.25">
      <c r="A241" s="79">
        <f>AVERAGE(B241:AF241)</f>
        <v>2.1206885958369077E-2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1.354749069495974E-2</v>
      </c>
      <c r="M241" s="80">
        <f t="shared" si="202"/>
        <v>1.5655547073699871E-2</v>
      </c>
      <c r="N241" s="80">
        <f t="shared" si="202"/>
        <v>2.5313085510940629E-2</v>
      </c>
      <c r="O241" s="80">
        <f t="shared" si="202"/>
        <v>4.3595954546988482E-2</v>
      </c>
      <c r="P241" s="80">
        <f t="shared" si="202"/>
        <v>4.8785142854067126E-2</v>
      </c>
      <c r="Q241" s="80">
        <f t="shared" si="202"/>
        <v>5.5582640506692142E-2</v>
      </c>
      <c r="R241" s="80">
        <f t="shared" si="202"/>
        <v>6.4176439657912865E-2</v>
      </c>
      <c r="S241" s="80">
        <f t="shared" si="202"/>
        <v>6.0079732884827146E-2</v>
      </c>
      <c r="T241" s="80">
        <f t="shared" si="202"/>
        <v>3.3443564014781636E-2</v>
      </c>
      <c r="U241" s="80">
        <f t="shared" si="202"/>
        <v>7.6015038892964987E-2</v>
      </c>
      <c r="V241" s="80">
        <f t="shared" si="202"/>
        <v>0.22121882807160678</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9471.1981502324652</v>
      </c>
      <c r="C242" s="21">
        <f t="shared" ref="C242:AF242" si="203">(C209-C208)^2</f>
        <v>9485.5376869714855</v>
      </c>
      <c r="D242" s="21">
        <f t="shared" si="203"/>
        <v>9477.9300109554461</v>
      </c>
      <c r="E242" s="21">
        <f t="shared" si="203"/>
        <v>9475.9688259894556</v>
      </c>
      <c r="F242" s="21">
        <f t="shared" si="203"/>
        <v>9475.3952057971601</v>
      </c>
      <c r="G242" s="21">
        <f t="shared" si="203"/>
        <v>9475.231361152426</v>
      </c>
      <c r="H242" s="21">
        <f t="shared" si="203"/>
        <v>9475.2071910940449</v>
      </c>
      <c r="I242" s="21">
        <f t="shared" si="203"/>
        <v>9475.5394499541871</v>
      </c>
      <c r="J242" s="21">
        <f t="shared" si="203"/>
        <v>9479.0412339694358</v>
      </c>
      <c r="K242" s="21">
        <f t="shared" si="203"/>
        <v>9514.1621129226587</v>
      </c>
      <c r="L242" s="21">
        <f t="shared" si="203"/>
        <v>9863.697951154365</v>
      </c>
      <c r="M242" s="21">
        <f t="shared" si="203"/>
        <v>13171.326561115984</v>
      </c>
      <c r="N242" s="21">
        <f t="shared" si="203"/>
        <v>34410.83546488404</v>
      </c>
      <c r="O242" s="21">
        <f t="shared" si="203"/>
        <v>101443.92856646854</v>
      </c>
      <c r="P242" s="21">
        <f t="shared" si="203"/>
        <v>123001.44251212741</v>
      </c>
      <c r="Q242" s="21">
        <f t="shared" si="203"/>
        <v>153348.93434974537</v>
      </c>
      <c r="R242" s="21">
        <f t="shared" si="203"/>
        <v>195021.60290343483</v>
      </c>
      <c r="S242" s="21">
        <f t="shared" si="203"/>
        <v>158822.55343635945</v>
      </c>
      <c r="T242" s="21">
        <f t="shared" si="203"/>
        <v>42194.050943575567</v>
      </c>
      <c r="U242" s="21">
        <f t="shared" si="203"/>
        <v>160069.86736887283</v>
      </c>
      <c r="V242" s="21">
        <f t="shared" si="203"/>
        <v>947061.81262503017</v>
      </c>
      <c r="W242" s="21">
        <f t="shared" si="203"/>
        <v>1673706.9613698835</v>
      </c>
      <c r="X242" s="21">
        <f t="shared" si="203"/>
        <v>1928665.5297594729</v>
      </c>
      <c r="Y242" s="21">
        <f t="shared" si="203"/>
        <v>1097920.2199945473</v>
      </c>
      <c r="Z242" s="21">
        <f t="shared" si="203"/>
        <v>194693.96384937738</v>
      </c>
      <c r="AA242" s="21">
        <f t="shared" si="203"/>
        <v>11905.277077865569</v>
      </c>
      <c r="AB242" s="21">
        <f t="shared" si="203"/>
        <v>225439.88259934465</v>
      </c>
      <c r="AC242" s="21">
        <f t="shared" si="203"/>
        <v>356008.81672088249</v>
      </c>
      <c r="AD242" s="21">
        <f t="shared" si="203"/>
        <v>207781.97896126052</v>
      </c>
      <c r="AE242" s="21">
        <f t="shared" si="203"/>
        <v>94177.42174963218</v>
      </c>
      <c r="AF242" s="21">
        <f t="shared" si="203"/>
        <v>26002.588873583525</v>
      </c>
      <c r="AG242" s="3"/>
      <c r="AH242" s="3"/>
    </row>
    <row r="243" spans="1:34" x14ac:dyDescent="0.25">
      <c r="A243" s="71">
        <f>SUM(B243:AF243)</f>
        <v>1938410.0526827686</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9863.697951154365</v>
      </c>
      <c r="M243" s="60">
        <f t="shared" ref="M243" si="214">IF($A$64&lt;=M207,IF($B$64&gt;=M207,ABS(M242),0),0)</f>
        <v>13171.326561115984</v>
      </c>
      <c r="N243" s="60">
        <f t="shared" ref="N243" si="215">IF($A$64&lt;=N207,IF($B$64&gt;=N207,ABS(N242),0),0)</f>
        <v>34410.83546488404</v>
      </c>
      <c r="O243" s="60">
        <f t="shared" ref="O243" si="216">IF($A$64&lt;=O207,IF($B$64&gt;=O207,ABS(O242),0),0)</f>
        <v>101443.92856646854</v>
      </c>
      <c r="P243" s="60">
        <f t="shared" ref="P243" si="217">IF($A$64&lt;=P207,IF($B$64&gt;=P207,ABS(P242),0),0)</f>
        <v>123001.44251212741</v>
      </c>
      <c r="Q243" s="60">
        <f t="shared" ref="Q243" si="218">IF($A$64&lt;=Q207,IF($B$64&gt;=Q207,ABS(Q242),0),0)</f>
        <v>153348.93434974537</v>
      </c>
      <c r="R243" s="60">
        <f t="shared" ref="R243" si="219">IF($A$64&lt;=R207,IF($B$64&gt;=R207,ABS(R242),0),0)</f>
        <v>195021.60290343483</v>
      </c>
      <c r="S243" s="60">
        <f t="shared" ref="S243" si="220">IF($A$64&lt;=S207,IF($B$64&gt;=S207,ABS(S242),0),0)</f>
        <v>158822.55343635945</v>
      </c>
      <c r="T243" s="60">
        <f t="shared" ref="T243" si="221">IF($A$64&lt;=T207,IF($B$64&gt;=T207,ABS(T242),0),0)</f>
        <v>42194.050943575567</v>
      </c>
      <c r="U243" s="60">
        <f t="shared" ref="U243" si="222">IF($A$64&lt;=U207,IF($B$64&gt;=U207,ABS(U242),0),0)</f>
        <v>160069.86736887283</v>
      </c>
      <c r="V243" s="60">
        <f t="shared" ref="V243" si="223">IF($A$64&lt;=V207,IF($B$64&gt;=V207,ABS(V242),0),0)</f>
        <v>947061.81262503017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7233.6498089974812</v>
      </c>
      <c r="C248" s="27">
        <f t="shared" ref="C248:AF248" si="234">($C$17+SUM(C249:C279))*$B$51</f>
        <v>7233.6498075194731</v>
      </c>
      <c r="D248" s="27">
        <f t="shared" si="234"/>
        <v>7233.6497927393912</v>
      </c>
      <c r="E248" s="27">
        <f t="shared" si="234"/>
        <v>7233.6496449387505</v>
      </c>
      <c r="F248" s="27">
        <f t="shared" si="234"/>
        <v>7233.648166949888</v>
      </c>
      <c r="G248" s="27">
        <f t="shared" si="234"/>
        <v>7233.6333888156423</v>
      </c>
      <c r="H248" s="27">
        <f t="shared" si="234"/>
        <v>7233.4857827078649</v>
      </c>
      <c r="I248" s="27">
        <f t="shared" si="234"/>
        <v>7232.0270445758688</v>
      </c>
      <c r="J248" s="27">
        <f t="shared" si="234"/>
        <v>7218.9883061414193</v>
      </c>
      <c r="K248" s="27">
        <f t="shared" si="234"/>
        <v>7153.5255262225055</v>
      </c>
      <c r="L248" s="27">
        <f t="shared" si="234"/>
        <v>6999.2021385828812</v>
      </c>
      <c r="M248" s="27">
        <f t="shared" si="234"/>
        <v>6851.8567165572613</v>
      </c>
      <c r="N248" s="27">
        <f t="shared" si="234"/>
        <v>6670.9364522738806</v>
      </c>
      <c r="O248" s="27">
        <f t="shared" si="234"/>
        <v>6457.7039900040345</v>
      </c>
      <c r="P248" s="27">
        <f t="shared" si="234"/>
        <v>6256.6359679894977</v>
      </c>
      <c r="Q248" s="27">
        <f t="shared" si="234"/>
        <v>5964.9245025696628</v>
      </c>
      <c r="R248" s="27">
        <f t="shared" si="234"/>
        <v>5690.2843645316434</v>
      </c>
      <c r="S248" s="27">
        <f t="shared" si="234"/>
        <v>5402.6996648673539</v>
      </c>
      <c r="T248" s="27">
        <f t="shared" si="234"/>
        <v>5085.1042646445567</v>
      </c>
      <c r="U248" s="27">
        <f t="shared" si="234"/>
        <v>4725.327783082409</v>
      </c>
      <c r="V248" s="27">
        <f t="shared" si="234"/>
        <v>4059.3928663794368</v>
      </c>
      <c r="W248" s="27">
        <f t="shared" si="234"/>
        <v>3135.8446805823719</v>
      </c>
      <c r="X248" s="27">
        <f t="shared" si="234"/>
        <v>2208.0113714145136</v>
      </c>
      <c r="Y248" s="27">
        <f t="shared" si="234"/>
        <v>1414.4454375169482</v>
      </c>
      <c r="Z248" s="27">
        <f t="shared" si="234"/>
        <v>812.33414760739618</v>
      </c>
      <c r="AA248" s="27">
        <f t="shared" si="234"/>
        <v>448.27298023338693</v>
      </c>
      <c r="AB248" s="27">
        <f t="shared" si="234"/>
        <v>220.04644962325659</v>
      </c>
      <c r="AC248" s="27">
        <f t="shared" si="234"/>
        <v>131.82196990426587</v>
      </c>
      <c r="AD248" s="27">
        <f t="shared" si="234"/>
        <v>111.54897581440086</v>
      </c>
      <c r="AE248" s="27">
        <f t="shared" si="234"/>
        <v>96.332565568082359</v>
      </c>
      <c r="AF248" s="27">
        <f t="shared" si="234"/>
        <v>93.047690037596951</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3.9092004082706524E-3</v>
      </c>
      <c r="C253" s="3">
        <f t="shared" si="239"/>
        <v>3.9092002809148815E-3</v>
      </c>
      <c r="D253" s="3">
        <f t="shared" si="239"/>
        <v>3.9091990073573972E-3</v>
      </c>
      <c r="E253" s="3">
        <f t="shared" si="239"/>
        <v>3.9091862718053788E-3</v>
      </c>
      <c r="F253" s="3">
        <f t="shared" si="239"/>
        <v>3.9090589185671442E-3</v>
      </c>
      <c r="G253" s="3">
        <f t="shared" si="239"/>
        <v>3.9077856143523377E-3</v>
      </c>
      <c r="H253" s="3">
        <f t="shared" si="239"/>
        <v>3.8950753614790724E-3</v>
      </c>
      <c r="I253" s="3">
        <f t="shared" si="239"/>
        <v>3.770224527696488E-3</v>
      </c>
      <c r="J253" s="3">
        <f t="shared" si="239"/>
        <v>2.721953560219155E-3</v>
      </c>
      <c r="K253" s="3">
        <f t="shared" si="239"/>
        <v>1.0471663553765442E-4</v>
      </c>
      <c r="L253" s="3">
        <f t="shared" si="239"/>
        <v>7.4364449796552038E-19</v>
      </c>
      <c r="M253" s="3">
        <f t="shared" si="239"/>
        <v>2.4258405830217812E-160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2.3295496712869714E-2</v>
      </c>
      <c r="C254" s="3">
        <f t="shared" si="240"/>
        <v>2.3295496644407762E-2</v>
      </c>
      <c r="D254" s="3">
        <f t="shared" si="240"/>
        <v>2.3295495959788269E-2</v>
      </c>
      <c r="E254" s="3">
        <f t="shared" si="240"/>
        <v>2.3295489113594456E-2</v>
      </c>
      <c r="F254" s="3">
        <f t="shared" si="240"/>
        <v>2.3295420651766971E-2</v>
      </c>
      <c r="G254" s="3">
        <f t="shared" si="240"/>
        <v>2.3294736044557937E-2</v>
      </c>
      <c r="H254" s="3">
        <f t="shared" si="240"/>
        <v>2.3287891078930322E-2</v>
      </c>
      <c r="I254" s="3">
        <f t="shared" si="240"/>
        <v>2.3219551948705248E-2</v>
      </c>
      <c r="J254" s="3">
        <f t="shared" si="240"/>
        <v>2.2547094007302523E-2</v>
      </c>
      <c r="K254" s="3">
        <f t="shared" si="240"/>
        <v>1.6805753114059435E-2</v>
      </c>
      <c r="L254" s="3">
        <f t="shared" si="240"/>
        <v>8.8947145602297532E-4</v>
      </c>
      <c r="M254" s="3">
        <f t="shared" si="240"/>
        <v>1.5341660953394475E-16</v>
      </c>
      <c r="N254" s="3">
        <f t="shared" si="240"/>
        <v>3.5749998730923026E-144</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1.9365606167828852E-2</v>
      </c>
      <c r="C255" s="3">
        <f t="shared" si="241"/>
        <v>1.9365606162694862E-2</v>
      </c>
      <c r="D255" s="3">
        <f t="shared" si="241"/>
        <v>1.9365606111354967E-2</v>
      </c>
      <c r="E255" s="3">
        <f t="shared" si="241"/>
        <v>1.9365605597956023E-2</v>
      </c>
      <c r="F255" s="3">
        <f t="shared" si="241"/>
        <v>1.936560046396732E-2</v>
      </c>
      <c r="G255" s="3">
        <f t="shared" si="241"/>
        <v>1.9365549124155147E-2</v>
      </c>
      <c r="H255" s="3">
        <f t="shared" si="241"/>
        <v>1.9365035733519227E-2</v>
      </c>
      <c r="I255" s="3">
        <f t="shared" si="241"/>
        <v>1.9359902575664167E-2</v>
      </c>
      <c r="J255" s="3">
        <f t="shared" si="241"/>
        <v>1.9308645774160901E-2</v>
      </c>
      <c r="K255" s="3">
        <f t="shared" si="241"/>
        <v>1.8803482632143195E-2</v>
      </c>
      <c r="L255" s="3">
        <f t="shared" si="241"/>
        <v>1.4424576569242035E-2</v>
      </c>
      <c r="M255" s="3">
        <f t="shared" si="241"/>
        <v>1.0180072576440507E-3</v>
      </c>
      <c r="N255" s="3">
        <f t="shared" si="241"/>
        <v>3.1205337391394162E-15</v>
      </c>
      <c r="O255" s="3">
        <f t="shared" si="241"/>
        <v>2.2856459881185658E-130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2.4448597422037276E-2</v>
      </c>
      <c r="C256" s="3">
        <f t="shared" si="242"/>
        <v>2.4448597421452587E-2</v>
      </c>
      <c r="D256" s="3">
        <f t="shared" si="242"/>
        <v>2.4448597415605705E-2</v>
      </c>
      <c r="E256" s="3">
        <f t="shared" si="242"/>
        <v>2.4448597357136871E-2</v>
      </c>
      <c r="F256" s="3">
        <f t="shared" si="242"/>
        <v>2.4448596772448553E-2</v>
      </c>
      <c r="G256" s="3">
        <f t="shared" si="242"/>
        <v>2.444859092556613E-2</v>
      </c>
      <c r="H256" s="3">
        <f t="shared" si="242"/>
        <v>2.4448532456818831E-2</v>
      </c>
      <c r="I256" s="3">
        <f t="shared" si="242"/>
        <v>2.4447947777036298E-2</v>
      </c>
      <c r="J256" s="3">
        <f t="shared" si="242"/>
        <v>2.4442101748190719E-2</v>
      </c>
      <c r="K256" s="3">
        <f t="shared" si="242"/>
        <v>2.4383718289707427E-2</v>
      </c>
      <c r="L256" s="3">
        <f t="shared" si="242"/>
        <v>2.3807499151426267E-2</v>
      </c>
      <c r="M256" s="3">
        <f t="shared" si="242"/>
        <v>1.8743566476680708E-2</v>
      </c>
      <c r="N256" s="3">
        <f t="shared" si="242"/>
        <v>1.714891958707743E-3</v>
      </c>
      <c r="O256" s="3">
        <f t="shared" si="242"/>
        <v>7.048262896138009E-14</v>
      </c>
      <c r="P256" s="3">
        <f t="shared" si="242"/>
        <v>9.6947229369808606E-118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3.210059738307771E-2</v>
      </c>
      <c r="C257" s="3">
        <f t="shared" si="243"/>
        <v>3.210059738300846E-2</v>
      </c>
      <c r="D257" s="3">
        <f t="shared" si="243"/>
        <v>3.2100597382315944E-2</v>
      </c>
      <c r="E257" s="3">
        <f t="shared" si="243"/>
        <v>3.2100597375390776E-2</v>
      </c>
      <c r="F257" s="3">
        <f t="shared" si="243"/>
        <v>3.2100597306139116E-2</v>
      </c>
      <c r="G257" s="3">
        <f t="shared" si="243"/>
        <v>3.2100596613622537E-2</v>
      </c>
      <c r="H257" s="3">
        <f t="shared" si="243"/>
        <v>3.2100589688457581E-2</v>
      </c>
      <c r="I257" s="3">
        <f t="shared" si="243"/>
        <v>3.2100520436890184E-2</v>
      </c>
      <c r="J257" s="3">
        <f t="shared" si="243"/>
        <v>3.2099827929433063E-2</v>
      </c>
      <c r="K257" s="3">
        <f t="shared" si="243"/>
        <v>3.2092903676482626E-2</v>
      </c>
      <c r="L257" s="3">
        <f t="shared" si="243"/>
        <v>3.2023743243511857E-2</v>
      </c>
      <c r="M257" s="3">
        <f t="shared" si="243"/>
        <v>3.1340283413074599E-2</v>
      </c>
      <c r="N257" s="3">
        <f t="shared" si="243"/>
        <v>2.5258709838993417E-2</v>
      </c>
      <c r="O257" s="3">
        <f t="shared" si="243"/>
        <v>2.9207447740197115E-3</v>
      </c>
      <c r="P257" s="3">
        <f t="shared" si="243"/>
        <v>1.2482973592987142E-12</v>
      </c>
      <c r="Q257" s="3">
        <f t="shared" si="243"/>
        <v>2.5384141890150188E-106</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2.4137735607646382E-2</v>
      </c>
      <c r="C258" s="3">
        <f t="shared" si="244"/>
        <v>2.4137735607641684E-2</v>
      </c>
      <c r="D258" s="3">
        <f t="shared" si="244"/>
        <v>2.4137735607594715E-2</v>
      </c>
      <c r="E258" s="3">
        <f t="shared" si="244"/>
        <v>2.4137735607124969E-2</v>
      </c>
      <c r="F258" s="3">
        <f t="shared" si="244"/>
        <v>2.4137735602427539E-2</v>
      </c>
      <c r="G258" s="3">
        <f t="shared" si="244"/>
        <v>2.4137735555453257E-2</v>
      </c>
      <c r="H258" s="3">
        <f t="shared" si="244"/>
        <v>2.4137735085710404E-2</v>
      </c>
      <c r="I258" s="3">
        <f t="shared" si="244"/>
        <v>2.4137730388282423E-2</v>
      </c>
      <c r="J258" s="3">
        <f t="shared" si="244"/>
        <v>2.4137683414052868E-2</v>
      </c>
      <c r="K258" s="3">
        <f t="shared" si="244"/>
        <v>2.4137213676785192E-2</v>
      </c>
      <c r="L258" s="3">
        <f t="shared" si="244"/>
        <v>2.4132516806858052E-2</v>
      </c>
      <c r="M258" s="3">
        <f t="shared" si="244"/>
        <v>2.4085598346370425E-2</v>
      </c>
      <c r="N258" s="3">
        <f t="shared" si="244"/>
        <v>2.3621401632744472E-2</v>
      </c>
      <c r="O258" s="3">
        <f t="shared" si="244"/>
        <v>1.9444102689242338E-2</v>
      </c>
      <c r="P258" s="3">
        <f t="shared" si="244"/>
        <v>2.777220272765832E-3</v>
      </c>
      <c r="Q258" s="3">
        <f t="shared" si="244"/>
        <v>9.8137396988468747E-12</v>
      </c>
      <c r="R258" s="3">
        <f t="shared" si="244"/>
        <v>2.9790418998394888E-96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4.5517611487633801E-2</v>
      </c>
      <c r="C259" s="3">
        <f t="shared" si="245"/>
        <v>4.5517611487633003E-2</v>
      </c>
      <c r="D259" s="3">
        <f t="shared" si="245"/>
        <v>4.5517611487625009E-2</v>
      </c>
      <c r="E259" s="3">
        <f t="shared" si="245"/>
        <v>4.5517611487545108E-2</v>
      </c>
      <c r="F259" s="3">
        <f t="shared" si="245"/>
        <v>4.5517611486746025E-2</v>
      </c>
      <c r="G259" s="3">
        <f t="shared" si="245"/>
        <v>4.5517611478755236E-2</v>
      </c>
      <c r="H259" s="3">
        <f t="shared" si="245"/>
        <v>4.5517611398847337E-2</v>
      </c>
      <c r="I259" s="3">
        <f t="shared" si="245"/>
        <v>4.5517610599768353E-2</v>
      </c>
      <c r="J259" s="3">
        <f t="shared" si="245"/>
        <v>4.5517602608979316E-2</v>
      </c>
      <c r="K259" s="3">
        <f t="shared" si="245"/>
        <v>4.5517522701166067E-2</v>
      </c>
      <c r="L259" s="3">
        <f t="shared" si="245"/>
        <v>4.5516723630749038E-2</v>
      </c>
      <c r="M259" s="3">
        <f t="shared" si="245"/>
        <v>4.5508733698070507E-2</v>
      </c>
      <c r="N259" s="3">
        <f t="shared" si="245"/>
        <v>4.5428911470374894E-2</v>
      </c>
      <c r="O259" s="3">
        <f t="shared" si="245"/>
        <v>4.4638349257042992E-2</v>
      </c>
      <c r="P259" s="3">
        <f t="shared" si="245"/>
        <v>3.7451229252144558E-2</v>
      </c>
      <c r="Q259" s="3">
        <f t="shared" si="245"/>
        <v>6.4721055084048969E-3</v>
      </c>
      <c r="R259" s="3">
        <f t="shared" si="245"/>
        <v>1.5375905595884957E-10</v>
      </c>
      <c r="S259" s="3">
        <f t="shared" si="245"/>
        <v>8.8062671703345669E-87</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3.743854985003317E-2</v>
      </c>
      <c r="C260" s="3">
        <f t="shared" si="246"/>
        <v>3.7438549850033108E-2</v>
      </c>
      <c r="D260" s="3">
        <f t="shared" si="246"/>
        <v>3.7438549850032518E-2</v>
      </c>
      <c r="E260" s="3">
        <f t="shared" si="246"/>
        <v>3.7438549850026592E-2</v>
      </c>
      <c r="F260" s="3">
        <f t="shared" si="246"/>
        <v>3.7438549849967299E-2</v>
      </c>
      <c r="G260" s="3">
        <f t="shared" si="246"/>
        <v>3.7438549849374406E-2</v>
      </c>
      <c r="H260" s="3">
        <f t="shared" si="246"/>
        <v>3.7438549843445482E-2</v>
      </c>
      <c r="I260" s="3">
        <f t="shared" si="246"/>
        <v>3.7438549784156248E-2</v>
      </c>
      <c r="J260" s="3">
        <f t="shared" si="246"/>
        <v>3.7438549191263888E-2</v>
      </c>
      <c r="K260" s="3">
        <f t="shared" si="246"/>
        <v>3.7438543262340827E-2</v>
      </c>
      <c r="L260" s="3">
        <f t="shared" si="246"/>
        <v>3.7438483973161872E-2</v>
      </c>
      <c r="M260" s="3">
        <f t="shared" si="246"/>
        <v>3.7437891086536355E-2</v>
      </c>
      <c r="N260" s="3">
        <f t="shared" si="246"/>
        <v>3.743196273665847E-2</v>
      </c>
      <c r="O260" s="3">
        <f t="shared" si="246"/>
        <v>3.7372730845361531E-2</v>
      </c>
      <c r="P260" s="3">
        <f t="shared" si="246"/>
        <v>3.6785542568989971E-2</v>
      </c>
      <c r="Q260" s="3">
        <f t="shared" si="246"/>
        <v>3.1397892289087688E-2</v>
      </c>
      <c r="R260" s="3">
        <f t="shared" si="246"/>
        <v>6.4436773685509069E-3</v>
      </c>
      <c r="S260" s="3">
        <f t="shared" si="246"/>
        <v>8.5401737928496453E-10</v>
      </c>
      <c r="T260" s="3">
        <f t="shared" si="246"/>
        <v>1.4282226675532508E-78</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4.1083418704934697E-2</v>
      </c>
      <c r="C261" s="3">
        <f t="shared" si="247"/>
        <v>4.1083418704934691E-2</v>
      </c>
      <c r="D261" s="3">
        <f t="shared" si="247"/>
        <v>4.1083418704934635E-2</v>
      </c>
      <c r="E261" s="3">
        <f t="shared" si="247"/>
        <v>4.1083418704934045E-2</v>
      </c>
      <c r="F261" s="3">
        <f t="shared" si="247"/>
        <v>4.1083418704928175E-2</v>
      </c>
      <c r="G261" s="3">
        <f t="shared" si="247"/>
        <v>4.1083418704869486E-2</v>
      </c>
      <c r="H261" s="3">
        <f t="shared" si="247"/>
        <v>4.108341870428258E-2</v>
      </c>
      <c r="I261" s="3">
        <f t="shared" si="247"/>
        <v>4.1083418698413497E-2</v>
      </c>
      <c r="J261" s="3">
        <f t="shared" si="247"/>
        <v>4.1083418639722702E-2</v>
      </c>
      <c r="K261" s="3">
        <f t="shared" si="247"/>
        <v>4.1083418052814742E-2</v>
      </c>
      <c r="L261" s="3">
        <f t="shared" si="247"/>
        <v>4.1083412183735582E-2</v>
      </c>
      <c r="M261" s="3">
        <f t="shared" si="247"/>
        <v>4.1083353492990138E-2</v>
      </c>
      <c r="N261" s="3">
        <f t="shared" si="247"/>
        <v>4.1082766590147049E-2</v>
      </c>
      <c r="O261" s="3">
        <f t="shared" si="247"/>
        <v>4.1076898022832688E-2</v>
      </c>
      <c r="P261" s="3">
        <f t="shared" si="247"/>
        <v>4.1018258436970149E-2</v>
      </c>
      <c r="Q261" s="3">
        <f t="shared" si="247"/>
        <v>4.0436447038763139E-2</v>
      </c>
      <c r="R261" s="3">
        <f t="shared" si="247"/>
        <v>3.5053445342603275E-2</v>
      </c>
      <c r="S261" s="3">
        <f t="shared" si="247"/>
        <v>8.4005539111053681E-3</v>
      </c>
      <c r="T261" s="3">
        <f t="shared" si="247"/>
        <v>5.2490420449771225E-9</v>
      </c>
      <c r="U261" s="3">
        <f t="shared" si="247"/>
        <v>4.7621309512219396E-71</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4.6249511553516282E-2</v>
      </c>
      <c r="C262" s="3">
        <f t="shared" si="248"/>
        <v>4.6249511553516282E-2</v>
      </c>
      <c r="D262" s="3">
        <f t="shared" si="248"/>
        <v>4.6249511553516275E-2</v>
      </c>
      <c r="E262" s="3">
        <f t="shared" si="248"/>
        <v>4.6249511553516212E-2</v>
      </c>
      <c r="F262" s="3">
        <f t="shared" si="248"/>
        <v>4.6249511553515622E-2</v>
      </c>
      <c r="G262" s="3">
        <f t="shared" si="248"/>
        <v>4.6249511553509655E-2</v>
      </c>
      <c r="H262" s="3">
        <f t="shared" si="248"/>
        <v>4.6249511553450057E-2</v>
      </c>
      <c r="I262" s="3">
        <f t="shared" si="248"/>
        <v>4.624951155285404E-2</v>
      </c>
      <c r="J262" s="3">
        <f t="shared" si="248"/>
        <v>4.6249511546893898E-2</v>
      </c>
      <c r="K262" s="3">
        <f t="shared" si="248"/>
        <v>4.6249511487292394E-2</v>
      </c>
      <c r="L262" s="3">
        <f t="shared" si="248"/>
        <v>4.6249510891277427E-2</v>
      </c>
      <c r="M262" s="3">
        <f t="shared" si="248"/>
        <v>4.6249504931128164E-2</v>
      </c>
      <c r="N262" s="3">
        <f t="shared" si="248"/>
        <v>4.6249445329677757E-2</v>
      </c>
      <c r="O262" s="3">
        <f t="shared" si="248"/>
        <v>4.6248849319398093E-2</v>
      </c>
      <c r="P262" s="3">
        <f t="shared" si="248"/>
        <v>4.6242889639023857E-2</v>
      </c>
      <c r="Q262" s="3">
        <f t="shared" si="248"/>
        <v>4.6183335057379954E-2</v>
      </c>
      <c r="R262" s="3">
        <f t="shared" si="248"/>
        <v>4.5591991387785517E-2</v>
      </c>
      <c r="S262" s="3">
        <f t="shared" si="248"/>
        <v>4.007940495656704E-2</v>
      </c>
      <c r="T262" s="3">
        <f t="shared" si="248"/>
        <v>1.1047100293571902E-2</v>
      </c>
      <c r="U262" s="3">
        <f t="shared" si="248"/>
        <v>2.7958805604263616E-8</v>
      </c>
      <c r="V262" s="3">
        <f t="shared" si="248"/>
        <v>3.0145451344467693E-64</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4.2148935673183355E-2</v>
      </c>
      <c r="C263" s="3">
        <f t="shared" si="249"/>
        <v>4.2148935673183355E-2</v>
      </c>
      <c r="D263" s="3">
        <f t="shared" si="249"/>
        <v>4.2148935673183355E-2</v>
      </c>
      <c r="E263" s="3">
        <f t="shared" si="249"/>
        <v>4.2148935673183348E-2</v>
      </c>
      <c r="F263" s="3">
        <f t="shared" si="249"/>
        <v>4.2148935673183299E-2</v>
      </c>
      <c r="G263" s="3">
        <f t="shared" si="249"/>
        <v>4.2148935673182814E-2</v>
      </c>
      <c r="H263" s="3">
        <f t="shared" si="249"/>
        <v>4.2148935673177915E-2</v>
      </c>
      <c r="I263" s="3">
        <f t="shared" si="249"/>
        <v>4.2148935673128912E-2</v>
      </c>
      <c r="J263" s="3">
        <f t="shared" si="249"/>
        <v>4.2148935672638929E-2</v>
      </c>
      <c r="K263" s="3">
        <f t="shared" si="249"/>
        <v>4.2148935667739071E-2</v>
      </c>
      <c r="L263" s="3">
        <f t="shared" si="249"/>
        <v>4.2148935618740523E-2</v>
      </c>
      <c r="M263" s="3">
        <f t="shared" si="249"/>
        <v>4.2148935128755033E-2</v>
      </c>
      <c r="N263" s="3">
        <f t="shared" si="249"/>
        <v>4.2148930228900434E-2</v>
      </c>
      <c r="O263" s="3">
        <f t="shared" si="249"/>
        <v>4.2148881230385793E-2</v>
      </c>
      <c r="P263" s="3">
        <f t="shared" si="249"/>
        <v>4.2148391248372184E-2</v>
      </c>
      <c r="Q263" s="3">
        <f t="shared" si="249"/>
        <v>4.2143491741508277E-2</v>
      </c>
      <c r="R263" s="3">
        <f t="shared" si="249"/>
        <v>4.2094527986612229E-2</v>
      </c>
      <c r="S263" s="3">
        <f t="shared" si="249"/>
        <v>4.1608008384801394E-2</v>
      </c>
      <c r="T263" s="3">
        <f t="shared" si="249"/>
        <v>3.7041602805584405E-2</v>
      </c>
      <c r="U263" s="3">
        <f t="shared" si="249"/>
        <v>1.1582923628793873E-2</v>
      </c>
      <c r="V263" s="3">
        <f t="shared" si="249"/>
        <v>1.0353863049944233E-7</v>
      </c>
      <c r="W263" s="3">
        <f t="shared" si="249"/>
        <v>3.3724432522625013E-58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0.11274262500279238</v>
      </c>
      <c r="C264" s="3">
        <f t="shared" si="250"/>
        <v>0.11274262500279238</v>
      </c>
      <c r="D264" s="3">
        <f t="shared" si="250"/>
        <v>0.11274262500279238</v>
      </c>
      <c r="E264" s="3">
        <f t="shared" si="250"/>
        <v>0.11274262500279238</v>
      </c>
      <c r="F264" s="3">
        <f t="shared" si="250"/>
        <v>0.11274262500279236</v>
      </c>
      <c r="G264" s="3">
        <f t="shared" si="250"/>
        <v>0.11274262500279225</v>
      </c>
      <c r="H264" s="3">
        <f t="shared" si="250"/>
        <v>0.11274262500279106</v>
      </c>
      <c r="I264" s="3">
        <f t="shared" si="250"/>
        <v>0.11274262500277923</v>
      </c>
      <c r="J264" s="3">
        <f t="shared" si="250"/>
        <v>0.11274262500266101</v>
      </c>
      <c r="K264" s="3">
        <f t="shared" si="250"/>
        <v>0.11274262500147869</v>
      </c>
      <c r="L264" s="3">
        <f t="shared" si="250"/>
        <v>0.11274262498965561</v>
      </c>
      <c r="M264" s="3">
        <f t="shared" si="250"/>
        <v>0.1127426248714246</v>
      </c>
      <c r="N264" s="3">
        <f t="shared" si="250"/>
        <v>0.11274262368911467</v>
      </c>
      <c r="O264" s="3">
        <f t="shared" si="250"/>
        <v>0.11274261186601593</v>
      </c>
      <c r="P264" s="3">
        <f t="shared" si="250"/>
        <v>0.11274249363509677</v>
      </c>
      <c r="Q264" s="3">
        <f t="shared" si="250"/>
        <v>0.11274131133272443</v>
      </c>
      <c r="R264" s="3">
        <f t="shared" si="250"/>
        <v>0.1127294889908977</v>
      </c>
      <c r="S264" s="3">
        <f t="shared" si="250"/>
        <v>0.11261133373583734</v>
      </c>
      <c r="T264" s="3">
        <f t="shared" si="250"/>
        <v>0.11143657113183533</v>
      </c>
      <c r="U264" s="3">
        <f t="shared" si="250"/>
        <v>0.10034231676974331</v>
      </c>
      <c r="V264" s="3">
        <f t="shared" si="250"/>
        <v>3.5159926600144373E-2</v>
      </c>
      <c r="W264" s="3">
        <f t="shared" si="250"/>
        <v>9.8103909949022208E-7</v>
      </c>
      <c r="X264" s="3">
        <f t="shared" si="250"/>
        <v>2.805885113955512E-52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0.14424606622338945</v>
      </c>
      <c r="C265" s="3">
        <f t="shared" si="251"/>
        <v>0.14424606622338945</v>
      </c>
      <c r="D265" s="3">
        <f t="shared" si="251"/>
        <v>0.14424606622338945</v>
      </c>
      <c r="E265" s="3">
        <f t="shared" si="251"/>
        <v>0.14424606622338945</v>
      </c>
      <c r="F265" s="3">
        <f t="shared" si="251"/>
        <v>0.14424606622338945</v>
      </c>
      <c r="G265" s="3">
        <f t="shared" si="251"/>
        <v>0.14424606622338942</v>
      </c>
      <c r="H265" s="3">
        <f t="shared" si="251"/>
        <v>0.14424606622338931</v>
      </c>
      <c r="I265" s="3">
        <f t="shared" si="251"/>
        <v>0.14424606622338793</v>
      </c>
      <c r="J265" s="3">
        <f t="shared" si="251"/>
        <v>0.1442460662233743</v>
      </c>
      <c r="K265" s="3">
        <f t="shared" si="251"/>
        <v>0.14424606622323782</v>
      </c>
      <c r="L265" s="3">
        <f t="shared" si="251"/>
        <v>0.14424606622187328</v>
      </c>
      <c r="M265" s="3">
        <f t="shared" si="251"/>
        <v>0.14424606620822764</v>
      </c>
      <c r="N265" s="3">
        <f t="shared" si="251"/>
        <v>0.14424606607177129</v>
      </c>
      <c r="O265" s="3">
        <f t="shared" si="251"/>
        <v>0.14424606470720772</v>
      </c>
      <c r="P265" s="3">
        <f t="shared" si="251"/>
        <v>0.14424605106157287</v>
      </c>
      <c r="Q265" s="3">
        <f t="shared" si="251"/>
        <v>0.14424591460529526</v>
      </c>
      <c r="R265" s="3">
        <f t="shared" si="251"/>
        <v>0.144244550049619</v>
      </c>
      <c r="S265" s="3">
        <f t="shared" si="251"/>
        <v>0.1442309052028091</v>
      </c>
      <c r="T265" s="3">
        <f t="shared" si="251"/>
        <v>0.14409452770512807</v>
      </c>
      <c r="U265" s="3">
        <f t="shared" si="251"/>
        <v>0.14273782499187604</v>
      </c>
      <c r="V265" s="3">
        <f t="shared" si="251"/>
        <v>0.12985388392761768</v>
      </c>
      <c r="W265" s="3">
        <f t="shared" si="251"/>
        <v>5.0421253125593618E-2</v>
      </c>
      <c r="X265" s="3">
        <f t="shared" si="251"/>
        <v>3.9282629105935224E-6</v>
      </c>
      <c r="Y265" s="3">
        <f t="shared" si="251"/>
        <v>3.236455658787118E-47</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0.12974045708141974</v>
      </c>
      <c r="C266" s="3">
        <f t="shared" si="252"/>
        <v>0.12974045708141974</v>
      </c>
      <c r="D266" s="3">
        <f t="shared" si="252"/>
        <v>0.12974045708141974</v>
      </c>
      <c r="E266" s="3">
        <f t="shared" si="252"/>
        <v>0.12974045708141974</v>
      </c>
      <c r="F266" s="3">
        <f t="shared" si="252"/>
        <v>0.12974045708141974</v>
      </c>
      <c r="G266" s="3">
        <f t="shared" si="252"/>
        <v>0.12974045708141974</v>
      </c>
      <c r="H266" s="3">
        <f t="shared" si="252"/>
        <v>0.12974045708141971</v>
      </c>
      <c r="I266" s="3">
        <f t="shared" si="252"/>
        <v>0.1297404570814196</v>
      </c>
      <c r="J266" s="3">
        <f t="shared" si="252"/>
        <v>0.12974045708141851</v>
      </c>
      <c r="K266" s="3">
        <f t="shared" si="252"/>
        <v>0.12974045708140744</v>
      </c>
      <c r="L266" s="3">
        <f t="shared" si="252"/>
        <v>0.12974045708129672</v>
      </c>
      <c r="M266" s="3">
        <f t="shared" si="252"/>
        <v>0.12974045708018955</v>
      </c>
      <c r="N266" s="3">
        <f t="shared" si="252"/>
        <v>0.12974045706911791</v>
      </c>
      <c r="O266" s="3">
        <f t="shared" si="252"/>
        <v>0.12974045695840156</v>
      </c>
      <c r="P266" s="3">
        <f t="shared" si="252"/>
        <v>0.12974045585123795</v>
      </c>
      <c r="Q266" s="3">
        <f t="shared" si="252"/>
        <v>0.12974044477960231</v>
      </c>
      <c r="R266" s="3">
        <f t="shared" si="252"/>
        <v>0.12974033406329794</v>
      </c>
      <c r="S266" s="3">
        <f t="shared" si="252"/>
        <v>0.12973922690545078</v>
      </c>
      <c r="T266" s="3">
        <f t="shared" si="252"/>
        <v>0.1297281558466109</v>
      </c>
      <c r="U266" s="3">
        <f t="shared" si="252"/>
        <v>0.1296174972049795</v>
      </c>
      <c r="V266" s="3">
        <f t="shared" si="252"/>
        <v>0.12851608910078874</v>
      </c>
      <c r="W266" s="3">
        <f t="shared" si="252"/>
        <v>0.11800385548740323</v>
      </c>
      <c r="X266" s="3">
        <f t="shared" si="252"/>
        <v>5.0267022109161084E-2</v>
      </c>
      <c r="Y266" s="3">
        <f t="shared" si="252"/>
        <v>9.8890088343585441E-6</v>
      </c>
      <c r="Z266" s="3">
        <f t="shared" si="252"/>
        <v>8.5871457837979737E-43</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0.10714973449748261</v>
      </c>
      <c r="C267" s="3">
        <f t="shared" si="253"/>
        <v>0.10714973449748261</v>
      </c>
      <c r="D267" s="3">
        <f t="shared" si="253"/>
        <v>0.10714973449748261</v>
      </c>
      <c r="E267" s="3">
        <f t="shared" si="253"/>
        <v>0.10714973449748261</v>
      </c>
      <c r="F267" s="3">
        <f t="shared" si="253"/>
        <v>0.10714973449748261</v>
      </c>
      <c r="G267" s="3">
        <f t="shared" si="253"/>
        <v>0.10714973449748261</v>
      </c>
      <c r="H267" s="3">
        <f t="shared" si="253"/>
        <v>0.10714973449748261</v>
      </c>
      <c r="I267" s="3">
        <f t="shared" si="253"/>
        <v>0.10714973449748259</v>
      </c>
      <c r="J267" s="3">
        <f t="shared" si="253"/>
        <v>0.10714973449748251</v>
      </c>
      <c r="K267" s="3">
        <f t="shared" si="253"/>
        <v>0.10714973449748169</v>
      </c>
      <c r="L267" s="3">
        <f t="shared" si="253"/>
        <v>0.10714973449747345</v>
      </c>
      <c r="M267" s="3">
        <f t="shared" si="253"/>
        <v>0.10714973449739096</v>
      </c>
      <c r="N267" s="3">
        <f t="shared" si="253"/>
        <v>0.10714973449656612</v>
      </c>
      <c r="O267" s="3">
        <f t="shared" si="253"/>
        <v>0.10714973448831762</v>
      </c>
      <c r="P267" s="3">
        <f t="shared" si="253"/>
        <v>0.10714973440583279</v>
      </c>
      <c r="Q267" s="3">
        <f t="shared" si="253"/>
        <v>0.10714973358098452</v>
      </c>
      <c r="R267" s="3">
        <f t="shared" si="253"/>
        <v>0.10714972533250208</v>
      </c>
      <c r="S267" s="3">
        <f t="shared" si="253"/>
        <v>0.10714964284771275</v>
      </c>
      <c r="T267" s="3">
        <f t="shared" si="253"/>
        <v>0.10714881800331162</v>
      </c>
      <c r="U267" s="3">
        <f t="shared" si="253"/>
        <v>0.10714056990852598</v>
      </c>
      <c r="V267" s="3">
        <f t="shared" si="253"/>
        <v>0.1070581238732783</v>
      </c>
      <c r="W267" s="3">
        <f t="shared" si="253"/>
        <v>0.10623714485798795</v>
      </c>
      <c r="X267" s="3">
        <f t="shared" si="253"/>
        <v>9.8365773434844969E-2</v>
      </c>
      <c r="Y267" s="3">
        <f t="shared" si="253"/>
        <v>4.5553339202176038E-2</v>
      </c>
      <c r="Z267" s="3">
        <f t="shared" si="253"/>
        <v>2.0667230487307866E-5</v>
      </c>
      <c r="AA267" s="3">
        <f t="shared" si="253"/>
        <v>7.6366508597819509E-39</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7.4657991153057213E-2</v>
      </c>
      <c r="C268" s="3">
        <f t="shared" si="254"/>
        <v>7.4657991153057213E-2</v>
      </c>
      <c r="D268" s="3">
        <f t="shared" si="254"/>
        <v>7.4657991153057213E-2</v>
      </c>
      <c r="E268" s="3">
        <f t="shared" si="254"/>
        <v>7.4657991153057213E-2</v>
      </c>
      <c r="F268" s="3">
        <f t="shared" si="254"/>
        <v>7.4657991153057213E-2</v>
      </c>
      <c r="G268" s="3">
        <f t="shared" si="254"/>
        <v>7.4657991153057213E-2</v>
      </c>
      <c r="H268" s="3">
        <f t="shared" si="254"/>
        <v>7.4657991153057213E-2</v>
      </c>
      <c r="I268" s="3">
        <f t="shared" si="254"/>
        <v>7.4657991153057213E-2</v>
      </c>
      <c r="J268" s="3">
        <f t="shared" si="254"/>
        <v>7.4657991153057199E-2</v>
      </c>
      <c r="K268" s="3">
        <f t="shared" si="254"/>
        <v>7.4657991153057157E-2</v>
      </c>
      <c r="L268" s="3">
        <f t="shared" si="254"/>
        <v>7.4657991153056644E-2</v>
      </c>
      <c r="M268" s="3">
        <f t="shared" si="254"/>
        <v>7.4657991153051453E-2</v>
      </c>
      <c r="N268" s="3">
        <f t="shared" si="254"/>
        <v>7.4657991152999606E-2</v>
      </c>
      <c r="O268" s="3">
        <f t="shared" si="254"/>
        <v>7.465799115248116E-2</v>
      </c>
      <c r="P268" s="3">
        <f t="shared" si="254"/>
        <v>7.4657991147296668E-2</v>
      </c>
      <c r="Q268" s="3">
        <f t="shared" si="254"/>
        <v>7.4657991095451792E-2</v>
      </c>
      <c r="R268" s="3">
        <f t="shared" si="254"/>
        <v>7.4657990577003008E-2</v>
      </c>
      <c r="S268" s="3">
        <f t="shared" si="254"/>
        <v>7.4657985392515322E-2</v>
      </c>
      <c r="T268" s="3">
        <f t="shared" si="254"/>
        <v>7.4657933547658262E-2</v>
      </c>
      <c r="U268" s="3">
        <f t="shared" si="254"/>
        <v>7.4657415101067923E-2</v>
      </c>
      <c r="V268" s="3">
        <f t="shared" si="254"/>
        <v>7.4652230833173822E-2</v>
      </c>
      <c r="W268" s="3">
        <f t="shared" si="254"/>
        <v>7.4600407950082132E-2</v>
      </c>
      <c r="X268" s="3">
        <f t="shared" si="254"/>
        <v>7.4084153627198654E-2</v>
      </c>
      <c r="Y268" s="3">
        <f t="shared" si="254"/>
        <v>6.9114080767163799E-2</v>
      </c>
      <c r="Z268" s="3">
        <f t="shared" si="254"/>
        <v>3.4512678148540248E-2</v>
      </c>
      <c r="AA268" s="3">
        <f t="shared" si="254"/>
        <v>3.3273609366605655E-5</v>
      </c>
      <c r="AB268" s="3">
        <f t="shared" si="254"/>
        <v>2.3084072856307017E-35</v>
      </c>
      <c r="AC268" s="3">
        <f t="shared" si="254"/>
        <v>0</v>
      </c>
      <c r="AD268" s="3">
        <f t="shared" si="254"/>
        <v>0</v>
      </c>
      <c r="AE268" s="3">
        <f t="shared" si="254"/>
        <v>0</v>
      </c>
      <c r="AF268" s="3">
        <f t="shared" si="254"/>
        <v>0</v>
      </c>
      <c r="AG268" s="3"/>
      <c r="AH268" s="3"/>
    </row>
    <row r="269" spans="2:34" x14ac:dyDescent="0.25">
      <c r="B269" s="3">
        <f t="shared" ref="B269:AF269" si="255">$C38*EXP(-B$246/$A38/EXP(-$E$126))</f>
        <v>2.5780107678568913E-2</v>
      </c>
      <c r="C269" s="3">
        <f t="shared" si="255"/>
        <v>2.5780107678568913E-2</v>
      </c>
      <c r="D269" s="3">
        <f t="shared" si="255"/>
        <v>2.5780107678568913E-2</v>
      </c>
      <c r="E269" s="3">
        <f t="shared" si="255"/>
        <v>2.5780107678568913E-2</v>
      </c>
      <c r="F269" s="3">
        <f t="shared" si="255"/>
        <v>2.5780107678568913E-2</v>
      </c>
      <c r="G269" s="3">
        <f t="shared" si="255"/>
        <v>2.5780107678568913E-2</v>
      </c>
      <c r="H269" s="3">
        <f t="shared" si="255"/>
        <v>2.5780107678568913E-2</v>
      </c>
      <c r="I269" s="3">
        <f t="shared" si="255"/>
        <v>2.5780107678568913E-2</v>
      </c>
      <c r="J269" s="3">
        <f t="shared" si="255"/>
        <v>2.5780107678568913E-2</v>
      </c>
      <c r="K269" s="3">
        <f t="shared" si="255"/>
        <v>2.5780107678568909E-2</v>
      </c>
      <c r="L269" s="3">
        <f t="shared" si="255"/>
        <v>2.5780107678568896E-2</v>
      </c>
      <c r="M269" s="3">
        <f t="shared" si="255"/>
        <v>2.5780107678568732E-2</v>
      </c>
      <c r="N269" s="3">
        <f t="shared" si="255"/>
        <v>2.5780107678567119E-2</v>
      </c>
      <c r="O269" s="3">
        <f t="shared" si="255"/>
        <v>2.5780107678550969E-2</v>
      </c>
      <c r="P269" s="3">
        <f t="shared" si="255"/>
        <v>2.5780107678389473E-2</v>
      </c>
      <c r="Q269" s="3">
        <f t="shared" si="255"/>
        <v>2.5780107676774518E-2</v>
      </c>
      <c r="R269" s="3">
        <f t="shared" si="255"/>
        <v>2.5780107660624951E-2</v>
      </c>
      <c r="S269" s="3">
        <f t="shared" si="255"/>
        <v>2.578010749912928E-2</v>
      </c>
      <c r="T269" s="3">
        <f t="shared" si="255"/>
        <v>2.5780105884172639E-2</v>
      </c>
      <c r="U269" s="3">
        <f t="shared" si="255"/>
        <v>2.5780089734611784E-2</v>
      </c>
      <c r="V269" s="3">
        <f t="shared" si="255"/>
        <v>2.5779928239559675E-2</v>
      </c>
      <c r="W269" s="3">
        <f t="shared" si="255"/>
        <v>2.5778313344678755E-2</v>
      </c>
      <c r="X269" s="3">
        <f t="shared" si="255"/>
        <v>2.5762169958598376E-2</v>
      </c>
      <c r="Y269" s="3">
        <f t="shared" si="255"/>
        <v>2.560129108349949E-2</v>
      </c>
      <c r="Z269" s="3">
        <f t="shared" si="255"/>
        <v>2.4046735821850879E-2</v>
      </c>
      <c r="AA269" s="3">
        <f t="shared" si="255"/>
        <v>1.2852830478926901E-2</v>
      </c>
      <c r="AB269" s="3">
        <f t="shared" si="255"/>
        <v>2.4458242806777361E-5</v>
      </c>
      <c r="AC269" s="3">
        <f t="shared" si="255"/>
        <v>1.5229651942304812E-32</v>
      </c>
      <c r="AD269" s="3">
        <f t="shared" si="255"/>
        <v>1.33455733984819E-304</v>
      </c>
      <c r="AE269" s="3">
        <f t="shared" si="255"/>
        <v>0</v>
      </c>
      <c r="AF269" s="3">
        <f t="shared" si="255"/>
        <v>0</v>
      </c>
      <c r="AG269" s="3"/>
      <c r="AH269" s="3"/>
    </row>
    <row r="270" spans="2:34" x14ac:dyDescent="0.25">
      <c r="B270" s="3">
        <f t="shared" ref="B270:AF270" si="256">$C39*EXP(-B$246/$A39/EXP(-$E$126))</f>
        <v>2.4060337070104312E-2</v>
      </c>
      <c r="C270" s="3">
        <f t="shared" si="256"/>
        <v>2.4060337070104312E-2</v>
      </c>
      <c r="D270" s="3">
        <f t="shared" si="256"/>
        <v>2.4060337070104312E-2</v>
      </c>
      <c r="E270" s="3">
        <f t="shared" si="256"/>
        <v>2.4060337070104312E-2</v>
      </c>
      <c r="F270" s="3">
        <f t="shared" si="256"/>
        <v>2.4060337070104312E-2</v>
      </c>
      <c r="G270" s="3">
        <f t="shared" si="256"/>
        <v>2.4060337070104312E-2</v>
      </c>
      <c r="H270" s="3">
        <f t="shared" si="256"/>
        <v>2.4060337070104312E-2</v>
      </c>
      <c r="I270" s="3">
        <f t="shared" si="256"/>
        <v>2.4060337070104312E-2</v>
      </c>
      <c r="J270" s="3">
        <f t="shared" si="256"/>
        <v>2.4060337070104312E-2</v>
      </c>
      <c r="K270" s="3">
        <f t="shared" si="256"/>
        <v>2.4060337070104312E-2</v>
      </c>
      <c r="L270" s="3">
        <f t="shared" si="256"/>
        <v>2.4060337070104305E-2</v>
      </c>
      <c r="M270" s="3">
        <f t="shared" si="256"/>
        <v>2.4060337070104267E-2</v>
      </c>
      <c r="N270" s="3">
        <f t="shared" si="256"/>
        <v>2.4060337070103851E-2</v>
      </c>
      <c r="O270" s="3">
        <f t="shared" si="256"/>
        <v>2.4060337070099681E-2</v>
      </c>
      <c r="P270" s="3">
        <f t="shared" si="256"/>
        <v>2.4060337070057995E-2</v>
      </c>
      <c r="Q270" s="3">
        <f t="shared" si="256"/>
        <v>2.4060337069641134E-2</v>
      </c>
      <c r="R270" s="3">
        <f t="shared" si="256"/>
        <v>2.4060337065472528E-2</v>
      </c>
      <c r="S270" s="3">
        <f t="shared" si="256"/>
        <v>2.4060337023786481E-2</v>
      </c>
      <c r="T270" s="3">
        <f t="shared" si="256"/>
        <v>2.4060336606926004E-2</v>
      </c>
      <c r="U270" s="3">
        <f t="shared" si="256"/>
        <v>2.4060332438321633E-2</v>
      </c>
      <c r="V270" s="3">
        <f t="shared" si="256"/>
        <v>2.4060290752317647E-2</v>
      </c>
      <c r="W270" s="3">
        <f t="shared" si="256"/>
        <v>2.4059873896250066E-2</v>
      </c>
      <c r="X270" s="3">
        <f t="shared" si="256"/>
        <v>2.405570573277634E-2</v>
      </c>
      <c r="Y270" s="3">
        <f t="shared" si="256"/>
        <v>2.4014063792794995E-2</v>
      </c>
      <c r="Z270" s="3">
        <f t="shared" si="256"/>
        <v>2.3601588539818558E-2</v>
      </c>
      <c r="AA270" s="3">
        <f t="shared" si="256"/>
        <v>1.9847096564538411E-2</v>
      </c>
      <c r="AB270" s="3">
        <f t="shared" si="256"/>
        <v>3.5095744694353679E-3</v>
      </c>
      <c r="AC270" s="3">
        <f t="shared" si="256"/>
        <v>1.0491298794084436E-10</v>
      </c>
      <c r="AD270" s="3">
        <f t="shared" si="256"/>
        <v>5.9782929791915057E-86</v>
      </c>
      <c r="AE270" s="3">
        <f t="shared" si="256"/>
        <v>0</v>
      </c>
      <c r="AF270" s="3">
        <f t="shared" si="256"/>
        <v>0</v>
      </c>
      <c r="AG270" s="3"/>
      <c r="AH270" s="3"/>
    </row>
    <row r="271" spans="2:34" x14ac:dyDescent="0.25">
      <c r="B271" s="3">
        <f t="shared" ref="B271:AF271" si="257">$C40*EXP(-B$246/$A40/EXP(-$E$126))</f>
        <v>1.2267955807966149E-2</v>
      </c>
      <c r="C271" s="3">
        <f t="shared" si="257"/>
        <v>1.2267955807966149E-2</v>
      </c>
      <c r="D271" s="3">
        <f t="shared" si="257"/>
        <v>1.2267955807966149E-2</v>
      </c>
      <c r="E271" s="3">
        <f t="shared" si="257"/>
        <v>1.2267955807966149E-2</v>
      </c>
      <c r="F271" s="3">
        <f t="shared" si="257"/>
        <v>1.2267955807966149E-2</v>
      </c>
      <c r="G271" s="3">
        <f t="shared" si="257"/>
        <v>1.2267955807966149E-2</v>
      </c>
      <c r="H271" s="3">
        <f t="shared" si="257"/>
        <v>1.2267955807966149E-2</v>
      </c>
      <c r="I271" s="3">
        <f t="shared" si="257"/>
        <v>1.2267955807966149E-2</v>
      </c>
      <c r="J271" s="3">
        <f t="shared" si="257"/>
        <v>1.2267955807966149E-2</v>
      </c>
      <c r="K271" s="3">
        <f t="shared" si="257"/>
        <v>1.2267955807966149E-2</v>
      </c>
      <c r="L271" s="3">
        <f t="shared" si="257"/>
        <v>1.2267955807966149E-2</v>
      </c>
      <c r="M271" s="3">
        <f t="shared" si="257"/>
        <v>1.2267955807966146E-2</v>
      </c>
      <c r="N271" s="3">
        <f t="shared" si="257"/>
        <v>1.2267955807966127E-2</v>
      </c>
      <c r="O271" s="3">
        <f t="shared" si="257"/>
        <v>1.2267955807965913E-2</v>
      </c>
      <c r="P271" s="3">
        <f t="shared" si="257"/>
        <v>1.2267955807963788E-2</v>
      </c>
      <c r="Q271" s="3">
        <f t="shared" si="257"/>
        <v>1.2267955807942533E-2</v>
      </c>
      <c r="R271" s="3">
        <f t="shared" si="257"/>
        <v>1.2267955807729982E-2</v>
      </c>
      <c r="S271" s="3">
        <f t="shared" si="257"/>
        <v>1.2267955805604481E-2</v>
      </c>
      <c r="T271" s="3">
        <f t="shared" si="257"/>
        <v>1.2267955784349477E-2</v>
      </c>
      <c r="U271" s="3">
        <f t="shared" si="257"/>
        <v>1.2267955571799424E-2</v>
      </c>
      <c r="V271" s="3">
        <f t="shared" si="257"/>
        <v>1.2267953446299102E-2</v>
      </c>
      <c r="W271" s="3">
        <f t="shared" si="257"/>
        <v>1.226793219131613E-2</v>
      </c>
      <c r="X271" s="3">
        <f t="shared" si="257"/>
        <v>1.2267719643511815E-2</v>
      </c>
      <c r="Y271" s="3">
        <f t="shared" si="257"/>
        <v>1.2265594367995222E-2</v>
      </c>
      <c r="Z271" s="3">
        <f t="shared" si="257"/>
        <v>1.2244361852508816E-2</v>
      </c>
      <c r="AA271" s="3">
        <f t="shared" si="257"/>
        <v>1.2034047750896247E-2</v>
      </c>
      <c r="AB271" s="3">
        <f t="shared" si="257"/>
        <v>1.0119696281093637E-2</v>
      </c>
      <c r="AC271" s="3">
        <f t="shared" si="257"/>
        <v>1.7894722077396348E-3</v>
      </c>
      <c r="AD271" s="3">
        <f t="shared" si="257"/>
        <v>5.3493344502608168E-11</v>
      </c>
      <c r="AE271" s="3">
        <f t="shared" si="257"/>
        <v>3.0482297011094083E-86</v>
      </c>
      <c r="AF271" s="3">
        <f t="shared" si="257"/>
        <v>0</v>
      </c>
      <c r="AG271" s="3"/>
      <c r="AH271" s="3"/>
    </row>
    <row r="272" spans="2:34" x14ac:dyDescent="0.25">
      <c r="B272" s="3">
        <f t="shared" ref="B272:AF272" si="258">$C41*EXP(-B$246/$A41/EXP(-$E$126))</f>
        <v>7.7350329579382458E-4</v>
      </c>
      <c r="C272" s="3">
        <f t="shared" si="258"/>
        <v>7.7350329579382458E-4</v>
      </c>
      <c r="D272" s="3">
        <f t="shared" si="258"/>
        <v>7.7350329579382458E-4</v>
      </c>
      <c r="E272" s="3">
        <f t="shared" si="258"/>
        <v>7.7350329579382458E-4</v>
      </c>
      <c r="F272" s="3">
        <f t="shared" si="258"/>
        <v>7.7350329579382458E-4</v>
      </c>
      <c r="G272" s="3">
        <f t="shared" si="258"/>
        <v>7.7350329579382458E-4</v>
      </c>
      <c r="H272" s="3">
        <f t="shared" si="258"/>
        <v>7.7350329579382458E-4</v>
      </c>
      <c r="I272" s="3">
        <f t="shared" si="258"/>
        <v>7.7350329579382458E-4</v>
      </c>
      <c r="J272" s="3">
        <f t="shared" si="258"/>
        <v>7.7350329579382458E-4</v>
      </c>
      <c r="K272" s="3">
        <f t="shared" si="258"/>
        <v>7.7350329579382458E-4</v>
      </c>
      <c r="L272" s="3">
        <f t="shared" si="258"/>
        <v>7.7350329579382458E-4</v>
      </c>
      <c r="M272" s="3">
        <f t="shared" si="258"/>
        <v>7.7350329579382458E-4</v>
      </c>
      <c r="N272" s="3">
        <f t="shared" si="258"/>
        <v>7.7350329579382437E-4</v>
      </c>
      <c r="O272" s="3">
        <f t="shared" si="258"/>
        <v>7.7350329579382318E-4</v>
      </c>
      <c r="P272" s="3">
        <f t="shared" si="258"/>
        <v>7.7350329579380973E-4</v>
      </c>
      <c r="Q272" s="3">
        <f t="shared" si="258"/>
        <v>7.7350329579367572E-4</v>
      </c>
      <c r="R272" s="3">
        <f t="shared" si="258"/>
        <v>7.7350329579233554E-4</v>
      </c>
      <c r="S272" s="3">
        <f t="shared" si="258"/>
        <v>7.7350329577893404E-4</v>
      </c>
      <c r="T272" s="3">
        <f t="shared" si="258"/>
        <v>7.7350329564491982E-4</v>
      </c>
      <c r="U272" s="3">
        <f t="shared" si="258"/>
        <v>7.7350329430477666E-4</v>
      </c>
      <c r="V272" s="3">
        <f t="shared" si="258"/>
        <v>7.7350328090334544E-4</v>
      </c>
      <c r="W272" s="3">
        <f t="shared" si="258"/>
        <v>7.7350314688904589E-4</v>
      </c>
      <c r="X272" s="3">
        <f t="shared" si="258"/>
        <v>7.7350180674732726E-4</v>
      </c>
      <c r="Y272" s="3">
        <f t="shared" si="258"/>
        <v>7.7348840545784386E-4</v>
      </c>
      <c r="Z272" s="3">
        <f t="shared" si="258"/>
        <v>7.7335440533245323E-4</v>
      </c>
      <c r="AA272" s="3">
        <f t="shared" si="258"/>
        <v>7.7201568020466421E-4</v>
      </c>
      <c r="AB272" s="3">
        <f t="shared" si="258"/>
        <v>7.5875522725751517E-4</v>
      </c>
      <c r="AC272" s="3">
        <f t="shared" si="258"/>
        <v>6.3805401228912196E-4</v>
      </c>
      <c r="AD272" s="3">
        <f t="shared" si="258"/>
        <v>1.1282748911756418E-4</v>
      </c>
      <c r="AE272" s="3">
        <f t="shared" si="258"/>
        <v>3.3727932284312365E-12</v>
      </c>
      <c r="AF272" s="3">
        <f t="shared" si="258"/>
        <v>1.9219303990431021E-87</v>
      </c>
      <c r="AG272" s="3"/>
      <c r="AH272" s="3"/>
    </row>
    <row r="273" spans="1:34" x14ac:dyDescent="0.25">
      <c r="B273" s="3">
        <f t="shared" ref="B273:AF273" si="259">$C42*EXP(-B$246/$A42/EXP(-$E$126))</f>
        <v>2.8862774017939779E-3</v>
      </c>
      <c r="C273" s="3">
        <f t="shared" si="259"/>
        <v>2.8862774017939779E-3</v>
      </c>
      <c r="D273" s="3">
        <f t="shared" si="259"/>
        <v>2.8862774017939779E-3</v>
      </c>
      <c r="E273" s="3">
        <f t="shared" si="259"/>
        <v>2.8862774017939779E-3</v>
      </c>
      <c r="F273" s="3">
        <f t="shared" si="259"/>
        <v>2.8862774017939779E-3</v>
      </c>
      <c r="G273" s="3">
        <f t="shared" si="259"/>
        <v>2.8862774017939779E-3</v>
      </c>
      <c r="H273" s="3">
        <f t="shared" si="259"/>
        <v>2.8862774017939779E-3</v>
      </c>
      <c r="I273" s="3">
        <f t="shared" si="259"/>
        <v>2.8862774017939779E-3</v>
      </c>
      <c r="J273" s="3">
        <f t="shared" si="259"/>
        <v>2.8862774017939779E-3</v>
      </c>
      <c r="K273" s="3">
        <f t="shared" si="259"/>
        <v>2.8862774017939779E-3</v>
      </c>
      <c r="L273" s="3">
        <f t="shared" si="259"/>
        <v>2.8862774017939779E-3</v>
      </c>
      <c r="M273" s="3">
        <f t="shared" si="259"/>
        <v>2.8862774017939779E-3</v>
      </c>
      <c r="N273" s="3">
        <f t="shared" si="259"/>
        <v>2.8862774017939779E-3</v>
      </c>
      <c r="O273" s="3">
        <f t="shared" si="259"/>
        <v>2.8862774017939775E-3</v>
      </c>
      <c r="P273" s="3">
        <f t="shared" si="259"/>
        <v>2.8862774017939723E-3</v>
      </c>
      <c r="Q273" s="3">
        <f t="shared" si="259"/>
        <v>2.8862774017939224E-3</v>
      </c>
      <c r="R273" s="3">
        <f t="shared" si="259"/>
        <v>2.8862774017934223E-3</v>
      </c>
      <c r="S273" s="3">
        <f t="shared" si="259"/>
        <v>2.8862774017884216E-3</v>
      </c>
      <c r="T273" s="3">
        <f t="shared" si="259"/>
        <v>2.8862774017384151E-3</v>
      </c>
      <c r="U273" s="3">
        <f t="shared" si="259"/>
        <v>2.8862774012383494E-3</v>
      </c>
      <c r="V273" s="3">
        <f t="shared" si="259"/>
        <v>2.886277396237692E-3</v>
      </c>
      <c r="W273" s="3">
        <f t="shared" si="259"/>
        <v>2.8862773462311202E-3</v>
      </c>
      <c r="X273" s="3">
        <f t="shared" si="259"/>
        <v>2.8862768461654499E-3</v>
      </c>
      <c r="Y273" s="3">
        <f t="shared" si="259"/>
        <v>2.8862718455135083E-3</v>
      </c>
      <c r="Z273" s="3">
        <f t="shared" si="259"/>
        <v>2.8862218394706111E-3</v>
      </c>
      <c r="AA273" s="3">
        <f t="shared" si="259"/>
        <v>2.8857218266899859E-3</v>
      </c>
      <c r="AB273" s="3">
        <f t="shared" si="259"/>
        <v>2.8807264606656104E-3</v>
      </c>
      <c r="AC273" s="3">
        <f t="shared" si="259"/>
        <v>2.8312459401726368E-3</v>
      </c>
      <c r="AD273" s="3">
        <f t="shared" si="259"/>
        <v>2.3808571816156089E-3</v>
      </c>
      <c r="AE273" s="3">
        <f t="shared" si="259"/>
        <v>4.2100846100077001E-4</v>
      </c>
      <c r="AF273" s="3">
        <f t="shared" si="259"/>
        <v>1.2585359272650887E-11</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1.5898164143456024E-4</v>
      </c>
      <c r="C275" s="3">
        <f t="shared" si="261"/>
        <v>1.5898164143456024E-4</v>
      </c>
      <c r="D275" s="3">
        <f t="shared" si="261"/>
        <v>1.5898164143456024E-4</v>
      </c>
      <c r="E275" s="3">
        <f t="shared" si="261"/>
        <v>1.5898164143456024E-4</v>
      </c>
      <c r="F275" s="3">
        <f t="shared" si="261"/>
        <v>1.5898164143456024E-4</v>
      </c>
      <c r="G275" s="3">
        <f t="shared" si="261"/>
        <v>1.5898164143456024E-4</v>
      </c>
      <c r="H275" s="3">
        <f t="shared" si="261"/>
        <v>1.5898164143456024E-4</v>
      </c>
      <c r="I275" s="3">
        <f t="shared" si="261"/>
        <v>1.5898164143456024E-4</v>
      </c>
      <c r="J275" s="3">
        <f t="shared" si="261"/>
        <v>1.5898164143456024E-4</v>
      </c>
      <c r="K275" s="3">
        <f t="shared" si="261"/>
        <v>1.5898164143456024E-4</v>
      </c>
      <c r="L275" s="3">
        <f t="shared" si="261"/>
        <v>1.5898164143456024E-4</v>
      </c>
      <c r="M275" s="3">
        <f t="shared" si="261"/>
        <v>1.5898164143456024E-4</v>
      </c>
      <c r="N275" s="3">
        <f t="shared" si="261"/>
        <v>1.5898164143456024E-4</v>
      </c>
      <c r="O275" s="3">
        <f t="shared" si="261"/>
        <v>1.5898164143456024E-4</v>
      </c>
      <c r="P275" s="3">
        <f t="shared" si="261"/>
        <v>1.5898164143456024E-4</v>
      </c>
      <c r="Q275" s="3">
        <f t="shared" si="261"/>
        <v>1.5898164143456021E-4</v>
      </c>
      <c r="R275" s="3">
        <f t="shared" si="261"/>
        <v>1.5898164143455994E-4</v>
      </c>
      <c r="S275" s="3">
        <f t="shared" si="261"/>
        <v>1.5898164143455718E-4</v>
      </c>
      <c r="T275" s="3">
        <f t="shared" si="261"/>
        <v>1.5898164143452964E-4</v>
      </c>
      <c r="U275" s="3">
        <f t="shared" si="261"/>
        <v>1.589816414342542E-4</v>
      </c>
      <c r="V275" s="3">
        <f t="shared" si="261"/>
        <v>1.5898164143149973E-4</v>
      </c>
      <c r="W275" s="3">
        <f t="shared" si="261"/>
        <v>1.5898164140395516E-4</v>
      </c>
      <c r="X275" s="3">
        <f t="shared" si="261"/>
        <v>1.5898164112850948E-4</v>
      </c>
      <c r="Y275" s="3">
        <f t="shared" si="261"/>
        <v>1.589816383740525E-4</v>
      </c>
      <c r="Z275" s="3">
        <f t="shared" si="261"/>
        <v>1.5898161082948556E-4</v>
      </c>
      <c r="AA275" s="3">
        <f t="shared" si="261"/>
        <v>1.5898133538407849E-4</v>
      </c>
      <c r="AB275" s="3">
        <f t="shared" si="261"/>
        <v>1.589785809562551E-4</v>
      </c>
      <c r="AC275" s="3">
        <f t="shared" si="261"/>
        <v>1.5895103930258292E-4</v>
      </c>
      <c r="AD275" s="3">
        <f t="shared" si="261"/>
        <v>1.586758850538513E-4</v>
      </c>
      <c r="AE275" s="3">
        <f t="shared" si="261"/>
        <v>1.5595040400268143E-4</v>
      </c>
      <c r="AF275" s="3">
        <f t="shared" si="261"/>
        <v>1.3114213572099629E-4</v>
      </c>
      <c r="AG275" s="3"/>
      <c r="AH275" s="3"/>
    </row>
    <row r="276" spans="1:34" x14ac:dyDescent="0.25">
      <c r="B276" s="3">
        <f t="shared" ref="B276:AF276" si="262">$C45*EXP(-B$246/$A45/EXP(-$E$126))</f>
        <v>1.3061991748101505E-4</v>
      </c>
      <c r="C276" s="3">
        <f t="shared" si="262"/>
        <v>1.3061991748101505E-4</v>
      </c>
      <c r="D276" s="3">
        <f t="shared" si="262"/>
        <v>1.3061991748101505E-4</v>
      </c>
      <c r="E276" s="3">
        <f t="shared" si="262"/>
        <v>1.3061991748101505E-4</v>
      </c>
      <c r="F276" s="3">
        <f t="shared" si="262"/>
        <v>1.3061991748101505E-4</v>
      </c>
      <c r="G276" s="3">
        <f t="shared" si="262"/>
        <v>1.3061991748101505E-4</v>
      </c>
      <c r="H276" s="3">
        <f t="shared" si="262"/>
        <v>1.3061991748101505E-4</v>
      </c>
      <c r="I276" s="3">
        <f t="shared" si="262"/>
        <v>1.3061991748101505E-4</v>
      </c>
      <c r="J276" s="3">
        <f t="shared" si="262"/>
        <v>1.3061991748101505E-4</v>
      </c>
      <c r="K276" s="3">
        <f t="shared" si="262"/>
        <v>1.3061991748101505E-4</v>
      </c>
      <c r="L276" s="3">
        <f t="shared" si="262"/>
        <v>1.3061991748101505E-4</v>
      </c>
      <c r="M276" s="3">
        <f t="shared" si="262"/>
        <v>1.3061991748101505E-4</v>
      </c>
      <c r="N276" s="3">
        <f t="shared" si="262"/>
        <v>1.3061991748101505E-4</v>
      </c>
      <c r="O276" s="3">
        <f t="shared" si="262"/>
        <v>1.3061991748101505E-4</v>
      </c>
      <c r="P276" s="3">
        <f t="shared" si="262"/>
        <v>1.3061991748101505E-4</v>
      </c>
      <c r="Q276" s="3">
        <f t="shared" si="262"/>
        <v>1.3061991748101505E-4</v>
      </c>
      <c r="R276" s="3">
        <f t="shared" si="262"/>
        <v>1.3061991748101502E-4</v>
      </c>
      <c r="S276" s="3">
        <f t="shared" si="262"/>
        <v>1.306199174810148E-4</v>
      </c>
      <c r="T276" s="3">
        <f t="shared" si="262"/>
        <v>1.3061991748101253E-4</v>
      </c>
      <c r="U276" s="3">
        <f t="shared" si="262"/>
        <v>1.3061991748098989E-4</v>
      </c>
      <c r="V276" s="3">
        <f t="shared" si="262"/>
        <v>1.3061991748076359E-4</v>
      </c>
      <c r="W276" s="3">
        <f t="shared" si="262"/>
        <v>1.3061991747850051E-4</v>
      </c>
      <c r="X276" s="3">
        <f t="shared" si="262"/>
        <v>1.306199174558698E-4</v>
      </c>
      <c r="Y276" s="3">
        <f t="shared" si="262"/>
        <v>1.3061991722956257E-4</v>
      </c>
      <c r="Z276" s="3">
        <f t="shared" si="262"/>
        <v>1.3061991496649033E-4</v>
      </c>
      <c r="AA276" s="3">
        <f t="shared" si="262"/>
        <v>1.3061989233577E-4</v>
      </c>
      <c r="AB276" s="3">
        <f t="shared" si="262"/>
        <v>1.306196660287825E-4</v>
      </c>
      <c r="AC276" s="3">
        <f t="shared" si="262"/>
        <v>1.3061740298047231E-4</v>
      </c>
      <c r="AD276" s="3">
        <f t="shared" si="262"/>
        <v>1.3059477465372034E-4</v>
      </c>
      <c r="AE276" s="3">
        <f t="shared" si="262"/>
        <v>1.3036870688300437E-4</v>
      </c>
      <c r="AF276" s="3">
        <f t="shared" si="262"/>
        <v>1.28129441350283E-4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8.1332295555460314E-5</v>
      </c>
      <c r="C278" s="3">
        <f t="shared" si="264"/>
        <v>8.1332295555460314E-5</v>
      </c>
      <c r="D278" s="3">
        <f t="shared" si="264"/>
        <v>8.1332295555460314E-5</v>
      </c>
      <c r="E278" s="3">
        <f t="shared" si="264"/>
        <v>8.1332295555460314E-5</v>
      </c>
      <c r="F278" s="3">
        <f t="shared" si="264"/>
        <v>8.1332295555460314E-5</v>
      </c>
      <c r="G278" s="3">
        <f t="shared" si="264"/>
        <v>8.1332295555460314E-5</v>
      </c>
      <c r="H278" s="3">
        <f t="shared" si="264"/>
        <v>8.1332295555460314E-5</v>
      </c>
      <c r="I278" s="3">
        <f t="shared" si="264"/>
        <v>8.1332295555460314E-5</v>
      </c>
      <c r="J278" s="3">
        <f t="shared" si="264"/>
        <v>8.1332295555460314E-5</v>
      </c>
      <c r="K278" s="3">
        <f t="shared" si="264"/>
        <v>8.1332295555460314E-5</v>
      </c>
      <c r="L278" s="3">
        <f t="shared" si="264"/>
        <v>8.1332295555460314E-5</v>
      </c>
      <c r="M278" s="3">
        <f t="shared" si="264"/>
        <v>8.1332295555460314E-5</v>
      </c>
      <c r="N278" s="3">
        <f t="shared" si="264"/>
        <v>8.1332295555460314E-5</v>
      </c>
      <c r="O278" s="3">
        <f t="shared" si="264"/>
        <v>8.1332295555460314E-5</v>
      </c>
      <c r="P278" s="3">
        <f t="shared" si="264"/>
        <v>8.1332295555460314E-5</v>
      </c>
      <c r="Q278" s="3">
        <f t="shared" si="264"/>
        <v>8.1332295555460314E-5</v>
      </c>
      <c r="R278" s="3">
        <f t="shared" si="264"/>
        <v>8.1332295555460314E-5</v>
      </c>
      <c r="S278" s="3">
        <f t="shared" si="264"/>
        <v>8.1332295555460314E-5</v>
      </c>
      <c r="T278" s="3">
        <f t="shared" si="264"/>
        <v>8.13322955554603E-5</v>
      </c>
      <c r="U278" s="3">
        <f t="shared" si="264"/>
        <v>8.1332295555460165E-5</v>
      </c>
      <c r="V278" s="3">
        <f t="shared" si="264"/>
        <v>8.1332295555458755E-5</v>
      </c>
      <c r="W278" s="3">
        <f t="shared" si="264"/>
        <v>8.1332295555444661E-5</v>
      </c>
      <c r="X278" s="3">
        <f t="shared" si="264"/>
        <v>8.1332295555303742E-5</v>
      </c>
      <c r="Y278" s="3">
        <f t="shared" si="264"/>
        <v>8.1332295553894604E-5</v>
      </c>
      <c r="Z278" s="3">
        <f t="shared" si="264"/>
        <v>8.1332295539803283E-5</v>
      </c>
      <c r="AA278" s="3">
        <f t="shared" si="264"/>
        <v>8.133229539888996E-5</v>
      </c>
      <c r="AB278" s="3">
        <f t="shared" si="264"/>
        <v>8.1332293989756774E-5</v>
      </c>
      <c r="AC278" s="3">
        <f t="shared" si="264"/>
        <v>8.1332279898426227E-5</v>
      </c>
      <c r="AD278" s="3">
        <f t="shared" si="264"/>
        <v>8.1332138985255027E-5</v>
      </c>
      <c r="AE278" s="3">
        <f t="shared" si="264"/>
        <v>8.133072986697069E-5</v>
      </c>
      <c r="AF278" s="3">
        <f t="shared" si="264"/>
        <v>8.1316640026808399E-5</v>
      </c>
      <c r="AG278" s="3"/>
      <c r="AH278" s="3"/>
    </row>
    <row r="279" spans="1:34" x14ac:dyDescent="0.25">
      <c r="B279" s="3">
        <f t="shared" ref="B279:AF279" si="265">$C48*EXP(-B$246/$A48/EXP(-$E$126))</f>
        <v>6.4178085162845428E-4</v>
      </c>
      <c r="C279" s="3">
        <f t="shared" si="265"/>
        <v>6.4178085162845428E-4</v>
      </c>
      <c r="D279" s="3">
        <f t="shared" si="265"/>
        <v>6.4178085162845428E-4</v>
      </c>
      <c r="E279" s="3">
        <f t="shared" si="265"/>
        <v>6.4178085162845428E-4</v>
      </c>
      <c r="F279" s="3">
        <f t="shared" si="265"/>
        <v>6.4178085162845428E-4</v>
      </c>
      <c r="G279" s="3">
        <f t="shared" si="265"/>
        <v>6.4178085162845428E-4</v>
      </c>
      <c r="H279" s="3">
        <f t="shared" si="265"/>
        <v>6.4178085162845428E-4</v>
      </c>
      <c r="I279" s="3">
        <f t="shared" si="265"/>
        <v>6.4178085162845428E-4</v>
      </c>
      <c r="J279" s="3">
        <f t="shared" si="265"/>
        <v>6.4178085162845428E-4</v>
      </c>
      <c r="K279" s="3">
        <f t="shared" si="265"/>
        <v>6.4178085162845428E-4</v>
      </c>
      <c r="L279" s="3">
        <f t="shared" si="265"/>
        <v>6.4178085162845428E-4</v>
      </c>
      <c r="M279" s="3">
        <f t="shared" si="265"/>
        <v>6.4178085162845428E-4</v>
      </c>
      <c r="N279" s="3">
        <f t="shared" si="265"/>
        <v>6.4178085162845428E-4</v>
      </c>
      <c r="O279" s="3">
        <f t="shared" si="265"/>
        <v>6.4178085162845428E-4</v>
      </c>
      <c r="P279" s="3">
        <f t="shared" si="265"/>
        <v>6.4178085162845428E-4</v>
      </c>
      <c r="Q279" s="3">
        <f t="shared" si="265"/>
        <v>6.4178085162845428E-4</v>
      </c>
      <c r="R279" s="3">
        <f t="shared" si="265"/>
        <v>6.4178085162845428E-4</v>
      </c>
      <c r="S279" s="3">
        <f t="shared" si="265"/>
        <v>6.4178085162845428E-4</v>
      </c>
      <c r="T279" s="3">
        <f t="shared" si="265"/>
        <v>6.4178085162845428E-4</v>
      </c>
      <c r="U279" s="3">
        <f t="shared" si="265"/>
        <v>6.4178085162845417E-4</v>
      </c>
      <c r="V279" s="3">
        <f t="shared" si="265"/>
        <v>6.4178085162845309E-4</v>
      </c>
      <c r="W279" s="3">
        <f t="shared" si="265"/>
        <v>6.4178085162844192E-4</v>
      </c>
      <c r="X279" s="3">
        <f t="shared" si="265"/>
        <v>6.4178085162833068E-4</v>
      </c>
      <c r="Y279" s="3">
        <f t="shared" si="265"/>
        <v>6.4178085162721883E-4</v>
      </c>
      <c r="Z279" s="3">
        <f t="shared" si="265"/>
        <v>6.4178085161609958E-4</v>
      </c>
      <c r="AA279" s="3">
        <f t="shared" si="265"/>
        <v>6.4178085150490695E-4</v>
      </c>
      <c r="AB279" s="3">
        <f t="shared" si="265"/>
        <v>6.4178085039298129E-4</v>
      </c>
      <c r="AC279" s="3">
        <f t="shared" si="265"/>
        <v>6.417808392737243E-4</v>
      </c>
      <c r="AD279" s="3">
        <f t="shared" si="265"/>
        <v>6.4178072808116469E-4</v>
      </c>
      <c r="AE279" s="3">
        <f t="shared" si="265"/>
        <v>6.4177961615662841E-4</v>
      </c>
      <c r="AF279" s="3">
        <f t="shared" si="265"/>
        <v>6.4176849701722157E-4</v>
      </c>
      <c r="AG279" s="3"/>
      <c r="AH279" s="3"/>
    </row>
    <row r="280" spans="1:34" x14ac:dyDescent="0.25">
      <c r="A280" s="79">
        <f>AVERAGE(B280:AF280)</f>
        <v>4.4660987430797584E-2</v>
      </c>
      <c r="B280" s="80">
        <f>IF($D$61&lt;=B246,IF($E$61&gt;=B246,ABS((B248-B247)/B247),0),0)</f>
        <v>7.3542702044208817E-3</v>
      </c>
      <c r="C280" s="80">
        <f t="shared" ref="C280:AF280" si="266">IF($D$61&lt;=C246,IF($E$61&gt;=C246,ABS((C248-C247)/C247),0),0)</f>
        <v>7.3641412390939177E-3</v>
      </c>
      <c r="D280" s="80">
        <f t="shared" si="266"/>
        <v>7.3588523691531698E-3</v>
      </c>
      <c r="E280" s="80">
        <f t="shared" si="266"/>
        <v>7.3575085915212907E-3</v>
      </c>
      <c r="F280" s="80">
        <f t="shared" si="266"/>
        <v>7.3573228593036858E-3</v>
      </c>
      <c r="G280" s="80">
        <f t="shared" si="266"/>
        <v>7.3592019934459046E-3</v>
      </c>
      <c r="H280" s="80">
        <f t="shared" si="266"/>
        <v>7.3791184124460448E-3</v>
      </c>
      <c r="I280" s="80">
        <f t="shared" si="266"/>
        <v>7.5763111935377601E-3</v>
      </c>
      <c r="J280" s="80">
        <f t="shared" si="266"/>
        <v>9.3358999211381414E-3</v>
      </c>
      <c r="K280" s="80">
        <f t="shared" si="266"/>
        <v>1.8027375557692207E-2</v>
      </c>
      <c r="L280" s="80">
        <f t="shared" si="266"/>
        <v>3.6537140210049113E-2</v>
      </c>
      <c r="M280" s="80">
        <f t="shared" si="266"/>
        <v>4.218703086803928E-2</v>
      </c>
      <c r="N280" s="80">
        <f t="shared" si="266"/>
        <v>4.863963046585372E-2</v>
      </c>
      <c r="O280" s="80">
        <f t="shared" si="266"/>
        <v>5.7925624803748826E-2</v>
      </c>
      <c r="P280" s="80">
        <f t="shared" si="266"/>
        <v>6.1598933420649461E-2</v>
      </c>
      <c r="Q280" s="80">
        <f t="shared" si="266"/>
        <v>7.6332995065986495E-2</v>
      </c>
      <c r="R280" s="80">
        <f t="shared" si="266"/>
        <v>8.1788564153777402E-2</v>
      </c>
      <c r="S280" s="80">
        <f t="shared" si="266"/>
        <v>5.6904067304225384E-2</v>
      </c>
      <c r="T280" s="80">
        <f t="shared" si="266"/>
        <v>3.5787101865135368E-2</v>
      </c>
      <c r="U280" s="80">
        <f t="shared" si="266"/>
        <v>0.165399306966964</v>
      </c>
      <c r="V280" s="80">
        <f t="shared" si="266"/>
        <v>0.19932273713370713</v>
      </c>
      <c r="W280" s="80">
        <f t="shared" si="266"/>
        <v>9.3462015826988626E-2</v>
      </c>
      <c r="X280" s="80">
        <f t="shared" si="266"/>
        <v>7.7659421400875825E-2</v>
      </c>
      <c r="Y280" s="80">
        <f t="shared" si="266"/>
        <v>0.26447603852697149</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2872.1397498573942</v>
      </c>
      <c r="C281" s="21">
        <f t="shared" ref="C281:AF281" si="267">(C248-C247)^2</f>
        <v>2879.9122753415636</v>
      </c>
      <c r="D281" s="21">
        <f t="shared" si="267"/>
        <v>2875.7464424390873</v>
      </c>
      <c r="E281" s="21">
        <f t="shared" si="267"/>
        <v>2874.6883750846978</v>
      </c>
      <c r="F281" s="21">
        <f t="shared" si="267"/>
        <v>2874.5409898546227</v>
      </c>
      <c r="G281" s="21">
        <f t="shared" si="267"/>
        <v>2876.0086883629156</v>
      </c>
      <c r="H281" s="21">
        <f t="shared" si="267"/>
        <v>2891.5946274069452</v>
      </c>
      <c r="I281" s="21">
        <f t="shared" si="267"/>
        <v>3048.1858894865786</v>
      </c>
      <c r="J281" s="21">
        <f t="shared" si="267"/>
        <v>4628.2008870056261</v>
      </c>
      <c r="K281" s="21">
        <f t="shared" si="267"/>
        <v>17246.720044216981</v>
      </c>
      <c r="L281" s="21">
        <f t="shared" si="267"/>
        <v>70452.469455689439</v>
      </c>
      <c r="M281" s="21">
        <f t="shared" si="267"/>
        <v>91077.906640843925</v>
      </c>
      <c r="N281" s="21">
        <f t="shared" si="267"/>
        <v>116322.5805588066</v>
      </c>
      <c r="O281" s="21">
        <f t="shared" si="267"/>
        <v>157662.11185580119</v>
      </c>
      <c r="P281" s="21">
        <f t="shared" si="267"/>
        <v>168675.17658780658</v>
      </c>
      <c r="Q281" s="21">
        <f t="shared" si="267"/>
        <v>242998.53110044354</v>
      </c>
      <c r="R281" s="21">
        <f t="shared" si="267"/>
        <v>256902.13508209912</v>
      </c>
      <c r="S281" s="21">
        <f t="shared" si="267"/>
        <v>106266.5366607311</v>
      </c>
      <c r="T281" s="21">
        <f t="shared" si="267"/>
        <v>30868.234144527556</v>
      </c>
      <c r="U281" s="21">
        <f t="shared" si="267"/>
        <v>449760.94362976652</v>
      </c>
      <c r="V281" s="21">
        <f t="shared" si="267"/>
        <v>455159.61204569577</v>
      </c>
      <c r="W281" s="21">
        <f t="shared" si="267"/>
        <v>71840.934444347382</v>
      </c>
      <c r="X281" s="21">
        <f t="shared" si="267"/>
        <v>34562.749248838256</v>
      </c>
      <c r="Y281" s="21">
        <f t="shared" si="267"/>
        <v>258673.18446699582</v>
      </c>
      <c r="Z281" s="21">
        <f t="shared" si="267"/>
        <v>385258.63617517485</v>
      </c>
      <c r="AA281" s="21">
        <f t="shared" si="267"/>
        <v>230495.54591579651</v>
      </c>
      <c r="AB281" s="21">
        <f t="shared" si="267"/>
        <v>102868.45199992403</v>
      </c>
      <c r="AC281" s="21">
        <f t="shared" si="267"/>
        <v>28997.399365049474</v>
      </c>
      <c r="AD281" s="21">
        <f t="shared" si="267"/>
        <v>3181.7610262895842</v>
      </c>
      <c r="AE281" s="21">
        <f t="shared" si="267"/>
        <v>369.5359494709748</v>
      </c>
      <c r="AF281" s="21">
        <f t="shared" si="267"/>
        <v>56.008210944145226</v>
      </c>
      <c r="AG281" s="3"/>
      <c r="AH281" s="3"/>
    </row>
    <row r="282" spans="1:34" s="3" customFormat="1" x14ac:dyDescent="0.25">
      <c r="A282" s="71">
        <f>SUM(B282:AF282)</f>
        <v>2556290.8438914488</v>
      </c>
      <c r="B282" s="21">
        <f>IF($D$61&lt;=B246,IF($E$61&gt;=B246,ABS(B281),0),0)</f>
        <v>2872.1397498573942</v>
      </c>
      <c r="C282" s="21">
        <f t="shared" ref="C282:AF282" si="268">IF($D$61&lt;=C246,IF($E$61&gt;=C246,ABS(C281),0),0)</f>
        <v>2879.9122753415636</v>
      </c>
      <c r="D282" s="21">
        <f t="shared" si="268"/>
        <v>2875.7464424390873</v>
      </c>
      <c r="E282" s="21">
        <f t="shared" si="268"/>
        <v>2874.6883750846978</v>
      </c>
      <c r="F282" s="21">
        <f t="shared" si="268"/>
        <v>2874.5409898546227</v>
      </c>
      <c r="G282" s="21">
        <f t="shared" si="268"/>
        <v>2876.0086883629156</v>
      </c>
      <c r="H282" s="21">
        <f t="shared" si="268"/>
        <v>2891.5946274069452</v>
      </c>
      <c r="I282" s="21">
        <f t="shared" si="268"/>
        <v>3048.1858894865786</v>
      </c>
      <c r="J282" s="21">
        <f t="shared" si="268"/>
        <v>4628.2008870056261</v>
      </c>
      <c r="K282" s="21">
        <f t="shared" si="268"/>
        <v>17246.720044216981</v>
      </c>
      <c r="L282" s="21">
        <f t="shared" si="268"/>
        <v>70452.469455689439</v>
      </c>
      <c r="M282" s="21">
        <f t="shared" si="268"/>
        <v>91077.906640843925</v>
      </c>
      <c r="N282" s="21">
        <f t="shared" si="268"/>
        <v>116322.5805588066</v>
      </c>
      <c r="O282" s="21">
        <f t="shared" si="268"/>
        <v>157662.11185580119</v>
      </c>
      <c r="P282" s="21">
        <f t="shared" si="268"/>
        <v>168675.17658780658</v>
      </c>
      <c r="Q282" s="21">
        <f t="shared" si="268"/>
        <v>242998.53110044354</v>
      </c>
      <c r="R282" s="21">
        <f t="shared" si="268"/>
        <v>256902.13508209912</v>
      </c>
      <c r="S282" s="21">
        <f t="shared" si="268"/>
        <v>106266.5366607311</v>
      </c>
      <c r="T282" s="21">
        <f t="shared" si="268"/>
        <v>30868.234144527556</v>
      </c>
      <c r="U282" s="21">
        <f t="shared" si="268"/>
        <v>449760.94362976652</v>
      </c>
      <c r="V282" s="21">
        <f t="shared" si="268"/>
        <v>455159.61204569577</v>
      </c>
      <c r="W282" s="21">
        <f t="shared" si="268"/>
        <v>71840.934444347382</v>
      </c>
      <c r="X282" s="21">
        <f t="shared" si="268"/>
        <v>34562.749248838256</v>
      </c>
      <c r="Y282" s="21">
        <f t="shared" si="268"/>
        <v>258673.18446699582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7233.648956117614</v>
      </c>
      <c r="C287" s="27">
        <f t="shared" ref="C287:AF287" si="269">($C$17+SUM(C288:C318))*$B$51</f>
        <v>7233.6412791989824</v>
      </c>
      <c r="D287" s="27">
        <f t="shared" si="269"/>
        <v>7233.5645573242246</v>
      </c>
      <c r="E287" s="27">
        <f t="shared" si="269"/>
        <v>7232.802041492394</v>
      </c>
      <c r="F287" s="27">
        <f t="shared" si="269"/>
        <v>7225.6202098258036</v>
      </c>
      <c r="G287" s="27">
        <f t="shared" si="269"/>
        <v>7180.2847097811791</v>
      </c>
      <c r="H287" s="27">
        <f t="shared" si="269"/>
        <v>7042.6144842130334</v>
      </c>
      <c r="I287" s="27">
        <f t="shared" si="269"/>
        <v>6896.7269475716612</v>
      </c>
      <c r="J287" s="27">
        <f t="shared" si="269"/>
        <v>6728.1968750247415</v>
      </c>
      <c r="K287" s="27">
        <f t="shared" si="269"/>
        <v>6522.992484665966</v>
      </c>
      <c r="L287" s="27">
        <f t="shared" si="269"/>
        <v>6323.354273537856</v>
      </c>
      <c r="M287" s="27">
        <f t="shared" si="269"/>
        <v>6061.4612963609652</v>
      </c>
      <c r="N287" s="27">
        <f t="shared" si="269"/>
        <v>5776.0139276145001</v>
      </c>
      <c r="O287" s="27">
        <f t="shared" si="269"/>
        <v>5496.5460516795301</v>
      </c>
      <c r="P287" s="27">
        <f t="shared" si="269"/>
        <v>5187.911273033812</v>
      </c>
      <c r="Q287" s="27">
        <f t="shared" si="269"/>
        <v>4846.7075420114816</v>
      </c>
      <c r="R287" s="27">
        <f t="shared" si="269"/>
        <v>4307.2002833778761</v>
      </c>
      <c r="S287" s="27">
        <f t="shared" si="269"/>
        <v>3424.4466105721308</v>
      </c>
      <c r="T287" s="27">
        <f t="shared" si="269"/>
        <v>2457.5417981731944</v>
      </c>
      <c r="U287" s="27">
        <f t="shared" si="269"/>
        <v>1610.9938144812115</v>
      </c>
      <c r="V287" s="27">
        <f t="shared" si="269"/>
        <v>942.68070260422962</v>
      </c>
      <c r="W287" s="27">
        <f t="shared" si="269"/>
        <v>510.33083644733625</v>
      </c>
      <c r="X287" s="27">
        <f t="shared" si="269"/>
        <v>271.3754867871591</v>
      </c>
      <c r="Y287" s="27">
        <f t="shared" si="269"/>
        <v>152.44449079714258</v>
      </c>
      <c r="Z287" s="27">
        <f t="shared" si="269"/>
        <v>114.50494862064728</v>
      </c>
      <c r="AA287" s="27">
        <f t="shared" si="269"/>
        <v>101.04223557281058</v>
      </c>
      <c r="AB287" s="27">
        <f t="shared" si="269"/>
        <v>93.150662547609087</v>
      </c>
      <c r="AC287" s="27">
        <f t="shared" si="269"/>
        <v>92.441337417002643</v>
      </c>
      <c r="AD287" s="27">
        <f t="shared" si="269"/>
        <v>91.488880093311664</v>
      </c>
      <c r="AE287" s="27">
        <f t="shared" si="269"/>
        <v>91.043671812659312</v>
      </c>
      <c r="AF287" s="27">
        <f t="shared" si="269"/>
        <v>90.322572059706687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3.9091269182729834E-3</v>
      </c>
      <c r="C292" s="3">
        <f t="shared" si="274"/>
        <v>3.9084654431290368E-3</v>
      </c>
      <c r="D292" s="3">
        <f t="shared" si="274"/>
        <v>3.9018568447266367E-3</v>
      </c>
      <c r="E292" s="3">
        <f t="shared" si="274"/>
        <v>3.836382329117238E-3</v>
      </c>
      <c r="F292" s="3">
        <f t="shared" si="274"/>
        <v>3.239122596682552E-3</v>
      </c>
      <c r="G292" s="3">
        <f t="shared" si="274"/>
        <v>5.9632418722898543E-4</v>
      </c>
      <c r="H292" s="3">
        <f t="shared" si="274"/>
        <v>2.6670601840572264E-11</v>
      </c>
      <c r="I292" s="3">
        <f t="shared" si="274"/>
        <v>8.541550763784745E-85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2.3295457206913499E-2</v>
      </c>
      <c r="C293" s="3">
        <f t="shared" si="275"/>
        <v>2.3295101587861588E-2</v>
      </c>
      <c r="D293" s="3">
        <f t="shared" si="275"/>
        <v>2.3291545695909362E-2</v>
      </c>
      <c r="E293" s="3">
        <f t="shared" si="275"/>
        <v>2.3256016616216027E-2</v>
      </c>
      <c r="F293" s="3">
        <f t="shared" si="275"/>
        <v>2.2903693016307337E-2</v>
      </c>
      <c r="G293" s="3">
        <f t="shared" si="275"/>
        <v>1.9661079735318606E-2</v>
      </c>
      <c r="H293" s="3">
        <f t="shared" si="275"/>
        <v>4.2719471204342822E-3</v>
      </c>
      <c r="I293" s="3">
        <f t="shared" si="275"/>
        <v>1.00186892345345E-9</v>
      </c>
      <c r="J293" s="3">
        <f t="shared" si="275"/>
        <v>5.0426784931998087E-76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1.9365603205258826E-2</v>
      </c>
      <c r="C294" s="3">
        <f t="shared" si="276"/>
        <v>1.9365576537015004E-2</v>
      </c>
      <c r="D294" s="3">
        <f t="shared" si="276"/>
        <v>1.9365309856596642E-2</v>
      </c>
      <c r="E294" s="3">
        <f t="shared" si="276"/>
        <v>1.9362643254387524E-2</v>
      </c>
      <c r="F294" s="3">
        <f t="shared" si="276"/>
        <v>1.9335997419460481E-2</v>
      </c>
      <c r="G294" s="3">
        <f t="shared" si="276"/>
        <v>1.9071547538517586E-2</v>
      </c>
      <c r="H294" s="3">
        <f t="shared" si="276"/>
        <v>1.6618028075567347E-2</v>
      </c>
      <c r="I294" s="3">
        <f t="shared" si="276"/>
        <v>4.1929050137097098E-3</v>
      </c>
      <c r="J294" s="3">
        <f t="shared" si="276"/>
        <v>4.3839983321167423E-9</v>
      </c>
      <c r="K294" s="3">
        <f t="shared" si="276"/>
        <v>6.8457958357496862E-69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2.4448597084642698E-2</v>
      </c>
      <c r="C295" s="3">
        <f t="shared" si="277"/>
        <v>2.4448594047507016E-2</v>
      </c>
      <c r="D295" s="3">
        <f t="shared" si="277"/>
        <v>2.4448563676170924E-2</v>
      </c>
      <c r="E295" s="3">
        <f t="shared" si="277"/>
        <v>2.4448259964885134E-2</v>
      </c>
      <c r="F295" s="3">
        <f t="shared" si="277"/>
        <v>2.4445223059525737E-2</v>
      </c>
      <c r="G295" s="3">
        <f t="shared" si="277"/>
        <v>2.441487474625019E-2</v>
      </c>
      <c r="H295" s="3">
        <f t="shared" si="277"/>
        <v>2.4113456143977977E-2</v>
      </c>
      <c r="I295" s="3">
        <f t="shared" si="277"/>
        <v>2.1296541036780615E-2</v>
      </c>
      <c r="J295" s="3">
        <f t="shared" si="277"/>
        <v>6.1490095911011719E-3</v>
      </c>
      <c r="K295" s="3">
        <f t="shared" si="277"/>
        <v>2.4760884827669346E-8</v>
      </c>
      <c r="L295" s="3">
        <f t="shared" si="277"/>
        <v>2.7757225686103805E-62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3.2100597343116023E-2</v>
      </c>
      <c r="C296" s="3">
        <f t="shared" si="278"/>
        <v>3.2100596983391551E-2</v>
      </c>
      <c r="D296" s="3">
        <f t="shared" si="278"/>
        <v>3.2100593386147076E-2</v>
      </c>
      <c r="E296" s="3">
        <f t="shared" si="278"/>
        <v>3.2100557413724536E-2</v>
      </c>
      <c r="F296" s="3">
        <f t="shared" si="278"/>
        <v>3.210019769171623E-2</v>
      </c>
      <c r="G296" s="3">
        <f t="shared" si="278"/>
        <v>3.2096600693335128E-2</v>
      </c>
      <c r="H296" s="3">
        <f t="shared" si="278"/>
        <v>3.2060652870530594E-2</v>
      </c>
      <c r="I296" s="3">
        <f t="shared" si="278"/>
        <v>3.1703381582036221E-2</v>
      </c>
      <c r="J296" s="3">
        <f t="shared" si="278"/>
        <v>2.8342479930723034E-2</v>
      </c>
      <c r="K296" s="3">
        <f t="shared" si="278"/>
        <v>9.2418825849465962E-3</v>
      </c>
      <c r="L296" s="3">
        <f t="shared" si="278"/>
        <v>1.2559907336232193E-7</v>
      </c>
      <c r="M296" s="3">
        <f t="shared" si="278"/>
        <v>2.6992699619190629E-56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2.413773560493573E-2</v>
      </c>
      <c r="C297" s="3">
        <f t="shared" si="279"/>
        <v>2.4137735580535159E-2</v>
      </c>
      <c r="D297" s="3">
        <f t="shared" si="279"/>
        <v>2.4137735336529454E-2</v>
      </c>
      <c r="E297" s="3">
        <f t="shared" si="279"/>
        <v>2.4137732896472527E-2</v>
      </c>
      <c r="F297" s="3">
        <f t="shared" si="279"/>
        <v>2.4137708495916801E-2</v>
      </c>
      <c r="G297" s="3">
        <f t="shared" si="279"/>
        <v>2.4137464491716203E-2</v>
      </c>
      <c r="H297" s="3">
        <f t="shared" si="279"/>
        <v>2.4135024585369067E-2</v>
      </c>
      <c r="I297" s="3">
        <f t="shared" si="279"/>
        <v>2.4110639082708656E-2</v>
      </c>
      <c r="J297" s="3">
        <f t="shared" si="279"/>
        <v>2.3868135078749807E-2</v>
      </c>
      <c r="K297" s="3">
        <f t="shared" si="279"/>
        <v>2.157327783622465E-2</v>
      </c>
      <c r="L297" s="3">
        <f t="shared" si="279"/>
        <v>7.8504153168308232E-3</v>
      </c>
      <c r="M297" s="3">
        <f t="shared" si="279"/>
        <v>3.1963740661359007E-7</v>
      </c>
      <c r="N297" s="3">
        <f t="shared" si="279"/>
        <v>4.0022779850360692E-51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4.5517611487172691E-2</v>
      </c>
      <c r="C298" s="3">
        <f t="shared" si="280"/>
        <v>4.5517611483021921E-2</v>
      </c>
      <c r="D298" s="3">
        <f t="shared" si="280"/>
        <v>4.5517611441514137E-2</v>
      </c>
      <c r="E298" s="3">
        <f t="shared" si="280"/>
        <v>4.5517611026436325E-2</v>
      </c>
      <c r="F298" s="3">
        <f t="shared" si="280"/>
        <v>4.5517606875658471E-2</v>
      </c>
      <c r="G298" s="3">
        <f t="shared" si="280"/>
        <v>4.5517565367900727E-2</v>
      </c>
      <c r="H298" s="3">
        <f t="shared" si="280"/>
        <v>4.5517150292405051E-2</v>
      </c>
      <c r="I298" s="3">
        <f t="shared" si="280"/>
        <v>4.5512999745622063E-2</v>
      </c>
      <c r="J298" s="3">
        <f t="shared" si="280"/>
        <v>4.5471515088145439E-2</v>
      </c>
      <c r="K298" s="3">
        <f t="shared" si="280"/>
        <v>4.5058742544276775E-2</v>
      </c>
      <c r="L298" s="3">
        <f t="shared" si="280"/>
        <v>4.1131589739178832E-2</v>
      </c>
      <c r="M298" s="3">
        <f t="shared" si="280"/>
        <v>1.6524935459823656E-2</v>
      </c>
      <c r="N298" s="3">
        <f t="shared" si="280"/>
        <v>1.810433337567028E-6</v>
      </c>
      <c r="O298" s="3">
        <f t="shared" si="280"/>
        <v>4.5103495443415472E-46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3.7438549849998955E-2</v>
      </c>
      <c r="C299" s="3">
        <f t="shared" si="281"/>
        <v>3.7438549849690986E-2</v>
      </c>
      <c r="D299" s="3">
        <f t="shared" si="281"/>
        <v>3.7438549846611234E-2</v>
      </c>
      <c r="E299" s="3">
        <f t="shared" si="281"/>
        <v>3.7438549815813717E-2</v>
      </c>
      <c r="F299" s="3">
        <f t="shared" si="281"/>
        <v>3.7438549507838578E-2</v>
      </c>
      <c r="G299" s="3">
        <f t="shared" si="281"/>
        <v>3.7438546428087346E-2</v>
      </c>
      <c r="H299" s="3">
        <f t="shared" si="281"/>
        <v>3.7438515630588913E-2</v>
      </c>
      <c r="I299" s="3">
        <f t="shared" si="281"/>
        <v>3.7438207656997985E-2</v>
      </c>
      <c r="J299" s="3">
        <f t="shared" si="281"/>
        <v>3.7435128060423782E-2</v>
      </c>
      <c r="K299" s="3">
        <f t="shared" si="281"/>
        <v>3.7404346023944372E-2</v>
      </c>
      <c r="L299" s="3">
        <f t="shared" si="281"/>
        <v>3.7097914355114003E-2</v>
      </c>
      <c r="M299" s="3">
        <f t="shared" si="281"/>
        <v>3.4168331922146272E-2</v>
      </c>
      <c r="N299" s="3">
        <f t="shared" si="281"/>
        <v>1.500951322514789E-2</v>
      </c>
      <c r="O299" s="3">
        <f t="shared" si="281"/>
        <v>4.0160111782647815E-6</v>
      </c>
      <c r="P299" s="3">
        <f t="shared" si="281"/>
        <v>7.5522779360239302E-42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4.1083418704931311E-2</v>
      </c>
      <c r="C300" s="3">
        <f t="shared" si="282"/>
        <v>4.1083418704900822E-2</v>
      </c>
      <c r="D300" s="3">
        <f t="shared" si="282"/>
        <v>4.1083418704595955E-2</v>
      </c>
      <c r="E300" s="3">
        <f t="shared" si="282"/>
        <v>4.1083418701547289E-2</v>
      </c>
      <c r="F300" s="3">
        <f t="shared" si="282"/>
        <v>4.1083418671060634E-2</v>
      </c>
      <c r="G300" s="3">
        <f t="shared" si="282"/>
        <v>4.1083418366194065E-2</v>
      </c>
      <c r="H300" s="3">
        <f t="shared" si="282"/>
        <v>4.1083415317528474E-2</v>
      </c>
      <c r="I300" s="3">
        <f t="shared" si="282"/>
        <v>4.1083384830885042E-2</v>
      </c>
      <c r="J300" s="3">
        <f t="shared" si="282"/>
        <v>4.1083079965694935E-2</v>
      </c>
      <c r="K300" s="3">
        <f t="shared" si="282"/>
        <v>4.1080031438217438E-2</v>
      </c>
      <c r="L300" s="3">
        <f t="shared" si="282"/>
        <v>4.104955860237882E-2</v>
      </c>
      <c r="M300" s="3">
        <f t="shared" si="282"/>
        <v>4.0746070729105077E-2</v>
      </c>
      <c r="N300" s="3">
        <f t="shared" si="282"/>
        <v>3.7831901122866371E-2</v>
      </c>
      <c r="O300" s="3">
        <f t="shared" si="282"/>
        <v>1.8012851892785373E-2</v>
      </c>
      <c r="P300" s="3">
        <f t="shared" si="282"/>
        <v>1.0785135357411024E-5</v>
      </c>
      <c r="Q300" s="3">
        <f t="shared" si="282"/>
        <v>6.3864103340043997E-38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4.6249511553515935E-2</v>
      </c>
      <c r="C301" s="3">
        <f t="shared" si="283"/>
        <v>4.624951155351284E-2</v>
      </c>
      <c r="D301" s="3">
        <f t="shared" si="283"/>
        <v>4.6249511553481885E-2</v>
      </c>
      <c r="E301" s="3">
        <f t="shared" si="283"/>
        <v>4.6249511553172286E-2</v>
      </c>
      <c r="F301" s="3">
        <f t="shared" si="283"/>
        <v>4.6249511550076311E-2</v>
      </c>
      <c r="G301" s="3">
        <f t="shared" si="283"/>
        <v>4.6249511519116597E-2</v>
      </c>
      <c r="H301" s="3">
        <f t="shared" si="283"/>
        <v>4.6249511209519437E-2</v>
      </c>
      <c r="I301" s="3">
        <f t="shared" si="283"/>
        <v>4.6249508113547923E-2</v>
      </c>
      <c r="J301" s="3">
        <f t="shared" si="283"/>
        <v>4.6249477153844164E-2</v>
      </c>
      <c r="K301" s="3">
        <f t="shared" si="283"/>
        <v>4.6249167557946461E-2</v>
      </c>
      <c r="L301" s="3">
        <f t="shared" si="283"/>
        <v>4.624607171295176E-2</v>
      </c>
      <c r="M301" s="3">
        <f t="shared" si="283"/>
        <v>4.6215124658415298E-2</v>
      </c>
      <c r="N301" s="3">
        <f t="shared" si="283"/>
        <v>4.590679083672982E-2</v>
      </c>
      <c r="O301" s="3">
        <f t="shared" si="283"/>
        <v>4.293435924951048E-2</v>
      </c>
      <c r="P301" s="3">
        <f t="shared" si="283"/>
        <v>2.1982926342593554E-2</v>
      </c>
      <c r="Q301" s="3">
        <f t="shared" si="283"/>
        <v>2.7220161221087631E-5</v>
      </c>
      <c r="R301" s="3">
        <f t="shared" si="283"/>
        <v>2.3064422087500497E-34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4.2148935673183327E-2</v>
      </c>
      <c r="C302" s="3">
        <f t="shared" si="284"/>
        <v>4.2148935673183077E-2</v>
      </c>
      <c r="D302" s="3">
        <f t="shared" si="284"/>
        <v>4.2148935673180531E-2</v>
      </c>
      <c r="E302" s="3">
        <f t="shared" si="284"/>
        <v>4.2148935673155079E-2</v>
      </c>
      <c r="F302" s="3">
        <f t="shared" si="284"/>
        <v>4.2148935672900553E-2</v>
      </c>
      <c r="G302" s="3">
        <f t="shared" si="284"/>
        <v>4.2148935670355346E-2</v>
      </c>
      <c r="H302" s="3">
        <f t="shared" si="284"/>
        <v>4.2148935644903282E-2</v>
      </c>
      <c r="I302" s="3">
        <f t="shared" si="284"/>
        <v>4.2148935390382627E-2</v>
      </c>
      <c r="J302" s="3">
        <f t="shared" si="284"/>
        <v>4.2148932845176207E-2</v>
      </c>
      <c r="K302" s="3">
        <f t="shared" si="284"/>
        <v>4.2148907393120404E-2</v>
      </c>
      <c r="L302" s="3">
        <f t="shared" si="284"/>
        <v>4.2148652873407702E-2</v>
      </c>
      <c r="M302" s="3">
        <f t="shared" si="284"/>
        <v>4.2146107760810771E-2</v>
      </c>
      <c r="N302" s="3">
        <f t="shared" si="284"/>
        <v>4.2120665085962454E-2</v>
      </c>
      <c r="O302" s="3">
        <f t="shared" si="284"/>
        <v>4.1867081564407764E-2</v>
      </c>
      <c r="P302" s="3">
        <f t="shared" si="284"/>
        <v>3.9413715078915106E-2</v>
      </c>
      <c r="Q302" s="3">
        <f t="shared" si="284"/>
        <v>2.1547367321830605E-2</v>
      </c>
      <c r="R302" s="3">
        <f t="shared" si="284"/>
        <v>5.1388109380073084E-5</v>
      </c>
      <c r="S302" s="3">
        <f t="shared" si="284"/>
        <v>3.0587704517298228E-31</v>
      </c>
      <c r="T302" s="3">
        <f t="shared" si="284"/>
        <v>1.70761259501051E-293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0.11274262500279236</v>
      </c>
      <c r="C303" s="3">
        <f t="shared" si="285"/>
        <v>0.11274262500279231</v>
      </c>
      <c r="D303" s="3">
        <f t="shared" si="285"/>
        <v>0.11274262500279168</v>
      </c>
      <c r="E303" s="3">
        <f t="shared" si="285"/>
        <v>0.11274262500278555</v>
      </c>
      <c r="F303" s="3">
        <f t="shared" si="285"/>
        <v>0.11274262500272414</v>
      </c>
      <c r="G303" s="3">
        <f t="shared" si="285"/>
        <v>0.11274262500210999</v>
      </c>
      <c r="H303" s="3">
        <f t="shared" si="285"/>
        <v>0.11274262499596854</v>
      </c>
      <c r="I303" s="3">
        <f t="shared" si="285"/>
        <v>0.112742624934554</v>
      </c>
      <c r="J303" s="3">
        <f t="shared" si="285"/>
        <v>0.11274262432040869</v>
      </c>
      <c r="K303" s="3">
        <f t="shared" si="285"/>
        <v>0.11274261817895567</v>
      </c>
      <c r="L303" s="3">
        <f t="shared" si="285"/>
        <v>0.11274255676444397</v>
      </c>
      <c r="M303" s="3">
        <f t="shared" si="285"/>
        <v>0.11274194262116691</v>
      </c>
      <c r="N303" s="3">
        <f t="shared" si="285"/>
        <v>0.11273580137239166</v>
      </c>
      <c r="O303" s="3">
        <f t="shared" si="285"/>
        <v>0.11267440728047769</v>
      </c>
      <c r="P303" s="3">
        <f t="shared" si="285"/>
        <v>0.11206230224288778</v>
      </c>
      <c r="Q303" s="3">
        <f t="shared" si="285"/>
        <v>0.10612119308342491</v>
      </c>
      <c r="R303" s="3">
        <f t="shared" si="285"/>
        <v>6.1549986002200685E-2</v>
      </c>
      <c r="S303" s="3">
        <f t="shared" si="285"/>
        <v>2.6514674739028883E-4</v>
      </c>
      <c r="T303" s="3">
        <f t="shared" si="285"/>
        <v>5.8353882691457218E-28</v>
      </c>
      <c r="U303" s="3">
        <f t="shared" si="285"/>
        <v>1.5556227965453377E-264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0.14424606622338945</v>
      </c>
      <c r="C304" s="3">
        <f t="shared" si="286"/>
        <v>0.14424606622338945</v>
      </c>
      <c r="D304" s="3">
        <f t="shared" si="286"/>
        <v>0.14424606622338937</v>
      </c>
      <c r="E304" s="3">
        <f t="shared" si="286"/>
        <v>0.14424606622338867</v>
      </c>
      <c r="F304" s="3">
        <f t="shared" si="286"/>
        <v>0.14424606622338157</v>
      </c>
      <c r="G304" s="3">
        <f t="shared" si="286"/>
        <v>0.14424606622331068</v>
      </c>
      <c r="H304" s="3">
        <f t="shared" si="286"/>
        <v>0.14424606622260186</v>
      </c>
      <c r="I304" s="3">
        <f t="shared" si="286"/>
        <v>0.14424606621551372</v>
      </c>
      <c r="J304" s="3">
        <f t="shared" si="286"/>
        <v>0.14424606614463212</v>
      </c>
      <c r="K304" s="3">
        <f t="shared" si="286"/>
        <v>0.144246065435816</v>
      </c>
      <c r="L304" s="3">
        <f t="shared" si="286"/>
        <v>0.14424605834765519</v>
      </c>
      <c r="M304" s="3">
        <f t="shared" si="286"/>
        <v>0.14424598746606632</v>
      </c>
      <c r="N304" s="3">
        <f t="shared" si="286"/>
        <v>0.14424527865209313</v>
      </c>
      <c r="O304" s="3">
        <f t="shared" si="286"/>
        <v>0.1442381907039266</v>
      </c>
      <c r="P304" s="3">
        <f t="shared" si="286"/>
        <v>0.14416733037531945</v>
      </c>
      <c r="Q304" s="3">
        <f t="shared" si="286"/>
        <v>0.14346063891731589</v>
      </c>
      <c r="R304" s="3">
        <f t="shared" si="286"/>
        <v>0.13658147635698084</v>
      </c>
      <c r="S304" s="3">
        <f t="shared" si="286"/>
        <v>8.3556881809037406E-2</v>
      </c>
      <c r="T304" s="3">
        <f t="shared" si="286"/>
        <v>6.1360154059176587E-4</v>
      </c>
      <c r="U304" s="3">
        <f t="shared" si="286"/>
        <v>2.7985212530472475E-25</v>
      </c>
      <c r="V304" s="3">
        <f t="shared" si="286"/>
        <v>1.089808750215251E-238</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0.12974045708141974</v>
      </c>
      <c r="C305" s="3">
        <f t="shared" si="287"/>
        <v>0.12974045708141974</v>
      </c>
      <c r="D305" s="3">
        <f t="shared" si="287"/>
        <v>0.12974045708141974</v>
      </c>
      <c r="E305" s="3">
        <f t="shared" si="287"/>
        <v>0.12974045708141968</v>
      </c>
      <c r="F305" s="3">
        <f t="shared" si="287"/>
        <v>0.1297404570814191</v>
      </c>
      <c r="G305" s="3">
        <f t="shared" si="287"/>
        <v>0.12974045708141335</v>
      </c>
      <c r="H305" s="3">
        <f t="shared" si="287"/>
        <v>0.12974045708135584</v>
      </c>
      <c r="I305" s="3">
        <f t="shared" si="287"/>
        <v>0.12974045708078072</v>
      </c>
      <c r="J305" s="3">
        <f t="shared" si="287"/>
        <v>0.1297404570750296</v>
      </c>
      <c r="K305" s="3">
        <f t="shared" si="287"/>
        <v>0.12974045701751852</v>
      </c>
      <c r="L305" s="3">
        <f t="shared" si="287"/>
        <v>0.12974045644240761</v>
      </c>
      <c r="M305" s="3">
        <f t="shared" si="287"/>
        <v>0.12974045069129861</v>
      </c>
      <c r="N305" s="3">
        <f t="shared" si="287"/>
        <v>0.12974039318022257</v>
      </c>
      <c r="O305" s="3">
        <f t="shared" si="287"/>
        <v>0.12973981807086443</v>
      </c>
      <c r="P305" s="3">
        <f t="shared" si="287"/>
        <v>0.12973406711749413</v>
      </c>
      <c r="Q305" s="3">
        <f t="shared" si="287"/>
        <v>0.1296765716026077</v>
      </c>
      <c r="R305" s="3">
        <f t="shared" si="287"/>
        <v>0.12910301603883464</v>
      </c>
      <c r="S305" s="3">
        <f t="shared" si="287"/>
        <v>0.1235051503743422</v>
      </c>
      <c r="T305" s="3">
        <f t="shared" si="287"/>
        <v>7.9281503067990672E-2</v>
      </c>
      <c r="U305" s="3">
        <f t="shared" si="287"/>
        <v>9.419762196150685E-4</v>
      </c>
      <c r="V305" s="3">
        <f t="shared" si="287"/>
        <v>5.281053632472968E-23</v>
      </c>
      <c r="W305" s="3">
        <f t="shared" si="287"/>
        <v>1.6200445883820034E-215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0.10714973449748261</v>
      </c>
      <c r="C306" s="3">
        <f t="shared" si="288"/>
        <v>0.10714973449748261</v>
      </c>
      <c r="D306" s="3">
        <f t="shared" si="288"/>
        <v>0.10714973449748261</v>
      </c>
      <c r="E306" s="3">
        <f t="shared" si="288"/>
        <v>0.10714973449748261</v>
      </c>
      <c r="F306" s="3">
        <f t="shared" si="288"/>
        <v>0.10714973449748257</v>
      </c>
      <c r="G306" s="3">
        <f t="shared" si="288"/>
        <v>0.10714973449748214</v>
      </c>
      <c r="H306" s="3">
        <f t="shared" si="288"/>
        <v>0.10714973449747785</v>
      </c>
      <c r="I306" s="3">
        <f t="shared" si="288"/>
        <v>0.10714973449743499</v>
      </c>
      <c r="J306" s="3">
        <f t="shared" si="288"/>
        <v>0.10714973449700654</v>
      </c>
      <c r="K306" s="3">
        <f t="shared" si="288"/>
        <v>0.1071497344927219</v>
      </c>
      <c r="L306" s="3">
        <f t="shared" si="288"/>
        <v>0.10714973444987555</v>
      </c>
      <c r="M306" s="3">
        <f t="shared" si="288"/>
        <v>0.10714973402141199</v>
      </c>
      <c r="N306" s="3">
        <f t="shared" si="288"/>
        <v>0.10714972973677665</v>
      </c>
      <c r="O306" s="3">
        <f t="shared" si="288"/>
        <v>0.10714968689043254</v>
      </c>
      <c r="P306" s="3">
        <f t="shared" si="288"/>
        <v>0.10714925842793381</v>
      </c>
      <c r="Q306" s="3">
        <f t="shared" si="288"/>
        <v>0.1071449738971771</v>
      </c>
      <c r="R306" s="3">
        <f t="shared" si="288"/>
        <v>0.10710213801128146</v>
      </c>
      <c r="S306" s="3">
        <f t="shared" si="288"/>
        <v>0.10667471992698652</v>
      </c>
      <c r="T306" s="3">
        <f t="shared" si="288"/>
        <v>0.10249323940598397</v>
      </c>
      <c r="U306" s="3">
        <f t="shared" si="288"/>
        <v>6.8711954711681872E-2</v>
      </c>
      <c r="V306" s="3">
        <f t="shared" si="288"/>
        <v>1.2600945742540491E-3</v>
      </c>
      <c r="W306" s="3">
        <f t="shared" si="288"/>
        <v>5.4214008862505408E-21</v>
      </c>
      <c r="X306" s="3">
        <f t="shared" si="288"/>
        <v>1.1781357401719125E-194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7.4657991153057213E-2</v>
      </c>
      <c r="C307" s="3">
        <f t="shared" si="289"/>
        <v>7.4657991153057213E-2</v>
      </c>
      <c r="D307" s="3">
        <f t="shared" si="289"/>
        <v>7.4657991153057213E-2</v>
      </c>
      <c r="E307" s="3">
        <f t="shared" si="289"/>
        <v>7.4657991153057213E-2</v>
      </c>
      <c r="F307" s="3">
        <f t="shared" si="289"/>
        <v>7.4657991153057213E-2</v>
      </c>
      <c r="G307" s="3">
        <f t="shared" si="289"/>
        <v>7.4657991153057185E-2</v>
      </c>
      <c r="H307" s="3">
        <f t="shared" si="289"/>
        <v>7.4657991153056907E-2</v>
      </c>
      <c r="I307" s="3">
        <f t="shared" si="289"/>
        <v>7.4657991153054215E-2</v>
      </c>
      <c r="J307" s="3">
        <f t="shared" si="289"/>
        <v>7.4657991153027292E-2</v>
      </c>
      <c r="K307" s="3">
        <f t="shared" si="289"/>
        <v>7.465799115275798E-2</v>
      </c>
      <c r="L307" s="3">
        <f t="shared" si="289"/>
        <v>7.4657991150064926E-2</v>
      </c>
      <c r="M307" s="3">
        <f t="shared" si="289"/>
        <v>7.4657991123134357E-2</v>
      </c>
      <c r="N307" s="3">
        <f t="shared" si="289"/>
        <v>7.4657990853828571E-2</v>
      </c>
      <c r="O307" s="3">
        <f t="shared" si="289"/>
        <v>7.4657988160770863E-2</v>
      </c>
      <c r="P307" s="3">
        <f t="shared" si="289"/>
        <v>7.4657961230199132E-2</v>
      </c>
      <c r="Q307" s="3">
        <f t="shared" si="289"/>
        <v>7.4657691925016131E-2</v>
      </c>
      <c r="R307" s="3">
        <f t="shared" si="289"/>
        <v>7.4654998926614438E-2</v>
      </c>
      <c r="S307" s="3">
        <f t="shared" si="289"/>
        <v>7.4628074284713589E-2</v>
      </c>
      <c r="T307" s="3">
        <f t="shared" si="289"/>
        <v>7.4359361365015017E-2</v>
      </c>
      <c r="U307" s="3">
        <f t="shared" si="289"/>
        <v>7.1724876876164051E-2</v>
      </c>
      <c r="V307" s="3">
        <f t="shared" si="289"/>
        <v>5.0004767649098163E-2</v>
      </c>
      <c r="W307" s="3">
        <f t="shared" si="289"/>
        <v>1.3565238567428523E-3</v>
      </c>
      <c r="X307" s="3">
        <f t="shared" si="289"/>
        <v>2.9281118299605535E-19</v>
      </c>
      <c r="Y307" s="3">
        <f t="shared" si="289"/>
        <v>6.4296878863611728E-176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2.5780107678568913E-2</v>
      </c>
      <c r="C308" s="3">
        <f t="shared" si="290"/>
        <v>2.5780107678568913E-2</v>
      </c>
      <c r="D308" s="3">
        <f t="shared" si="290"/>
        <v>2.5780107678568913E-2</v>
      </c>
      <c r="E308" s="3">
        <f t="shared" si="290"/>
        <v>2.5780107678568913E-2</v>
      </c>
      <c r="F308" s="3">
        <f t="shared" si="290"/>
        <v>2.5780107678568913E-2</v>
      </c>
      <c r="G308" s="3">
        <f t="shared" si="290"/>
        <v>2.5780107678568913E-2</v>
      </c>
      <c r="H308" s="3">
        <f t="shared" si="290"/>
        <v>2.5780107678568906E-2</v>
      </c>
      <c r="I308" s="3">
        <f t="shared" si="290"/>
        <v>2.5780107678568819E-2</v>
      </c>
      <c r="J308" s="3">
        <f t="shared" si="290"/>
        <v>2.578010767856798E-2</v>
      </c>
      <c r="K308" s="3">
        <f t="shared" si="290"/>
        <v>2.578010767855959E-2</v>
      </c>
      <c r="L308" s="3">
        <f t="shared" si="290"/>
        <v>2.5780107678475703E-2</v>
      </c>
      <c r="M308" s="3">
        <f t="shared" si="290"/>
        <v>2.5780107677636822E-2</v>
      </c>
      <c r="N308" s="3">
        <f t="shared" si="290"/>
        <v>2.5780107669248004E-2</v>
      </c>
      <c r="O308" s="3">
        <f t="shared" si="290"/>
        <v>2.5780107585359844E-2</v>
      </c>
      <c r="P308" s="3">
        <f t="shared" si="290"/>
        <v>2.5780106746478224E-2</v>
      </c>
      <c r="Q308" s="3">
        <f t="shared" si="290"/>
        <v>2.5780098357663539E-2</v>
      </c>
      <c r="R308" s="3">
        <f t="shared" si="290"/>
        <v>2.5780014469666802E-2</v>
      </c>
      <c r="S308" s="3">
        <f t="shared" si="290"/>
        <v>2.5779175604712681E-2</v>
      </c>
      <c r="T308" s="3">
        <f t="shared" si="290"/>
        <v>2.5770788456311606E-2</v>
      </c>
      <c r="U308" s="3">
        <f t="shared" si="290"/>
        <v>2.5687066905739245E-2</v>
      </c>
      <c r="V308" s="3">
        <f t="shared" si="290"/>
        <v>2.4864665788087079E-2</v>
      </c>
      <c r="W308" s="3">
        <f t="shared" si="290"/>
        <v>1.7958237821699311E-2</v>
      </c>
      <c r="X308" s="3">
        <f t="shared" si="290"/>
        <v>6.9354499751388252E-4</v>
      </c>
      <c r="Y308" s="3">
        <f t="shared" si="290"/>
        <v>5.1189854200434041E-18</v>
      </c>
      <c r="Z308" s="3">
        <f t="shared" si="290"/>
        <v>2.4562715783715531E-159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2.4060337070104312E-2</v>
      </c>
      <c r="C309" s="3">
        <f t="shared" si="291"/>
        <v>2.4060337070104312E-2</v>
      </c>
      <c r="D309" s="3">
        <f t="shared" si="291"/>
        <v>2.4060337070104312E-2</v>
      </c>
      <c r="E309" s="3">
        <f t="shared" si="291"/>
        <v>2.4060337070104312E-2</v>
      </c>
      <c r="F309" s="3">
        <f t="shared" si="291"/>
        <v>2.4060337070104312E-2</v>
      </c>
      <c r="G309" s="3">
        <f t="shared" si="291"/>
        <v>2.4060337070104312E-2</v>
      </c>
      <c r="H309" s="3">
        <f t="shared" si="291"/>
        <v>2.4060337070104309E-2</v>
      </c>
      <c r="I309" s="3">
        <f t="shared" si="291"/>
        <v>2.4060337070104288E-2</v>
      </c>
      <c r="J309" s="3">
        <f t="shared" si="291"/>
        <v>2.4060337070104073E-2</v>
      </c>
      <c r="K309" s="3">
        <f t="shared" si="291"/>
        <v>2.4060337070101905E-2</v>
      </c>
      <c r="L309" s="3">
        <f t="shared" si="291"/>
        <v>2.4060337070080252E-2</v>
      </c>
      <c r="M309" s="3">
        <f t="shared" si="291"/>
        <v>2.4060337069863717E-2</v>
      </c>
      <c r="N309" s="3">
        <f t="shared" si="291"/>
        <v>2.4060337067698355E-2</v>
      </c>
      <c r="O309" s="3">
        <f t="shared" si="291"/>
        <v>2.4060337046044735E-2</v>
      </c>
      <c r="P309" s="3">
        <f t="shared" si="291"/>
        <v>2.4060336829508526E-2</v>
      </c>
      <c r="Q309" s="3">
        <f t="shared" si="291"/>
        <v>2.4060334664146556E-2</v>
      </c>
      <c r="R309" s="3">
        <f t="shared" si="291"/>
        <v>2.4060313010537564E-2</v>
      </c>
      <c r="S309" s="3">
        <f t="shared" si="291"/>
        <v>2.4060096475519481E-2</v>
      </c>
      <c r="T309" s="3">
        <f t="shared" si="291"/>
        <v>2.405793123251674E-2</v>
      </c>
      <c r="U309" s="3">
        <f t="shared" si="291"/>
        <v>2.4036289516729228E-2</v>
      </c>
      <c r="V309" s="3">
        <f t="shared" si="291"/>
        <v>2.3820940223689829E-2</v>
      </c>
      <c r="W309" s="3">
        <f t="shared" si="291"/>
        <v>2.177076188492388E-2</v>
      </c>
      <c r="X309" s="3">
        <f t="shared" si="291"/>
        <v>8.8515823207088156E-3</v>
      </c>
      <c r="Y309" s="3">
        <f t="shared" si="291"/>
        <v>1.0926819319883493E-6</v>
      </c>
      <c r="Z309" s="3">
        <f t="shared" si="291"/>
        <v>8.9788817820578772E-46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1.2267955807966149E-2</v>
      </c>
      <c r="C310" s="3">
        <f t="shared" si="292"/>
        <v>1.2267955807966149E-2</v>
      </c>
      <c r="D310" s="3">
        <f t="shared" si="292"/>
        <v>1.2267955807966149E-2</v>
      </c>
      <c r="E310" s="3">
        <f t="shared" si="292"/>
        <v>1.2267955807966149E-2</v>
      </c>
      <c r="F310" s="3">
        <f t="shared" si="292"/>
        <v>1.2267955807966149E-2</v>
      </c>
      <c r="G310" s="3">
        <f t="shared" si="292"/>
        <v>1.2267955807966149E-2</v>
      </c>
      <c r="H310" s="3">
        <f t="shared" si="292"/>
        <v>1.2267955807966149E-2</v>
      </c>
      <c r="I310" s="3">
        <f t="shared" si="292"/>
        <v>1.2267955807966148E-2</v>
      </c>
      <c r="J310" s="3">
        <f t="shared" si="292"/>
        <v>1.2267955807966137E-2</v>
      </c>
      <c r="K310" s="3">
        <f t="shared" si="292"/>
        <v>1.2267955807966026E-2</v>
      </c>
      <c r="L310" s="3">
        <f t="shared" si="292"/>
        <v>1.2267955807964923E-2</v>
      </c>
      <c r="M310" s="3">
        <f t="shared" si="292"/>
        <v>1.2267955807953881E-2</v>
      </c>
      <c r="N310" s="3">
        <f t="shared" si="292"/>
        <v>1.2267955807843473E-2</v>
      </c>
      <c r="O310" s="3">
        <f t="shared" si="292"/>
        <v>1.2267955806739391E-2</v>
      </c>
      <c r="P310" s="3">
        <f t="shared" si="292"/>
        <v>1.226795579569858E-2</v>
      </c>
      <c r="Q310" s="3">
        <f t="shared" si="292"/>
        <v>1.2267955685290459E-2</v>
      </c>
      <c r="R310" s="3">
        <f t="shared" si="292"/>
        <v>1.2267954581209294E-2</v>
      </c>
      <c r="S310" s="3">
        <f t="shared" si="292"/>
        <v>1.2267943540403115E-2</v>
      </c>
      <c r="T310" s="3">
        <f t="shared" si="292"/>
        <v>1.2267833132887835E-2</v>
      </c>
      <c r="U310" s="3">
        <f t="shared" si="292"/>
        <v>1.2266729112383312E-2</v>
      </c>
      <c r="V310" s="3">
        <f t="shared" si="292"/>
        <v>1.2255694370346399E-2</v>
      </c>
      <c r="W310" s="3">
        <f t="shared" si="292"/>
        <v>1.2145891436057222E-2</v>
      </c>
      <c r="X310" s="3">
        <f t="shared" si="292"/>
        <v>1.1100540442629887E-2</v>
      </c>
      <c r="Y310" s="3">
        <f t="shared" si="292"/>
        <v>4.5132709664303721E-3</v>
      </c>
      <c r="Z310" s="3">
        <f t="shared" si="292"/>
        <v>5.5713989437214584E-7</v>
      </c>
      <c r="AA310" s="3">
        <f t="shared" si="292"/>
        <v>4.5781787921876703E-46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7.7350329579382458E-4</v>
      </c>
      <c r="C311" s="3">
        <f t="shared" si="293"/>
        <v>7.7350329579382458E-4</v>
      </c>
      <c r="D311" s="3">
        <f t="shared" si="293"/>
        <v>7.7350329579382458E-4</v>
      </c>
      <c r="E311" s="3">
        <f t="shared" si="293"/>
        <v>7.7350329579382458E-4</v>
      </c>
      <c r="F311" s="3">
        <f t="shared" si="293"/>
        <v>7.7350329579382458E-4</v>
      </c>
      <c r="G311" s="3">
        <f t="shared" si="293"/>
        <v>7.7350329579382458E-4</v>
      </c>
      <c r="H311" s="3">
        <f t="shared" si="293"/>
        <v>7.7350329579382458E-4</v>
      </c>
      <c r="I311" s="3">
        <f t="shared" si="293"/>
        <v>7.7350329579382458E-4</v>
      </c>
      <c r="J311" s="3">
        <f t="shared" si="293"/>
        <v>7.7350329579382448E-4</v>
      </c>
      <c r="K311" s="3">
        <f t="shared" si="293"/>
        <v>7.7350329579382383E-4</v>
      </c>
      <c r="L311" s="3">
        <f t="shared" si="293"/>
        <v>7.7350329579381689E-4</v>
      </c>
      <c r="M311" s="3">
        <f t="shared" si="293"/>
        <v>7.7350329579374717E-4</v>
      </c>
      <c r="N311" s="3">
        <f t="shared" si="293"/>
        <v>7.7350329579305111E-4</v>
      </c>
      <c r="O311" s="3">
        <f t="shared" si="293"/>
        <v>7.7350329578608978E-4</v>
      </c>
      <c r="P311" s="3">
        <f t="shared" si="293"/>
        <v>7.7350329571647663E-4</v>
      </c>
      <c r="Q311" s="3">
        <f t="shared" si="293"/>
        <v>7.7350329502034565E-4</v>
      </c>
      <c r="R311" s="3">
        <f t="shared" si="293"/>
        <v>7.7350328805903543E-4</v>
      </c>
      <c r="S311" s="3">
        <f t="shared" si="293"/>
        <v>7.7350321844593672E-4</v>
      </c>
      <c r="T311" s="3">
        <f t="shared" si="293"/>
        <v>7.7350252231529347E-4</v>
      </c>
      <c r="U311" s="3">
        <f t="shared" si="293"/>
        <v>7.7349556104331903E-4</v>
      </c>
      <c r="V311" s="3">
        <f t="shared" si="293"/>
        <v>7.7342595176918723E-4</v>
      </c>
      <c r="W311" s="3">
        <f t="shared" si="293"/>
        <v>7.7273020347441072E-4</v>
      </c>
      <c r="X311" s="3">
        <f t="shared" si="293"/>
        <v>7.6580705075932184E-4</v>
      </c>
      <c r="Y311" s="3">
        <f t="shared" si="293"/>
        <v>6.9989693082293098E-4</v>
      </c>
      <c r="Z311" s="3">
        <f t="shared" si="293"/>
        <v>2.845649285007683E-4</v>
      </c>
      <c r="AA311" s="3">
        <f t="shared" si="293"/>
        <v>3.5128064631211231E-8</v>
      </c>
      <c r="AB311" s="3">
        <f t="shared" si="293"/>
        <v>2.8865741285040054E-47</v>
      </c>
      <c r="AC311" s="3">
        <f t="shared" si="293"/>
        <v>0</v>
      </c>
      <c r="AD311" s="3">
        <f t="shared" si="293"/>
        <v>0</v>
      </c>
      <c r="AE311" s="3">
        <f t="shared" si="293"/>
        <v>0</v>
      </c>
      <c r="AF311" s="3">
        <f t="shared" si="293"/>
        <v>0</v>
      </c>
      <c r="AG311" s="3"/>
      <c r="AH311" s="3"/>
    </row>
    <row r="312" spans="1:34" x14ac:dyDescent="0.25">
      <c r="B312" s="3">
        <f t="shared" ref="B312:AF312" si="294">$C42*EXP(-B$285/$A42/EXP(-$F$126))</f>
        <v>2.8862774017939779E-3</v>
      </c>
      <c r="C312" s="3">
        <f t="shared" si="294"/>
        <v>2.8862774017939779E-3</v>
      </c>
      <c r="D312" s="3">
        <f t="shared" si="294"/>
        <v>2.8862774017939779E-3</v>
      </c>
      <c r="E312" s="3">
        <f t="shared" si="294"/>
        <v>2.8862774017939779E-3</v>
      </c>
      <c r="F312" s="3">
        <f t="shared" si="294"/>
        <v>2.8862774017939779E-3</v>
      </c>
      <c r="G312" s="3">
        <f t="shared" si="294"/>
        <v>2.8862774017939779E-3</v>
      </c>
      <c r="H312" s="3">
        <f t="shared" si="294"/>
        <v>2.8862774017939779E-3</v>
      </c>
      <c r="I312" s="3">
        <f t="shared" si="294"/>
        <v>2.8862774017939779E-3</v>
      </c>
      <c r="J312" s="3">
        <f t="shared" si="294"/>
        <v>2.8862774017939779E-3</v>
      </c>
      <c r="K312" s="3">
        <f t="shared" si="294"/>
        <v>2.8862774017939775E-3</v>
      </c>
      <c r="L312" s="3">
        <f t="shared" si="294"/>
        <v>2.8862774017939749E-3</v>
      </c>
      <c r="M312" s="3">
        <f t="shared" si="294"/>
        <v>2.8862774017939493E-3</v>
      </c>
      <c r="N312" s="3">
        <f t="shared" si="294"/>
        <v>2.8862774017936891E-3</v>
      </c>
      <c r="O312" s="3">
        <f t="shared" si="294"/>
        <v>2.8862774017910917E-3</v>
      </c>
      <c r="P312" s="3">
        <f t="shared" si="294"/>
        <v>2.886277401765116E-3</v>
      </c>
      <c r="Q312" s="3">
        <f t="shared" si="294"/>
        <v>2.8862774015053589E-3</v>
      </c>
      <c r="R312" s="3">
        <f t="shared" si="294"/>
        <v>2.8862773989077914E-3</v>
      </c>
      <c r="S312" s="3">
        <f t="shared" si="294"/>
        <v>2.8862773729321136E-3</v>
      </c>
      <c r="T312" s="3">
        <f t="shared" si="294"/>
        <v>2.8862771131753485E-3</v>
      </c>
      <c r="U312" s="3">
        <f t="shared" si="294"/>
        <v>2.8862745156089838E-3</v>
      </c>
      <c r="V312" s="3">
        <f t="shared" si="294"/>
        <v>2.8862485400739128E-3</v>
      </c>
      <c r="W312" s="3">
        <f t="shared" si="294"/>
        <v>2.8859887975802813E-3</v>
      </c>
      <c r="X312" s="3">
        <f t="shared" si="294"/>
        <v>2.8833926579239018E-3</v>
      </c>
      <c r="Y312" s="3">
        <f t="shared" si="294"/>
        <v>2.8575593623977047E-3</v>
      </c>
      <c r="Z312" s="3">
        <f t="shared" si="294"/>
        <v>2.6116200228287591E-3</v>
      </c>
      <c r="AA312" s="3">
        <f t="shared" si="294"/>
        <v>1.0618355822672682E-3</v>
      </c>
      <c r="AB312" s="3">
        <f t="shared" si="294"/>
        <v>1.3107809580794386E-7</v>
      </c>
      <c r="AC312" s="3">
        <f t="shared" si="294"/>
        <v>1.0771064223008799E-46</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1.5898164143456024E-4</v>
      </c>
      <c r="C314" s="3">
        <f t="shared" si="296"/>
        <v>1.5898164143456024E-4</v>
      </c>
      <c r="D314" s="3">
        <f t="shared" si="296"/>
        <v>1.5898164143456024E-4</v>
      </c>
      <c r="E314" s="3">
        <f t="shared" si="296"/>
        <v>1.5898164143456024E-4</v>
      </c>
      <c r="F314" s="3">
        <f t="shared" si="296"/>
        <v>1.5898164143456024E-4</v>
      </c>
      <c r="G314" s="3">
        <f t="shared" si="296"/>
        <v>1.5898164143456024E-4</v>
      </c>
      <c r="H314" s="3">
        <f t="shared" si="296"/>
        <v>1.5898164143456024E-4</v>
      </c>
      <c r="I314" s="3">
        <f t="shared" si="296"/>
        <v>1.5898164143456024E-4</v>
      </c>
      <c r="J314" s="3">
        <f t="shared" si="296"/>
        <v>1.5898164143456024E-4</v>
      </c>
      <c r="K314" s="3">
        <f t="shared" si="296"/>
        <v>1.5898164143456024E-4</v>
      </c>
      <c r="L314" s="3">
        <f t="shared" si="296"/>
        <v>1.5898164143456024E-4</v>
      </c>
      <c r="M314" s="3">
        <f t="shared" si="296"/>
        <v>1.5898164143456021E-4</v>
      </c>
      <c r="N314" s="3">
        <f t="shared" si="296"/>
        <v>1.5898164143456008E-4</v>
      </c>
      <c r="O314" s="3">
        <f t="shared" si="296"/>
        <v>1.5898164143455864E-4</v>
      </c>
      <c r="P314" s="3">
        <f t="shared" si="296"/>
        <v>1.5898164143454433E-4</v>
      </c>
      <c r="Q314" s="3">
        <f t="shared" si="296"/>
        <v>1.5898164143440127E-4</v>
      </c>
      <c r="R314" s="3">
        <f t="shared" si="296"/>
        <v>1.5898164143297047E-4</v>
      </c>
      <c r="S314" s="3">
        <f t="shared" si="296"/>
        <v>1.5898164141866256E-4</v>
      </c>
      <c r="T314" s="3">
        <f t="shared" si="296"/>
        <v>1.5898164127558362E-4</v>
      </c>
      <c r="U314" s="3">
        <f t="shared" si="296"/>
        <v>1.5898163984479394E-4</v>
      </c>
      <c r="V314" s="3">
        <f t="shared" si="296"/>
        <v>1.5898162553689796E-4</v>
      </c>
      <c r="W314" s="3">
        <f t="shared" si="296"/>
        <v>1.5898148245800881E-4</v>
      </c>
      <c r="X314" s="3">
        <f t="shared" si="296"/>
        <v>1.5898005167619961E-4</v>
      </c>
      <c r="Y314" s="3">
        <f t="shared" si="296"/>
        <v>1.5896574456630014E-4</v>
      </c>
      <c r="Z314" s="3">
        <f t="shared" si="296"/>
        <v>1.5882274426296547E-4</v>
      </c>
      <c r="AA314" s="3">
        <f t="shared" si="296"/>
        <v>1.5739979727808238E-4</v>
      </c>
      <c r="AB314" s="3">
        <f t="shared" si="296"/>
        <v>1.4385299132183579E-4</v>
      </c>
      <c r="AC314" s="3">
        <f t="shared" si="296"/>
        <v>5.8487920702821659E-5</v>
      </c>
      <c r="AD314" s="3">
        <f t="shared" si="296"/>
        <v>7.2200304844956667E-9</v>
      </c>
      <c r="AE314" s="3">
        <f t="shared" si="296"/>
        <v>5.9329067577033823E-48</v>
      </c>
      <c r="AF314" s="3">
        <f t="shared" si="296"/>
        <v>0</v>
      </c>
      <c r="AG314" s="3"/>
      <c r="AH314" s="3"/>
    </row>
    <row r="315" spans="1:34" x14ac:dyDescent="0.25">
      <c r="B315" s="3">
        <f t="shared" ref="B315:AF315" si="297">$C45*EXP(-B$285/$A45/EXP(-$F$126))</f>
        <v>1.3061991748101505E-4</v>
      </c>
      <c r="C315" s="3">
        <f t="shared" si="297"/>
        <v>1.3061991748101505E-4</v>
      </c>
      <c r="D315" s="3">
        <f t="shared" si="297"/>
        <v>1.3061991748101505E-4</v>
      </c>
      <c r="E315" s="3">
        <f t="shared" si="297"/>
        <v>1.3061991748101505E-4</v>
      </c>
      <c r="F315" s="3">
        <f t="shared" si="297"/>
        <v>1.3061991748101505E-4</v>
      </c>
      <c r="G315" s="3">
        <f t="shared" si="297"/>
        <v>1.3061991748101505E-4</v>
      </c>
      <c r="H315" s="3">
        <f t="shared" si="297"/>
        <v>1.3061991748101505E-4</v>
      </c>
      <c r="I315" s="3">
        <f t="shared" si="297"/>
        <v>1.3061991748101505E-4</v>
      </c>
      <c r="J315" s="3">
        <f t="shared" si="297"/>
        <v>1.3061991748101505E-4</v>
      </c>
      <c r="K315" s="3">
        <f t="shared" si="297"/>
        <v>1.3061991748101505E-4</v>
      </c>
      <c r="L315" s="3">
        <f t="shared" si="297"/>
        <v>1.3061991748101505E-4</v>
      </c>
      <c r="M315" s="3">
        <f t="shared" si="297"/>
        <v>1.3061991748101505E-4</v>
      </c>
      <c r="N315" s="3">
        <f t="shared" si="297"/>
        <v>1.3061991748101502E-4</v>
      </c>
      <c r="O315" s="3">
        <f t="shared" si="297"/>
        <v>1.3061991748101491E-4</v>
      </c>
      <c r="P315" s="3">
        <f t="shared" si="297"/>
        <v>1.3061991748101375E-4</v>
      </c>
      <c r="Q315" s="3">
        <f t="shared" si="297"/>
        <v>1.3061991748100198E-4</v>
      </c>
      <c r="R315" s="3">
        <f t="shared" si="297"/>
        <v>1.3061991748088443E-4</v>
      </c>
      <c r="S315" s="3">
        <f t="shared" si="297"/>
        <v>1.3061991747970888E-4</v>
      </c>
      <c r="T315" s="3">
        <f t="shared" si="297"/>
        <v>1.3061991746795347E-4</v>
      </c>
      <c r="U315" s="3">
        <f t="shared" si="297"/>
        <v>1.3061991735039926E-4</v>
      </c>
      <c r="V315" s="3">
        <f t="shared" si="297"/>
        <v>1.3061991617485704E-4</v>
      </c>
      <c r="W315" s="3">
        <f t="shared" si="297"/>
        <v>1.3061990441943561E-4</v>
      </c>
      <c r="X315" s="3">
        <f t="shared" si="297"/>
        <v>1.3061978686527954E-4</v>
      </c>
      <c r="Y315" s="3">
        <f t="shared" si="297"/>
        <v>1.3061861132953741E-4</v>
      </c>
      <c r="Z315" s="3">
        <f t="shared" si="297"/>
        <v>1.3060685655396961E-4</v>
      </c>
      <c r="AA315" s="3">
        <f t="shared" si="297"/>
        <v>1.3048936696427366E-4</v>
      </c>
      <c r="AB315" s="3">
        <f t="shared" si="297"/>
        <v>1.2932026834340055E-4</v>
      </c>
      <c r="AC315" s="3">
        <f t="shared" si="297"/>
        <v>1.1819016136897605E-4</v>
      </c>
      <c r="AD315" s="3">
        <f t="shared" si="297"/>
        <v>4.8053896707207872E-5</v>
      </c>
      <c r="AE315" s="3">
        <f t="shared" si="297"/>
        <v>5.9320043344968605E-9</v>
      </c>
      <c r="AF315" s="3">
        <f t="shared" si="297"/>
        <v>4.8744986158213645E-48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8.1332295555460314E-5</v>
      </c>
      <c r="C317" s="3">
        <f t="shared" si="299"/>
        <v>8.1332295555460314E-5</v>
      </c>
      <c r="D317" s="3">
        <f t="shared" si="299"/>
        <v>8.1332295555460314E-5</v>
      </c>
      <c r="E317" s="3">
        <f t="shared" si="299"/>
        <v>8.1332295555460314E-5</v>
      </c>
      <c r="F317" s="3">
        <f t="shared" si="299"/>
        <v>8.1332295555460314E-5</v>
      </c>
      <c r="G317" s="3">
        <f t="shared" si="299"/>
        <v>8.1332295555460314E-5</v>
      </c>
      <c r="H317" s="3">
        <f t="shared" si="299"/>
        <v>8.1332295555460314E-5</v>
      </c>
      <c r="I317" s="3">
        <f t="shared" si="299"/>
        <v>8.1332295555460314E-5</v>
      </c>
      <c r="J317" s="3">
        <f t="shared" si="299"/>
        <v>8.1332295555460314E-5</v>
      </c>
      <c r="K317" s="3">
        <f t="shared" si="299"/>
        <v>8.1332295555460314E-5</v>
      </c>
      <c r="L317" s="3">
        <f t="shared" si="299"/>
        <v>8.1332295555460314E-5</v>
      </c>
      <c r="M317" s="3">
        <f t="shared" si="299"/>
        <v>8.1332295555460314E-5</v>
      </c>
      <c r="N317" s="3">
        <f t="shared" si="299"/>
        <v>8.1332295555460314E-5</v>
      </c>
      <c r="O317" s="3">
        <f t="shared" si="299"/>
        <v>8.1332295555460314E-5</v>
      </c>
      <c r="P317" s="3">
        <f t="shared" si="299"/>
        <v>8.13322955554603E-5</v>
      </c>
      <c r="Q317" s="3">
        <f t="shared" si="299"/>
        <v>8.1332295555460233E-5</v>
      </c>
      <c r="R317" s="3">
        <f t="shared" si="299"/>
        <v>8.1332295555459501E-5</v>
      </c>
      <c r="S317" s="3">
        <f t="shared" si="299"/>
        <v>8.1332295555452182E-5</v>
      </c>
      <c r="T317" s="3">
        <f t="shared" si="299"/>
        <v>8.1332295555378985E-5</v>
      </c>
      <c r="U317" s="3">
        <f t="shared" si="299"/>
        <v>8.1332295554647013E-5</v>
      </c>
      <c r="V317" s="3">
        <f t="shared" si="299"/>
        <v>8.1332295547327334E-5</v>
      </c>
      <c r="W317" s="3">
        <f t="shared" si="299"/>
        <v>8.1332295474130582E-5</v>
      </c>
      <c r="X317" s="3">
        <f t="shared" si="299"/>
        <v>8.1332294742162995E-5</v>
      </c>
      <c r="Y317" s="3">
        <f t="shared" si="299"/>
        <v>8.133228742248749E-5</v>
      </c>
      <c r="Z317" s="3">
        <f t="shared" si="299"/>
        <v>8.1332214225768716E-5</v>
      </c>
      <c r="AA317" s="3">
        <f t="shared" si="299"/>
        <v>8.1331482262204059E-5</v>
      </c>
      <c r="AB317" s="3">
        <f t="shared" si="299"/>
        <v>8.1324162988856579E-5</v>
      </c>
      <c r="AC317" s="3">
        <f t="shared" si="299"/>
        <v>8.1251006473233853E-5</v>
      </c>
      <c r="AD317" s="3">
        <f t="shared" si="299"/>
        <v>8.0523051071025353E-5</v>
      </c>
      <c r="AE317" s="3">
        <f t="shared" si="299"/>
        <v>7.3592736250245011E-5</v>
      </c>
      <c r="AF317" s="3">
        <f t="shared" si="299"/>
        <v>2.9921422436591635E-5</v>
      </c>
      <c r="AG317" s="3"/>
      <c r="AH317" s="3"/>
    </row>
    <row r="318" spans="1:34" x14ac:dyDescent="0.25">
      <c r="B318" s="3">
        <f t="shared" ref="B318:AF318" si="300">$C48*EXP(-B$285/$A48/EXP(-$F$126))</f>
        <v>6.4178085162845428E-4</v>
      </c>
      <c r="C318" s="3">
        <f t="shared" si="300"/>
        <v>6.4178085162845428E-4</v>
      </c>
      <c r="D318" s="3">
        <f t="shared" si="300"/>
        <v>6.4178085162845428E-4</v>
      </c>
      <c r="E318" s="3">
        <f t="shared" si="300"/>
        <v>6.4178085162845428E-4</v>
      </c>
      <c r="F318" s="3">
        <f t="shared" si="300"/>
        <v>6.4178085162845428E-4</v>
      </c>
      <c r="G318" s="3">
        <f t="shared" si="300"/>
        <v>6.4178085162845428E-4</v>
      </c>
      <c r="H318" s="3">
        <f t="shared" si="300"/>
        <v>6.4178085162845428E-4</v>
      </c>
      <c r="I318" s="3">
        <f t="shared" si="300"/>
        <v>6.4178085162845428E-4</v>
      </c>
      <c r="J318" s="3">
        <f t="shared" si="300"/>
        <v>6.4178085162845428E-4</v>
      </c>
      <c r="K318" s="3">
        <f t="shared" si="300"/>
        <v>6.4178085162845428E-4</v>
      </c>
      <c r="L318" s="3">
        <f t="shared" si="300"/>
        <v>6.4178085162845428E-4</v>
      </c>
      <c r="M318" s="3">
        <f t="shared" si="300"/>
        <v>6.4178085162845428E-4</v>
      </c>
      <c r="N318" s="3">
        <f t="shared" si="300"/>
        <v>6.4178085162845428E-4</v>
      </c>
      <c r="O318" s="3">
        <f t="shared" si="300"/>
        <v>6.4178085162845428E-4</v>
      </c>
      <c r="P318" s="3">
        <f t="shared" si="300"/>
        <v>6.4178085162845428E-4</v>
      </c>
      <c r="Q318" s="3">
        <f t="shared" si="300"/>
        <v>6.4178085162845417E-4</v>
      </c>
      <c r="R318" s="3">
        <f t="shared" si="300"/>
        <v>6.4178085162845363E-4</v>
      </c>
      <c r="S318" s="3">
        <f t="shared" si="300"/>
        <v>6.4178085162844788E-4</v>
      </c>
      <c r="T318" s="3">
        <f t="shared" si="300"/>
        <v>6.4178085162839009E-4</v>
      </c>
      <c r="U318" s="3">
        <f t="shared" si="300"/>
        <v>6.4178085162781254E-4</v>
      </c>
      <c r="V318" s="3">
        <f t="shared" si="300"/>
        <v>6.4178085162203667E-4</v>
      </c>
      <c r="W318" s="3">
        <f t="shared" si="300"/>
        <v>6.4178085156427818E-4</v>
      </c>
      <c r="X318" s="3">
        <f t="shared" si="300"/>
        <v>6.4178085098669365E-4</v>
      </c>
      <c r="Y318" s="3">
        <f t="shared" si="300"/>
        <v>6.4178084521084803E-4</v>
      </c>
      <c r="Z318" s="3">
        <f t="shared" si="300"/>
        <v>6.4178078745239495E-4</v>
      </c>
      <c r="AA318" s="3">
        <f t="shared" si="300"/>
        <v>6.4178020986815009E-4</v>
      </c>
      <c r="AB318" s="3">
        <f t="shared" si="300"/>
        <v>6.4177443405429068E-4</v>
      </c>
      <c r="AC318" s="3">
        <f t="shared" si="300"/>
        <v>6.4171667877454402E-4</v>
      </c>
      <c r="AD318" s="3">
        <f t="shared" si="300"/>
        <v>6.4113941176667359E-4</v>
      </c>
      <c r="AE318" s="3">
        <f t="shared" si="300"/>
        <v>6.353952257113529E-4</v>
      </c>
      <c r="AF318" s="3">
        <f t="shared" si="300"/>
        <v>5.8070915891147014E-4</v>
      </c>
      <c r="AG318" s="3"/>
      <c r="AH318" s="3"/>
    </row>
    <row r="319" spans="1:34" x14ac:dyDescent="0.25">
      <c r="A319" s="79">
        <f>AVERAGE(B319:AF319)</f>
        <v>2.8851309731821725E-5</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6.5239103455425098E-5</v>
      </c>
      <c r="M319" s="80">
        <f t="shared" si="301"/>
        <v>9.9909817512575547E-5</v>
      </c>
      <c r="N319" s="80">
        <f t="shared" si="301"/>
        <v>1.2699563172351597E-4</v>
      </c>
      <c r="O319" s="80">
        <f t="shared" si="301"/>
        <v>1.4165718954895444E-4</v>
      </c>
      <c r="P319" s="80">
        <f t="shared" si="301"/>
        <v>1.3268046894378128E-4</v>
      </c>
      <c r="Q319" s="80">
        <f t="shared" si="301"/>
        <v>1.0968740977638522E-4</v>
      </c>
      <c r="R319" s="80">
        <f t="shared" si="301"/>
        <v>7.6744826413116293E-5</v>
      </c>
      <c r="S319" s="80">
        <f t="shared" si="301"/>
        <v>6.0070112589477583E-5</v>
      </c>
      <c r="T319" s="80">
        <f t="shared" si="301"/>
        <v>3.6156749095694184E-5</v>
      </c>
      <c r="U319" s="80">
        <f t="shared" si="301"/>
        <v>3.4205181604394563E-5</v>
      </c>
      <c r="V319" s="80">
        <f t="shared" si="301"/>
        <v>1.104411102315309E-5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0.13723968603622935</v>
      </c>
      <c r="C320" s="21">
        <f t="shared" ref="C320:AF320" si="302">(C287-C286)^2</f>
        <v>8.8568782173579108E-2</v>
      </c>
      <c r="D320" s="21">
        <f t="shared" si="302"/>
        <v>0.1003586135363556</v>
      </c>
      <c r="E320" s="21">
        <f t="shared" si="302"/>
        <v>1.8994952597138955E-2</v>
      </c>
      <c r="F320" s="21">
        <f t="shared" si="302"/>
        <v>1.9891283570586402</v>
      </c>
      <c r="G320" s="21">
        <f t="shared" si="302"/>
        <v>0.1071193655918098</v>
      </c>
      <c r="H320" s="21">
        <f t="shared" si="302"/>
        <v>2.9161847250850168E-3</v>
      </c>
      <c r="I320" s="21">
        <f t="shared" si="302"/>
        <v>3.2175000166333781E-3</v>
      </c>
      <c r="J320" s="21">
        <f t="shared" si="302"/>
        <v>1.3217924763096179E-2</v>
      </c>
      <c r="K320" s="21">
        <f t="shared" si="302"/>
        <v>5.9601976273196543E-2</v>
      </c>
      <c r="L320" s="21">
        <f t="shared" si="302"/>
        <v>0.17020317797911264</v>
      </c>
      <c r="M320" s="21">
        <f t="shared" si="302"/>
        <v>0.36667747166645437</v>
      </c>
      <c r="N320" s="21">
        <f t="shared" si="302"/>
        <v>0.53820080506848211</v>
      </c>
      <c r="O320" s="21">
        <f t="shared" si="302"/>
        <v>0.60608557978736055</v>
      </c>
      <c r="P320" s="21">
        <f t="shared" si="302"/>
        <v>0.47393013884335544</v>
      </c>
      <c r="Q320" s="21">
        <f t="shared" si="302"/>
        <v>0.28256080734241373</v>
      </c>
      <c r="R320" s="21">
        <f t="shared" si="302"/>
        <v>0.10928360478835815</v>
      </c>
      <c r="S320" s="21">
        <f t="shared" si="302"/>
        <v>4.2310242699622892E-2</v>
      </c>
      <c r="T320" s="21">
        <f t="shared" si="302"/>
        <v>7.8960880615521391E-3</v>
      </c>
      <c r="U320" s="21">
        <f t="shared" si="302"/>
        <v>3.0362801280870494E-3</v>
      </c>
      <c r="V320" s="21">
        <f t="shared" si="302"/>
        <v>1.0839277979302921E-4</v>
      </c>
      <c r="W320" s="21">
        <f t="shared" si="302"/>
        <v>3.7622205403821942E-5</v>
      </c>
      <c r="X320" s="21">
        <f t="shared" si="302"/>
        <v>6.1098533431722083E-5</v>
      </c>
      <c r="Y320" s="21">
        <f t="shared" si="302"/>
        <v>1.4361027733798671E-4</v>
      </c>
      <c r="Z320" s="21">
        <f t="shared" si="302"/>
        <v>3.8675971494498253E-4</v>
      </c>
      <c r="AA320" s="21">
        <f t="shared" si="302"/>
        <v>5.2632295894638917E-4</v>
      </c>
      <c r="AB320" s="21">
        <f t="shared" si="302"/>
        <v>8.2417894212435099E-3</v>
      </c>
      <c r="AC320" s="21">
        <f t="shared" si="302"/>
        <v>3.6340221609298097E-2</v>
      </c>
      <c r="AD320" s="21">
        <f t="shared" si="302"/>
        <v>6.6357818395147788E-2</v>
      </c>
      <c r="AE320" s="21">
        <f t="shared" si="302"/>
        <v>2.7635516023791194E-2</v>
      </c>
      <c r="AF320" s="21">
        <f t="shared" si="302"/>
        <v>4.4147420368092696E-4</v>
      </c>
      <c r="AG320" s="3"/>
      <c r="AH320" s="3"/>
    </row>
    <row r="321" spans="1:34" x14ac:dyDescent="0.25">
      <c r="A321" s="71">
        <f>SUM(B321:AF321)</f>
        <v>2.6002925891445914</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0.17020317797911264</v>
      </c>
      <c r="M321" s="60">
        <f t="shared" ref="M321" si="313">IF($A$64&lt;=M285,IF($B$64&gt;=M285,ABS(M320),0),0)</f>
        <v>0.36667747166645437</v>
      </c>
      <c r="N321" s="60">
        <f t="shared" ref="N321" si="314">IF($A$64&lt;=N285,IF($B$64&gt;=N285,ABS(N320),0),0)</f>
        <v>0.53820080506848211</v>
      </c>
      <c r="O321" s="60">
        <f t="shared" ref="O321" si="315">IF($A$64&lt;=O285,IF($B$64&gt;=O285,ABS(O320),0),0)</f>
        <v>0.60608557978736055</v>
      </c>
      <c r="P321" s="60">
        <f t="shared" ref="P321" si="316">IF($A$64&lt;=P285,IF($B$64&gt;=P285,ABS(P320),0),0)</f>
        <v>0.47393013884335544</v>
      </c>
      <c r="Q321" s="60">
        <f t="shared" ref="Q321" si="317">IF($A$64&lt;=Q285,IF($B$64&gt;=Q285,ABS(Q320),0),0)</f>
        <v>0.28256080734241373</v>
      </c>
      <c r="R321" s="60">
        <f t="shared" ref="R321" si="318">IF($A$64&lt;=R285,IF($B$64&gt;=R285,ABS(R320),0),0)</f>
        <v>0.10928360478835815</v>
      </c>
      <c r="S321" s="60">
        <f t="shared" ref="S321" si="319">IF($A$64&lt;=S285,IF($B$64&gt;=S285,ABS(S320),0),0)</f>
        <v>4.2310242699622892E-2</v>
      </c>
      <c r="T321" s="60">
        <f t="shared" ref="T321" si="320">IF($A$64&lt;=T285,IF($B$64&gt;=T285,ABS(T320),0),0)</f>
        <v>7.8960880615521391E-3</v>
      </c>
      <c r="U321" s="60">
        <f t="shared" ref="U321" si="321">IF($A$64&lt;=U285,IF($B$64&gt;=U285,ABS(U320),0),0)</f>
        <v>3.0362801280870494E-3</v>
      </c>
      <c r="V321" s="60">
        <f t="shared" ref="V321" si="322">IF($A$64&lt;=V285,IF($B$64&gt;=V285,ABS(V320),0),0)</f>
        <v>1.0839277979302921E-4</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6790.0743632041303</v>
      </c>
      <c r="C326" s="27">
        <f t="shared" ref="C326:AF326" si="333">($C$17+SUM(C327:C357))*$B$51</f>
        <v>6595.567773583075</v>
      </c>
      <c r="D326" s="27">
        <f t="shared" si="333"/>
        <v>6386.7110541485463</v>
      </c>
      <c r="E326" s="27">
        <f t="shared" si="333"/>
        <v>6158.9178755967423</v>
      </c>
      <c r="F326" s="27">
        <f t="shared" si="333"/>
        <v>5858.2447092913444</v>
      </c>
      <c r="G326" s="27">
        <f t="shared" si="333"/>
        <v>5583.4771430687952</v>
      </c>
      <c r="H326" s="27">
        <f t="shared" si="333"/>
        <v>5281.8416428309993</v>
      </c>
      <c r="I326" s="27">
        <f t="shared" si="333"/>
        <v>4949.0021209381775</v>
      </c>
      <c r="J326" s="27">
        <f t="shared" si="333"/>
        <v>4515.4005943869961</v>
      </c>
      <c r="K326" s="27">
        <f t="shared" si="333"/>
        <v>3691.1368457294984</v>
      </c>
      <c r="L326" s="27">
        <f t="shared" si="333"/>
        <v>2714.9991859698589</v>
      </c>
      <c r="M326" s="27">
        <f t="shared" si="333"/>
        <v>1832.9280813021055</v>
      </c>
      <c r="N326" s="27">
        <f t="shared" si="333"/>
        <v>1113.445384115606</v>
      </c>
      <c r="O326" s="27">
        <f t="shared" si="333"/>
        <v>614.92370034641851</v>
      </c>
      <c r="P326" s="27">
        <f t="shared" si="333"/>
        <v>347.27939313533847</v>
      </c>
      <c r="Q326" s="27">
        <f t="shared" si="333"/>
        <v>176.54696546988924</v>
      </c>
      <c r="R326" s="27">
        <f t="shared" si="333"/>
        <v>117.63395700919891</v>
      </c>
      <c r="S326" s="27">
        <f t="shared" si="333"/>
        <v>106.34846390591719</v>
      </c>
      <c r="T326" s="27">
        <f t="shared" si="333"/>
        <v>93.377644137776983</v>
      </c>
      <c r="U326" s="27">
        <f t="shared" si="333"/>
        <v>92.777226236712224</v>
      </c>
      <c r="V326" s="27">
        <f t="shared" si="333"/>
        <v>91.741340473120687</v>
      </c>
      <c r="W326" s="27">
        <f t="shared" si="333"/>
        <v>91.103847163727522</v>
      </c>
      <c r="X326" s="27">
        <f t="shared" si="333"/>
        <v>90.696039408188611</v>
      </c>
      <c r="Y326" s="27">
        <f t="shared" si="333"/>
        <v>88.750174626591317</v>
      </c>
      <c r="Z326" s="27">
        <f t="shared" si="333"/>
        <v>85.883217215265915</v>
      </c>
      <c r="AA326" s="27">
        <f t="shared" si="333"/>
        <v>85.846049770690044</v>
      </c>
      <c r="AB326" s="27">
        <f t="shared" si="333"/>
        <v>85.846049770690044</v>
      </c>
      <c r="AC326" s="27">
        <f t="shared" si="333"/>
        <v>85.846049770690044</v>
      </c>
      <c r="AD326" s="27">
        <f t="shared" si="333"/>
        <v>85.846049770690044</v>
      </c>
      <c r="AE326" s="27">
        <f t="shared" si="333"/>
        <v>85.846049770690044</v>
      </c>
      <c r="AF326" s="27">
        <f t="shared" si="333"/>
        <v>85.846049770690044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5.0777979543474671E-38</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1.175055582223004E-5</v>
      </c>
      <c r="C333" s="3">
        <f t="shared" si="340"/>
        <v>1.3100993777449276E-34</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1.2533034942829683E-2</v>
      </c>
      <c r="C334" s="3">
        <f t="shared" si="341"/>
        <v>3.0639167488418042E-5</v>
      </c>
      <c r="D334" s="3">
        <f t="shared" si="341"/>
        <v>2.3360603735483756E-31</v>
      </c>
      <c r="E334" s="3">
        <f t="shared" si="341"/>
        <v>1.5507974609157324E-292</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3.0222811880772804E-2</v>
      </c>
      <c r="C335" s="3">
        <f t="shared" si="342"/>
        <v>1.756833677697512E-2</v>
      </c>
      <c r="D335" s="3">
        <f t="shared" si="342"/>
        <v>7.7390642028670506E-5</v>
      </c>
      <c r="E335" s="3">
        <f t="shared" si="342"/>
        <v>2.129445181066459E-28</v>
      </c>
      <c r="F335" s="3">
        <f t="shared" si="342"/>
        <v>5.297202954767074E-264</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2.4006841785912909E-2</v>
      </c>
      <c r="C336" s="3">
        <f t="shared" si="343"/>
        <v>2.2860281272485419E-2</v>
      </c>
      <c r="D336" s="3">
        <f t="shared" si="343"/>
        <v>1.4013511135291427E-2</v>
      </c>
      <c r="E336" s="3">
        <f t="shared" si="343"/>
        <v>1.05002803858773E-4</v>
      </c>
      <c r="F336" s="3">
        <f t="shared" si="343"/>
        <v>5.8578767131801772E-26</v>
      </c>
      <c r="G336" s="3">
        <f t="shared" si="343"/>
        <v>1.7105411954189316E-238</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4.5495290038733004E-2</v>
      </c>
      <c r="C337" s="3">
        <f t="shared" si="344"/>
        <v>4.5294888936201032E-2</v>
      </c>
      <c r="D337" s="3">
        <f t="shared" si="344"/>
        <v>4.3338792755782798E-2</v>
      </c>
      <c r="E337" s="3">
        <f t="shared" si="344"/>
        <v>2.7871023215277711E-2</v>
      </c>
      <c r="F337" s="3">
        <f t="shared" si="344"/>
        <v>3.3722048521741627E-4</v>
      </c>
      <c r="G337" s="3">
        <f t="shared" si="344"/>
        <v>2.2673799815276995E-23</v>
      </c>
      <c r="H337" s="3">
        <f t="shared" si="344"/>
        <v>4.2818149899175905E-215</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3.7436893296684252E-2</v>
      </c>
      <c r="C338" s="3">
        <f t="shared" si="345"/>
        <v>3.742198761456262E-2</v>
      </c>
      <c r="D338" s="3">
        <f t="shared" si="345"/>
        <v>3.7273256816130723E-2</v>
      </c>
      <c r="E338" s="3">
        <f t="shared" si="345"/>
        <v>3.5818075800823621E-2</v>
      </c>
      <c r="F338" s="3">
        <f t="shared" si="345"/>
        <v>2.4052008394830942E-2</v>
      </c>
      <c r="G338" s="3">
        <f t="shared" si="345"/>
        <v>4.483759421242542E-4</v>
      </c>
      <c r="H338" s="3">
        <f t="shared" si="345"/>
        <v>2.2727509966778338E-21</v>
      </c>
      <c r="I338" s="3">
        <f t="shared" si="345"/>
        <v>2.5447633628452197E-194</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4.1083254718351656E-2</v>
      </c>
      <c r="C339" s="3">
        <f t="shared" si="346"/>
        <v>4.1081778868559224E-2</v>
      </c>
      <c r="D339" s="3">
        <f t="shared" si="346"/>
        <v>4.1067023286284685E-2</v>
      </c>
      <c r="E339" s="3">
        <f t="shared" si="346"/>
        <v>4.0919758641347545E-2</v>
      </c>
      <c r="F339" s="3">
        <f t="shared" si="346"/>
        <v>3.9475846633260557E-2</v>
      </c>
      <c r="G339" s="3">
        <f t="shared" si="346"/>
        <v>2.7562293249473593E-2</v>
      </c>
      <c r="H339" s="3">
        <f t="shared" si="346"/>
        <v>7.5884715391453324E-4</v>
      </c>
      <c r="I339" s="3">
        <f t="shared" si="346"/>
        <v>1.8990828639722749E-19</v>
      </c>
      <c r="J339" s="3">
        <f t="shared" si="346"/>
        <v>1.8299531403747837E-175</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4.6249494900371002E-2</v>
      </c>
      <c r="C340" s="3">
        <f t="shared" si="347"/>
        <v>4.6249345022333271E-2</v>
      </c>
      <c r="D340" s="3">
        <f t="shared" si="347"/>
        <v>4.6247846268669339E-2</v>
      </c>
      <c r="E340" s="3">
        <f t="shared" si="347"/>
        <v>4.623286140303929E-2</v>
      </c>
      <c r="F340" s="3">
        <f t="shared" si="347"/>
        <v>4.6083279527680314E-2</v>
      </c>
      <c r="G340" s="3">
        <f t="shared" si="347"/>
        <v>4.4613821741282957E-2</v>
      </c>
      <c r="H340" s="3">
        <f t="shared" si="347"/>
        <v>3.2264870224614384E-2</v>
      </c>
      <c r="I340" s="3">
        <f t="shared" si="347"/>
        <v>1.2628008691792931E-3</v>
      </c>
      <c r="J340" s="3">
        <f t="shared" si="347"/>
        <v>1.0650852424373648E-17</v>
      </c>
      <c r="K340" s="3">
        <f t="shared" si="347"/>
        <v>1.9403466193597981E-158</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4.2148934304123628E-2</v>
      </c>
      <c r="C341" s="3">
        <f t="shared" si="348"/>
        <v>4.2148921982588093E-2</v>
      </c>
      <c r="D341" s="3">
        <f t="shared" si="348"/>
        <v>4.2148798767430849E-2</v>
      </c>
      <c r="E341" s="3">
        <f t="shared" si="348"/>
        <v>4.2147566635669105E-2</v>
      </c>
      <c r="F341" s="3">
        <f t="shared" si="348"/>
        <v>4.2135247298911355E-2</v>
      </c>
      <c r="G341" s="3">
        <f t="shared" si="348"/>
        <v>4.2012251803210589E-2</v>
      </c>
      <c r="H341" s="3">
        <f t="shared" si="348"/>
        <v>4.0801871672340777E-2</v>
      </c>
      <c r="I341" s="3">
        <f t="shared" si="348"/>
        <v>3.0459399961165878E-2</v>
      </c>
      <c r="J341" s="3">
        <f t="shared" si="348"/>
        <v>1.6373213471016564E-3</v>
      </c>
      <c r="K341" s="3">
        <f t="shared" si="348"/>
        <v>3.2980689345458589E-16</v>
      </c>
      <c r="L341" s="3">
        <f t="shared" si="348"/>
        <v>3.6267513026137929E-143</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0.11274262467244525</v>
      </c>
      <c r="C342" s="3">
        <f t="shared" si="349"/>
        <v>0.11274262169932124</v>
      </c>
      <c r="D342" s="3">
        <f t="shared" si="349"/>
        <v>0.11274259196808536</v>
      </c>
      <c r="E342" s="3">
        <f t="shared" si="349"/>
        <v>0.11274229465615795</v>
      </c>
      <c r="F342" s="3">
        <f t="shared" si="349"/>
        <v>0.11273932158000542</v>
      </c>
      <c r="G342" s="3">
        <f t="shared" si="349"/>
        <v>0.11270959513022961</v>
      </c>
      <c r="H342" s="3">
        <f t="shared" si="349"/>
        <v>0.11241276138701826</v>
      </c>
      <c r="I342" s="3">
        <f t="shared" si="349"/>
        <v>0.10948708206063047</v>
      </c>
      <c r="J342" s="3">
        <f t="shared" si="349"/>
        <v>8.4107656887040708E-2</v>
      </c>
      <c r="K342" s="3">
        <f t="shared" si="349"/>
        <v>6.0195227816642466E-3</v>
      </c>
      <c r="L342" s="3">
        <f t="shared" si="349"/>
        <v>2.1224005195051878E-14</v>
      </c>
      <c r="M342" s="3">
        <f t="shared" si="349"/>
        <v>6.3020254354936335E-129</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0.14424606618526242</v>
      </c>
      <c r="C343" s="3">
        <f t="shared" si="350"/>
        <v>0.14424606584211919</v>
      </c>
      <c r="D343" s="3">
        <f t="shared" si="350"/>
        <v>0.14424606241068674</v>
      </c>
      <c r="E343" s="3">
        <f t="shared" si="350"/>
        <v>0.14424602809636683</v>
      </c>
      <c r="F343" s="3">
        <f t="shared" si="350"/>
        <v>0.14424568495361662</v>
      </c>
      <c r="G343" s="3">
        <f t="shared" si="350"/>
        <v>0.14424225357101025</v>
      </c>
      <c r="H343" s="3">
        <f t="shared" si="350"/>
        <v>0.14420794423412822</v>
      </c>
      <c r="I343" s="3">
        <f t="shared" si="350"/>
        <v>0.14386529938857109</v>
      </c>
      <c r="J343" s="3">
        <f t="shared" si="350"/>
        <v>0.14048331097604835</v>
      </c>
      <c r="K343" s="3">
        <f t="shared" si="350"/>
        <v>0.11074179009255333</v>
      </c>
      <c r="L343" s="3">
        <f t="shared" si="350"/>
        <v>1.0260761432318731E-2</v>
      </c>
      <c r="M343" s="3">
        <f t="shared" si="350"/>
        <v>4.7847593276167819E-13</v>
      </c>
      <c r="N343" s="3">
        <f t="shared" si="350"/>
        <v>2.3262970687690651E-116</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0.12974045707832624</v>
      </c>
      <c r="C344" s="3">
        <f t="shared" si="351"/>
        <v>0.12974045705048468</v>
      </c>
      <c r="D344" s="3">
        <f t="shared" si="351"/>
        <v>0.12974045677206913</v>
      </c>
      <c r="E344" s="3">
        <f t="shared" si="351"/>
        <v>0.12974045398791359</v>
      </c>
      <c r="F344" s="3">
        <f t="shared" si="351"/>
        <v>0.12974042614636178</v>
      </c>
      <c r="G344" s="3">
        <f t="shared" si="351"/>
        <v>0.12974014773117196</v>
      </c>
      <c r="H344" s="3">
        <f t="shared" si="351"/>
        <v>0.12973736361213403</v>
      </c>
      <c r="I344" s="3">
        <f t="shared" si="351"/>
        <v>0.12970952570751557</v>
      </c>
      <c r="J344" s="3">
        <f t="shared" si="351"/>
        <v>0.12943147497667096</v>
      </c>
      <c r="K344" s="3">
        <f t="shared" si="351"/>
        <v>0.12668354000984292</v>
      </c>
      <c r="L344" s="3">
        <f t="shared" si="351"/>
        <v>0.10221699140140331</v>
      </c>
      <c r="M344" s="3">
        <f t="shared" si="351"/>
        <v>1.195507011402836E-2</v>
      </c>
      <c r="N344" s="3">
        <f t="shared" si="351"/>
        <v>5.7258829043128598E-12</v>
      </c>
      <c r="O344" s="3">
        <f t="shared" si="351"/>
        <v>3.6370210176987936E-105</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0.10714973449725214</v>
      </c>
      <c r="C345" s="3">
        <f t="shared" si="352"/>
        <v>0.10714973449517791</v>
      </c>
      <c r="D345" s="3">
        <f t="shared" si="352"/>
        <v>0.10714973447443567</v>
      </c>
      <c r="E345" s="3">
        <f t="shared" si="352"/>
        <v>0.10714973426701321</v>
      </c>
      <c r="F345" s="3">
        <f t="shared" si="352"/>
        <v>0.10714973219278874</v>
      </c>
      <c r="G345" s="3">
        <f t="shared" si="352"/>
        <v>0.10714971145054607</v>
      </c>
      <c r="H345" s="3">
        <f t="shared" si="352"/>
        <v>0.10714950402834036</v>
      </c>
      <c r="I345" s="3">
        <f t="shared" si="352"/>
        <v>0.10714742982836736</v>
      </c>
      <c r="J345" s="3">
        <f t="shared" si="352"/>
        <v>0.10712669003688903</v>
      </c>
      <c r="K345" s="3">
        <f t="shared" si="352"/>
        <v>0.10691951278917997</v>
      </c>
      <c r="L345" s="3">
        <f t="shared" si="352"/>
        <v>0.10486964978116592</v>
      </c>
      <c r="M345" s="3">
        <f t="shared" si="352"/>
        <v>8.641284090581236E-2</v>
      </c>
      <c r="N345" s="3">
        <f t="shared" si="352"/>
        <v>1.2469899085733828E-2</v>
      </c>
      <c r="O345" s="3">
        <f t="shared" si="352"/>
        <v>4.8832560385479787E-11</v>
      </c>
      <c r="P345" s="3">
        <f t="shared" si="352"/>
        <v>4.1416659209602724E-95</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7.4657991153042724E-2</v>
      </c>
      <c r="C346" s="3">
        <f t="shared" si="353"/>
        <v>7.4657991152912356E-2</v>
      </c>
      <c r="D346" s="3">
        <f t="shared" si="353"/>
        <v>7.4657991151608621E-2</v>
      </c>
      <c r="E346" s="3">
        <f t="shared" si="353"/>
        <v>7.4657991138571328E-2</v>
      </c>
      <c r="F346" s="3">
        <f t="shared" si="353"/>
        <v>7.4657991008198366E-2</v>
      </c>
      <c r="G346" s="3">
        <f t="shared" si="353"/>
        <v>7.4657989704468686E-2</v>
      </c>
      <c r="H346" s="3">
        <f t="shared" si="353"/>
        <v>7.4657976667173248E-2</v>
      </c>
      <c r="I346" s="3">
        <f t="shared" si="353"/>
        <v>7.4657846294344035E-2</v>
      </c>
      <c r="J346" s="3">
        <f t="shared" si="353"/>
        <v>7.4656542578573487E-2</v>
      </c>
      <c r="K346" s="3">
        <f t="shared" si="353"/>
        <v>7.4643506672942853E-2</v>
      </c>
      <c r="L346" s="3">
        <f t="shared" si="353"/>
        <v>7.4513272743268036E-2</v>
      </c>
      <c r="M346" s="3">
        <f t="shared" si="353"/>
        <v>7.3223365639135743E-2</v>
      </c>
      <c r="N346" s="3">
        <f t="shared" si="353"/>
        <v>6.14908036101042E-2</v>
      </c>
      <c r="O346" s="3">
        <f t="shared" si="353"/>
        <v>1.0725436782890434E-2</v>
      </c>
      <c r="P346" s="3">
        <f t="shared" si="353"/>
        <v>2.7955236707131725E-10</v>
      </c>
      <c r="Q346" s="3">
        <f t="shared" si="353"/>
        <v>4.0452469489099067E-86</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2.5780107678568462E-2</v>
      </c>
      <c r="C347" s="3">
        <f t="shared" si="354"/>
        <v>2.5780107678564399E-2</v>
      </c>
      <c r="D347" s="3">
        <f t="shared" si="354"/>
        <v>2.5780107678523789E-2</v>
      </c>
      <c r="E347" s="3">
        <f t="shared" si="354"/>
        <v>2.578010767811768E-2</v>
      </c>
      <c r="F347" s="3">
        <f t="shared" si="354"/>
        <v>2.5780107674056592E-2</v>
      </c>
      <c r="G347" s="3">
        <f t="shared" si="354"/>
        <v>2.5780107633445695E-2</v>
      </c>
      <c r="H347" s="3">
        <f t="shared" si="354"/>
        <v>2.578010722733674E-2</v>
      </c>
      <c r="I347" s="3">
        <f t="shared" si="354"/>
        <v>2.5780103166247528E-2</v>
      </c>
      <c r="J347" s="3">
        <f t="shared" si="354"/>
        <v>2.5780062555390615E-2</v>
      </c>
      <c r="K347" s="3">
        <f t="shared" si="354"/>
        <v>2.5779656450339989E-2</v>
      </c>
      <c r="L347" s="3">
        <f t="shared" si="354"/>
        <v>2.5775595751665468E-2</v>
      </c>
      <c r="M347" s="3">
        <f t="shared" si="354"/>
        <v>2.5735023927593338E-2</v>
      </c>
      <c r="N347" s="3">
        <f t="shared" si="354"/>
        <v>2.5332801545559634E-2</v>
      </c>
      <c r="O347" s="3">
        <f t="shared" si="354"/>
        <v>2.1640618367965807E-2</v>
      </c>
      <c r="P347" s="3">
        <f t="shared" si="354"/>
        <v>4.4785158991904675E-3</v>
      </c>
      <c r="Q347" s="3">
        <f t="shared" si="354"/>
        <v>6.4532525332277668E-10</v>
      </c>
      <c r="R347" s="3">
        <f t="shared" si="354"/>
        <v>2.490141709396558E-78</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2.4060337070104194E-2</v>
      </c>
      <c r="C348" s="3">
        <f t="shared" si="355"/>
        <v>2.4060337070103147E-2</v>
      </c>
      <c r="D348" s="3">
        <f t="shared" si="355"/>
        <v>2.4060337070092665E-2</v>
      </c>
      <c r="E348" s="3">
        <f t="shared" si="355"/>
        <v>2.406033706998784E-2</v>
      </c>
      <c r="F348" s="3">
        <f t="shared" si="355"/>
        <v>2.406033706893957E-2</v>
      </c>
      <c r="G348" s="3">
        <f t="shared" si="355"/>
        <v>2.4060337058456886E-2</v>
      </c>
      <c r="H348" s="3">
        <f t="shared" si="355"/>
        <v>2.4060336953630069E-2</v>
      </c>
      <c r="I348" s="3">
        <f t="shared" si="355"/>
        <v>2.4060335905361892E-2</v>
      </c>
      <c r="J348" s="3">
        <f t="shared" si="355"/>
        <v>2.4060325422682629E-2</v>
      </c>
      <c r="K348" s="3">
        <f t="shared" si="355"/>
        <v>2.4060220596141192E-2</v>
      </c>
      <c r="L348" s="3">
        <f t="shared" si="355"/>
        <v>2.4059172355845579E-2</v>
      </c>
      <c r="M348" s="3">
        <f t="shared" si="355"/>
        <v>2.4048692464359613E-2</v>
      </c>
      <c r="N348" s="3">
        <f t="shared" si="355"/>
        <v>2.3944144292132184E-2</v>
      </c>
      <c r="O348" s="3">
        <f t="shared" si="355"/>
        <v>2.2923337296390404E-2</v>
      </c>
      <c r="P348" s="3">
        <f t="shared" si="355"/>
        <v>1.4827334387046569E-2</v>
      </c>
      <c r="Q348" s="3">
        <f t="shared" si="355"/>
        <v>1.900708224512418E-4</v>
      </c>
      <c r="R348" s="3">
        <f t="shared" si="355"/>
        <v>2.2773992554156137E-23</v>
      </c>
      <c r="S348" s="3">
        <f t="shared" si="355"/>
        <v>1.3889172702325209E-212</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1.2267955807966144E-2</v>
      </c>
      <c r="C349" s="3">
        <f t="shared" si="356"/>
        <v>1.2267955807966089E-2</v>
      </c>
      <c r="D349" s="3">
        <f t="shared" si="356"/>
        <v>1.2267955807965556E-2</v>
      </c>
      <c r="E349" s="3">
        <f t="shared" si="356"/>
        <v>1.2267955807960211E-2</v>
      </c>
      <c r="F349" s="3">
        <f t="shared" si="356"/>
        <v>1.2267955807906761E-2</v>
      </c>
      <c r="G349" s="3">
        <f t="shared" si="356"/>
        <v>1.2267955807372267E-2</v>
      </c>
      <c r="H349" s="3">
        <f t="shared" si="356"/>
        <v>1.2267955802027327E-2</v>
      </c>
      <c r="I349" s="3">
        <f t="shared" si="356"/>
        <v>1.2267955748577917E-2</v>
      </c>
      <c r="J349" s="3">
        <f t="shared" si="356"/>
        <v>1.226795521408384E-2</v>
      </c>
      <c r="K349" s="3">
        <f t="shared" si="356"/>
        <v>1.2267949869144342E-2</v>
      </c>
      <c r="L349" s="3">
        <f t="shared" si="356"/>
        <v>1.2267896419877437E-2</v>
      </c>
      <c r="M349" s="3">
        <f t="shared" si="356"/>
        <v>1.2267361940016028E-2</v>
      </c>
      <c r="N349" s="3">
        <f t="shared" si="356"/>
        <v>1.2262018421957762E-2</v>
      </c>
      <c r="O349" s="3">
        <f t="shared" si="356"/>
        <v>1.2208711090769811E-2</v>
      </c>
      <c r="P349" s="3">
        <f t="shared" si="356"/>
        <v>1.1688219001414035E-2</v>
      </c>
      <c r="Q349" s="3">
        <f t="shared" si="356"/>
        <v>7.5602050993808269E-3</v>
      </c>
      <c r="R349" s="3">
        <f t="shared" si="356"/>
        <v>9.6913872961194771E-5</v>
      </c>
      <c r="S349" s="3">
        <f t="shared" si="356"/>
        <v>1.1612070662654533E-23</v>
      </c>
      <c r="T349" s="3">
        <f t="shared" si="356"/>
        <v>7.0818524455774264E-213</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7.7350329579382458E-4</v>
      </c>
      <c r="C350" s="3">
        <f t="shared" si="357"/>
        <v>7.7350329579382426E-4</v>
      </c>
      <c r="D350" s="3">
        <f t="shared" si="357"/>
        <v>7.7350329579382079E-4</v>
      </c>
      <c r="E350" s="3">
        <f t="shared" si="357"/>
        <v>7.7350329579378718E-4</v>
      </c>
      <c r="F350" s="3">
        <f t="shared" si="357"/>
        <v>7.7350329579345021E-4</v>
      </c>
      <c r="G350" s="3">
        <f t="shared" si="357"/>
        <v>7.7350329579008008E-4</v>
      </c>
      <c r="H350" s="3">
        <f t="shared" si="357"/>
        <v>7.7350329575637982E-4</v>
      </c>
      <c r="I350" s="3">
        <f t="shared" si="357"/>
        <v>7.7350329541937758E-4</v>
      </c>
      <c r="J350" s="3">
        <f t="shared" si="357"/>
        <v>7.7350329204935457E-4</v>
      </c>
      <c r="K350" s="3">
        <f t="shared" si="357"/>
        <v>7.7350325834912468E-4</v>
      </c>
      <c r="L350" s="3">
        <f t="shared" si="357"/>
        <v>7.7350292134690667E-4</v>
      </c>
      <c r="M350" s="3">
        <f t="shared" si="357"/>
        <v>7.7349955133280198E-4</v>
      </c>
      <c r="N350" s="3">
        <f t="shared" si="357"/>
        <v>7.7346585199928567E-4</v>
      </c>
      <c r="O350" s="3">
        <f t="shared" si="357"/>
        <v>7.7312893940407416E-4</v>
      </c>
      <c r="P350" s="3">
        <f t="shared" si="357"/>
        <v>7.6976787444677473E-4</v>
      </c>
      <c r="Q350" s="3">
        <f t="shared" si="357"/>
        <v>7.3695047985770402E-4</v>
      </c>
      <c r="R350" s="3">
        <f t="shared" si="357"/>
        <v>4.766762819157756E-4</v>
      </c>
      <c r="S350" s="3">
        <f t="shared" si="357"/>
        <v>6.1104882766981529E-6</v>
      </c>
      <c r="T350" s="3">
        <f t="shared" si="357"/>
        <v>7.3214927320830843E-25</v>
      </c>
      <c r="U350" s="3">
        <f t="shared" si="357"/>
        <v>4.4651580856059855E-214</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2.8862774017939779E-3</v>
      </c>
      <c r="C351" s="3">
        <f t="shared" si="358"/>
        <v>2.8862774017939779E-3</v>
      </c>
      <c r="D351" s="3">
        <f t="shared" si="358"/>
        <v>2.8862774017939766E-3</v>
      </c>
      <c r="E351" s="3">
        <f t="shared" si="358"/>
        <v>2.8862774017939636E-3</v>
      </c>
      <c r="F351" s="3">
        <f t="shared" si="358"/>
        <v>2.8862774017938382E-3</v>
      </c>
      <c r="G351" s="3">
        <f t="shared" si="358"/>
        <v>2.8862774017925806E-3</v>
      </c>
      <c r="H351" s="3">
        <f t="shared" si="358"/>
        <v>2.8862774017800056E-3</v>
      </c>
      <c r="I351" s="3">
        <f t="shared" si="358"/>
        <v>2.8862774016542555E-3</v>
      </c>
      <c r="J351" s="3">
        <f t="shared" si="358"/>
        <v>2.8862774003967531E-3</v>
      </c>
      <c r="K351" s="3">
        <f t="shared" si="358"/>
        <v>2.8862773878217305E-3</v>
      </c>
      <c r="L351" s="3">
        <f t="shared" si="358"/>
        <v>2.8862772620715078E-3</v>
      </c>
      <c r="M351" s="3">
        <f t="shared" si="358"/>
        <v>2.8862760045695792E-3</v>
      </c>
      <c r="N351" s="3">
        <f t="shared" si="358"/>
        <v>2.8862634295804268E-3</v>
      </c>
      <c r="O351" s="3">
        <f t="shared" si="358"/>
        <v>2.8861376827021491E-3</v>
      </c>
      <c r="P351" s="3">
        <f t="shared" si="358"/>
        <v>2.884880515195266E-3</v>
      </c>
      <c r="Q351" s="3">
        <f t="shared" si="358"/>
        <v>2.8723389192059964E-3</v>
      </c>
      <c r="R351" s="3">
        <f t="shared" si="358"/>
        <v>2.7498829388588378E-3</v>
      </c>
      <c r="S351" s="3">
        <f t="shared" si="358"/>
        <v>1.7786866428962185E-3</v>
      </c>
      <c r="T351" s="3">
        <f t="shared" si="358"/>
        <v>2.2800890859632342E-5</v>
      </c>
      <c r="U351" s="3">
        <f t="shared" si="358"/>
        <v>2.7319675475103473E-24</v>
      </c>
      <c r="V351" s="3">
        <f t="shared" si="358"/>
        <v>1.6661447918842995E-213</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1.5898164143456024E-4</v>
      </c>
      <c r="C353" s="3">
        <f t="shared" si="360"/>
        <v>1.5898164143456024E-4</v>
      </c>
      <c r="D353" s="3">
        <f t="shared" si="360"/>
        <v>1.5898164143456024E-4</v>
      </c>
      <c r="E353" s="3">
        <f t="shared" si="360"/>
        <v>1.5898164143456024E-4</v>
      </c>
      <c r="F353" s="3">
        <f t="shared" si="360"/>
        <v>1.5898164143456016E-4</v>
      </c>
      <c r="G353" s="3">
        <f t="shared" si="360"/>
        <v>1.5898164143455945E-4</v>
      </c>
      <c r="H353" s="3">
        <f t="shared" si="360"/>
        <v>1.5898164143455254E-4</v>
      </c>
      <c r="I353" s="3">
        <f t="shared" si="360"/>
        <v>1.5898164143448329E-4</v>
      </c>
      <c r="J353" s="3">
        <f t="shared" si="360"/>
        <v>1.5898164143379062E-4</v>
      </c>
      <c r="K353" s="3">
        <f t="shared" si="360"/>
        <v>1.5898164142686406E-4</v>
      </c>
      <c r="L353" s="3">
        <f t="shared" si="360"/>
        <v>1.5898164135759845E-4</v>
      </c>
      <c r="M353" s="3">
        <f t="shared" si="360"/>
        <v>1.5898164066494231E-4</v>
      </c>
      <c r="N353" s="3">
        <f t="shared" si="360"/>
        <v>1.5898163373838118E-4</v>
      </c>
      <c r="O353" s="3">
        <f t="shared" si="360"/>
        <v>1.5898156447278651E-4</v>
      </c>
      <c r="P353" s="3">
        <f t="shared" si="360"/>
        <v>1.5898087181849928E-4</v>
      </c>
      <c r="Q353" s="3">
        <f t="shared" si="360"/>
        <v>1.5897394544160236E-4</v>
      </c>
      <c r="R353" s="3">
        <f t="shared" si="360"/>
        <v>1.5890469826748173E-4</v>
      </c>
      <c r="S353" s="3">
        <f t="shared" si="360"/>
        <v>1.5821388333910934E-4</v>
      </c>
      <c r="T353" s="3">
        <f t="shared" si="360"/>
        <v>1.5146877535088585E-4</v>
      </c>
      <c r="U353" s="3">
        <f t="shared" si="360"/>
        <v>9.797343869636582E-5</v>
      </c>
      <c r="V353" s="3">
        <f t="shared" si="360"/>
        <v>1.2559163761534233E-6</v>
      </c>
      <c r="W353" s="3">
        <f t="shared" si="360"/>
        <v>1.5048196156723661E-25</v>
      </c>
      <c r="X353" s="3">
        <f t="shared" si="360"/>
        <v>9.1774419782647508E-215</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1.3061991748101505E-4</v>
      </c>
      <c r="C354" s="3">
        <f t="shared" si="361"/>
        <v>1.3061991748101505E-4</v>
      </c>
      <c r="D354" s="3">
        <f t="shared" si="361"/>
        <v>1.3061991748101505E-4</v>
      </c>
      <c r="E354" s="3">
        <f t="shared" si="361"/>
        <v>1.3061991748101505E-4</v>
      </c>
      <c r="F354" s="3">
        <f t="shared" si="361"/>
        <v>1.3061991748101505E-4</v>
      </c>
      <c r="G354" s="3">
        <f t="shared" si="361"/>
        <v>1.3061991748101499E-4</v>
      </c>
      <c r="H354" s="3">
        <f t="shared" si="361"/>
        <v>1.306199174810144E-4</v>
      </c>
      <c r="I354" s="3">
        <f t="shared" si="361"/>
        <v>1.3061991748100873E-4</v>
      </c>
      <c r="J354" s="3">
        <f t="shared" si="361"/>
        <v>1.3061991748095181E-4</v>
      </c>
      <c r="K354" s="3">
        <f t="shared" si="361"/>
        <v>1.3061991748038274E-4</v>
      </c>
      <c r="L354" s="3">
        <f t="shared" si="361"/>
        <v>1.3061991747469185E-4</v>
      </c>
      <c r="M354" s="3">
        <f t="shared" si="361"/>
        <v>1.3061991741778294E-4</v>
      </c>
      <c r="N354" s="3">
        <f t="shared" si="361"/>
        <v>1.3061991684869406E-4</v>
      </c>
      <c r="O354" s="3">
        <f t="shared" si="361"/>
        <v>1.3061991115780524E-4</v>
      </c>
      <c r="P354" s="3">
        <f t="shared" si="361"/>
        <v>1.3061985424893085E-4</v>
      </c>
      <c r="Q354" s="3">
        <f t="shared" si="361"/>
        <v>1.3061928516155055E-4</v>
      </c>
      <c r="R354" s="3">
        <f t="shared" si="361"/>
        <v>1.3061359442411349E-4</v>
      </c>
      <c r="S354" s="3">
        <f t="shared" si="361"/>
        <v>1.3055670068413313E-4</v>
      </c>
      <c r="T354" s="3">
        <f t="shared" si="361"/>
        <v>1.2998912452801575E-4</v>
      </c>
      <c r="U354" s="3">
        <f t="shared" si="361"/>
        <v>1.244473183114474E-4</v>
      </c>
      <c r="V354" s="3">
        <f t="shared" si="361"/>
        <v>8.0495347528023768E-5</v>
      </c>
      <c r="W354" s="3">
        <f t="shared" si="361"/>
        <v>1.0318656414410003E-6</v>
      </c>
      <c r="X354" s="3">
        <f t="shared" si="361"/>
        <v>1.2363654837709342E-25</v>
      </c>
      <c r="Y354" s="3">
        <f t="shared" si="361"/>
        <v>7.5402210159037478E-215</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8.1332295555460314E-5</v>
      </c>
      <c r="C356" s="3">
        <f t="shared" si="363"/>
        <v>8.1332295555460314E-5</v>
      </c>
      <c r="D356" s="3">
        <f t="shared" si="363"/>
        <v>8.1332295555460314E-5</v>
      </c>
      <c r="E356" s="3">
        <f t="shared" si="363"/>
        <v>8.1332295555460314E-5</v>
      </c>
      <c r="F356" s="3">
        <f t="shared" si="363"/>
        <v>8.1332295555460314E-5</v>
      </c>
      <c r="G356" s="3">
        <f t="shared" si="363"/>
        <v>8.1332295555460314E-5</v>
      </c>
      <c r="H356" s="3">
        <f t="shared" si="363"/>
        <v>8.1332295555460314E-5</v>
      </c>
      <c r="I356" s="3">
        <f t="shared" si="363"/>
        <v>8.1332295555460273E-5</v>
      </c>
      <c r="J356" s="3">
        <f t="shared" si="363"/>
        <v>8.1332295555459921E-5</v>
      </c>
      <c r="K356" s="3">
        <f t="shared" si="363"/>
        <v>8.1332295555456384E-5</v>
      </c>
      <c r="L356" s="3">
        <f t="shared" si="363"/>
        <v>8.1332295555420944E-5</v>
      </c>
      <c r="M356" s="3">
        <f t="shared" si="363"/>
        <v>8.1332295555066586E-5</v>
      </c>
      <c r="N356" s="3">
        <f t="shared" si="363"/>
        <v>8.1332295551523074E-5</v>
      </c>
      <c r="O356" s="3">
        <f t="shared" si="363"/>
        <v>8.1332295516087973E-5</v>
      </c>
      <c r="P356" s="3">
        <f t="shared" si="363"/>
        <v>8.1332295161736916E-5</v>
      </c>
      <c r="Q356" s="3">
        <f t="shared" si="363"/>
        <v>8.1332291618226406E-5</v>
      </c>
      <c r="R356" s="3">
        <f t="shared" si="363"/>
        <v>8.1332256183129818E-5</v>
      </c>
      <c r="S356" s="3">
        <f t="shared" si="363"/>
        <v>8.133190183301305E-5</v>
      </c>
      <c r="T356" s="3">
        <f t="shared" si="363"/>
        <v>8.1328358416755522E-5</v>
      </c>
      <c r="U356" s="3">
        <f t="shared" si="363"/>
        <v>8.12929327438216E-5</v>
      </c>
      <c r="V356" s="3">
        <f t="shared" si="363"/>
        <v>8.0939523611663175E-5</v>
      </c>
      <c r="W356" s="3">
        <f t="shared" si="363"/>
        <v>7.7488841435397555E-5</v>
      </c>
      <c r="X356" s="3">
        <f t="shared" si="363"/>
        <v>5.0121539825197608E-5</v>
      </c>
      <c r="Y356" s="3">
        <f t="shared" si="363"/>
        <v>6.4250539229901149E-7</v>
      </c>
      <c r="Z356" s="3">
        <f t="shared" si="363"/>
        <v>7.698400433857467E-26</v>
      </c>
      <c r="AA356" s="3">
        <f t="shared" si="363"/>
        <v>4.6950227503252835E-215</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6.4178085162845428E-4</v>
      </c>
      <c r="C357" s="3">
        <f t="shared" si="364"/>
        <v>6.4178085162845428E-4</v>
      </c>
      <c r="D357" s="3">
        <f t="shared" si="364"/>
        <v>6.4178085162845428E-4</v>
      </c>
      <c r="E357" s="3">
        <f t="shared" si="364"/>
        <v>6.4178085162845428E-4</v>
      </c>
      <c r="F357" s="3">
        <f t="shared" si="364"/>
        <v>6.4178085162845428E-4</v>
      </c>
      <c r="G357" s="3">
        <f t="shared" si="364"/>
        <v>6.4178085162845428E-4</v>
      </c>
      <c r="H357" s="3">
        <f t="shared" si="364"/>
        <v>6.4178085162845428E-4</v>
      </c>
      <c r="I357" s="3">
        <f t="shared" si="364"/>
        <v>6.4178085162845428E-4</v>
      </c>
      <c r="J357" s="3">
        <f t="shared" si="364"/>
        <v>6.4178085162845395E-4</v>
      </c>
      <c r="K357" s="3">
        <f t="shared" si="364"/>
        <v>6.4178085162845113E-4</v>
      </c>
      <c r="L357" s="3">
        <f t="shared" si="364"/>
        <v>6.4178085162842316E-4</v>
      </c>
      <c r="M357" s="3">
        <f t="shared" si="364"/>
        <v>6.4178085162814365E-4</v>
      </c>
      <c r="N357" s="3">
        <f t="shared" si="364"/>
        <v>6.417808516253475E-4</v>
      </c>
      <c r="O357" s="3">
        <f t="shared" si="364"/>
        <v>6.4178085159738614E-4</v>
      </c>
      <c r="P357" s="3">
        <f t="shared" si="364"/>
        <v>6.4178085131777311E-4</v>
      </c>
      <c r="Q357" s="3">
        <f t="shared" si="364"/>
        <v>6.4178084852164249E-4</v>
      </c>
      <c r="R357" s="3">
        <f t="shared" si="364"/>
        <v>6.4178082056033658E-4</v>
      </c>
      <c r="S357" s="3">
        <f t="shared" si="364"/>
        <v>6.4178054094734508E-4</v>
      </c>
      <c r="T357" s="3">
        <f t="shared" si="364"/>
        <v>6.4177774482413038E-4</v>
      </c>
      <c r="U357" s="3">
        <f t="shared" si="364"/>
        <v>6.4174978426199568E-4</v>
      </c>
      <c r="V357" s="3">
        <f t="shared" si="364"/>
        <v>6.4147024563112622E-4</v>
      </c>
      <c r="W357" s="3">
        <f t="shared" si="364"/>
        <v>6.3868154758367913E-4</v>
      </c>
      <c r="X357" s="3">
        <f t="shared" si="364"/>
        <v>6.1145273606842123E-4</v>
      </c>
      <c r="Y357" s="3">
        <f t="shared" si="364"/>
        <v>3.9550149536859156E-4</v>
      </c>
      <c r="Z357" s="3">
        <f t="shared" si="364"/>
        <v>5.0699129420779068E-6</v>
      </c>
      <c r="AA357" s="3">
        <f t="shared" si="364"/>
        <v>6.0746914283869736E-25</v>
      </c>
      <c r="AB357" s="3">
        <f t="shared" si="364"/>
        <v>3.704771491496942E-214</v>
      </c>
      <c r="AC357" s="3">
        <f t="shared" si="364"/>
        <v>0</v>
      </c>
      <c r="AD357" s="3">
        <f t="shared" si="364"/>
        <v>0</v>
      </c>
      <c r="AE357" s="3">
        <f t="shared" si="364"/>
        <v>0</v>
      </c>
      <c r="AF357" s="3">
        <f t="shared" si="364"/>
        <v>0</v>
      </c>
      <c r="AG357" s="3"/>
      <c r="AH357" s="3"/>
    </row>
    <row r="358" spans="1:34" x14ac:dyDescent="0.25">
      <c r="A358" s="79">
        <f>AVERAGE(B358:AF358)</f>
        <v>6.9068692396331746E-2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4.4709793467357225E-3</v>
      </c>
      <c r="M358" s="80">
        <f t="shared" si="365"/>
        <v>4.2366803691470874E-4</v>
      </c>
      <c r="N358" s="80">
        <f t="shared" si="365"/>
        <v>7.5153715433732083E-3</v>
      </c>
      <c r="O358" s="80">
        <f t="shared" si="365"/>
        <v>2.5351908495444206E-2</v>
      </c>
      <c r="P358" s="80">
        <f t="shared" si="365"/>
        <v>1.9780536011214989E-2</v>
      </c>
      <c r="Q358" s="80">
        <f t="shared" si="365"/>
        <v>0.28875809283054332</v>
      </c>
      <c r="R358" s="80">
        <f t="shared" si="365"/>
        <v>0.45178103254570795</v>
      </c>
      <c r="S358" s="80">
        <f t="shared" si="365"/>
        <v>0.42739027507230054</v>
      </c>
      <c r="T358" s="80">
        <f t="shared" si="365"/>
        <v>0.40936329653146808</v>
      </c>
      <c r="U358" s="80">
        <f t="shared" si="365"/>
        <v>0.29960460503641134</v>
      </c>
      <c r="V358" s="80">
        <f t="shared" si="365"/>
        <v>0.20668969883616944</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41751.746149154002</v>
      </c>
      <c r="C359" s="21">
        <f t="shared" ref="C359:AF359" si="366">(C326-C325)^2</f>
        <v>68217.757158230903</v>
      </c>
      <c r="D359" s="21">
        <f t="shared" si="366"/>
        <v>83520.750981821649</v>
      </c>
      <c r="E359" s="21">
        <f t="shared" si="366"/>
        <v>111272.90808581543</v>
      </c>
      <c r="F359" s="21">
        <f t="shared" si="366"/>
        <v>96914.883133404423</v>
      </c>
      <c r="G359" s="21">
        <f t="shared" si="366"/>
        <v>106370.31690271734</v>
      </c>
      <c r="H359" s="21">
        <f t="shared" si="366"/>
        <v>114541.59856524019</v>
      </c>
      <c r="I359" s="21">
        <f t="shared" si="366"/>
        <v>141177.4428910829</v>
      </c>
      <c r="J359" s="21">
        <f t="shared" si="366"/>
        <v>190206.39787679369</v>
      </c>
      <c r="K359" s="21">
        <f t="shared" si="366"/>
        <v>53771.613687239129</v>
      </c>
      <c r="L359" s="21">
        <f t="shared" si="366"/>
        <v>146.0393687617414</v>
      </c>
      <c r="M359" s="21">
        <f t="shared" si="366"/>
        <v>0.60252397860448104</v>
      </c>
      <c r="N359" s="21">
        <f t="shared" si="366"/>
        <v>68.981937578632866</v>
      </c>
      <c r="O359" s="21">
        <f t="shared" si="366"/>
        <v>255.83980047214953</v>
      </c>
      <c r="P359" s="21">
        <f t="shared" si="366"/>
        <v>49.111985903106358</v>
      </c>
      <c r="Q359" s="21">
        <f t="shared" si="366"/>
        <v>5137.5276027849523</v>
      </c>
      <c r="R359" s="21">
        <f t="shared" si="366"/>
        <v>9397.5205719008372</v>
      </c>
      <c r="S359" s="21">
        <f t="shared" si="366"/>
        <v>6300.7794111100184</v>
      </c>
      <c r="T359" s="21">
        <f t="shared" si="366"/>
        <v>4188.5409433599471</v>
      </c>
      <c r="U359" s="21">
        <f t="shared" si="366"/>
        <v>1575.0457504135163</v>
      </c>
      <c r="V359" s="21">
        <f t="shared" si="366"/>
        <v>571.32291137665266</v>
      </c>
      <c r="W359" s="21">
        <f t="shared" si="366"/>
        <v>213.14822000402717</v>
      </c>
      <c r="X359" s="21">
        <f t="shared" si="366"/>
        <v>82.319666461406513</v>
      </c>
      <c r="Y359" s="21">
        <f t="shared" si="366"/>
        <v>54.925566063753635</v>
      </c>
      <c r="Z359" s="21">
        <f t="shared" si="366"/>
        <v>63.67394424237434</v>
      </c>
      <c r="AA359" s="21">
        <f t="shared" si="366"/>
        <v>42.70760168682456</v>
      </c>
      <c r="AB359" s="21">
        <f t="shared" si="366"/>
        <v>39.444539555571453</v>
      </c>
      <c r="AC359" s="21">
        <f t="shared" si="366"/>
        <v>27.459893447768717</v>
      </c>
      <c r="AD359" s="21">
        <f t="shared" si="366"/>
        <v>25.407890302649733</v>
      </c>
      <c r="AE359" s="21">
        <f t="shared" si="366"/>
        <v>19.751375100536116</v>
      </c>
      <c r="AF359" s="21">
        <f t="shared" si="366"/>
        <v>17.726451611668246</v>
      </c>
      <c r="AG359" s="3"/>
      <c r="AH359" s="3"/>
    </row>
    <row r="360" spans="1:34" x14ac:dyDescent="0.25">
      <c r="A360" s="71">
        <f>SUM(B360:AF360)</f>
        <v>27691.312807640163</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146.0393687617414</v>
      </c>
      <c r="M360" s="60">
        <f t="shared" si="367"/>
        <v>0.60252397860448104</v>
      </c>
      <c r="N360" s="60">
        <f t="shared" si="367"/>
        <v>68.981937578632866</v>
      </c>
      <c r="O360" s="60">
        <f t="shared" si="367"/>
        <v>255.83980047214953</v>
      </c>
      <c r="P360" s="60">
        <f t="shared" si="367"/>
        <v>49.111985903106358</v>
      </c>
      <c r="Q360" s="60">
        <f t="shared" si="367"/>
        <v>5137.5276027849523</v>
      </c>
      <c r="R360" s="60">
        <f t="shared" si="367"/>
        <v>9397.5205719008372</v>
      </c>
      <c r="S360" s="60">
        <f t="shared" si="367"/>
        <v>6300.7794111100184</v>
      </c>
      <c r="T360" s="60">
        <f t="shared" si="367"/>
        <v>4188.5409433599471</v>
      </c>
      <c r="U360" s="60">
        <f t="shared" si="367"/>
        <v>1575.0457504135163</v>
      </c>
      <c r="V360" s="60">
        <f t="shared" si="367"/>
        <v>571.32291137665266</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6422.3522811677431</v>
      </c>
      <c r="C365" s="27">
        <f t="shared" ref="C365:AF365" si="368">($C$17+SUM(C366:C396))*$B$51</f>
        <v>6211.7952540039787</v>
      </c>
      <c r="D365" s="27">
        <f t="shared" si="368"/>
        <v>5909.7573582384466</v>
      </c>
      <c r="E365" s="27">
        <f t="shared" si="368"/>
        <v>5636.7647853135613</v>
      </c>
      <c r="F365" s="27">
        <f t="shared" si="368"/>
        <v>5342.0095179760974</v>
      </c>
      <c r="G365" s="27">
        <f t="shared" si="368"/>
        <v>5016.6603071471991</v>
      </c>
      <c r="H365" s="27">
        <f t="shared" si="368"/>
        <v>4630.2195861162118</v>
      </c>
      <c r="I365" s="27">
        <f t="shared" si="368"/>
        <v>3879.2145573328989</v>
      </c>
      <c r="J365" s="27">
        <f t="shared" si="368"/>
        <v>2926.3312741128716</v>
      </c>
      <c r="K365" s="27">
        <f t="shared" si="368"/>
        <v>2023.2685340222185</v>
      </c>
      <c r="L365" s="27">
        <f t="shared" si="368"/>
        <v>1267.5418668370153</v>
      </c>
      <c r="M365" s="27">
        <f t="shared" si="368"/>
        <v>716.44761563385237</v>
      </c>
      <c r="N365" s="27">
        <f t="shared" si="368"/>
        <v>402.65820396561116</v>
      </c>
      <c r="O365" s="27">
        <f t="shared" si="368"/>
        <v>195.59610685932461</v>
      </c>
      <c r="P365" s="27">
        <f t="shared" si="368"/>
        <v>122.58613659194226</v>
      </c>
      <c r="Q365" s="27">
        <f t="shared" si="368"/>
        <v>109.26137196825989</v>
      </c>
      <c r="R365" s="27">
        <f t="shared" si="368"/>
        <v>94.308070099864622</v>
      </c>
      <c r="S365" s="27">
        <f t="shared" si="368"/>
        <v>92.94148230883529</v>
      </c>
      <c r="T365" s="27">
        <f t="shared" si="368"/>
        <v>91.914032433063397</v>
      </c>
      <c r="U365" s="27">
        <f t="shared" si="368"/>
        <v>91.164322199622688</v>
      </c>
      <c r="V365" s="27">
        <f t="shared" si="368"/>
        <v>90.855406596580963</v>
      </c>
      <c r="W365" s="27">
        <f t="shared" si="368"/>
        <v>89.368842508932389</v>
      </c>
      <c r="X365" s="27">
        <f t="shared" si="368"/>
        <v>86.085065584347106</v>
      </c>
      <c r="Y365" s="27">
        <f t="shared" si="368"/>
        <v>85.84604977069057</v>
      </c>
      <c r="Z365" s="27">
        <f t="shared" si="368"/>
        <v>85.846049770690044</v>
      </c>
      <c r="AA365" s="27">
        <f t="shared" si="368"/>
        <v>85.846049770690044</v>
      </c>
      <c r="AB365" s="27">
        <f t="shared" si="368"/>
        <v>85.846049770690044</v>
      </c>
      <c r="AC365" s="27">
        <f t="shared" si="368"/>
        <v>85.846049770690044</v>
      </c>
      <c r="AD365" s="27">
        <f t="shared" si="368"/>
        <v>85.846049770690044</v>
      </c>
      <c r="AE365" s="27">
        <f t="shared" si="368"/>
        <v>85.846049770690044</v>
      </c>
      <c r="AF365" s="27">
        <f t="shared" si="368"/>
        <v>85.846049770690044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1.8471950947332527E-200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3.3508564572872665E-20</v>
      </c>
      <c r="C373" s="3">
        <f t="shared" si="376"/>
        <v>5.7183758476370204E-181</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7.8544007643013803E-4</v>
      </c>
      <c r="C374" s="3">
        <f t="shared" si="377"/>
        <v>2.4689513874996395E-18</v>
      </c>
      <c r="D374" s="3">
        <f t="shared" si="377"/>
        <v>2.3254518864728752E-163</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1.7271690028165591E-2</v>
      </c>
      <c r="C375" s="3">
        <f t="shared" si="378"/>
        <v>8.4933616808392841E-4</v>
      </c>
      <c r="D375" s="3">
        <f t="shared" si="378"/>
        <v>7.0230773402355722E-17</v>
      </c>
      <c r="E375" s="3">
        <f t="shared" si="378"/>
        <v>1.0495563892066783E-147</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4.4163819966735816E-2</v>
      </c>
      <c r="C376" s="3">
        <f t="shared" si="379"/>
        <v>3.3655118699913188E-2</v>
      </c>
      <c r="D376" s="3">
        <f t="shared" si="379"/>
        <v>2.2227779748410404E-3</v>
      </c>
      <c r="E376" s="3">
        <f t="shared" si="379"/>
        <v>3.5103115761216598E-15</v>
      </c>
      <c r="F376" s="3">
        <f t="shared" si="379"/>
        <v>3.3872049948503238E-133</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3.7336717317278972E-2</v>
      </c>
      <c r="C377" s="3">
        <f t="shared" si="380"/>
        <v>3.6432598806756339E-2</v>
      </c>
      <c r="D377" s="3">
        <f t="shared" si="380"/>
        <v>2.851217504822709E-2</v>
      </c>
      <c r="E377" s="3">
        <f t="shared" si="380"/>
        <v>2.4571536895308843E-3</v>
      </c>
      <c r="F377" s="3">
        <f t="shared" si="380"/>
        <v>5.5520331376691246E-14</v>
      </c>
      <c r="G377" s="3">
        <f t="shared" si="380"/>
        <v>1.9259691678013509E-120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4.1073325742637792E-2</v>
      </c>
      <c r="C378" s="3">
        <f t="shared" si="381"/>
        <v>4.0982600588098411E-2</v>
      </c>
      <c r="D378" s="3">
        <f t="shared" si="381"/>
        <v>4.0086298271973374E-2</v>
      </c>
      <c r="E378" s="3">
        <f t="shared" si="381"/>
        <v>3.2133671896314005E-2</v>
      </c>
      <c r="F378" s="3">
        <f t="shared" si="381"/>
        <v>3.5205001602082384E-3</v>
      </c>
      <c r="G378" s="3">
        <f t="shared" si="381"/>
        <v>8.7709069353254929E-13</v>
      </c>
      <c r="H378" s="3">
        <f t="shared" si="381"/>
        <v>8.080641651947429E-109</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4.6248486481551963E-2</v>
      </c>
      <c r="C379" s="3">
        <f t="shared" si="382"/>
        <v>4.6239261856196763E-2</v>
      </c>
      <c r="D379" s="3">
        <f t="shared" si="382"/>
        <v>4.6147116737951063E-2</v>
      </c>
      <c r="E379" s="3">
        <f t="shared" si="382"/>
        <v>4.5235704838031424E-2</v>
      </c>
      <c r="F379" s="3">
        <f t="shared" si="382"/>
        <v>3.7055208584816944E-2</v>
      </c>
      <c r="G379" s="3">
        <f t="shared" si="382"/>
        <v>5.041134310641412E-3</v>
      </c>
      <c r="H379" s="3">
        <f t="shared" si="382"/>
        <v>1.0947585118605452E-11</v>
      </c>
      <c r="I379" s="3">
        <f t="shared" si="382"/>
        <v>2.5539885824988669E-98</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4.2148851400894929E-2</v>
      </c>
      <c r="C380" s="3">
        <f t="shared" si="383"/>
        <v>4.2148092957881259E-2</v>
      </c>
      <c r="D380" s="3">
        <f t="shared" si="383"/>
        <v>4.2140509278328762E-2</v>
      </c>
      <c r="E380" s="3">
        <f t="shared" si="383"/>
        <v>4.2064747491272834E-2</v>
      </c>
      <c r="F380" s="3">
        <f t="shared" si="383"/>
        <v>4.1314580766563212E-2</v>
      </c>
      <c r="G380" s="3">
        <f t="shared" si="383"/>
        <v>3.4510717563120318E-2</v>
      </c>
      <c r="H380" s="3">
        <f t="shared" si="383"/>
        <v>5.7076900617164103E-3</v>
      </c>
      <c r="I380" s="3">
        <f t="shared" si="383"/>
        <v>8.740259124192508E-11</v>
      </c>
      <c r="J380" s="3">
        <f t="shared" si="383"/>
        <v>6.1967442443469318E-89</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0.11274260466830149</v>
      </c>
      <c r="C381" s="3">
        <f t="shared" si="384"/>
        <v>0.11274242165804868</v>
      </c>
      <c r="D381" s="3">
        <f t="shared" si="384"/>
        <v>0.11274059157185937</v>
      </c>
      <c r="E381" s="3">
        <f t="shared" si="384"/>
        <v>0.1127222923437602</v>
      </c>
      <c r="F381" s="3">
        <f t="shared" si="384"/>
        <v>0.11253946334407405</v>
      </c>
      <c r="G381" s="3">
        <f t="shared" si="384"/>
        <v>0.1107274038344437</v>
      </c>
      <c r="H381" s="3">
        <f t="shared" si="384"/>
        <v>9.4136466489962878E-2</v>
      </c>
      <c r="I381" s="3">
        <f t="shared" si="384"/>
        <v>1.8568877225008919E-2</v>
      </c>
      <c r="J381" s="3">
        <f t="shared" si="384"/>
        <v>1.6560108055883813E-9</v>
      </c>
      <c r="K381" s="3">
        <f t="shared" si="384"/>
        <v>5.2703369444421396E-80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0.14424606387648306</v>
      </c>
      <c r="C382" s="3">
        <f t="shared" si="385"/>
        <v>0.14424604275432737</v>
      </c>
      <c r="D382" s="3">
        <f t="shared" si="385"/>
        <v>0.14424583153294043</v>
      </c>
      <c r="E382" s="3">
        <f t="shared" si="385"/>
        <v>0.14424371933608227</v>
      </c>
      <c r="F382" s="3">
        <f t="shared" si="385"/>
        <v>0.14422259906851945</v>
      </c>
      <c r="G382" s="3">
        <f t="shared" si="385"/>
        <v>0.14401156640265086</v>
      </c>
      <c r="H382" s="3">
        <f t="shared" si="385"/>
        <v>0.14191814896896235</v>
      </c>
      <c r="I382" s="3">
        <f t="shared" si="385"/>
        <v>0.12258676276753862</v>
      </c>
      <c r="J382" s="3">
        <f t="shared" si="385"/>
        <v>2.8346533781814332E-2</v>
      </c>
      <c r="K382" s="3">
        <f t="shared" si="385"/>
        <v>1.2389785991634569E-8</v>
      </c>
      <c r="L382" s="3">
        <f t="shared" si="385"/>
        <v>3.1528422732399268E-72</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0.1297404568909992</v>
      </c>
      <c r="C383" s="3">
        <f t="shared" si="386"/>
        <v>0.12974045517721428</v>
      </c>
      <c r="D383" s="3">
        <f t="shared" si="386"/>
        <v>0.12974043803936655</v>
      </c>
      <c r="E383" s="3">
        <f t="shared" si="386"/>
        <v>0.12974026666101374</v>
      </c>
      <c r="F383" s="3">
        <f t="shared" si="386"/>
        <v>0.12973855288993624</v>
      </c>
      <c r="G383" s="3">
        <f t="shared" si="386"/>
        <v>0.1297214164241815</v>
      </c>
      <c r="H383" s="3">
        <f t="shared" si="386"/>
        <v>0.12955017620780088</v>
      </c>
      <c r="I383" s="3">
        <f t="shared" si="386"/>
        <v>0.12785015755496218</v>
      </c>
      <c r="J383" s="3">
        <f t="shared" si="386"/>
        <v>0.11202987796522917</v>
      </c>
      <c r="K383" s="3">
        <f t="shared" si="386"/>
        <v>2.9899217070922763E-2</v>
      </c>
      <c r="L383" s="3">
        <f t="shared" si="386"/>
        <v>5.481751566412977E-8</v>
      </c>
      <c r="M383" s="3">
        <f t="shared" si="386"/>
        <v>2.3524190139918242E-65</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0.10714973448329608</v>
      </c>
      <c r="C384" s="3">
        <f t="shared" si="387"/>
        <v>0.10714973435561734</v>
      </c>
      <c r="D384" s="3">
        <f t="shared" si="387"/>
        <v>0.10714973307882997</v>
      </c>
      <c r="E384" s="3">
        <f t="shared" si="387"/>
        <v>0.1071497203109571</v>
      </c>
      <c r="F384" s="3">
        <f t="shared" si="387"/>
        <v>0.10714959263231204</v>
      </c>
      <c r="G384" s="3">
        <f t="shared" si="387"/>
        <v>0.10714831585422915</v>
      </c>
      <c r="H384" s="3">
        <f t="shared" si="387"/>
        <v>0.10713554891013441</v>
      </c>
      <c r="I384" s="3">
        <f t="shared" si="387"/>
        <v>0.10700796310571999</v>
      </c>
      <c r="J384" s="3">
        <f t="shared" si="387"/>
        <v>0.10574043195769059</v>
      </c>
      <c r="K384" s="3">
        <f t="shared" si="387"/>
        <v>9.386223877779834E-2</v>
      </c>
      <c r="L384" s="3">
        <f t="shared" si="387"/>
        <v>2.85094732674392E-2</v>
      </c>
      <c r="M384" s="3">
        <f t="shared" si="387"/>
        <v>1.9053380547081359E-7</v>
      </c>
      <c r="N384" s="3">
        <f t="shared" si="387"/>
        <v>3.3868855595841074E-59</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7.4657991152165537E-2</v>
      </c>
      <c r="C385" s="3">
        <f t="shared" si="388"/>
        <v>7.4657991144140429E-2</v>
      </c>
      <c r="D385" s="3">
        <f t="shared" si="388"/>
        <v>7.4657991063889456E-2</v>
      </c>
      <c r="E385" s="3">
        <f t="shared" si="388"/>
        <v>7.4657990261379606E-2</v>
      </c>
      <c r="F385" s="3">
        <f t="shared" si="388"/>
        <v>7.4657982236281603E-2</v>
      </c>
      <c r="G385" s="3">
        <f t="shared" si="388"/>
        <v>7.4657901985349023E-2</v>
      </c>
      <c r="H385" s="3">
        <f t="shared" si="388"/>
        <v>7.4657099480767722E-2</v>
      </c>
      <c r="I385" s="3">
        <f t="shared" si="388"/>
        <v>7.4649074909380012E-2</v>
      </c>
      <c r="J385" s="3">
        <f t="shared" si="388"/>
        <v>7.4568876619180907E-2</v>
      </c>
      <c r="K385" s="3">
        <f t="shared" si="388"/>
        <v>7.3771617277817877E-2</v>
      </c>
      <c r="L385" s="3">
        <f t="shared" si="388"/>
        <v>6.6253121472082649E-2</v>
      </c>
      <c r="M385" s="3">
        <f t="shared" si="388"/>
        <v>2.2613966552802074E-2</v>
      </c>
      <c r="N385" s="3">
        <f t="shared" si="388"/>
        <v>4.8537874509594842E-7</v>
      </c>
      <c r="O385" s="3">
        <f t="shared" si="388"/>
        <v>1.0072118917270317E-53</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2.578010767854114E-2</v>
      </c>
      <c r="C386" s="3">
        <f t="shared" si="389"/>
        <v>2.5780107678291156E-2</v>
      </c>
      <c r="D386" s="3">
        <f t="shared" si="389"/>
        <v>2.5780107675791357E-2</v>
      </c>
      <c r="E386" s="3">
        <f t="shared" si="389"/>
        <v>2.578010765079335E-2</v>
      </c>
      <c r="F386" s="3">
        <f t="shared" si="389"/>
        <v>2.5780107400813275E-2</v>
      </c>
      <c r="G386" s="3">
        <f t="shared" si="389"/>
        <v>2.5780104901012693E-2</v>
      </c>
      <c r="H386" s="3">
        <f t="shared" si="389"/>
        <v>2.5780079903020173E-2</v>
      </c>
      <c r="I386" s="3">
        <f t="shared" si="389"/>
        <v>2.577982992442817E-2</v>
      </c>
      <c r="J386" s="3">
        <f t="shared" si="389"/>
        <v>2.5777330271820803E-2</v>
      </c>
      <c r="K386" s="3">
        <f t="shared" si="389"/>
        <v>2.5752347072232607E-2</v>
      </c>
      <c r="L386" s="3">
        <f t="shared" si="389"/>
        <v>2.5503842956062766E-2</v>
      </c>
      <c r="M386" s="3">
        <f t="shared" si="389"/>
        <v>2.3146946721102062E-2</v>
      </c>
      <c r="N386" s="3">
        <f t="shared" si="389"/>
        <v>8.777575568930043E-3</v>
      </c>
      <c r="O386" s="3">
        <f t="shared" si="389"/>
        <v>5.3973828958197048E-7</v>
      </c>
      <c r="P386" s="3">
        <f t="shared" si="389"/>
        <v>4.1712838273264652E-49</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2.4060337070097144E-2</v>
      </c>
      <c r="C387" s="3">
        <f t="shared" si="390"/>
        <v>2.4060337070032616E-2</v>
      </c>
      <c r="D387" s="3">
        <f t="shared" si="390"/>
        <v>2.4060337069387355E-2</v>
      </c>
      <c r="E387" s="3">
        <f t="shared" si="390"/>
        <v>2.4060337062934749E-2</v>
      </c>
      <c r="F387" s="3">
        <f t="shared" si="390"/>
        <v>2.4060336998408677E-2</v>
      </c>
      <c r="G387" s="3">
        <f t="shared" si="390"/>
        <v>2.406033635314796E-2</v>
      </c>
      <c r="H387" s="3">
        <f t="shared" si="390"/>
        <v>2.4060329900541747E-2</v>
      </c>
      <c r="I387" s="3">
        <f t="shared" si="390"/>
        <v>2.4060265374574803E-2</v>
      </c>
      <c r="J387" s="3">
        <f t="shared" si="390"/>
        <v>2.405962012442291E-2</v>
      </c>
      <c r="K387" s="3">
        <f t="shared" si="390"/>
        <v>2.4053168574567838E-2</v>
      </c>
      <c r="L387" s="3">
        <f t="shared" si="390"/>
        <v>2.3988748148036705E-2</v>
      </c>
      <c r="M387" s="3">
        <f t="shared" si="390"/>
        <v>2.3353957419317971E-2</v>
      </c>
      <c r="N387" s="3">
        <f t="shared" si="390"/>
        <v>1.7860329845918947E-2</v>
      </c>
      <c r="O387" s="3">
        <f t="shared" si="390"/>
        <v>1.2223044333300745E-3</v>
      </c>
      <c r="P387" s="3">
        <f t="shared" si="390"/>
        <v>2.7547266116403537E-15</v>
      </c>
      <c r="Q387" s="3">
        <f t="shared" si="390"/>
        <v>9.3125727746461039E-132</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1.2267955807965785E-2</v>
      </c>
      <c r="C388" s="3">
        <f t="shared" si="391"/>
        <v>1.2267955807962494E-2</v>
      </c>
      <c r="D388" s="3">
        <f t="shared" si="391"/>
        <v>1.2267955807929594E-2</v>
      </c>
      <c r="E388" s="3">
        <f t="shared" si="391"/>
        <v>1.2267955807600586E-2</v>
      </c>
      <c r="F388" s="3">
        <f t="shared" si="391"/>
        <v>1.2267955804310511E-2</v>
      </c>
      <c r="G388" s="3">
        <f t="shared" si="391"/>
        <v>1.2267955771409766E-2</v>
      </c>
      <c r="H388" s="3">
        <f t="shared" si="391"/>
        <v>1.2267955442402324E-2</v>
      </c>
      <c r="I388" s="3">
        <f t="shared" si="391"/>
        <v>1.226795215232839E-2</v>
      </c>
      <c r="J388" s="3">
        <f t="shared" si="391"/>
        <v>1.2267919251637571E-2</v>
      </c>
      <c r="K388" s="3">
        <f t="shared" si="391"/>
        <v>1.2267590249582218E-2</v>
      </c>
      <c r="L388" s="3">
        <f t="shared" si="391"/>
        <v>1.226430071426589E-2</v>
      </c>
      <c r="M388" s="3">
        <f t="shared" si="391"/>
        <v>1.2231453836705049E-2</v>
      </c>
      <c r="N388" s="3">
        <f t="shared" si="391"/>
        <v>1.1907784862968833E-2</v>
      </c>
      <c r="O388" s="3">
        <f t="shared" si="391"/>
        <v>9.1066777920448556E-3</v>
      </c>
      <c r="P388" s="3">
        <f t="shared" si="391"/>
        <v>6.2323219862976968E-4</v>
      </c>
      <c r="Q388" s="3">
        <f t="shared" si="391"/>
        <v>1.4045881500398145E-15</v>
      </c>
      <c r="R388" s="3">
        <f t="shared" si="391"/>
        <v>4.7483221421607376E-132</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7.7350329579382231E-4</v>
      </c>
      <c r="C389" s="3">
        <f t="shared" si="392"/>
        <v>7.735032957938016E-4</v>
      </c>
      <c r="D389" s="3">
        <f t="shared" si="392"/>
        <v>7.7350329579359408E-4</v>
      </c>
      <c r="E389" s="3">
        <f t="shared" si="392"/>
        <v>7.7350329579151968E-4</v>
      </c>
      <c r="F389" s="3">
        <f t="shared" si="392"/>
        <v>7.7350329577077553E-4</v>
      </c>
      <c r="G389" s="3">
        <f t="shared" si="392"/>
        <v>7.7350329556333404E-4</v>
      </c>
      <c r="H389" s="3">
        <f t="shared" si="392"/>
        <v>7.7350329348891875E-4</v>
      </c>
      <c r="I389" s="3">
        <f t="shared" si="392"/>
        <v>7.735032727447667E-4</v>
      </c>
      <c r="J389" s="3">
        <f t="shared" si="392"/>
        <v>7.7350306530327671E-4</v>
      </c>
      <c r="K389" s="3">
        <f t="shared" si="392"/>
        <v>7.7350099089143649E-4</v>
      </c>
      <c r="L389" s="3">
        <f t="shared" si="392"/>
        <v>7.7348024707901003E-4</v>
      </c>
      <c r="M389" s="3">
        <f t="shared" si="392"/>
        <v>7.732728395492928E-4</v>
      </c>
      <c r="N389" s="3">
        <f t="shared" si="392"/>
        <v>7.7120182067316116E-4</v>
      </c>
      <c r="O389" s="3">
        <f t="shared" si="392"/>
        <v>7.5079426281673349E-4</v>
      </c>
      <c r="P389" s="3">
        <f t="shared" si="392"/>
        <v>5.7418247963569456E-4</v>
      </c>
      <c r="Q389" s="3">
        <f t="shared" si="392"/>
        <v>3.9295231188551127E-5</v>
      </c>
      <c r="R389" s="3">
        <f t="shared" si="392"/>
        <v>8.8560276894970805E-17</v>
      </c>
      <c r="S389" s="3">
        <f t="shared" si="392"/>
        <v>2.9938507147761142E-133</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2.886277401793977E-3</v>
      </c>
      <c r="C390" s="3">
        <f t="shared" si="393"/>
        <v>2.8862774017939692E-3</v>
      </c>
      <c r="D390" s="3">
        <f t="shared" si="393"/>
        <v>2.886277401793892E-3</v>
      </c>
      <c r="E390" s="3">
        <f t="shared" si="393"/>
        <v>2.8862774017931179E-3</v>
      </c>
      <c r="F390" s="3">
        <f t="shared" si="393"/>
        <v>2.8862774017853771E-3</v>
      </c>
      <c r="G390" s="3">
        <f t="shared" si="393"/>
        <v>2.8862774017079716E-3</v>
      </c>
      <c r="H390" s="3">
        <f t="shared" si="393"/>
        <v>2.8862774009339172E-3</v>
      </c>
      <c r="I390" s="3">
        <f t="shared" si="393"/>
        <v>2.8862773931933716E-3</v>
      </c>
      <c r="J390" s="3">
        <f t="shared" si="393"/>
        <v>2.8862773157879128E-3</v>
      </c>
      <c r="K390" s="3">
        <f t="shared" si="393"/>
        <v>2.8862765417334412E-3</v>
      </c>
      <c r="L390" s="3">
        <f t="shared" si="393"/>
        <v>2.8862688012001444E-3</v>
      </c>
      <c r="M390" s="3">
        <f t="shared" si="393"/>
        <v>2.8861913970089025E-3</v>
      </c>
      <c r="N390" s="3">
        <f t="shared" si="393"/>
        <v>2.8854174692580577E-3</v>
      </c>
      <c r="O390" s="3">
        <f t="shared" si="393"/>
        <v>2.8776895965865745E-3</v>
      </c>
      <c r="P390" s="3">
        <f t="shared" si="393"/>
        <v>2.8015401174736753E-3</v>
      </c>
      <c r="Q390" s="3">
        <f t="shared" si="393"/>
        <v>2.1425246983307906E-3</v>
      </c>
      <c r="R390" s="3">
        <f t="shared" si="393"/>
        <v>1.4662760765794597E-4</v>
      </c>
      <c r="S390" s="3">
        <f t="shared" si="393"/>
        <v>3.3045693184312392E-16</v>
      </c>
      <c r="T390" s="3">
        <f t="shared" si="393"/>
        <v>1.1171359849908521E-132</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1.5898164143456024E-4</v>
      </c>
      <c r="C392" s="3">
        <f t="shared" si="395"/>
        <v>1.5898164143456024E-4</v>
      </c>
      <c r="D392" s="3">
        <f t="shared" si="395"/>
        <v>1.5898164143456019E-4</v>
      </c>
      <c r="E392" s="3">
        <f t="shared" si="395"/>
        <v>1.5898164143455975E-4</v>
      </c>
      <c r="F392" s="3">
        <f t="shared" si="395"/>
        <v>1.589816414345555E-4</v>
      </c>
      <c r="G392" s="3">
        <f t="shared" si="395"/>
        <v>1.5898164143451286E-4</v>
      </c>
      <c r="H392" s="3">
        <f t="shared" si="395"/>
        <v>1.589816414340865E-4</v>
      </c>
      <c r="I392" s="3">
        <f t="shared" si="395"/>
        <v>1.5898164142982287E-4</v>
      </c>
      <c r="J392" s="3">
        <f t="shared" si="395"/>
        <v>1.5898164138718646E-4</v>
      </c>
      <c r="K392" s="3">
        <f t="shared" si="395"/>
        <v>1.5898164096082249E-4</v>
      </c>
      <c r="L392" s="3">
        <f t="shared" si="395"/>
        <v>1.5898163669718281E-4</v>
      </c>
      <c r="M392" s="3">
        <f t="shared" si="395"/>
        <v>1.589815940607923E-4</v>
      </c>
      <c r="N392" s="3">
        <f t="shared" si="395"/>
        <v>1.5898116769751607E-4</v>
      </c>
      <c r="O392" s="3">
        <f t="shared" si="395"/>
        <v>1.5897690412764235E-4</v>
      </c>
      <c r="P392" s="3">
        <f t="shared" si="395"/>
        <v>1.5893427471714127E-4</v>
      </c>
      <c r="Q392" s="3">
        <f t="shared" si="395"/>
        <v>1.5850860881221263E-4</v>
      </c>
      <c r="R392" s="3">
        <f t="shared" si="395"/>
        <v>1.5431415086571354E-4</v>
      </c>
      <c r="S392" s="3">
        <f t="shared" si="395"/>
        <v>1.1801432985720637E-4</v>
      </c>
      <c r="T392" s="3">
        <f t="shared" si="395"/>
        <v>8.0765271316588747E-6</v>
      </c>
      <c r="U392" s="3">
        <f t="shared" si="395"/>
        <v>1.8202195469913632E-17</v>
      </c>
      <c r="V392" s="3">
        <f t="shared" si="395"/>
        <v>6.1533971921433935E-134</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1.3061991748101505E-4</v>
      </c>
      <c r="C393" s="3">
        <f t="shared" si="396"/>
        <v>1.3061991748101505E-4</v>
      </c>
      <c r="D393" s="3">
        <f t="shared" si="396"/>
        <v>1.3061991748101505E-4</v>
      </c>
      <c r="E393" s="3">
        <f t="shared" si="396"/>
        <v>1.3061991748101499E-4</v>
      </c>
      <c r="F393" s="3">
        <f t="shared" si="396"/>
        <v>1.3061991748101467E-4</v>
      </c>
      <c r="G393" s="3">
        <f t="shared" si="396"/>
        <v>1.3061991748101117E-4</v>
      </c>
      <c r="H393" s="3">
        <f t="shared" si="396"/>
        <v>1.3061991748097613E-4</v>
      </c>
      <c r="I393" s="3">
        <f t="shared" si="396"/>
        <v>1.3061991748062582E-4</v>
      </c>
      <c r="J393" s="3">
        <f t="shared" si="396"/>
        <v>1.3061991747712279E-4</v>
      </c>
      <c r="K393" s="3">
        <f t="shared" si="396"/>
        <v>1.3061991744209257E-4</v>
      </c>
      <c r="L393" s="3">
        <f t="shared" si="396"/>
        <v>1.3061991709179032E-4</v>
      </c>
      <c r="M393" s="3">
        <f t="shared" si="396"/>
        <v>1.3061991358876785E-4</v>
      </c>
      <c r="N393" s="3">
        <f t="shared" si="396"/>
        <v>1.3061987855854826E-4</v>
      </c>
      <c r="O393" s="3">
        <f t="shared" si="396"/>
        <v>1.3061952825686905E-4</v>
      </c>
      <c r="P393" s="3">
        <f t="shared" si="396"/>
        <v>1.3061602529174644E-4</v>
      </c>
      <c r="Q393" s="3">
        <f t="shared" si="396"/>
        <v>1.3058100080695894E-4</v>
      </c>
      <c r="R393" s="3">
        <f t="shared" si="396"/>
        <v>1.3023127209064582E-4</v>
      </c>
      <c r="S393" s="3">
        <f t="shared" si="396"/>
        <v>1.2678508958865667E-4</v>
      </c>
      <c r="T393" s="3">
        <f t="shared" si="396"/>
        <v>9.696101945123451E-5</v>
      </c>
      <c r="U393" s="3">
        <f t="shared" si="396"/>
        <v>6.6357052169743777E-6</v>
      </c>
      <c r="V393" s="3">
        <f t="shared" si="396"/>
        <v>1.4954992594110785E-17</v>
      </c>
      <c r="W393" s="3">
        <f t="shared" si="396"/>
        <v>5.0556543901109517E-134</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8.1332295555460314E-5</v>
      </c>
      <c r="C395" s="3">
        <f t="shared" si="398"/>
        <v>8.1332295555460314E-5</v>
      </c>
      <c r="D395" s="3">
        <f t="shared" si="398"/>
        <v>8.1332295555460314E-5</v>
      </c>
      <c r="E395" s="3">
        <f t="shared" si="398"/>
        <v>8.1332295555460314E-5</v>
      </c>
      <c r="F395" s="3">
        <f t="shared" si="398"/>
        <v>8.1332295555460314E-5</v>
      </c>
      <c r="G395" s="3">
        <f t="shared" si="398"/>
        <v>8.1332295555460287E-5</v>
      </c>
      <c r="H395" s="3">
        <f t="shared" si="398"/>
        <v>8.133229555546007E-5</v>
      </c>
      <c r="I395" s="3">
        <f t="shared" si="398"/>
        <v>8.1332295555457888E-5</v>
      </c>
      <c r="J395" s="3">
        <f t="shared" si="398"/>
        <v>8.1332295555436082E-5</v>
      </c>
      <c r="K395" s="3">
        <f t="shared" si="398"/>
        <v>8.1332295555217954E-5</v>
      </c>
      <c r="L395" s="3">
        <f t="shared" si="398"/>
        <v>8.1332295553036756E-5</v>
      </c>
      <c r="M395" s="3">
        <f t="shared" si="398"/>
        <v>8.1332295531224696E-5</v>
      </c>
      <c r="N395" s="3">
        <f t="shared" si="398"/>
        <v>8.1332295313104171E-5</v>
      </c>
      <c r="O395" s="3">
        <f t="shared" si="398"/>
        <v>8.133229313189884E-5</v>
      </c>
      <c r="P395" s="3">
        <f t="shared" si="398"/>
        <v>8.1332271319848831E-5</v>
      </c>
      <c r="Q395" s="3">
        <f t="shared" si="398"/>
        <v>8.1332053199670404E-5</v>
      </c>
      <c r="R395" s="3">
        <f t="shared" si="398"/>
        <v>8.1329872030058847E-5</v>
      </c>
      <c r="S395" s="3">
        <f t="shared" si="398"/>
        <v>8.1308063550897714E-5</v>
      </c>
      <c r="T395" s="3">
        <f t="shared" si="398"/>
        <v>8.1090300135731384E-5</v>
      </c>
      <c r="U395" s="3">
        <f t="shared" si="398"/>
        <v>7.8944487007112801E-5</v>
      </c>
      <c r="V395" s="3">
        <f t="shared" si="398"/>
        <v>6.0374117848548955E-5</v>
      </c>
      <c r="W395" s="3">
        <f t="shared" si="398"/>
        <v>4.131813496240436E-6</v>
      </c>
      <c r="X395" s="3">
        <f t="shared" si="398"/>
        <v>9.3119326757400913E-18</v>
      </c>
      <c r="Y395" s="3">
        <f t="shared" si="398"/>
        <v>3.1479730274866277E-134</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6.4178085162845428E-4</v>
      </c>
      <c r="C396" s="3">
        <f t="shared" si="399"/>
        <v>6.4178085162845428E-4</v>
      </c>
      <c r="D396" s="3">
        <f t="shared" si="399"/>
        <v>6.4178085162845428E-4</v>
      </c>
      <c r="E396" s="3">
        <f t="shared" si="399"/>
        <v>6.4178085162845428E-4</v>
      </c>
      <c r="F396" s="3">
        <f t="shared" si="399"/>
        <v>6.4178085162845428E-4</v>
      </c>
      <c r="G396" s="3">
        <f t="shared" si="399"/>
        <v>6.4178085162845428E-4</v>
      </c>
      <c r="H396" s="3">
        <f t="shared" si="399"/>
        <v>6.4178085162845406E-4</v>
      </c>
      <c r="I396" s="3">
        <f t="shared" si="399"/>
        <v>6.4178085162845233E-4</v>
      </c>
      <c r="J396" s="3">
        <f t="shared" si="399"/>
        <v>6.417808516284352E-4</v>
      </c>
      <c r="K396" s="3">
        <f t="shared" si="399"/>
        <v>6.4178085162826303E-4</v>
      </c>
      <c r="L396" s="3">
        <f t="shared" si="399"/>
        <v>6.4178085162654185E-4</v>
      </c>
      <c r="M396" s="3">
        <f t="shared" si="399"/>
        <v>6.4178085160933036E-4</v>
      </c>
      <c r="N396" s="3">
        <f t="shared" si="399"/>
        <v>6.4178085143721468E-4</v>
      </c>
      <c r="O396" s="3">
        <f t="shared" si="399"/>
        <v>6.4178084971605858E-4</v>
      </c>
      <c r="P396" s="3">
        <f t="shared" si="399"/>
        <v>6.4178083250449698E-4</v>
      </c>
      <c r="Q396" s="3">
        <f t="shared" si="399"/>
        <v>6.4178066038890697E-4</v>
      </c>
      <c r="R396" s="3">
        <f t="shared" si="399"/>
        <v>6.4177893923554586E-4</v>
      </c>
      <c r="S396" s="3">
        <f t="shared" si="399"/>
        <v>6.4176172795580406E-4</v>
      </c>
      <c r="T396" s="3">
        <f t="shared" si="399"/>
        <v>6.4158964054288688E-4</v>
      </c>
      <c r="U396" s="3">
        <f t="shared" si="399"/>
        <v>6.398713023466697E-4</v>
      </c>
      <c r="V396" s="3">
        <f t="shared" si="399"/>
        <v>6.2293901526790064E-4</v>
      </c>
      <c r="W396" s="3">
        <f t="shared" si="399"/>
        <v>4.7640303897160933E-4</v>
      </c>
      <c r="X396" s="3">
        <f t="shared" si="399"/>
        <v>3.2603515814685533E-5</v>
      </c>
      <c r="Y396" s="3">
        <f t="shared" si="399"/>
        <v>7.3479053334577723E-17</v>
      </c>
      <c r="Z396" s="3">
        <f t="shared" si="399"/>
        <v>2.4840179373839597E-133</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9.4679918029585808E-2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1.6859155743936254E-2</v>
      </c>
      <c r="M397" s="80">
        <f t="shared" si="400"/>
        <v>7.1728091883613201E-3</v>
      </c>
      <c r="N397" s="80">
        <f t="shared" si="400"/>
        <v>5.1099467919866271E-3</v>
      </c>
      <c r="O397" s="80">
        <f t="shared" si="400"/>
        <v>0.2621014146146074</v>
      </c>
      <c r="P397" s="80">
        <f t="shared" si="400"/>
        <v>0.45371777436340249</v>
      </c>
      <c r="Q397" s="80">
        <f t="shared" si="400"/>
        <v>0.46041631079476303</v>
      </c>
      <c r="R397" s="80">
        <f t="shared" si="400"/>
        <v>0.50321743168744115</v>
      </c>
      <c r="S397" s="80">
        <f t="shared" si="400"/>
        <v>0.45284408265893505</v>
      </c>
      <c r="T397" s="80">
        <f t="shared" si="400"/>
        <v>0.35405391598951169</v>
      </c>
      <c r="U397" s="80">
        <f t="shared" si="400"/>
        <v>0.25100912980745305</v>
      </c>
      <c r="V397" s="80">
        <f t="shared" si="400"/>
        <v>0.16857548727676186</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66788.647335688525</v>
      </c>
      <c r="C398" s="21">
        <f t="shared" ref="C398:AF398" si="401">(C365-C364)^2</f>
        <v>136737.55457137647</v>
      </c>
      <c r="D398" s="21">
        <f t="shared" si="401"/>
        <v>124029.26692957684</v>
      </c>
      <c r="E398" s="21">
        <f t="shared" si="401"/>
        <v>130525.76246402065</v>
      </c>
      <c r="F398" s="21">
        <f t="shared" si="401"/>
        <v>141080.91787583698</v>
      </c>
      <c r="G398" s="21">
        <f t="shared" si="401"/>
        <v>156534.68267577706</v>
      </c>
      <c r="H398" s="21">
        <f t="shared" si="401"/>
        <v>225380.20823848428</v>
      </c>
      <c r="I398" s="21">
        <f t="shared" si="401"/>
        <v>97620.044152505448</v>
      </c>
      <c r="J398" s="21">
        <f t="shared" si="401"/>
        <v>5683.1224676796501</v>
      </c>
      <c r="K398" s="21">
        <f t="shared" si="401"/>
        <v>428.76823786545401</v>
      </c>
      <c r="L398" s="21">
        <f t="shared" si="401"/>
        <v>441.64636934192157</v>
      </c>
      <c r="M398" s="21">
        <f t="shared" si="401"/>
        <v>26.791690247725509</v>
      </c>
      <c r="N398" s="21">
        <f t="shared" si="401"/>
        <v>4.2771618294415941</v>
      </c>
      <c r="O398" s="21">
        <f t="shared" si="401"/>
        <v>4826.8720529534485</v>
      </c>
      <c r="P398" s="21">
        <f t="shared" si="401"/>
        <v>10366.21380643727</v>
      </c>
      <c r="Q398" s="21">
        <f t="shared" si="401"/>
        <v>8691.9470913627865</v>
      </c>
      <c r="R398" s="21">
        <f t="shared" si="401"/>
        <v>9125.9140083749116</v>
      </c>
      <c r="S398" s="21">
        <f t="shared" si="401"/>
        <v>5916.9020920099365</v>
      </c>
      <c r="T398" s="21">
        <f t="shared" si="401"/>
        <v>2538.1068701243325</v>
      </c>
      <c r="U398" s="21">
        <f t="shared" si="401"/>
        <v>933.41720817533121</v>
      </c>
      <c r="V398" s="21">
        <f t="shared" si="401"/>
        <v>339.34757560230236</v>
      </c>
      <c r="W398" s="21">
        <f t="shared" si="401"/>
        <v>157.63061153566858</v>
      </c>
      <c r="X398" s="21">
        <f t="shared" si="401"/>
        <v>130.33016459237379</v>
      </c>
      <c r="Y398" s="21">
        <f t="shared" si="401"/>
        <v>78.620955117941591</v>
      </c>
      <c r="Z398" s="21">
        <f t="shared" si="401"/>
        <v>50.174692324471366</v>
      </c>
      <c r="AA398" s="21">
        <f t="shared" si="401"/>
        <v>37.94730287126275</v>
      </c>
      <c r="AB398" s="21">
        <f t="shared" si="401"/>
        <v>35.013462773249493</v>
      </c>
      <c r="AC398" s="21">
        <f t="shared" si="401"/>
        <v>24.636525939294408</v>
      </c>
      <c r="AD398" s="21">
        <f t="shared" si="401"/>
        <v>24.486537248838321</v>
      </c>
      <c r="AE398" s="21">
        <f t="shared" si="401"/>
        <v>18.588799783424058</v>
      </c>
      <c r="AF398" s="21">
        <f t="shared" si="401"/>
        <v>16.543621291604328</v>
      </c>
      <c r="AG398" s="3"/>
      <c r="AH398" s="3"/>
    </row>
    <row r="399" spans="1:34" x14ac:dyDescent="0.25">
      <c r="A399" s="71">
        <f>SUM(B399:AF399)</f>
        <v>43211.435926459402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441.64636934192157</v>
      </c>
      <c r="M399" s="60">
        <f t="shared" ref="M399" si="412">IF($A$64&lt;=M363,IF($B$64&gt;=M363,ABS(M398),0),0)</f>
        <v>26.791690247725509</v>
      </c>
      <c r="N399" s="60">
        <f t="shared" ref="N399" si="413">IF($A$64&lt;=N363,IF($B$64&gt;=N363,ABS(N398),0),0)</f>
        <v>4.2771618294415941</v>
      </c>
      <c r="O399" s="60">
        <f t="shared" ref="O399" si="414">IF($A$64&lt;=O363,IF($B$64&gt;=O363,ABS(O398),0),0)</f>
        <v>4826.8720529534485</v>
      </c>
      <c r="P399" s="60">
        <f t="shared" ref="P399" si="415">IF($A$64&lt;=P363,IF($B$64&gt;=P363,ABS(P398),0),0)</f>
        <v>10366.21380643727</v>
      </c>
      <c r="Q399" s="60">
        <f t="shared" ref="Q399" si="416">IF($A$64&lt;=Q363,IF($B$64&gt;=Q363,ABS(Q398),0),0)</f>
        <v>8691.9470913627865</v>
      </c>
      <c r="R399" s="60">
        <f t="shared" ref="R399" si="417">IF($A$64&lt;=R363,IF($B$64&gt;=R363,ABS(R398),0),0)</f>
        <v>9125.9140083749116</v>
      </c>
      <c r="S399" s="60">
        <f t="shared" ref="S399" si="418">IF($A$64&lt;=S363,IF($B$64&gt;=S363,ABS(S398),0),0)</f>
        <v>5916.9020920099365</v>
      </c>
      <c r="T399" s="60">
        <f t="shared" ref="T399" si="419">IF($A$64&lt;=T363,IF($B$64&gt;=T363,ABS(T398),0),0)</f>
        <v>2538.1068701243325</v>
      </c>
      <c r="U399" s="60">
        <f t="shared" ref="U399" si="420">IF($A$64&lt;=U363,IF($B$64&gt;=U363,ABS(U398),0),0)</f>
        <v>933.41720817533121</v>
      </c>
      <c r="V399" s="60">
        <f t="shared" ref="V399" si="421">IF($A$64&lt;=V363,IF($B$64&gt;=V363,ABS(V398),0),0)</f>
        <v>339.34757560230236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-21.592748433065772</v>
      </c>
      <c r="C403" s="107">
        <f t="shared" ref="C403:H403" si="432">IF(C125=$B$2,0,C126)</f>
        <v>-17.596432358829645</v>
      </c>
      <c r="D403" s="107">
        <f t="shared" si="432"/>
        <v>-15.24976564949475</v>
      </c>
      <c r="E403" s="107">
        <f t="shared" si="432"/>
        <v>-8.555378080915407</v>
      </c>
      <c r="F403" s="107">
        <f t="shared" si="432"/>
        <v>0</v>
      </c>
      <c r="G403" s="107">
        <f t="shared" si="432"/>
        <v>17.695201106913999</v>
      </c>
      <c r="H403" s="107">
        <f t="shared" si="432"/>
        <v>21.815131002612322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4.1916837249277672E-25</v>
      </c>
      <c r="C404" s="3">
        <f t="shared" ref="C404:H419" si="433">$A404/EXP(-C$403)</f>
        <v>2.2801663141821097E-23</v>
      </c>
      <c r="D404" s="3">
        <f t="shared" si="433"/>
        <v>2.3829280424622621E-22</v>
      </c>
      <c r="E404" s="3">
        <f t="shared" si="433"/>
        <v>1.9250699236629017E-19</v>
      </c>
      <c r="F404" s="3">
        <f t="shared" si="433"/>
        <v>1.0000000000000001E-15</v>
      </c>
      <c r="G404" s="3">
        <f t="shared" si="433"/>
        <v>4.8409232465443706E-8</v>
      </c>
      <c r="H404" s="3">
        <f t="shared" si="433"/>
        <v>2.9798267631784186E-6</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4.191683724927767E-24</v>
      </c>
      <c r="C405" s="3">
        <f t="shared" si="433"/>
        <v>2.2801663141821096E-22</v>
      </c>
      <c r="D405" s="3">
        <f t="shared" si="433"/>
        <v>2.3829280424622617E-21</v>
      </c>
      <c r="E405" s="3">
        <f t="shared" si="433"/>
        <v>1.9250699236629015E-18</v>
      </c>
      <c r="F405" s="3">
        <f t="shared" si="433"/>
        <v>1E-14</v>
      </c>
      <c r="G405" s="3">
        <f t="shared" si="433"/>
        <v>4.8409232465443698E-7</v>
      </c>
      <c r="H405" s="3">
        <f t="shared" si="433"/>
        <v>2.9798267631784181E-5</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4.1916837249277667E-23</v>
      </c>
      <c r="C406" s="3">
        <f t="shared" si="433"/>
        <v>2.2801663141821093E-21</v>
      </c>
      <c r="D406" s="3">
        <f t="shared" si="433"/>
        <v>2.3829280424622618E-20</v>
      </c>
      <c r="E406" s="3">
        <f t="shared" si="433"/>
        <v>1.9250699236629017E-17</v>
      </c>
      <c r="F406" s="3">
        <f t="shared" si="433"/>
        <v>1E-13</v>
      </c>
      <c r="G406" s="3">
        <f t="shared" si="433"/>
        <v>4.8409232465443706E-6</v>
      </c>
      <c r="H406" s="3">
        <f t="shared" si="433"/>
        <v>2.9798267631784181E-4</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4.1916837249277669E-22</v>
      </c>
      <c r="C407" s="3">
        <f t="shared" si="433"/>
        <v>2.2801663141821093E-20</v>
      </c>
      <c r="D407" s="3">
        <f t="shared" si="433"/>
        <v>2.3829280424622616E-19</v>
      </c>
      <c r="E407" s="3">
        <f t="shared" si="433"/>
        <v>1.9250699236629014E-16</v>
      </c>
      <c r="F407" s="3">
        <f t="shared" si="433"/>
        <v>9.9999999999999998E-13</v>
      </c>
      <c r="G407" s="3">
        <f t="shared" si="433"/>
        <v>4.8409232465443701E-5</v>
      </c>
      <c r="H407" s="3">
        <f t="shared" si="433"/>
        <v>2.9798267631784181E-3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4.1916837249277667E-21</v>
      </c>
      <c r="C408" s="3">
        <f t="shared" si="433"/>
        <v>2.2801663141821092E-19</v>
      </c>
      <c r="D408" s="3">
        <f t="shared" si="433"/>
        <v>2.3829280424622617E-18</v>
      </c>
      <c r="E408" s="3">
        <f t="shared" si="433"/>
        <v>1.9250699236629012E-15</v>
      </c>
      <c r="F408" s="3">
        <f t="shared" si="433"/>
        <v>9.9999999999999994E-12</v>
      </c>
      <c r="G408" s="3">
        <f t="shared" si="433"/>
        <v>4.84092324654437E-4</v>
      </c>
      <c r="H408" s="3">
        <f t="shared" si="433"/>
        <v>2.979826763178418E-2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4.191683724927767E-20</v>
      </c>
      <c r="C409" s="3">
        <f t="shared" si="433"/>
        <v>2.2801663141821095E-18</v>
      </c>
      <c r="D409" s="3">
        <f t="shared" si="433"/>
        <v>2.3829280424622619E-17</v>
      </c>
      <c r="E409" s="3">
        <f t="shared" si="433"/>
        <v>1.9250699236629015E-14</v>
      </c>
      <c r="F409" s="3">
        <f t="shared" si="433"/>
        <v>1E-10</v>
      </c>
      <c r="G409" s="3">
        <f t="shared" si="433"/>
        <v>4.8409232465443704E-3</v>
      </c>
      <c r="H409" s="3">
        <f t="shared" si="433"/>
        <v>0.29798267631784181</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4.1916837249277672E-19</v>
      </c>
      <c r="C410" s="3">
        <f t="shared" si="433"/>
        <v>2.2801663141821095E-17</v>
      </c>
      <c r="D410" s="3">
        <f t="shared" si="433"/>
        <v>2.3829280424622621E-16</v>
      </c>
      <c r="E410" s="3">
        <f t="shared" si="433"/>
        <v>1.9250699236629017E-13</v>
      </c>
      <c r="F410" s="3">
        <f t="shared" si="433"/>
        <v>1.0000000000000001E-9</v>
      </c>
      <c r="G410" s="3">
        <f t="shared" si="433"/>
        <v>4.8409232465443708E-2</v>
      </c>
      <c r="H410" s="3">
        <f t="shared" si="433"/>
        <v>2.9798267631784183</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4.1916837249277668E-18</v>
      </c>
      <c r="C411" s="3">
        <f t="shared" si="433"/>
        <v>2.2801663141821095E-16</v>
      </c>
      <c r="D411" s="3">
        <f t="shared" si="433"/>
        <v>2.3829280424622619E-15</v>
      </c>
      <c r="E411" s="3">
        <f t="shared" si="433"/>
        <v>1.9250699236629017E-12</v>
      </c>
      <c r="F411" s="3">
        <f t="shared" si="433"/>
        <v>1E-8</v>
      </c>
      <c r="G411" s="3">
        <f t="shared" si="433"/>
        <v>0.48409232465443702</v>
      </c>
      <c r="H411" s="3">
        <f t="shared" si="433"/>
        <v>29.798267631784185</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4.1916837249277665E-17</v>
      </c>
      <c r="C412" s="3">
        <f t="shared" si="433"/>
        <v>2.2801663141821094E-15</v>
      </c>
      <c r="D412" s="3">
        <f t="shared" si="433"/>
        <v>2.3829280424622616E-14</v>
      </c>
      <c r="E412" s="3">
        <f t="shared" si="433"/>
        <v>1.9250699236629016E-11</v>
      </c>
      <c r="F412" s="3">
        <f t="shared" si="433"/>
        <v>9.9999999999999995E-8</v>
      </c>
      <c r="G412" s="3">
        <f t="shared" si="433"/>
        <v>4.8409232465443699</v>
      </c>
      <c r="H412" s="3">
        <f t="shared" si="433"/>
        <v>297.98267631784182</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4.1916837249277666E-16</v>
      </c>
      <c r="C413" s="3">
        <f t="shared" si="433"/>
        <v>2.2801663141821093E-14</v>
      </c>
      <c r="D413" s="3">
        <f t="shared" si="433"/>
        <v>2.382928042462262E-13</v>
      </c>
      <c r="E413" s="3">
        <f t="shared" si="433"/>
        <v>1.9250699236629014E-10</v>
      </c>
      <c r="F413" s="3">
        <f t="shared" si="433"/>
        <v>9.9999999999999995E-7</v>
      </c>
      <c r="G413" s="3">
        <f t="shared" si="433"/>
        <v>48.409232465443701</v>
      </c>
      <c r="H413" s="3">
        <f t="shared" si="433"/>
        <v>2979.8267631784183</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4.1916837249277668E-15</v>
      </c>
      <c r="C414" s="3">
        <f t="shared" si="433"/>
        <v>2.2801663141821094E-13</v>
      </c>
      <c r="D414" s="3">
        <f t="shared" si="433"/>
        <v>2.3829280424622621E-12</v>
      </c>
      <c r="E414" s="3">
        <f t="shared" si="433"/>
        <v>1.9250699236629017E-9</v>
      </c>
      <c r="F414" s="3">
        <f t="shared" si="433"/>
        <v>1.0000000000000001E-5</v>
      </c>
      <c r="G414" s="3">
        <f t="shared" si="433"/>
        <v>484.09232465443705</v>
      </c>
      <c r="H414" s="3">
        <f t="shared" si="433"/>
        <v>29798.267631784183</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4.1916837249277668E-14</v>
      </c>
      <c r="C415" s="3">
        <f t="shared" si="433"/>
        <v>2.2801663141821096E-12</v>
      </c>
      <c r="D415" s="3">
        <f t="shared" si="433"/>
        <v>2.3829280424622619E-11</v>
      </c>
      <c r="E415" s="3">
        <f t="shared" si="433"/>
        <v>1.9250699236629015E-8</v>
      </c>
      <c r="F415" s="3">
        <f t="shared" si="433"/>
        <v>1E-4</v>
      </c>
      <c r="G415" s="3">
        <f t="shared" si="433"/>
        <v>4840.9232465443702</v>
      </c>
      <c r="H415" s="3">
        <f t="shared" si="433"/>
        <v>297982.67631784186</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4.1916837249277668E-13</v>
      </c>
      <c r="C416" s="3">
        <f t="shared" si="433"/>
        <v>2.2801663141821094E-11</v>
      </c>
      <c r="D416" s="3">
        <f t="shared" si="433"/>
        <v>2.3829280424622618E-10</v>
      </c>
      <c r="E416" s="3">
        <f t="shared" si="433"/>
        <v>1.9250699236629015E-7</v>
      </c>
      <c r="F416" s="3">
        <f t="shared" si="433"/>
        <v>1E-3</v>
      </c>
      <c r="G416" s="3">
        <f t="shared" si="433"/>
        <v>48409.232465443703</v>
      </c>
      <c r="H416" s="3">
        <f t="shared" si="433"/>
        <v>2979826.7631784184</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4.191683724927767E-12</v>
      </c>
      <c r="C417" s="3">
        <f t="shared" si="433"/>
        <v>2.2801663141821094E-10</v>
      </c>
      <c r="D417" s="3">
        <f t="shared" si="433"/>
        <v>2.382928042462262E-9</v>
      </c>
      <c r="E417" s="3">
        <f t="shared" si="433"/>
        <v>1.9250699236629014E-6</v>
      </c>
      <c r="F417" s="3">
        <f t="shared" si="433"/>
        <v>0.01</v>
      </c>
      <c r="G417" s="3">
        <f t="shared" si="433"/>
        <v>484092.32465443702</v>
      </c>
      <c r="H417" s="3">
        <f t="shared" si="433"/>
        <v>29798267.631784182</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4.1916837249277668E-11</v>
      </c>
      <c r="C418" s="3">
        <f t="shared" si="433"/>
        <v>2.2801663141821097E-9</v>
      </c>
      <c r="D418" s="3">
        <f t="shared" si="433"/>
        <v>2.382928042462262E-8</v>
      </c>
      <c r="E418" s="3">
        <f t="shared" si="433"/>
        <v>1.9250699236629017E-5</v>
      </c>
      <c r="F418" s="3">
        <f t="shared" si="433"/>
        <v>0.1</v>
      </c>
      <c r="G418" s="3">
        <f t="shared" si="433"/>
        <v>4840923.2465443704</v>
      </c>
      <c r="H418" s="3">
        <f t="shared" si="433"/>
        <v>297982676.31784183</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4.191683724927767E-10</v>
      </c>
      <c r="C419" s="3">
        <f t="shared" si="433"/>
        <v>2.2801663141821095E-8</v>
      </c>
      <c r="D419" s="3">
        <f t="shared" si="433"/>
        <v>2.3829280424622618E-7</v>
      </c>
      <c r="E419" s="3">
        <f t="shared" si="433"/>
        <v>1.9250699236629017E-4</v>
      </c>
      <c r="F419" s="3">
        <f t="shared" si="433"/>
        <v>1</v>
      </c>
      <c r="G419" s="3">
        <f t="shared" si="433"/>
        <v>48409232.465443701</v>
      </c>
      <c r="H419" s="3">
        <f t="shared" si="433"/>
        <v>2979826763.1784182</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4.1916837249277665E-9</v>
      </c>
      <c r="C420" s="3">
        <f t="shared" si="434"/>
        <v>2.2801663141821093E-7</v>
      </c>
      <c r="D420" s="3">
        <f t="shared" si="434"/>
        <v>2.3829280424622618E-6</v>
      </c>
      <c r="E420" s="3">
        <f t="shared" si="434"/>
        <v>1.9250699236629015E-3</v>
      </c>
      <c r="F420" s="3">
        <f t="shared" si="434"/>
        <v>10</v>
      </c>
      <c r="G420" s="3">
        <f t="shared" si="434"/>
        <v>484092324.65443701</v>
      </c>
      <c r="H420" s="3">
        <f t="shared" si="434"/>
        <v>29798267631.784184</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4.1916837249277669E-8</v>
      </c>
      <c r="C421" s="3">
        <f t="shared" si="434"/>
        <v>2.2801663141821093E-6</v>
      </c>
      <c r="D421" s="3">
        <f t="shared" si="434"/>
        <v>2.3829280424622618E-5</v>
      </c>
      <c r="E421" s="3">
        <f t="shared" si="434"/>
        <v>1.9250699236629015E-2</v>
      </c>
      <c r="F421" s="3">
        <f t="shared" si="434"/>
        <v>100</v>
      </c>
      <c r="G421" s="3">
        <f t="shared" si="434"/>
        <v>4840923246.5443707</v>
      </c>
      <c r="H421" s="3">
        <f t="shared" si="434"/>
        <v>297982676317.8418</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4.191683724927767E-7</v>
      </c>
      <c r="C422" s="3">
        <f t="shared" si="434"/>
        <v>2.2801663141821096E-5</v>
      </c>
      <c r="D422" s="3">
        <f t="shared" si="434"/>
        <v>2.3829280424622618E-4</v>
      </c>
      <c r="E422" s="3">
        <f t="shared" si="434"/>
        <v>0.19250699236629015</v>
      </c>
      <c r="F422" s="3">
        <f t="shared" si="434"/>
        <v>1000</v>
      </c>
      <c r="G422" s="3">
        <f t="shared" si="434"/>
        <v>48409232465.443703</v>
      </c>
      <c r="H422" s="3">
        <f t="shared" si="434"/>
        <v>2979826763178.4185</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4.1916837249277669E-6</v>
      </c>
      <c r="C423" s="3">
        <f t="shared" si="434"/>
        <v>2.2801663141821095E-4</v>
      </c>
      <c r="D423" s="3">
        <f t="shared" si="434"/>
        <v>2.3829280424622619E-3</v>
      </c>
      <c r="E423" s="3">
        <f t="shared" si="434"/>
        <v>1.9250699236629016</v>
      </c>
      <c r="F423" s="3">
        <f t="shared" si="434"/>
        <v>10000</v>
      </c>
      <c r="G423" s="3">
        <f t="shared" si="434"/>
        <v>484092324654.43701</v>
      </c>
      <c r="H423" s="3">
        <f t="shared" si="434"/>
        <v>29798267631784.184</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4.1916837249277669E-5</v>
      </c>
      <c r="C424" s="3">
        <f t="shared" si="434"/>
        <v>2.2801663141821093E-3</v>
      </c>
      <c r="D424" s="3">
        <f t="shared" si="434"/>
        <v>2.382928042462262E-2</v>
      </c>
      <c r="E424" s="3">
        <f t="shared" si="434"/>
        <v>19.250699236629014</v>
      </c>
      <c r="F424" s="3">
        <f t="shared" si="434"/>
        <v>100000</v>
      </c>
      <c r="G424" s="3">
        <f t="shared" si="434"/>
        <v>4840923246544.3701</v>
      </c>
      <c r="H424" s="3">
        <f t="shared" si="434"/>
        <v>297982676317841.81</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4.1916837249277668E-4</v>
      </c>
      <c r="C425" s="3">
        <f t="shared" si="434"/>
        <v>2.2801663141821093E-2</v>
      </c>
      <c r="D425" s="3">
        <f t="shared" si="434"/>
        <v>0.23829280424622618</v>
      </c>
      <c r="E425" s="3">
        <f t="shared" si="434"/>
        <v>192.50699236629015</v>
      </c>
      <c r="F425" s="3">
        <f t="shared" si="434"/>
        <v>1000000</v>
      </c>
      <c r="G425" s="3">
        <f t="shared" si="434"/>
        <v>48409232465443.703</v>
      </c>
      <c r="H425" s="3">
        <f t="shared" si="434"/>
        <v>2979826763178418.5</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4.191683724927767E-3</v>
      </c>
      <c r="C426" s="3">
        <f t="shared" si="434"/>
        <v>0.22801663141821094</v>
      </c>
      <c r="D426" s="3">
        <f t="shared" si="434"/>
        <v>2.3829280424622619</v>
      </c>
      <c r="E426" s="3">
        <f t="shared" si="434"/>
        <v>1925.0699236629016</v>
      </c>
      <c r="F426" s="3">
        <f t="shared" si="434"/>
        <v>10000000</v>
      </c>
      <c r="G426" s="3">
        <f t="shared" si="434"/>
        <v>484092324654437</v>
      </c>
      <c r="H426" s="3">
        <f t="shared" si="434"/>
        <v>2.9798267631784184E+16</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4.1916837249277666E-2</v>
      </c>
      <c r="C427" s="3">
        <f t="shared" si="434"/>
        <v>2.2801663141821096</v>
      </c>
      <c r="D427" s="3">
        <f t="shared" si="434"/>
        <v>23.829280424622617</v>
      </c>
      <c r="E427" s="3">
        <f t="shared" si="434"/>
        <v>19250.699236629014</v>
      </c>
      <c r="F427" s="3">
        <f t="shared" si="434"/>
        <v>100000000</v>
      </c>
      <c r="G427" s="3">
        <f t="shared" si="434"/>
        <v>4840923246544370</v>
      </c>
      <c r="H427" s="3">
        <f t="shared" si="434"/>
        <v>2.9798267631784186E+17</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0.41916837249277666</v>
      </c>
      <c r="C428" s="3">
        <f t="shared" si="434"/>
        <v>22.801663141821095</v>
      </c>
      <c r="D428" s="3">
        <f t="shared" si="434"/>
        <v>238.29280424622618</v>
      </c>
      <c r="E428" s="3">
        <f t="shared" si="434"/>
        <v>192506.99236629016</v>
      </c>
      <c r="F428" s="3">
        <f t="shared" si="434"/>
        <v>1000000000</v>
      </c>
      <c r="G428" s="3">
        <f t="shared" si="434"/>
        <v>4.8409232465443704E+16</v>
      </c>
      <c r="H428" s="3">
        <f t="shared" si="434"/>
        <v>2.9798267631784182E+18</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4.191683724927767</v>
      </c>
      <c r="C429" s="3">
        <f t="shared" si="434"/>
        <v>228.01663141821095</v>
      </c>
      <c r="D429" s="3">
        <f t="shared" si="434"/>
        <v>2382.9280424622616</v>
      </c>
      <c r="E429" s="3">
        <f t="shared" si="434"/>
        <v>1925069.9236629016</v>
      </c>
      <c r="F429" s="3">
        <f t="shared" si="434"/>
        <v>10000000000</v>
      </c>
      <c r="G429" s="3">
        <f t="shared" si="434"/>
        <v>4.8409232465443706E+17</v>
      </c>
      <c r="H429" s="3">
        <f t="shared" si="434"/>
        <v>2.9798267631784182E+19</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41.91683724927767</v>
      </c>
      <c r="C430" s="3">
        <f t="shared" si="434"/>
        <v>2280.1663141821095</v>
      </c>
      <c r="D430" s="3">
        <f t="shared" si="434"/>
        <v>23829.280424622619</v>
      </c>
      <c r="E430" s="3">
        <f t="shared" si="434"/>
        <v>19250699.236629017</v>
      </c>
      <c r="F430" s="3">
        <f t="shared" si="434"/>
        <v>100000000000</v>
      </c>
      <c r="G430" s="3">
        <f t="shared" si="434"/>
        <v>4.8409232465443707E+18</v>
      </c>
      <c r="H430" s="3">
        <f t="shared" si="434"/>
        <v>2.9798267631784185E+20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419.16837249277665</v>
      </c>
      <c r="C431" s="3">
        <f t="shared" si="434"/>
        <v>22801.663141821093</v>
      </c>
      <c r="D431" s="3">
        <f t="shared" si="434"/>
        <v>238292.80424622618</v>
      </c>
      <c r="E431" s="3">
        <f t="shared" si="434"/>
        <v>192506992.36629015</v>
      </c>
      <c r="F431" s="3">
        <f t="shared" si="434"/>
        <v>1000000000000</v>
      </c>
      <c r="G431" s="3">
        <f t="shared" si="434"/>
        <v>4.8409232465443701E+19</v>
      </c>
      <c r="H431" s="3">
        <f t="shared" si="434"/>
        <v>2.9798267631784181E+21</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4191.6837249277669</v>
      </c>
      <c r="C432" s="3">
        <f t="shared" si="434"/>
        <v>228016.63141821095</v>
      </c>
      <c r="D432" s="3">
        <f t="shared" si="434"/>
        <v>2382928.0424622619</v>
      </c>
      <c r="E432" s="3">
        <f t="shared" si="434"/>
        <v>1925069923.6629016</v>
      </c>
      <c r="F432" s="3">
        <f t="shared" si="434"/>
        <v>10000000000000</v>
      </c>
      <c r="G432" s="3">
        <f t="shared" si="434"/>
        <v>4.8409232465443704E+20</v>
      </c>
      <c r="H432" s="3">
        <f t="shared" si="434"/>
        <v>2.9798267631784184E+22</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41916.837249277669</v>
      </c>
      <c r="C433" s="3">
        <f t="shared" si="434"/>
        <v>2280166.3141821097</v>
      </c>
      <c r="D433" s="3">
        <f t="shared" si="434"/>
        <v>23829280.424622618</v>
      </c>
      <c r="E433" s="3">
        <f t="shared" si="434"/>
        <v>19250699236.629017</v>
      </c>
      <c r="F433" s="3">
        <f t="shared" si="434"/>
        <v>100000000000000</v>
      </c>
      <c r="G433" s="3">
        <f t="shared" si="434"/>
        <v>4.8409232465443705E+21</v>
      </c>
      <c r="H433" s="3">
        <f t="shared" si="434"/>
        <v>2.9798267631784182E+23</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419168.37249277666</v>
      </c>
      <c r="C434" s="3">
        <f t="shared" si="434"/>
        <v>22801663.141821094</v>
      </c>
      <c r="D434" s="3">
        <f t="shared" si="434"/>
        <v>238292804.24622619</v>
      </c>
      <c r="E434" s="3">
        <f t="shared" si="434"/>
        <v>192506992366.29016</v>
      </c>
      <c r="F434" s="3">
        <f t="shared" si="434"/>
        <v>1000000000000000</v>
      </c>
      <c r="G434" s="3">
        <f t="shared" si="434"/>
        <v>4.8409232465443699E+22</v>
      </c>
      <c r="H434" s="3">
        <f t="shared" si="434"/>
        <v>2.9798267631784185E+24</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-21.592748433065772</v>
      </c>
      <c r="M1" s="54">
        <v>1</v>
      </c>
      <c r="N1" s="56">
        <f>INDEX($H$217:$P$217,1,Q1)</f>
        <v>0.34803113258856955</v>
      </c>
      <c r="O1" s="11"/>
      <c r="P1" s="55">
        <v>1</v>
      </c>
      <c r="Q1" s="11">
        <v>2</v>
      </c>
    </row>
    <row r="2" spans="1:17" x14ac:dyDescent="0.25">
      <c r="A2" s="11">
        <f>'Mastercurve bestimmen'!M119</f>
        <v>0</v>
      </c>
      <c r="B2" s="11">
        <f>'Mastercurve bestimmen'!N119</f>
        <v>-17.596432358829645</v>
      </c>
      <c r="M2" s="54">
        <v>2</v>
      </c>
      <c r="N2" s="56">
        <f t="shared" ref="N2:N9" si="0">INDEX($H$217:$P$217,1,Q2)</f>
        <v>2.193824349321315E-3</v>
      </c>
      <c r="O2" s="11"/>
      <c r="P2" s="55">
        <v>2</v>
      </c>
      <c r="Q2" s="11">
        <f>Q1+1</f>
        <v>3</v>
      </c>
    </row>
    <row r="3" spans="1:17" x14ac:dyDescent="0.25">
      <c r="A3" s="11">
        <f>'Mastercurve bestimmen'!M120</f>
        <v>25</v>
      </c>
      <c r="B3" s="11">
        <f>'Mastercurve bestimmen'!N120</f>
        <v>-15.24976564949475</v>
      </c>
      <c r="M3" s="54">
        <v>3</v>
      </c>
      <c r="N3" s="56">
        <f t="shared" si="0"/>
        <v>1.5262488730145906E-5</v>
      </c>
      <c r="O3" s="11"/>
      <c r="P3" s="55">
        <v>3</v>
      </c>
      <c r="Q3" s="11">
        <f t="shared" ref="Q3:Q8" si="1">Q2+1</f>
        <v>4</v>
      </c>
    </row>
    <row r="4" spans="1:17" x14ac:dyDescent="0.25">
      <c r="A4" s="11">
        <f>'Mastercurve bestimmen'!M121</f>
        <v>50</v>
      </c>
      <c r="B4" s="11">
        <f>'Mastercurve bestimmen'!N121</f>
        <v>-8.555378080915407</v>
      </c>
      <c r="M4" s="54">
        <v>4</v>
      </c>
      <c r="N4" s="56">
        <f t="shared" si="0"/>
        <v>-4.7429552739035347E-7</v>
      </c>
      <c r="O4" s="11"/>
      <c r="P4" s="55">
        <v>4</v>
      </c>
      <c r="Q4" s="11">
        <f t="shared" si="1"/>
        <v>5</v>
      </c>
    </row>
    <row r="5" spans="1:17" x14ac:dyDescent="0.25">
      <c r="A5" s="11">
        <f>'Mastercurve bestimmen'!M122</f>
        <v>80</v>
      </c>
      <c r="B5" s="11">
        <f>'Mastercurve bestimmen'!N122</f>
        <v>0</v>
      </c>
      <c r="M5" s="54">
        <v>5</v>
      </c>
      <c r="N5" s="56">
        <f t="shared" si="0"/>
        <v>-1.1560355162567215E-8</v>
      </c>
      <c r="O5" s="11"/>
      <c r="P5" s="55">
        <v>5</v>
      </c>
      <c r="Q5" s="11">
        <f t="shared" si="1"/>
        <v>6</v>
      </c>
    </row>
    <row r="6" spans="1:17" x14ac:dyDescent="0.25">
      <c r="A6" s="11">
        <f>'Mastercurve bestimmen'!M123</f>
        <v>125</v>
      </c>
      <c r="B6" s="11">
        <f>'Mastercurve bestimmen'!N123</f>
        <v>17.695201106913999</v>
      </c>
      <c r="M6" s="54">
        <v>6</v>
      </c>
      <c r="N6" s="56">
        <f t="shared" si="0"/>
        <v>-2.5676243381356204E-12</v>
      </c>
      <c r="O6" s="11"/>
      <c r="P6" s="55">
        <v>6</v>
      </c>
      <c r="Q6" s="11">
        <f t="shared" si="1"/>
        <v>7</v>
      </c>
    </row>
    <row r="7" spans="1:17" x14ac:dyDescent="0.25">
      <c r="A7" s="11">
        <f>'Mastercurve bestimmen'!M124</f>
        <v>160</v>
      </c>
      <c r="B7" s="11">
        <f>'Mastercurve bestimmen'!N124</f>
        <v>21.815131002612322</v>
      </c>
      <c r="M7" s="54">
        <v>7</v>
      </c>
      <c r="N7" s="56">
        <f t="shared" si="0"/>
        <v>1.0697054791324989E-12</v>
      </c>
      <c r="O7" s="11"/>
      <c r="P7" s="55">
        <v>7</v>
      </c>
      <c r="Q7" s="11">
        <f t="shared" si="1"/>
        <v>8</v>
      </c>
    </row>
    <row r="8" spans="1:17" x14ac:dyDescent="0.25">
      <c r="A8" s="11"/>
      <c r="B8" s="11"/>
      <c r="M8" s="54">
        <v>8</v>
      </c>
      <c r="N8" s="56">
        <f t="shared" si="0"/>
        <v>5.0374125225068369E-15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-21.592748433065772</v>
      </c>
      <c r="E15" s="11">
        <f>A15-'Mastercurve bestimmen'!$B$2</f>
        <v>-120</v>
      </c>
      <c r="F15" s="11">
        <f>B15</f>
        <v>-21.592748433065772</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-21.469605473318303</v>
      </c>
      <c r="E16" s="11">
        <f>A16-'Mastercurve bestimmen'!$B$2</f>
        <v>-119</v>
      </c>
      <c r="F16" s="11">
        <f t="shared" ref="F16:F79" si="4">B16</f>
        <v>-21.469605473318303</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-21.346549699529156</v>
      </c>
      <c r="E17" s="11">
        <f>A17-'Mastercurve bestimmen'!$B$2</f>
        <v>-118</v>
      </c>
      <c r="F17" s="11">
        <f t="shared" si="4"/>
        <v>-21.346549699529156</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-21.223668297656641</v>
      </c>
      <c r="E18" s="11">
        <f>A18-'Mastercurve bestimmen'!$B$2</f>
        <v>-117</v>
      </c>
      <c r="F18" s="11">
        <f t="shared" si="4"/>
        <v>-21.223668297656641</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-21.101048453659079</v>
      </c>
      <c r="E19" s="11">
        <f>A19-'Mastercurve bestimmen'!$B$2</f>
        <v>-116</v>
      </c>
      <c r="F19" s="11">
        <f t="shared" si="4"/>
        <v>-21.101048453659079</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-20.978777353494785</v>
      </c>
      <c r="E20" s="11">
        <f>A20-'Mastercurve bestimmen'!$B$2</f>
        <v>-115</v>
      </c>
      <c r="F20" s="11">
        <f t="shared" si="4"/>
        <v>-20.978777353494785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-20.856942183122079</v>
      </c>
      <c r="E21" s="11">
        <f>A21-'Mastercurve bestimmen'!$B$2</f>
        <v>-114</v>
      </c>
      <c r="F21" s="11">
        <f t="shared" si="4"/>
        <v>-20.856942183122079</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-20.735630128499274</v>
      </c>
      <c r="E22" s="11">
        <f>A22-'Mastercurve bestimmen'!$B$2</f>
        <v>-113</v>
      </c>
      <c r="F22" s="11">
        <f t="shared" si="4"/>
        <v>-20.735630128499274</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-20.614928375584697</v>
      </c>
      <c r="E23" s="11">
        <f>A23-'Mastercurve bestimmen'!$B$2</f>
        <v>-112</v>
      </c>
      <c r="F23" s="11">
        <f t="shared" si="4"/>
        <v>-20.614928375584697</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-20.494924110336651</v>
      </c>
      <c r="E24" s="11">
        <f>A24-'Mastercurve bestimmen'!$B$2</f>
        <v>-111</v>
      </c>
      <c r="F24" s="11">
        <f t="shared" si="4"/>
        <v>-20.494924110336651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-20.375704518713462</v>
      </c>
      <c r="E25" s="11">
        <f>A25-'Mastercurve bestimmen'!$B$2</f>
        <v>-110</v>
      </c>
      <c r="F25" s="11">
        <f t="shared" si="4"/>
        <v>-20.375704518713462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-20.257356786673448</v>
      </c>
      <c r="E26" s="11">
        <f>A26-'Mastercurve bestimmen'!$B$2</f>
        <v>-109</v>
      </c>
      <c r="F26" s="11">
        <f t="shared" si="4"/>
        <v>-20.257356786673448</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-20.139968100174922</v>
      </c>
      <c r="E27" s="11">
        <f>A27-'Mastercurve bestimmen'!$B$2</f>
        <v>-108</v>
      </c>
      <c r="F27" s="11">
        <f t="shared" si="4"/>
        <v>-20.139968100174922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-20.023625645176207</v>
      </c>
      <c r="E28" s="11">
        <f>A28-'Mastercurve bestimmen'!$B$2</f>
        <v>-107</v>
      </c>
      <c r="F28" s="11">
        <f t="shared" si="4"/>
        <v>-20.023625645176207</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-19.908416607635615</v>
      </c>
      <c r="E29" s="11">
        <f>A29-'Mastercurve bestimmen'!$B$2</f>
        <v>-106</v>
      </c>
      <c r="F29" s="11">
        <f t="shared" si="4"/>
        <v>-19.908416607635615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-19.794428173511463</v>
      </c>
      <c r="E30" s="11">
        <f>A30-'Mastercurve bestimmen'!$B$2</f>
        <v>-105</v>
      </c>
      <c r="F30" s="11">
        <f t="shared" si="4"/>
        <v>-19.794428173511463</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-19.681747528762074</v>
      </c>
      <c r="E31" s="11">
        <f>A31-'Mastercurve bestimmen'!$B$2</f>
        <v>-104</v>
      </c>
      <c r="F31" s="11">
        <f t="shared" si="4"/>
        <v>-19.681747528762074</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-19.570461859345762</v>
      </c>
      <c r="E32" s="11">
        <f>A32-'Mastercurve bestimmen'!$B$2</f>
        <v>-103</v>
      </c>
      <c r="F32" s="11">
        <f t="shared" si="4"/>
        <v>-19.570461859345762</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-19.460658351220847</v>
      </c>
      <c r="E33" s="11">
        <f>A33-'Mastercurve bestimmen'!$B$2</f>
        <v>-102</v>
      </c>
      <c r="F33" s="11">
        <f t="shared" si="4"/>
        <v>-19.460658351220847</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-19.352424190345641</v>
      </c>
      <c r="E34" s="11">
        <f>A34-'Mastercurve bestimmen'!$B$2</f>
        <v>-101</v>
      </c>
      <c r="F34" s="11">
        <f t="shared" si="4"/>
        <v>-19.352424190345641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-19.245846562678462</v>
      </c>
      <c r="E35" s="11">
        <f>A35-'Mastercurve bestimmen'!$B$2</f>
        <v>-100</v>
      </c>
      <c r="F35" s="11">
        <f t="shared" si="4"/>
        <v>-19.245846562678462</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-19.141012654177629</v>
      </c>
      <c r="E36" s="11">
        <f>A36-'Mastercurve bestimmen'!$B$2</f>
        <v>-99</v>
      </c>
      <c r="F36" s="11">
        <f t="shared" si="4"/>
        <v>-19.141012654177629</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-19.038009650801463</v>
      </c>
      <c r="E37" s="11">
        <f>A37-'Mastercurve bestimmen'!$B$2</f>
        <v>-98</v>
      </c>
      <c r="F37" s="11">
        <f t="shared" si="4"/>
        <v>-19.038009650801463</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-18.936924738508274</v>
      </c>
      <c r="E38" s="11">
        <f>A38-'Mastercurve bestimmen'!$B$2</f>
        <v>-97</v>
      </c>
      <c r="F38" s="11">
        <f t="shared" si="4"/>
        <v>-18.936924738508274</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-18.837845103256385</v>
      </c>
      <c r="E39" s="11">
        <f>A39-'Mastercurve bestimmen'!$B$2</f>
        <v>-96</v>
      </c>
      <c r="F39" s="11">
        <f t="shared" si="4"/>
        <v>-18.837845103256385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-18.740857931004115</v>
      </c>
      <c r="E40" s="11">
        <f>A40-'Mastercurve bestimmen'!$B$2</f>
        <v>-95</v>
      </c>
      <c r="F40" s="11">
        <f t="shared" si="4"/>
        <v>-18.740857931004115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-18.646050407709772</v>
      </c>
      <c r="E41" s="11">
        <f>A41-'Mastercurve bestimmen'!$B$2</f>
        <v>-94</v>
      </c>
      <c r="F41" s="11">
        <f t="shared" si="4"/>
        <v>-18.646050407709772</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-18.553509719331682</v>
      </c>
      <c r="E42" s="11">
        <f>A42-'Mastercurve bestimmen'!$B$2</f>
        <v>-93</v>
      </c>
      <c r="F42" s="11">
        <f t="shared" si="4"/>
        <v>-18.553509719331682</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-18.463323051828159</v>
      </c>
      <c r="E43" s="11">
        <f>A43-'Mastercurve bestimmen'!$B$2</f>
        <v>-92</v>
      </c>
      <c r="F43" s="11">
        <f t="shared" si="4"/>
        <v>-18.463323051828159</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-18.375577591157523</v>
      </c>
      <c r="E44" s="11">
        <f>A44-'Mastercurve bestimmen'!$B$2</f>
        <v>-91</v>
      </c>
      <c r="F44" s="11">
        <f t="shared" si="4"/>
        <v>-18.375577591157523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-18.290360523278085</v>
      </c>
      <c r="E45" s="11">
        <f>A45-'Mastercurve bestimmen'!$B$2</f>
        <v>-90</v>
      </c>
      <c r="F45" s="11">
        <f t="shared" si="4"/>
        <v>-18.290360523278085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-18.207759034148168</v>
      </c>
      <c r="E46" s="11">
        <f>A46-'Mastercurve bestimmen'!$B$2</f>
        <v>-89</v>
      </c>
      <c r="F46" s="11">
        <f t="shared" si="4"/>
        <v>-18.207759034148168</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-18.127860309726088</v>
      </c>
      <c r="E47" s="11">
        <f>A47-'Mastercurve bestimmen'!$B$2</f>
        <v>-88</v>
      </c>
      <c r="F47" s="11">
        <f t="shared" si="4"/>
        <v>-18.127860309726088</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-18.050751535970164</v>
      </c>
      <c r="E48" s="11">
        <f>A48-'Mastercurve bestimmen'!$B$2</f>
        <v>-87</v>
      </c>
      <c r="F48" s="11">
        <f t="shared" si="4"/>
        <v>-18.050751535970164</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-17.97651989883871</v>
      </c>
      <c r="E49" s="11">
        <f>A49-'Mastercurve bestimmen'!$B$2</f>
        <v>-86</v>
      </c>
      <c r="F49" s="11">
        <f t="shared" si="4"/>
        <v>-17.97651989883871</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-17.905252584290043</v>
      </c>
      <c r="E50" s="11">
        <f>A50-'Mastercurve bestimmen'!$B$2</f>
        <v>-85</v>
      </c>
      <c r="F50" s="11">
        <f t="shared" si="4"/>
        <v>-17.905252584290043</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-17.837036778282481</v>
      </c>
      <c r="E51" s="11">
        <f>A51-'Mastercurve bestimmen'!$B$2</f>
        <v>-84</v>
      </c>
      <c r="F51" s="11">
        <f t="shared" si="4"/>
        <v>-17.837036778282481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-17.771959666774343</v>
      </c>
      <c r="E52" s="11">
        <f>A52-'Mastercurve bestimmen'!$B$2</f>
        <v>-83</v>
      </c>
      <c r="F52" s="11">
        <f t="shared" si="4"/>
        <v>-17.771959666774343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-17.710108435723946</v>
      </c>
      <c r="E53" s="11">
        <f>A53-'Mastercurve bestimmen'!$B$2</f>
        <v>-82</v>
      </c>
      <c r="F53" s="11">
        <f t="shared" si="4"/>
        <v>-17.710108435723946</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-17.651570271089607</v>
      </c>
      <c r="E54" s="11">
        <f>A54-'Mastercurve bestimmen'!$B$2</f>
        <v>-81</v>
      </c>
      <c r="F54" s="11">
        <f t="shared" si="4"/>
        <v>-17.651570271089607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-17.596432358829649</v>
      </c>
      <c r="E55" s="11">
        <f>A55-'Mastercurve bestimmen'!$B$2</f>
        <v>-80</v>
      </c>
      <c r="F55" s="11">
        <f t="shared" si="4"/>
        <v>-17.596432358829649</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-17.526767661265556</v>
      </c>
      <c r="E56" s="11">
        <f>A56-'Mastercurve bestimmen'!$B$2</f>
        <v>-79</v>
      </c>
      <c r="F56" s="11">
        <f t="shared" si="4"/>
        <v>-17.526767661265556</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-17.459955294045685</v>
      </c>
      <c r="E57" s="11">
        <f>A57-'Mastercurve bestimmen'!$B$2</f>
        <v>-78</v>
      </c>
      <c r="F57" s="11">
        <f t="shared" si="4"/>
        <v>-17.459955294045685</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-17.395360149181549</v>
      </c>
      <c r="E58" s="11">
        <f>A58-'Mastercurve bestimmen'!$B$2</f>
        <v>-77</v>
      </c>
      <c r="F58" s="11">
        <f t="shared" si="4"/>
        <v>-17.395360149181549</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-17.332347118684673</v>
      </c>
      <c r="E59" s="11">
        <f>A59-'Mastercurve bestimmen'!$B$2</f>
        <v>-76</v>
      </c>
      <c r="F59" s="11">
        <f t="shared" si="4"/>
        <v>-17.332347118684673</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-17.270281094566588</v>
      </c>
      <c r="E60" s="11">
        <f>A60-'Mastercurve bestimmen'!$B$2</f>
        <v>-75</v>
      </c>
      <c r="F60" s="11">
        <f t="shared" si="4"/>
        <v>-17.270281094566588</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-17.208526968838804</v>
      </c>
      <c r="E61" s="11">
        <f>A61-'Mastercurve bestimmen'!$B$2</f>
        <v>-74</v>
      </c>
      <c r="F61" s="11">
        <f t="shared" si="4"/>
        <v>-17.208526968838804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-17.146449633512852</v>
      </c>
      <c r="E62" s="11">
        <f>A62-'Mastercurve bestimmen'!$B$2</f>
        <v>-73</v>
      </c>
      <c r="F62" s="11">
        <f t="shared" si="4"/>
        <v>-17.146449633512852</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-17.083413980600252</v>
      </c>
      <c r="E63" s="11">
        <f>A63-'Mastercurve bestimmen'!$B$2</f>
        <v>-72</v>
      </c>
      <c r="F63" s="11">
        <f t="shared" si="4"/>
        <v>-17.083413980600252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-17.018784902112529</v>
      </c>
      <c r="E64" s="11">
        <f>A64-'Mastercurve bestimmen'!$B$2</f>
        <v>-71</v>
      </c>
      <c r="F64" s="11">
        <f t="shared" si="4"/>
        <v>-17.018784902112529</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-16.951927290061207</v>
      </c>
      <c r="E65" s="11">
        <f>A65-'Mastercurve bestimmen'!$B$2</f>
        <v>-70</v>
      </c>
      <c r="F65" s="11">
        <f t="shared" si="4"/>
        <v>-16.951927290061207</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-16.882206036457799</v>
      </c>
      <c r="E66" s="11">
        <f>A66-'Mastercurve bestimmen'!$B$2</f>
        <v>-69</v>
      </c>
      <c r="F66" s="11">
        <f t="shared" si="4"/>
        <v>-16.882206036457799</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-16.808986033313843</v>
      </c>
      <c r="E67" s="11">
        <f>A67-'Mastercurve bestimmen'!$B$2</f>
        <v>-68</v>
      </c>
      <c r="F67" s="11">
        <f t="shared" si="4"/>
        <v>-16.808986033313843</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-16.73163217264085</v>
      </c>
      <c r="E68" s="11">
        <f>A68-'Mastercurve bestimmen'!$B$2</f>
        <v>-67</v>
      </c>
      <c r="F68" s="11">
        <f t="shared" si="4"/>
        <v>-16.73163217264085</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-16.649509346450351</v>
      </c>
      <c r="E69" s="11">
        <f>A69-'Mastercurve bestimmen'!$B$2</f>
        <v>-66</v>
      </c>
      <c r="F69" s="11">
        <f t="shared" si="4"/>
        <v>-16.649509346450351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-16.561982446753859</v>
      </c>
      <c r="E70" s="11">
        <f>A70-'Mastercurve bestimmen'!$B$2</f>
        <v>-65</v>
      </c>
      <c r="F70" s="11">
        <f t="shared" si="4"/>
        <v>-16.561982446753859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-16.468416365562909</v>
      </c>
      <c r="E71" s="11">
        <f>A71-'Mastercurve bestimmen'!$B$2</f>
        <v>-64</v>
      </c>
      <c r="F71" s="11">
        <f t="shared" si="4"/>
        <v>-16.468416365562909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-16.368175994889015</v>
      </c>
      <c r="E72" s="11">
        <f>A72-'Mastercurve bestimmen'!$B$2</f>
        <v>-63</v>
      </c>
      <c r="F72" s="11">
        <f t="shared" si="4"/>
        <v>-16.368175994889015</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-16.260626226743703</v>
      </c>
      <c r="E73" s="11">
        <f>A73-'Mastercurve bestimmen'!$B$2</f>
        <v>-62</v>
      </c>
      <c r="F73" s="11">
        <f t="shared" si="4"/>
        <v>-16.260626226743703</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-16.145131953138499</v>
      </c>
      <c r="E74" s="11">
        <f>A74-'Mastercurve bestimmen'!$B$2</f>
        <v>-61</v>
      </c>
      <c r="F74" s="11">
        <f t="shared" si="4"/>
        <v>-16.145131953138499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-16.021058066084922</v>
      </c>
      <c r="E75" s="11">
        <f>A75-'Mastercurve bestimmen'!$B$2</f>
        <v>-60</v>
      </c>
      <c r="F75" s="11">
        <f t="shared" si="4"/>
        <v>-16.021058066084922</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-15.887769457594494</v>
      </c>
      <c r="E76" s="11">
        <f>A76-'Mastercurve bestimmen'!$B$2</f>
        <v>-59</v>
      </c>
      <c r="F76" s="11">
        <f t="shared" si="4"/>
        <v>-15.887769457594494</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-15.74463101967874</v>
      </c>
      <c r="E77" s="11">
        <f>A77-'Mastercurve bestimmen'!$B$2</f>
        <v>-58</v>
      </c>
      <c r="F77" s="11">
        <f t="shared" si="4"/>
        <v>-15.74463101967874</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-15.591007644349183</v>
      </c>
      <c r="E78" s="11">
        <f>A78-'Mastercurve bestimmen'!$B$2</f>
        <v>-57</v>
      </c>
      <c r="F78" s="11">
        <f t="shared" si="4"/>
        <v>-15.591007644349183</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-15.426264223617345</v>
      </c>
      <c r="E79" s="11">
        <f>A79-'Mastercurve bestimmen'!$B$2</f>
        <v>-56</v>
      </c>
      <c r="F79" s="11">
        <f t="shared" si="4"/>
        <v>-15.426264223617345</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-15.249765649494751</v>
      </c>
      <c r="E80" s="11">
        <f>A80-'Mastercurve bestimmen'!$B$2</f>
        <v>-55</v>
      </c>
      <c r="F80" s="11">
        <f t="shared" ref="F80:F143" si="10">B80</f>
        <v>-15.249765649494751</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-15.061094170313098</v>
      </c>
      <c r="E81" s="11">
        <f>A81-'Mastercurve bestimmen'!$B$2</f>
        <v>-54</v>
      </c>
      <c r="F81" s="11">
        <f t="shared" si="10"/>
        <v>-15.061094170313098</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-14.860701459684803</v>
      </c>
      <c r="E82" s="11">
        <f>A82-'Mastercurve bestimmen'!$B$2</f>
        <v>-53</v>
      </c>
      <c r="F82" s="11">
        <f t="shared" si="10"/>
        <v>-14.860701459684803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-14.649256547542448</v>
      </c>
      <c r="E83" s="11">
        <f>A83-'Mastercurve bestimmen'!$B$2</f>
        <v>-52</v>
      </c>
      <c r="F83" s="11">
        <f t="shared" si="10"/>
        <v>-14.649256547542448</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-14.427428463818627</v>
      </c>
      <c r="E84" s="11">
        <f>A84-'Mastercurve bestimmen'!$B$2</f>
        <v>-51</v>
      </c>
      <c r="F84" s="11">
        <f t="shared" si="10"/>
        <v>-14.427428463818627</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-14.195886238445929</v>
      </c>
      <c r="E85" s="11">
        <f>A85-'Mastercurve bestimmen'!$B$2</f>
        <v>-50</v>
      </c>
      <c r="F85" s="11">
        <f t="shared" si="10"/>
        <v>-14.195886238445929</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-13.955298901356946</v>
      </c>
      <c r="E86" s="11">
        <f>A86-'Mastercurve bestimmen'!$B$2</f>
        <v>-49</v>
      </c>
      <c r="F86" s="11">
        <f t="shared" si="10"/>
        <v>-13.955298901356946</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-13.70633548248426</v>
      </c>
      <c r="E87" s="11">
        <f>A87-'Mastercurve bestimmen'!$B$2</f>
        <v>-48</v>
      </c>
      <c r="F87" s="11">
        <f t="shared" si="10"/>
        <v>-13.70633548248426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-13.449665011760468</v>
      </c>
      <c r="E88" s="11">
        <f>A88-'Mastercurve bestimmen'!$B$2</f>
        <v>-47</v>
      </c>
      <c r="F88" s="11">
        <f t="shared" si="10"/>
        <v>-13.449665011760468</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-13.185956519118157</v>
      </c>
      <c r="E89" s="11">
        <f>A89-'Mastercurve bestimmen'!$B$2</f>
        <v>-46</v>
      </c>
      <c r="F89" s="11">
        <f t="shared" si="10"/>
        <v>-13.185956519118157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-12.915879034489913</v>
      </c>
      <c r="E90" s="11">
        <f>A90-'Mastercurve bestimmen'!$B$2</f>
        <v>-45</v>
      </c>
      <c r="F90" s="11">
        <f t="shared" si="10"/>
        <v>-12.915879034489913</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-12.64010158780833</v>
      </c>
      <c r="E91" s="11">
        <f>A91-'Mastercurve bestimmen'!$B$2</f>
        <v>-44</v>
      </c>
      <c r="F91" s="11">
        <f t="shared" si="10"/>
        <v>-12.64010158780833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-12.359293209005994</v>
      </c>
      <c r="E92" s="11">
        <f>A92-'Mastercurve bestimmen'!$B$2</f>
        <v>-43</v>
      </c>
      <c r="F92" s="11">
        <f t="shared" si="10"/>
        <v>-12.359293209005994</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-12.074122928015495</v>
      </c>
      <c r="E93" s="11">
        <f>A93-'Mastercurve bestimmen'!$B$2</f>
        <v>-42</v>
      </c>
      <c r="F93" s="11">
        <f t="shared" si="10"/>
        <v>-12.074122928015495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-11.785259774769425</v>
      </c>
      <c r="E94" s="11">
        <f>A94-'Mastercurve bestimmen'!$B$2</f>
        <v>-41</v>
      </c>
      <c r="F94" s="11">
        <f t="shared" si="10"/>
        <v>-11.785259774769425</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-11.493372779200371</v>
      </c>
      <c r="E95" s="11">
        <f>A95-'Mastercurve bestimmen'!$B$2</f>
        <v>-40</v>
      </c>
      <c r="F95" s="11">
        <f t="shared" si="10"/>
        <v>-11.493372779200371</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-11.199130971240924</v>
      </c>
      <c r="E96" s="11">
        <f>A96-'Mastercurve bestimmen'!$B$2</f>
        <v>-39</v>
      </c>
      <c r="F96" s="11">
        <f t="shared" si="10"/>
        <v>-11.199130971240924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-10.903203380823673</v>
      </c>
      <c r="E97" s="11">
        <f>A97-'Mastercurve bestimmen'!$B$2</f>
        <v>-38</v>
      </c>
      <c r="F97" s="11">
        <f t="shared" si="10"/>
        <v>-10.903203380823673</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-10.606259037881204</v>
      </c>
      <c r="E98" s="11">
        <f>A98-'Mastercurve bestimmen'!$B$2</f>
        <v>-37</v>
      </c>
      <c r="F98" s="11">
        <f t="shared" si="10"/>
        <v>-10.606259037881204</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-10.308966972346109</v>
      </c>
      <c r="E99" s="11">
        <f>A99-'Mastercurve bestimmen'!$B$2</f>
        <v>-36</v>
      </c>
      <c r="F99" s="11">
        <f t="shared" si="10"/>
        <v>-10.308966972346109</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-10.01199621415098</v>
      </c>
      <c r="E100" s="11">
        <f>A100-'Mastercurve bestimmen'!$B$2</f>
        <v>-35</v>
      </c>
      <c r="F100" s="11">
        <f t="shared" si="10"/>
        <v>-10.01199621415098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-9.7160157932284026</v>
      </c>
      <c r="E101" s="11">
        <f>A101-'Mastercurve bestimmen'!$B$2</f>
        <v>-34</v>
      </c>
      <c r="F101" s="11">
        <f t="shared" si="10"/>
        <v>-9.7160157932284026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-9.4216947395109667</v>
      </c>
      <c r="E102" s="11">
        <f>A102-'Mastercurve bestimmen'!$B$2</f>
        <v>-33</v>
      </c>
      <c r="F102" s="11">
        <f t="shared" si="10"/>
        <v>-9.4216947395109667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-9.1297020829312636</v>
      </c>
      <c r="E103" s="11">
        <f>A103-'Mastercurve bestimmen'!$B$2</f>
        <v>-32</v>
      </c>
      <c r="F103" s="11">
        <f t="shared" si="10"/>
        <v>-9.1297020829312636</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-8.8407068534218798</v>
      </c>
      <c r="E104" s="11">
        <f>A104-'Mastercurve bestimmen'!$B$2</f>
        <v>-31</v>
      </c>
      <c r="F104" s="11">
        <f t="shared" si="10"/>
        <v>-8.8407068534218798</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-8.555378080915407</v>
      </c>
      <c r="E105" s="11">
        <f>A105-'Mastercurve bestimmen'!$B$2</f>
        <v>-30</v>
      </c>
      <c r="F105" s="11">
        <f t="shared" si="10"/>
        <v>-8.555378080915407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-8.2741989136452592</v>
      </c>
      <c r="E106" s="11">
        <f>A106-'Mastercurve bestimmen'!$B$2</f>
        <v>-29</v>
      </c>
      <c r="F106" s="11">
        <f t="shared" si="10"/>
        <v>-8.2741989136452592</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-7.9969089730481526</v>
      </c>
      <c r="E107" s="11">
        <f>A107-'Mastercurve bestimmen'!$B$2</f>
        <v>-28</v>
      </c>
      <c r="F107" s="11">
        <f t="shared" si="10"/>
        <v>-7.9969089730481526</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-7.7230619988616276</v>
      </c>
      <c r="E108" s="11">
        <f>A108-'Mastercurve bestimmen'!$B$2</f>
        <v>-27</v>
      </c>
      <c r="F108" s="11">
        <f t="shared" si="10"/>
        <v>-7.7230619988616276</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-7.4522117308232243</v>
      </c>
      <c r="E109" s="11">
        <f>A109-'Mastercurve bestimmen'!$B$2</f>
        <v>-26</v>
      </c>
      <c r="F109" s="11">
        <f t="shared" si="10"/>
        <v>-7.4522117308232243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-7.1839119086704857</v>
      </c>
      <c r="E110" s="11">
        <f>A110-'Mastercurve bestimmen'!$B$2</f>
        <v>-25</v>
      </c>
      <c r="F110" s="11">
        <f t="shared" si="10"/>
        <v>-7.1839119086704857</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-6.9177162721409511</v>
      </c>
      <c r="E111" s="11">
        <f>A111-'Mastercurve bestimmen'!$B$2</f>
        <v>-24</v>
      </c>
      <c r="F111" s="11">
        <f t="shared" si="10"/>
        <v>-6.9177162721409511</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-6.6531785609721616</v>
      </c>
      <c r="E112" s="11">
        <f>A112-'Mastercurve bestimmen'!$B$2</f>
        <v>-23</v>
      </c>
      <c r="F112" s="11">
        <f t="shared" si="10"/>
        <v>-6.6531785609721616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-6.3898525149016594</v>
      </c>
      <c r="E113" s="11">
        <f>A113-'Mastercurve bestimmen'!$B$2</f>
        <v>-22</v>
      </c>
      <c r="F113" s="11">
        <f t="shared" si="10"/>
        <v>-6.3898525149016594</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-6.1272918736669846</v>
      </c>
      <c r="E114" s="11">
        <f>A114-'Mastercurve bestimmen'!$B$2</f>
        <v>-21</v>
      </c>
      <c r="F114" s="11">
        <f t="shared" si="10"/>
        <v>-6.1272918736669846</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-5.8650503770056774</v>
      </c>
      <c r="E115" s="11">
        <f>A115-'Mastercurve bestimmen'!$B$2</f>
        <v>-20</v>
      </c>
      <c r="F115" s="11">
        <f t="shared" si="10"/>
        <v>-5.8650503770056774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-5.60268176465528</v>
      </c>
      <c r="E116" s="11">
        <f>A116-'Mastercurve bestimmen'!$B$2</f>
        <v>-19</v>
      </c>
      <c r="F116" s="11">
        <f t="shared" si="10"/>
        <v>-5.60268176465528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-5.3397397763533316</v>
      </c>
      <c r="E117" s="11">
        <f>A117-'Mastercurve bestimmen'!$B$2</f>
        <v>-18</v>
      </c>
      <c r="F117" s="11">
        <f t="shared" si="10"/>
        <v>-5.3397397763533316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-5.075778151837377</v>
      </c>
      <c r="E118" s="11">
        <f>A118-'Mastercurve bestimmen'!$B$2</f>
        <v>-17</v>
      </c>
      <c r="F118" s="11">
        <f t="shared" si="10"/>
        <v>-5.075778151837377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-4.8103506308449537</v>
      </c>
      <c r="E119" s="11">
        <f>A119-'Mastercurve bestimmen'!$B$2</f>
        <v>-16</v>
      </c>
      <c r="F119" s="11">
        <f t="shared" si="10"/>
        <v>-4.8103506308449537</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-4.5430109531136038</v>
      </c>
      <c r="E120" s="11">
        <f>A120-'Mastercurve bestimmen'!$B$2</f>
        <v>-15</v>
      </c>
      <c r="F120" s="11">
        <f t="shared" si="10"/>
        <v>-4.5430109531136038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-4.2733128583808675</v>
      </c>
      <c r="E121" s="11">
        <f>A121-'Mastercurve bestimmen'!$B$2</f>
        <v>-14</v>
      </c>
      <c r="F121" s="11">
        <f t="shared" si="10"/>
        <v>-4.2733128583808675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-4.0008100863842859</v>
      </c>
      <c r="E122" s="11">
        <f>A122-'Mastercurve bestimmen'!$B$2</f>
        <v>-13</v>
      </c>
      <c r="F122" s="11">
        <f t="shared" si="10"/>
        <v>-4.0008100863842859</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-3.725056376861402</v>
      </c>
      <c r="E123" s="11">
        <f>A123-'Mastercurve bestimmen'!$B$2</f>
        <v>-12</v>
      </c>
      <c r="F123" s="11">
        <f t="shared" si="10"/>
        <v>-3.725056376861402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-3.4456054695497551</v>
      </c>
      <c r="E124" s="11">
        <f>A124-'Mastercurve bestimmen'!$B$2</f>
        <v>-11</v>
      </c>
      <c r="F124" s="11">
        <f t="shared" si="10"/>
        <v>-3.4456054695497551</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-3.162011104186885</v>
      </c>
      <c r="E125" s="11">
        <f>A125-'Mastercurve bestimmen'!$B$2</f>
        <v>-10</v>
      </c>
      <c r="F125" s="11">
        <f t="shared" si="10"/>
        <v>-3.162011104186885</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-2.8738270205103347</v>
      </c>
      <c r="E126" s="11">
        <f>A126-'Mastercurve bestimmen'!$B$2</f>
        <v>-9</v>
      </c>
      <c r="F126" s="11">
        <f t="shared" si="10"/>
        <v>-2.8738270205103347</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-2.5806069582576443</v>
      </c>
      <c r="E127" s="11">
        <f>A127-'Mastercurve bestimmen'!$B$2</f>
        <v>-8</v>
      </c>
      <c r="F127" s="11">
        <f t="shared" si="10"/>
        <v>-2.5806069582576443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-2.281904657166355</v>
      </c>
      <c r="E128" s="11">
        <f>A128-'Mastercurve bestimmen'!$B$2</f>
        <v>-7</v>
      </c>
      <c r="F128" s="11">
        <f t="shared" si="10"/>
        <v>-2.281904657166355</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-1.977273856974008</v>
      </c>
      <c r="E129" s="11">
        <f>A129-'Mastercurve bestimmen'!$B$2</f>
        <v>-6</v>
      </c>
      <c r="F129" s="11">
        <f t="shared" si="10"/>
        <v>-1.977273856974008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-1.6662682974181435</v>
      </c>
      <c r="E130" s="11">
        <f>A130-'Mastercurve bestimmen'!$B$2</f>
        <v>-5</v>
      </c>
      <c r="F130" s="11">
        <f t="shared" si="10"/>
        <v>-1.6662682974181435</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-1.3484417182363031</v>
      </c>
      <c r="E131" s="11">
        <f>A131-'Mastercurve bestimmen'!$B$2</f>
        <v>-4</v>
      </c>
      <c r="F131" s="11">
        <f t="shared" si="10"/>
        <v>-1.3484417182363031</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-1.0233478591660279</v>
      </c>
      <c r="E132" s="11">
        <f>A132-'Mastercurve bestimmen'!$B$2</f>
        <v>-3</v>
      </c>
      <c r="F132" s="11">
        <f t="shared" si="10"/>
        <v>-1.0233478591660279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-0.69054045994485791</v>
      </c>
      <c r="E133" s="11">
        <f>A133-'Mastercurve bestimmen'!$B$2</f>
        <v>-2</v>
      </c>
      <c r="F133" s="11">
        <f t="shared" si="10"/>
        <v>-0.69054045994485791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-0.3495732603103352</v>
      </c>
      <c r="E134" s="11">
        <f>A134-'Mastercurve bestimmen'!$B$2</f>
        <v>-1</v>
      </c>
      <c r="F134" s="11">
        <f t="shared" si="10"/>
        <v>-0.3495732603103352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0.35846998203255909</v>
      </c>
      <c r="E136" s="11">
        <f>A136-'Mastercurve bestimmen'!$B$2</f>
        <v>1</v>
      </c>
      <c r="F136" s="11">
        <f t="shared" si="10"/>
        <v>0.35846998203255909</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0.72550494996956627</v>
      </c>
      <c r="E137" s="11">
        <f>A137-'Mastercurve bestimmen'!$B$2</f>
        <v>2</v>
      </c>
      <c r="F137" s="11">
        <f t="shared" si="10"/>
        <v>0.72550494996956627</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1.1006175687771975</v>
      </c>
      <c r="E138" s="11">
        <f>A138-'Mastercurve bestimmen'!$B$2</f>
        <v>3</v>
      </c>
      <c r="F138" s="11">
        <f t="shared" si="10"/>
        <v>1.1006175687771975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1.4833205034216301</v>
      </c>
      <c r="E139" s="11">
        <f>A139-'Mastercurve bestimmen'!$B$2</f>
        <v>4</v>
      </c>
      <c r="F139" s="11">
        <f t="shared" si="10"/>
        <v>1.4833205034216301</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1.87312641886904</v>
      </c>
      <c r="E140" s="11">
        <f>A140-'Mastercurve bestimmen'!$B$2</f>
        <v>5</v>
      </c>
      <c r="F140" s="11">
        <f t="shared" si="10"/>
        <v>1.87312641886904</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2.269547980085604</v>
      </c>
      <c r="E141" s="11">
        <f>A141-'Mastercurve bestimmen'!$B$2</f>
        <v>6</v>
      </c>
      <c r="F141" s="11">
        <f t="shared" si="10"/>
        <v>2.269547980085604</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2.6720978520374987</v>
      </c>
      <c r="E142" s="11">
        <f>A142-'Mastercurve bestimmen'!$B$2</f>
        <v>7</v>
      </c>
      <c r="F142" s="11">
        <f t="shared" si="10"/>
        <v>2.6720978520374987</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3.0802886996909007</v>
      </c>
      <c r="E143" s="11">
        <f>A143-'Mastercurve bestimmen'!$B$2</f>
        <v>8</v>
      </c>
      <c r="F143" s="11">
        <f t="shared" si="10"/>
        <v>3.0802886996909007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3.493633188011986</v>
      </c>
      <c r="E144" s="11">
        <f>A144-'Mastercurve bestimmen'!$B$2</f>
        <v>9</v>
      </c>
      <c r="F144" s="11">
        <f t="shared" ref="F144:F207" si="15">B144</f>
        <v>3.493633188011986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3.9116439819669324</v>
      </c>
      <c r="E145" s="11">
        <f>A145-'Mastercurve bestimmen'!$B$2</f>
        <v>10</v>
      </c>
      <c r="F145" s="11">
        <f t="shared" si="15"/>
        <v>3.9116439819669324</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4.3338337465219148</v>
      </c>
      <c r="E146" s="11">
        <f>A146-'Mastercurve bestimmen'!$B$2</f>
        <v>11</v>
      </c>
      <c r="F146" s="11">
        <f t="shared" si="15"/>
        <v>4.3338337465219148</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4.7597151466431109</v>
      </c>
      <c r="E147" s="11">
        <f>A147-'Mastercurve bestimmen'!$B$2</f>
        <v>12</v>
      </c>
      <c r="F147" s="11">
        <f t="shared" si="15"/>
        <v>4.7597151466431109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5.1888008472966982</v>
      </c>
      <c r="E148" s="11">
        <f>A148-'Mastercurve bestimmen'!$B$2</f>
        <v>13</v>
      </c>
      <c r="F148" s="11">
        <f t="shared" si="15"/>
        <v>5.1888008472966982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5.6206035134488506</v>
      </c>
      <c r="E149" s="11">
        <f>A149-'Mastercurve bestimmen'!$B$2</f>
        <v>14</v>
      </c>
      <c r="F149" s="11">
        <f t="shared" si="15"/>
        <v>5.6206035134488506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6.054635810065748</v>
      </c>
      <c r="E150" s="11">
        <f>A150-'Mastercurve bestimmen'!$B$2</f>
        <v>15</v>
      </c>
      <c r="F150" s="11">
        <f t="shared" si="15"/>
        <v>6.054635810065748</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6.4904104021135636</v>
      </c>
      <c r="E151" s="11">
        <f>A151-'Mastercurve bestimmen'!$B$2</f>
        <v>16</v>
      </c>
      <c r="F151" s="11">
        <f t="shared" si="15"/>
        <v>6.4904104021135636</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6.9274399545584755</v>
      </c>
      <c r="E152" s="11">
        <f>A152-'Mastercurve bestimmen'!$B$2</f>
        <v>17</v>
      </c>
      <c r="F152" s="11">
        <f t="shared" si="15"/>
        <v>6.9274399545584755</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7.3652371323666603</v>
      </c>
      <c r="E153" s="11">
        <f>A153-'Mastercurve bestimmen'!$B$2</f>
        <v>18</v>
      </c>
      <c r="F153" s="11">
        <f t="shared" si="15"/>
        <v>7.3652371323666603</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7.8033146005042964</v>
      </c>
      <c r="E154" s="11">
        <f>A154-'Mastercurve bestimmen'!$B$2</f>
        <v>19</v>
      </c>
      <c r="F154" s="11">
        <f t="shared" si="15"/>
        <v>7.8033146005042964</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8.2411850239375575</v>
      </c>
      <c r="E155" s="11">
        <f>A155-'Mastercurve bestimmen'!$B$2</f>
        <v>20</v>
      </c>
      <c r="F155" s="11">
        <f t="shared" si="15"/>
        <v>8.2411850239375575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8.6783610676326202</v>
      </c>
      <c r="E156" s="11">
        <f>A156-'Mastercurve bestimmen'!$B$2</f>
        <v>21</v>
      </c>
      <c r="F156" s="11">
        <f t="shared" si="15"/>
        <v>8.6783610676326202</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9.1143553965556627</v>
      </c>
      <c r="E157" s="11">
        <f>A157-'Mastercurve bestimmen'!$B$2</f>
        <v>22</v>
      </c>
      <c r="F157" s="11">
        <f t="shared" si="15"/>
        <v>9.1143553965556627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9.5486806756728608</v>
      </c>
      <c r="E158" s="11">
        <f>A158-'Mastercurve bestimmen'!$B$2</f>
        <v>23</v>
      </c>
      <c r="F158" s="11">
        <f t="shared" si="15"/>
        <v>9.5486806756728608</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9.9808495699503901</v>
      </c>
      <c r="E159" s="11">
        <f>A159-'Mastercurve bestimmen'!$B$2</f>
        <v>24</v>
      </c>
      <c r="F159" s="11">
        <f t="shared" si="15"/>
        <v>9.9808495699503901</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10.410374744354431</v>
      </c>
      <c r="E160" s="11">
        <f>A160-'Mastercurve bestimmen'!$B$2</f>
        <v>25</v>
      </c>
      <c r="F160" s="11">
        <f t="shared" si="15"/>
        <v>10.410374744354431</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10.836768863851155</v>
      </c>
      <c r="E161" s="11">
        <f>A161-'Mastercurve bestimmen'!$B$2</f>
        <v>26</v>
      </c>
      <c r="F161" s="11">
        <f t="shared" si="15"/>
        <v>10.836768863851155</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11.259544593406742</v>
      </c>
      <c r="E162" s="11">
        <f>A162-'Mastercurve bestimmen'!$B$2</f>
        <v>27</v>
      </c>
      <c r="F162" s="11">
        <f t="shared" si="15"/>
        <v>11.259544593406742</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11.678214597987367</v>
      </c>
      <c r="E163" s="11">
        <f>A163-'Mastercurve bestimmen'!$B$2</f>
        <v>28</v>
      </c>
      <c r="F163" s="11">
        <f t="shared" si="15"/>
        <v>11.678214597987367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12.092291542559208</v>
      </c>
      <c r="E164" s="11">
        <f>A164-'Mastercurve bestimmen'!$B$2</f>
        <v>29</v>
      </c>
      <c r="F164" s="11">
        <f t="shared" si="15"/>
        <v>12.092291542559208</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12.501288092088442</v>
      </c>
      <c r="E165" s="11">
        <f>A165-'Mastercurve bestimmen'!$B$2</f>
        <v>30</v>
      </c>
      <c r="F165" s="11">
        <f t="shared" si="15"/>
        <v>12.501288092088442</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12.904716911541243</v>
      </c>
      <c r="E166" s="11">
        <f>A166-'Mastercurve bestimmen'!$B$2</f>
        <v>31</v>
      </c>
      <c r="F166" s="11">
        <f t="shared" si="15"/>
        <v>12.904716911541243</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13.302090665883787</v>
      </c>
      <c r="E167" s="11">
        <f>A167-'Mastercurve bestimmen'!$B$2</f>
        <v>32</v>
      </c>
      <c r="F167" s="11">
        <f t="shared" si="15"/>
        <v>13.302090665883787</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13.692922020082253</v>
      </c>
      <c r="E168" s="11">
        <f>A168-'Mastercurve bestimmen'!$B$2</f>
        <v>33</v>
      </c>
      <c r="F168" s="11">
        <f t="shared" si="15"/>
        <v>13.692922020082253</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14.076723639102818</v>
      </c>
      <c r="E169" s="11">
        <f>A169-'Mastercurve bestimmen'!$B$2</f>
        <v>34</v>
      </c>
      <c r="F169" s="11">
        <f t="shared" si="15"/>
        <v>14.076723639102818</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14.453008187911657</v>
      </c>
      <c r="E170" s="11">
        <f>A170-'Mastercurve bestimmen'!$B$2</f>
        <v>35</v>
      </c>
      <c r="F170" s="11">
        <f t="shared" si="15"/>
        <v>14.453008187911657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14.821288331474948</v>
      </c>
      <c r="E171" s="11">
        <f>A171-'Mastercurve bestimmen'!$B$2</f>
        <v>36</v>
      </c>
      <c r="F171" s="11">
        <f t="shared" si="15"/>
        <v>14.821288331474948</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15.181076734758864</v>
      </c>
      <c r="E172" s="11">
        <f>A172-'Mastercurve bestimmen'!$B$2</f>
        <v>37</v>
      </c>
      <c r="F172" s="11">
        <f t="shared" si="15"/>
        <v>15.181076734758864</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15.53188606272959</v>
      </c>
      <c r="E173" s="11">
        <f>A173-'Mastercurve bestimmen'!$B$2</f>
        <v>38</v>
      </c>
      <c r="F173" s="11">
        <f t="shared" si="15"/>
        <v>15.53188606272959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15.873228980353295</v>
      </c>
      <c r="E174" s="11">
        <f>A174-'Mastercurve bestimmen'!$B$2</f>
        <v>39</v>
      </c>
      <c r="F174" s="11">
        <f t="shared" si="15"/>
        <v>15.873228980353295</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16.204618152596154</v>
      </c>
      <c r="E175" s="11">
        <f>A175-'Mastercurve bestimmen'!$B$2</f>
        <v>40</v>
      </c>
      <c r="F175" s="11">
        <f t="shared" si="15"/>
        <v>16.204618152596154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16.525566244424351</v>
      </c>
      <c r="E176" s="11">
        <f>A176-'Mastercurve bestimmen'!$B$2</f>
        <v>41</v>
      </c>
      <c r="F176" s="11">
        <f t="shared" si="15"/>
        <v>16.525566244424351</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16.835585920804053</v>
      </c>
      <c r="E177" s="11">
        <f>A177-'Mastercurve bestimmen'!$B$2</f>
        <v>42</v>
      </c>
      <c r="F177" s="11">
        <f t="shared" si="15"/>
        <v>16.835585920804053</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17.134189846701446</v>
      </c>
      <c r="E178" s="11">
        <f>A178-'Mastercurve bestimmen'!$B$2</f>
        <v>43</v>
      </c>
      <c r="F178" s="11">
        <f t="shared" si="15"/>
        <v>17.134189846701446</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17.420890687082704</v>
      </c>
      <c r="E179" s="11">
        <f>A179-'Mastercurve bestimmen'!$B$2</f>
        <v>44</v>
      </c>
      <c r="F179" s="11">
        <f t="shared" si="15"/>
        <v>17.420890687082704</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17.695201106913999</v>
      </c>
      <c r="E180" s="11">
        <f>A180-'Mastercurve bestimmen'!$B$2</f>
        <v>45</v>
      </c>
      <c r="F180" s="11">
        <f t="shared" si="15"/>
        <v>17.695201106913999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17.956776316312791</v>
      </c>
      <c r="E181" s="11">
        <f>A181-'Mastercurve bestimmen'!$B$2</f>
        <v>46</v>
      </c>
      <c r="F181" s="11">
        <f t="shared" si="15"/>
        <v>17.956776316312791</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18.205841706001614</v>
      </c>
      <c r="E182" s="11">
        <f>A182-'Mastercurve bestimmen'!$B$2</f>
        <v>47</v>
      </c>
      <c r="F182" s="11">
        <f t="shared" si="15"/>
        <v>18.205841706001614</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18.442765211854301</v>
      </c>
      <c r="E183" s="11">
        <f>A183-'Mastercurve bestimmen'!$B$2</f>
        <v>48</v>
      </c>
      <c r="F183" s="11">
        <f t="shared" si="15"/>
        <v>18.442765211854301</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18.667914769744673</v>
      </c>
      <c r="E184" s="11">
        <f>A184-'Mastercurve bestimmen'!$B$2</f>
        <v>49</v>
      </c>
      <c r="F184" s="11">
        <f t="shared" si="15"/>
        <v>18.667914769744673</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18.881658315546552</v>
      </c>
      <c r="E185" s="11">
        <f>A185-'Mastercurve bestimmen'!$B$2</f>
        <v>50</v>
      </c>
      <c r="F185" s="11">
        <f t="shared" si="15"/>
        <v>18.881658315546552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19.08436378513376</v>
      </c>
      <c r="E186" s="11">
        <f>A186-'Mastercurve bestimmen'!$B$2</f>
        <v>51</v>
      </c>
      <c r="F186" s="11">
        <f t="shared" si="15"/>
        <v>19.08436378513376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19.276399114380116</v>
      </c>
      <c r="E187" s="11">
        <f>A187-'Mastercurve bestimmen'!$B$2</f>
        <v>52</v>
      </c>
      <c r="F187" s="11">
        <f t="shared" si="15"/>
        <v>19.276399114380116</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19.458132239159447</v>
      </c>
      <c r="E188" s="11">
        <f>A188-'Mastercurve bestimmen'!$B$2</f>
        <v>53</v>
      </c>
      <c r="F188" s="11">
        <f t="shared" si="15"/>
        <v>19.458132239159447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19.629931095345576</v>
      </c>
      <c r="E189" s="11">
        <f>A189-'Mastercurve bestimmen'!$B$2</f>
        <v>54</v>
      </c>
      <c r="F189" s="11">
        <f t="shared" si="15"/>
        <v>19.629931095345576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19.792163618812321</v>
      </c>
      <c r="E190" s="11">
        <f>A190-'Mastercurve bestimmen'!$B$2</f>
        <v>55</v>
      </c>
      <c r="F190" s="11">
        <f t="shared" si="15"/>
        <v>19.792163618812321</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19.945197745433507</v>
      </c>
      <c r="E191" s="11">
        <f>A191-'Mastercurve bestimmen'!$B$2</f>
        <v>56</v>
      </c>
      <c r="F191" s="11">
        <f t="shared" si="15"/>
        <v>19.945197745433507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20.089401411082957</v>
      </c>
      <c r="E192" s="11">
        <f>A192-'Mastercurve bestimmen'!$B$2</f>
        <v>57</v>
      </c>
      <c r="F192" s="11">
        <f t="shared" si="15"/>
        <v>20.089401411082957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20.225142551634491</v>
      </c>
      <c r="E193" s="11">
        <f>A193-'Mastercurve bestimmen'!$B$2</f>
        <v>58</v>
      </c>
      <c r="F193" s="11">
        <f t="shared" si="15"/>
        <v>20.225142551634491</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20.352789102961935</v>
      </c>
      <c r="E194" s="11">
        <f>A194-'Mastercurve bestimmen'!$B$2</f>
        <v>59</v>
      </c>
      <c r="F194" s="11">
        <f t="shared" si="15"/>
        <v>20.352789102961935</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20.472709000939105</v>
      </c>
      <c r="E195" s="11">
        <f>A195-'Mastercurve bestimmen'!$B$2</f>
        <v>60</v>
      </c>
      <c r="F195" s="11">
        <f t="shared" si="15"/>
        <v>20.472709000939105</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20.585270181439832</v>
      </c>
      <c r="E196" s="11">
        <f>A196-'Mastercurve bestimmen'!$B$2</f>
        <v>61</v>
      </c>
      <c r="F196" s="11">
        <f t="shared" si="15"/>
        <v>20.585270181439832</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20.69084058033793</v>
      </c>
      <c r="E197" s="11">
        <f>A197-'Mastercurve bestimmen'!$B$2</f>
        <v>62</v>
      </c>
      <c r="F197" s="11">
        <f t="shared" si="15"/>
        <v>20.69084058033793</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20.789788133507223</v>
      </c>
      <c r="E198" s="11">
        <f>A198-'Mastercurve bestimmen'!$B$2</f>
        <v>63</v>
      </c>
      <c r="F198" s="11">
        <f t="shared" si="15"/>
        <v>20.789788133507223</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20.882480776821541</v>
      </c>
      <c r="E199" s="11">
        <f>A199-'Mastercurve bestimmen'!$B$2</f>
        <v>64</v>
      </c>
      <c r="F199" s="11">
        <f t="shared" si="15"/>
        <v>20.882480776821541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20.969286446154698</v>
      </c>
      <c r="E200" s="11">
        <f>A200-'Mastercurve bestimmen'!$B$2</f>
        <v>65</v>
      </c>
      <c r="F200" s="11">
        <f t="shared" si="15"/>
        <v>20.969286446154698</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21.05057307738052</v>
      </c>
      <c r="E201" s="11">
        <f>A201-'Mastercurve bestimmen'!$B$2</f>
        <v>66</v>
      </c>
      <c r="F201" s="11">
        <f t="shared" si="15"/>
        <v>21.05057307738052</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21.12670860637283</v>
      </c>
      <c r="E202" s="11">
        <f>A202-'Mastercurve bestimmen'!$B$2</f>
        <v>67</v>
      </c>
      <c r="F202" s="11">
        <f t="shared" si="15"/>
        <v>21.12670860637283</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21.198060969005446</v>
      </c>
      <c r="E203" s="11">
        <f>A203-'Mastercurve bestimmen'!$B$2</f>
        <v>68</v>
      </c>
      <c r="F203" s="11">
        <f t="shared" si="15"/>
        <v>21.198060969005446</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21.264998101152202</v>
      </c>
      <c r="E204" s="11">
        <f>A204-'Mastercurve bestimmen'!$B$2</f>
        <v>69</v>
      </c>
      <c r="F204" s="11">
        <f t="shared" si="15"/>
        <v>21.264998101152202</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21.327887938686903</v>
      </c>
      <c r="E205" s="11">
        <f>A205-'Mastercurve bestimmen'!$B$2</f>
        <v>70</v>
      </c>
      <c r="F205" s="11">
        <f t="shared" si="15"/>
        <v>21.327887938686903</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21.387098417483383</v>
      </c>
      <c r="E206" s="11">
        <f>A206-'Mastercurve bestimmen'!$B$2</f>
        <v>71</v>
      </c>
      <c r="F206" s="11">
        <f t="shared" si="15"/>
        <v>21.387098417483383</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21.44299747341546</v>
      </c>
      <c r="E207" s="11">
        <f>A207-'Mastercurve bestimmen'!$B$2</f>
        <v>72</v>
      </c>
      <c r="F207" s="11">
        <f t="shared" si="15"/>
        <v>21.44299747341546</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21.495953042356959</v>
      </c>
      <c r="E208" s="11">
        <f>A208-'Mastercurve bestimmen'!$B$2</f>
        <v>73</v>
      </c>
      <c r="F208" s="11">
        <f t="shared" ref="F208:F215" si="21">B208</f>
        <v>21.495953042356959</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21.546333060181706</v>
      </c>
      <c r="E209" s="11">
        <f>A209-'Mastercurve bestimmen'!$B$2</f>
        <v>74</v>
      </c>
      <c r="F209" s="11">
        <f t="shared" si="21"/>
        <v>21.546333060181706</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21.594505462763511</v>
      </c>
      <c r="E210" s="11">
        <f>A210-'Mastercurve bestimmen'!$B$2</f>
        <v>75</v>
      </c>
      <c r="F210" s="11">
        <f t="shared" si="21"/>
        <v>21.594505462763511</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21.640838185976207</v>
      </c>
      <c r="E211" s="11">
        <f>A211-'Mastercurve bestimmen'!$B$2</f>
        <v>76</v>
      </c>
      <c r="F211" s="11">
        <f t="shared" si="21"/>
        <v>21.640838185976207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21.685699165693617</v>
      </c>
      <c r="E212" s="11">
        <f>A212-'Mastercurve bestimmen'!$B$2</f>
        <v>77</v>
      </c>
      <c r="F212" s="11">
        <f t="shared" si="21"/>
        <v>21.685699165693617</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21.729456337789557</v>
      </c>
      <c r="E213" s="11">
        <f>A213-'Mastercurve bestimmen'!$B$2</f>
        <v>78</v>
      </c>
      <c r="F213" s="11">
        <f t="shared" si="21"/>
        <v>21.729456337789557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21.77247763813785</v>
      </c>
      <c r="E214" s="11">
        <f>A214-'Mastercurve bestimmen'!$B$2</f>
        <v>79</v>
      </c>
      <c r="F214" s="11">
        <f t="shared" si="21"/>
        <v>21.77247763813785</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21.815131002612322</v>
      </c>
      <c r="E215" s="11">
        <f>A215-'Mastercurve bestimmen'!$B$2</f>
        <v>80</v>
      </c>
      <c r="F215" s="11">
        <f t="shared" si="21"/>
        <v>21.815131002612322</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0.34803113258856955</v>
      </c>
      <c r="J217" s="98">
        <v>2.193824349321315E-3</v>
      </c>
      <c r="K217" s="98">
        <v>1.5262488730145906E-5</v>
      </c>
      <c r="L217" s="98">
        <v>-4.7429552739035347E-7</v>
      </c>
      <c r="M217" s="98">
        <v>-1.1560355162567215E-8</v>
      </c>
      <c r="N217" s="98">
        <v>-2.5676243381356204E-12</v>
      </c>
      <c r="O217" s="98">
        <v>1.0697054791324989E-12</v>
      </c>
      <c r="P217" s="98">
        <v>5.0374125225068369E-15</v>
      </c>
    </row>
    <row r="218" spans="1:16" x14ac:dyDescent="0.25">
      <c r="G218" s="11"/>
      <c r="H218" s="11">
        <v>0</v>
      </c>
      <c r="I218" s="11">
        <v>2.5329249621781707E-3</v>
      </c>
      <c r="J218" s="11">
        <v>4.7179640681022161E-5</v>
      </c>
      <c r="K218" s="3">
        <v>2.3971783784983762E-6</v>
      </c>
      <c r="L218" s="3">
        <v>2.1827022175309328E-8</v>
      </c>
      <c r="M218" s="3">
        <v>6.8537258335480623E-10</v>
      </c>
      <c r="N218" s="3">
        <v>3.7661943656330599E-12</v>
      </c>
      <c r="O218" s="11">
        <v>6.056259874125365E-14</v>
      </c>
      <c r="P218" s="11">
        <v>3.6828034984246534E-16</v>
      </c>
    </row>
    <row r="219" spans="1:16" x14ac:dyDescent="0.25">
      <c r="G219" s="11"/>
      <c r="H219" s="11">
        <v>0.99971765879022034</v>
      </c>
      <c r="I219" s="11">
        <v>0.2620430820873032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-21.599717436572547</v>
      </c>
      <c r="G222">
        <f>F15</f>
        <v>-21.592748433065772</v>
      </c>
    </row>
    <row r="223" spans="1:16" x14ac:dyDescent="0.25">
      <c r="E223" s="11">
        <f t="shared" ref="E223:E286" si="25">E16</f>
        <v>-119</v>
      </c>
      <c r="F223" s="11">
        <f t="shared" ref="F223:F286" si="26">$H$217*0+E223*$I$217+E223^2*$J$217+E223^3*$K$217+E223^4*$L$217+E223^5*$M$217+E223^6*$N$217+E223^7*$O$217+E223^8*$P$217</f>
        <v>-21.514953556621833</v>
      </c>
      <c r="G223" s="11">
        <f t="shared" ref="G223:G286" si="27">F16</f>
        <v>-21.469605473318303</v>
      </c>
    </row>
    <row r="224" spans="1:16" x14ac:dyDescent="0.25">
      <c r="E224" s="11">
        <f t="shared" si="25"/>
        <v>-118</v>
      </c>
      <c r="F224" s="11">
        <f t="shared" si="26"/>
        <v>-21.414146134538072</v>
      </c>
      <c r="G224" s="11">
        <f t="shared" si="27"/>
        <v>-21.346549699529156</v>
      </c>
    </row>
    <row r="225" spans="5:7" x14ac:dyDescent="0.25">
      <c r="E225" s="11">
        <f t="shared" si="25"/>
        <v>-117</v>
      </c>
      <c r="F225" s="11">
        <f t="shared" si="26"/>
        <v>-21.300338504480038</v>
      </c>
      <c r="G225" s="11">
        <f t="shared" si="27"/>
        <v>-21.223668297656641</v>
      </c>
    </row>
    <row r="226" spans="5:7" x14ac:dyDescent="0.25">
      <c r="E226" s="11">
        <f t="shared" si="25"/>
        <v>-116</v>
      </c>
      <c r="F226" s="11">
        <f t="shared" si="26"/>
        <v>-21.176270021861654</v>
      </c>
      <c r="G226" s="11">
        <f t="shared" si="27"/>
        <v>-21.101048453659079</v>
      </c>
    </row>
    <row r="227" spans="5:7" x14ac:dyDescent="0.25">
      <c r="E227" s="11">
        <f t="shared" si="25"/>
        <v>-115</v>
      </c>
      <c r="F227" s="11">
        <f t="shared" si="26"/>
        <v>-21.044394935221447</v>
      </c>
      <c r="G227" s="11">
        <f t="shared" si="27"/>
        <v>-20.978777353494785</v>
      </c>
    </row>
    <row r="228" spans="5:7" x14ac:dyDescent="0.25">
      <c r="E228" s="11">
        <f t="shared" si="25"/>
        <v>-114</v>
      </c>
      <c r="F228" s="11">
        <f t="shared" si="26"/>
        <v>-20.90690050049713</v>
      </c>
      <c r="G228" s="11">
        <f t="shared" si="27"/>
        <v>-20.856942183122079</v>
      </c>
    </row>
    <row r="229" spans="5:7" x14ac:dyDescent="0.25">
      <c r="E229" s="11">
        <f t="shared" si="25"/>
        <v>-113</v>
      </c>
      <c r="F229" s="11">
        <f t="shared" si="26"/>
        <v>-20.765724355977909</v>
      </c>
      <c r="G229" s="11">
        <f t="shared" si="27"/>
        <v>-20.735630128499274</v>
      </c>
    </row>
    <row r="230" spans="5:7" x14ac:dyDescent="0.25">
      <c r="E230" s="11">
        <f t="shared" si="25"/>
        <v>-112</v>
      </c>
      <c r="F230" s="11">
        <f t="shared" si="26"/>
        <v>-20.622571176000335</v>
      </c>
      <c r="G230" s="11">
        <f t="shared" si="27"/>
        <v>-20.614928375584697</v>
      </c>
    </row>
    <row r="231" spans="5:7" x14ac:dyDescent="0.25">
      <c r="E231" s="11">
        <f t="shared" si="25"/>
        <v>-111</v>
      </c>
      <c r="F231" s="11">
        <f t="shared" si="26"/>
        <v>-20.478928621253516</v>
      </c>
      <c r="G231" s="11">
        <f t="shared" si="27"/>
        <v>-20.494924110336651</v>
      </c>
    </row>
    <row r="232" spans="5:7" x14ac:dyDescent="0.25">
      <c r="E232" s="11">
        <f t="shared" si="25"/>
        <v>-110</v>
      </c>
      <c r="F232" s="11">
        <f t="shared" si="26"/>
        <v>-20.336082603355294</v>
      </c>
      <c r="G232" s="11">
        <f t="shared" si="27"/>
        <v>-20.375704518713462</v>
      </c>
    </row>
    <row r="233" spans="5:7" x14ac:dyDescent="0.25">
      <c r="E233" s="11">
        <f t="shared" si="25"/>
        <v>-109</v>
      </c>
      <c r="F233" s="11">
        <f t="shared" si="26"/>
        <v>-20.195131881156556</v>
      </c>
      <c r="G233" s="11">
        <f t="shared" si="27"/>
        <v>-20.257356786673448</v>
      </c>
    </row>
    <row r="234" spans="5:7" x14ac:dyDescent="0.25">
      <c r="E234" s="11">
        <f t="shared" si="25"/>
        <v>-108</v>
      </c>
      <c r="F234" s="11">
        <f t="shared" si="26"/>
        <v>-20.057002006030203</v>
      </c>
      <c r="G234" s="11">
        <f t="shared" si="27"/>
        <v>-20.139968100174922</v>
      </c>
    </row>
    <row r="235" spans="5:7" x14ac:dyDescent="0.25">
      <c r="E235" s="11">
        <f t="shared" si="25"/>
        <v>-107</v>
      </c>
      <c r="F235" s="11">
        <f t="shared" si="26"/>
        <v>-19.922458633196555</v>
      </c>
      <c r="G235" s="11">
        <f t="shared" si="27"/>
        <v>-20.023625645176207</v>
      </c>
    </row>
    <row r="236" spans="5:7" x14ac:dyDescent="0.25">
      <c r="E236" s="11">
        <f t="shared" si="25"/>
        <v>-106</v>
      </c>
      <c r="F236" s="11">
        <f t="shared" si="26"/>
        <v>-19.792120215933977</v>
      </c>
      <c r="G236" s="11">
        <f t="shared" si="27"/>
        <v>-19.908416607635615</v>
      </c>
    </row>
    <row r="237" spans="5:7" x14ac:dyDescent="0.25">
      <c r="E237" s="11">
        <f t="shared" si="25"/>
        <v>-105</v>
      </c>
      <c r="F237" s="11">
        <f t="shared" si="26"/>
        <v>-19.666470099320847</v>
      </c>
      <c r="G237" s="11">
        <f t="shared" si="27"/>
        <v>-19.794428173511463</v>
      </c>
    </row>
    <row r="238" spans="5:7" x14ac:dyDescent="0.25">
      <c r="E238" s="11">
        <f t="shared" si="25"/>
        <v>-104</v>
      </c>
      <c r="F238" s="11">
        <f t="shared" si="26"/>
        <v>-19.545868029952089</v>
      </c>
      <c r="G238" s="11">
        <f t="shared" si="27"/>
        <v>-19.681747528762074</v>
      </c>
    </row>
    <row r="239" spans="5:7" x14ac:dyDescent="0.25">
      <c r="E239" s="11">
        <f t="shared" si="25"/>
        <v>-103</v>
      </c>
      <c r="F239" s="11">
        <f t="shared" si="26"/>
        <v>-19.430561097869223</v>
      </c>
      <c r="G239" s="11">
        <f t="shared" si="27"/>
        <v>-19.570461859345762</v>
      </c>
    </row>
    <row r="240" spans="5:7" x14ac:dyDescent="0.25">
      <c r="E240" s="11">
        <f t="shared" si="25"/>
        <v>-102</v>
      </c>
      <c r="F240" s="11">
        <f t="shared" si="26"/>
        <v>-19.320694126741444</v>
      </c>
      <c r="G240" s="11">
        <f t="shared" si="27"/>
        <v>-19.460658351220847</v>
      </c>
    </row>
    <row r="241" spans="5:7" x14ac:dyDescent="0.25">
      <c r="E241" s="11">
        <f t="shared" si="25"/>
        <v>-101</v>
      </c>
      <c r="F241" s="11">
        <f t="shared" si="26"/>
        <v>-19.216319528130448</v>
      </c>
      <c r="G241" s="11">
        <f t="shared" si="27"/>
        <v>-19.352424190345641</v>
      </c>
    </row>
    <row r="242" spans="5:7" x14ac:dyDescent="0.25">
      <c r="E242" s="11">
        <f t="shared" si="25"/>
        <v>-100</v>
      </c>
      <c r="F242" s="11">
        <f t="shared" si="26"/>
        <v>-19.117406635470033</v>
      </c>
      <c r="G242" s="11">
        <f t="shared" si="27"/>
        <v>-19.245846562678462</v>
      </c>
    </row>
    <row r="243" spans="5:7" x14ac:dyDescent="0.25">
      <c r="E243" s="11">
        <f t="shared" si="25"/>
        <v>-99</v>
      </c>
      <c r="F243" s="11">
        <f t="shared" si="26"/>
        <v>-19.023850533187449</v>
      </c>
      <c r="G243" s="11">
        <f t="shared" si="27"/>
        <v>-19.141012654177629</v>
      </c>
    </row>
    <row r="244" spans="5:7" x14ac:dyDescent="0.25">
      <c r="E244" s="11">
        <f t="shared" si="25"/>
        <v>-98</v>
      </c>
      <c r="F244" s="11">
        <f t="shared" si="26"/>
        <v>-18.935480396190627</v>
      </c>
      <c r="G244" s="11">
        <f t="shared" si="27"/>
        <v>-19.038009650801463</v>
      </c>
    </row>
    <row r="245" spans="5:7" x14ac:dyDescent="0.25">
      <c r="E245" s="11">
        <f t="shared" si="25"/>
        <v>-97</v>
      </c>
      <c r="F245" s="11">
        <f t="shared" si="26"/>
        <v>-18.8520673547429</v>
      </c>
      <c r="G245" s="11">
        <f t="shared" si="27"/>
        <v>-18.936924738508274</v>
      </c>
    </row>
    <row r="246" spans="5:7" x14ac:dyDescent="0.25">
      <c r="E246" s="11">
        <f t="shared" si="25"/>
        <v>-96</v>
      </c>
      <c r="F246" s="11">
        <f t="shared" si="26"/>
        <v>-18.77333189954232</v>
      </c>
      <c r="G246" s="11">
        <f t="shared" si="27"/>
        <v>-18.837845103256385</v>
      </c>
    </row>
    <row r="247" spans="5:7" x14ac:dyDescent="0.25">
      <c r="E247" s="11">
        <f t="shared" si="25"/>
        <v>-95</v>
      </c>
      <c r="F247" s="11">
        <f t="shared" si="26"/>
        <v>-18.698950841621389</v>
      </c>
      <c r="G247" s="11">
        <f t="shared" si="27"/>
        <v>-18.740857931004115</v>
      </c>
    </row>
    <row r="248" spans="5:7" x14ac:dyDescent="0.25">
      <c r="E248" s="11">
        <f t="shared" si="25"/>
        <v>-94</v>
      </c>
      <c r="F248" s="11">
        <f t="shared" si="26"/>
        <v>-18.628563841478101</v>
      </c>
      <c r="G248" s="11">
        <f t="shared" si="27"/>
        <v>-18.646050407709772</v>
      </c>
    </row>
    <row r="249" spans="5:7" x14ac:dyDescent="0.25">
      <c r="E249" s="11">
        <f t="shared" si="25"/>
        <v>-93</v>
      </c>
      <c r="F249" s="11">
        <f t="shared" si="26"/>
        <v>-18.561779521647669</v>
      </c>
      <c r="G249" s="11">
        <f t="shared" si="27"/>
        <v>-18.553509719331682</v>
      </c>
    </row>
    <row r="250" spans="5:7" x14ac:dyDescent="0.25">
      <c r="E250" s="11">
        <f t="shared" si="25"/>
        <v>-92</v>
      </c>
      <c r="F250" s="11">
        <f t="shared" si="26"/>
        <v>-18.498181176720042</v>
      </c>
      <c r="G250" s="11">
        <f t="shared" si="27"/>
        <v>-18.463323051828159</v>
      </c>
    </row>
    <row r="251" spans="5:7" x14ac:dyDescent="0.25">
      <c r="E251" s="11">
        <f t="shared" si="25"/>
        <v>-91</v>
      </c>
      <c r="F251" s="11">
        <f t="shared" si="26"/>
        <v>-18.437332094605669</v>
      </c>
      <c r="G251" s="11">
        <f t="shared" si="27"/>
        <v>-18.375577591157523</v>
      </c>
    </row>
    <row r="252" spans="5:7" x14ac:dyDescent="0.25">
      <c r="E252" s="11">
        <f t="shared" si="25"/>
        <v>-90</v>
      </c>
      <c r="F252" s="11">
        <f t="shared" si="26"/>
        <v>-18.37878050264915</v>
      </c>
      <c r="G252" s="11">
        <f t="shared" si="27"/>
        <v>-18.290360523278085</v>
      </c>
    </row>
    <row r="253" spans="5:7" x14ac:dyDescent="0.25">
      <c r="E253" s="11">
        <f t="shared" si="25"/>
        <v>-89</v>
      </c>
      <c r="F253" s="11">
        <f t="shared" si="26"/>
        <v>-18.322064151986545</v>
      </c>
      <c r="G253" s="11">
        <f t="shared" si="27"/>
        <v>-18.207759034148168</v>
      </c>
    </row>
    <row r="254" spans="5:7" x14ac:dyDescent="0.25">
      <c r="E254" s="11">
        <f t="shared" si="25"/>
        <v>-88</v>
      </c>
      <c r="F254" s="11">
        <f t="shared" si="26"/>
        <v>-18.266714553339963</v>
      </c>
      <c r="G254" s="11">
        <f t="shared" si="27"/>
        <v>-18.127860309726088</v>
      </c>
    </row>
    <row r="255" spans="5:7" x14ac:dyDescent="0.25">
      <c r="E255" s="11">
        <f t="shared" si="25"/>
        <v>-87</v>
      </c>
      <c r="F255" s="11">
        <f t="shared" si="26"/>
        <v>-18.212260877238808</v>
      </c>
      <c r="G255" s="11">
        <f t="shared" si="27"/>
        <v>-18.050751535970164</v>
      </c>
    </row>
    <row r="256" spans="5:7" x14ac:dyDescent="0.25">
      <c r="E256" s="11">
        <f t="shared" si="25"/>
        <v>-86</v>
      </c>
      <c r="F256" s="11">
        <f t="shared" si="26"/>
        <v>-18.158233531455242</v>
      </c>
      <c r="G256" s="11">
        <f t="shared" si="27"/>
        <v>-17.97651989883871</v>
      </c>
    </row>
    <row r="257" spans="5:7" x14ac:dyDescent="0.25">
      <c r="E257" s="11">
        <f t="shared" si="25"/>
        <v>-85</v>
      </c>
      <c r="F257" s="11">
        <f t="shared" si="26"/>
        <v>-18.10416742823714</v>
      </c>
      <c r="G257" s="11">
        <f t="shared" si="27"/>
        <v>-17.905252584290043</v>
      </c>
    </row>
    <row r="258" spans="5:7" x14ac:dyDescent="0.25">
      <c r="E258" s="11">
        <f t="shared" si="25"/>
        <v>-84</v>
      </c>
      <c r="F258" s="11">
        <f t="shared" si="26"/>
        <v>-18.04960495371942</v>
      </c>
      <c r="G258" s="11">
        <f t="shared" si="27"/>
        <v>-17.837036778282481</v>
      </c>
    </row>
    <row r="259" spans="5:7" x14ac:dyDescent="0.25">
      <c r="E259" s="11">
        <f t="shared" si="25"/>
        <v>-83</v>
      </c>
      <c r="F259" s="11">
        <f t="shared" si="26"/>
        <v>-17.994098651691409</v>
      </c>
      <c r="G259" s="11">
        <f t="shared" si="27"/>
        <v>-17.771959666774343</v>
      </c>
    </row>
    <row r="260" spans="5:7" x14ac:dyDescent="0.25">
      <c r="E260" s="11">
        <f t="shared" si="25"/>
        <v>-82</v>
      </c>
      <c r="F260" s="11">
        <f t="shared" si="26"/>
        <v>-17.937213633694416</v>
      </c>
      <c r="G260" s="11">
        <f t="shared" si="27"/>
        <v>-17.710108435723946</v>
      </c>
    </row>
    <row r="261" spans="5:7" x14ac:dyDescent="0.25">
      <c r="E261" s="11">
        <f t="shared" si="25"/>
        <v>-81</v>
      </c>
      <c r="F261" s="11">
        <f t="shared" si="26"/>
        <v>-17.878529727221192</v>
      </c>
      <c r="G261" s="11">
        <f t="shared" si="27"/>
        <v>-17.651570271089607</v>
      </c>
    </row>
    <row r="262" spans="5:7" x14ac:dyDescent="0.25">
      <c r="E262" s="11">
        <f t="shared" si="25"/>
        <v>-80</v>
      </c>
      <c r="F262" s="11">
        <f t="shared" si="26"/>
        <v>-17.81764337358528</v>
      </c>
      <c r="G262" s="11">
        <f t="shared" si="27"/>
        <v>-17.596432358829649</v>
      </c>
    </row>
    <row r="263" spans="5:7" x14ac:dyDescent="0.25">
      <c r="E263" s="11">
        <f t="shared" si="25"/>
        <v>-79</v>
      </c>
      <c r="F263" s="11">
        <f t="shared" si="26"/>
        <v>-17.754169286825469</v>
      </c>
      <c r="G263" s="11">
        <f t="shared" si="27"/>
        <v>-17.526767661265556</v>
      </c>
    </row>
    <row r="264" spans="5:7" x14ac:dyDescent="0.25">
      <c r="E264" s="11">
        <f t="shared" si="25"/>
        <v>-78</v>
      </c>
      <c r="F264" s="11">
        <f t="shared" si="26"/>
        <v>-17.687741884807423</v>
      </c>
      <c r="G264" s="11">
        <f t="shared" si="27"/>
        <v>-17.459955294045685</v>
      </c>
    </row>
    <row r="265" spans="5:7" x14ac:dyDescent="0.25">
      <c r="E265" s="11">
        <f t="shared" si="25"/>
        <v>-77</v>
      </c>
      <c r="F265" s="11">
        <f t="shared" si="26"/>
        <v>-17.618016503481368</v>
      </c>
      <c r="G265" s="11">
        <f t="shared" si="27"/>
        <v>-17.395360149181549</v>
      </c>
    </row>
    <row r="266" spans="5:7" x14ac:dyDescent="0.25">
      <c r="E266" s="11">
        <f t="shared" si="25"/>
        <v>-76</v>
      </c>
      <c r="F266" s="11">
        <f t="shared" si="26"/>
        <v>-17.544670405051534</v>
      </c>
      <c r="G266" s="11">
        <f t="shared" si="27"/>
        <v>-17.332347118684673</v>
      </c>
    </row>
    <row r="267" spans="5:7" x14ac:dyDescent="0.25">
      <c r="E267" s="11">
        <f t="shared" si="25"/>
        <v>-75</v>
      </c>
      <c r="F267" s="11">
        <f t="shared" si="26"/>
        <v>-17.467403590610289</v>
      </c>
      <c r="G267" s="11">
        <f t="shared" si="27"/>
        <v>-17.270281094566588</v>
      </c>
    </row>
    <row r="268" spans="5:7" x14ac:dyDescent="0.25">
      <c r="E268" s="11">
        <f t="shared" si="25"/>
        <v>-74</v>
      </c>
      <c r="F268" s="11">
        <f t="shared" si="26"/>
        <v>-17.385939427586301</v>
      </c>
      <c r="G268" s="11">
        <f t="shared" si="27"/>
        <v>-17.208526968838804</v>
      </c>
    </row>
    <row r="269" spans="5:7" x14ac:dyDescent="0.25">
      <c r="E269" s="11">
        <f t="shared" si="25"/>
        <v>-73</v>
      </c>
      <c r="F269" s="11">
        <f t="shared" si="26"/>
        <v>-17.300025102153445</v>
      </c>
      <c r="G269" s="11">
        <f t="shared" si="27"/>
        <v>-17.146449633512852</v>
      </c>
    </row>
    <row r="270" spans="5:7" x14ac:dyDescent="0.25">
      <c r="E270" s="11">
        <f t="shared" si="25"/>
        <v>-72</v>
      </c>
      <c r="F270" s="11">
        <f t="shared" si="26"/>
        <v>-17.209431906543593</v>
      </c>
      <c r="G270" s="11">
        <f t="shared" si="27"/>
        <v>-17.083413980600252</v>
      </c>
    </row>
    <row r="271" spans="5:7" x14ac:dyDescent="0.25">
      <c r="E271" s="11">
        <f t="shared" si="25"/>
        <v>-71</v>
      </c>
      <c r="F271" s="11">
        <f t="shared" si="26"/>
        <v>-17.113955371003748</v>
      </c>
      <c r="G271" s="11">
        <f t="shared" si="27"/>
        <v>-17.018784902112529</v>
      </c>
    </row>
    <row r="272" spans="5:7" x14ac:dyDescent="0.25">
      <c r="E272" s="11">
        <f t="shared" si="25"/>
        <v>-70</v>
      </c>
      <c r="F272" s="11">
        <f t="shared" si="26"/>
        <v>-17.013415249934621</v>
      </c>
      <c r="G272" s="11">
        <f t="shared" si="27"/>
        <v>-16.951927290061207</v>
      </c>
    </row>
    <row r="273" spans="5:7" x14ac:dyDescent="0.25">
      <c r="E273" s="11">
        <f t="shared" si="25"/>
        <v>-69</v>
      </c>
      <c r="F273" s="11">
        <f t="shared" si="26"/>
        <v>-16.907655371544593</v>
      </c>
      <c r="G273" s="11">
        <f t="shared" si="27"/>
        <v>-16.882206036457799</v>
      </c>
    </row>
    <row r="274" spans="5:7" x14ac:dyDescent="0.25">
      <c r="E274" s="11">
        <f t="shared" si="25"/>
        <v>-68</v>
      </c>
      <c r="F274" s="11">
        <f t="shared" si="26"/>
        <v>-16.796543360150189</v>
      </c>
      <c r="G274" s="11">
        <f t="shared" si="27"/>
        <v>-16.808986033313843</v>
      </c>
    </row>
    <row r="275" spans="5:7" x14ac:dyDescent="0.25">
      <c r="E275" s="11">
        <f t="shared" si="25"/>
        <v>-67</v>
      </c>
      <c r="F275" s="11">
        <f t="shared" si="26"/>
        <v>-16.679970240050757</v>
      </c>
      <c r="G275" s="11">
        <f t="shared" si="27"/>
        <v>-16.73163217264085</v>
      </c>
    </row>
    <row r="276" spans="5:7" x14ac:dyDescent="0.25">
      <c r="E276" s="11">
        <f t="shared" si="25"/>
        <v>-66</v>
      </c>
      <c r="F276" s="11">
        <f t="shared" si="26"/>
        <v>-16.55784992970209</v>
      </c>
      <c r="G276" s="11">
        <f t="shared" si="27"/>
        <v>-16.649509346450351</v>
      </c>
    </row>
    <row r="277" spans="5:7" x14ac:dyDescent="0.25">
      <c r="E277" s="11">
        <f t="shared" si="25"/>
        <v>-65</v>
      </c>
      <c r="F277" s="11">
        <f t="shared" si="26"/>
        <v>-16.430118634710688</v>
      </c>
      <c r="G277" s="11">
        <f t="shared" si="27"/>
        <v>-16.561982446753859</v>
      </c>
    </row>
    <row r="278" spans="5:7" x14ac:dyDescent="0.25">
      <c r="E278" s="11">
        <f t="shared" si="25"/>
        <v>-64</v>
      </c>
      <c r="F278" s="11">
        <f t="shared" si="26"/>
        <v>-16.29673414796709</v>
      </c>
      <c r="G278" s="11">
        <f t="shared" si="27"/>
        <v>-16.468416365562909</v>
      </c>
    </row>
    <row r="279" spans="5:7" x14ac:dyDescent="0.25">
      <c r="E279" s="11">
        <f t="shared" si="25"/>
        <v>-63</v>
      </c>
      <c r="F279" s="11">
        <f t="shared" si="26"/>
        <v>-16.157675065033647</v>
      </c>
      <c r="G279" s="11">
        <f t="shared" si="27"/>
        <v>-16.368175994889015</v>
      </c>
    </row>
    <row r="280" spans="5:7" x14ac:dyDescent="0.25">
      <c r="E280" s="11">
        <f t="shared" si="25"/>
        <v>-62</v>
      </c>
      <c r="F280" s="11">
        <f t="shared" si="26"/>
        <v>-16.012939922699164</v>
      </c>
      <c r="G280" s="11">
        <f t="shared" si="27"/>
        <v>-16.260626226743703</v>
      </c>
    </row>
    <row r="281" spans="5:7" x14ac:dyDescent="0.25">
      <c r="E281" s="11">
        <f t="shared" si="25"/>
        <v>-61</v>
      </c>
      <c r="F281" s="11">
        <f t="shared" si="26"/>
        <v>-15.862546268409424</v>
      </c>
      <c r="G281" s="11">
        <f t="shared" si="27"/>
        <v>-16.145131953138499</v>
      </c>
    </row>
    <row r="282" spans="5:7" x14ac:dyDescent="0.25">
      <c r="E282" s="11">
        <f t="shared" si="25"/>
        <v>-60</v>
      </c>
      <c r="F282" s="11">
        <f t="shared" si="26"/>
        <v>-15.706529668079792</v>
      </c>
      <c r="G282" s="11">
        <f t="shared" si="27"/>
        <v>-16.021058066084922</v>
      </c>
    </row>
    <row r="283" spans="5:7" x14ac:dyDescent="0.25">
      <c r="E283" s="11">
        <f t="shared" si="25"/>
        <v>-59</v>
      </c>
      <c r="F283" s="11">
        <f t="shared" si="26"/>
        <v>-15.544942659592774</v>
      </c>
      <c r="G283" s="11">
        <f t="shared" si="27"/>
        <v>-15.887769457594494</v>
      </c>
    </row>
    <row r="284" spans="5:7" x14ac:dyDescent="0.25">
      <c r="E284" s="11">
        <f t="shared" si="25"/>
        <v>-58</v>
      </c>
      <c r="F284" s="11">
        <f t="shared" si="26"/>
        <v>-15.377853659080461</v>
      </c>
      <c r="G284" s="11">
        <f t="shared" si="27"/>
        <v>-15.74463101967874</v>
      </c>
    </row>
    <row r="285" spans="5:7" x14ac:dyDescent="0.25">
      <c r="E285" s="11">
        <f t="shared" si="25"/>
        <v>-57</v>
      </c>
      <c r="F285" s="11">
        <f t="shared" si="26"/>
        <v>-15.205345826888564</v>
      </c>
      <c r="G285" s="11">
        <f t="shared" si="27"/>
        <v>-15.591007644349183</v>
      </c>
    </row>
    <row r="286" spans="5:7" x14ac:dyDescent="0.25">
      <c r="E286" s="11">
        <f t="shared" si="25"/>
        <v>-56</v>
      </c>
      <c r="F286" s="11">
        <f t="shared" si="26"/>
        <v>-15.027515899915665</v>
      </c>
      <c r="G286" s="11">
        <f t="shared" si="27"/>
        <v>-15.426264223617345</v>
      </c>
    </row>
    <row r="287" spans="5:7" x14ac:dyDescent="0.25">
      <c r="E287" s="11">
        <f t="shared" ref="E287:E350" si="28">E80</f>
        <v>-55</v>
      </c>
      <c r="F287" s="11">
        <f t="shared" ref="F287:F350" si="29">$H$217*0+E287*$I$217+E287^2*$J$217+E287^3*$K$217+E287^4*$L$217+E287^5*$M$217+E287^6*$N$217+E287^7*$O$217+E287^8*$P$217</f>
        <v>-14.844472996818261</v>
      </c>
      <c r="G287" s="11">
        <f t="shared" ref="G287:G350" si="30">F80</f>
        <v>-15.249765649494751</v>
      </c>
    </row>
    <row r="288" spans="5:7" x14ac:dyDescent="0.25">
      <c r="E288" s="11">
        <f t="shared" si="28"/>
        <v>-54</v>
      </c>
      <c r="F288" s="11">
        <f t="shared" si="29"/>
        <v>-14.656337402368976</v>
      </c>
      <c r="G288" s="11">
        <f t="shared" si="30"/>
        <v>-15.061094170313098</v>
      </c>
    </row>
    <row r="289" spans="5:7" x14ac:dyDescent="0.25">
      <c r="E289" s="11">
        <f t="shared" si="28"/>
        <v>-53</v>
      </c>
      <c r="F289" s="11">
        <f t="shared" si="29"/>
        <v>-14.463239337052299</v>
      </c>
      <c r="G289" s="11">
        <f t="shared" si="30"/>
        <v>-14.860701459684803</v>
      </c>
    </row>
    <row r="290" spans="5:7" x14ac:dyDescent="0.25">
      <c r="E290" s="11">
        <f t="shared" si="28"/>
        <v>-52</v>
      </c>
      <c r="F290" s="11">
        <f t="shared" si="29"/>
        <v>-14.265317717778986</v>
      </c>
      <c r="G290" s="11">
        <f t="shared" si="30"/>
        <v>-14.649256547542448</v>
      </c>
    </row>
    <row r="291" spans="5:7" x14ac:dyDescent="0.25">
      <c r="E291" s="11">
        <f t="shared" si="28"/>
        <v>-51</v>
      </c>
      <c r="F291" s="11">
        <f t="shared" si="29"/>
        <v>-14.062718915397312</v>
      </c>
      <c r="G291" s="11">
        <f t="shared" si="30"/>
        <v>-14.427428463818627</v>
      </c>
    </row>
    <row r="292" spans="5:7" x14ac:dyDescent="0.25">
      <c r="E292" s="11">
        <f t="shared" si="28"/>
        <v>-50</v>
      </c>
      <c r="F292" s="11">
        <f t="shared" si="29"/>
        <v>-13.855595514476093</v>
      </c>
      <c r="G292" s="11">
        <f t="shared" si="30"/>
        <v>-14.195886238445929</v>
      </c>
    </row>
    <row r="293" spans="5:7" x14ac:dyDescent="0.25">
      <c r="E293" s="11">
        <f t="shared" si="28"/>
        <v>-49</v>
      </c>
      <c r="F293" s="11">
        <f t="shared" si="29"/>
        <v>-13.64410508063135</v>
      </c>
      <c r="G293" s="11">
        <f t="shared" si="30"/>
        <v>-13.955298901356946</v>
      </c>
    </row>
    <row r="294" spans="5:7" x14ac:dyDescent="0.25">
      <c r="E294" s="11">
        <f t="shared" si="28"/>
        <v>-48</v>
      </c>
      <c r="F294" s="11">
        <f t="shared" si="29"/>
        <v>-13.428408940465472</v>
      </c>
      <c r="G294" s="11">
        <f t="shared" si="30"/>
        <v>-13.70633548248426</v>
      </c>
    </row>
    <row r="295" spans="5:7" x14ac:dyDescent="0.25">
      <c r="E295" s="11">
        <f t="shared" si="28"/>
        <v>-47</v>
      </c>
      <c r="F295" s="11">
        <f t="shared" si="29"/>
        <v>-13.208670978984413</v>
      </c>
      <c r="G295" s="11">
        <f t="shared" si="30"/>
        <v>-13.449665011760468</v>
      </c>
    </row>
    <row r="296" spans="5:7" x14ac:dyDescent="0.25">
      <c r="E296" s="11">
        <f t="shared" si="28"/>
        <v>-46</v>
      </c>
      <c r="F296" s="11">
        <f t="shared" si="29"/>
        <v>-12.985056459155595</v>
      </c>
      <c r="G296" s="11">
        <f t="shared" si="30"/>
        <v>-13.185956519118157</v>
      </c>
    </row>
    <row r="297" spans="5:7" x14ac:dyDescent="0.25">
      <c r="E297" s="11">
        <f t="shared" si="28"/>
        <v>-45</v>
      </c>
      <c r="F297" s="11">
        <f t="shared" si="29"/>
        <v>-12.757730868065906</v>
      </c>
      <c r="G297" s="11">
        <f t="shared" si="30"/>
        <v>-12.915879034489913</v>
      </c>
    </row>
    <row r="298" spans="5:7" x14ac:dyDescent="0.25">
      <c r="E298" s="11">
        <f t="shared" si="28"/>
        <v>-44</v>
      </c>
      <c r="F298" s="11">
        <f t="shared" si="29"/>
        <v>-12.526858793936109</v>
      </c>
      <c r="G298" s="11">
        <f t="shared" si="30"/>
        <v>-12.64010158780833</v>
      </c>
    </row>
    <row r="299" spans="5:7" x14ac:dyDescent="0.25">
      <c r="E299" s="11">
        <f t="shared" si="28"/>
        <v>-43</v>
      </c>
      <c r="F299" s="11">
        <f t="shared" si="29"/>
        <v>-12.292602838044935</v>
      </c>
      <c r="G299" s="11">
        <f t="shared" si="30"/>
        <v>-12.359293209005994</v>
      </c>
    </row>
    <row r="300" spans="5:7" x14ac:dyDescent="0.25">
      <c r="E300" s="11">
        <f t="shared" si="28"/>
        <v>-42</v>
      </c>
      <c r="F300" s="11">
        <f t="shared" si="29"/>
        <v>-12.055122565412967</v>
      </c>
      <c r="G300" s="11">
        <f t="shared" si="30"/>
        <v>-12.074122928015495</v>
      </c>
    </row>
    <row r="301" spans="5:7" x14ac:dyDescent="0.25">
      <c r="E301" s="11">
        <f t="shared" si="28"/>
        <v>-41</v>
      </c>
      <c r="F301" s="11">
        <f t="shared" si="29"/>
        <v>-11.814573497893317</v>
      </c>
      <c r="G301" s="11">
        <f t="shared" si="30"/>
        <v>-11.785259774769425</v>
      </c>
    </row>
    <row r="302" spans="5:7" x14ac:dyDescent="0.25">
      <c r="E302" s="11">
        <f t="shared" si="28"/>
        <v>-40</v>
      </c>
      <c r="F302" s="11">
        <f t="shared" si="29"/>
        <v>-11.571106153113009</v>
      </c>
      <c r="G302" s="11">
        <f t="shared" si="30"/>
        <v>-11.493372779200371</v>
      </c>
    </row>
    <row r="303" spans="5:7" x14ac:dyDescent="0.25">
      <c r="E303" s="11">
        <f t="shared" si="28"/>
        <v>-39</v>
      </c>
      <c r="F303" s="11">
        <f t="shared" si="29"/>
        <v>-11.324865132505822</v>
      </c>
      <c r="G303" s="11">
        <f t="shared" si="30"/>
        <v>-11.199130971240924</v>
      </c>
    </row>
    <row r="304" spans="5:7" x14ac:dyDescent="0.25">
      <c r="E304" s="11">
        <f t="shared" si="28"/>
        <v>-38</v>
      </c>
      <c r="F304" s="11">
        <f t="shared" si="29"/>
        <v>-11.075988261474381</v>
      </c>
      <c r="G304" s="11">
        <f t="shared" si="30"/>
        <v>-10.903203380823673</v>
      </c>
    </row>
    <row r="305" spans="5:7" x14ac:dyDescent="0.25">
      <c r="E305" s="11">
        <f t="shared" si="28"/>
        <v>-37</v>
      </c>
      <c r="F305" s="11">
        <f t="shared" si="29"/>
        <v>-10.824605784515935</v>
      </c>
      <c r="G305" s="11">
        <f t="shared" si="30"/>
        <v>-10.606259037881204</v>
      </c>
    </row>
    <row r="306" spans="5:7" x14ac:dyDescent="0.25">
      <c r="E306" s="11">
        <f t="shared" si="28"/>
        <v>-36</v>
      </c>
      <c r="F306" s="11">
        <f t="shared" si="29"/>
        <v>-10.570839617943426</v>
      </c>
      <c r="G306" s="11">
        <f t="shared" si="30"/>
        <v>-10.308966972346109</v>
      </c>
    </row>
    <row r="307" spans="5:7" x14ac:dyDescent="0.25">
      <c r="E307" s="11">
        <f t="shared" si="28"/>
        <v>-35</v>
      </c>
      <c r="F307" s="11">
        <f t="shared" si="29"/>
        <v>-10.314802662630088</v>
      </c>
      <c r="G307" s="11">
        <f t="shared" si="30"/>
        <v>-10.01199621415098</v>
      </c>
    </row>
    <row r="308" spans="5:7" x14ac:dyDescent="0.25">
      <c r="E308" s="11">
        <f t="shared" si="28"/>
        <v>-34</v>
      </c>
      <c r="F308" s="11">
        <f t="shared" si="29"/>
        <v>-10.056598179002938</v>
      </c>
      <c r="G308" s="11">
        <f t="shared" si="30"/>
        <v>-9.7160157932284026</v>
      </c>
    </row>
    <row r="309" spans="5:7" x14ac:dyDescent="0.25">
      <c r="E309" s="11">
        <f t="shared" si="28"/>
        <v>-33</v>
      </c>
      <c r="F309" s="11">
        <f t="shared" si="29"/>
        <v>-9.7963192263072187</v>
      </c>
      <c r="G309" s="11">
        <f t="shared" si="30"/>
        <v>-9.4216947395109667</v>
      </c>
    </row>
    <row r="310" spans="5:7" x14ac:dyDescent="0.25">
      <c r="E310" s="11">
        <f t="shared" si="28"/>
        <v>-32</v>
      </c>
      <c r="F310" s="11">
        <f t="shared" si="29"/>
        <v>-9.5340481679608615</v>
      </c>
      <c r="G310" s="11">
        <f t="shared" si="30"/>
        <v>-9.1297020829312636</v>
      </c>
    </row>
    <row r="311" spans="5:7" x14ac:dyDescent="0.25">
      <c r="E311" s="11">
        <f t="shared" si="28"/>
        <v>-31</v>
      </c>
      <c r="F311" s="11">
        <f t="shared" si="29"/>
        <v>-9.2698562446149264</v>
      </c>
      <c r="G311" s="11">
        <f t="shared" si="30"/>
        <v>-8.8407068534218798</v>
      </c>
    </row>
    <row r="312" spans="5:7" x14ac:dyDescent="0.25">
      <c r="E312" s="11">
        <f t="shared" si="28"/>
        <v>-30</v>
      </c>
      <c r="F312" s="11">
        <f t="shared" si="29"/>
        <v>-9.0038032163327575</v>
      </c>
      <c r="G312" s="11">
        <f t="shared" si="30"/>
        <v>-8.555378080915407</v>
      </c>
    </row>
    <row r="313" spans="5:7" x14ac:dyDescent="0.25">
      <c r="E313" s="11">
        <f t="shared" si="28"/>
        <v>-29</v>
      </c>
      <c r="F313" s="11">
        <f t="shared" si="29"/>
        <v>-8.7359370750976577</v>
      </c>
      <c r="G313" s="11">
        <f t="shared" si="30"/>
        <v>-8.2741989136452592</v>
      </c>
    </row>
    <row r="314" spans="5:7" x14ac:dyDescent="0.25">
      <c r="E314" s="11">
        <f t="shared" si="28"/>
        <v>-28</v>
      </c>
      <c r="F314" s="11">
        <f t="shared" si="29"/>
        <v>-8.4662938286556084</v>
      </c>
      <c r="G314" s="11">
        <f t="shared" si="30"/>
        <v>-7.9969089730481526</v>
      </c>
    </row>
    <row r="315" spans="5:7" x14ac:dyDescent="0.25">
      <c r="E315" s="11">
        <f t="shared" si="28"/>
        <v>-27</v>
      </c>
      <c r="F315" s="11">
        <f t="shared" si="29"/>
        <v>-8.194897356496579</v>
      </c>
      <c r="G315" s="11">
        <f t="shared" si="30"/>
        <v>-7.7230619988616276</v>
      </c>
    </row>
    <row r="316" spans="5:7" x14ac:dyDescent="0.25">
      <c r="E316" s="11">
        <f t="shared" si="28"/>
        <v>-26</v>
      </c>
      <c r="F316" s="11">
        <f t="shared" si="29"/>
        <v>-7.9217593385747547</v>
      </c>
      <c r="G316" s="11">
        <f t="shared" si="30"/>
        <v>-7.4522117308232243</v>
      </c>
    </row>
    <row r="317" spans="5:7" x14ac:dyDescent="0.25">
      <c r="E317" s="11">
        <f t="shared" si="28"/>
        <v>-25</v>
      </c>
      <c r="F317" s="11">
        <f t="shared" si="29"/>
        <v>-7.6468792571650512</v>
      </c>
      <c r="G317" s="11">
        <f t="shared" si="30"/>
        <v>-7.1839119086704857</v>
      </c>
    </row>
    <row r="318" spans="5:7" x14ac:dyDescent="0.25">
      <c r="E318" s="11">
        <f t="shared" si="28"/>
        <v>-24</v>
      </c>
      <c r="F318" s="11">
        <f t="shared" si="29"/>
        <v>-7.3702444720499658</v>
      </c>
      <c r="G318" s="11">
        <f t="shared" si="30"/>
        <v>-6.9177162721409511</v>
      </c>
    </row>
    <row r="319" spans="5:7" x14ac:dyDescent="0.25">
      <c r="E319" s="11">
        <f t="shared" si="28"/>
        <v>-23</v>
      </c>
      <c r="F319" s="11">
        <f t="shared" si="29"/>
        <v>-7.091830369027905</v>
      </c>
      <c r="G319" s="11">
        <f t="shared" si="30"/>
        <v>-6.6531785609721616</v>
      </c>
    </row>
    <row r="320" spans="5:7" x14ac:dyDescent="0.25">
      <c r="E320" s="11">
        <f t="shared" si="28"/>
        <v>-22</v>
      </c>
      <c r="F320" s="11">
        <f t="shared" si="29"/>
        <v>-6.8116005815309331</v>
      </c>
      <c r="G320" s="11">
        <f t="shared" si="30"/>
        <v>-6.3898525149016594</v>
      </c>
    </row>
    <row r="321" spans="5:7" x14ac:dyDescent="0.25">
      <c r="E321" s="11">
        <f t="shared" si="28"/>
        <v>-21</v>
      </c>
      <c r="F321" s="11">
        <f t="shared" si="29"/>
        <v>-6.529507284936745</v>
      </c>
      <c r="G321" s="11">
        <f t="shared" si="30"/>
        <v>-6.1272918736669846</v>
      </c>
    </row>
    <row r="322" spans="5:7" x14ac:dyDescent="0.25">
      <c r="E322" s="11">
        <f t="shared" si="28"/>
        <v>-20</v>
      </c>
      <c r="F322" s="11">
        <f t="shared" si="29"/>
        <v>-6.2454915629566283</v>
      </c>
      <c r="G322" s="11">
        <f t="shared" si="30"/>
        <v>-5.8650503770056774</v>
      </c>
    </row>
    <row r="323" spans="5:7" x14ac:dyDescent="0.25">
      <c r="E323" s="11">
        <f t="shared" si="28"/>
        <v>-19</v>
      </c>
      <c r="F323" s="11">
        <f t="shared" si="29"/>
        <v>-5.959483845278033</v>
      </c>
      <c r="G323" s="11">
        <f t="shared" si="30"/>
        <v>-5.60268176465528</v>
      </c>
    </row>
    <row r="324" spans="5:7" x14ac:dyDescent="0.25">
      <c r="E324" s="11">
        <f t="shared" si="28"/>
        <v>-18</v>
      </c>
      <c r="F324" s="11">
        <f t="shared" si="29"/>
        <v>-5.6714044154372631</v>
      </c>
      <c r="G324" s="11">
        <f t="shared" si="30"/>
        <v>-5.3397397763533316</v>
      </c>
    </row>
    <row r="325" spans="5:7" x14ac:dyDescent="0.25">
      <c r="E325" s="11">
        <f t="shared" si="28"/>
        <v>-17</v>
      </c>
      <c r="F325" s="11">
        <f t="shared" si="29"/>
        <v>-5.3811639876946904</v>
      </c>
      <c r="G325" s="11">
        <f t="shared" si="30"/>
        <v>-5.075778151837377</v>
      </c>
    </row>
    <row r="326" spans="5:7" x14ac:dyDescent="0.25">
      <c r="E326" s="11">
        <f t="shared" si="28"/>
        <v>-16</v>
      </c>
      <c r="F326" s="11">
        <f t="shared" si="29"/>
        <v>-5.0886643514818077</v>
      </c>
      <c r="G326" s="11">
        <f t="shared" si="30"/>
        <v>-4.8103506308449537</v>
      </c>
    </row>
    <row r="327" spans="5:7" x14ac:dyDescent="0.25">
      <c r="E327" s="11">
        <f t="shared" si="28"/>
        <v>-15</v>
      </c>
      <c r="F327" s="11">
        <f t="shared" si="29"/>
        <v>-4.7937990817862994</v>
      </c>
      <c r="G327" s="11">
        <f t="shared" si="30"/>
        <v>-4.5430109531136038</v>
      </c>
    </row>
    <row r="328" spans="5:7" x14ac:dyDescent="0.25">
      <c r="E328" s="11">
        <f t="shared" si="28"/>
        <v>-14</v>
      </c>
      <c r="F328" s="11">
        <f t="shared" si="29"/>
        <v>-4.4964543136382114</v>
      </c>
      <c r="G328" s="11">
        <f t="shared" si="30"/>
        <v>-4.2733128583808675</v>
      </c>
    </row>
    <row r="329" spans="5:7" x14ac:dyDescent="0.25">
      <c r="E329" s="11">
        <f t="shared" si="28"/>
        <v>-13</v>
      </c>
      <c r="F329" s="11">
        <f t="shared" si="29"/>
        <v>-4.1965095786572109</v>
      </c>
      <c r="G329" s="11">
        <f t="shared" si="30"/>
        <v>-4.0008100863842859</v>
      </c>
    </row>
    <row r="330" spans="5:7" x14ac:dyDescent="0.25">
      <c r="E330" s="11">
        <f t="shared" si="28"/>
        <v>-12</v>
      </c>
      <c r="F330" s="11">
        <f t="shared" si="29"/>
        <v>-3.893838701417768</v>
      </c>
      <c r="G330" s="11">
        <f t="shared" si="30"/>
        <v>-3.725056376861402</v>
      </c>
    </row>
    <row r="331" spans="5:7" x14ac:dyDescent="0.25">
      <c r="E331" s="11">
        <f t="shared" si="28"/>
        <v>-11</v>
      </c>
      <c r="F331" s="11">
        <f t="shared" si="29"/>
        <v>-3.588310753186065</v>
      </c>
      <c r="G331" s="11">
        <f t="shared" si="30"/>
        <v>-3.4456054695497551</v>
      </c>
    </row>
    <row r="332" spans="5:7" x14ac:dyDescent="0.25">
      <c r="E332" s="11">
        <f t="shared" si="28"/>
        <v>-10</v>
      </c>
      <c r="F332" s="11">
        <f t="shared" si="29"/>
        <v>-3.279791060379234</v>
      </c>
      <c r="G332" s="11">
        <f t="shared" si="30"/>
        <v>-3.162011104186885</v>
      </c>
    </row>
    <row r="333" spans="5:7" x14ac:dyDescent="0.25">
      <c r="E333" s="11">
        <f t="shared" si="28"/>
        <v>-9</v>
      </c>
      <c r="F333" s="11">
        <f t="shared" si="29"/>
        <v>-2.9681422648944902</v>
      </c>
      <c r="G333" s="11">
        <f t="shared" si="30"/>
        <v>-2.8738270205103347</v>
      </c>
    </row>
    <row r="334" spans="5:7" x14ac:dyDescent="0.25">
      <c r="E334" s="11">
        <f t="shared" si="28"/>
        <v>-8</v>
      </c>
      <c r="F334" s="11">
        <f t="shared" si="29"/>
        <v>-2.6532254332525924</v>
      </c>
      <c r="G334" s="11">
        <f t="shared" si="30"/>
        <v>-2.5806069582576443</v>
      </c>
    </row>
    <row r="335" spans="5:7" x14ac:dyDescent="0.25">
      <c r="E335" s="11">
        <f t="shared" si="28"/>
        <v>-7</v>
      </c>
      <c r="F335" s="11">
        <f t="shared" si="29"/>
        <v>-2.3349012112969438</v>
      </c>
      <c r="G335" s="11">
        <f t="shared" si="30"/>
        <v>-2.281904657166355</v>
      </c>
    </row>
    <row r="336" spans="5:7" x14ac:dyDescent="0.25">
      <c r="E336" s="11">
        <f t="shared" si="28"/>
        <v>-6</v>
      </c>
      <c r="F336" s="11">
        <f t="shared" si="29"/>
        <v>-2.0130310209865505</v>
      </c>
      <c r="G336" s="11">
        <f t="shared" si="30"/>
        <v>-1.977273856974008</v>
      </c>
    </row>
    <row r="337" spans="5:7" x14ac:dyDescent="0.25">
      <c r="E337" s="11">
        <f t="shared" si="28"/>
        <v>-5</v>
      </c>
      <c r="F337" s="11">
        <f t="shared" si="29"/>
        <v>-1.6874782956179506</v>
      </c>
      <c r="G337" s="11">
        <f t="shared" si="30"/>
        <v>-1.6662682974181435</v>
      </c>
    </row>
    <row r="338" spans="5:7" x14ac:dyDescent="0.25">
      <c r="E338" s="11">
        <f t="shared" si="28"/>
        <v>-4</v>
      </c>
      <c r="F338" s="11">
        <f t="shared" si="29"/>
        <v>-1.3581097496081038</v>
      </c>
      <c r="G338" s="11">
        <f t="shared" si="30"/>
        <v>-1.3484417182363031</v>
      </c>
    </row>
    <row r="339" spans="5:7" x14ac:dyDescent="0.25">
      <c r="E339" s="11">
        <f t="shared" si="28"/>
        <v>-3</v>
      </c>
      <c r="F339" s="11">
        <f t="shared" si="29"/>
        <v>-1.0247966787671383</v>
      </c>
      <c r="G339" s="11">
        <f t="shared" si="30"/>
        <v>-1.0233478591660279</v>
      </c>
    </row>
    <row r="340" spans="5:7" x14ac:dyDescent="0.25">
      <c r="E340" s="11">
        <f t="shared" si="28"/>
        <v>-2</v>
      </c>
      <c r="F340" s="11">
        <f t="shared" si="29"/>
        <v>-0.68741628678672873</v>
      </c>
      <c r="G340" s="11">
        <f t="shared" si="30"/>
        <v>-0.69054045994485791</v>
      </c>
    </row>
    <row r="341" spans="5:7" x14ac:dyDescent="0.25">
      <c r="E341" s="11">
        <f t="shared" si="28"/>
        <v>-1</v>
      </c>
      <c r="F341" s="11">
        <f t="shared" si="29"/>
        <v>-0.34585303346678287</v>
      </c>
      <c r="G341" s="11">
        <f t="shared" si="30"/>
        <v>-0.3495732603103352</v>
      </c>
    </row>
    <row r="342" spans="5:7" x14ac:dyDescent="0.25">
      <c r="E342" s="11">
        <f t="shared" si="28"/>
        <v>0</v>
      </c>
      <c r="F342" s="11">
        <f t="shared" si="29"/>
        <v>0</v>
      </c>
      <c r="G342" s="11">
        <f t="shared" si="30"/>
        <v>0</v>
      </c>
    </row>
    <row r="343" spans="5:7" x14ac:dyDescent="0.25">
      <c r="E343" s="11">
        <f t="shared" si="28"/>
        <v>1</v>
      </c>
      <c r="F343" s="11">
        <f t="shared" si="29"/>
        <v>0.35023973356924554</v>
      </c>
      <c r="G343" s="11">
        <f t="shared" si="30"/>
        <v>0.35846998203255909</v>
      </c>
    </row>
    <row r="344" spans="5:7" x14ac:dyDescent="0.25">
      <c r="E344" s="11">
        <f t="shared" si="28"/>
        <v>2</v>
      </c>
      <c r="F344" s="11">
        <f t="shared" si="29"/>
        <v>0.70495170379834582</v>
      </c>
      <c r="G344" s="11">
        <f t="shared" si="30"/>
        <v>0.72550494996956627</v>
      </c>
    </row>
    <row r="345" spans="5:7" x14ac:dyDescent="0.25">
      <c r="E345" s="11">
        <f t="shared" si="28"/>
        <v>3</v>
      </c>
      <c r="F345" s="11">
        <f t="shared" si="29"/>
        <v>1.0642086775019894</v>
      </c>
      <c r="G345" s="11">
        <f t="shared" si="30"/>
        <v>1.1006175687771975</v>
      </c>
    </row>
    <row r="346" spans="5:7" x14ac:dyDescent="0.25">
      <c r="E346" s="11">
        <f t="shared" si="28"/>
        <v>4</v>
      </c>
      <c r="F346" s="11">
        <f t="shared" si="29"/>
        <v>1.4280692691026475</v>
      </c>
      <c r="G346" s="11">
        <f t="shared" si="30"/>
        <v>1.4833205034216301</v>
      </c>
    </row>
    <row r="347" spans="5:7" x14ac:dyDescent="0.25">
      <c r="E347" s="11">
        <f t="shared" si="28"/>
        <v>5</v>
      </c>
      <c r="F347" s="11">
        <f t="shared" si="29"/>
        <v>1.7965765673719964</v>
      </c>
      <c r="G347" s="11">
        <f t="shared" si="30"/>
        <v>1.87312641886904</v>
      </c>
    </row>
    <row r="348" spans="5:7" x14ac:dyDescent="0.25">
      <c r="E348" s="11">
        <f t="shared" si="28"/>
        <v>6</v>
      </c>
      <c r="F348" s="11">
        <f t="shared" si="29"/>
        <v>2.1697567774623647</v>
      </c>
      <c r="G348" s="11">
        <f t="shared" si="30"/>
        <v>2.269547980085604</v>
      </c>
    </row>
    <row r="349" spans="5:7" x14ac:dyDescent="0.25">
      <c r="E349" s="11">
        <f t="shared" si="28"/>
        <v>7</v>
      </c>
      <c r="F349" s="11">
        <f t="shared" si="29"/>
        <v>2.5476178843303945</v>
      </c>
      <c r="G349" s="11">
        <f t="shared" si="30"/>
        <v>2.6720978520374987</v>
      </c>
    </row>
    <row r="350" spans="5:7" x14ac:dyDescent="0.25">
      <c r="E350" s="11">
        <f t="shared" si="28"/>
        <v>8</v>
      </c>
      <c r="F350" s="11">
        <f t="shared" si="29"/>
        <v>2.9301483438582259</v>
      </c>
      <c r="G350" s="11">
        <f t="shared" si="30"/>
        <v>3.0802886996909007</v>
      </c>
    </row>
    <row r="351" spans="5:7" x14ac:dyDescent="0.25">
      <c r="E351" s="11">
        <f t="shared" ref="E351:E414" si="31">E144</f>
        <v>9</v>
      </c>
      <c r="F351" s="11">
        <f t="shared" ref="F351:F414" si="32">$H$217*0+E351*$I$217+E351^2*$J$217+E351^3*$K$217+E351^4*$L$217+E351^5*$M$217+E351^6*$N$217+E351^7*$O$217+E351^8*$P$217</f>
        <v>3.3173158081806178</v>
      </c>
      <c r="G351" s="11">
        <f t="shared" ref="G351:G414" si="33">F144</f>
        <v>3.493633188011986</v>
      </c>
    </row>
    <row r="352" spans="5:7" x14ac:dyDescent="0.25">
      <c r="E352" s="11">
        <f t="shared" si="31"/>
        <v>10</v>
      </c>
      <c r="F352" s="11">
        <f t="shared" si="32"/>
        <v>3.709065891929519</v>
      </c>
      <c r="G352" s="11">
        <f t="shared" si="33"/>
        <v>3.9116439819669324</v>
      </c>
    </row>
    <row r="353" spans="5:7" x14ac:dyDescent="0.25">
      <c r="E353" s="11">
        <f t="shared" si="31"/>
        <v>11</v>
      </c>
      <c r="F353" s="11">
        <f t="shared" si="32"/>
        <v>4.105320986310721</v>
      </c>
      <c r="G353" s="11">
        <f t="shared" si="33"/>
        <v>4.3338337465219148</v>
      </c>
    </row>
    <row r="354" spans="5:7" x14ac:dyDescent="0.25">
      <c r="E354" s="11">
        <f t="shared" si="31"/>
        <v>12</v>
      </c>
      <c r="F354" s="11">
        <f t="shared" si="32"/>
        <v>4.5059791281303507</v>
      </c>
      <c r="G354" s="11">
        <f t="shared" si="33"/>
        <v>4.7597151466431109</v>
      </c>
    </row>
    <row r="355" spans="5:7" x14ac:dyDescent="0.25">
      <c r="E355" s="11">
        <f t="shared" si="31"/>
        <v>13</v>
      </c>
      <c r="F355" s="11">
        <f t="shared" si="32"/>
        <v>4.9109129310919934</v>
      </c>
      <c r="G355" s="11">
        <f t="shared" si="33"/>
        <v>5.1888008472966982</v>
      </c>
    </row>
    <row r="356" spans="5:7" x14ac:dyDescent="0.25">
      <c r="E356" s="11">
        <f t="shared" si="31"/>
        <v>14</v>
      </c>
      <c r="F356" s="11">
        <f t="shared" si="32"/>
        <v>5.3199685868884776</v>
      </c>
      <c r="G356" s="11">
        <f t="shared" si="33"/>
        <v>5.6206035134488506</v>
      </c>
    </row>
    <row r="357" spans="5:7" x14ac:dyDescent="0.25">
      <c r="E357" s="11">
        <f t="shared" si="31"/>
        <v>15</v>
      </c>
      <c r="F357" s="11">
        <f t="shared" si="32"/>
        <v>5.732964943815321</v>
      </c>
      <c r="G357" s="11">
        <f t="shared" si="33"/>
        <v>6.054635810065748</v>
      </c>
    </row>
    <row r="358" spans="5:7" x14ac:dyDescent="0.25">
      <c r="E358" s="11">
        <f t="shared" si="31"/>
        <v>16</v>
      </c>
      <c r="F358" s="11">
        <f t="shared" si="32"/>
        <v>6.1496926708360382</v>
      </c>
      <c r="G358" s="11">
        <f t="shared" si="33"/>
        <v>6.4904104021135636</v>
      </c>
    </row>
    <row r="359" spans="5:7" x14ac:dyDescent="0.25">
      <c r="E359" s="11">
        <f t="shared" si="31"/>
        <v>17</v>
      </c>
      <c r="F359" s="11">
        <f t="shared" si="32"/>
        <v>6.5699135152325914</v>
      </c>
      <c r="G359" s="11">
        <f t="shared" si="33"/>
        <v>6.9274399545584755</v>
      </c>
    </row>
    <row r="360" spans="5:7" x14ac:dyDescent="0.25">
      <c r="E360" s="11">
        <f t="shared" si="31"/>
        <v>18</v>
      </c>
      <c r="F360" s="11">
        <f t="shared" si="32"/>
        <v>6.9933596621773484</v>
      </c>
      <c r="G360" s="11">
        <f t="shared" si="33"/>
        <v>7.3652371323666603</v>
      </c>
    </row>
    <row r="361" spans="5:7" x14ac:dyDescent="0.25">
      <c r="E361" s="11">
        <f t="shared" si="31"/>
        <v>19</v>
      </c>
      <c r="F361" s="11">
        <f t="shared" si="32"/>
        <v>7.4197332047660964</v>
      </c>
      <c r="G361" s="11">
        <f t="shared" si="33"/>
        <v>7.8033146005042964</v>
      </c>
    </row>
    <row r="362" spans="5:7" x14ac:dyDescent="0.25">
      <c r="E362" s="11">
        <f t="shared" si="31"/>
        <v>20</v>
      </c>
      <c r="F362" s="11">
        <f t="shared" si="32"/>
        <v>7.8487057332546382</v>
      </c>
      <c r="G362" s="11">
        <f t="shared" si="33"/>
        <v>8.2411850239375575</v>
      </c>
    </row>
    <row r="363" spans="5:7" x14ac:dyDescent="0.25">
      <c r="E363" s="11">
        <f t="shared" si="31"/>
        <v>21</v>
      </c>
      <c r="F363" s="11">
        <f t="shared" si="32"/>
        <v>8.2799180524447689</v>
      </c>
      <c r="G363" s="11">
        <f t="shared" si="33"/>
        <v>8.6783610676326202</v>
      </c>
    </row>
    <row r="364" spans="5:7" x14ac:dyDescent="0.25">
      <c r="E364" s="11">
        <f t="shared" si="31"/>
        <v>22</v>
      </c>
      <c r="F364" s="11">
        <f t="shared" si="32"/>
        <v>8.7129800363683945</v>
      </c>
      <c r="G364" s="11">
        <f t="shared" si="33"/>
        <v>9.1143553965556627</v>
      </c>
    </row>
    <row r="365" spans="5:7" x14ac:dyDescent="0.25">
      <c r="E365" s="11">
        <f t="shared" si="31"/>
        <v>23</v>
      </c>
      <c r="F365" s="11">
        <f t="shared" si="32"/>
        <v>9.1474706296217487</v>
      </c>
      <c r="G365" s="11">
        <f t="shared" si="33"/>
        <v>9.5486806756728608</v>
      </c>
    </row>
    <row r="366" spans="5:7" x14ac:dyDescent="0.25">
      <c r="E366" s="11">
        <f t="shared" si="31"/>
        <v>24</v>
      </c>
      <c r="F366" s="11">
        <f t="shared" si="32"/>
        <v>9.5829380049047579</v>
      </c>
      <c r="G366" s="11">
        <f t="shared" si="33"/>
        <v>9.9808495699503901</v>
      </c>
    </row>
    <row r="367" spans="5:7" x14ac:dyDescent="0.25">
      <c r="E367" s="11">
        <f t="shared" si="31"/>
        <v>25</v>
      </c>
      <c r="F367" s="11">
        <f t="shared" si="32"/>
        <v>10.018899886523661</v>
      </c>
      <c r="G367" s="11">
        <f t="shared" si="33"/>
        <v>10.410374744354431</v>
      </c>
    </row>
    <row r="368" spans="5:7" x14ac:dyDescent="0.25">
      <c r="E368" s="11">
        <f t="shared" si="31"/>
        <v>26</v>
      </c>
      <c r="F368" s="11">
        <f t="shared" si="32"/>
        <v>10.454844049818188</v>
      </c>
      <c r="G368" s="11">
        <f t="shared" si="33"/>
        <v>10.836768863851155</v>
      </c>
    </row>
    <row r="369" spans="5:7" x14ac:dyDescent="0.25">
      <c r="E369" s="11">
        <f t="shared" si="31"/>
        <v>27</v>
      </c>
      <c r="F369" s="11">
        <f t="shared" si="32"/>
        <v>10.890229006677632</v>
      </c>
      <c r="G369" s="11">
        <f t="shared" si="33"/>
        <v>11.259544593406742</v>
      </c>
    </row>
    <row r="370" spans="5:7" x14ac:dyDescent="0.25">
      <c r="E370" s="11">
        <f t="shared" si="31"/>
        <v>28</v>
      </c>
      <c r="F370" s="11">
        <f t="shared" si="32"/>
        <v>11.324484887513307</v>
      </c>
      <c r="G370" s="11">
        <f t="shared" si="33"/>
        <v>11.678214597987367</v>
      </c>
    </row>
    <row r="371" spans="5:7" x14ac:dyDescent="0.25">
      <c r="E371" s="11">
        <f t="shared" si="31"/>
        <v>29</v>
      </c>
      <c r="F371" s="11">
        <f t="shared" si="32"/>
        <v>11.757014530257953</v>
      </c>
      <c r="G371" s="11">
        <f t="shared" si="33"/>
        <v>12.092291542559208</v>
      </c>
    </row>
    <row r="372" spans="5:7" x14ac:dyDescent="0.25">
      <c r="E372" s="11">
        <f t="shared" si="31"/>
        <v>30</v>
      </c>
      <c r="F372" s="11">
        <f t="shared" si="32"/>
        <v>12.187194787165785</v>
      </c>
      <c r="G372" s="11">
        <f t="shared" si="33"/>
        <v>12.501288092088442</v>
      </c>
    </row>
    <row r="373" spans="5:7" x14ac:dyDescent="0.25">
      <c r="E373" s="11">
        <f t="shared" si="31"/>
        <v>31</v>
      </c>
      <c r="F373" s="11">
        <f t="shared" si="32"/>
        <v>12.614378060389994</v>
      </c>
      <c r="G373" s="11">
        <f t="shared" si="33"/>
        <v>12.904716911541243</v>
      </c>
    </row>
    <row r="374" spans="5:7" x14ac:dyDescent="0.25">
      <c r="E374" s="11">
        <f t="shared" si="31"/>
        <v>32</v>
      </c>
      <c r="F374" s="11">
        <f t="shared" si="32"/>
        <v>13.037894077517628</v>
      </c>
      <c r="G374" s="11">
        <f t="shared" si="33"/>
        <v>13.302090665883787</v>
      </c>
    </row>
    <row r="375" spans="5:7" x14ac:dyDescent="0.25">
      <c r="E375" s="11">
        <f t="shared" si="31"/>
        <v>33</v>
      </c>
      <c r="F375" s="11">
        <f t="shared" si="32"/>
        <v>13.457051918444773</v>
      </c>
      <c r="G375" s="11">
        <f t="shared" si="33"/>
        <v>13.692922020082253</v>
      </c>
    </row>
    <row r="376" spans="5:7" x14ac:dyDescent="0.25">
      <c r="E376" s="11">
        <f t="shared" si="31"/>
        <v>34</v>
      </c>
      <c r="F376" s="11">
        <f t="shared" si="32"/>
        <v>13.871142305178301</v>
      </c>
      <c r="G376" s="11">
        <f t="shared" si="33"/>
        <v>14.076723639102818</v>
      </c>
    </row>
    <row r="377" spans="5:7" x14ac:dyDescent="0.25">
      <c r="E377" s="11">
        <f t="shared" si="31"/>
        <v>35</v>
      </c>
      <c r="F377" s="11">
        <f t="shared" si="32"/>
        <v>14.279440166353313</v>
      </c>
      <c r="G377" s="11">
        <f t="shared" si="33"/>
        <v>14.453008187911657</v>
      </c>
    </row>
    <row r="378" spans="5:7" x14ac:dyDescent="0.25">
      <c r="E378" s="11">
        <f t="shared" si="31"/>
        <v>36</v>
      </c>
      <c r="F378" s="11">
        <f t="shared" si="32"/>
        <v>14.681207488458622</v>
      </c>
      <c r="G378" s="11">
        <f t="shared" si="33"/>
        <v>14.821288331474948</v>
      </c>
    </row>
    <row r="379" spans="5:7" x14ac:dyDescent="0.25">
      <c r="E379" s="11">
        <f t="shared" si="31"/>
        <v>37</v>
      </c>
      <c r="F379" s="11">
        <f t="shared" si="32"/>
        <v>15.075696465965802</v>
      </c>
      <c r="G379" s="11">
        <f t="shared" si="33"/>
        <v>15.181076734758864</v>
      </c>
    </row>
    <row r="380" spans="5:7" x14ac:dyDescent="0.25">
      <c r="E380" s="11">
        <f t="shared" si="31"/>
        <v>38</v>
      </c>
      <c r="F380" s="11">
        <f t="shared" si="32"/>
        <v>15.462152962760275</v>
      </c>
      <c r="G380" s="11">
        <f t="shared" si="33"/>
        <v>15.53188606272959</v>
      </c>
    </row>
    <row r="381" spans="5:7" x14ac:dyDescent="0.25">
      <c r="E381" s="11">
        <f t="shared" si="31"/>
        <v>39</v>
      </c>
      <c r="F381" s="11">
        <f t="shared" si="32"/>
        <v>15.839820297476153</v>
      </c>
      <c r="G381" s="11">
        <f t="shared" si="33"/>
        <v>15.873228980353295</v>
      </c>
    </row>
    <row r="382" spans="5:7" x14ac:dyDescent="0.25">
      <c r="E382" s="11">
        <f t="shared" si="31"/>
        <v>40</v>
      </c>
      <c r="F382" s="11">
        <f t="shared" si="32"/>
        <v>16.207943365539606</v>
      </c>
      <c r="G382" s="11">
        <f t="shared" si="33"/>
        <v>16.204618152596154</v>
      </c>
    </row>
    <row r="383" spans="5:7" x14ac:dyDescent="0.25">
      <c r="E383" s="11">
        <f t="shared" si="31"/>
        <v>41</v>
      </c>
      <c r="F383" s="11">
        <f t="shared" si="32"/>
        <v>16.565773110928561</v>
      </c>
      <c r="G383" s="11">
        <f t="shared" si="33"/>
        <v>16.525566244424351</v>
      </c>
    </row>
    <row r="384" spans="5:7" x14ac:dyDescent="0.25">
      <c r="E384" s="11">
        <f t="shared" si="31"/>
        <v>42</v>
      </c>
      <c r="F384" s="11">
        <f t="shared" si="32"/>
        <v>16.912571360859918</v>
      </c>
      <c r="G384" s="11">
        <f t="shared" si="33"/>
        <v>16.835585920804053</v>
      </c>
    </row>
    <row r="385" spans="5:7" x14ac:dyDescent="0.25">
      <c r="E385" s="11">
        <f t="shared" si="31"/>
        <v>43</v>
      </c>
      <c r="F385" s="11">
        <f t="shared" si="32"/>
        <v>17.247616036818119</v>
      </c>
      <c r="G385" s="11">
        <f t="shared" si="33"/>
        <v>17.134189846701446</v>
      </c>
    </row>
    <row r="386" spans="5:7" x14ac:dyDescent="0.25">
      <c r="E386" s="11">
        <f t="shared" si="31"/>
        <v>44</v>
      </c>
      <c r="F386" s="11">
        <f t="shared" si="32"/>
        <v>17.570206755542536</v>
      </c>
      <c r="G386" s="11">
        <f t="shared" si="33"/>
        <v>17.420890687082704</v>
      </c>
    </row>
    <row r="387" spans="5:7" x14ac:dyDescent="0.25">
      <c r="E387" s="11">
        <f t="shared" si="31"/>
        <v>45</v>
      </c>
      <c r="F387" s="11">
        <f t="shared" si="32"/>
        <v>17.879670833793764</v>
      </c>
      <c r="G387" s="11">
        <f t="shared" si="33"/>
        <v>17.695201106913999</v>
      </c>
    </row>
    <row r="388" spans="5:7" x14ac:dyDescent="0.25">
      <c r="E388" s="11">
        <f t="shared" si="31"/>
        <v>46</v>
      </c>
      <c r="F388" s="11">
        <f t="shared" si="32"/>
        <v>18.175369710922446</v>
      </c>
      <c r="G388" s="11">
        <f t="shared" si="33"/>
        <v>17.956776316312791</v>
      </c>
    </row>
    <row r="389" spans="5:7" x14ac:dyDescent="0.25">
      <c r="E389" s="11">
        <f t="shared" si="31"/>
        <v>47</v>
      </c>
      <c r="F389" s="11">
        <f t="shared" si="32"/>
        <v>18.456705803467027</v>
      </c>
      <c r="G389" s="11">
        <f t="shared" si="33"/>
        <v>18.205841706001614</v>
      </c>
    </row>
    <row r="390" spans="5:7" x14ac:dyDescent="0.25">
      <c r="E390" s="11">
        <f t="shared" si="31"/>
        <v>48</v>
      </c>
      <c r="F390" s="11">
        <f t="shared" si="32"/>
        <v>18.723129806210153</v>
      </c>
      <c r="G390" s="11">
        <f t="shared" si="33"/>
        <v>18.442765211854301</v>
      </c>
    </row>
    <row r="391" spans="5:7" x14ac:dyDescent="0.25">
      <c r="E391" s="11">
        <f t="shared" si="31"/>
        <v>49</v>
      </c>
      <c r="F391" s="11">
        <f t="shared" si="32"/>
        <v>18.974148454326425</v>
      </c>
      <c r="G391" s="11">
        <f t="shared" si="33"/>
        <v>18.667914769744673</v>
      </c>
    </row>
    <row r="392" spans="5:7" x14ac:dyDescent="0.25">
      <c r="E392" s="11">
        <f t="shared" si="31"/>
        <v>50</v>
      </c>
      <c r="F392" s="11">
        <f t="shared" si="32"/>
        <v>19.209332761457361</v>
      </c>
      <c r="G392" s="11">
        <f t="shared" si="33"/>
        <v>18.881658315546552</v>
      </c>
    </row>
    <row r="393" spans="5:7" x14ac:dyDescent="0.25">
      <c r="E393" s="11">
        <f t="shared" si="31"/>
        <v>51</v>
      </c>
      <c r="F393" s="11">
        <f t="shared" si="32"/>
        <v>19.4283267487526</v>
      </c>
      <c r="G393" s="11">
        <f t="shared" si="33"/>
        <v>19.08436378513376</v>
      </c>
    </row>
    <row r="394" spans="5:7" x14ac:dyDescent="0.25">
      <c r="E394" s="11">
        <f t="shared" si="31"/>
        <v>52</v>
      </c>
      <c r="F394" s="11">
        <f t="shared" si="32"/>
        <v>19.630856680119372</v>
      </c>
      <c r="G394" s="11">
        <f t="shared" si="33"/>
        <v>19.276399114380116</v>
      </c>
    </row>
    <row r="395" spans="5:7" x14ac:dyDescent="0.25">
      <c r="E395" s="11">
        <f t="shared" si="31"/>
        <v>53</v>
      </c>
      <c r="F395" s="11">
        <f t="shared" si="32"/>
        <v>19.816740819125403</v>
      </c>
      <c r="G395" s="11">
        <f t="shared" si="33"/>
        <v>19.458132239159447</v>
      </c>
    </row>
    <row r="396" spans="5:7" x14ac:dyDescent="0.25">
      <c r="E396" s="11">
        <f t="shared" si="31"/>
        <v>54</v>
      </c>
      <c r="F396" s="11">
        <f t="shared" si="32"/>
        <v>19.985899723203552</v>
      </c>
      <c r="G396" s="11">
        <f t="shared" si="33"/>
        <v>19.629931095345576</v>
      </c>
    </row>
    <row r="397" spans="5:7" x14ac:dyDescent="0.25">
      <c r="E397" s="11">
        <f t="shared" si="31"/>
        <v>55</v>
      </c>
      <c r="F397" s="11">
        <f t="shared" si="32"/>
        <v>20.138367091009727</v>
      </c>
      <c r="G397" s="11">
        <f t="shared" si="33"/>
        <v>19.792163618812321</v>
      </c>
    </row>
    <row r="398" spans="5:7" x14ac:dyDescent="0.25">
      <c r="E398" s="11">
        <f t="shared" si="31"/>
        <v>56</v>
      </c>
      <c r="F398" s="11">
        <f t="shared" si="32"/>
        <v>20.274301178988267</v>
      </c>
      <c r="G398" s="11">
        <f t="shared" si="33"/>
        <v>19.945197745433507</v>
      </c>
    </row>
    <row r="399" spans="5:7" x14ac:dyDescent="0.25">
      <c r="E399" s="11">
        <f t="shared" si="31"/>
        <v>57</v>
      </c>
      <c r="F399" s="11">
        <f t="shared" si="32"/>
        <v>20.393996803402793</v>
      </c>
      <c r="G399" s="11">
        <f t="shared" si="33"/>
        <v>20.089401411082957</v>
      </c>
    </row>
    <row r="400" spans="5:7" x14ac:dyDescent="0.25">
      <c r="E400" s="11">
        <f t="shared" si="31"/>
        <v>58</v>
      </c>
      <c r="F400" s="11">
        <f t="shared" si="32"/>
        <v>20.497897944292966</v>
      </c>
      <c r="G400" s="11">
        <f t="shared" si="33"/>
        <v>20.225142551634491</v>
      </c>
    </row>
    <row r="401" spans="5:7" x14ac:dyDescent="0.25">
      <c r="E401" s="11">
        <f t="shared" si="31"/>
        <v>59</v>
      </c>
      <c r="F401" s="11">
        <f t="shared" si="32"/>
        <v>20.586610968021137</v>
      </c>
      <c r="G401" s="11">
        <f t="shared" si="33"/>
        <v>20.352789102961935</v>
      </c>
    </row>
    <row r="402" spans="5:7" x14ac:dyDescent="0.25">
      <c r="E402" s="11">
        <f t="shared" si="31"/>
        <v>60</v>
      </c>
      <c r="F402" s="11">
        <f t="shared" si="32"/>
        <v>20.660918485275754</v>
      </c>
      <c r="G402" s="11">
        <f t="shared" si="33"/>
        <v>20.472709000939105</v>
      </c>
    </row>
    <row r="403" spans="5:7" x14ac:dyDescent="0.25">
      <c r="E403" s="11">
        <f t="shared" si="31"/>
        <v>61</v>
      </c>
      <c r="F403" s="11">
        <f t="shared" si="32"/>
        <v>20.721793861601657</v>
      </c>
      <c r="G403" s="11">
        <f t="shared" si="33"/>
        <v>20.585270181439832</v>
      </c>
    </row>
    <row r="404" spans="5:7" x14ac:dyDescent="0.25">
      <c r="E404" s="11">
        <f t="shared" si="31"/>
        <v>62</v>
      </c>
      <c r="F404" s="11">
        <f t="shared" si="32"/>
        <v>20.770416397730308</v>
      </c>
      <c r="G404" s="11">
        <f t="shared" si="33"/>
        <v>20.69084058033793</v>
      </c>
    </row>
    <row r="405" spans="5:7" x14ac:dyDescent="0.25">
      <c r="E405" s="11">
        <f t="shared" si="31"/>
        <v>63</v>
      </c>
      <c r="F405" s="11">
        <f t="shared" si="32"/>
        <v>20.80818719718642</v>
      </c>
      <c r="G405" s="11">
        <f t="shared" si="33"/>
        <v>20.789788133507223</v>
      </c>
    </row>
    <row r="406" spans="5:7" x14ac:dyDescent="0.25">
      <c r="E406" s="11">
        <f t="shared" si="31"/>
        <v>64</v>
      </c>
      <c r="F406" s="11">
        <f t="shared" si="32"/>
        <v>20.836745738850116</v>
      </c>
      <c r="G406" s="11">
        <f t="shared" si="33"/>
        <v>20.882480776821541</v>
      </c>
    </row>
    <row r="407" spans="5:7" x14ac:dyDescent="0.25">
      <c r="E407" s="11">
        <f t="shared" si="31"/>
        <v>65</v>
      </c>
      <c r="F407" s="11">
        <f t="shared" si="32"/>
        <v>20.857987172357241</v>
      </c>
      <c r="G407" s="11">
        <f t="shared" si="33"/>
        <v>20.969286446154698</v>
      </c>
    </row>
    <row r="408" spans="5:7" x14ac:dyDescent="0.25">
      <c r="E408" s="11">
        <f t="shared" si="31"/>
        <v>66</v>
      </c>
      <c r="F408" s="11">
        <f t="shared" si="32"/>
        <v>20.874080354423523</v>
      </c>
      <c r="G408" s="11">
        <f t="shared" si="33"/>
        <v>21.05057307738052</v>
      </c>
    </row>
    <row r="409" spans="5:7" x14ac:dyDescent="0.25">
      <c r="E409" s="11">
        <f t="shared" si="31"/>
        <v>67</v>
      </c>
      <c r="F409" s="11">
        <f t="shared" si="32"/>
        <v>20.88748664438106</v>
      </c>
      <c r="G409" s="11">
        <f t="shared" si="33"/>
        <v>21.12670860637283</v>
      </c>
    </row>
    <row r="410" spans="5:7" x14ac:dyDescent="0.25">
      <c r="E410" s="11">
        <f t="shared" si="31"/>
        <v>68</v>
      </c>
      <c r="F410" s="11">
        <f t="shared" si="32"/>
        <v>20.900979477419071</v>
      </c>
      <c r="G410" s="11">
        <f t="shared" si="33"/>
        <v>21.198060969005446</v>
      </c>
    </row>
    <row r="411" spans="5:7" x14ac:dyDescent="0.25">
      <c r="E411" s="11">
        <f t="shared" si="31"/>
        <v>69</v>
      </c>
      <c r="F411" s="11">
        <f t="shared" si="32"/>
        <v>20.917664734223891</v>
      </c>
      <c r="G411" s="11">
        <f t="shared" si="33"/>
        <v>21.264998101152202</v>
      </c>
    </row>
    <row r="412" spans="5:7" x14ac:dyDescent="0.25">
      <c r="E412" s="11">
        <f t="shared" si="31"/>
        <v>70</v>
      </c>
      <c r="F412" s="11">
        <f t="shared" si="32"/>
        <v>20.94100192591608</v>
      </c>
      <c r="G412" s="11">
        <f t="shared" si="33"/>
        <v>21.327887938686903</v>
      </c>
    </row>
    <row r="413" spans="5:7" x14ac:dyDescent="0.25">
      <c r="E413" s="11">
        <f t="shared" si="31"/>
        <v>71</v>
      </c>
      <c r="F413" s="11">
        <f t="shared" si="32"/>
        <v>20.974826213385924</v>
      </c>
      <c r="G413" s="11">
        <f t="shared" si="33"/>
        <v>21.387098417483383</v>
      </c>
    </row>
    <row r="414" spans="5:7" x14ac:dyDescent="0.25">
      <c r="E414" s="11">
        <f t="shared" si="31"/>
        <v>72</v>
      </c>
      <c r="F414" s="11">
        <f t="shared" si="32"/>
        <v>21.023371280331503</v>
      </c>
      <c r="G414" s="11">
        <f t="shared" si="33"/>
        <v>21.44299747341546</v>
      </c>
    </row>
    <row r="415" spans="5:7" x14ac:dyDescent="0.25">
      <c r="E415" s="11">
        <f t="shared" ref="E415:E422" si="34">E208</f>
        <v>73</v>
      </c>
      <c r="F415" s="11">
        <f t="shared" ref="F415:F422" si="35">$H$217*0+E415*$I$217+E415^2*$J$217+E415^3*$K$217+E415^4*$L$217+E415^5*$M$217+E415^6*$N$217+E415^7*$O$217+E415^8*$P$217</f>
        <v>21.091293079506698</v>
      </c>
      <c r="G415" s="11">
        <f t="shared" ref="G415:G422" si="36">F208</f>
        <v>21.495953042356959</v>
      </c>
    </row>
    <row r="416" spans="5:7" x14ac:dyDescent="0.25">
      <c r="E416" s="11">
        <f t="shared" si="34"/>
        <v>74</v>
      </c>
      <c r="F416" s="11">
        <f t="shared" si="35"/>
        <v>21.183694471889627</v>
      </c>
      <c r="G416" s="11">
        <f t="shared" si="36"/>
        <v>21.546333060181706</v>
      </c>
    </row>
    <row r="417" spans="5:7" x14ac:dyDescent="0.25">
      <c r="E417" s="11">
        <f t="shared" si="34"/>
        <v>75</v>
      </c>
      <c r="F417" s="11">
        <f t="shared" si="35"/>
        <v>21.306150778684998</v>
      </c>
      <c r="G417" s="11">
        <f t="shared" si="36"/>
        <v>21.594505462763511</v>
      </c>
    </row>
    <row r="418" spans="5:7" x14ac:dyDescent="0.25">
      <c r="E418" s="11">
        <f t="shared" si="34"/>
        <v>76</v>
      </c>
      <c r="F418" s="11">
        <f t="shared" si="35"/>
        <v>21.464736266277178</v>
      </c>
      <c r="G418" s="11">
        <f t="shared" si="36"/>
        <v>21.640838185976207</v>
      </c>
    </row>
    <row r="419" spans="5:7" x14ac:dyDescent="0.25">
      <c r="E419" s="11">
        <f t="shared" si="34"/>
        <v>77</v>
      </c>
      <c r="F419" s="11">
        <f t="shared" si="35"/>
        <v>21.666051584453648</v>
      </c>
      <c r="G419" s="11">
        <f t="shared" si="36"/>
        <v>21.685699165693617</v>
      </c>
    </row>
    <row r="420" spans="5:7" x14ac:dyDescent="0.25">
      <c r="E420" s="11">
        <f t="shared" si="34"/>
        <v>78</v>
      </c>
      <c r="F420" s="11">
        <f t="shared" si="35"/>
        <v>21.917252178421833</v>
      </c>
      <c r="G420" s="11">
        <f t="shared" si="36"/>
        <v>21.729456337789557</v>
      </c>
    </row>
    <row r="421" spans="5:7" x14ac:dyDescent="0.25">
      <c r="E421" s="11">
        <f t="shared" si="34"/>
        <v>79</v>
      </c>
      <c r="F421" s="11">
        <f t="shared" si="35"/>
        <v>22.226077695345303</v>
      </c>
      <c r="G421" s="11">
        <f t="shared" si="36"/>
        <v>21.77247763813785</v>
      </c>
    </row>
    <row r="422" spans="5:7" x14ac:dyDescent="0.25">
      <c r="E422" s="11">
        <f t="shared" si="34"/>
        <v>80</v>
      </c>
      <c r="F422" s="11">
        <f t="shared" si="35"/>
        <v>22.600882406328324</v>
      </c>
      <c r="G422" s="11">
        <f t="shared" si="36"/>
        <v>21.815131002612322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2022-01-12T06:42:13Z</dcterms:modified>
</cp:coreProperties>
</file>