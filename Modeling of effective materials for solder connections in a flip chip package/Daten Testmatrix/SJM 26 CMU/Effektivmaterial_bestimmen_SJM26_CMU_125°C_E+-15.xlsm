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H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29" i="43"/>
  <c r="D411" i="43"/>
  <c r="D416" i="43"/>
  <c r="D423" i="43"/>
  <c r="D428" i="43"/>
  <c r="D404" i="43"/>
  <c r="D434" i="43"/>
  <c r="D407" i="43"/>
  <c r="D414" i="43"/>
  <c r="D409" i="43"/>
  <c r="D421" i="43"/>
  <c r="D418" i="43"/>
  <c r="D427" i="43"/>
  <c r="D410" i="43"/>
  <c r="D412" i="43"/>
  <c r="D420" i="43"/>
  <c r="D422" i="43"/>
  <c r="D431" i="43"/>
  <c r="D405" i="43"/>
  <c r="D408" i="43"/>
  <c r="D413" i="43"/>
  <c r="D415" i="43"/>
  <c r="D424" i="43"/>
  <c r="D433" i="43"/>
  <c r="D425" i="43"/>
  <c r="D432" i="43"/>
  <c r="B405" i="43"/>
  <c r="B424" i="43"/>
  <c r="B425" i="43"/>
  <c r="B413" i="43"/>
  <c r="B414" i="43"/>
  <c r="B408" i="43"/>
  <c r="B407" i="43"/>
  <c r="B431" i="43"/>
  <c r="B427" i="43"/>
  <c r="B420" i="43"/>
  <c r="B415" i="43"/>
  <c r="B417" i="43"/>
  <c r="B409" i="43"/>
  <c r="B406" i="43"/>
  <c r="B429" i="43"/>
  <c r="B411" i="43"/>
  <c r="B416" i="43"/>
  <c r="B432" i="43"/>
  <c r="B404" i="43"/>
  <c r="B428" i="43"/>
  <c r="B410" i="43"/>
  <c r="B434" i="43"/>
  <c r="B430" i="43"/>
  <c r="B423" i="43"/>
  <c r="B418" i="43"/>
  <c r="B419" i="43"/>
  <c r="B433" i="43"/>
  <c r="B426" i="43"/>
  <c r="B421" i="43"/>
  <c r="B422" i="43"/>
  <c r="B412" i="43"/>
  <c r="H434" i="43"/>
  <c r="H418" i="43"/>
  <c r="H415" i="43"/>
  <c r="H410" i="43"/>
  <c r="H424" i="43"/>
  <c r="H405" i="43"/>
  <c r="H428" i="43"/>
  <c r="H408" i="43"/>
  <c r="H417" i="43"/>
  <c r="H414" i="43"/>
  <c r="H430" i="43"/>
  <c r="H423" i="43"/>
  <c r="H416" i="43"/>
  <c r="H404" i="43"/>
  <c r="H413" i="43"/>
  <c r="H427" i="43"/>
  <c r="H409" i="43"/>
  <c r="H422" i="43"/>
  <c r="H421" i="43"/>
  <c r="H433" i="43"/>
  <c r="H426" i="43"/>
  <c r="H420" i="43"/>
  <c r="H432" i="43"/>
  <c r="H412" i="43"/>
  <c r="H425" i="43"/>
  <c r="H407" i="43"/>
  <c r="H419" i="43"/>
  <c r="H431" i="43"/>
  <c r="H411" i="43"/>
  <c r="H429" i="43"/>
  <c r="H406" i="43"/>
  <c r="G410" i="43"/>
  <c r="G413" i="43"/>
  <c r="G431" i="43"/>
  <c r="G416" i="43"/>
  <c r="G434" i="43"/>
  <c r="G428" i="43"/>
  <c r="G429" i="43"/>
  <c r="G411" i="43"/>
  <c r="G427" i="43"/>
  <c r="G409" i="43"/>
  <c r="G405" i="43"/>
  <c r="G407" i="43"/>
  <c r="G420" i="43"/>
  <c r="G404" i="43"/>
  <c r="G422" i="43"/>
  <c r="G426" i="43"/>
  <c r="G408" i="43"/>
  <c r="G424" i="43"/>
  <c r="G406" i="43"/>
  <c r="G419" i="43"/>
  <c r="G423" i="43"/>
  <c r="G421" i="43"/>
  <c r="G418" i="43"/>
  <c r="G417" i="43"/>
  <c r="G433" i="43"/>
  <c r="G415" i="43"/>
  <c r="G425" i="43"/>
  <c r="G432" i="43"/>
  <c r="G414" i="43"/>
  <c r="G430" i="43"/>
  <c r="G412" i="43"/>
  <c r="C406" i="43"/>
  <c r="C423" i="43"/>
  <c r="C428" i="43"/>
  <c r="C404" i="43"/>
  <c r="C434" i="43"/>
  <c r="C425" i="43"/>
  <c r="C432" i="43"/>
  <c r="C410" i="43"/>
  <c r="C412" i="43"/>
  <c r="C422" i="43"/>
  <c r="C409" i="43"/>
  <c r="C421" i="43"/>
  <c r="C427" i="43"/>
  <c r="C420" i="43"/>
  <c r="C431" i="43"/>
  <c r="C407" i="43"/>
  <c r="C414" i="43"/>
  <c r="C418" i="43"/>
  <c r="C429" i="43"/>
  <c r="C405" i="43"/>
  <c r="C408" i="43"/>
  <c r="C415" i="43"/>
  <c r="C424" i="43"/>
  <c r="C433" i="43"/>
  <c r="C417" i="43"/>
  <c r="C419" i="43"/>
  <c r="C426" i="43"/>
  <c r="C430" i="43"/>
  <c r="C413" i="43"/>
  <c r="C411" i="43"/>
  <c r="C416" i="43"/>
  <c r="E405" i="43"/>
  <c r="E408" i="43"/>
  <c r="E413" i="43"/>
  <c r="E415" i="43"/>
  <c r="E424" i="43"/>
  <c r="E433" i="43"/>
  <c r="E404" i="43"/>
  <c r="E406" i="43"/>
  <c r="E417" i="43"/>
  <c r="E419" i="43"/>
  <c r="E426" i="43"/>
  <c r="E430" i="43"/>
  <c r="E423" i="43"/>
  <c r="E411" i="43"/>
  <c r="E416" i="43"/>
  <c r="E434" i="43"/>
  <c r="E418" i="43"/>
  <c r="E425" i="43"/>
  <c r="E427" i="43"/>
  <c r="E429" i="43"/>
  <c r="E410" i="43"/>
  <c r="E420" i="43"/>
  <c r="E422" i="43"/>
  <c r="E431" i="43"/>
  <c r="E432" i="43"/>
  <c r="E412" i="43"/>
  <c r="E421" i="43"/>
  <c r="E409" i="43"/>
  <c r="E407" i="43"/>
  <c r="E428" i="43"/>
  <c r="E414" i="43"/>
  <c r="F415" i="43"/>
  <c r="F410" i="43"/>
  <c r="F420" i="43"/>
  <c r="F431" i="43"/>
  <c r="F419" i="43"/>
  <c r="F416" i="43"/>
  <c r="F404" i="43"/>
  <c r="F424" i="43"/>
  <c r="F430" i="43"/>
  <c r="F423" i="43"/>
  <c r="F434" i="43"/>
  <c r="F427" i="43"/>
  <c r="F421" i="43"/>
  <c r="F425" i="43"/>
  <c r="F426" i="43"/>
  <c r="F412" i="43"/>
  <c r="F432" i="43"/>
  <c r="F418" i="43"/>
  <c r="F409" i="43"/>
  <c r="F417" i="43"/>
  <c r="F414" i="43"/>
  <c r="F422" i="43"/>
  <c r="F411" i="43"/>
  <c r="F405"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<sst xmlns="http://schemas.openxmlformats.org/spreadsheetml/2006/main" count="311" uniqueCount="164">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</sst>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0177952"/>
        <c:axId val="450180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1779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0696"/>
        <c:crossesAt val="-8.0000000000000019E-3"/>
        <c:crossBetween val="midCat"/>
      </c:valAx>
      <c:valAx>
        <c:axId val="450180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77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0182656"/>
        <c:axId val="4501830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1826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3048"/>
        <c:crosses val="autoZero"/>
        <c:crossBetween val="midCat"/>
      </c:valAx>
      <c:valAx>
        <c:axId val="45018304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265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0181480"/>
        <c:axId val="4501838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0181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3832"/>
        <c:crosses val="autoZero"/>
        <c:crossBetween val="midCat"/>
        <c:majorUnit val="10000"/>
      </c:valAx>
      <c:valAx>
        <c:axId val="45018383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148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0178736"/>
        <c:axId val="4501791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178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179128"/>
        <c:crosses val="autoZero"/>
        <c:crossBetween val="midCat"/>
        <c:majorUnit val="10000"/>
      </c:valAx>
      <c:valAx>
        <c:axId val="4501791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17873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2269648"/>
        <c:axId val="452273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2696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3960"/>
        <c:crosses val="autoZero"/>
        <c:crossBetween val="midCat"/>
        <c:majorUnit val="10000"/>
      </c:valAx>
      <c:valAx>
        <c:axId val="45227396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6964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1.0521973258682779E-2</c:v>
                </c:pt>
                <c:pt idx="1">
                  <c:v>1.4147394312824184E-2</c:v>
                </c:pt>
                <c:pt idx="2">
                  <c:v>3.8901494185599856E-3</c:v>
                </c:pt>
                <c:pt idx="3">
                  <c:v>6.6546269246405302E-4</c:v>
                </c:pt>
                <c:pt idx="4">
                  <c:v>9.5767772395947664E-5</c:v>
                </c:pt>
                <c:pt idx="5">
                  <c:v>1.2739301855914441E-5</c:v>
                </c:pt>
                <c:pt idx="6">
                  <c:v>4.4626752994204806E-6</c:v>
                </c:pt>
                <c:pt idx="7">
                  <c:v>3.9962388665525943E-6</c:v>
                </c:pt>
                <c:pt idx="8">
                  <c:v>1.8261558258427228E-5</c:v>
                </c:pt>
                <c:pt idx="9">
                  <c:v>4.2532353997338833E-5</c:v>
                </c:pt>
                <c:pt idx="10">
                  <c:v>9.3949208081180803E-5</c:v>
                </c:pt>
                <c:pt idx="11">
                  <c:v>1.8849342868239855E-4</c:v>
                </c:pt>
                <c:pt idx="12">
                  <c:v>3.6062106832736914E-4</c:v>
                </c:pt>
                <c:pt idx="13">
                  <c:v>6.8829307370810123E-4</c:v>
                </c:pt>
                <c:pt idx="14">
                  <c:v>1.1555912202739591E-3</c:v>
                </c:pt>
                <c:pt idx="15">
                  <c:v>1.2173382416769236E-3</c:v>
                </c:pt>
                <c:pt idx="16">
                  <c:v>8.7824931582175698E-4</c:v>
                </c:pt>
                <c:pt idx="17">
                  <c:v>5.789387699407072E-4</c:v>
                </c:pt>
                <c:pt idx="18">
                  <c:v>2.2938196967141661E-4</c:v>
                </c:pt>
                <c:pt idx="19">
                  <c:v>5.8431429740873722E-5</c:v>
                </c:pt>
                <c:pt idx="20">
                  <c:v>1.2093676357162029E-5</c:v>
                </c:pt>
                <c:pt idx="21">
                  <c:v>1.4747016190989212E-4</c:v>
                </c:pt>
                <c:pt idx="22">
                  <c:v>3.9926190889335687E-5</c:v>
                </c:pt>
                <c:pt idx="23">
                  <c:v>3.2032689788177653E-4</c:v>
                </c:pt>
                <c:pt idx="24">
                  <c:v>7.1439473321104237E-4</c:v>
                </c:pt>
                <c:pt idx="25">
                  <c:v>9.4953473664812057E-4</c:v>
                </c:pt>
                <c:pt idx="26">
                  <c:v>1.042656632686036E-3</c:v>
                </c:pt>
                <c:pt idx="27">
                  <c:v>1.1383369444778798E-3</c:v>
                </c:pt>
                <c:pt idx="28">
                  <c:v>1.5940929347353634E-3</c:v>
                </c:pt>
                <c:pt idx="29">
                  <c:v>2.3355324112787866E-3</c:v>
                </c:pt>
                <c:pt idx="30">
                  <c:v>1.395082660615335E-3</c:v>
                </c:pt>
              </c:numCache>
            </c:numRef>
          </c:yVal>
          <c:smooth val="1"/>
        </c:ser>
        <c:dLbls>
          <c:showLegendKey val="0"/>
          <c:showVal val="0"/>
          <c:showCatName val="0"/>
          <c:showSerName val="0"/>
          <c:showPercent val="0"/>
          <c:showBubbleSize val="0"/>
        </c:dLbls>
        <c:axId val="452268472"/>
        <c:axId val="452270432"/>
      </c:scatterChart>
      <c:valAx>
        <c:axId val="452268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0432"/>
        <c:crossesAt val="-1.5000000000000005E-3"/>
        <c:crossBetween val="midCat"/>
      </c:valAx>
      <c:valAx>
        <c:axId val="452270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6847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6516.4469225264729</c:v>
                </c:pt>
                <c:pt idx="1">
                  <c:v>6423.9974874995569</c:v>
                </c:pt>
                <c:pt idx="2">
                  <c:v>6073.990476188339</c:v>
                </c:pt>
                <c:pt idx="3">
                  <c:v>5829.2184828173622</c:v>
                </c:pt>
                <c:pt idx="4">
                  <c:v>5546.4019386953169</c:v>
                </c:pt>
                <c:pt idx="5">
                  <c:v>5257.3994920691212</c:v>
                </c:pt>
                <c:pt idx="6">
                  <c:v>4943.3796337935546</c:v>
                </c:pt>
                <c:pt idx="7">
                  <c:v>4573.24797655569</c:v>
                </c:pt>
                <c:pt idx="8">
                  <c:v>4079.3485035930439</c:v>
                </c:pt>
                <c:pt idx="9">
                  <c:v>3459.1026447144718</c:v>
                </c:pt>
                <c:pt idx="10">
                  <c:v>2703.168447692939</c:v>
                </c:pt>
                <c:pt idx="11">
                  <c:v>1831.8065085360536</c:v>
                </c:pt>
                <c:pt idx="12">
                  <c:v>1105.538384266328</c:v>
                </c:pt>
                <c:pt idx="13">
                  <c:v>630.48443636103787</c:v>
                </c:pt>
                <c:pt idx="14">
                  <c:v>354.69679895787669</c:v>
                </c:pt>
                <c:pt idx="15">
                  <c:v>247.92134197930326</c:v>
                </c:pt>
                <c:pt idx="16">
                  <c:v>214.76321678212645</c:v>
                </c:pt>
                <c:pt idx="17">
                  <c:v>185.61838898293024</c:v>
                </c:pt>
                <c:pt idx="18">
                  <c:v>158.13284670123574</c:v>
                </c:pt>
                <c:pt idx="19">
                  <c:v>132.47181236466025</c:v>
                </c:pt>
                <c:pt idx="20">
                  <c:v>115.64230396158021</c:v>
                </c:pt>
                <c:pt idx="21">
                  <c:v>105.68785562967224</c:v>
                </c:pt>
                <c:pt idx="22">
                  <c:v>99.773041403637791</c:v>
                </c:pt>
                <c:pt idx="23">
                  <c:v>96.192156147623493</c:v>
                </c:pt>
                <c:pt idx="24">
                  <c:v>93.795757609878237</c:v>
                </c:pt>
                <c:pt idx="25">
                  <c:v>92.468874217437076</c:v>
                </c:pt>
                <c:pt idx="26">
                  <c:v>92.030482223299941</c:v>
                </c:pt>
                <c:pt idx="27">
                  <c:v>91.189955471245895</c:v>
                </c:pt>
                <c:pt idx="28">
                  <c:v>90.741791965504447</c:v>
                </c:pt>
                <c:pt idx="29">
                  <c:v>90.501177613567975</c:v>
                </c:pt>
                <c:pt idx="30">
                  <c:v>89.930693027086804</c:v>
                </c:pt>
              </c:numCache>
            </c:numRef>
          </c:yVal>
          <c:smooth val="1"/>
        </c:ser>
        <c:dLbls>
          <c:showLegendKey val="0"/>
          <c:showVal val="0"/>
          <c:showCatName val="0"/>
          <c:showSerName val="0"/>
          <c:showPercent val="0"/>
          <c:showBubbleSize val="0"/>
        </c:dLbls>
        <c:axId val="452268864"/>
        <c:axId val="452273176"/>
      </c:scatterChart>
      <c:valAx>
        <c:axId val="4522688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3176"/>
        <c:crosses val="autoZero"/>
        <c:crossBetween val="midCat"/>
      </c:valAx>
      <c:valAx>
        <c:axId val="45227317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6886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1.4889357504301102E-2</c:v>
                </c:pt>
                <c:pt idx="1">
                  <c:v>1.7342437011006444E-2</c:v>
                </c:pt>
                <c:pt idx="2">
                  <c:v>3.8915872988839417E-2</c:v>
                </c:pt>
                <c:pt idx="3">
                  <c:v>0.11412267316179069</c:v>
                </c:pt>
                <c:pt idx="4">
                  <c:v>0.12254578488709478</c:v>
                </c:pt>
                <c:pt idx="5">
                  <c:v>0.12254567297898872</c:v>
                </c:pt>
                <c:pt idx="6">
                  <c:v>0.12254564313658933</c:v>
                </c:pt>
                <c:pt idx="7">
                  <c:v>0.12254563567602476</c:v>
                </c:pt>
                <c:pt idx="8">
                  <c:v>0.12254562821578548</c:v>
                </c:pt>
                <c:pt idx="9">
                  <c:v>0.12254562821940158</c:v>
                </c:pt>
                <c:pt idx="10">
                  <c:v>0.12254562825556398</c:v>
                </c:pt>
                <c:pt idx="11">
                  <c:v>0.12254561369598689</c:v>
                </c:pt>
                <c:pt idx="12">
                  <c:v>0.12254553524561927</c:v>
                </c:pt>
                <c:pt idx="13">
                  <c:v>0.12254470597836618</c:v>
                </c:pt>
                <c:pt idx="14">
                  <c:v>0.12253641330864418</c:v>
                </c:pt>
                <c:pt idx="15">
                  <c:v>0.12245369578802928</c:v>
                </c:pt>
                <c:pt idx="16">
                  <c:v>0.12164506491468646</c:v>
                </c:pt>
                <c:pt idx="17">
                  <c:v>0.11515151266950149</c:v>
                </c:pt>
                <c:pt idx="18">
                  <c:v>0.10099048810400436</c:v>
                </c:pt>
                <c:pt idx="19">
                  <c:v>0.10757747812299887</c:v>
                </c:pt>
                <c:pt idx="20">
                  <c:v>0.11619640790289495</c:v>
                </c:pt>
                <c:pt idx="21">
                  <c:v>5.6993389377476625E-2</c:v>
                </c:pt>
                <c:pt idx="22">
                  <c:v>5.5432594850878994E-2</c:v>
                </c:pt>
                <c:pt idx="23">
                  <c:v>0.18211427621209281</c:v>
                </c:pt>
                <c:pt idx="24">
                  <c:v>0.2785264464876635</c:v>
                </c:pt>
                <c:pt idx="25">
                  <c:v>0.31731179338339566</c:v>
                </c:pt>
                <c:pt idx="26">
                  <c:v>0.28225925618306302</c:v>
                </c:pt>
                <c:pt idx="27">
                  <c:v>0.17008410669531379</c:v>
                </c:pt>
                <c:pt idx="28">
                  <c:v>1.7976863805127787E-2</c:v>
                </c:pt>
                <c:pt idx="29">
                  <c:v>0.27578492700545415</c:v>
                </c:pt>
                <c:pt idx="30">
                  <c:v>0.45973749211280507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0.10418433621043616</c:v>
                </c:pt>
                <c:pt idx="1">
                  <c:v>0.1041932441677714</c:v>
                </c:pt>
                <c:pt idx="2">
                  <c:v>0.10418846938349283</c:v>
                </c:pt>
                <c:pt idx="3">
                  <c:v>0.10418723838647825</c:v>
                </c:pt>
                <c:pt idx="4">
                  <c:v>0.1041868877593608</c:v>
                </c:pt>
                <c:pt idx="5">
                  <c:v>0.10418675367973178</c:v>
                </c:pt>
                <c:pt idx="6">
                  <c:v>0.1041864499069463</c:v>
                </c:pt>
                <c:pt idx="7">
                  <c:v>0.1041837777485996</c:v>
                </c:pt>
                <c:pt idx="8">
                  <c:v>0.10415716062012434</c:v>
                </c:pt>
                <c:pt idx="9">
                  <c:v>0.10389280291503339</c:v>
                </c:pt>
                <c:pt idx="10">
                  <c:v>0.10141964212107207</c:v>
                </c:pt>
                <c:pt idx="11">
                  <c:v>8.7693597524521813E-2</c:v>
                </c:pt>
                <c:pt idx="12">
                  <c:v>7.1416191358997502E-2</c:v>
                </c:pt>
                <c:pt idx="13">
                  <c:v>6.8668716997471471E-2</c:v>
                </c:pt>
                <c:pt idx="14">
                  <c:v>9.5607107336881991E-2</c:v>
                </c:pt>
                <c:pt idx="15">
                  <c:v>0.10351486381187346</c:v>
                </c:pt>
                <c:pt idx="16">
                  <c:v>0.11250005917294056</c:v>
                </c:pt>
                <c:pt idx="17">
                  <c:v>9.0913070089331638E-2</c:v>
                </c:pt>
                <c:pt idx="18">
                  <c:v>4.8335390374905441E-3</c:v>
                </c:pt>
                <c:pt idx="19">
                  <c:v>0.10965650640145611</c:v>
                </c:pt>
                <c:pt idx="20">
                  <c:v>0.17539603338406357</c:v>
                </c:pt>
                <c:pt idx="21">
                  <c:v>0.16238633735772184</c:v>
                </c:pt>
                <c:pt idx="22">
                  <c:v>6.5253674463174885E-2</c:v>
                </c:pt>
                <c:pt idx="23">
                  <c:v>0.1319952705256357</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9.7501130060572927E-2</c:v>
                </c:pt>
                <c:pt idx="1">
                  <c:v>9.7509262259505236E-2</c:v>
                </c:pt>
                <c:pt idx="2">
                  <c:v>9.7497296896877139E-2</c:v>
                </c:pt>
                <c:pt idx="3">
                  <c:v>9.742449584467619E-2</c:v>
                </c:pt>
                <c:pt idx="4">
                  <c:v>9.6721060664943584E-2</c:v>
                </c:pt>
                <c:pt idx="5">
                  <c:v>9.0800445174528371E-2</c:v>
                </c:pt>
                <c:pt idx="6">
                  <c:v>7.30914163018615E-2</c:v>
                </c:pt>
                <c:pt idx="7">
                  <c:v>5.3620264149336946E-2</c:v>
                </c:pt>
                <c:pt idx="8">
                  <c:v>3.1468326526195092E-2</c:v>
                </c:pt>
                <c:pt idx="9">
                  <c:v>1.4971418594022165E-2</c:v>
                </c:pt>
                <c:pt idx="10">
                  <c:v>3.9243848936562034E-2</c:v>
                </c:pt>
                <c:pt idx="11">
                  <c:v>3.8003367604366019E-2</c:v>
                </c:pt>
                <c:pt idx="12">
                  <c:v>3.9601691832122962E-2</c:v>
                </c:pt>
                <c:pt idx="13">
                  <c:v>4.3072475312680832E-2</c:v>
                </c:pt>
                <c:pt idx="14">
                  <c:v>4.6895871204227536E-2</c:v>
                </c:pt>
                <c:pt idx="15">
                  <c:v>5.5828603581032782E-2</c:v>
                </c:pt>
                <c:pt idx="16">
                  <c:v>5.2220715720219218E-2</c:v>
                </c:pt>
                <c:pt idx="17">
                  <c:v>1.1344074847639029E-2</c:v>
                </c:pt>
                <c:pt idx="18">
                  <c:v>0.10186519973770994</c:v>
                </c:pt>
                <c:pt idx="19">
                  <c:v>0.14030238637900538</c:v>
                </c:pt>
                <c:pt idx="20">
                  <c:v>0.17614795913417752</c:v>
                </c:pt>
                <c:pt idx="21">
                  <c:v>0.2394246881883923</c:v>
                </c:pt>
                <c:pt idx="22">
                  <c:v>0.31015007691310159</c:v>
                </c:pt>
                <c:pt idx="23">
                  <c:v>0.62739707326433936</c:v>
                </c:pt>
                <c:pt idx="24">
                  <c:v>0.87720829775796849</c:v>
                </c:pt>
                <c:pt idx="25">
                  <c:v>0.83789994495911146</c:v>
                </c:pt>
                <c:pt idx="26">
                  <c:v>0.7006575966257248</c:v>
                </c:pt>
                <c:pt idx="27">
                  <c:v>0.43104194134906854</c:v>
                </c:pt>
                <c:pt idx="28">
                  <c:v>0.26818631351737737</c:v>
                </c:pt>
                <c:pt idx="29">
                  <c:v>0.15903531208361432</c:v>
                </c:pt>
                <c:pt idx="30">
                  <c:v>0.10526836337822522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5.5687414865834839E-3</c:v>
                </c:pt>
                <c:pt idx="1">
                  <c:v>4.8831081117627706E-3</c:v>
                </c:pt>
                <c:pt idx="2">
                  <c:v>7.1351874355889775E-3</c:v>
                </c:pt>
                <c:pt idx="3">
                  <c:v>6.467753496237438E-3</c:v>
                </c:pt>
                <c:pt idx="4">
                  <c:v>7.2351964567909273E-3</c:v>
                </c:pt>
                <c:pt idx="5">
                  <c:v>5.2933118831246214E-3</c:v>
                </c:pt>
                <c:pt idx="6">
                  <c:v>5.3084895801203671E-3</c:v>
                </c:pt>
                <c:pt idx="7">
                  <c:v>3.2687028950896171E-3</c:v>
                </c:pt>
                <c:pt idx="8">
                  <c:v>1.7387035413014029E-3</c:v>
                </c:pt>
                <c:pt idx="9">
                  <c:v>8.669841926879876E-3</c:v>
                </c:pt>
                <c:pt idx="10">
                  <c:v>3.707963758196095E-2</c:v>
                </c:pt>
                <c:pt idx="11">
                  <c:v>4.3404192965013882E-2</c:v>
                </c:pt>
                <c:pt idx="12">
                  <c:v>6.1497300940720735E-2</c:v>
                </c:pt>
                <c:pt idx="13">
                  <c:v>4.2199560108290263E-2</c:v>
                </c:pt>
                <c:pt idx="14">
                  <c:v>2.3302810876869997E-2</c:v>
                </c:pt>
                <c:pt idx="15">
                  <c:v>6.42900082404156E-2</c:v>
                </c:pt>
                <c:pt idx="16">
                  <c:v>0.1464079165514027</c:v>
                </c:pt>
                <c:pt idx="17">
                  <c:v>0.20324596731383601</c:v>
                </c:pt>
                <c:pt idx="18">
                  <c:v>0.17408107180976459</c:v>
                </c:pt>
                <c:pt idx="19">
                  <c:v>0.1234170217246616</c:v>
                </c:pt>
                <c:pt idx="20">
                  <c:v>7.7000262348636175E-2</c:v>
                </c:pt>
                <c:pt idx="21">
                  <c:v>5.3278730269730706E-2</c:v>
                </c:pt>
                <c:pt idx="22">
                  <c:v>3.3284916233510521E-2</c:v>
                </c:pt>
                <c:pt idx="23">
                  <c:v>2.3431243012872978E-2</c:v>
                </c:pt>
                <c:pt idx="24">
                  <c:v>8.4176518435832483E-3</c:v>
                </c:pt>
                <c:pt idx="25">
                  <c:v>7.2293981909751235E-3</c:v>
                </c:pt>
                <c:pt idx="26">
                  <c:v>1.099075949350883E-2</c:v>
                </c:pt>
                <c:pt idx="27">
                  <c:v>2.6921767328260391E-3</c:v>
                </c:pt>
                <c:pt idx="28">
                  <c:v>7.9068978177644182E-3</c:v>
                </c:pt>
                <c:pt idx="29">
                  <c:v>2.5501125636995615E-2</c:v>
                </c:pt>
                <c:pt idx="30">
                  <c:v>5.1377618496219697E-2</c:v>
                </c:pt>
              </c:numCache>
            </c:numRef>
          </c:yVal>
          <c:smooth val="1"/>
        </c:ser>
        <c:dLbls>
          <c:showLegendKey val="0"/>
          <c:showVal val="0"/>
          <c:showCatName val="0"/>
          <c:showSerName val="0"/>
          <c:showPercent val="0"/>
          <c:showBubbleSize val="0"/>
        </c:dLbls>
        <c:axId val="452268080"/>
        <c:axId val="452270824"/>
      </c:scatterChart>
      <c:valAx>
        <c:axId val="4522680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0824"/>
        <c:crossesAt val="1.0000000000000005E-9"/>
        <c:crossBetween val="midCat"/>
      </c:valAx>
      <c:valAx>
        <c:axId val="452270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6808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-40.510264201282538</c:v>
                </c:pt>
                <c:pt idx="1">
                  <c:v>-36.676736534348279</c:v>
                </c:pt>
                <c:pt idx="2">
                  <c:v>-32.49220599166479</c:v>
                </c:pt>
                <c:pt idx="3">
                  <c:v>-27.253333342864021</c:v>
                </c:pt>
                <c:pt idx="4">
                  <c:v>-18.432658890102765</c:v>
                </c:pt>
                <c:pt idx="5">
                  <c:v>0</c:v>
                </c:pt>
                <c:pt idx="6">
                  <c:v>4.2360845065660389</c:v>
                </c:pt>
              </c:numCache>
            </c:numRef>
          </c:yVal>
          <c:smooth val="0"/>
        </c:ser>
        <c:dLbls>
          <c:showLegendKey val="0"/>
          <c:showVal val="0"/>
          <c:showCatName val="0"/>
          <c:showSerName val="0"/>
          <c:showPercent val="0"/>
          <c:showBubbleSize val="0"/>
        </c:dLbls>
        <c:axId val="452272784"/>
        <c:axId val="452274744"/>
      </c:scatterChart>
      <c:valAx>
        <c:axId val="45227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4744"/>
        <c:crossesAt val="-100"/>
        <c:crossBetween val="midCat"/>
      </c:valAx>
      <c:valAx>
        <c:axId val="452274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27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52275136"/>
        <c:axId val="452275528"/>
      </c:scatterChart>
      <c:valAx>
        <c:axId val="45227513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5528"/>
        <c:crosses val="autoZero"/>
        <c:crossBetween val="midCat"/>
      </c:valAx>
      <c:valAx>
        <c:axId val="45227552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513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2.5504440279263633E-33</c:v>
                </c:pt>
                <c:pt idx="1">
                  <c:v>2.5504440279263629E-32</c:v>
                </c:pt>
                <c:pt idx="2">
                  <c:v>2.550444027926363E-31</c:v>
                </c:pt>
                <c:pt idx="3">
                  <c:v>2.5504440279263631E-30</c:v>
                </c:pt>
                <c:pt idx="4">
                  <c:v>2.5504440279263628E-29</c:v>
                </c:pt>
                <c:pt idx="5">
                  <c:v>2.5504440279263634E-28</c:v>
                </c:pt>
                <c:pt idx="6">
                  <c:v>2.5504440279263631E-27</c:v>
                </c:pt>
                <c:pt idx="7">
                  <c:v>2.550444027926363E-26</c:v>
                </c:pt>
                <c:pt idx="8">
                  <c:v>2.5504440279263629E-25</c:v>
                </c:pt>
                <c:pt idx="9">
                  <c:v>2.550444027926363E-24</c:v>
                </c:pt>
                <c:pt idx="10">
                  <c:v>2.5504440279263634E-23</c:v>
                </c:pt>
                <c:pt idx="11">
                  <c:v>2.550444027926363E-22</c:v>
                </c:pt>
                <c:pt idx="12">
                  <c:v>2.550444027926363E-21</c:v>
                </c:pt>
                <c:pt idx="13">
                  <c:v>2.5504440279263631E-20</c:v>
                </c:pt>
                <c:pt idx="14">
                  <c:v>2.5504440279263631E-19</c:v>
                </c:pt>
                <c:pt idx="15">
                  <c:v>2.5504440279263632E-18</c:v>
                </c:pt>
                <c:pt idx="16">
                  <c:v>2.5504440279263629E-17</c:v>
                </c:pt>
                <c:pt idx="17">
                  <c:v>2.5504440279263633E-16</c:v>
                </c:pt>
                <c:pt idx="18">
                  <c:v>2.5504440279263629E-15</c:v>
                </c:pt>
                <c:pt idx="19">
                  <c:v>2.5504440279263631E-14</c:v>
                </c:pt>
                <c:pt idx="20">
                  <c:v>2.5504440279263632E-13</c:v>
                </c:pt>
                <c:pt idx="21">
                  <c:v>2.5504440279263631E-12</c:v>
                </c:pt>
                <c:pt idx="22">
                  <c:v>2.5504440279263632E-11</c:v>
                </c:pt>
                <c:pt idx="23">
                  <c:v>2.5504440279263628E-10</c:v>
                </c:pt>
                <c:pt idx="24">
                  <c:v>2.5504440279263629E-9</c:v>
                </c:pt>
                <c:pt idx="25">
                  <c:v>2.5504440279263632E-8</c:v>
                </c:pt>
                <c:pt idx="26">
                  <c:v>2.550444027926363E-7</c:v>
                </c:pt>
                <c:pt idx="27">
                  <c:v>2.550444027926363E-6</c:v>
                </c:pt>
                <c:pt idx="28">
                  <c:v>2.5504440279263631E-5</c:v>
                </c:pt>
                <c:pt idx="29">
                  <c:v>2.5504440279263633E-4</c:v>
                </c:pt>
                <c:pt idx="30">
                  <c:v>2.5504440279263633E-3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1.1789508744529243E-31</c:v>
                </c:pt>
                <c:pt idx="1">
                  <c:v>1.1789508744529243E-30</c:v>
                </c:pt>
                <c:pt idx="2">
                  <c:v>1.1789508744529243E-29</c:v>
                </c:pt>
                <c:pt idx="3">
                  <c:v>1.1789508744529243E-28</c:v>
                </c:pt>
                <c:pt idx="4">
                  <c:v>1.1789508744529242E-27</c:v>
                </c:pt>
                <c:pt idx="5">
                  <c:v>1.1789508744529244E-26</c:v>
                </c:pt>
                <c:pt idx="6">
                  <c:v>1.1789508744529243E-25</c:v>
                </c:pt>
                <c:pt idx="7">
                  <c:v>1.1789508744529243E-24</c:v>
                </c:pt>
                <c:pt idx="8">
                  <c:v>1.1789508744529243E-23</c:v>
                </c:pt>
                <c:pt idx="9">
                  <c:v>1.1789508744529242E-22</c:v>
                </c:pt>
                <c:pt idx="10">
                  <c:v>1.1789508744529245E-21</c:v>
                </c:pt>
                <c:pt idx="11">
                  <c:v>1.1789508744529243E-20</c:v>
                </c:pt>
                <c:pt idx="12">
                  <c:v>1.1789508744529244E-19</c:v>
                </c:pt>
                <c:pt idx="13">
                  <c:v>1.1789508744529243E-18</c:v>
                </c:pt>
                <c:pt idx="14">
                  <c:v>1.1789508744529244E-17</c:v>
                </c:pt>
                <c:pt idx="15">
                  <c:v>1.1789508744529242E-16</c:v>
                </c:pt>
                <c:pt idx="16">
                  <c:v>1.1789508744529244E-15</c:v>
                </c:pt>
                <c:pt idx="17">
                  <c:v>1.1789508744529243E-14</c:v>
                </c:pt>
                <c:pt idx="18">
                  <c:v>1.1789508744529243E-13</c:v>
                </c:pt>
                <c:pt idx="19">
                  <c:v>1.1789508744529243E-12</c:v>
                </c:pt>
                <c:pt idx="20">
                  <c:v>1.1789508744529244E-11</c:v>
                </c:pt>
                <c:pt idx="21">
                  <c:v>1.1789508744529243E-10</c:v>
                </c:pt>
                <c:pt idx="22">
                  <c:v>1.1789508744529243E-9</c:v>
                </c:pt>
                <c:pt idx="23">
                  <c:v>1.1789508744529244E-8</c:v>
                </c:pt>
                <c:pt idx="24">
                  <c:v>1.1789508744529243E-7</c:v>
                </c:pt>
                <c:pt idx="25">
                  <c:v>1.1789508744529243E-6</c:v>
                </c:pt>
                <c:pt idx="26">
                  <c:v>1.1789508744529243E-5</c:v>
                </c:pt>
                <c:pt idx="27">
                  <c:v>1.1789508744529243E-4</c:v>
                </c:pt>
                <c:pt idx="28">
                  <c:v>1.1789508744529244E-3</c:v>
                </c:pt>
                <c:pt idx="29">
                  <c:v>1.1789508744529243E-2</c:v>
                </c:pt>
                <c:pt idx="30">
                  <c:v>0.11789508744529244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7.7413059692521966E-30</c:v>
                </c:pt>
                <c:pt idx="1">
                  <c:v>7.7413059692521955E-29</c:v>
                </c:pt>
                <c:pt idx="2">
                  <c:v>7.7413059692521959E-28</c:v>
                </c:pt>
                <c:pt idx="3">
                  <c:v>7.7413059692521952E-27</c:v>
                </c:pt>
                <c:pt idx="4">
                  <c:v>7.7413059692521961E-26</c:v>
                </c:pt>
                <c:pt idx="5">
                  <c:v>7.7413059692521968E-25</c:v>
                </c:pt>
                <c:pt idx="6">
                  <c:v>7.7413059692521962E-24</c:v>
                </c:pt>
                <c:pt idx="7">
                  <c:v>7.7413059692521956E-23</c:v>
                </c:pt>
                <c:pt idx="8">
                  <c:v>7.7413059692521954E-22</c:v>
                </c:pt>
                <c:pt idx="9">
                  <c:v>7.7413059692521959E-21</c:v>
                </c:pt>
                <c:pt idx="10">
                  <c:v>7.7413059692521962E-20</c:v>
                </c:pt>
                <c:pt idx="11">
                  <c:v>7.7413059692521967E-19</c:v>
                </c:pt>
                <c:pt idx="12">
                  <c:v>7.7413059692521963E-18</c:v>
                </c:pt>
                <c:pt idx="13">
                  <c:v>7.7413059692521963E-17</c:v>
                </c:pt>
                <c:pt idx="14">
                  <c:v>7.7413059692521968E-16</c:v>
                </c:pt>
                <c:pt idx="15">
                  <c:v>7.7413059692521964E-15</c:v>
                </c:pt>
                <c:pt idx="16">
                  <c:v>7.7413059692521961E-14</c:v>
                </c:pt>
                <c:pt idx="17">
                  <c:v>7.7413059692521961E-13</c:v>
                </c:pt>
                <c:pt idx="18">
                  <c:v>7.7413059692521957E-12</c:v>
                </c:pt>
                <c:pt idx="19">
                  <c:v>7.7413059692521964E-11</c:v>
                </c:pt>
                <c:pt idx="20">
                  <c:v>7.7413059692521961E-10</c:v>
                </c:pt>
                <c:pt idx="21">
                  <c:v>7.7413059692521957E-9</c:v>
                </c:pt>
                <c:pt idx="22">
                  <c:v>7.7413059692521957E-8</c:v>
                </c:pt>
                <c:pt idx="23">
                  <c:v>7.7413059692521965E-7</c:v>
                </c:pt>
                <c:pt idx="24">
                  <c:v>7.7413059692521954E-6</c:v>
                </c:pt>
                <c:pt idx="25">
                  <c:v>7.7413059692521961E-5</c:v>
                </c:pt>
                <c:pt idx="26">
                  <c:v>7.7413059692521958E-4</c:v>
                </c:pt>
                <c:pt idx="27">
                  <c:v>7.7413059692521963E-3</c:v>
                </c:pt>
                <c:pt idx="28">
                  <c:v>7.7413059692521963E-2</c:v>
                </c:pt>
                <c:pt idx="29">
                  <c:v>0.77413059692521957</c:v>
                </c:pt>
                <c:pt idx="30">
                  <c:v>7.7413059692521964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1.4589073615824765E-27</c:v>
                </c:pt>
                <c:pt idx="1">
                  <c:v>1.4589073615824765E-26</c:v>
                </c:pt>
                <c:pt idx="2">
                  <c:v>1.4589073615824764E-25</c:v>
                </c:pt>
                <c:pt idx="3">
                  <c:v>1.4589073615824763E-24</c:v>
                </c:pt>
                <c:pt idx="4">
                  <c:v>1.4589073615824762E-23</c:v>
                </c:pt>
                <c:pt idx="5">
                  <c:v>1.4589073615824764E-22</c:v>
                </c:pt>
                <c:pt idx="6">
                  <c:v>1.4589073615824765E-21</c:v>
                </c:pt>
                <c:pt idx="7">
                  <c:v>1.4589073615824765E-20</c:v>
                </c:pt>
                <c:pt idx="8">
                  <c:v>1.4589073615824764E-19</c:v>
                </c:pt>
                <c:pt idx="9">
                  <c:v>1.4589073615824764E-18</c:v>
                </c:pt>
                <c:pt idx="10">
                  <c:v>1.4589073615824766E-17</c:v>
                </c:pt>
                <c:pt idx="11">
                  <c:v>1.4589073615824764E-16</c:v>
                </c:pt>
                <c:pt idx="12">
                  <c:v>1.4589073615824764E-15</c:v>
                </c:pt>
                <c:pt idx="13">
                  <c:v>1.4589073615824765E-14</c:v>
                </c:pt>
                <c:pt idx="14">
                  <c:v>1.4589073615824763E-13</c:v>
                </c:pt>
                <c:pt idx="15">
                  <c:v>1.4589073615824763E-12</c:v>
                </c:pt>
                <c:pt idx="16">
                  <c:v>1.4589073615824763E-11</c:v>
                </c:pt>
                <c:pt idx="17">
                  <c:v>1.4589073615824765E-10</c:v>
                </c:pt>
                <c:pt idx="18">
                  <c:v>1.4589073615824764E-9</c:v>
                </c:pt>
                <c:pt idx="19">
                  <c:v>1.4589073615824764E-8</c:v>
                </c:pt>
                <c:pt idx="20">
                  <c:v>1.4589073615824763E-7</c:v>
                </c:pt>
                <c:pt idx="21">
                  <c:v>1.4589073615824764E-6</c:v>
                </c:pt>
                <c:pt idx="22">
                  <c:v>1.4589073615824764E-5</c:v>
                </c:pt>
                <c:pt idx="23">
                  <c:v>1.4589073615824764E-4</c:v>
                </c:pt>
                <c:pt idx="24">
                  <c:v>1.4589073615824764E-3</c:v>
                </c:pt>
                <c:pt idx="25">
                  <c:v>1.4589073615824764E-2</c:v>
                </c:pt>
                <c:pt idx="26">
                  <c:v>0.14589073615824763</c:v>
                </c:pt>
                <c:pt idx="27">
                  <c:v>1.4589073615824764</c:v>
                </c:pt>
                <c:pt idx="28">
                  <c:v>14.589073615824764</c:v>
                </c:pt>
                <c:pt idx="29">
                  <c:v>145.89073615824765</c:v>
                </c:pt>
                <c:pt idx="30">
                  <c:v>1458.9073615824764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9.880933062684868E-24</c:v>
                </c:pt>
                <c:pt idx="1">
                  <c:v>9.8809330626848677E-23</c:v>
                </c:pt>
                <c:pt idx="2">
                  <c:v>9.8809330626848679E-22</c:v>
                </c:pt>
                <c:pt idx="3">
                  <c:v>9.8809330626848668E-21</c:v>
                </c:pt>
                <c:pt idx="4">
                  <c:v>9.8809330626848662E-20</c:v>
                </c:pt>
                <c:pt idx="5">
                  <c:v>9.8809330626848674E-19</c:v>
                </c:pt>
                <c:pt idx="6">
                  <c:v>9.8809330626848678E-18</c:v>
                </c:pt>
                <c:pt idx="7">
                  <c:v>9.8809330626848678E-17</c:v>
                </c:pt>
                <c:pt idx="8">
                  <c:v>9.8809330626848661E-16</c:v>
                </c:pt>
                <c:pt idx="9">
                  <c:v>9.8809330626848664E-15</c:v>
                </c:pt>
                <c:pt idx="10">
                  <c:v>9.8809330626848683E-14</c:v>
                </c:pt>
                <c:pt idx="11">
                  <c:v>9.8809330626848673E-13</c:v>
                </c:pt>
                <c:pt idx="12">
                  <c:v>9.8809330626848677E-12</c:v>
                </c:pt>
                <c:pt idx="13">
                  <c:v>9.8809330626848681E-11</c:v>
                </c:pt>
                <c:pt idx="14">
                  <c:v>9.8809330626848683E-10</c:v>
                </c:pt>
                <c:pt idx="15">
                  <c:v>9.8809330626848679E-9</c:v>
                </c:pt>
                <c:pt idx="16">
                  <c:v>9.8809330626848679E-8</c:v>
                </c:pt>
                <c:pt idx="17">
                  <c:v>9.8809330626848676E-7</c:v>
                </c:pt>
                <c:pt idx="18">
                  <c:v>9.8809330626848672E-6</c:v>
                </c:pt>
                <c:pt idx="19">
                  <c:v>9.8809330626848676E-5</c:v>
                </c:pt>
                <c:pt idx="20">
                  <c:v>9.880933062684867E-4</c:v>
                </c:pt>
                <c:pt idx="21">
                  <c:v>9.8809330626848674E-3</c:v>
                </c:pt>
                <c:pt idx="22">
                  <c:v>9.8809330626848671E-2</c:v>
                </c:pt>
                <c:pt idx="23">
                  <c:v>0.98809330626848668</c:v>
                </c:pt>
                <c:pt idx="24">
                  <c:v>9.8809330626848677</c:v>
                </c:pt>
                <c:pt idx="25">
                  <c:v>98.809330626848677</c:v>
                </c:pt>
                <c:pt idx="26">
                  <c:v>988.09330626848669</c:v>
                </c:pt>
                <c:pt idx="27">
                  <c:v>9880.9330626848678</c:v>
                </c:pt>
                <c:pt idx="28">
                  <c:v>98809.330626848678</c:v>
                </c:pt>
                <c:pt idx="29">
                  <c:v>988093.30626848678</c:v>
                </c:pt>
                <c:pt idx="30">
                  <c:v>9880933.0626848675</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6.9136617205854054E-14</c:v>
                </c:pt>
                <c:pt idx="1">
                  <c:v>6.9136617205854052E-13</c:v>
                </c:pt>
                <c:pt idx="2">
                  <c:v>6.913661720585405E-12</c:v>
                </c:pt>
                <c:pt idx="3">
                  <c:v>6.9136617205854053E-11</c:v>
                </c:pt>
                <c:pt idx="4">
                  <c:v>6.9136617205854045E-10</c:v>
                </c:pt>
                <c:pt idx="5">
                  <c:v>6.9136617205854049E-9</c:v>
                </c:pt>
                <c:pt idx="6">
                  <c:v>6.9136617205854053E-8</c:v>
                </c:pt>
                <c:pt idx="7">
                  <c:v>6.9136617205854053E-7</c:v>
                </c:pt>
                <c:pt idx="8">
                  <c:v>6.9136617205854044E-6</c:v>
                </c:pt>
                <c:pt idx="9">
                  <c:v>6.9136617205854049E-5</c:v>
                </c:pt>
                <c:pt idx="10">
                  <c:v>6.913661720585406E-4</c:v>
                </c:pt>
                <c:pt idx="11">
                  <c:v>6.9136617205854053E-3</c:v>
                </c:pt>
                <c:pt idx="12">
                  <c:v>6.9136617205854053E-2</c:v>
                </c:pt>
                <c:pt idx="13">
                  <c:v>0.69136617205854056</c:v>
                </c:pt>
                <c:pt idx="14">
                  <c:v>6.913661720585405</c:v>
                </c:pt>
                <c:pt idx="15">
                  <c:v>69.136617205854051</c:v>
                </c:pt>
                <c:pt idx="16">
                  <c:v>691.36617205854054</c:v>
                </c:pt>
                <c:pt idx="17">
                  <c:v>6913.6617205854054</c:v>
                </c:pt>
                <c:pt idx="18">
                  <c:v>69136.617205854054</c:v>
                </c:pt>
                <c:pt idx="19">
                  <c:v>691366.17205854051</c:v>
                </c:pt>
                <c:pt idx="20">
                  <c:v>6913661.7205854049</c:v>
                </c:pt>
                <c:pt idx="21">
                  <c:v>69136617.205854043</c:v>
                </c:pt>
                <c:pt idx="22">
                  <c:v>691366172.05854046</c:v>
                </c:pt>
                <c:pt idx="23">
                  <c:v>6913661720.5854053</c:v>
                </c:pt>
                <c:pt idx="24">
                  <c:v>69136617205.85405</c:v>
                </c:pt>
                <c:pt idx="25">
                  <c:v>691366172058.54053</c:v>
                </c:pt>
                <c:pt idx="26">
                  <c:v>6913661720585.4053</c:v>
                </c:pt>
                <c:pt idx="27">
                  <c:v>69136617205854.047</c:v>
                </c:pt>
                <c:pt idx="28">
                  <c:v>691366172058540.5</c:v>
                </c:pt>
                <c:pt idx="29">
                  <c:v>6913661720585405</c:v>
                </c:pt>
                <c:pt idx="30">
                  <c:v>6.9136617205854048E+16</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52271608"/>
        <c:axId val="450179520"/>
      </c:scatterChart>
      <c:valAx>
        <c:axId val="45227160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79520"/>
        <c:crosses val="autoZero"/>
        <c:crossBetween val="midCat"/>
      </c:valAx>
      <c:valAx>
        <c:axId val="450179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7160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2.5504440279263633E-33</c:v>
                </c:pt>
                <c:pt idx="1">
                  <c:v>2.5504440279263629E-32</c:v>
                </c:pt>
                <c:pt idx="2">
                  <c:v>2.550444027926363E-31</c:v>
                </c:pt>
                <c:pt idx="3">
                  <c:v>2.5504440279263631E-30</c:v>
                </c:pt>
                <c:pt idx="4">
                  <c:v>2.5504440279263628E-29</c:v>
                </c:pt>
                <c:pt idx="5">
                  <c:v>2.5504440279263634E-28</c:v>
                </c:pt>
                <c:pt idx="6">
                  <c:v>2.5504440279263631E-27</c:v>
                </c:pt>
                <c:pt idx="7">
                  <c:v>2.550444027926363E-26</c:v>
                </c:pt>
                <c:pt idx="8">
                  <c:v>2.5504440279263629E-25</c:v>
                </c:pt>
                <c:pt idx="9">
                  <c:v>2.550444027926363E-24</c:v>
                </c:pt>
                <c:pt idx="10">
                  <c:v>2.5504440279263634E-23</c:v>
                </c:pt>
                <c:pt idx="11">
                  <c:v>2.550444027926363E-22</c:v>
                </c:pt>
                <c:pt idx="12">
                  <c:v>2.550444027926363E-21</c:v>
                </c:pt>
                <c:pt idx="13">
                  <c:v>2.5504440279263631E-20</c:v>
                </c:pt>
                <c:pt idx="14">
                  <c:v>2.5504440279263631E-19</c:v>
                </c:pt>
                <c:pt idx="15">
                  <c:v>2.5504440279263632E-18</c:v>
                </c:pt>
                <c:pt idx="16">
                  <c:v>2.5504440279263629E-17</c:v>
                </c:pt>
                <c:pt idx="17">
                  <c:v>2.5504440279263633E-16</c:v>
                </c:pt>
                <c:pt idx="18">
                  <c:v>2.5504440279263629E-15</c:v>
                </c:pt>
                <c:pt idx="19">
                  <c:v>2.5504440279263631E-14</c:v>
                </c:pt>
                <c:pt idx="20">
                  <c:v>2.5504440279263632E-13</c:v>
                </c:pt>
                <c:pt idx="21">
                  <c:v>2.5504440279263631E-12</c:v>
                </c:pt>
                <c:pt idx="22">
                  <c:v>2.5504440279263632E-11</c:v>
                </c:pt>
                <c:pt idx="23">
                  <c:v>2.5504440279263628E-10</c:v>
                </c:pt>
                <c:pt idx="24">
                  <c:v>2.5504440279263629E-9</c:v>
                </c:pt>
                <c:pt idx="25">
                  <c:v>2.5504440279263632E-8</c:v>
                </c:pt>
                <c:pt idx="26">
                  <c:v>2.550444027926363E-7</c:v>
                </c:pt>
                <c:pt idx="27">
                  <c:v>2.550444027926363E-6</c:v>
                </c:pt>
                <c:pt idx="28">
                  <c:v>2.5504440279263631E-5</c:v>
                </c:pt>
                <c:pt idx="29">
                  <c:v>2.5504440279263633E-4</c:v>
                </c:pt>
                <c:pt idx="30">
                  <c:v>2.5504440279263633E-3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1.1789508744529243E-31</c:v>
                </c:pt>
                <c:pt idx="1">
                  <c:v>1.1789508744529243E-30</c:v>
                </c:pt>
                <c:pt idx="2">
                  <c:v>1.1789508744529243E-29</c:v>
                </c:pt>
                <c:pt idx="3">
                  <c:v>1.1789508744529243E-28</c:v>
                </c:pt>
                <c:pt idx="4">
                  <c:v>1.1789508744529242E-27</c:v>
                </c:pt>
                <c:pt idx="5">
                  <c:v>1.1789508744529244E-26</c:v>
                </c:pt>
                <c:pt idx="6">
                  <c:v>1.1789508744529243E-25</c:v>
                </c:pt>
                <c:pt idx="7">
                  <c:v>1.1789508744529243E-24</c:v>
                </c:pt>
                <c:pt idx="8">
                  <c:v>1.1789508744529243E-23</c:v>
                </c:pt>
                <c:pt idx="9">
                  <c:v>1.1789508744529242E-22</c:v>
                </c:pt>
                <c:pt idx="10">
                  <c:v>1.1789508744529245E-21</c:v>
                </c:pt>
                <c:pt idx="11">
                  <c:v>1.1789508744529243E-20</c:v>
                </c:pt>
                <c:pt idx="12">
                  <c:v>1.1789508744529244E-19</c:v>
                </c:pt>
                <c:pt idx="13">
                  <c:v>1.1789508744529243E-18</c:v>
                </c:pt>
                <c:pt idx="14">
                  <c:v>1.1789508744529244E-17</c:v>
                </c:pt>
                <c:pt idx="15">
                  <c:v>1.1789508744529242E-16</c:v>
                </c:pt>
                <c:pt idx="16">
                  <c:v>1.1789508744529244E-15</c:v>
                </c:pt>
                <c:pt idx="17">
                  <c:v>1.1789508744529243E-14</c:v>
                </c:pt>
                <c:pt idx="18">
                  <c:v>1.1789508744529243E-13</c:v>
                </c:pt>
                <c:pt idx="19">
                  <c:v>1.1789508744529243E-12</c:v>
                </c:pt>
                <c:pt idx="20">
                  <c:v>1.1789508744529244E-11</c:v>
                </c:pt>
                <c:pt idx="21">
                  <c:v>1.1789508744529243E-10</c:v>
                </c:pt>
                <c:pt idx="22">
                  <c:v>1.1789508744529243E-9</c:v>
                </c:pt>
                <c:pt idx="23">
                  <c:v>1.1789508744529244E-8</c:v>
                </c:pt>
                <c:pt idx="24">
                  <c:v>1.1789508744529243E-7</c:v>
                </c:pt>
                <c:pt idx="25">
                  <c:v>1.1789508744529243E-6</c:v>
                </c:pt>
                <c:pt idx="26">
                  <c:v>1.1789508744529243E-5</c:v>
                </c:pt>
                <c:pt idx="27">
                  <c:v>1.1789508744529243E-4</c:v>
                </c:pt>
                <c:pt idx="28">
                  <c:v>1.1789508744529244E-3</c:v>
                </c:pt>
                <c:pt idx="29">
                  <c:v>1.1789508744529243E-2</c:v>
                </c:pt>
                <c:pt idx="30">
                  <c:v>0.11789508744529244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7.7413059692521966E-30</c:v>
                </c:pt>
                <c:pt idx="1">
                  <c:v>7.7413059692521955E-29</c:v>
                </c:pt>
                <c:pt idx="2">
                  <c:v>7.7413059692521959E-28</c:v>
                </c:pt>
                <c:pt idx="3">
                  <c:v>7.7413059692521952E-27</c:v>
                </c:pt>
                <c:pt idx="4">
                  <c:v>7.7413059692521961E-26</c:v>
                </c:pt>
                <c:pt idx="5">
                  <c:v>7.7413059692521968E-25</c:v>
                </c:pt>
                <c:pt idx="6">
                  <c:v>7.7413059692521962E-24</c:v>
                </c:pt>
                <c:pt idx="7">
                  <c:v>7.7413059692521956E-23</c:v>
                </c:pt>
                <c:pt idx="8">
                  <c:v>7.7413059692521954E-22</c:v>
                </c:pt>
                <c:pt idx="9">
                  <c:v>7.7413059692521959E-21</c:v>
                </c:pt>
                <c:pt idx="10">
                  <c:v>7.7413059692521962E-20</c:v>
                </c:pt>
                <c:pt idx="11">
                  <c:v>7.7413059692521967E-19</c:v>
                </c:pt>
                <c:pt idx="12">
                  <c:v>7.7413059692521963E-18</c:v>
                </c:pt>
                <c:pt idx="13">
                  <c:v>7.7413059692521963E-17</c:v>
                </c:pt>
                <c:pt idx="14">
                  <c:v>7.7413059692521968E-16</c:v>
                </c:pt>
                <c:pt idx="15">
                  <c:v>7.7413059692521964E-15</c:v>
                </c:pt>
                <c:pt idx="16">
                  <c:v>7.7413059692521961E-14</c:v>
                </c:pt>
                <c:pt idx="17">
                  <c:v>7.7413059692521961E-13</c:v>
                </c:pt>
                <c:pt idx="18">
                  <c:v>7.7413059692521957E-12</c:v>
                </c:pt>
                <c:pt idx="19">
                  <c:v>7.7413059692521964E-11</c:v>
                </c:pt>
                <c:pt idx="20">
                  <c:v>7.7413059692521961E-10</c:v>
                </c:pt>
                <c:pt idx="21">
                  <c:v>7.7413059692521957E-9</c:v>
                </c:pt>
                <c:pt idx="22">
                  <c:v>7.7413059692521957E-8</c:v>
                </c:pt>
                <c:pt idx="23">
                  <c:v>7.7413059692521965E-7</c:v>
                </c:pt>
                <c:pt idx="24">
                  <c:v>7.7413059692521954E-6</c:v>
                </c:pt>
                <c:pt idx="25">
                  <c:v>7.7413059692521961E-5</c:v>
                </c:pt>
                <c:pt idx="26">
                  <c:v>7.7413059692521958E-4</c:v>
                </c:pt>
                <c:pt idx="27">
                  <c:v>7.7413059692521963E-3</c:v>
                </c:pt>
                <c:pt idx="28">
                  <c:v>7.7413059692521963E-2</c:v>
                </c:pt>
                <c:pt idx="29">
                  <c:v>0.77413059692521957</c:v>
                </c:pt>
                <c:pt idx="30">
                  <c:v>7.7413059692521964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1.4589073615824765E-27</c:v>
                </c:pt>
                <c:pt idx="1">
                  <c:v>1.4589073615824765E-26</c:v>
                </c:pt>
                <c:pt idx="2">
                  <c:v>1.4589073615824764E-25</c:v>
                </c:pt>
                <c:pt idx="3">
                  <c:v>1.4589073615824763E-24</c:v>
                </c:pt>
                <c:pt idx="4">
                  <c:v>1.4589073615824762E-23</c:v>
                </c:pt>
                <c:pt idx="5">
                  <c:v>1.4589073615824764E-22</c:v>
                </c:pt>
                <c:pt idx="6">
                  <c:v>1.4589073615824765E-21</c:v>
                </c:pt>
                <c:pt idx="7">
                  <c:v>1.4589073615824765E-20</c:v>
                </c:pt>
                <c:pt idx="8">
                  <c:v>1.4589073615824764E-19</c:v>
                </c:pt>
                <c:pt idx="9">
                  <c:v>1.4589073615824764E-18</c:v>
                </c:pt>
                <c:pt idx="10">
                  <c:v>1.4589073615824766E-17</c:v>
                </c:pt>
                <c:pt idx="11">
                  <c:v>1.4589073615824764E-16</c:v>
                </c:pt>
                <c:pt idx="12">
                  <c:v>1.4589073615824764E-15</c:v>
                </c:pt>
                <c:pt idx="13">
                  <c:v>1.4589073615824765E-14</c:v>
                </c:pt>
                <c:pt idx="14">
                  <c:v>1.4589073615824763E-13</c:v>
                </c:pt>
                <c:pt idx="15">
                  <c:v>1.4589073615824763E-12</c:v>
                </c:pt>
                <c:pt idx="16">
                  <c:v>1.4589073615824763E-11</c:v>
                </c:pt>
                <c:pt idx="17">
                  <c:v>1.4589073615824765E-10</c:v>
                </c:pt>
                <c:pt idx="18">
                  <c:v>1.4589073615824764E-9</c:v>
                </c:pt>
                <c:pt idx="19">
                  <c:v>1.4589073615824764E-8</c:v>
                </c:pt>
                <c:pt idx="20">
                  <c:v>1.4589073615824763E-7</c:v>
                </c:pt>
                <c:pt idx="21">
                  <c:v>1.4589073615824764E-6</c:v>
                </c:pt>
                <c:pt idx="22">
                  <c:v>1.4589073615824764E-5</c:v>
                </c:pt>
                <c:pt idx="23">
                  <c:v>1.4589073615824764E-4</c:v>
                </c:pt>
                <c:pt idx="24">
                  <c:v>1.4589073615824764E-3</c:v>
                </c:pt>
                <c:pt idx="25">
                  <c:v>1.4589073615824764E-2</c:v>
                </c:pt>
                <c:pt idx="26">
                  <c:v>0.14589073615824763</c:v>
                </c:pt>
                <c:pt idx="27">
                  <c:v>1.4589073615824764</c:v>
                </c:pt>
                <c:pt idx="28">
                  <c:v>14.589073615824764</c:v>
                </c:pt>
                <c:pt idx="29">
                  <c:v>145.89073615824765</c:v>
                </c:pt>
                <c:pt idx="30">
                  <c:v>1458.9073615824764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9.880933062684868E-24</c:v>
                </c:pt>
                <c:pt idx="1">
                  <c:v>9.8809330626848677E-23</c:v>
                </c:pt>
                <c:pt idx="2">
                  <c:v>9.8809330626848679E-22</c:v>
                </c:pt>
                <c:pt idx="3">
                  <c:v>9.8809330626848668E-21</c:v>
                </c:pt>
                <c:pt idx="4">
                  <c:v>9.8809330626848662E-20</c:v>
                </c:pt>
                <c:pt idx="5">
                  <c:v>9.8809330626848674E-19</c:v>
                </c:pt>
                <c:pt idx="6">
                  <c:v>9.8809330626848678E-18</c:v>
                </c:pt>
                <c:pt idx="7">
                  <c:v>9.8809330626848678E-17</c:v>
                </c:pt>
                <c:pt idx="8">
                  <c:v>9.8809330626848661E-16</c:v>
                </c:pt>
                <c:pt idx="9">
                  <c:v>9.8809330626848664E-15</c:v>
                </c:pt>
                <c:pt idx="10">
                  <c:v>9.8809330626848683E-14</c:v>
                </c:pt>
                <c:pt idx="11">
                  <c:v>9.8809330626848673E-13</c:v>
                </c:pt>
                <c:pt idx="12">
                  <c:v>9.8809330626848677E-12</c:v>
                </c:pt>
                <c:pt idx="13">
                  <c:v>9.8809330626848681E-11</c:v>
                </c:pt>
                <c:pt idx="14">
                  <c:v>9.8809330626848683E-10</c:v>
                </c:pt>
                <c:pt idx="15">
                  <c:v>9.8809330626848679E-9</c:v>
                </c:pt>
                <c:pt idx="16">
                  <c:v>9.8809330626848679E-8</c:v>
                </c:pt>
                <c:pt idx="17">
                  <c:v>9.8809330626848676E-7</c:v>
                </c:pt>
                <c:pt idx="18">
                  <c:v>9.8809330626848672E-6</c:v>
                </c:pt>
                <c:pt idx="19">
                  <c:v>9.8809330626848676E-5</c:v>
                </c:pt>
                <c:pt idx="20">
                  <c:v>9.880933062684867E-4</c:v>
                </c:pt>
                <c:pt idx="21">
                  <c:v>9.8809330626848674E-3</c:v>
                </c:pt>
                <c:pt idx="22">
                  <c:v>9.8809330626848671E-2</c:v>
                </c:pt>
                <c:pt idx="23">
                  <c:v>0.98809330626848668</c:v>
                </c:pt>
                <c:pt idx="24">
                  <c:v>9.8809330626848677</c:v>
                </c:pt>
                <c:pt idx="25">
                  <c:v>98.809330626848677</c:v>
                </c:pt>
                <c:pt idx="26">
                  <c:v>988.09330626848669</c:v>
                </c:pt>
                <c:pt idx="27">
                  <c:v>9880.9330626848678</c:v>
                </c:pt>
                <c:pt idx="28">
                  <c:v>98809.330626848678</c:v>
                </c:pt>
                <c:pt idx="29">
                  <c:v>988093.30626848678</c:v>
                </c:pt>
                <c:pt idx="30">
                  <c:v>9880933.0626848675</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6.9136617205854054E-14</c:v>
                </c:pt>
                <c:pt idx="1">
                  <c:v>6.9136617205854052E-13</c:v>
                </c:pt>
                <c:pt idx="2">
                  <c:v>6.913661720585405E-12</c:v>
                </c:pt>
                <c:pt idx="3">
                  <c:v>6.9136617205854053E-11</c:v>
                </c:pt>
                <c:pt idx="4">
                  <c:v>6.9136617205854045E-10</c:v>
                </c:pt>
                <c:pt idx="5">
                  <c:v>6.9136617205854049E-9</c:v>
                </c:pt>
                <c:pt idx="6">
                  <c:v>6.9136617205854053E-8</c:v>
                </c:pt>
                <c:pt idx="7">
                  <c:v>6.9136617205854053E-7</c:v>
                </c:pt>
                <c:pt idx="8">
                  <c:v>6.9136617205854044E-6</c:v>
                </c:pt>
                <c:pt idx="9">
                  <c:v>6.9136617205854049E-5</c:v>
                </c:pt>
                <c:pt idx="10">
                  <c:v>6.913661720585406E-4</c:v>
                </c:pt>
                <c:pt idx="11">
                  <c:v>6.9136617205854053E-3</c:v>
                </c:pt>
                <c:pt idx="12">
                  <c:v>6.9136617205854053E-2</c:v>
                </c:pt>
                <c:pt idx="13">
                  <c:v>0.69136617205854056</c:v>
                </c:pt>
                <c:pt idx="14">
                  <c:v>6.913661720585405</c:v>
                </c:pt>
                <c:pt idx="15">
                  <c:v>69.136617205854051</c:v>
                </c:pt>
                <c:pt idx="16">
                  <c:v>691.36617205854054</c:v>
                </c:pt>
                <c:pt idx="17">
                  <c:v>6913.6617205854054</c:v>
                </c:pt>
                <c:pt idx="18">
                  <c:v>69136.617205854054</c:v>
                </c:pt>
                <c:pt idx="19">
                  <c:v>691366.17205854051</c:v>
                </c:pt>
                <c:pt idx="20">
                  <c:v>6913661.7205854049</c:v>
                </c:pt>
                <c:pt idx="21">
                  <c:v>69136617.205854043</c:v>
                </c:pt>
                <c:pt idx="22">
                  <c:v>691366172.05854046</c:v>
                </c:pt>
                <c:pt idx="23">
                  <c:v>6913661720.5854053</c:v>
                </c:pt>
                <c:pt idx="24">
                  <c:v>69136617205.85405</c:v>
                </c:pt>
                <c:pt idx="25">
                  <c:v>691366172058.54053</c:v>
                </c:pt>
                <c:pt idx="26">
                  <c:v>6913661720585.4053</c:v>
                </c:pt>
                <c:pt idx="27">
                  <c:v>69136617205854.047</c:v>
                </c:pt>
                <c:pt idx="28">
                  <c:v>691366172058540.5</c:v>
                </c:pt>
                <c:pt idx="29">
                  <c:v>6913661720585405</c:v>
                </c:pt>
                <c:pt idx="30">
                  <c:v>6.9136617205854048E+16</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50182264"/>
        <c:axId val="453660504"/>
      </c:scatterChart>
      <c:valAx>
        <c:axId val="4501822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660504"/>
        <c:crosses val="autoZero"/>
        <c:crossBetween val="midCat"/>
      </c:valAx>
      <c:valAx>
        <c:axId val="453660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1822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-40.510264201282538</c:v>
                </c:pt>
                <c:pt idx="1">
                  <c:v>-40.443643053222601</c:v>
                </c:pt>
                <c:pt idx="2">
                  <c:v>-40.376912272728838</c:v>
                </c:pt>
                <c:pt idx="3">
                  <c:v>-40.309962227367436</c:v>
                </c:pt>
                <c:pt idx="4">
                  <c:v>-40.242683284704562</c:v>
                </c:pt>
                <c:pt idx="5">
                  <c:v>-40.174965812306411</c:v>
                </c:pt>
                <c:pt idx="6">
                  <c:v>-40.106700177739143</c:v>
                </c:pt>
                <c:pt idx="7">
                  <c:v>-40.037776748568952</c:v>
                </c:pt>
                <c:pt idx="8">
                  <c:v>-39.968085892362005</c:v>
                </c:pt>
                <c:pt idx="9">
                  <c:v>-39.89751797668449</c:v>
                </c:pt>
                <c:pt idx="10">
                  <c:v>-39.825963369102588</c:v>
                </c:pt>
                <c:pt idx="11">
                  <c:v>-39.753312437182466</c:v>
                </c:pt>
                <c:pt idx="12">
                  <c:v>-39.67945554849031</c:v>
                </c:pt>
                <c:pt idx="13">
                  <c:v>-39.604283070592295</c:v>
                </c:pt>
                <c:pt idx="14">
                  <c:v>-39.527685371054602</c:v>
                </c:pt>
                <c:pt idx="15">
                  <c:v>-39.449552817443404</c:v>
                </c:pt>
                <c:pt idx="16">
                  <c:v>-39.36977577732489</c:v>
                </c:pt>
                <c:pt idx="17">
                  <c:v>-39.288244618265232</c:v>
                </c:pt>
                <c:pt idx="18">
                  <c:v>-39.204849707830611</c:v>
                </c:pt>
                <c:pt idx="19">
                  <c:v>-39.119481413587202</c:v>
                </c:pt>
                <c:pt idx="20">
                  <c:v>-39.032030103101185</c:v>
                </c:pt>
                <c:pt idx="21">
                  <c:v>-38.942386143938741</c:v>
                </c:pt>
                <c:pt idx="22">
                  <c:v>-38.850439903666043</c:v>
                </c:pt>
                <c:pt idx="23">
                  <c:v>-38.75608174984928</c:v>
                </c:pt>
                <c:pt idx="24">
                  <c:v>-38.659202050054617</c:v>
                </c:pt>
                <c:pt idx="25">
                  <c:v>-38.559691171848243</c:v>
                </c:pt>
                <c:pt idx="26">
                  <c:v>-38.457439482796332</c:v>
                </c:pt>
                <c:pt idx="27">
                  <c:v>-38.352337350465064</c:v>
                </c:pt>
                <c:pt idx="28">
                  <c:v>-38.244275142420619</c:v>
                </c:pt>
                <c:pt idx="29">
                  <c:v>-38.133143226229166</c:v>
                </c:pt>
                <c:pt idx="30">
                  <c:v>-38.018831969456897</c:v>
                </c:pt>
                <c:pt idx="31">
                  <c:v>-37.901231739669981</c:v>
                </c:pt>
                <c:pt idx="32">
                  <c:v>-37.780232904434605</c:v>
                </c:pt>
                <c:pt idx="33">
                  <c:v>-37.655725831316943</c:v>
                </c:pt>
                <c:pt idx="34">
                  <c:v>-37.527600887883168</c:v>
                </c:pt>
                <c:pt idx="35">
                  <c:v>-37.395748441699467</c:v>
                </c:pt>
                <c:pt idx="36">
                  <c:v>-37.260058860332016</c:v>
                </c:pt>
                <c:pt idx="37">
                  <c:v>-37.120422511346995</c:v>
                </c:pt>
                <c:pt idx="38">
                  <c:v>-36.976729762310576</c:v>
                </c:pt>
                <c:pt idx="39">
                  <c:v>-36.828870980788942</c:v>
                </c:pt>
                <c:pt idx="40">
                  <c:v>-36.676736534348272</c:v>
                </c:pt>
                <c:pt idx="41">
                  <c:v>-36.547421863121329</c:v>
                </c:pt>
                <c:pt idx="42">
                  <c:v>-36.413861865866089</c:v>
                </c:pt>
                <c:pt idx="43">
                  <c:v>-36.276196513907088</c:v>
                </c:pt>
                <c:pt idx="44">
                  <c:v>-36.134565778568899</c:v>
                </c:pt>
                <c:pt idx="45">
                  <c:v>-35.989109631176092</c:v>
                </c:pt>
                <c:pt idx="46">
                  <c:v>-35.839968043053204</c:v>
                </c:pt>
                <c:pt idx="47">
                  <c:v>-35.687280985524794</c:v>
                </c:pt>
                <c:pt idx="48">
                  <c:v>-35.531188429915431</c:v>
                </c:pt>
                <c:pt idx="49">
                  <c:v>-35.371830347549661</c:v>
                </c:pt>
                <c:pt idx="50">
                  <c:v>-35.209346709752047</c:v>
                </c:pt>
                <c:pt idx="51">
                  <c:v>-35.043877487847141</c:v>
                </c:pt>
                <c:pt idx="52">
                  <c:v>-34.875562653159506</c:v>
                </c:pt>
                <c:pt idx="53">
                  <c:v>-34.704542177013693</c:v>
                </c:pt>
                <c:pt idx="54">
                  <c:v>-34.530956030734252</c:v>
                </c:pt>
                <c:pt idx="55">
                  <c:v>-34.354944185645756</c:v>
                </c:pt>
                <c:pt idx="56">
                  <c:v>-34.176646613072748</c:v>
                </c:pt>
                <c:pt idx="57">
                  <c:v>-33.996203284339799</c:v>
                </c:pt>
                <c:pt idx="58">
                  <c:v>-33.813754170771453</c:v>
                </c:pt>
                <c:pt idx="59">
                  <c:v>-33.629439243692261</c:v>
                </c:pt>
                <c:pt idx="60">
                  <c:v>-33.443398474426807</c:v>
                </c:pt>
                <c:pt idx="61">
                  <c:v>-33.255771834299622</c:v>
                </c:pt>
                <c:pt idx="62">
                  <c:v>-33.066699294635264</c:v>
                </c:pt>
                <c:pt idx="63">
                  <c:v>-32.87632082675831</c:v>
                </c:pt>
                <c:pt idx="64">
                  <c:v>-32.684776401993297</c:v>
                </c:pt>
                <c:pt idx="65">
                  <c:v>-32.49220599166479</c:v>
                </c:pt>
                <c:pt idx="66">
                  <c:v>-32.298717529772112</c:v>
                </c:pt>
                <c:pt idx="67">
                  <c:v>-32.104290801013647</c:v>
                </c:pt>
                <c:pt idx="68">
                  <c:v>-31.908873552762547</c:v>
                </c:pt>
                <c:pt idx="69">
                  <c:v>-31.71241353239197</c:v>
                </c:pt>
                <c:pt idx="70">
                  <c:v>-31.514858487275067</c:v>
                </c:pt>
                <c:pt idx="71">
                  <c:v>-31.316156164784985</c:v>
                </c:pt>
                <c:pt idx="72">
                  <c:v>-31.116254312294892</c:v>
                </c:pt>
                <c:pt idx="73">
                  <c:v>-30.915100677177925</c:v>
                </c:pt>
                <c:pt idx="74">
                  <c:v>-30.712643006807241</c:v>
                </c:pt>
                <c:pt idx="75">
                  <c:v>-30.508829048555999</c:v>
                </c:pt>
                <c:pt idx="76">
                  <c:v>-30.303606549797347</c:v>
                </c:pt>
                <c:pt idx="77">
                  <c:v>-30.096923257904443</c:v>
                </c:pt>
                <c:pt idx="78">
                  <c:v>-29.888726920250434</c:v>
                </c:pt>
                <c:pt idx="79">
                  <c:v>-29.678965284208473</c:v>
                </c:pt>
                <c:pt idx="80">
                  <c:v>-29.467586097151724</c:v>
                </c:pt>
                <c:pt idx="81">
                  <c:v>-29.254537106453324</c:v>
                </c:pt>
                <c:pt idx="82">
                  <c:v>-29.039766059486432</c:v>
                </c:pt>
                <c:pt idx="83">
                  <c:v>-28.823220703624209</c:v>
                </c:pt>
                <c:pt idx="84">
                  <c:v>-28.604848786239796</c:v>
                </c:pt>
                <c:pt idx="85">
                  <c:v>-28.384598054706355</c:v>
                </c:pt>
                <c:pt idx="86">
                  <c:v>-28.16241625639703</c:v>
                </c:pt>
                <c:pt idx="87">
                  <c:v>-27.938251138684983</c:v>
                </c:pt>
                <c:pt idx="88">
                  <c:v>-27.712050448943366</c:v>
                </c:pt>
                <c:pt idx="89">
                  <c:v>-27.483761934545328</c:v>
                </c:pt>
                <c:pt idx="90">
                  <c:v>-27.253333342864021</c:v>
                </c:pt>
                <c:pt idx="91">
                  <c:v>-27.020688217282366</c:v>
                </c:pt>
                <c:pt idx="92">
                  <c:v>-26.785653285222317</c:v>
                </c:pt>
                <c:pt idx="93">
                  <c:v>-26.548031070115599</c:v>
                </c:pt>
                <c:pt idx="94">
                  <c:v>-26.30762409539393</c:v>
                </c:pt>
                <c:pt idx="95">
                  <c:v>-26.064234884489032</c:v>
                </c:pt>
                <c:pt idx="96">
                  <c:v>-25.817665960832628</c:v>
                </c:pt>
                <c:pt idx="97">
                  <c:v>-25.567719847856441</c:v>
                </c:pt>
                <c:pt idx="98">
                  <c:v>-25.314199068992188</c:v>
                </c:pt>
                <c:pt idx="99">
                  <c:v>-25.056906147671594</c:v>
                </c:pt>
                <c:pt idx="100">
                  <c:v>-24.795643607326383</c:v>
                </c:pt>
                <c:pt idx="101">
                  <c:v>-24.530213971388271</c:v>
                </c:pt>
                <c:pt idx="102">
                  <c:v>-24.260419763288979</c:v>
                </c:pt>
                <c:pt idx="103">
                  <c:v>-23.986063506460233</c:v>
                </c:pt>
                <c:pt idx="104">
                  <c:v>-23.706947724333748</c:v>
                </c:pt>
                <c:pt idx="105">
                  <c:v>-23.422874940341252</c:v>
                </c:pt>
                <c:pt idx="106">
                  <c:v>-23.133647677914468</c:v>
                </c:pt>
                <c:pt idx="107">
                  <c:v>-22.839068460485109</c:v>
                </c:pt>
                <c:pt idx="108">
                  <c:v>-22.538939811484902</c:v>
                </c:pt>
                <c:pt idx="109">
                  <c:v>-22.233064254345564</c:v>
                </c:pt>
                <c:pt idx="110">
                  <c:v>-21.921244312498821</c:v>
                </c:pt>
                <c:pt idx="111">
                  <c:v>-21.603282509376395</c:v>
                </c:pt>
                <c:pt idx="112">
                  <c:v>-21.278981368410005</c:v>
                </c:pt>
                <c:pt idx="113">
                  <c:v>-20.948143413031374</c:v>
                </c:pt>
                <c:pt idx="114">
                  <c:v>-20.610571166672219</c:v>
                </c:pt>
                <c:pt idx="115">
                  <c:v>-20.266067152764268</c:v>
                </c:pt>
                <c:pt idx="116">
                  <c:v>-19.914433894739236</c:v>
                </c:pt>
                <c:pt idx="117">
                  <c:v>-19.555473916028848</c:v>
                </c:pt>
                <c:pt idx="118">
                  <c:v>-19.188989740064827</c:v>
                </c:pt>
                <c:pt idx="119">
                  <c:v>-18.814783890278889</c:v>
                </c:pt>
                <c:pt idx="120">
                  <c:v>-18.432658890102765</c:v>
                </c:pt>
                <c:pt idx="121">
                  <c:v>-18.042528773193968</c:v>
                </c:pt>
                <c:pt idx="122">
                  <c:v>-17.644753614113242</c:v>
                </c:pt>
                <c:pt idx="123">
                  <c:v>-17.239804997647127</c:v>
                </c:pt>
                <c:pt idx="124">
                  <c:v>-16.828154508582159</c:v>
                </c:pt>
                <c:pt idx="125">
                  <c:v>-16.410273731704883</c:v>
                </c:pt>
                <c:pt idx="126">
                  <c:v>-15.986634251801835</c:v>
                </c:pt>
                <c:pt idx="127">
                  <c:v>-15.557707653659557</c:v>
                </c:pt>
                <c:pt idx="128">
                  <c:v>-15.123965522064589</c:v>
                </c:pt>
                <c:pt idx="129">
                  <c:v>-14.685879441803472</c:v>
                </c:pt>
                <c:pt idx="130">
                  <c:v>-14.243920997662748</c:v>
                </c:pt>
                <c:pt idx="131">
                  <c:v>-13.798561774428952</c:v>
                </c:pt>
                <c:pt idx="132">
                  <c:v>-13.350273356888625</c:v>
                </c:pt>
                <c:pt idx="133">
                  <c:v>-12.899527329828311</c:v>
                </c:pt>
                <c:pt idx="134">
                  <c:v>-12.446795278034548</c:v>
                </c:pt>
                <c:pt idx="135">
                  <c:v>-11.992548786293876</c:v>
                </c:pt>
                <c:pt idx="136">
                  <c:v>-11.537259439392832</c:v>
                </c:pt>
                <c:pt idx="137">
                  <c:v>-11.081398822117963</c:v>
                </c:pt>
                <c:pt idx="138">
                  <c:v>-10.625438519255804</c:v>
                </c:pt>
                <c:pt idx="139">
                  <c:v>-10.169850115592896</c:v>
                </c:pt>
                <c:pt idx="140">
                  <c:v>-9.715105195915779</c:v>
                </c:pt>
                <c:pt idx="141">
                  <c:v>-9.2616753450109943</c:v>
                </c:pt>
                <c:pt idx="142">
                  <c:v>-8.8100321476650834</c:v>
                </c:pt>
                <c:pt idx="143">
                  <c:v>-8.360647188664581</c:v>
                </c:pt>
                <c:pt idx="144">
                  <c:v>-7.913992052796031</c:v>
                </c:pt>
                <c:pt idx="145">
                  <c:v>-7.4705383248459754</c:v>
                </c:pt>
                <c:pt idx="146">
                  <c:v>-7.0307575896009533</c:v>
                </c:pt>
                <c:pt idx="147">
                  <c:v>-6.5951214318475015</c:v>
                </c:pt>
                <c:pt idx="148">
                  <c:v>-6.1641014363721629</c:v>
                </c:pt>
                <c:pt idx="149">
                  <c:v>-5.7381691879614758</c:v>
                </c:pt>
                <c:pt idx="150">
                  <c:v>-5.3177962714019831</c:v>
                </c:pt>
                <c:pt idx="151">
                  <c:v>-4.9034542714802214</c:v>
                </c:pt>
                <c:pt idx="152">
                  <c:v>-4.4956147729827336</c:v>
                </c:pt>
                <c:pt idx="153">
                  <c:v>-4.0947493606960599</c:v>
                </c:pt>
                <c:pt idx="154">
                  <c:v>-3.7013296194067382</c:v>
                </c:pt>
                <c:pt idx="155">
                  <c:v>-3.3158271339013119</c:v>
                </c:pt>
                <c:pt idx="156">
                  <c:v>-2.9387134889663171</c:v>
                </c:pt>
                <c:pt idx="157">
                  <c:v>-2.5704602693882963</c:v>
                </c:pt>
                <c:pt idx="158">
                  <c:v>-2.2115390599537896</c:v>
                </c:pt>
                <c:pt idx="159">
                  <c:v>-1.8624214454493377</c:v>
                </c:pt>
                <c:pt idx="160">
                  <c:v>-1.523579010661479</c:v>
                </c:pt>
                <c:pt idx="161">
                  <c:v>-1.1954833403767537</c:v>
                </c:pt>
                <c:pt idx="162">
                  <c:v>-0.8786060193817038</c:v>
                </c:pt>
                <c:pt idx="163">
                  <c:v>-0.57341863246286895</c:v>
                </c:pt>
                <c:pt idx="164">
                  <c:v>-0.28039276440678762</c:v>
                </c:pt>
                <c:pt idx="165">
                  <c:v>0</c:v>
                </c:pt>
                <c:pt idx="166">
                  <c:v>0.26742907671364141</c:v>
                </c:pt>
                <c:pt idx="167">
                  <c:v>0.52212788466104298</c:v>
                </c:pt>
                <c:pt idx="168">
                  <c:v>0.76447084351180017</c:v>
                </c:pt>
                <c:pt idx="169">
                  <c:v>0.99483237293550841</c:v>
                </c:pt>
                <c:pt idx="170">
                  <c:v>1.213586892601763</c:v>
                </c:pt>
                <c:pt idx="171">
                  <c:v>1.4211088221801593</c:v>
                </c:pt>
                <c:pt idx="172">
                  <c:v>1.617772581340293</c:v>
                </c:pt>
                <c:pt idx="173">
                  <c:v>1.8039525897517583</c:v>
                </c:pt>
                <c:pt idx="174">
                  <c:v>1.9800232670841511</c:v>
                </c:pt>
                <c:pt idx="175">
                  <c:v>2.1463590330070663</c:v>
                </c:pt>
                <c:pt idx="176">
                  <c:v>2.3033343071901005</c:v>
                </c:pt>
                <c:pt idx="177">
                  <c:v>2.4513235093028474</c:v>
                </c:pt>
                <c:pt idx="178">
                  <c:v>2.5907010590149024</c:v>
                </c:pt>
                <c:pt idx="179">
                  <c:v>2.721841375995862</c:v>
                </c:pt>
                <c:pt idx="180">
                  <c:v>2.8451188799153204</c:v>
                </c:pt>
                <c:pt idx="181">
                  <c:v>2.9609079904428732</c:v>
                </c:pt>
                <c:pt idx="182">
                  <c:v>3.0695831272481162</c:v>
                </c:pt>
                <c:pt idx="183">
                  <c:v>3.1715187100006434</c:v>
                </c:pt>
                <c:pt idx="184">
                  <c:v>3.2670891583700516</c:v>
                </c:pt>
                <c:pt idx="185">
                  <c:v>3.3566688920259344</c:v>
                </c:pt>
                <c:pt idx="186">
                  <c:v>3.440632330637889</c:v>
                </c:pt>
                <c:pt idx="187">
                  <c:v>3.5193538938755093</c:v>
                </c:pt>
                <c:pt idx="188">
                  <c:v>3.5932080014083905</c:v>
                </c:pt>
                <c:pt idx="189">
                  <c:v>3.6625690729061291</c:v>
                </c:pt>
                <c:pt idx="190">
                  <c:v>3.7278115280383197</c:v>
                </c:pt>
                <c:pt idx="191">
                  <c:v>3.7893097864745564</c:v>
                </c:pt>
                <c:pt idx="192">
                  <c:v>3.8474382678844368</c:v>
                </c:pt>
                <c:pt idx="193">
                  <c:v>3.9025713919375544</c:v>
                </c:pt>
                <c:pt idx="194">
                  <c:v>3.9550835783035048</c:v>
                </c:pt>
                <c:pt idx="195">
                  <c:v>4.0053492466518845</c:v>
                </c:pt>
                <c:pt idx="196">
                  <c:v>4.0537428166522869</c:v>
                </c:pt>
                <c:pt idx="197">
                  <c:v>4.1006387079743085</c:v>
                </c:pt>
                <c:pt idx="198">
                  <c:v>4.1464113402875444</c:v>
                </c:pt>
                <c:pt idx="199">
                  <c:v>4.1914351332615896</c:v>
                </c:pt>
                <c:pt idx="200">
                  <c:v>4.2360845065660389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-40.510264201282538</c:v>
                </c:pt>
                <c:pt idx="1">
                  <c:v>-36.676736534348279</c:v>
                </c:pt>
                <c:pt idx="2">
                  <c:v>-32.49220599166479</c:v>
                </c:pt>
                <c:pt idx="3">
                  <c:v>-27.253333342864021</c:v>
                </c:pt>
                <c:pt idx="4">
                  <c:v>-18.432658890102765</c:v>
                </c:pt>
                <c:pt idx="5">
                  <c:v>0</c:v>
                </c:pt>
                <c:pt idx="6">
                  <c:v>4.2360845065660389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-40.662725389639974</c:v>
                </c:pt>
                <c:pt idx="1">
                  <c:v>-40.536061305612407</c:v>
                </c:pt>
                <c:pt idx="2">
                  <c:v>-40.420574023335234</c:v>
                </c:pt>
                <c:pt idx="3">
                  <c:v>-40.314867330622207</c:v>
                </c:pt>
                <c:pt idx="4">
                  <c:v>-40.217636062427573</c:v>
                </c:pt>
                <c:pt idx="5">
                  <c:v>-40.127662504151488</c:v>
                </c:pt>
                <c:pt idx="6">
                  <c:v>-40.04381286813063</c:v>
                </c:pt>
                <c:pt idx="7">
                  <c:v>-39.965033843059572</c:v>
                </c:pt>
                <c:pt idx="8">
                  <c:v>-39.890349216081844</c:v>
                </c:pt>
                <c:pt idx="9">
                  <c:v>-39.81885656727485</c:v>
                </c:pt>
                <c:pt idx="10">
                  <c:v>-39.74972403623805</c:v>
                </c:pt>
                <c:pt idx="11">
                  <c:v>-39.682187160495189</c:v>
                </c:pt>
                <c:pt idx="12">
                  <c:v>-39.615545785393081</c:v>
                </c:pt>
                <c:pt idx="13">
                  <c:v>-39.549161045180469</c:v>
                </c:pt>
                <c:pt idx="14">
                  <c:v>-39.48245241493062</c:v>
                </c:pt>
                <c:pt idx="15">
                  <c:v>-39.414894832968017</c:v>
                </c:pt>
                <c:pt idx="16">
                  <c:v>-39.346015893442043</c:v>
                </c:pt>
                <c:pt idx="17">
                  <c:v>-39.275393108679921</c:v>
                </c:pt>
                <c:pt idx="18">
                  <c:v>-39.202651240941563</c:v>
                </c:pt>
                <c:pt idx="19">
                  <c:v>-39.127459703182168</c:v>
                </c:pt>
                <c:pt idx="20">
                  <c:v>-39.049530028432322</c:v>
                </c:pt>
                <c:pt idx="21">
                  <c:v>-38.968613407366902</c:v>
                </c:pt>
                <c:pt idx="22">
                  <c:v>-38.884498293652754</c:v>
                </c:pt>
                <c:pt idx="23">
                  <c:v>-38.797008076630398</c:v>
                </c:pt>
                <c:pt idx="24">
                  <c:v>-38.705998820884531</c:v>
                </c:pt>
                <c:pt idx="25">
                  <c:v>-38.611357072247131</c:v>
                </c:pt>
                <c:pt idx="26">
                  <c:v>-38.512997729758617</c:v>
                </c:pt>
                <c:pt idx="27">
                  <c:v>-38.410861983109271</c:v>
                </c:pt>
                <c:pt idx="28">
                  <c:v>-38.304915315062267</c:v>
                </c:pt>
                <c:pt idx="29">
                  <c:v>-38.195145568359777</c:v>
                </c:pt>
                <c:pt idx="30">
                  <c:v>-38.081561076590589</c:v>
                </c:pt>
                <c:pt idx="31">
                  <c:v>-37.96418885849431</c:v>
                </c:pt>
                <c:pt idx="32">
                  <c:v>-37.843072875161276</c:v>
                </c:pt>
                <c:pt idx="33">
                  <c:v>-37.718272349578072</c:v>
                </c:pt>
                <c:pt idx="34">
                  <c:v>-37.589860147956422</c:v>
                </c:pt>
                <c:pt idx="35">
                  <c:v>-37.457921222269874</c:v>
                </c:pt>
                <c:pt idx="36">
                  <c:v>-37.322551113416452</c:v>
                </c:pt>
                <c:pt idx="37">
                  <c:v>-37.183854514406235</c:v>
                </c:pt>
                <c:pt idx="38">
                  <c:v>-37.041943892969122</c:v>
                </c:pt>
                <c:pt idx="39">
                  <c:v>-36.896938172960155</c:v>
                </c:pt>
                <c:pt idx="40">
                  <c:v>-36.748961473932887</c:v>
                </c:pt>
                <c:pt idx="41">
                  <c:v>-36.598141908237835</c:v>
                </c:pt>
                <c:pt idx="42">
                  <c:v>-36.444610434989812</c:v>
                </c:pt>
                <c:pt idx="43">
                  <c:v>-36.288499770241508</c:v>
                </c:pt>
                <c:pt idx="44">
                  <c:v>-36.129943352682638</c:v>
                </c:pt>
                <c:pt idx="45">
                  <c:v>-35.969074364178944</c:v>
                </c:pt>
                <c:pt idx="46">
                  <c:v>-35.806024804447546</c:v>
                </c:pt>
                <c:pt idx="47">
                  <c:v>-35.64092461916033</c:v>
                </c:pt>
                <c:pt idx="48">
                  <c:v>-35.473900880748744</c:v>
                </c:pt>
                <c:pt idx="49">
                  <c:v>-35.305077021177617</c:v>
                </c:pt>
                <c:pt idx="50">
                  <c:v>-35.134572115940948</c:v>
                </c:pt>
                <c:pt idx="51">
                  <c:v>-34.962500218521129</c:v>
                </c:pt>
                <c:pt idx="52">
                  <c:v>-34.788969744543394</c:v>
                </c:pt>
                <c:pt idx="53">
                  <c:v>-34.61408290484453</c:v>
                </c:pt>
                <c:pt idx="54">
                  <c:v>-34.437935186662529</c:v>
                </c:pt>
                <c:pt idx="55">
                  <c:v>-34.260614882145497</c:v>
                </c:pt>
                <c:pt idx="56">
                  <c:v>-34.082202663362075</c:v>
                </c:pt>
                <c:pt idx="57">
                  <c:v>-33.902771202988575</c:v>
                </c:pt>
                <c:pt idx="58">
                  <c:v>-33.722384839833722</c:v>
                </c:pt>
                <c:pt idx="59">
                  <c:v>-33.541099288351269</c:v>
                </c:pt>
                <c:pt idx="60">
                  <c:v>-33.358961391279408</c:v>
                </c:pt>
                <c:pt idx="61">
                  <c:v>-33.176008914534307</c:v>
                </c:pt>
                <c:pt idx="62">
                  <c:v>-32.992270383473574</c:v>
                </c:pt>
                <c:pt idx="63">
                  <c:v>-32.807764959633083</c:v>
                </c:pt>
                <c:pt idx="64">
                  <c:v>-32.622502357031749</c:v>
                </c:pt>
                <c:pt idx="65">
                  <c:v>-32.43648279712334</c:v>
                </c:pt>
                <c:pt idx="66">
                  <c:v>-32.249697001466814</c:v>
                </c:pt>
                <c:pt idx="67">
                  <c:v>-32.062126221172939</c:v>
                </c:pt>
                <c:pt idx="68">
                  <c:v>-31.873742302173476</c:v>
                </c:pt>
                <c:pt idx="69">
                  <c:v>-31.684507785348998</c:v>
                </c:pt>
                <c:pt idx="70">
                  <c:v>-31.494376040538654</c:v>
                </c:pt>
                <c:pt idx="71">
                  <c:v>-31.303291433444521</c:v>
                </c:pt>
                <c:pt idx="72">
                  <c:v>-31.111189524430959</c:v>
                </c:pt>
                <c:pt idx="73">
                  <c:v>-30.917997298208732</c:v>
                </c:pt>
                <c:pt idx="74">
                  <c:v>-30.723633423381393</c:v>
                </c:pt>
                <c:pt idx="75">
                  <c:v>-30.528008540820409</c:v>
                </c:pt>
                <c:pt idx="76">
                  <c:v>-30.33102557982377</c:v>
                </c:pt>
                <c:pt idx="77">
                  <c:v>-30.132580101001739</c:v>
                </c:pt>
                <c:pt idx="78">
                  <c:v>-29.932560664820834</c:v>
                </c:pt>
                <c:pt idx="79">
                  <c:v>-29.730849224727358</c:v>
                </c:pt>
                <c:pt idx="80">
                  <c:v>-29.527321543758639</c:v>
                </c:pt>
                <c:pt idx="81">
                  <c:v>-29.321847633539523</c:v>
                </c:pt>
                <c:pt idx="82">
                  <c:v>-29.114292214550101</c:v>
                </c:pt>
                <c:pt idx="83">
                  <c:v>-28.904515196538966</c:v>
                </c:pt>
                <c:pt idx="84">
                  <c:v>-28.692372177944669</c:v>
                </c:pt>
                <c:pt idx="85">
                  <c:v>-28.477714963177139</c:v>
                </c:pt>
                <c:pt idx="86">
                  <c:v>-28.260392096598679</c:v>
                </c:pt>
                <c:pt idx="87">
                  <c:v>-28.040249412032846</c:v>
                </c:pt>
                <c:pt idx="88">
                  <c:v>-27.817130596618551</c:v>
                </c:pt>
                <c:pt idx="89">
                  <c:v>-27.590877767814032</c:v>
                </c:pt>
                <c:pt idx="90">
                  <c:v>-27.361332062345504</c:v>
                </c:pt>
                <c:pt idx="91">
                  <c:v>-27.128334235881994</c:v>
                </c:pt>
                <c:pt idx="92">
                  <c:v>-26.89172527220801</c:v>
                </c:pt>
                <c:pt idx="93">
                  <c:v>-26.651347000652976</c:v>
                </c:pt>
                <c:pt idx="94">
                  <c:v>-26.407042720525485</c:v>
                </c:pt>
                <c:pt idx="95">
                  <c:v>-26.158657831289005</c:v>
                </c:pt>
                <c:pt idx="96">
                  <c:v>-25.906040467203557</c:v>
                </c:pt>
                <c:pt idx="97">
                  <c:v>-25.649042135147145</c:v>
                </c:pt>
                <c:pt idx="98">
                  <c:v>-25.387518354318797</c:v>
                </c:pt>
                <c:pt idx="99">
                  <c:v>-25.121329296513451</c:v>
                </c:pt>
                <c:pt idx="100">
                  <c:v>-24.850340425647936</c:v>
                </c:pt>
                <c:pt idx="101">
                  <c:v>-24.574423135205262</c:v>
                </c:pt>
                <c:pt idx="102">
                  <c:v>-24.293455382253342</c:v>
                </c:pt>
                <c:pt idx="103">
                  <c:v>-24.007322316682398</c:v>
                </c:pt>
                <c:pt idx="104">
                  <c:v>-23.715916904294382</c:v>
                </c:pt>
                <c:pt idx="105">
                  <c:v>-23.419140542365319</c:v>
                </c:pt>
                <c:pt idx="106">
                  <c:v>-23.116903666291137</c:v>
                </c:pt>
                <c:pt idx="107">
                  <c:v>-22.809126345915129</c:v>
                </c:pt>
                <c:pt idx="108">
                  <c:v>-22.495738870123958</c:v>
                </c:pt>
                <c:pt idx="109">
                  <c:v>-22.176682318288034</c:v>
                </c:pt>
                <c:pt idx="110">
                  <c:v>-21.851909117109891</c:v>
                </c:pt>
                <c:pt idx="111">
                  <c:v>-21.521383581433316</c:v>
                </c:pt>
                <c:pt idx="112">
                  <c:v>-21.185082437554069</c:v>
                </c:pt>
                <c:pt idx="113">
                  <c:v>-20.842995327561823</c:v>
                </c:pt>
                <c:pt idx="114">
                  <c:v>-20.495125293231215</c:v>
                </c:pt>
                <c:pt idx="115">
                  <c:v>-20.14148923796866</c:v>
                </c:pt>
                <c:pt idx="116">
                  <c:v>-19.782118365309788</c:v>
                </c:pt>
                <c:pt idx="117">
                  <c:v>-19.417058592451152</c:v>
                </c:pt>
                <c:pt idx="118">
                  <c:v>-19.046370937288263</c:v>
                </c:pt>
                <c:pt idx="119">
                  <c:v>-18.670131877420289</c:v>
                </c:pt>
                <c:pt idx="120">
                  <c:v>-18.28843367957068</c:v>
                </c:pt>
                <c:pt idx="121">
                  <c:v>-17.901384697861154</c:v>
                </c:pt>
                <c:pt idx="122">
                  <c:v>-17.509109639365061</c:v>
                </c:pt>
                <c:pt idx="123">
                  <c:v>-17.111749795354807</c:v>
                </c:pt>
                <c:pt idx="124">
                  <c:v>-16.709463236646222</c:v>
                </c:pt>
                <c:pt idx="125">
                  <c:v>-16.302424971431559</c:v>
                </c:pt>
                <c:pt idx="126">
                  <c:v>-15.890827063981209</c:v>
                </c:pt>
                <c:pt idx="127">
                  <c:v>-15.474878712582532</c:v>
                </c:pt>
                <c:pt idx="128">
                  <c:v>-15.054806285073081</c:v>
                </c:pt>
                <c:pt idx="129">
                  <c:v>-14.6308533103137</c:v>
                </c:pt>
                <c:pt idx="130">
                  <c:v>-14.203280423935562</c:v>
                </c:pt>
                <c:pt idx="131">
                  <c:v>-13.772365266683805</c:v>
                </c:pt>
                <c:pt idx="132">
                  <c:v>-13.338402333668807</c:v>
                </c:pt>
                <c:pt idx="133">
                  <c:v>-12.901702772824699</c:v>
                </c:pt>
                <c:pt idx="134">
                  <c:v>-12.462594130863264</c:v>
                </c:pt>
                <c:pt idx="135">
                  <c:v>-12.02142004499979</c:v>
                </c:pt>
                <c:pt idx="136">
                  <c:v>-11.578539878715993</c:v>
                </c:pt>
                <c:pt idx="137">
                  <c:v>-11.134328299813649</c:v>
                </c:pt>
                <c:pt idx="138">
                  <c:v>-10.689174799001023</c:v>
                </c:pt>
                <c:pt idx="139">
                  <c:v>-10.243483147242779</c:v>
                </c:pt>
                <c:pt idx="140">
                  <c:v>-9.7976707900924129</c:v>
                </c:pt>
                <c:pt idx="141">
                  <c:v>-9.3521681772149492</c:v>
                </c:pt>
                <c:pt idx="142">
                  <c:v>-8.907418025295943</c:v>
                </c:pt>
                <c:pt idx="143">
                  <c:v>-8.4638745125215262</c:v>
                </c:pt>
                <c:pt idx="144">
                  <c:v>-8.0220024028025492</c:v>
                </c:pt>
                <c:pt idx="145">
                  <c:v>-7.5822760979045718</c:v>
                </c:pt>
                <c:pt idx="146">
                  <c:v>-7.145178615633772</c:v>
                </c:pt>
                <c:pt idx="147">
                  <c:v>-6.7112004922175146</c:v>
                </c:pt>
                <c:pt idx="148">
                  <c:v>-6.2808386070066842</c:v>
                </c:pt>
                <c:pt idx="149">
                  <c:v>-5.854594927615512</c:v>
                </c:pt>
                <c:pt idx="150">
                  <c:v>-5.4329751736030083</c:v>
                </c:pt>
                <c:pt idx="151">
                  <c:v>-5.016487396788758</c:v>
                </c:pt>
                <c:pt idx="152">
                  <c:v>-4.6056404762842122</c:v>
                </c:pt>
                <c:pt idx="153">
                  <c:v>-4.200942526309178</c:v>
                </c:pt>
                <c:pt idx="154">
                  <c:v>-3.8028992148517116</c:v>
                </c:pt>
                <c:pt idx="155">
                  <c:v>-3.4120119912181348</c:v>
                </c:pt>
                <c:pt idx="156">
                  <c:v>-3.0287762205083228</c:v>
                </c:pt>
                <c:pt idx="157">
                  <c:v>-2.6536792230400366</c:v>
                </c:pt>
                <c:pt idx="158">
                  <c:v>-2.287198216734474</c:v>
                </c:pt>
                <c:pt idx="159">
                  <c:v>-1.9297981604637799</c:v>
                </c:pt>
                <c:pt idx="160">
                  <c:v>-1.5819294963497277</c:v>
                </c:pt>
                <c:pt idx="161">
                  <c:v>-1.2440257889913078</c:v>
                </c:pt>
                <c:pt idx="162">
                  <c:v>-0.91650125958745299</c:v>
                </c:pt>
                <c:pt idx="163">
                  <c:v>-0.59974821290964309</c:v>
                </c:pt>
                <c:pt idx="164">
                  <c:v>-0.29413435506762448</c:v>
                </c:pt>
                <c:pt idx="165">
                  <c:v>0</c:v>
                </c:pt>
                <c:pt idx="166">
                  <c:v>0.2823448373900645</c:v>
                </c:pt>
                <c:pt idx="167">
                  <c:v>0.55262346354525749</c:v>
                </c:pt>
                <c:pt idx="168">
                  <c:v>0.81059564611340307</c:v>
                </c:pt>
                <c:pt idx="169">
                  <c:v>1.056060873469838</c:v>
                </c:pt>
                <c:pt idx="170">
                  <c:v>1.2888617360286179</c:v>
                </c:pt>
                <c:pt idx="171">
                  <c:v>1.5088874314797707</c:v>
                </c:pt>
                <c:pt idx="172">
                  <c:v>1.716077396101328</c:v>
                </c:pt>
                <c:pt idx="173">
                  <c:v>1.9104250643063356</c:v>
                </c:pt>
                <c:pt idx="174">
                  <c:v>2.0919817585965679</c:v>
                </c:pt>
                <c:pt idx="175">
                  <c:v>2.2608607121061395</c:v>
                </c:pt>
                <c:pt idx="176">
                  <c:v>2.4172412259297333</c:v>
                </c:pt>
                <c:pt idx="177">
                  <c:v>2.5613729634416131</c:v>
                </c:pt>
                <c:pt idx="178">
                  <c:v>2.6935803838231478</c:v>
                </c:pt>
                <c:pt idx="179">
                  <c:v>2.8142673170280079</c:v>
                </c:pt>
                <c:pt idx="180">
                  <c:v>2.923921682425727</c:v>
                </c:pt>
                <c:pt idx="181">
                  <c:v>3.0231203533758104</c:v>
                </c:pt>
                <c:pt idx="182">
                  <c:v>3.1125341699960534</c:v>
                </c:pt>
                <c:pt idx="183">
                  <c:v>3.1929331024002527</c:v>
                </c:pt>
                <c:pt idx="184">
                  <c:v>3.265191566691962</c:v>
                </c:pt>
                <c:pt idx="185">
                  <c:v>3.3302938960124555</c:v>
                </c:pt>
                <c:pt idx="186">
                  <c:v>3.3893399689525667</c:v>
                </c:pt>
                <c:pt idx="187">
                  <c:v>3.4435509976495271</c:v>
                </c:pt>
                <c:pt idx="188">
                  <c:v>3.4942754779014691</c:v>
                </c:pt>
                <c:pt idx="189">
                  <c:v>3.542995303643746</c:v>
                </c:pt>
                <c:pt idx="190">
                  <c:v>3.5913320481426645</c:v>
                </c:pt>
                <c:pt idx="191">
                  <c:v>3.6410534142738062</c:v>
                </c:pt>
                <c:pt idx="192">
                  <c:v>3.694079856263536</c:v>
                </c:pt>
                <c:pt idx="193">
                  <c:v>3.7524913752838382</c:v>
                </c:pt>
                <c:pt idx="194">
                  <c:v>3.818534491302072</c:v>
                </c:pt>
                <c:pt idx="195">
                  <c:v>3.8946293935988106</c:v>
                </c:pt>
                <c:pt idx="196">
                  <c:v>3.9833772723782959</c:v>
                </c:pt>
                <c:pt idx="197">
                  <c:v>4.0875678339076966</c:v>
                </c:pt>
                <c:pt idx="198">
                  <c:v>4.2101870016326961</c:v>
                </c:pt>
                <c:pt idx="199">
                  <c:v>4.3544248057285566</c:v>
                </c:pt>
                <c:pt idx="200">
                  <c:v>4.5236834635572301</c:v>
                </c:pt>
              </c:numCache>
            </c:numRef>
          </c:yVal>
          <c:smooth val="1"/>
        </c:ser>
        <c:dLbls>
          <c:showLegendKey val="0"/>
          <c:showVal val="0"/>
          <c:showCatName val="0"/>
          <c:showSerName val="0"/>
          <c:showPercent val="0"/>
          <c:showBubbleSize val="0"/>
        </c:dLbls>
        <c:axId val="453660896"/>
        <c:axId val="453661288"/>
      </c:scatterChart>
      <c:valAx>
        <c:axId val="4536608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661288"/>
        <c:crossesAt val="-1000"/>
        <c:crossBetween val="midCat"/>
      </c:valAx>
      <c:valAx>
        <c:axId val="453661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6608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0.28828859128831863</v>
      </c>
      <c r="D59" s="55">
        <v>1</v>
      </c>
    </row>
    <row r="60" spans="1:4" s="11" customFormat="1" x14ac:dyDescent="0.25">
      <c r="A60" s="54">
        <v>2</v>
      </c>
      <c r="B60" s="56">
        <f>'Shiftfunktion bestimmen'!N2</f>
        <v>-5.8961465751516083E-3</v>
      </c>
      <c r="D60" s="55">
        <v>2</v>
      </c>
    </row>
    <row r="61" spans="1:4" s="11" customFormat="1" x14ac:dyDescent="0.25">
      <c r="A61" s="54">
        <v>3</v>
      </c>
      <c r="B61" s="56">
        <f>'Shiftfunktion bestimmen'!N3</f>
        <v>-4.9020729742651643E-5</v>
      </c>
      <c r="D61" s="55">
        <v>3</v>
      </c>
    </row>
    <row r="62" spans="1:4" s="11" customFormat="1" x14ac:dyDescent="0.25">
      <c r="A62" s="54">
        <v>4</v>
      </c>
      <c r="B62" s="56">
        <f>'Shiftfunktion bestimmen'!N4</f>
        <v>1.3875731130202573E-6</v>
      </c>
      <c r="D62" s="55">
        <v>4</v>
      </c>
    </row>
    <row r="63" spans="1:4" s="11" customFormat="1" x14ac:dyDescent="0.25">
      <c r="A63" s="54">
        <v>5</v>
      </c>
      <c r="B63" s="56">
        <f>'Shiftfunktion bestimmen'!N5</f>
        <v>2.5669850169978131E-8</v>
      </c>
      <c r="D63" s="55">
        <v>5</v>
      </c>
    </row>
    <row r="64" spans="1:4" s="11" customFormat="1" x14ac:dyDescent="0.25">
      <c r="A64" s="54">
        <v>6</v>
      </c>
      <c r="B64" s="56">
        <f>'Shiftfunktion bestimmen'!N6</f>
        <v>1.6325831865965362E-10</v>
      </c>
      <c r="D64" s="55">
        <v>6</v>
      </c>
    </row>
    <row r="65" spans="1:5" s="11" customFormat="1" x14ac:dyDescent="0.25">
      <c r="A65" s="54">
        <v>7</v>
      </c>
      <c r="B65" s="56">
        <f>'Shiftfunktion bestimmen'!N7</f>
        <v>4.1835046048773301E-13</v>
      </c>
      <c r="D65" s="55">
        <v>7</v>
      </c>
    </row>
    <row r="66" spans="1:5" x14ac:dyDescent="0.25">
      <c r="A66" s="54">
        <v>8</v>
      </c>
      <c r="B66" s="56">
        <f>'Shiftfunktion bestimmen'!N8</f>
        <v>2.8510301274482405E-16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0.10952926121358084</v>
      </c>
      <c r="D74" s="51">
        <v>1</v>
      </c>
      <c r="E74" s="56">
        <f>'Mastercurve bestimmen'!A18</f>
        <v>1.0000000000000001E-30</v>
      </c>
    </row>
    <row r="75" spans="1:5" x14ac:dyDescent="0.25">
      <c r="A75" s="50">
        <f>A74+1</f>
        <v>2</v>
      </c>
      <c r="B75" s="56">
        <f>'Mastercurve bestimmen'!C19</f>
        <v>5.9305618641404517E-2</v>
      </c>
      <c r="D75" s="51">
        <v>2</v>
      </c>
      <c r="E75" s="56">
        <f>'Mastercurve bestimmen'!A19</f>
        <v>3.9038946506297401E-14</v>
      </c>
    </row>
    <row r="76" spans="1:5" x14ac:dyDescent="0.25">
      <c r="A76" s="50">
        <f t="shared" ref="A76:A104" si="0">A75+1</f>
        <v>3</v>
      </c>
      <c r="B76" s="56">
        <f>'Mastercurve bestimmen'!C20</f>
        <v>3.0349614864603257E-2</v>
      </c>
      <c r="D76" s="51">
        <v>3</v>
      </c>
      <c r="E76" s="56">
        <f>'Mastercurve bestimmen'!A20</f>
        <v>4.3276437088188502E-13</v>
      </c>
    </row>
    <row r="77" spans="1:5" x14ac:dyDescent="0.25">
      <c r="A77" s="50">
        <f t="shared" si="0"/>
        <v>4</v>
      </c>
      <c r="B77" s="56">
        <f>'Mastercurve bestimmen'!C21</f>
        <v>4.167726307399252E-2</v>
      </c>
      <c r="D77" s="51">
        <v>4</v>
      </c>
      <c r="E77" s="56">
        <f>'Mastercurve bestimmen'!A21</f>
        <v>4.7973886968128502E-12</v>
      </c>
    </row>
    <row r="78" spans="1:5" x14ac:dyDescent="0.25">
      <c r="A78" s="50">
        <f t="shared" si="0"/>
        <v>5</v>
      </c>
      <c r="B78" s="56">
        <f>'Mastercurve bestimmen'!C22</f>
        <v>4.036501144186317E-2</v>
      </c>
      <c r="D78" s="51">
        <v>5</v>
      </c>
      <c r="E78" s="56">
        <f>'Mastercurve bestimmen'!A22</f>
        <v>5.31812225239524E-11</v>
      </c>
    </row>
    <row r="79" spans="1:5" x14ac:dyDescent="0.25">
      <c r="A79" s="50">
        <f t="shared" si="0"/>
        <v>6</v>
      </c>
      <c r="B79" s="56">
        <f>'Mastercurve bestimmen'!C23</f>
        <v>4.4176699157067116E-2</v>
      </c>
      <c r="D79" s="51">
        <v>6</v>
      </c>
      <c r="E79" s="56">
        <f>'Mastercurve bestimmen'!A23</f>
        <v>5.8953789402578301E-10</v>
      </c>
    </row>
    <row r="80" spans="1:5" x14ac:dyDescent="0.25">
      <c r="A80" s="50">
        <f t="shared" si="0"/>
        <v>7</v>
      </c>
      <c r="B80" s="56">
        <f>'Mastercurve bestimmen'!C24</f>
        <v>5.1093401565650405E-2</v>
      </c>
      <c r="D80" s="51">
        <v>7</v>
      </c>
      <c r="E80" s="56">
        <f>'Mastercurve bestimmen'!A24</f>
        <v>6.5352940755699598E-9</v>
      </c>
    </row>
    <row r="81" spans="1:5" x14ac:dyDescent="0.25">
      <c r="A81" s="50">
        <f t="shared" si="0"/>
        <v>8</v>
      </c>
      <c r="B81" s="56">
        <f>'Mastercurve bestimmen'!C25</f>
        <v>7.3486409025988797E-2</v>
      </c>
      <c r="D81" s="51">
        <v>8</v>
      </c>
      <c r="E81" s="56">
        <f>'Mastercurve bestimmen'!A25</f>
        <v>7.2446689325643296E-8</v>
      </c>
    </row>
    <row r="82" spans="1:5" x14ac:dyDescent="0.25">
      <c r="A82" s="50">
        <f t="shared" si="0"/>
        <v>9</v>
      </c>
      <c r="B82" s="56">
        <f>'Mastercurve bestimmen'!C26</f>
        <v>9.0828991010172527E-2</v>
      </c>
      <c r="D82" s="51">
        <f>A82</f>
        <v>9</v>
      </c>
      <c r="E82" s="56">
        <f>'Mastercurve bestimmen'!A26</f>
        <v>8.03104303120212E-7</v>
      </c>
    </row>
    <row r="83" spans="1:5" x14ac:dyDescent="0.25">
      <c r="A83" s="50">
        <f t="shared" si="0"/>
        <v>10</v>
      </c>
      <c r="B83" s="56">
        <f>'Mastercurve bestimmen'!C27</f>
        <v>0.11303496653818297</v>
      </c>
      <c r="C83" s="11"/>
      <c r="D83" s="51">
        <f t="shared" ref="D83:D104" si="1">A83</f>
        <v>10</v>
      </c>
      <c r="E83" s="56">
        <f>'Mastercurve bestimmen'!A27</f>
        <v>8.9027742702096099E-6</v>
      </c>
    </row>
    <row r="84" spans="1:5" x14ac:dyDescent="0.25">
      <c r="A84" s="50">
        <f t="shared" si="0"/>
        <v>11</v>
      </c>
      <c r="B84" s="56">
        <f>'Mastercurve bestimmen'!C28</f>
        <v>0.13845265884512553</v>
      </c>
      <c r="C84" s="11"/>
      <c r="D84" s="51">
        <f t="shared" si="1"/>
        <v>11</v>
      </c>
      <c r="E84" s="56">
        <f>'Mastercurve bestimmen'!A28</f>
        <v>9.86912775817142E-5</v>
      </c>
    </row>
    <row r="85" spans="1:5" x14ac:dyDescent="0.25">
      <c r="A85" s="50">
        <f t="shared" si="0"/>
        <v>12</v>
      </c>
      <c r="B85" s="56">
        <f>'Mastercurve bestimmen'!C29</f>
        <v>8.6910854297372359E-2</v>
      </c>
      <c r="C85" s="11"/>
      <c r="D85" s="51">
        <f t="shared" si="1"/>
        <v>12</v>
      </c>
      <c r="E85" s="56">
        <f>'Mastercurve bestimmen'!A29</f>
        <v>1.0940374286813801E-3</v>
      </c>
    </row>
    <row r="86" spans="1:5" x14ac:dyDescent="0.25">
      <c r="A86" s="50">
        <f t="shared" si="0"/>
        <v>13</v>
      </c>
      <c r="B86" s="56">
        <f>'Mastercurve bestimmen'!C30</f>
        <v>5.8628121311532923E-2</v>
      </c>
      <c r="C86" s="11"/>
      <c r="D86" s="51">
        <f t="shared" si="1"/>
        <v>13</v>
      </c>
      <c r="E86" s="56">
        <f>'Mastercurve bestimmen'!A30</f>
        <v>1.2127899493091E-2</v>
      </c>
    </row>
    <row r="87" spans="1:5" x14ac:dyDescent="0.25">
      <c r="A87" s="50">
        <f t="shared" si="0"/>
        <v>14</v>
      </c>
      <c r="B87" s="56">
        <f>'Mastercurve bestimmen'!C31</f>
        <v>2.5608295796313463E-2</v>
      </c>
      <c r="C87" s="11"/>
      <c r="D87" s="51">
        <f t="shared" si="1"/>
        <v>14</v>
      </c>
      <c r="E87" s="56">
        <f>'Mastercurve bestimmen'!A31</f>
        <v>0.13444324870292301</v>
      </c>
    </row>
    <row r="88" spans="1:5" x14ac:dyDescent="0.25">
      <c r="A88" s="50">
        <f t="shared" si="0"/>
        <v>15</v>
      </c>
      <c r="B88" s="56">
        <f>'Mastercurve bestimmen'!C32</f>
        <v>5.0526357723775506E-3</v>
      </c>
      <c r="C88" s="11"/>
      <c r="D88" s="51">
        <f t="shared" si="1"/>
        <v>15</v>
      </c>
      <c r="E88" s="56">
        <f>'Mastercurve bestimmen'!A32</f>
        <v>1.49036419143257</v>
      </c>
    </row>
    <row r="89" spans="1:5" x14ac:dyDescent="0.25">
      <c r="A89" s="50">
        <f t="shared" si="0"/>
        <v>16</v>
      </c>
      <c r="B89" s="56">
        <f>'Mastercurve bestimmen'!C33</f>
        <v>4.3761926995835639E-3</v>
      </c>
      <c r="C89" s="11"/>
      <c r="D89" s="51">
        <f t="shared" si="1"/>
        <v>16</v>
      </c>
      <c r="E89" s="56">
        <f>'Mastercurve bestimmen'!A33</f>
        <v>16.521360830937301</v>
      </c>
    </row>
    <row r="90" spans="1:5" x14ac:dyDescent="0.25">
      <c r="A90" s="50">
        <f t="shared" si="0"/>
        <v>17</v>
      </c>
      <c r="B90" s="56">
        <f>'Mastercurve bestimmen'!C34</f>
        <v>3.799405391061131E-3</v>
      </c>
      <c r="C90" s="11"/>
      <c r="D90" s="51">
        <f t="shared" si="1"/>
        <v>17</v>
      </c>
      <c r="E90" s="56">
        <f>'Mastercurve bestimmen'!A34</f>
        <v>183.146753843879</v>
      </c>
    </row>
    <row r="91" spans="1:5" x14ac:dyDescent="0.25">
      <c r="A91" s="50">
        <f t="shared" si="0"/>
        <v>18</v>
      </c>
      <c r="B91" s="56">
        <f>'Mastercurve bestimmen'!C35</f>
        <v>4.2249411335647654E-3</v>
      </c>
      <c r="C91" s="11"/>
      <c r="D91" s="51">
        <f t="shared" si="1"/>
        <v>18</v>
      </c>
      <c r="E91" s="56">
        <f>'Mastercurve bestimmen'!A35</f>
        <v>2030.26456396616</v>
      </c>
    </row>
    <row r="92" spans="1:5" x14ac:dyDescent="0.25">
      <c r="A92" s="50">
        <f t="shared" si="0"/>
        <v>19</v>
      </c>
      <c r="B92" s="56">
        <f>'Mastercurve bestimmen'!C36</f>
        <v>2.7574935483823488E-3</v>
      </c>
      <c r="C92" s="11"/>
      <c r="D92" s="51">
        <f t="shared" si="1"/>
        <v>19</v>
      </c>
      <c r="E92" s="56">
        <f>'Mastercurve bestimmen'!A36</f>
        <v>22506.400540467101</v>
      </c>
    </row>
    <row r="93" spans="1:5" x14ac:dyDescent="0.25">
      <c r="A93" s="50">
        <f t="shared" si="0"/>
        <v>20</v>
      </c>
      <c r="B93" s="56">
        <f>'Mastercurve bestimmen'!C37</f>
        <v>1.745678055330739E-3</v>
      </c>
      <c r="C93" s="11"/>
      <c r="D93" s="51">
        <f t="shared" si="1"/>
        <v>20</v>
      </c>
      <c r="E93" s="56">
        <f>'Mastercurve bestimmen'!A37</f>
        <v>249493.62476110301</v>
      </c>
    </row>
    <row r="94" spans="1:5" x14ac:dyDescent="0.25">
      <c r="A94" s="50">
        <f t="shared" si="0"/>
        <v>21</v>
      </c>
      <c r="B94" s="56">
        <f>'Mastercurve bestimmen'!C38</f>
        <v>4.0897783870777585E-4</v>
      </c>
      <c r="C94" s="11"/>
      <c r="D94" s="51">
        <f t="shared" si="1"/>
        <v>21</v>
      </c>
      <c r="E94" s="56">
        <f>'Mastercurve bestimmen'!A38</f>
        <v>2765749.6224023802</v>
      </c>
    </row>
    <row r="95" spans="1:5" x14ac:dyDescent="0.25">
      <c r="A95" s="50">
        <f t="shared" si="0"/>
        <v>22</v>
      </c>
      <c r="B95" s="56">
        <f>'Mastercurve bestimmen'!C39</f>
        <v>8.9346516984039216E-4</v>
      </c>
      <c r="C95" s="11"/>
      <c r="D95" s="51">
        <f t="shared" si="1"/>
        <v>22</v>
      </c>
      <c r="E95" s="56">
        <f>'Mastercurve bestimmen'!A39</f>
        <v>10000000</v>
      </c>
    </row>
    <row r="96" spans="1:5" x14ac:dyDescent="0.25">
      <c r="A96" s="50">
        <f t="shared" si="0"/>
        <v>23</v>
      </c>
      <c r="B96" s="56">
        <f>'Mastercurve bestimmen'!C40</f>
        <v>2.0267191834609735E-4</v>
      </c>
      <c r="C96" s="11"/>
      <c r="D96" s="51">
        <f t="shared" si="1"/>
        <v>23</v>
      </c>
      <c r="E96" s="56">
        <f>'Mastercurve bestimmen'!A40</f>
        <v>100000000</v>
      </c>
    </row>
    <row r="97" spans="1:5" x14ac:dyDescent="0.25">
      <c r="A97" s="50">
        <f t="shared" si="0"/>
        <v>24</v>
      </c>
      <c r="B97" s="56">
        <f>'Mastercurve bestimmen'!C41</f>
        <v>4.681554200352879E-4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8.6950344882608704E-5</v>
      </c>
      <c r="C99" s="11"/>
      <c r="D99" s="51">
        <f t="shared" si="1"/>
        <v>26</v>
      </c>
      <c r="E99" s="56">
        <f>'Mastercurve bestimmen'!A43</f>
        <v>100000000000</v>
      </c>
    </row>
    <row r="100" spans="1:5" x14ac:dyDescent="0.25">
      <c r="A100" s="50">
        <f t="shared" si="0"/>
        <v>27</v>
      </c>
      <c r="B100" s="56">
        <f>'Mastercurve bestimmen'!C44</f>
        <v>1.5301974797879704E-4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4.9447313975811648E-5</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6.9977936619533359E-4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64" zoomScale="120" zoomScaleNormal="120" zoomScaleSheetLayoutView="110" workbookViewId="0">
      <selection activeCell="E7" sqref="E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6585.7419229281086</v>
      </c>
      <c r="G16" s="26">
        <f>INDEX(Comparison!$AM$3:$AS$33,G14,$B$3)</f>
        <v>6334.3824808152185</v>
      </c>
      <c r="H16" s="26">
        <f>INDEX(Comparison!$AM$3:$AS$33,H14,$B$3)</f>
        <v>6097.7114849761656</v>
      </c>
      <c r="I16" s="26">
        <f>INDEX(Comparison!$AM$3:$AS$33,I14,$B$3)</f>
        <v>5825.3419350887143</v>
      </c>
      <c r="J16" s="26">
        <f>INDEX(Comparison!$AM$3:$AS$33,J14,$B$3)</f>
        <v>5546.9331561273084</v>
      </c>
      <c r="K16" s="26">
        <f>INDEX(Comparison!$AM$3:$AS$33,K14,$B$3)</f>
        <v>5257.3325173232261</v>
      </c>
      <c r="L16" s="26">
        <f>INDEX(Comparison!$AM$3:$AS$33,L14,$B$3)</f>
        <v>4943.4016945901922</v>
      </c>
      <c r="M16" s="26">
        <f>INDEX(Comparison!$AM$3:$AS$33,M14,$B$3)</f>
        <v>4573.266252420035</v>
      </c>
      <c r="N16" s="26">
        <f>INDEX(Comparison!$AM$3:$AS$33,N14,$B$3)</f>
        <v>4079.2740096930638</v>
      </c>
      <c r="O16" s="26">
        <f>INDEX(Comparison!$AM$3:$AS$33,O14,$B$3)</f>
        <v>3459.2497747504567</v>
      </c>
      <c r="P16" s="26">
        <f>INDEX(Comparison!$AM$3:$AS$33,P14,$B$3)</f>
        <v>2702.914511015118</v>
      </c>
      <c r="Q16" s="26">
        <f>INDEX(Comparison!$AM$3:$AS$33,Q14,$B$3)</f>
        <v>1832.1518571214692</v>
      </c>
      <c r="R16" s="26">
        <f>INDEX(Comparison!$AM$3:$AS$33,R14,$B$3)</f>
        <v>1105.139847553852</v>
      </c>
      <c r="S16" s="26">
        <f>INDEX(Comparison!$AM$3:$AS$33,S14,$B$3)</f>
        <v>630.91869332772831</v>
      </c>
      <c r="T16" s="26">
        <f>INDEX(Comparison!$AM$3:$AS$33,T14,$B$3)</f>
        <v>354.28738756335468</v>
      </c>
      <c r="U16" s="26">
        <f>INDEX(Comparison!$AM$3:$AS$33,U14,$B$3)</f>
        <v>248.22351395532451</v>
      </c>
      <c r="V16" s="26">
        <f>INDEX(Comparison!$AM$3:$AS$33,V14,$B$3)</f>
        <v>214.57476664013214</v>
      </c>
      <c r="W16" s="26">
        <f>INDEX(Comparison!$AM$3:$AS$33,W14,$B$3)</f>
        <v>185.72591291449908</v>
      </c>
      <c r="X16" s="26">
        <f>INDEX(Comparison!$AM$3:$AS$33,X14,$B$3)</f>
        <v>158.09658219581334</v>
      </c>
      <c r="Y16" s="26">
        <f>INDEX(Comparison!$AM$3:$AS$33,Y14,$B$3)</f>
        <v>132.46407229952649</v>
      </c>
      <c r="Z16" s="26">
        <f>INDEX(Comparison!$AM$3:$AS$33,Z14,$B$3)</f>
        <v>115.64370251909122</v>
      </c>
      <c r="AA16" s="26">
        <f>INDEX(Comparison!$AM$3:$AS$33,AA14,$B$3)</f>
        <v>105.70344373363407</v>
      </c>
      <c r="AB16" s="26">
        <f>INDEX(Comparison!$AM$3:$AS$33,AB14,$B$3)</f>
        <v>99.769058005183027</v>
      </c>
      <c r="AC16" s="26">
        <f>INDEX(Comparison!$AM$3:$AS$33,AC14,$B$3)</f>
        <v>96.16135307969536</v>
      </c>
      <c r="AD16" s="26">
        <f>INDEX(Comparison!$AM$3:$AS$33,AD14,$B$3)</f>
        <v>93.862812708921865</v>
      </c>
      <c r="AE16" s="26">
        <f>INDEX(Comparison!$AM$3:$AS$33,AE14,$B$3)</f>
        <v>92.381155101656375</v>
      </c>
      <c r="AF16" s="26">
        <f>INDEX(Comparison!$AM$3:$AS$33,AF14,$B$3)</f>
        <v>92.126538569786135</v>
      </c>
      <c r="AG16" s="26">
        <f>INDEX(Comparison!$AM$3:$AS$33,AG14,$B$3)</f>
        <v>91.086268606556416</v>
      </c>
      <c r="AH16" s="26">
        <f>INDEX(Comparison!$AM$3:$AS$33,AH14,$B$3)</f>
        <v>90.886673770022838</v>
      </c>
      <c r="AI16" s="26">
        <f>INDEX(Comparison!$AM$3:$AS$33,AI14,$B$3)</f>
        <v>90.290301687552557</v>
      </c>
      <c r="AJ16" s="26">
        <f>INDEX(Comparison!$AM$3:$AS$33,AJ14,$B$3)</f>
        <v>90.056329050223439</v>
      </c>
    </row>
    <row r="17" spans="1:36" x14ac:dyDescent="0.25">
      <c r="A17" s="14" t="s">
        <v>20</v>
      </c>
      <c r="B17" s="105">
        <v>8.6224060394191216E-3</v>
      </c>
      <c r="C17" s="18">
        <f t="shared" ref="C17:C48" si="3">ABS(B17/$B$49)</f>
        <v>1.1634019496887183E-2</v>
      </c>
      <c r="D17" s="66"/>
      <c r="E17" s="65" t="s">
        <v>22</v>
      </c>
      <c r="F17" s="27">
        <f>($C$17+SUM(F18:F48))*$B$51</f>
        <v>6516.4469225264729</v>
      </c>
      <c r="G17" s="27">
        <f t="shared" ref="G17:M17" si="4">($C$17+SUM(G18:G48))*$B$51</f>
        <v>6423.9974874995569</v>
      </c>
      <c r="H17" s="27">
        <f t="shared" si="4"/>
        <v>6073.990476188339</v>
      </c>
      <c r="I17" s="27">
        <f t="shared" si="4"/>
        <v>5829.2184828173622</v>
      </c>
      <c r="J17" s="27">
        <f t="shared" si="4"/>
        <v>5546.4019386953169</v>
      </c>
      <c r="K17" s="27">
        <f t="shared" si="4"/>
        <v>5257.3994920691212</v>
      </c>
      <c r="L17" s="27">
        <f t="shared" si="4"/>
        <v>4943.3796337935546</v>
      </c>
      <c r="M17" s="27">
        <f t="shared" si="4"/>
        <v>4573.24797655569</v>
      </c>
      <c r="N17" s="27">
        <f t="shared" ref="N17" si="5">($C$17+SUM(N18:N48))*$B$51</f>
        <v>4079.3485035930439</v>
      </c>
      <c r="O17" s="27">
        <f t="shared" ref="O17" si="6">($C$17+SUM(O18:O48))*$B$51</f>
        <v>3459.1026447144718</v>
      </c>
      <c r="P17" s="27">
        <f t="shared" ref="P17" si="7">($C$17+SUM(P18:P48))*$B$51</f>
        <v>2703.168447692939</v>
      </c>
      <c r="Q17" s="27">
        <f t="shared" ref="Q17" si="8">($C$17+SUM(Q18:Q48))*$B$51</f>
        <v>1831.8065085360536</v>
      </c>
      <c r="R17" s="27">
        <f t="shared" ref="R17" si="9">($C$17+SUM(R18:R48))*$B$51</f>
        <v>1105.538384266328</v>
      </c>
      <c r="S17" s="27">
        <f t="shared" ref="S17:T17" si="10">($C$17+SUM(S18:S48))*$B$51</f>
        <v>630.48443636103787</v>
      </c>
      <c r="T17" s="27">
        <f t="shared" si="10"/>
        <v>354.69679895787669</v>
      </c>
      <c r="U17" s="27">
        <f t="shared" ref="U17" si="11">($C$17+SUM(U18:U48))*$B$51</f>
        <v>247.92134197930326</v>
      </c>
      <c r="V17" s="27">
        <f t="shared" ref="V17" si="12">($C$17+SUM(V18:V48))*$B$51</f>
        <v>214.76321678212645</v>
      </c>
      <c r="W17" s="27">
        <f t="shared" ref="W17" si="13">($C$17+SUM(W18:W48))*$B$51</f>
        <v>185.61838898293024</v>
      </c>
      <c r="X17" s="27">
        <f t="shared" ref="X17" si="14">($C$17+SUM(X18:X48))*$B$51</f>
        <v>158.13284670123574</v>
      </c>
      <c r="Y17" s="27">
        <f t="shared" ref="Y17" si="15">($C$17+SUM(Y18:Y48))*$B$51</f>
        <v>132.47181236466025</v>
      </c>
      <c r="Z17" s="27">
        <f t="shared" ref="Z17:AA17" si="16">($C$17+SUM(Z18:Z48))*$B$51</f>
        <v>115.64230396158021</v>
      </c>
      <c r="AA17" s="27">
        <f t="shared" si="16"/>
        <v>105.68785562967224</v>
      </c>
      <c r="AB17" s="27">
        <f t="shared" ref="AB17" si="17">($C$17+SUM(AB18:AB48))*$B$51</f>
        <v>99.773041403637791</v>
      </c>
      <c r="AC17" s="27">
        <f t="shared" ref="AC17" si="18">($C$17+SUM(AC18:AC48))*$B$51</f>
        <v>96.192156147623493</v>
      </c>
      <c r="AD17" s="27">
        <f t="shared" ref="AD17" si="19">($C$17+SUM(AD18:AD48))*$B$51</f>
        <v>93.795757609878237</v>
      </c>
      <c r="AE17" s="27">
        <f t="shared" ref="AE17" si="20">($C$17+SUM(AE18:AE48))*$B$51</f>
        <v>92.468874217437076</v>
      </c>
      <c r="AF17" s="27">
        <f t="shared" ref="AF17" si="21">($C$17+SUM(AF18:AF48))*$B$51</f>
        <v>92.030482223299941</v>
      </c>
      <c r="AG17" s="27">
        <f t="shared" ref="AG17:AH17" si="22">($C$17+SUM(AG18:AG48))*$B$51</f>
        <v>91.189955471245895</v>
      </c>
      <c r="AH17" s="27">
        <f t="shared" si="22"/>
        <v>90.741791965504447</v>
      </c>
      <c r="AI17" s="27">
        <f t="shared" ref="AI17" si="23">($C$17+SUM(AI18:AI48))*$B$51</f>
        <v>90.501177613567975</v>
      </c>
      <c r="AJ17" s="27">
        <f t="shared" ref="AJ17" si="24">($C$17+SUM(AJ18:AJ48))*$B$51</f>
        <v>89.930693027086804</v>
      </c>
    </row>
    <row r="18" spans="1:36" x14ac:dyDescent="0.25">
      <c r="A18" s="3">
        <f>0.000000000000001/10^15</f>
        <v>1.0000000000000001E-30</v>
      </c>
      <c r="B18" s="106">
        <v>8.1176223199022554E-2</v>
      </c>
      <c r="C18" s="18">
        <f t="shared" si="3"/>
        <v>0.10952926121358084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4.3953607305020688E-2</v>
      </c>
      <c r="C19" s="18">
        <f t="shared" si="3"/>
        <v>5.9305618641404517E-2</v>
      </c>
      <c r="D19" s="17"/>
      <c r="F19" s="3">
        <f t="shared" si="25"/>
        <v>5.7805770458540649E-2</v>
      </c>
      <c r="G19" s="3">
        <f t="shared" si="25"/>
        <v>4.5903877822201934E-2</v>
      </c>
      <c r="H19" s="3">
        <f t="shared" si="25"/>
        <v>4.5775298468284202E-3</v>
      </c>
      <c r="I19" s="3">
        <f t="shared" si="25"/>
        <v>4.4509148093879871E-13</v>
      </c>
      <c r="J19" s="3">
        <f t="shared" si="25"/>
        <v>3.3622519521870051E-113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2.2493232246397456E-2</v>
      </c>
      <c r="C20" s="18">
        <f t="shared" si="3"/>
        <v>3.0349614864603257E-2</v>
      </c>
      <c r="D20" s="17"/>
      <c r="F20" s="3">
        <f t="shared" si="25"/>
        <v>3.0279566175129398E-2</v>
      </c>
      <c r="G20" s="3">
        <f t="shared" si="25"/>
        <v>2.965635881277175E-2</v>
      </c>
      <c r="H20" s="3">
        <f t="shared" si="25"/>
        <v>2.4087937601708347E-2</v>
      </c>
      <c r="I20" s="3">
        <f t="shared" si="25"/>
        <v>3.0103536357511847E-3</v>
      </c>
      <c r="J20" s="3">
        <f t="shared" si="25"/>
        <v>2.7976701360038656E-12</v>
      </c>
      <c r="K20" s="3">
        <f t="shared" si="25"/>
        <v>1.3445792696561056E-102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3.0888575090647144E-2</v>
      </c>
      <c r="C21" s="18">
        <f t="shared" si="3"/>
        <v>4.167726307399252E-2</v>
      </c>
      <c r="D21" s="17"/>
      <c r="F21" s="3">
        <f t="shared" si="25"/>
        <v>4.1668576490047626E-2</v>
      </c>
      <c r="G21" s="3">
        <f t="shared" si="25"/>
        <v>4.1590478661837973E-2</v>
      </c>
      <c r="H21" s="3">
        <f t="shared" si="25"/>
        <v>4.0817505950206535E-2</v>
      </c>
      <c r="I21" s="3">
        <f t="shared" si="25"/>
        <v>3.3835447557334655E-2</v>
      </c>
      <c r="J21" s="3">
        <f t="shared" si="25"/>
        <v>5.1835409390625468E-3</v>
      </c>
      <c r="K21" s="3">
        <f t="shared" si="25"/>
        <v>3.6912427513140928E-11</v>
      </c>
      <c r="L21" s="3">
        <f t="shared" si="25"/>
        <v>1.2377511811173155E-92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2.9916016431867427E-2</v>
      </c>
      <c r="C22" s="18">
        <f t="shared" si="3"/>
        <v>4.036501144186317E-2</v>
      </c>
      <c r="D22" s="17"/>
      <c r="F22" s="3">
        <f t="shared" si="25"/>
        <v>4.0364252440282834E-2</v>
      </c>
      <c r="G22" s="3">
        <f t="shared" si="25"/>
        <v>4.0357422068260866E-2</v>
      </c>
      <c r="H22" s="3">
        <f t="shared" si="25"/>
        <v>4.0289181886114293E-2</v>
      </c>
      <c r="I22" s="3">
        <f t="shared" si="25"/>
        <v>3.9613094266359145E-2</v>
      </c>
      <c r="J22" s="3">
        <f t="shared" si="25"/>
        <v>3.3445828229521364E-2</v>
      </c>
      <c r="K22" s="3">
        <f t="shared" si="25"/>
        <v>6.1570663063878917E-3</v>
      </c>
      <c r="L22" s="3">
        <f t="shared" si="25"/>
        <v>2.7522798252658026E-10</v>
      </c>
      <c r="M22" s="3">
        <f t="shared" si="25"/>
        <v>8.7675882811438026E-84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3.2741000452630654E-2</v>
      </c>
      <c r="C23" s="18">
        <f t="shared" si="3"/>
        <v>4.4176699157067116E-2</v>
      </c>
      <c r="D23" s="17"/>
      <c r="F23" s="3">
        <f t="shared" si="25"/>
        <v>4.4176624222678443E-2</v>
      </c>
      <c r="G23" s="3">
        <f t="shared" si="25"/>
        <v>4.4175949818900148E-2</v>
      </c>
      <c r="H23" s="3">
        <f t="shared" si="25"/>
        <v>4.4169206347343788E-2</v>
      </c>
      <c r="I23" s="3">
        <f t="shared" si="25"/>
        <v>4.4101828222469386E-2</v>
      </c>
      <c r="J23" s="3">
        <f t="shared" si="25"/>
        <v>4.3433674207553993E-2</v>
      </c>
      <c r="K23" s="3">
        <f t="shared" si="25"/>
        <v>3.7284328886763321E-2</v>
      </c>
      <c r="L23" s="3">
        <f t="shared" si="25"/>
        <v>8.1007259217271751E-3</v>
      </c>
      <c r="M23" s="3">
        <f t="shared" si="25"/>
        <v>1.8988909382834061E-9</v>
      </c>
      <c r="N23" s="3">
        <f t="shared" si="25"/>
        <v>9.5117593954329179E-76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3.7867226744119194E-2</v>
      </c>
      <c r="C24" s="18">
        <f t="shared" si="3"/>
        <v>5.1093401565650405E-2</v>
      </c>
      <c r="D24" s="17"/>
      <c r="F24" s="3">
        <f t="shared" si="25"/>
        <v>5.1093393747578708E-2</v>
      </c>
      <c r="G24" s="3">
        <f t="shared" si="25"/>
        <v>5.1093323384987246E-2</v>
      </c>
      <c r="H24" s="3">
        <f t="shared" si="25"/>
        <v>5.1092619764402089E-2</v>
      </c>
      <c r="I24" s="3">
        <f t="shared" si="25"/>
        <v>5.1085584091465144E-2</v>
      </c>
      <c r="J24" s="3">
        <f t="shared" si="25"/>
        <v>5.1015280626417588E-2</v>
      </c>
      <c r="K24" s="3">
        <f t="shared" si="25"/>
        <v>5.0317545367466902E-2</v>
      </c>
      <c r="L24" s="3">
        <f t="shared" si="25"/>
        <v>4.3844095541851688E-2</v>
      </c>
      <c r="M24" s="3">
        <f t="shared" si="25"/>
        <v>1.106185093250517E-2</v>
      </c>
      <c r="N24" s="3">
        <f t="shared" si="25"/>
        <v>1.1560980377947236E-8</v>
      </c>
      <c r="O24" s="3">
        <f t="shared" si="25"/>
        <v>1.7974767758482728E-68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5.4463520296699236E-2</v>
      </c>
      <c r="C25" s="18">
        <f t="shared" si="3"/>
        <v>7.3486409025988797E-2</v>
      </c>
      <c r="D25" s="17"/>
      <c r="F25" s="3">
        <f t="shared" si="25"/>
        <v>7.3486408011637291E-2</v>
      </c>
      <c r="G25" s="3">
        <f t="shared" si="25"/>
        <v>7.3486398882474352E-2</v>
      </c>
      <c r="H25" s="3">
        <f t="shared" si="25"/>
        <v>7.3486307590907379E-2</v>
      </c>
      <c r="I25" s="3">
        <f t="shared" si="25"/>
        <v>7.3485394681475108E-2</v>
      </c>
      <c r="J25" s="3">
        <f t="shared" si="25"/>
        <v>7.3476266210880783E-2</v>
      </c>
      <c r="K25" s="3">
        <f t="shared" si="25"/>
        <v>7.3385043849109946E-2</v>
      </c>
      <c r="L25" s="3">
        <f t="shared" si="25"/>
        <v>7.2479026087221884E-2</v>
      </c>
      <c r="M25" s="3">
        <f t="shared" si="25"/>
        <v>6.4011832263820123E-2</v>
      </c>
      <c r="N25" s="3">
        <f t="shared" si="25"/>
        <v>1.8481590947711408E-2</v>
      </c>
      <c r="O25" s="3">
        <f t="shared" si="25"/>
        <v>7.4392697437445979E-8</v>
      </c>
      <c r="P25" s="3">
        <f t="shared" si="25"/>
        <v>8.306916232263999E-62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6.7316755043259249E-2</v>
      </c>
      <c r="C26" s="18">
        <f t="shared" si="3"/>
        <v>9.0828991010172527E-2</v>
      </c>
      <c r="D26" s="17"/>
      <c r="F26" s="3">
        <f t="shared" si="25"/>
        <v>9.0828990897075149E-2</v>
      </c>
      <c r="G26" s="3">
        <f t="shared" si="25"/>
        <v>9.0828989879198754E-2</v>
      </c>
      <c r="H26" s="3">
        <f t="shared" si="25"/>
        <v>9.0828979700435422E-2</v>
      </c>
      <c r="I26" s="3">
        <f t="shared" si="25"/>
        <v>9.0828877912864855E-2</v>
      </c>
      <c r="J26" s="3">
        <f t="shared" si="25"/>
        <v>9.0827860043432934E-2</v>
      </c>
      <c r="K26" s="3">
        <f t="shared" si="25"/>
        <v>9.0817681976461326E-2</v>
      </c>
      <c r="L26" s="3">
        <f t="shared" si="25"/>
        <v>9.0715964015506911E-2</v>
      </c>
      <c r="M26" s="3">
        <f t="shared" si="25"/>
        <v>8.9705029358258775E-2</v>
      </c>
      <c r="N26" s="3">
        <f t="shared" si="25"/>
        <v>8.0195041908379158E-2</v>
      </c>
      <c r="O26" s="3">
        <f t="shared" si="25"/>
        <v>2.6148981558180396E-2</v>
      </c>
      <c r="P26" s="3">
        <f t="shared" si="25"/>
        <v>3.5524451388619124E-7</v>
      </c>
      <c r="Q26" s="3">
        <f t="shared" si="25"/>
        <v>7.6077001945259926E-56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8.3774432250619979E-2</v>
      </c>
      <c r="C27" s="18">
        <f t="shared" si="3"/>
        <v>0.11303496653818297</v>
      </c>
      <c r="D27" s="17"/>
      <c r="F27" s="3">
        <f t="shared" si="25"/>
        <v>0.11303496652548638</v>
      </c>
      <c r="G27" s="3">
        <f t="shared" si="25"/>
        <v>0.11303496641121696</v>
      </c>
      <c r="H27" s="3">
        <f t="shared" si="25"/>
        <v>0.11303496526852296</v>
      </c>
      <c r="I27" s="3">
        <f t="shared" si="25"/>
        <v>0.11303495384158338</v>
      </c>
      <c r="J27" s="3">
        <f t="shared" si="25"/>
        <v>0.11303483957225119</v>
      </c>
      <c r="K27" s="3">
        <f t="shared" si="25"/>
        <v>0.11303369688528288</v>
      </c>
      <c r="L27" s="3">
        <f t="shared" si="25"/>
        <v>0.11302227065091849</v>
      </c>
      <c r="M27" s="3">
        <f t="shared" si="25"/>
        <v>0.11290807181540313</v>
      </c>
      <c r="N27" s="3">
        <f t="shared" si="25"/>
        <v>0.11177241058257627</v>
      </c>
      <c r="O27" s="3">
        <f t="shared" si="25"/>
        <v>0.10102547088252445</v>
      </c>
      <c r="P27" s="3">
        <f t="shared" si="25"/>
        <v>3.6761527020417316E-2</v>
      </c>
      <c r="Q27" s="3">
        <f t="shared" si="25"/>
        <v>1.4963050434562667E-6</v>
      </c>
      <c r="R27" s="3">
        <f t="shared" si="25"/>
        <v>1.8676096402940836E-50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0.1026124326265105</v>
      </c>
      <c r="C28" s="18">
        <f t="shared" si="3"/>
        <v>0.13845265884512553</v>
      </c>
      <c r="D28" s="17"/>
      <c r="F28" s="3">
        <f t="shared" si="25"/>
        <v>0.13845265884372265</v>
      </c>
      <c r="G28" s="3">
        <f t="shared" si="25"/>
        <v>0.13845265883109667</v>
      </c>
      <c r="H28" s="3">
        <f t="shared" si="25"/>
        <v>0.13845265870483689</v>
      </c>
      <c r="I28" s="3">
        <f t="shared" si="25"/>
        <v>0.13845265744223906</v>
      </c>
      <c r="J28" s="3">
        <f t="shared" si="25"/>
        <v>0.13845264481626146</v>
      </c>
      <c r="K28" s="3">
        <f t="shared" si="25"/>
        <v>0.13845251855654878</v>
      </c>
      <c r="L28" s="3">
        <f t="shared" si="25"/>
        <v>0.13845125596575467</v>
      </c>
      <c r="M28" s="3">
        <f t="shared" si="25"/>
        <v>0.13843863069106349</v>
      </c>
      <c r="N28" s="3">
        <f t="shared" si="25"/>
        <v>0.1383124412477881</v>
      </c>
      <c r="O28" s="3">
        <f t="shared" si="25"/>
        <v>0.13705685587102409</v>
      </c>
      <c r="P28" s="3">
        <f t="shared" si="25"/>
        <v>0.12511112929644644</v>
      </c>
      <c r="Q28" s="3">
        <f t="shared" si="25"/>
        <v>5.0262922745385685E-2</v>
      </c>
      <c r="R28" s="3">
        <f t="shared" si="25"/>
        <v>5.5051059941299446E-6</v>
      </c>
      <c r="S28" s="3">
        <f t="shared" si="25"/>
        <v>1.3675560930465151E-45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6.4412877697621551E-2</v>
      </c>
      <c r="C29" s="18">
        <f t="shared" si="3"/>
        <v>8.6910854297372359E-2</v>
      </c>
      <c r="D29" s="17"/>
      <c r="F29" s="3">
        <f t="shared" si="25"/>
        <v>8.6910854297292922E-2</v>
      </c>
      <c r="G29" s="3">
        <f t="shared" si="25"/>
        <v>8.6910854296577952E-2</v>
      </c>
      <c r="H29" s="3">
        <f t="shared" si="25"/>
        <v>8.691085428942831E-2</v>
      </c>
      <c r="I29" s="3">
        <f t="shared" si="25"/>
        <v>8.6910854217931877E-2</v>
      </c>
      <c r="J29" s="3">
        <f t="shared" si="25"/>
        <v>8.6910853502967594E-2</v>
      </c>
      <c r="K29" s="3">
        <f t="shared" si="25"/>
        <v>8.6910846353325105E-2</v>
      </c>
      <c r="L29" s="3">
        <f t="shared" si="25"/>
        <v>8.691077485693248E-2</v>
      </c>
      <c r="M29" s="3">
        <f t="shared" si="25"/>
        <v>8.6910059896241121E-2</v>
      </c>
      <c r="N29" s="3">
        <f t="shared" si="25"/>
        <v>8.690291061280396E-2</v>
      </c>
      <c r="O29" s="3">
        <f t="shared" si="25"/>
        <v>8.6831450116234554E-2</v>
      </c>
      <c r="P29" s="3">
        <f t="shared" si="25"/>
        <v>8.6120069109485012E-2</v>
      </c>
      <c r="Q29" s="3">
        <f t="shared" si="25"/>
        <v>7.9319054144669734E-2</v>
      </c>
      <c r="R29" s="3">
        <f t="shared" si="25"/>
        <v>3.4842483051668746E-2</v>
      </c>
      <c r="S29" s="3">
        <f t="shared" si="25"/>
        <v>9.3201908327907052E-6</v>
      </c>
      <c r="T29" s="3">
        <f t="shared" si="25"/>
        <v>1.74816281122124E-41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4.3451488749147699E-2</v>
      </c>
      <c r="C30" s="18">
        <f t="shared" si="3"/>
        <v>5.8628121311532923E-2</v>
      </c>
      <c r="D30" s="17"/>
      <c r="F30" s="3">
        <f t="shared" si="25"/>
        <v>5.8628121311528086E-2</v>
      </c>
      <c r="G30" s="3">
        <f t="shared" si="25"/>
        <v>5.862812131148458E-2</v>
      </c>
      <c r="H30" s="3">
        <f t="shared" si="25"/>
        <v>5.8628121311049511E-2</v>
      </c>
      <c r="I30" s="3">
        <f t="shared" si="25"/>
        <v>5.8628121306698769E-2</v>
      </c>
      <c r="J30" s="3">
        <f t="shared" si="25"/>
        <v>5.8628121263191391E-2</v>
      </c>
      <c r="K30" s="3">
        <f t="shared" si="25"/>
        <v>5.8628120828117629E-2</v>
      </c>
      <c r="L30" s="3">
        <f t="shared" si="25"/>
        <v>5.8628116477380157E-2</v>
      </c>
      <c r="M30" s="3">
        <f t="shared" si="25"/>
        <v>5.862807297002319E-2</v>
      </c>
      <c r="N30" s="3">
        <f t="shared" si="25"/>
        <v>5.8627637898229258E-2</v>
      </c>
      <c r="O30" s="3">
        <f t="shared" si="25"/>
        <v>5.8623287357859828E-2</v>
      </c>
      <c r="P30" s="3">
        <f t="shared" si="25"/>
        <v>5.8579799706277198E-2</v>
      </c>
      <c r="Q30" s="3">
        <f t="shared" si="25"/>
        <v>5.8146693537013357E-2</v>
      </c>
      <c r="R30" s="3">
        <f t="shared" si="25"/>
        <v>5.3987900582110636E-2</v>
      </c>
      <c r="S30" s="3">
        <f t="shared" si="25"/>
        <v>2.5704584870206874E-2</v>
      </c>
      <c r="T30" s="3">
        <f t="shared" si="25"/>
        <v>1.5386935866543978E-5</v>
      </c>
      <c r="U30" s="3">
        <f t="shared" si="25"/>
        <v>9.0900785481952569E-38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1.8979263735327545E-2</v>
      </c>
      <c r="C31" s="18">
        <f t="shared" si="3"/>
        <v>2.5608295796313463E-2</v>
      </c>
      <c r="D31" s="17"/>
      <c r="F31" s="3">
        <f t="shared" si="25"/>
        <v>2.5608295796313272E-2</v>
      </c>
      <c r="G31" s="3">
        <f t="shared" si="25"/>
        <v>2.5608295796311558E-2</v>
      </c>
      <c r="H31" s="3">
        <f t="shared" si="25"/>
        <v>2.5608295796294415E-2</v>
      </c>
      <c r="I31" s="3">
        <f t="shared" si="25"/>
        <v>2.5608295796122987E-2</v>
      </c>
      <c r="J31" s="3">
        <f t="shared" si="25"/>
        <v>2.5608295794408695E-2</v>
      </c>
      <c r="K31" s="3">
        <f t="shared" si="25"/>
        <v>2.56082957772658E-2</v>
      </c>
      <c r="L31" s="3">
        <f t="shared" si="25"/>
        <v>2.5608295605836842E-2</v>
      </c>
      <c r="M31" s="3">
        <f t="shared" si="25"/>
        <v>2.5608293891547319E-2</v>
      </c>
      <c r="N31" s="3">
        <f t="shared" si="25"/>
        <v>2.5608276748658398E-2</v>
      </c>
      <c r="O31" s="3">
        <f t="shared" si="25"/>
        <v>2.5608105320400351E-2</v>
      </c>
      <c r="P31" s="3">
        <f t="shared" si="25"/>
        <v>2.5606391100935755E-2</v>
      </c>
      <c r="Q31" s="3">
        <f t="shared" si="25"/>
        <v>2.558925521631181E-2</v>
      </c>
      <c r="R31" s="3">
        <f t="shared" si="25"/>
        <v>2.5418525812149761E-2</v>
      </c>
      <c r="S31" s="3">
        <f t="shared" si="25"/>
        <v>2.377264444868539E-2</v>
      </c>
      <c r="T31" s="3">
        <f t="shared" si="25"/>
        <v>1.2171633058893433E-2</v>
      </c>
      <c r="U31" s="3">
        <f t="shared" si="25"/>
        <v>1.5068235964642491E-5</v>
      </c>
      <c r="V31" s="3">
        <f t="shared" si="26"/>
        <v>1.2740838968676907E-34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3.7446969390407029E-3</v>
      </c>
      <c r="C32" s="18">
        <f t="shared" si="3"/>
        <v>5.0526357723775506E-3</v>
      </c>
      <c r="D32" s="17"/>
      <c r="F32" s="3">
        <f t="shared" si="25"/>
        <v>5.0526357723775471E-3</v>
      </c>
      <c r="G32" s="3">
        <f t="shared" si="25"/>
        <v>5.0526357723775167E-3</v>
      </c>
      <c r="H32" s="3">
        <f t="shared" si="25"/>
        <v>5.0526357723772114E-3</v>
      </c>
      <c r="I32" s="3">
        <f t="shared" si="25"/>
        <v>5.0526357723741601E-3</v>
      </c>
      <c r="J32" s="3">
        <f t="shared" si="25"/>
        <v>5.0526357723436489E-3</v>
      </c>
      <c r="K32" s="3">
        <f t="shared" si="25"/>
        <v>5.052635772038531E-3</v>
      </c>
      <c r="L32" s="3">
        <f t="shared" si="25"/>
        <v>5.0526357689873484E-3</v>
      </c>
      <c r="M32" s="3">
        <f t="shared" si="25"/>
        <v>5.0526357384755305E-3</v>
      </c>
      <c r="N32" s="3">
        <f t="shared" si="25"/>
        <v>5.052635433357355E-3</v>
      </c>
      <c r="O32" s="3">
        <f t="shared" si="25"/>
        <v>5.0526323821766146E-3</v>
      </c>
      <c r="P32" s="3">
        <f t="shared" si="25"/>
        <v>5.0526018704705501E-3</v>
      </c>
      <c r="Q32" s="3">
        <f t="shared" si="25"/>
        <v>5.0522967635436618E-3</v>
      </c>
      <c r="R32" s="3">
        <f t="shared" si="25"/>
        <v>5.049246707423201E-3</v>
      </c>
      <c r="S32" s="3">
        <f t="shared" si="25"/>
        <v>5.0188472350528946E-3</v>
      </c>
      <c r="T32" s="3">
        <f t="shared" si="25"/>
        <v>4.7247391286933506E-3</v>
      </c>
      <c r="U32" s="3">
        <f t="shared" si="25"/>
        <v>2.5829524506599888E-3</v>
      </c>
      <c r="V32" s="3">
        <f t="shared" si="26"/>
        <v>6.1588862181364174E-6</v>
      </c>
      <c r="W32" s="3">
        <f t="shared" si="26"/>
        <v>3.6589786506995841E-32</v>
      </c>
      <c r="X32" s="3">
        <f t="shared" si="26"/>
        <v>2.0041804529959096E-294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3.2433597324335911E-3</v>
      </c>
      <c r="C33" s="18">
        <f t="shared" si="3"/>
        <v>4.3761926995835639E-3</v>
      </c>
      <c r="D33" s="17"/>
      <c r="F33" s="3">
        <f t="shared" si="25"/>
        <v>4.3761926995835631E-3</v>
      </c>
      <c r="G33" s="3">
        <f t="shared" si="25"/>
        <v>4.3761926995835613E-3</v>
      </c>
      <c r="H33" s="3">
        <f t="shared" si="25"/>
        <v>4.376192699583537E-3</v>
      </c>
      <c r="I33" s="3">
        <f t="shared" si="25"/>
        <v>4.3761926995832994E-3</v>
      </c>
      <c r="J33" s="3">
        <f t="shared" si="25"/>
        <v>4.376192699580915E-3</v>
      </c>
      <c r="K33" s="3">
        <f t="shared" si="25"/>
        <v>4.3761926995570756E-3</v>
      </c>
      <c r="L33" s="3">
        <f t="shared" si="25"/>
        <v>4.3761926993186829E-3</v>
      </c>
      <c r="M33" s="3">
        <f t="shared" si="25"/>
        <v>4.3761926969347548E-3</v>
      </c>
      <c r="N33" s="3">
        <f t="shared" si="25"/>
        <v>4.3761926730954753E-3</v>
      </c>
      <c r="O33" s="3">
        <f t="shared" si="25"/>
        <v>4.3761924347026854E-3</v>
      </c>
      <c r="P33" s="3">
        <f t="shared" si="25"/>
        <v>4.376190050775503E-3</v>
      </c>
      <c r="Q33" s="3">
        <f t="shared" si="25"/>
        <v>4.3761662115750976E-3</v>
      </c>
      <c r="R33" s="3">
        <f t="shared" si="25"/>
        <v>4.3759278267134294E-3</v>
      </c>
      <c r="S33" s="3">
        <f t="shared" si="25"/>
        <v>4.373544692190535E-3</v>
      </c>
      <c r="T33" s="3">
        <f t="shared" si="25"/>
        <v>4.3497846126191644E-3</v>
      </c>
      <c r="U33" s="3">
        <f t="shared" ref="P33:AE48" si="27">$C33*EXP(-U$15/$A33)</f>
        <v>4.1191688105959206E-3</v>
      </c>
      <c r="V33" s="3">
        <f t="shared" si="27"/>
        <v>2.3890650160681356E-3</v>
      </c>
      <c r="W33" s="3">
        <f t="shared" si="27"/>
        <v>1.0289914173126417E-5</v>
      </c>
      <c r="X33" s="3">
        <f t="shared" si="27"/>
        <v>2.2607346362685725E-29</v>
      </c>
      <c r="Y33" s="3">
        <f t="shared" si="27"/>
        <v>5.9241759029632692E-266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2.8158811319555026E-3</v>
      </c>
      <c r="C34" s="18">
        <f t="shared" si="3"/>
        <v>3.799405391061131E-3</v>
      </c>
      <c r="D34" s="17"/>
      <c r="F34" s="3">
        <f t="shared" ref="F34:O48" si="28">$C34*EXP(-F$15/$A34)</f>
        <v>3.799405391061131E-3</v>
      </c>
      <c r="G34" s="3">
        <f t="shared" si="28"/>
        <v>3.799405391061131E-3</v>
      </c>
      <c r="H34" s="3">
        <f t="shared" si="28"/>
        <v>3.7994053910611288E-3</v>
      </c>
      <c r="I34" s="3">
        <f t="shared" si="28"/>
        <v>3.7994053910611102E-3</v>
      </c>
      <c r="J34" s="3">
        <f t="shared" si="28"/>
        <v>3.7994053910609233E-3</v>
      </c>
      <c r="K34" s="3">
        <f t="shared" si="28"/>
        <v>3.7994053910590567E-3</v>
      </c>
      <c r="L34" s="3">
        <f t="shared" si="28"/>
        <v>3.7994053910403859E-3</v>
      </c>
      <c r="M34" s="3">
        <f t="shared" si="28"/>
        <v>3.7994053908536798E-3</v>
      </c>
      <c r="N34" s="3">
        <f t="shared" si="28"/>
        <v>3.7994053889866168E-3</v>
      </c>
      <c r="O34" s="3">
        <f t="shared" si="28"/>
        <v>3.7994053703159889E-3</v>
      </c>
      <c r="P34" s="3">
        <f t="shared" si="27"/>
        <v>3.7994051836097182E-3</v>
      </c>
      <c r="Q34" s="3">
        <f t="shared" si="27"/>
        <v>3.7994033165475102E-3</v>
      </c>
      <c r="R34" s="3">
        <f t="shared" si="27"/>
        <v>3.7993846459758985E-3</v>
      </c>
      <c r="S34" s="3">
        <f t="shared" si="27"/>
        <v>3.7991979453058824E-3</v>
      </c>
      <c r="T34" s="3">
        <f t="shared" si="27"/>
        <v>3.7973314431242956E-3</v>
      </c>
      <c r="U34" s="3">
        <f t="shared" si="27"/>
        <v>3.7787167815537606E-3</v>
      </c>
      <c r="V34" s="3">
        <f t="shared" si="27"/>
        <v>3.5975158158050918E-3</v>
      </c>
      <c r="W34" s="3">
        <f t="shared" si="27"/>
        <v>2.2008295444455239E-3</v>
      </c>
      <c r="X34" s="3">
        <f t="shared" si="27"/>
        <v>1.6159330494068452E-5</v>
      </c>
      <c r="Y34" s="3">
        <f t="shared" si="27"/>
        <v>7.3585614618817307E-27</v>
      </c>
      <c r="Z34" s="3">
        <f t="shared" si="27"/>
        <v>2.821554899608513E-240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3.1312615520359189E-3</v>
      </c>
      <c r="C35" s="18">
        <f t="shared" si="3"/>
        <v>4.2249411335647654E-3</v>
      </c>
      <c r="D35" s="17"/>
      <c r="F35" s="3">
        <f t="shared" si="28"/>
        <v>4.2249411335647654E-3</v>
      </c>
      <c r="G35" s="3">
        <f t="shared" si="28"/>
        <v>4.2249411335647654E-3</v>
      </c>
      <c r="H35" s="3">
        <f t="shared" si="28"/>
        <v>4.2249411335647654E-3</v>
      </c>
      <c r="I35" s="3">
        <f t="shared" si="28"/>
        <v>4.2249411335647637E-3</v>
      </c>
      <c r="J35" s="3">
        <f t="shared" si="28"/>
        <v>4.2249411335647446E-3</v>
      </c>
      <c r="K35" s="3">
        <f t="shared" si="28"/>
        <v>4.2249411335645573E-3</v>
      </c>
      <c r="L35" s="3">
        <f t="shared" si="28"/>
        <v>4.2249411335626846E-3</v>
      </c>
      <c r="M35" s="3">
        <f t="shared" si="28"/>
        <v>4.2249411335439557E-3</v>
      </c>
      <c r="N35" s="3">
        <f t="shared" si="28"/>
        <v>4.2249411333566671E-3</v>
      </c>
      <c r="O35" s="3">
        <f t="shared" si="28"/>
        <v>4.2249411314837851E-3</v>
      </c>
      <c r="P35" s="3">
        <f t="shared" si="27"/>
        <v>4.2249411127549593E-3</v>
      </c>
      <c r="Q35" s="3">
        <f t="shared" si="27"/>
        <v>4.2249409254667119E-3</v>
      </c>
      <c r="R35" s="3">
        <f t="shared" si="27"/>
        <v>4.2249390525846958E-3</v>
      </c>
      <c r="S35" s="3">
        <f t="shared" si="27"/>
        <v>4.2249203238101966E-3</v>
      </c>
      <c r="T35" s="3">
        <f t="shared" si="27"/>
        <v>4.2247330406313998E-3</v>
      </c>
      <c r="U35" s="3">
        <f t="shared" si="27"/>
        <v>4.2228606653888197E-3</v>
      </c>
      <c r="V35" s="3">
        <f t="shared" si="27"/>
        <v>4.2041824927085822E-3</v>
      </c>
      <c r="W35" s="3">
        <f t="shared" si="27"/>
        <v>4.0218848596316114E-3</v>
      </c>
      <c r="X35" s="3">
        <f t="shared" si="27"/>
        <v>2.5817273297133424E-3</v>
      </c>
      <c r="Y35" s="3">
        <f t="shared" si="27"/>
        <v>3.0670281427524889E-5</v>
      </c>
      <c r="Z35" s="3">
        <f t="shared" si="27"/>
        <v>1.7170844293662518E-24</v>
      </c>
      <c r="AA35" s="3">
        <f t="shared" si="27"/>
        <v>5.1943419915830866E-217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2.0436813804199688E-3</v>
      </c>
      <c r="C36" s="18">
        <f t="shared" si="3"/>
        <v>2.7574935483823488E-3</v>
      </c>
      <c r="D36" s="17"/>
      <c r="F36" s="3">
        <f t="shared" si="28"/>
        <v>2.7574935483823488E-3</v>
      </c>
      <c r="G36" s="3">
        <f t="shared" si="28"/>
        <v>2.7574935483823488E-3</v>
      </c>
      <c r="H36" s="3">
        <f t="shared" si="28"/>
        <v>2.7574935483823488E-3</v>
      </c>
      <c r="I36" s="3">
        <f t="shared" si="28"/>
        <v>2.7574935483823488E-3</v>
      </c>
      <c r="J36" s="3">
        <f t="shared" si="28"/>
        <v>2.7574935483823475E-3</v>
      </c>
      <c r="K36" s="3">
        <f t="shared" si="28"/>
        <v>2.7574935483823367E-3</v>
      </c>
      <c r="L36" s="3">
        <f t="shared" si="28"/>
        <v>2.7574935483822265E-3</v>
      </c>
      <c r="M36" s="3">
        <f t="shared" si="28"/>
        <v>2.7574935483811237E-3</v>
      </c>
      <c r="N36" s="3">
        <f t="shared" si="28"/>
        <v>2.7574935483700965E-3</v>
      </c>
      <c r="O36" s="3">
        <f t="shared" si="28"/>
        <v>2.7574935482598283E-3</v>
      </c>
      <c r="P36" s="3">
        <f t="shared" si="27"/>
        <v>2.7574935471571449E-3</v>
      </c>
      <c r="Q36" s="3">
        <f t="shared" si="27"/>
        <v>2.7574935361303074E-3</v>
      </c>
      <c r="R36" s="3">
        <f t="shared" si="27"/>
        <v>2.7574934258619357E-3</v>
      </c>
      <c r="S36" s="3">
        <f t="shared" si="27"/>
        <v>2.7574923231784647E-3</v>
      </c>
      <c r="T36" s="3">
        <f t="shared" si="27"/>
        <v>2.7574812963680057E-3</v>
      </c>
      <c r="U36" s="3">
        <f t="shared" si="27"/>
        <v>2.7573710306885877E-3</v>
      </c>
      <c r="V36" s="3">
        <f t="shared" si="27"/>
        <v>2.7562686163759768E-3</v>
      </c>
      <c r="W36" s="3">
        <f t="shared" si="27"/>
        <v>2.7452686855679231E-3</v>
      </c>
      <c r="X36" s="3">
        <f t="shared" si="27"/>
        <v>2.6376551652118677E-3</v>
      </c>
      <c r="Y36" s="3">
        <f t="shared" si="27"/>
        <v>1.7682742704167281E-3</v>
      </c>
      <c r="Z36" s="3">
        <f t="shared" si="27"/>
        <v>3.242393587933243E-5</v>
      </c>
      <c r="AA36" s="3">
        <f t="shared" si="27"/>
        <v>1.3932426921854954E-22</v>
      </c>
      <c r="AB36" s="3">
        <f t="shared" si="27"/>
        <v>2.9897659586054988E-196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1.2937871568113252E-3</v>
      </c>
      <c r="C37" s="18">
        <f t="shared" si="3"/>
        <v>1.745678055330739E-3</v>
      </c>
      <c r="D37" s="17"/>
      <c r="F37" s="3">
        <f t="shared" si="28"/>
        <v>1.745678055330739E-3</v>
      </c>
      <c r="G37" s="3">
        <f t="shared" si="28"/>
        <v>1.745678055330739E-3</v>
      </c>
      <c r="H37" s="3">
        <f t="shared" si="28"/>
        <v>1.745678055330739E-3</v>
      </c>
      <c r="I37" s="3">
        <f t="shared" si="28"/>
        <v>1.745678055330739E-3</v>
      </c>
      <c r="J37" s="3">
        <f t="shared" si="28"/>
        <v>1.745678055330739E-3</v>
      </c>
      <c r="K37" s="3">
        <f t="shared" si="28"/>
        <v>1.7456780553307381E-3</v>
      </c>
      <c r="L37" s="3">
        <f t="shared" si="28"/>
        <v>1.745678055330732E-3</v>
      </c>
      <c r="M37" s="3">
        <f t="shared" si="28"/>
        <v>1.7456780553306689E-3</v>
      </c>
      <c r="N37" s="3">
        <f t="shared" si="28"/>
        <v>1.7456780553300392E-3</v>
      </c>
      <c r="O37" s="3">
        <f t="shared" si="28"/>
        <v>1.745678055323742E-3</v>
      </c>
      <c r="P37" s="3">
        <f t="shared" si="27"/>
        <v>1.7456780552607702E-3</v>
      </c>
      <c r="Q37" s="3">
        <f t="shared" si="27"/>
        <v>1.7456780546310506E-3</v>
      </c>
      <c r="R37" s="3">
        <f t="shared" si="27"/>
        <v>1.7456780483338546E-3</v>
      </c>
      <c r="S37" s="3">
        <f t="shared" si="27"/>
        <v>1.7456779853618962E-3</v>
      </c>
      <c r="T37" s="3">
        <f t="shared" si="27"/>
        <v>1.7456773556424375E-3</v>
      </c>
      <c r="U37" s="3">
        <f t="shared" si="27"/>
        <v>1.7456710584603438E-3</v>
      </c>
      <c r="V37" s="3">
        <f t="shared" si="27"/>
        <v>1.7456080878887634E-3</v>
      </c>
      <c r="W37" s="3">
        <f t="shared" si="27"/>
        <v>1.7449785070919744E-3</v>
      </c>
      <c r="X37" s="3">
        <f t="shared" si="27"/>
        <v>1.7386951743686809E-3</v>
      </c>
      <c r="Y37" s="3">
        <f t="shared" si="27"/>
        <v>1.6770928802856593E-3</v>
      </c>
      <c r="Z37" s="3">
        <f t="shared" si="27"/>
        <v>1.1692133892184237E-3</v>
      </c>
      <c r="AA37" s="3">
        <f t="shared" si="27"/>
        <v>3.1714686870497018E-5</v>
      </c>
      <c r="AB37" s="3">
        <f t="shared" si="27"/>
        <v>6.8379655077523253E-21</v>
      </c>
      <c r="AC37" s="3">
        <f t="shared" si="27"/>
        <v>1.4845392532388258E-177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3.031087396239991E-4</v>
      </c>
      <c r="C38" s="18">
        <f t="shared" si="3"/>
        <v>4.0897783870777585E-4</v>
      </c>
      <c r="D38" s="17"/>
      <c r="F38" s="3">
        <f t="shared" si="28"/>
        <v>4.0897783870777585E-4</v>
      </c>
      <c r="G38" s="3">
        <f t="shared" si="28"/>
        <v>4.0897783870777585E-4</v>
      </c>
      <c r="H38" s="3">
        <f t="shared" si="28"/>
        <v>4.0897783870777585E-4</v>
      </c>
      <c r="I38" s="3">
        <f t="shared" si="28"/>
        <v>4.0897783870777585E-4</v>
      </c>
      <c r="J38" s="3">
        <f t="shared" si="28"/>
        <v>4.0897783870777585E-4</v>
      </c>
      <c r="K38" s="3">
        <f t="shared" si="28"/>
        <v>4.0897783870777585E-4</v>
      </c>
      <c r="L38" s="3">
        <f t="shared" si="28"/>
        <v>4.0897783870777569E-4</v>
      </c>
      <c r="M38" s="3">
        <f t="shared" si="28"/>
        <v>4.0897783870777433E-4</v>
      </c>
      <c r="N38" s="3">
        <f t="shared" si="28"/>
        <v>4.0897783870776105E-4</v>
      </c>
      <c r="O38" s="3">
        <f t="shared" si="28"/>
        <v>4.0897783870762796E-4</v>
      </c>
      <c r="P38" s="3">
        <f t="shared" si="27"/>
        <v>4.0897783870629711E-4</v>
      </c>
      <c r="Q38" s="3">
        <f t="shared" si="27"/>
        <v>4.0897783869298863E-4</v>
      </c>
      <c r="R38" s="3">
        <f t="shared" si="27"/>
        <v>4.0897783855990352E-4</v>
      </c>
      <c r="S38" s="3">
        <f t="shared" si="27"/>
        <v>4.0897783722905256E-4</v>
      </c>
      <c r="T38" s="3">
        <f t="shared" si="27"/>
        <v>4.0897782392054321E-4</v>
      </c>
      <c r="U38" s="3">
        <f t="shared" si="27"/>
        <v>4.0897769083547339E-4</v>
      </c>
      <c r="V38" s="3">
        <f t="shared" si="27"/>
        <v>4.0897635998715691E-4</v>
      </c>
      <c r="W38" s="3">
        <f t="shared" si="27"/>
        <v>4.0896305174217823E-4</v>
      </c>
      <c r="X38" s="3">
        <f t="shared" si="27"/>
        <v>4.088299931081087E-4</v>
      </c>
      <c r="Y38" s="3">
        <f t="shared" si="27"/>
        <v>4.0750178547416932E-4</v>
      </c>
      <c r="Z38" s="3">
        <f t="shared" si="27"/>
        <v>3.9445474057320435E-4</v>
      </c>
      <c r="AA38" s="3">
        <f t="shared" si="27"/>
        <v>2.8488777824083224E-4</v>
      </c>
      <c r="AB38" s="3">
        <f t="shared" si="27"/>
        <v>1.1001203625201036E-5</v>
      </c>
      <c r="AC38" s="3">
        <f t="shared" si="27"/>
        <v>8.1115537999000936E-20</v>
      </c>
      <c r="AD38" s="3">
        <f t="shared" si="27"/>
        <v>3.8524991380019693E-161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6.6218038215456619E-4</v>
      </c>
      <c r="C39" s="18">
        <f t="shared" si="3"/>
        <v>8.9346516984039216E-4</v>
      </c>
      <c r="D39" s="17"/>
      <c r="F39" s="3">
        <f t="shared" si="28"/>
        <v>8.9346516984039216E-4</v>
      </c>
      <c r="G39" s="3">
        <f t="shared" si="28"/>
        <v>8.9346516984039216E-4</v>
      </c>
      <c r="H39" s="3">
        <f t="shared" si="28"/>
        <v>8.9346516984039216E-4</v>
      </c>
      <c r="I39" s="3">
        <f t="shared" si="28"/>
        <v>8.9346516984039216E-4</v>
      </c>
      <c r="J39" s="3">
        <f t="shared" si="28"/>
        <v>8.9346516984039216E-4</v>
      </c>
      <c r="K39" s="3">
        <f t="shared" si="28"/>
        <v>8.9346516984039216E-4</v>
      </c>
      <c r="L39" s="3">
        <f t="shared" si="28"/>
        <v>8.9346516984039205E-4</v>
      </c>
      <c r="M39" s="3">
        <f t="shared" si="28"/>
        <v>8.9346516984039129E-4</v>
      </c>
      <c r="N39" s="3">
        <f t="shared" si="28"/>
        <v>8.9346516984038326E-4</v>
      </c>
      <c r="O39" s="3">
        <f t="shared" si="28"/>
        <v>8.9346516984030282E-4</v>
      </c>
      <c r="P39" s="3">
        <f t="shared" si="27"/>
        <v>8.9346516983949866E-4</v>
      </c>
      <c r="Q39" s="3">
        <f t="shared" si="27"/>
        <v>8.9346516983145746E-4</v>
      </c>
      <c r="R39" s="3">
        <f t="shared" si="27"/>
        <v>8.9346516975104566E-4</v>
      </c>
      <c r="S39" s="3">
        <f t="shared" si="27"/>
        <v>8.9346516894692706E-4</v>
      </c>
      <c r="T39" s="3">
        <f t="shared" si="27"/>
        <v>8.9346516090574053E-4</v>
      </c>
      <c r="U39" s="3">
        <f t="shared" si="27"/>
        <v>8.9346508049387965E-4</v>
      </c>
      <c r="V39" s="3">
        <f t="shared" si="27"/>
        <v>8.9346427637566905E-4</v>
      </c>
      <c r="W39" s="3">
        <f t="shared" si="27"/>
        <v>8.934562352333669E-4</v>
      </c>
      <c r="X39" s="3">
        <f t="shared" si="27"/>
        <v>8.9337582779058507E-4</v>
      </c>
      <c r="Y39" s="3">
        <f t="shared" si="27"/>
        <v>8.9257215125426303E-4</v>
      </c>
      <c r="Z39" s="3">
        <f t="shared" si="27"/>
        <v>8.8457504286115253E-4</v>
      </c>
      <c r="AA39" s="3">
        <f t="shared" si="27"/>
        <v>8.0844071738344053E-4</v>
      </c>
      <c r="AB39" s="3">
        <f t="shared" si="27"/>
        <v>3.2868746738703129E-4</v>
      </c>
      <c r="AC39" s="3">
        <f t="shared" si="27"/>
        <v>4.0563255955980405E-8</v>
      </c>
      <c r="AD39" s="3">
        <f t="shared" si="27"/>
        <v>3.3237583137346189E-47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1.5020772255329451E-4</v>
      </c>
      <c r="C40" s="18">
        <f t="shared" si="3"/>
        <v>2.0267191834609735E-4</v>
      </c>
      <c r="D40" s="17"/>
      <c r="F40" s="3">
        <f t="shared" si="28"/>
        <v>2.0267191834609735E-4</v>
      </c>
      <c r="G40" s="3">
        <f t="shared" si="28"/>
        <v>2.0267191834609735E-4</v>
      </c>
      <c r="H40" s="3">
        <f t="shared" si="28"/>
        <v>2.0267191834609735E-4</v>
      </c>
      <c r="I40" s="3">
        <f t="shared" si="28"/>
        <v>2.0267191834609735E-4</v>
      </c>
      <c r="J40" s="3">
        <f t="shared" si="28"/>
        <v>2.0267191834609735E-4</v>
      </c>
      <c r="K40" s="3">
        <f t="shared" si="28"/>
        <v>2.0267191834609735E-4</v>
      </c>
      <c r="L40" s="3">
        <f t="shared" si="28"/>
        <v>2.0267191834609735E-4</v>
      </c>
      <c r="M40" s="3">
        <f t="shared" si="28"/>
        <v>2.0267191834609733E-4</v>
      </c>
      <c r="N40" s="3">
        <f t="shared" si="28"/>
        <v>2.0267191834609716E-4</v>
      </c>
      <c r="O40" s="3">
        <f t="shared" si="28"/>
        <v>2.0267191834609532E-4</v>
      </c>
      <c r="P40" s="3">
        <f t="shared" si="27"/>
        <v>2.0267191834607708E-4</v>
      </c>
      <c r="Q40" s="3">
        <f t="shared" si="27"/>
        <v>2.0267191834589469E-4</v>
      </c>
      <c r="R40" s="3">
        <f t="shared" si="27"/>
        <v>2.0267191834407063E-4</v>
      </c>
      <c r="S40" s="3">
        <f t="shared" si="27"/>
        <v>2.0267191832583017E-4</v>
      </c>
      <c r="T40" s="3">
        <f t="shared" si="27"/>
        <v>2.0267191814342544E-4</v>
      </c>
      <c r="U40" s="3">
        <f t="shared" si="27"/>
        <v>2.0267191631937817E-4</v>
      </c>
      <c r="V40" s="3">
        <f t="shared" si="27"/>
        <v>2.0267189807890654E-4</v>
      </c>
      <c r="W40" s="3">
        <f t="shared" si="27"/>
        <v>2.0267171567428033E-4</v>
      </c>
      <c r="X40" s="3">
        <f t="shared" si="27"/>
        <v>2.0266989163704745E-4</v>
      </c>
      <c r="Y40" s="3">
        <f t="shared" si="27"/>
        <v>2.0265165216758855E-4</v>
      </c>
      <c r="Z40" s="3">
        <f t="shared" si="27"/>
        <v>2.0246934772994024E-4</v>
      </c>
      <c r="AA40" s="3">
        <f t="shared" si="27"/>
        <v>2.0065529906417866E-4</v>
      </c>
      <c r="AB40" s="3">
        <f t="shared" si="27"/>
        <v>1.8338513530467756E-4</v>
      </c>
      <c r="AC40" s="3">
        <f t="shared" si="27"/>
        <v>7.4558832062306479E-5</v>
      </c>
      <c r="AD40" s="3">
        <f t="shared" si="27"/>
        <v>9.2012908577408853E-9</v>
      </c>
      <c r="AE40" s="3">
        <f t="shared" si="27"/>
        <v>7.5395493445337333E-48</v>
      </c>
      <c r="AF40" s="3">
        <f t="shared" si="29"/>
        <v>0</v>
      </c>
      <c r="AG40" s="3">
        <f t="shared" si="29"/>
        <v>0</v>
      </c>
      <c r="AH40" s="3">
        <f t="shared" si="29"/>
        <v>0</v>
      </c>
      <c r="AI40" s="3">
        <f t="shared" si="29"/>
        <v>0</v>
      </c>
      <c r="AJ40" s="3">
        <f t="shared" si="29"/>
        <v>0</v>
      </c>
    </row>
    <row r="41" spans="1:36" x14ac:dyDescent="0.25">
      <c r="A41" s="3">
        <f t="shared" si="30"/>
        <v>1000000000</v>
      </c>
      <c r="B41" s="106">
        <v>3.4696745369724611E-4</v>
      </c>
      <c r="C41" s="18">
        <f t="shared" si="3"/>
        <v>4.681554200352879E-4</v>
      </c>
      <c r="D41" s="17"/>
      <c r="F41" s="3">
        <f t="shared" si="28"/>
        <v>4.681554200352879E-4</v>
      </c>
      <c r="G41" s="3">
        <f t="shared" si="28"/>
        <v>4.681554200352879E-4</v>
      </c>
      <c r="H41" s="3">
        <f t="shared" si="28"/>
        <v>4.681554200352879E-4</v>
      </c>
      <c r="I41" s="3">
        <f t="shared" si="28"/>
        <v>4.681554200352879E-4</v>
      </c>
      <c r="J41" s="3">
        <f t="shared" si="28"/>
        <v>4.681554200352879E-4</v>
      </c>
      <c r="K41" s="3">
        <f t="shared" si="28"/>
        <v>4.681554200352879E-4</v>
      </c>
      <c r="L41" s="3">
        <f t="shared" si="28"/>
        <v>4.681554200352879E-4</v>
      </c>
      <c r="M41" s="3">
        <f t="shared" si="28"/>
        <v>4.681554200352879E-4</v>
      </c>
      <c r="N41" s="3">
        <f t="shared" si="28"/>
        <v>4.6815542003528785E-4</v>
      </c>
      <c r="O41" s="3">
        <f t="shared" si="28"/>
        <v>4.6815542003528741E-4</v>
      </c>
      <c r="P41" s="3">
        <f t="shared" si="27"/>
        <v>4.6815542003528324E-4</v>
      </c>
      <c r="Q41" s="3">
        <f t="shared" si="27"/>
        <v>4.6815542003524106E-4</v>
      </c>
      <c r="R41" s="3">
        <f t="shared" si="27"/>
        <v>4.6815542003481974E-4</v>
      </c>
      <c r="S41" s="3">
        <f t="shared" si="27"/>
        <v>4.6815542003060637E-4</v>
      </c>
      <c r="T41" s="3">
        <f t="shared" si="27"/>
        <v>4.6815541998847238E-4</v>
      </c>
      <c r="U41" s="3">
        <f t="shared" si="27"/>
        <v>4.6815541956713249E-4</v>
      </c>
      <c r="V41" s="3">
        <f t="shared" si="27"/>
        <v>4.6815541535373371E-4</v>
      </c>
      <c r="W41" s="3">
        <f t="shared" si="27"/>
        <v>4.6815537321974828E-4</v>
      </c>
      <c r="X41" s="3">
        <f t="shared" si="27"/>
        <v>4.6815495188010195E-4</v>
      </c>
      <c r="Y41" s="3">
        <f t="shared" si="27"/>
        <v>4.6815073850449526E-4</v>
      </c>
      <c r="Z41" s="3">
        <f t="shared" si="27"/>
        <v>4.6810860683398347E-4</v>
      </c>
      <c r="AA41" s="3">
        <f t="shared" si="27"/>
        <v>4.6768749861495623E-4</v>
      </c>
      <c r="AB41" s="3">
        <f t="shared" si="27"/>
        <v>4.6349719577470872E-4</v>
      </c>
      <c r="AC41" s="3">
        <f t="shared" si="27"/>
        <v>4.2360454150427003E-4</v>
      </c>
      <c r="AD41" s="3">
        <f t="shared" si="27"/>
        <v>1.7222475430396357E-4</v>
      </c>
      <c r="AE41" s="3">
        <f t="shared" si="27"/>
        <v>2.1254223187528665E-8</v>
      </c>
      <c r="AF41" s="3">
        <f t="shared" si="29"/>
        <v>1.7415737311172182E-47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6.4442145644158277E-5</v>
      </c>
      <c r="C43" s="18">
        <f t="shared" si="3"/>
        <v>8.6950344882608704E-5</v>
      </c>
      <c r="D43" s="17"/>
      <c r="F43" s="3">
        <f t="shared" si="28"/>
        <v>8.6950344882608704E-5</v>
      </c>
      <c r="G43" s="3">
        <f t="shared" si="28"/>
        <v>8.6950344882608704E-5</v>
      </c>
      <c r="H43" s="3">
        <f t="shared" si="28"/>
        <v>8.6950344882608704E-5</v>
      </c>
      <c r="I43" s="3">
        <f t="shared" si="28"/>
        <v>8.6950344882608704E-5</v>
      </c>
      <c r="J43" s="3">
        <f t="shared" si="28"/>
        <v>8.6950344882608704E-5</v>
      </c>
      <c r="K43" s="3">
        <f t="shared" si="28"/>
        <v>8.6950344882608704E-5</v>
      </c>
      <c r="L43" s="3">
        <f t="shared" si="28"/>
        <v>8.6950344882608704E-5</v>
      </c>
      <c r="M43" s="3">
        <f t="shared" si="28"/>
        <v>8.6950344882608704E-5</v>
      </c>
      <c r="N43" s="3">
        <f t="shared" si="28"/>
        <v>8.6950344882608704E-5</v>
      </c>
      <c r="O43" s="3">
        <f t="shared" si="28"/>
        <v>8.6950344882608704E-5</v>
      </c>
      <c r="P43" s="3">
        <f t="shared" si="27"/>
        <v>8.6950344882608691E-5</v>
      </c>
      <c r="Q43" s="3">
        <f t="shared" si="27"/>
        <v>8.6950344882608623E-5</v>
      </c>
      <c r="R43" s="3">
        <f t="shared" si="27"/>
        <v>8.6950344882607837E-5</v>
      </c>
      <c r="S43" s="3">
        <f t="shared" si="27"/>
        <v>8.6950344882600003E-5</v>
      </c>
      <c r="T43" s="3">
        <f t="shared" si="27"/>
        <v>8.6950344882521751E-5</v>
      </c>
      <c r="U43" s="3">
        <f t="shared" si="27"/>
        <v>8.6950344881739201E-5</v>
      </c>
      <c r="V43" s="3">
        <f t="shared" si="27"/>
        <v>8.6950344873913674E-5</v>
      </c>
      <c r="W43" s="3">
        <f t="shared" si="27"/>
        <v>8.695034479565836E-5</v>
      </c>
      <c r="X43" s="3">
        <f t="shared" si="27"/>
        <v>8.695034401310526E-5</v>
      </c>
      <c r="Y43" s="3">
        <f t="shared" si="27"/>
        <v>8.6950336187574659E-5</v>
      </c>
      <c r="Z43" s="3">
        <f t="shared" si="27"/>
        <v>8.6950257932307294E-5</v>
      </c>
      <c r="AA43" s="3">
        <f t="shared" si="27"/>
        <v>8.6949475383507377E-5</v>
      </c>
      <c r="AB43" s="3">
        <f t="shared" si="27"/>
        <v>8.6941650282857679E-5</v>
      </c>
      <c r="AC43" s="3">
        <f t="shared" si="27"/>
        <v>8.6863437998410434E-5</v>
      </c>
      <c r="AD43" s="3">
        <f t="shared" si="27"/>
        <v>8.6085174495459572E-5</v>
      </c>
      <c r="AE43" s="3">
        <f t="shared" si="27"/>
        <v>7.8675925560915862E-5</v>
      </c>
      <c r="AF43" s="3">
        <f t="shared" si="29"/>
        <v>3.1987244285078274E-5</v>
      </c>
      <c r="AG43" s="3">
        <f t="shared" si="29"/>
        <v>3.9475395504942698E-9</v>
      </c>
      <c r="AH43" s="3">
        <f t="shared" si="29"/>
        <v>3.2346188910451889E-48</v>
      </c>
      <c r="AI43" s="3">
        <f t="shared" si="29"/>
        <v>0</v>
      </c>
      <c r="AJ43" s="3">
        <f t="shared" si="29"/>
        <v>0</v>
      </c>
    </row>
    <row r="44" spans="1:36" x14ac:dyDescent="0.25">
      <c r="A44" s="3">
        <f t="shared" si="30"/>
        <v>1000000000000</v>
      </c>
      <c r="B44" s="106">
        <v>1.1340864603809473E-4</v>
      </c>
      <c r="C44" s="18">
        <f t="shared" si="3"/>
        <v>1.5301974797879704E-4</v>
      </c>
      <c r="D44" s="17"/>
      <c r="F44" s="3">
        <f t="shared" si="28"/>
        <v>1.5301974797879704E-4</v>
      </c>
      <c r="G44" s="3">
        <f t="shared" si="28"/>
        <v>1.5301974797879704E-4</v>
      </c>
      <c r="H44" s="3">
        <f t="shared" si="28"/>
        <v>1.5301974797879704E-4</v>
      </c>
      <c r="I44" s="3">
        <f t="shared" si="28"/>
        <v>1.5301974797879704E-4</v>
      </c>
      <c r="J44" s="3">
        <f t="shared" si="28"/>
        <v>1.5301974797879704E-4</v>
      </c>
      <c r="K44" s="3">
        <f t="shared" si="28"/>
        <v>1.5301974797879704E-4</v>
      </c>
      <c r="L44" s="3">
        <f t="shared" si="28"/>
        <v>1.5301974797879704E-4</v>
      </c>
      <c r="M44" s="3">
        <f t="shared" si="28"/>
        <v>1.5301974797879704E-4</v>
      </c>
      <c r="N44" s="3">
        <f t="shared" si="28"/>
        <v>1.5301974797879704E-4</v>
      </c>
      <c r="O44" s="3">
        <f t="shared" si="28"/>
        <v>1.5301974797879704E-4</v>
      </c>
      <c r="P44" s="3">
        <f t="shared" si="27"/>
        <v>1.5301974797879704E-4</v>
      </c>
      <c r="Q44" s="3">
        <f t="shared" si="27"/>
        <v>1.5301974797879702E-4</v>
      </c>
      <c r="R44" s="3">
        <f t="shared" si="27"/>
        <v>1.5301974797879688E-4</v>
      </c>
      <c r="S44" s="3">
        <f t="shared" si="27"/>
        <v>1.5301974797879553E-4</v>
      </c>
      <c r="T44" s="3">
        <f t="shared" si="27"/>
        <v>1.5301974797878173E-4</v>
      </c>
      <c r="U44" s="3">
        <f t="shared" si="27"/>
        <v>1.5301974797864404E-4</v>
      </c>
      <c r="V44" s="3">
        <f t="shared" si="27"/>
        <v>1.5301974797726685E-4</v>
      </c>
      <c r="W44" s="3">
        <f t="shared" si="27"/>
        <v>1.5301974796349507E-4</v>
      </c>
      <c r="X44" s="3">
        <f t="shared" si="27"/>
        <v>1.530197478257773E-4</v>
      </c>
      <c r="Y44" s="3">
        <f t="shared" si="27"/>
        <v>1.5301974644859958E-4</v>
      </c>
      <c r="Z44" s="3">
        <f t="shared" si="27"/>
        <v>1.5301973267682303E-4</v>
      </c>
      <c r="AA44" s="3">
        <f t="shared" si="27"/>
        <v>1.5301959495912557E-4</v>
      </c>
      <c r="AB44" s="3">
        <f t="shared" si="27"/>
        <v>1.5301821778896822E-4</v>
      </c>
      <c r="AC44" s="3">
        <f t="shared" si="27"/>
        <v>1.5300444676907241E-4</v>
      </c>
      <c r="AD44" s="3">
        <f t="shared" si="27"/>
        <v>1.5286680471519531E-4</v>
      </c>
      <c r="AE44" s="3">
        <f t="shared" si="27"/>
        <v>1.514971760467476E-4</v>
      </c>
      <c r="AF44" s="3">
        <f t="shared" si="29"/>
        <v>1.3845799366964795E-4</v>
      </c>
      <c r="AG44" s="3">
        <f t="shared" si="29"/>
        <v>5.6292819374634801E-5</v>
      </c>
      <c r="AH44" s="3">
        <f t="shared" si="29"/>
        <v>6.9470858105105193E-9</v>
      </c>
      <c r="AI44" s="3">
        <f t="shared" si="29"/>
        <v>5.6924508831268575E-48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3.6647249798074353E-5</v>
      </c>
      <c r="C46" s="18">
        <f t="shared" si="3"/>
        <v>4.9447313975811648E-5</v>
      </c>
      <c r="D46" s="17"/>
      <c r="F46" s="3">
        <f t="shared" si="28"/>
        <v>4.9447313975811648E-5</v>
      </c>
      <c r="G46" s="3">
        <f t="shared" si="28"/>
        <v>4.9447313975811648E-5</v>
      </c>
      <c r="H46" s="3">
        <f t="shared" si="28"/>
        <v>4.9447313975811648E-5</v>
      </c>
      <c r="I46" s="3">
        <f t="shared" si="28"/>
        <v>4.9447313975811648E-5</v>
      </c>
      <c r="J46" s="3">
        <f t="shared" si="28"/>
        <v>4.9447313975811648E-5</v>
      </c>
      <c r="K46" s="3">
        <f t="shared" si="28"/>
        <v>4.9447313975811648E-5</v>
      </c>
      <c r="L46" s="3">
        <f t="shared" si="28"/>
        <v>4.9447313975811648E-5</v>
      </c>
      <c r="M46" s="3">
        <f t="shared" si="28"/>
        <v>4.9447313975811648E-5</v>
      </c>
      <c r="N46" s="3">
        <f t="shared" si="28"/>
        <v>4.9447313975811648E-5</v>
      </c>
      <c r="O46" s="3">
        <f t="shared" si="28"/>
        <v>4.9447313975811648E-5</v>
      </c>
      <c r="P46" s="3">
        <f t="shared" si="27"/>
        <v>4.9447313975811648E-5</v>
      </c>
      <c r="Q46" s="3">
        <f t="shared" si="27"/>
        <v>4.9447313975811648E-5</v>
      </c>
      <c r="R46" s="3">
        <f t="shared" si="27"/>
        <v>4.9447313975811648E-5</v>
      </c>
      <c r="S46" s="3">
        <f t="shared" si="27"/>
        <v>4.9447313975811641E-5</v>
      </c>
      <c r="T46" s="3">
        <f t="shared" si="27"/>
        <v>4.94473139758116E-5</v>
      </c>
      <c r="U46" s="3">
        <f t="shared" si="27"/>
        <v>4.9447313975811153E-5</v>
      </c>
      <c r="V46" s="3">
        <f t="shared" si="27"/>
        <v>4.9447313975806701E-5</v>
      </c>
      <c r="W46" s="3">
        <f t="shared" si="27"/>
        <v>4.9447313975762201E-5</v>
      </c>
      <c r="X46" s="3">
        <f t="shared" si="27"/>
        <v>4.9447313975317177E-5</v>
      </c>
      <c r="Y46" s="3">
        <f t="shared" si="27"/>
        <v>4.9447313970866913E-5</v>
      </c>
      <c r="Z46" s="3">
        <f t="shared" si="27"/>
        <v>4.9447313926364338E-5</v>
      </c>
      <c r="AA46" s="3">
        <f t="shared" si="27"/>
        <v>4.9447313481338513E-5</v>
      </c>
      <c r="AB46" s="3">
        <f t="shared" si="27"/>
        <v>4.94473090310805E-5</v>
      </c>
      <c r="AC46" s="3">
        <f t="shared" si="27"/>
        <v>4.9447264528522394E-5</v>
      </c>
      <c r="AD46" s="3">
        <f t="shared" si="27"/>
        <v>4.9446819505144247E-5</v>
      </c>
      <c r="AE46" s="3">
        <f t="shared" si="27"/>
        <v>4.9442369491642393E-5</v>
      </c>
      <c r="AF46" s="3">
        <f t="shared" si="29"/>
        <v>4.9397891377253667E-5</v>
      </c>
      <c r="AG46" s="3">
        <f t="shared" si="29"/>
        <v>4.8955304981095237E-5</v>
      </c>
      <c r="AH46" s="3">
        <f t="shared" si="29"/>
        <v>4.474177990668683E-5</v>
      </c>
      <c r="AI46" s="3">
        <f t="shared" si="29"/>
        <v>1.819065023285044E-5</v>
      </c>
      <c r="AJ46" s="3">
        <f t="shared" si="29"/>
        <v>2.2449045814453845E-9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5.1863260457470767E-4</v>
      </c>
      <c r="C48" s="18">
        <f t="shared" si="3"/>
        <v>6.9977936619533359E-4</v>
      </c>
      <c r="D48" s="17"/>
      <c r="F48" s="3">
        <f t="shared" si="28"/>
        <v>6.9977936619533359E-4</v>
      </c>
      <c r="G48" s="3">
        <f t="shared" si="28"/>
        <v>6.9977936619533359E-4</v>
      </c>
      <c r="H48" s="3">
        <f t="shared" si="28"/>
        <v>6.9977936619533359E-4</v>
      </c>
      <c r="I48" s="3">
        <f t="shared" si="28"/>
        <v>6.9977936619533359E-4</v>
      </c>
      <c r="J48" s="3">
        <f t="shared" si="28"/>
        <v>6.9977936619533359E-4</v>
      </c>
      <c r="K48" s="3">
        <f t="shared" si="28"/>
        <v>6.9977936619533359E-4</v>
      </c>
      <c r="L48" s="3">
        <f t="shared" si="28"/>
        <v>6.9977936619533359E-4</v>
      </c>
      <c r="M48" s="3">
        <f t="shared" si="28"/>
        <v>6.9977936619533359E-4</v>
      </c>
      <c r="N48" s="3">
        <f t="shared" si="28"/>
        <v>6.9977936619533359E-4</v>
      </c>
      <c r="O48" s="3">
        <f t="shared" si="28"/>
        <v>6.9977936619533359E-4</v>
      </c>
      <c r="P48" s="3">
        <f t="shared" si="27"/>
        <v>6.9977936619533359E-4</v>
      </c>
      <c r="Q48" s="3">
        <f t="shared" si="27"/>
        <v>6.9977936619533359E-4</v>
      </c>
      <c r="R48" s="3">
        <f t="shared" si="27"/>
        <v>6.9977936619533359E-4</v>
      </c>
      <c r="S48" s="3">
        <f t="shared" si="27"/>
        <v>6.9977936619533359E-4</v>
      </c>
      <c r="T48" s="3">
        <f t="shared" si="27"/>
        <v>6.9977936619533359E-4</v>
      </c>
      <c r="U48" s="3">
        <f t="shared" si="27"/>
        <v>6.9977936619533348E-4</v>
      </c>
      <c r="V48" s="3">
        <f t="shared" si="27"/>
        <v>6.9977936619533294E-4</v>
      </c>
      <c r="W48" s="3">
        <f t="shared" si="27"/>
        <v>6.9977936619532665E-4</v>
      </c>
      <c r="X48" s="3">
        <f t="shared" si="27"/>
        <v>6.9977936619526355E-4</v>
      </c>
      <c r="Y48" s="3">
        <f t="shared" si="27"/>
        <v>6.9977936619463384E-4</v>
      </c>
      <c r="Z48" s="3">
        <f t="shared" si="27"/>
        <v>6.9977936618833582E-4</v>
      </c>
      <c r="AA48" s="3">
        <f t="shared" si="27"/>
        <v>6.997793661253556E-4</v>
      </c>
      <c r="AB48" s="3">
        <f t="shared" si="27"/>
        <v>6.9977936549555427E-4</v>
      </c>
      <c r="AC48" s="3">
        <f t="shared" si="27"/>
        <v>6.9977935919753997E-4</v>
      </c>
      <c r="AD48" s="3">
        <f t="shared" si="27"/>
        <v>6.9977929621740053E-4</v>
      </c>
      <c r="AE48" s="3">
        <f t="shared" si="27"/>
        <v>6.9977866641631728E-4</v>
      </c>
      <c r="AF48" s="3">
        <f t="shared" si="29"/>
        <v>6.997723684366605E-4</v>
      </c>
      <c r="AG48" s="3">
        <f t="shared" si="29"/>
        <v>6.9970939175749425E-4</v>
      </c>
      <c r="AH48" s="3">
        <f t="shared" si="29"/>
        <v>6.990799366022206E-4</v>
      </c>
      <c r="AI48" s="3">
        <f t="shared" si="29"/>
        <v>6.9281644516278821E-4</v>
      </c>
      <c r="AJ48" s="3">
        <f t="shared" si="29"/>
        <v>6.3318655490302586E-4</v>
      </c>
    </row>
    <row r="49" spans="1:36" x14ac:dyDescent="0.25">
      <c r="B49" s="16">
        <f>SUM(B17:B48)</f>
        <v>0.74113732074509131</v>
      </c>
      <c r="C49" s="18">
        <f>SUM(C17:C48)</f>
        <v>0.99999999999999978</v>
      </c>
      <c r="F49" s="3">
        <f t="shared" ref="F49:AJ49" si="31">F16-F17</f>
        <v>69.295000401635662</v>
      </c>
      <c r="G49" s="3">
        <f t="shared" si="31"/>
        <v>-89.615006684338368</v>
      </c>
      <c r="H49" s="3">
        <f t="shared" si="31"/>
        <v>23.721008787826577</v>
      </c>
      <c r="I49" s="3">
        <f t="shared" si="31"/>
        <v>-3.8765477286478927</v>
      </c>
      <c r="J49" s="3">
        <f t="shared" si="31"/>
        <v>0.5312174319915357</v>
      </c>
      <c r="K49" s="3">
        <f t="shared" si="31"/>
        <v>-6.6974745895095111E-2</v>
      </c>
      <c r="L49" s="3">
        <f t="shared" si="31"/>
        <v>2.2060796637560998E-2</v>
      </c>
      <c r="M49" s="3">
        <f t="shared" si="31"/>
        <v>1.827586434501427E-2</v>
      </c>
      <c r="N49" s="3">
        <f t="shared" si="31"/>
        <v>-7.4493899980097922E-2</v>
      </c>
      <c r="O49" s="3">
        <f t="shared" si="31"/>
        <v>0.14713003598490104</v>
      </c>
      <c r="P49" s="3">
        <f t="shared" si="31"/>
        <v>-0.25393667782100238</v>
      </c>
      <c r="Q49" s="3">
        <f t="shared" si="31"/>
        <v>0.34534858541564972</v>
      </c>
      <c r="R49" s="3">
        <f t="shared" si="31"/>
        <v>-0.39853671247601596</v>
      </c>
      <c r="S49" s="3">
        <f t="shared" si="31"/>
        <v>0.434256966690441</v>
      </c>
      <c r="T49" s="3">
        <f t="shared" si="31"/>
        <v>-0.40941139452201014</v>
      </c>
      <c r="U49" s="3">
        <f t="shared" si="31"/>
        <v>0.30217197602124202</v>
      </c>
      <c r="V49" s="3">
        <f t="shared" si="31"/>
        <v>-0.18845014199430921</v>
      </c>
      <c r="W49" s="3">
        <f t="shared" si="31"/>
        <v>0.107523931568835</v>
      </c>
      <c r="X49" s="3">
        <f t="shared" si="31"/>
        <v>-3.6264505422394677E-2</v>
      </c>
      <c r="Y49" s="3">
        <f t="shared" si="31"/>
        <v>-7.7400651337597992E-3</v>
      </c>
      <c r="Z49" s="3">
        <f t="shared" si="31"/>
        <v>1.3985575110098125E-3</v>
      </c>
      <c r="AA49" s="3">
        <f t="shared" si="31"/>
        <v>1.5588103961832189E-2</v>
      </c>
      <c r="AB49" s="3">
        <f t="shared" si="31"/>
        <v>-3.9833984547641421E-3</v>
      </c>
      <c r="AC49" s="3">
        <f t="shared" si="31"/>
        <v>-3.0803067928133032E-2</v>
      </c>
      <c r="AD49" s="3">
        <f t="shared" si="31"/>
        <v>6.7055099043628275E-2</v>
      </c>
      <c r="AE49" s="3">
        <f t="shared" si="31"/>
        <v>-8.7719115780700463E-2</v>
      </c>
      <c r="AF49" s="3">
        <f t="shared" si="31"/>
        <v>9.6056346486193434E-2</v>
      </c>
      <c r="AG49" s="3">
        <f t="shared" si="31"/>
        <v>-0.10368686468947885</v>
      </c>
      <c r="AH49" s="3">
        <f t="shared" si="31"/>
        <v>0.14488180451839128</v>
      </c>
      <c r="AI49" s="3">
        <f t="shared" si="31"/>
        <v>-0.21087592601541871</v>
      </c>
      <c r="AJ49" s="3">
        <f t="shared" si="31"/>
        <v>0.1256360231366358</v>
      </c>
    </row>
    <row r="50" spans="1:36" x14ac:dyDescent="0.25">
      <c r="F50" s="57">
        <f t="shared" ref="F50:AJ50" si="32">F49/F17</f>
        <v>1.063386247528423E-2</v>
      </c>
      <c r="G50" s="57">
        <f t="shared" si="32"/>
        <v>-1.3950037629796715E-2</v>
      </c>
      <c r="H50" s="57">
        <f t="shared" si="32"/>
        <v>3.9053417816210367E-3</v>
      </c>
      <c r="I50" s="57">
        <f t="shared" si="32"/>
        <v>-6.6502014636690883E-4</v>
      </c>
      <c r="J50" s="57">
        <f t="shared" si="32"/>
        <v>9.5776944740592356E-5</v>
      </c>
      <c r="K50" s="57">
        <f t="shared" si="32"/>
        <v>-1.2739139568170097E-5</v>
      </c>
      <c r="L50" s="57">
        <f t="shared" si="32"/>
        <v>4.4626952149801851E-6</v>
      </c>
      <c r="M50" s="57">
        <f t="shared" si="32"/>
        <v>3.9962548365414923E-6</v>
      </c>
      <c r="N50" s="57">
        <f t="shared" si="32"/>
        <v>-1.8261224780007037E-5</v>
      </c>
      <c r="O50" s="57">
        <f t="shared" si="32"/>
        <v>4.2534163075419735E-5</v>
      </c>
      <c r="P50" s="57">
        <f t="shared" si="32"/>
        <v>-9.394038245664216E-5</v>
      </c>
      <c r="Q50" s="57">
        <f t="shared" si="32"/>
        <v>1.8852896515344627E-4</v>
      </c>
      <c r="R50" s="57">
        <f t="shared" si="32"/>
        <v>-3.6049106765342946E-4</v>
      </c>
      <c r="S50" s="57">
        <f t="shared" si="32"/>
        <v>6.8876714736503029E-4</v>
      </c>
      <c r="T50" s="57">
        <f t="shared" si="32"/>
        <v>-1.1542573705905681E-3</v>
      </c>
      <c r="U50" s="57">
        <f t="shared" si="32"/>
        <v>1.2188219602589424E-3</v>
      </c>
      <c r="V50" s="57">
        <f t="shared" si="32"/>
        <v>-8.7747867077949662E-4</v>
      </c>
      <c r="W50" s="57">
        <f t="shared" si="32"/>
        <v>5.7927413419541678E-4</v>
      </c>
      <c r="X50" s="57">
        <f t="shared" si="32"/>
        <v>-2.2932936564982036E-4</v>
      </c>
      <c r="Y50" s="57">
        <f t="shared" si="32"/>
        <v>-5.8428015708378958E-5</v>
      </c>
      <c r="Z50" s="57">
        <f t="shared" si="32"/>
        <v>1.2093822615938667E-5</v>
      </c>
      <c r="AA50" s="57">
        <f t="shared" si="32"/>
        <v>1.4749191256611865E-4</v>
      </c>
      <c r="AB50" s="57">
        <f t="shared" si="32"/>
        <v>-3.992459685226058E-5</v>
      </c>
      <c r="AC50" s="57">
        <f t="shared" si="32"/>
        <v>-3.2022432141827034E-4</v>
      </c>
      <c r="AD50" s="57">
        <f t="shared" si="32"/>
        <v>7.1490545790491348E-4</v>
      </c>
      <c r="AE50" s="57">
        <f t="shared" si="32"/>
        <v>-9.4863397573579484E-4</v>
      </c>
      <c r="AF50" s="57">
        <f t="shared" si="32"/>
        <v>1.0437449002290921E-3</v>
      </c>
      <c r="AG50" s="57">
        <f t="shared" si="32"/>
        <v>-1.137042606871033E-3</v>
      </c>
      <c r="AH50" s="57">
        <f t="shared" si="32"/>
        <v>1.5966381242886209E-3</v>
      </c>
      <c r="AI50" s="57">
        <f t="shared" si="32"/>
        <v>-2.330090409605942E-3</v>
      </c>
      <c r="AJ50" s="57">
        <f t="shared" si="32"/>
        <v>1.3970316352259699E-3</v>
      </c>
    </row>
    <row r="51" spans="1:36" x14ac:dyDescent="0.25">
      <c r="A51" s="13" t="s">
        <v>21</v>
      </c>
      <c r="B51" s="3">
        <f>STUTT!D8</f>
        <v>7330.9827999999998</v>
      </c>
      <c r="E51" s="11" t="s">
        <v>24</v>
      </c>
      <c r="F51" s="20">
        <f t="shared" ref="F51:AJ51" si="33">(F16-F17)^2</f>
        <v>4801.7970806626863</v>
      </c>
      <c r="G51" s="20">
        <f t="shared" si="33"/>
        <v>8030.8494230340102</v>
      </c>
      <c r="H51" s="20">
        <f t="shared" si="33"/>
        <v>562.68625791214572</v>
      </c>
      <c r="I51" s="20">
        <f t="shared" si="33"/>
        <v>15.027622292485136</v>
      </c>
      <c r="J51" s="20">
        <f t="shared" si="33"/>
        <v>0.28219196005168184</v>
      </c>
      <c r="K51" s="20">
        <f t="shared" si="33"/>
        <v>4.4856165877125596E-3</v>
      </c>
      <c r="L51" s="20">
        <f t="shared" si="33"/>
        <v>4.8667874828382265E-4</v>
      </c>
      <c r="M51" s="20">
        <f t="shared" si="33"/>
        <v>3.3400721755736388E-4</v>
      </c>
      <c r="N51" s="20">
        <f t="shared" si="33"/>
        <v>5.5493411342448333E-3</v>
      </c>
      <c r="O51" s="20">
        <f t="shared" si="33"/>
        <v>2.1647247488918275E-2</v>
      </c>
      <c r="P51" s="20">
        <f t="shared" si="33"/>
        <v>6.4483836342767567E-2</v>
      </c>
      <c r="Q51" s="20">
        <f t="shared" si="33"/>
        <v>0.11926564544859031</v>
      </c>
      <c r="R51" s="20">
        <f t="shared" si="33"/>
        <v>0.15883151119119063</v>
      </c>
      <c r="S51" s="20">
        <f t="shared" si="33"/>
        <v>0.1885791131191828</v>
      </c>
      <c r="T51" s="20">
        <f t="shared" si="33"/>
        <v>0.16761768996445703</v>
      </c>
      <c r="U51" s="20">
        <f t="shared" si="33"/>
        <v>9.1307903092582063E-2</v>
      </c>
      <c r="V51" s="20">
        <f t="shared" si="33"/>
        <v>3.5513456017675304E-2</v>
      </c>
      <c r="W51" s="20">
        <f t="shared" si="33"/>
        <v>1.1561395860019511E-2</v>
      </c>
      <c r="X51" s="20">
        <f t="shared" si="33"/>
        <v>1.315114353530893E-3</v>
      </c>
      <c r="Y51" s="20">
        <f t="shared" si="33"/>
        <v>5.9908608274844098E-5</v>
      </c>
      <c r="Z51" s="20">
        <f t="shared" si="33"/>
        <v>1.9559631116019619E-6</v>
      </c>
      <c r="AA51" s="20">
        <f t="shared" si="33"/>
        <v>2.429889851248884E-4</v>
      </c>
      <c r="AB51" s="20">
        <f t="shared" si="33"/>
        <v>1.5867463249417354E-5</v>
      </c>
      <c r="AC51" s="20">
        <f t="shared" si="33"/>
        <v>9.4882899378517782E-4</v>
      </c>
      <c r="AD51" s="20">
        <f t="shared" si="33"/>
        <v>4.4963863077507977E-3</v>
      </c>
      <c r="AE51" s="20">
        <f t="shared" si="33"/>
        <v>7.694643273347933E-3</v>
      </c>
      <c r="AF51" s="20">
        <f t="shared" si="33"/>
        <v>9.2268217002756461E-3</v>
      </c>
      <c r="AG51" s="20">
        <f t="shared" si="33"/>
        <v>1.0750965909134297E-2</v>
      </c>
      <c r="AH51" s="20">
        <f t="shared" si="33"/>
        <v>2.0990737280505344E-2</v>
      </c>
      <c r="AI51" s="20">
        <f t="shared" si="33"/>
        <v>4.4468656172860346E-2</v>
      </c>
      <c r="AJ51" s="20">
        <f t="shared" si="33"/>
        <v>1.5784410309589287E-2</v>
      </c>
    </row>
    <row r="52" spans="1:36" x14ac:dyDescent="0.25">
      <c r="A52" s="13"/>
    </row>
    <row r="53" spans="1:36" x14ac:dyDescent="0.25">
      <c r="E53" s="119" t="s">
        <v>25</v>
      </c>
      <c r="F53" s="119"/>
      <c r="G53" s="104">
        <f>SUM(F51:AJ51)</f>
        <v>13411.628236588911</v>
      </c>
      <c r="I53" s="3">
        <f>G53+C123</f>
        <v>13411.628236588911</v>
      </c>
      <c r="K53" s="3">
        <f>SUM(Z51:AJ51)</f>
        <v>0.11462226235873473</v>
      </c>
    </row>
    <row r="55" spans="1:36" x14ac:dyDescent="0.25">
      <c r="E55" s="30" t="s">
        <v>30</v>
      </c>
      <c r="F55" s="31">
        <f t="shared" ref="F55:AJ55" si="34">ABS(F17-F16)/F16</f>
        <v>1.0521973258682779E-2</v>
      </c>
      <c r="G55" s="31">
        <f t="shared" si="34"/>
        <v>1.4147394312824184E-2</v>
      </c>
      <c r="H55" s="31">
        <f t="shared" si="34"/>
        <v>3.8901494185599856E-3</v>
      </c>
      <c r="I55" s="31">
        <f t="shared" si="34"/>
        <v>6.6546269246405302E-4</v>
      </c>
      <c r="J55" s="31">
        <f t="shared" si="34"/>
        <v>9.5767772395947664E-5</v>
      </c>
      <c r="K55" s="31">
        <f t="shared" si="34"/>
        <v>1.2739301855914441E-5</v>
      </c>
      <c r="L55" s="31">
        <f t="shared" si="34"/>
        <v>4.4626752994204806E-6</v>
      </c>
      <c r="M55" s="31">
        <f t="shared" si="34"/>
        <v>3.9962388665525943E-6</v>
      </c>
      <c r="N55" s="31">
        <f t="shared" si="34"/>
        <v>1.8261558258427228E-5</v>
      </c>
      <c r="O55" s="31">
        <f t="shared" si="34"/>
        <v>4.2532353997338833E-5</v>
      </c>
      <c r="P55" s="31">
        <f t="shared" si="34"/>
        <v>9.3949208081180803E-5</v>
      </c>
      <c r="Q55" s="31">
        <f t="shared" si="34"/>
        <v>1.8849342868239855E-4</v>
      </c>
      <c r="R55" s="31">
        <f t="shared" si="34"/>
        <v>3.6062106832736914E-4</v>
      </c>
      <c r="S55" s="31">
        <f t="shared" si="34"/>
        <v>6.8829307370810123E-4</v>
      </c>
      <c r="T55" s="31">
        <f t="shared" si="34"/>
        <v>1.1555912202739591E-3</v>
      </c>
      <c r="U55" s="31">
        <f t="shared" si="34"/>
        <v>1.2173382416769236E-3</v>
      </c>
      <c r="V55" s="31">
        <f t="shared" si="34"/>
        <v>8.7824931582175698E-4</v>
      </c>
      <c r="W55" s="31">
        <f t="shared" si="34"/>
        <v>5.789387699407072E-4</v>
      </c>
      <c r="X55" s="31">
        <f t="shared" si="34"/>
        <v>2.2938196967141661E-4</v>
      </c>
      <c r="Y55" s="31">
        <f t="shared" si="34"/>
        <v>5.8431429740873722E-5</v>
      </c>
      <c r="Z55" s="31">
        <f t="shared" si="34"/>
        <v>1.2093676357162029E-5</v>
      </c>
      <c r="AA55" s="31">
        <f t="shared" si="34"/>
        <v>1.4747016190989212E-4</v>
      </c>
      <c r="AB55" s="31">
        <f t="shared" si="34"/>
        <v>3.9926190889335687E-5</v>
      </c>
      <c r="AC55" s="31">
        <f t="shared" si="34"/>
        <v>3.2032689788177653E-4</v>
      </c>
      <c r="AD55" s="31">
        <f t="shared" si="34"/>
        <v>7.1439473321104237E-4</v>
      </c>
      <c r="AE55" s="31">
        <f t="shared" si="34"/>
        <v>9.4953473664812057E-4</v>
      </c>
      <c r="AF55" s="31">
        <f t="shared" si="34"/>
        <v>1.042656632686036E-3</v>
      </c>
      <c r="AG55" s="31">
        <f t="shared" si="34"/>
        <v>1.1383369444778798E-3</v>
      </c>
      <c r="AH55" s="31">
        <f t="shared" si="34"/>
        <v>1.5940929347353634E-3</v>
      </c>
      <c r="AI55" s="31">
        <f t="shared" si="34"/>
        <v>2.3355324112787866E-3</v>
      </c>
      <c r="AJ55" s="31">
        <f t="shared" si="34"/>
        <v>1.395082660615335E-3</v>
      </c>
    </row>
    <row r="56" spans="1:36" x14ac:dyDescent="0.25">
      <c r="E56" s="13" t="s">
        <v>31</v>
      </c>
      <c r="F56" s="32">
        <f>AVERAGE(F55:AJ55)</f>
        <v>1.4368217835425815E-3</v>
      </c>
    </row>
    <row r="57" spans="1:36" x14ac:dyDescent="0.25">
      <c r="A57" s="42"/>
      <c r="B57" s="15"/>
      <c r="C57" s="15"/>
      <c r="D57" s="15"/>
      <c r="F57" s="60">
        <f>AVERAGE(S55:X55)</f>
        <v>7.9129876518214406E-4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-40.510264201282538</v>
      </c>
    </row>
    <row r="119" spans="1:14" x14ac:dyDescent="0.25">
      <c r="L119" s="11">
        <f>L118+1</f>
        <v>2</v>
      </c>
      <c r="M119" s="11">
        <f t="shared" ref="M119:M124" si="35">INDEX($B$125:$K$126,1,L119)</f>
        <v>0</v>
      </c>
      <c r="N119" s="11">
        <f t="shared" ref="N119:N124" si="36">IF(L119=$B$3,0,INDEX($B$125:$K$126,2,L119))</f>
        <v>-36.676736534348279</v>
      </c>
    </row>
    <row r="120" spans="1:14" x14ac:dyDescent="0.25">
      <c r="L120" s="11">
        <f t="shared" ref="L120:L124" si="37">L119+1</f>
        <v>3</v>
      </c>
      <c r="M120" s="11">
        <f t="shared" si="35"/>
        <v>25</v>
      </c>
      <c r="N120" s="11">
        <f t="shared" si="36"/>
        <v>-32.49220599166479</v>
      </c>
    </row>
    <row r="121" spans="1:14" x14ac:dyDescent="0.25">
      <c r="A121" s="103">
        <f>(A165+A204+A243+A282+A321+A360+A399)*10^9</f>
        <v>6.4829701490270056E+16</v>
      </c>
      <c r="L121" s="11">
        <f t="shared" si="37"/>
        <v>4</v>
      </c>
      <c r="M121" s="11">
        <f t="shared" si="35"/>
        <v>50</v>
      </c>
      <c r="N121" s="11">
        <f t="shared" si="36"/>
        <v>-27.253333342864021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-18.432658890102765</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4.2360845065660389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-40.510264201282538</v>
      </c>
      <c r="C126" s="107">
        <v>-36.676736534348279</v>
      </c>
      <c r="D126" s="107">
        <v>-32.49220599166479</v>
      </c>
      <c r="E126" s="107">
        <v>-27.253333342864021</v>
      </c>
      <c r="F126" s="107">
        <v>-18.432658890102765</v>
      </c>
      <c r="G126" s="107">
        <v>6.0061055528025618E-3</v>
      </c>
      <c r="H126" s="107">
        <v>4.2360845065660389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7328.9375120878203</v>
      </c>
      <c r="C131" s="27">
        <f t="shared" ref="C131:AF131" si="40">($C$17+SUM(C132:C162))*$B$51</f>
        <v>7310.7627740937069</v>
      </c>
      <c r="D131" s="27">
        <f t="shared" si="40"/>
        <v>7150.222769278289</v>
      </c>
      <c r="E131" s="27">
        <f t="shared" si="40"/>
        <v>6590.6940676911199</v>
      </c>
      <c r="F131" s="27">
        <f t="shared" si="40"/>
        <v>6528.0256699532629</v>
      </c>
      <c r="G131" s="27">
        <f t="shared" si="40"/>
        <v>6528.0256699465272</v>
      </c>
      <c r="H131" s="27">
        <f t="shared" si="40"/>
        <v>6528.0256699464999</v>
      </c>
      <c r="I131" s="27">
        <f t="shared" si="40"/>
        <v>6528.0256699462307</v>
      </c>
      <c r="J131" s="27">
        <f t="shared" si="40"/>
        <v>6528.0256699435404</v>
      </c>
      <c r="K131" s="27">
        <f t="shared" si="40"/>
        <v>6528.0256699166375</v>
      </c>
      <c r="L131" s="27">
        <f t="shared" si="40"/>
        <v>6528.025669647599</v>
      </c>
      <c r="M131" s="27">
        <f t="shared" si="40"/>
        <v>6528.0256669572109</v>
      </c>
      <c r="N131" s="27">
        <f t="shared" si="40"/>
        <v>6528.0256400533517</v>
      </c>
      <c r="O131" s="27">
        <f t="shared" si="40"/>
        <v>6528.0253710148327</v>
      </c>
      <c r="P131" s="27">
        <f t="shared" si="40"/>
        <v>6528.0226806379414</v>
      </c>
      <c r="Q131" s="27">
        <f t="shared" si="40"/>
        <v>6527.9957776991751</v>
      </c>
      <c r="R131" s="27">
        <f t="shared" si="40"/>
        <v>6527.7268313083805</v>
      </c>
      <c r="S131" s="27">
        <f t="shared" si="40"/>
        <v>6525.0456491280966</v>
      </c>
      <c r="T131" s="27">
        <f t="shared" si="40"/>
        <v>6499.0443307257774</v>
      </c>
      <c r="U131" s="27">
        <f t="shared" si="40"/>
        <v>6304.9657592307822</v>
      </c>
      <c r="V131" s="27">
        <f t="shared" si="40"/>
        <v>5977.4208657850868</v>
      </c>
      <c r="W131" s="27">
        <f t="shared" si="40"/>
        <v>5729.9673346736272</v>
      </c>
      <c r="X131" s="27">
        <f t="shared" si="40"/>
        <v>5438.6153888903136</v>
      </c>
      <c r="Y131" s="27">
        <f t="shared" si="40"/>
        <v>5141.5562209360205</v>
      </c>
      <c r="Z131" s="27">
        <f t="shared" si="40"/>
        <v>4807.6959701151682</v>
      </c>
      <c r="AA131" s="27">
        <f t="shared" si="40"/>
        <v>4395.122773802982</v>
      </c>
      <c r="AB131" s="27">
        <f t="shared" si="40"/>
        <v>3840.7490479202143</v>
      </c>
      <c r="AC131" s="27">
        <f t="shared" si="40"/>
        <v>3160.2193171248132</v>
      </c>
      <c r="AD131" s="27">
        <f t="shared" si="40"/>
        <v>2338.1006356586358</v>
      </c>
      <c r="AE131" s="27">
        <f t="shared" si="40"/>
        <v>1457.432548606299</v>
      </c>
      <c r="AF131" s="27">
        <f t="shared" si="40"/>
        <v>862.30868675607621</v>
      </c>
    </row>
    <row r="132" spans="1:33" x14ac:dyDescent="0.25">
      <c r="B132" s="3">
        <f t="shared" ref="B132:Z133" si="41">$C18*EXP(-B$129/$A18/EXP(-$B$126))</f>
        <v>0.10925026889181751</v>
      </c>
      <c r="C132" s="3">
        <f t="shared" ref="C132:AF132" si="42">$C18*EXP(-C$129/$A18/EXP(-$B$126))</f>
        <v>0.10677110088802516</v>
      </c>
      <c r="D132" s="3">
        <f t="shared" si="42"/>
        <v>8.4872262874734872E-2</v>
      </c>
      <c r="E132" s="3">
        <f t="shared" si="42"/>
        <v>8.5484306066834874E-3</v>
      </c>
      <c r="F132" s="3">
        <f t="shared" si="42"/>
        <v>9.18528171986798E-13</v>
      </c>
      <c r="G132" s="3">
        <f t="shared" si="42"/>
        <v>1.8843144786800981E-112</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5.9305618641404517E-2</v>
      </c>
      <c r="C133" s="3">
        <f t="shared" si="41"/>
        <v>5.9305618641404517E-2</v>
      </c>
      <c r="D133" s="3">
        <f t="shared" si="41"/>
        <v>5.9305618641404517E-2</v>
      </c>
      <c r="E133" s="3">
        <f t="shared" si="41"/>
        <v>5.930561864140451E-2</v>
      </c>
      <c r="F133" s="3">
        <f t="shared" si="41"/>
        <v>5.9305618641404476E-2</v>
      </c>
      <c r="G133" s="3">
        <f t="shared" si="41"/>
        <v>5.9305618641404129E-2</v>
      </c>
      <c r="H133" s="3">
        <f t="shared" si="41"/>
        <v>5.9305618641400645E-2</v>
      </c>
      <c r="I133" s="3">
        <f t="shared" si="41"/>
        <v>5.9305618641365777E-2</v>
      </c>
      <c r="J133" s="3">
        <f t="shared" si="41"/>
        <v>5.930561864101707E-2</v>
      </c>
      <c r="K133" s="3">
        <f t="shared" si="41"/>
        <v>5.930561863753004E-2</v>
      </c>
      <c r="L133" s="3">
        <f t="shared" si="41"/>
        <v>5.9305618602659704E-2</v>
      </c>
      <c r="M133" s="3">
        <f t="shared" si="41"/>
        <v>5.9305618253956402E-2</v>
      </c>
      <c r="N133" s="3">
        <f t="shared" si="41"/>
        <v>5.9305614766923531E-2</v>
      </c>
      <c r="O133" s="3">
        <f t="shared" si="41"/>
        <v>5.9305579896606044E-2</v>
      </c>
      <c r="P133" s="3">
        <f t="shared" si="41"/>
        <v>5.930523119455889E-2</v>
      </c>
      <c r="Q133" s="3">
        <f t="shared" si="41"/>
        <v>5.9301744286850762E-2</v>
      </c>
      <c r="R133" s="3">
        <f t="shared" si="41"/>
        <v>5.9266886483664599E-2</v>
      </c>
      <c r="S133" s="3">
        <f t="shared" si="41"/>
        <v>5.891943339251321E-2</v>
      </c>
      <c r="T133" s="3">
        <f t="shared" si="41"/>
        <v>5.5554987241594786E-2</v>
      </c>
      <c r="U133" s="3">
        <f t="shared" si="41"/>
        <v>3.085801293766376E-2</v>
      </c>
      <c r="V133" s="3">
        <f t="shared" si="41"/>
        <v>8.6261499390952751E-5</v>
      </c>
      <c r="W133" s="3">
        <f t="shared" si="41"/>
        <v>2.5136653718507349E-30</v>
      </c>
      <c r="X133" s="3">
        <f t="shared" si="41"/>
        <v>1.1097165382975589E-285</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3.0349614864603257E-2</v>
      </c>
      <c r="C134" s="3">
        <f t="shared" si="44"/>
        <v>3.0349614864603257E-2</v>
      </c>
      <c r="D134" s="3">
        <f t="shared" si="44"/>
        <v>3.0349614864603257E-2</v>
      </c>
      <c r="E134" s="3">
        <f t="shared" si="44"/>
        <v>3.0349614864603257E-2</v>
      </c>
      <c r="F134" s="3">
        <f t="shared" si="44"/>
        <v>3.0349614864603254E-2</v>
      </c>
      <c r="G134" s="3">
        <f t="shared" si="44"/>
        <v>3.034961486460324E-2</v>
      </c>
      <c r="H134" s="3">
        <f t="shared" si="44"/>
        <v>3.0349614864603081E-2</v>
      </c>
      <c r="I134" s="3">
        <f t="shared" si="44"/>
        <v>3.0349614864601467E-2</v>
      </c>
      <c r="J134" s="3">
        <f t="shared" si="44"/>
        <v>3.0349614864585372E-2</v>
      </c>
      <c r="K134" s="3">
        <f t="shared" si="44"/>
        <v>3.0349614864424394E-2</v>
      </c>
      <c r="L134" s="3">
        <f t="shared" si="44"/>
        <v>3.034961486281464E-2</v>
      </c>
      <c r="M134" s="3">
        <f t="shared" si="44"/>
        <v>3.0349614846717082E-2</v>
      </c>
      <c r="N134" s="3">
        <f t="shared" si="44"/>
        <v>3.0349614685741506E-2</v>
      </c>
      <c r="O134" s="3">
        <f t="shared" si="44"/>
        <v>3.0349613075985781E-2</v>
      </c>
      <c r="P134" s="3">
        <f t="shared" si="44"/>
        <v>3.0349596978433233E-2</v>
      </c>
      <c r="Q134" s="3">
        <f t="shared" si="44"/>
        <v>3.0349436003377379E-2</v>
      </c>
      <c r="R134" s="3">
        <f t="shared" si="44"/>
        <v>3.0347826299777926E-2</v>
      </c>
      <c r="S134" s="3">
        <f t="shared" si="44"/>
        <v>3.0331733958774719E-2</v>
      </c>
      <c r="T134" s="3">
        <f t="shared" si="44"/>
        <v>3.017127912779036E-2</v>
      </c>
      <c r="U134" s="3">
        <f t="shared" si="44"/>
        <v>2.8612682039682324E-2</v>
      </c>
      <c r="V134" s="3">
        <f t="shared" si="44"/>
        <v>1.6834763870043821E-2</v>
      </c>
      <c r="W134" s="3">
        <f t="shared" si="44"/>
        <v>8.3693481418658058E-5</v>
      </c>
      <c r="X134" s="3">
        <f t="shared" si="44"/>
        <v>7.7185847754797938E-28</v>
      </c>
      <c r="Y134" s="3">
        <f t="shared" si="44"/>
        <v>3.4355646593959086E-258</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4.167726307399252E-2</v>
      </c>
      <c r="C135" s="3">
        <f t="shared" si="47"/>
        <v>4.167726307399252E-2</v>
      </c>
      <c r="D135" s="3">
        <f t="shared" si="47"/>
        <v>4.167726307399252E-2</v>
      </c>
      <c r="E135" s="3">
        <f t="shared" si="47"/>
        <v>4.167726307399252E-2</v>
      </c>
      <c r="F135" s="3">
        <f t="shared" si="47"/>
        <v>4.167726307399252E-2</v>
      </c>
      <c r="G135" s="3">
        <f t="shared" si="47"/>
        <v>4.167726307399252E-2</v>
      </c>
      <c r="H135" s="3">
        <f t="shared" si="47"/>
        <v>4.1677263073992499E-2</v>
      </c>
      <c r="I135" s="3">
        <f t="shared" si="47"/>
        <v>4.1677263073992298E-2</v>
      </c>
      <c r="J135" s="3">
        <f t="shared" si="47"/>
        <v>4.1677263073990306E-2</v>
      </c>
      <c r="K135" s="3">
        <f t="shared" si="47"/>
        <v>4.1677263073970364E-2</v>
      </c>
      <c r="L135" s="3">
        <f t="shared" si="47"/>
        <v>4.1677263073770954E-2</v>
      </c>
      <c r="M135" s="3">
        <f t="shared" si="47"/>
        <v>4.1677263071776827E-2</v>
      </c>
      <c r="N135" s="3">
        <f t="shared" si="47"/>
        <v>4.1677263051835563E-2</v>
      </c>
      <c r="O135" s="3">
        <f t="shared" si="47"/>
        <v>4.1677262852422965E-2</v>
      </c>
      <c r="P135" s="3">
        <f t="shared" si="47"/>
        <v>4.1677260858297052E-2</v>
      </c>
      <c r="Q135" s="3">
        <f t="shared" si="47"/>
        <v>4.1677240917043154E-2</v>
      </c>
      <c r="R135" s="3">
        <f t="shared" si="47"/>
        <v>4.1677041505028913E-2</v>
      </c>
      <c r="S135" s="3">
        <f t="shared" si="47"/>
        <v>4.1675047437362445E-2</v>
      </c>
      <c r="T135" s="3">
        <f t="shared" si="47"/>
        <v>4.1655112007361772E-2</v>
      </c>
      <c r="U135" s="3">
        <f t="shared" si="47"/>
        <v>4.1456281446110028E-2</v>
      </c>
      <c r="V135" s="3">
        <f t="shared" si="47"/>
        <v>3.9519434263692838E-2</v>
      </c>
      <c r="W135" s="3">
        <f t="shared" si="47"/>
        <v>2.4491448239590142E-2</v>
      </c>
      <c r="X135" s="3">
        <f t="shared" si="47"/>
        <v>2.0466894268130354E-4</v>
      </c>
      <c r="Y135" s="3">
        <f t="shared" si="47"/>
        <v>3.3995915275426344E-25</v>
      </c>
      <c r="Z135" s="3">
        <f t="shared" si="47"/>
        <v>5.4346885461162535E-233</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4.036501144186317E-2</v>
      </c>
      <c r="C136" s="3">
        <f t="shared" si="49"/>
        <v>4.036501144186317E-2</v>
      </c>
      <c r="D136" s="3">
        <f t="shared" si="49"/>
        <v>4.036501144186317E-2</v>
      </c>
      <c r="E136" s="3">
        <f t="shared" si="49"/>
        <v>4.036501144186317E-2</v>
      </c>
      <c r="F136" s="3">
        <f t="shared" si="49"/>
        <v>4.036501144186317E-2</v>
      </c>
      <c r="G136" s="3">
        <f t="shared" si="49"/>
        <v>4.036501144186317E-2</v>
      </c>
      <c r="H136" s="3">
        <f t="shared" si="49"/>
        <v>4.036501144186317E-2</v>
      </c>
      <c r="I136" s="3">
        <f t="shared" si="49"/>
        <v>4.0365011441863149E-2</v>
      </c>
      <c r="J136" s="3">
        <f t="shared" si="49"/>
        <v>4.0365011441862976E-2</v>
      </c>
      <c r="K136" s="3">
        <f t="shared" si="49"/>
        <v>4.0365011441861234E-2</v>
      </c>
      <c r="L136" s="3">
        <f t="shared" si="49"/>
        <v>4.0365011441843811E-2</v>
      </c>
      <c r="M136" s="3">
        <f t="shared" si="49"/>
        <v>4.0365011441669589E-2</v>
      </c>
      <c r="N136" s="3">
        <f t="shared" si="49"/>
        <v>4.0365011439927358E-2</v>
      </c>
      <c r="O136" s="3">
        <f t="shared" si="49"/>
        <v>4.0365011422505079E-2</v>
      </c>
      <c r="P136" s="3">
        <f t="shared" si="49"/>
        <v>4.0365011248282241E-2</v>
      </c>
      <c r="Q136" s="3">
        <f t="shared" si="49"/>
        <v>4.036500950605397E-2</v>
      </c>
      <c r="R136" s="3">
        <f t="shared" si="49"/>
        <v>4.0364992083775329E-2</v>
      </c>
      <c r="S136" s="3">
        <f t="shared" si="49"/>
        <v>4.0364817861402578E-2</v>
      </c>
      <c r="T136" s="3">
        <f t="shared" si="49"/>
        <v>4.0363075679033057E-2</v>
      </c>
      <c r="U136" s="3">
        <f t="shared" si="49"/>
        <v>4.0345657990482314E-2</v>
      </c>
      <c r="V136" s="3">
        <f t="shared" si="49"/>
        <v>4.0171893959807581E-2</v>
      </c>
      <c r="W136" s="3">
        <f t="shared" si="49"/>
        <v>3.8474887354816904E-2</v>
      </c>
      <c r="X136" s="3">
        <f t="shared" si="49"/>
        <v>2.4987790184447613E-2</v>
      </c>
      <c r="Y136" s="3">
        <f t="shared" si="49"/>
        <v>3.336051812388359E-4</v>
      </c>
      <c r="Z136" s="3">
        <f t="shared" si="49"/>
        <v>6.0018087363137398E-23</v>
      </c>
      <c r="AA136" s="3">
        <f t="shared" ref="AA136" si="50">$C22*EXP(-AA$129/$A22/EXP(-$B$126))</f>
        <v>2.1319440067575842E-210</v>
      </c>
      <c r="AB136" s="3">
        <f t="shared" si="46"/>
        <v>0</v>
      </c>
      <c r="AC136" s="3">
        <f t="shared" si="46"/>
        <v>0</v>
      </c>
      <c r="AD136" s="3">
        <f t="shared" si="46"/>
        <v>0</v>
      </c>
      <c r="AE136" s="3">
        <f t="shared" si="46"/>
        <v>0</v>
      </c>
      <c r="AF136" s="3">
        <f t="shared" si="46"/>
        <v>0</v>
      </c>
    </row>
    <row r="137" spans="1:33" x14ac:dyDescent="0.25">
      <c r="B137" s="3">
        <f t="shared" ref="B137:Z137" si="51">$C23*EXP(-B$129/$A23/EXP(-$B$126))</f>
        <v>4.4176699157067116E-2</v>
      </c>
      <c r="C137" s="3">
        <f t="shared" si="51"/>
        <v>4.4176699157067116E-2</v>
      </c>
      <c r="D137" s="3">
        <f t="shared" si="51"/>
        <v>4.4176699157067116E-2</v>
      </c>
      <c r="E137" s="3">
        <f t="shared" si="51"/>
        <v>4.4176699157067116E-2</v>
      </c>
      <c r="F137" s="3">
        <f t="shared" si="51"/>
        <v>4.4176699157067116E-2</v>
      </c>
      <c r="G137" s="3">
        <f t="shared" si="51"/>
        <v>4.4176699157067116E-2</v>
      </c>
      <c r="H137" s="3">
        <f t="shared" si="51"/>
        <v>4.4176699157067116E-2</v>
      </c>
      <c r="I137" s="3">
        <f t="shared" si="51"/>
        <v>4.4176699157067116E-2</v>
      </c>
      <c r="J137" s="3">
        <f t="shared" si="51"/>
        <v>4.4176699157067095E-2</v>
      </c>
      <c r="K137" s="3">
        <f t="shared" si="51"/>
        <v>4.4176699157066922E-2</v>
      </c>
      <c r="L137" s="3">
        <f t="shared" si="51"/>
        <v>4.4176699157065201E-2</v>
      </c>
      <c r="M137" s="3">
        <f t="shared" si="51"/>
        <v>4.4176699157047999E-2</v>
      </c>
      <c r="N137" s="3">
        <f t="shared" si="51"/>
        <v>4.4176699156875998E-2</v>
      </c>
      <c r="O137" s="3">
        <f t="shared" si="51"/>
        <v>4.4176699155155957E-2</v>
      </c>
      <c r="P137" s="3">
        <f t="shared" si="51"/>
        <v>4.4176699137955501E-2</v>
      </c>
      <c r="Q137" s="3">
        <f t="shared" si="51"/>
        <v>4.4176698965950993E-2</v>
      </c>
      <c r="R137" s="3">
        <f t="shared" si="51"/>
        <v>4.4176697245905894E-2</v>
      </c>
      <c r="S137" s="3">
        <f t="shared" si="51"/>
        <v>4.4176680045458633E-2</v>
      </c>
      <c r="T137" s="3">
        <f t="shared" si="51"/>
        <v>4.4176508041354347E-2</v>
      </c>
      <c r="U137" s="3">
        <f t="shared" si="51"/>
        <v>4.4174788037144877E-2</v>
      </c>
      <c r="V137" s="3">
        <f t="shared" si="51"/>
        <v>4.4157591677862609E-2</v>
      </c>
      <c r="W137" s="3">
        <f t="shared" si="51"/>
        <v>4.3985995836281822E-2</v>
      </c>
      <c r="X137" s="3">
        <f t="shared" si="51"/>
        <v>4.2306288228574587E-2</v>
      </c>
      <c r="Y137" s="3">
        <f t="shared" si="51"/>
        <v>2.8662223279461718E-2</v>
      </c>
      <c r="Z137" s="3">
        <f t="shared" si="51"/>
        <v>5.8392811278124598E-4</v>
      </c>
      <c r="AA137" s="3">
        <f t="shared" ref="AA137" si="52">$C23*EXP(-AA$129/$A23/EXP(-$B$126))</f>
        <v>7.1920795345072074E-21</v>
      </c>
      <c r="AB137" s="3">
        <f t="shared" si="46"/>
        <v>5.7783713770511335E-190</v>
      </c>
      <c r="AC137" s="3">
        <f t="shared" si="46"/>
        <v>0</v>
      </c>
      <c r="AD137" s="3">
        <f t="shared" si="46"/>
        <v>0</v>
      </c>
      <c r="AE137" s="3">
        <f t="shared" si="46"/>
        <v>0</v>
      </c>
      <c r="AF137" s="3">
        <f t="shared" si="46"/>
        <v>0</v>
      </c>
    </row>
    <row r="138" spans="1:33" x14ac:dyDescent="0.25">
      <c r="B138" s="3">
        <f t="shared" ref="B138:Z138" si="53">$C24*EXP(-B$129/$A24/EXP(-$B$126))</f>
        <v>5.1093401565650405E-2</v>
      </c>
      <c r="C138" s="3">
        <f t="shared" si="53"/>
        <v>5.1093401565650405E-2</v>
      </c>
      <c r="D138" s="3">
        <f t="shared" si="53"/>
        <v>5.1093401565650405E-2</v>
      </c>
      <c r="E138" s="3">
        <f t="shared" si="53"/>
        <v>5.1093401565650405E-2</v>
      </c>
      <c r="F138" s="3">
        <f t="shared" si="53"/>
        <v>5.1093401565650405E-2</v>
      </c>
      <c r="G138" s="3">
        <f t="shared" si="53"/>
        <v>5.1093401565650405E-2</v>
      </c>
      <c r="H138" s="3">
        <f t="shared" si="53"/>
        <v>5.1093401565650405E-2</v>
      </c>
      <c r="I138" s="3">
        <f t="shared" si="53"/>
        <v>5.1093401565650405E-2</v>
      </c>
      <c r="J138" s="3">
        <f t="shared" si="53"/>
        <v>5.1093401565650405E-2</v>
      </c>
      <c r="K138" s="3">
        <f t="shared" si="53"/>
        <v>5.1093401565650384E-2</v>
      </c>
      <c r="L138" s="3">
        <f t="shared" si="53"/>
        <v>5.1093401565650204E-2</v>
      </c>
      <c r="M138" s="3">
        <f t="shared" si="53"/>
        <v>5.1093401565648407E-2</v>
      </c>
      <c r="N138" s="3">
        <f t="shared" si="53"/>
        <v>5.109340156563047E-2</v>
      </c>
      <c r="O138" s="3">
        <f t="shared" si="53"/>
        <v>5.1093401565451009E-2</v>
      </c>
      <c r="P138" s="3">
        <f t="shared" si="53"/>
        <v>5.1093401563656451E-2</v>
      </c>
      <c r="Q138" s="3">
        <f t="shared" si="53"/>
        <v>5.1093401545710848E-2</v>
      </c>
      <c r="R138" s="3">
        <f t="shared" si="53"/>
        <v>5.1093401366254849E-2</v>
      </c>
      <c r="S138" s="3">
        <f t="shared" si="53"/>
        <v>5.1093399571694863E-2</v>
      </c>
      <c r="T138" s="3">
        <f t="shared" si="53"/>
        <v>5.1093381626098493E-2</v>
      </c>
      <c r="U138" s="3">
        <f t="shared" si="53"/>
        <v>5.1093202170481487E-2</v>
      </c>
      <c r="V138" s="3">
        <f t="shared" si="53"/>
        <v>5.1091407648977648E-2</v>
      </c>
      <c r="W138" s="3">
        <f t="shared" si="53"/>
        <v>5.1073465900119526E-2</v>
      </c>
      <c r="X138" s="3">
        <f t="shared" si="53"/>
        <v>5.089439457953527E-2</v>
      </c>
      <c r="Y138" s="3">
        <f t="shared" si="53"/>
        <v>4.9137852503961729E-2</v>
      </c>
      <c r="Z138" s="3">
        <f t="shared" si="53"/>
        <v>3.4584250705555909E-2</v>
      </c>
      <c r="AA138" s="3">
        <f t="shared" ref="AA138" si="54">$C24*EXP(-AA$129/$A24/EXP(-$B$126))</f>
        <v>1.0315739226755263E-3</v>
      </c>
      <c r="AB138" s="3">
        <f t="shared" si="46"/>
        <v>5.7506931809111964E-19</v>
      </c>
      <c r="AC138" s="3">
        <f t="shared" si="46"/>
        <v>1.6669348193284278E-171</v>
      </c>
      <c r="AD138" s="3">
        <f t="shared" si="46"/>
        <v>0</v>
      </c>
      <c r="AE138" s="3">
        <f t="shared" si="46"/>
        <v>0</v>
      </c>
      <c r="AF138" s="3">
        <f t="shared" si="46"/>
        <v>0</v>
      </c>
    </row>
    <row r="139" spans="1:33" x14ac:dyDescent="0.25">
      <c r="B139" s="3">
        <f t="shared" ref="B139:Z139" si="55">$C25*EXP(-B$129/$A25/EXP(-$B$126))</f>
        <v>7.3486409025988797E-2</v>
      </c>
      <c r="C139" s="3">
        <f t="shared" si="55"/>
        <v>7.3486409025988797E-2</v>
      </c>
      <c r="D139" s="3">
        <f t="shared" si="55"/>
        <v>7.3486409025988797E-2</v>
      </c>
      <c r="E139" s="3">
        <f t="shared" si="55"/>
        <v>7.3486409025988797E-2</v>
      </c>
      <c r="F139" s="3">
        <f t="shared" si="55"/>
        <v>7.3486409025988797E-2</v>
      </c>
      <c r="G139" s="3">
        <f t="shared" si="55"/>
        <v>7.3486409025988797E-2</v>
      </c>
      <c r="H139" s="3">
        <f t="shared" si="55"/>
        <v>7.3486409025988797E-2</v>
      </c>
      <c r="I139" s="3">
        <f t="shared" si="55"/>
        <v>7.3486409025988797E-2</v>
      </c>
      <c r="J139" s="3">
        <f t="shared" si="55"/>
        <v>7.3486409025988797E-2</v>
      </c>
      <c r="K139" s="3">
        <f t="shared" si="55"/>
        <v>7.3486409025988797E-2</v>
      </c>
      <c r="L139" s="3">
        <f t="shared" si="55"/>
        <v>7.3486409025988769E-2</v>
      </c>
      <c r="M139" s="3">
        <f t="shared" si="55"/>
        <v>7.3486409025988533E-2</v>
      </c>
      <c r="N139" s="3">
        <f t="shared" si="55"/>
        <v>7.3486409025986216E-2</v>
      </c>
      <c r="O139" s="3">
        <f t="shared" si="55"/>
        <v>7.3486409025962929E-2</v>
      </c>
      <c r="P139" s="3">
        <f t="shared" si="55"/>
        <v>7.3486409025730101E-2</v>
      </c>
      <c r="Q139" s="3">
        <f t="shared" si="55"/>
        <v>7.3486409023401755E-2</v>
      </c>
      <c r="R139" s="3">
        <f t="shared" si="55"/>
        <v>7.3486409000118325E-2</v>
      </c>
      <c r="S139" s="3">
        <f t="shared" si="55"/>
        <v>7.3486408767284114E-2</v>
      </c>
      <c r="T139" s="3">
        <f t="shared" si="55"/>
        <v>7.3486406438942081E-2</v>
      </c>
      <c r="U139" s="3">
        <f t="shared" si="55"/>
        <v>7.3486383155525734E-2</v>
      </c>
      <c r="V139" s="3">
        <f t="shared" si="55"/>
        <v>7.3486150321767973E-2</v>
      </c>
      <c r="W139" s="3">
        <f t="shared" si="55"/>
        <v>7.3483822024764056E-2</v>
      </c>
      <c r="X139" s="3">
        <f t="shared" si="55"/>
        <v>7.34605431116096E-2</v>
      </c>
      <c r="Y139" s="3">
        <f t="shared" si="55"/>
        <v>7.3228159193353001E-2</v>
      </c>
      <c r="Z139" s="3">
        <f t="shared" si="55"/>
        <v>7.0944370304116405E-2</v>
      </c>
      <c r="AA139" s="3">
        <f t="shared" ref="AA139" si="56">$C25*EXP(-AA$129/$A25/EXP(-$B$126))</f>
        <v>5.1679243938545928E-2</v>
      </c>
      <c r="AB139" s="3">
        <f t="shared" si="46"/>
        <v>2.174193944814576E-3</v>
      </c>
      <c r="AC139" s="3">
        <f t="shared" si="46"/>
        <v>3.7767617341951963E-17</v>
      </c>
      <c r="AD139" s="3">
        <f t="shared" si="46"/>
        <v>9.4478424065371969E-155</v>
      </c>
      <c r="AE139" s="3">
        <f t="shared" si="46"/>
        <v>0</v>
      </c>
      <c r="AF139" s="3">
        <f t="shared" si="46"/>
        <v>0</v>
      </c>
    </row>
    <row r="140" spans="1:33" x14ac:dyDescent="0.25">
      <c r="B140" s="3">
        <f t="shared" ref="B140:Z140" si="57">$C26*EXP(-B$129/$A26/EXP(-$B$126))</f>
        <v>9.0828991010172527E-2</v>
      </c>
      <c r="C140" s="3">
        <f t="shared" si="57"/>
        <v>9.0828991010172527E-2</v>
      </c>
      <c r="D140" s="3">
        <f t="shared" si="57"/>
        <v>9.0828991010172527E-2</v>
      </c>
      <c r="E140" s="3">
        <f t="shared" si="57"/>
        <v>9.0828991010172527E-2</v>
      </c>
      <c r="F140" s="3">
        <f t="shared" si="57"/>
        <v>9.0828991010172527E-2</v>
      </c>
      <c r="G140" s="3">
        <f t="shared" si="57"/>
        <v>9.0828991010172527E-2</v>
      </c>
      <c r="H140" s="3">
        <f t="shared" si="57"/>
        <v>9.0828991010172527E-2</v>
      </c>
      <c r="I140" s="3">
        <f t="shared" si="57"/>
        <v>9.0828991010172527E-2</v>
      </c>
      <c r="J140" s="3">
        <f t="shared" si="57"/>
        <v>9.0828991010172527E-2</v>
      </c>
      <c r="K140" s="3">
        <f t="shared" si="57"/>
        <v>9.0828991010172527E-2</v>
      </c>
      <c r="L140" s="3">
        <f t="shared" si="57"/>
        <v>9.0828991010172527E-2</v>
      </c>
      <c r="M140" s="3">
        <f t="shared" si="57"/>
        <v>9.08289910101725E-2</v>
      </c>
      <c r="N140" s="3">
        <f t="shared" si="57"/>
        <v>9.0828991010172236E-2</v>
      </c>
      <c r="O140" s="3">
        <f t="shared" si="57"/>
        <v>9.0828991010169641E-2</v>
      </c>
      <c r="P140" s="3">
        <f t="shared" si="57"/>
        <v>9.0828991010143689E-2</v>
      </c>
      <c r="Q140" s="3">
        <f t="shared" si="57"/>
        <v>9.0828991009884077E-2</v>
      </c>
      <c r="R140" s="3">
        <f t="shared" si="57"/>
        <v>9.0828991007288043E-2</v>
      </c>
      <c r="S140" s="3">
        <f t="shared" si="57"/>
        <v>9.082899098132767E-2</v>
      </c>
      <c r="T140" s="3">
        <f t="shared" si="57"/>
        <v>9.0828990721723998E-2</v>
      </c>
      <c r="U140" s="3">
        <f t="shared" si="57"/>
        <v>9.0828988125687252E-2</v>
      </c>
      <c r="V140" s="3">
        <f t="shared" si="57"/>
        <v>9.0828962165323851E-2</v>
      </c>
      <c r="W140" s="3">
        <f t="shared" si="57"/>
        <v>9.0828702562098032E-2</v>
      </c>
      <c r="X140" s="3">
        <f t="shared" si="57"/>
        <v>9.082610657064874E-2</v>
      </c>
      <c r="Y140" s="3">
        <f t="shared" si="57"/>
        <v>9.0800150736613253E-2</v>
      </c>
      <c r="Z140" s="3">
        <f t="shared" si="57"/>
        <v>9.0541000010820202E-2</v>
      </c>
      <c r="AA140" s="3">
        <f t="shared" ref="AA140" si="58">$C26*EXP(-AA$129/$A26/EXP(-$B$126))</f>
        <v>8.7989826424714132E-2</v>
      </c>
      <c r="AB140" s="3">
        <f t="shared" si="46"/>
        <v>6.6115639318054698E-2</v>
      </c>
      <c r="AC140" s="3">
        <f t="shared" si="46"/>
        <v>3.79333859611109E-3</v>
      </c>
      <c r="AD140" s="3">
        <f t="shared" si="46"/>
        <v>1.4662083574642375E-15</v>
      </c>
      <c r="AE140" s="3">
        <f t="shared" si="46"/>
        <v>1.0912807610168626E-139</v>
      </c>
      <c r="AF140" s="3">
        <f t="shared" si="46"/>
        <v>0</v>
      </c>
    </row>
    <row r="141" spans="1:33" x14ac:dyDescent="0.25">
      <c r="B141" s="3">
        <f t="shared" ref="B141:Z141" si="59">$C27*EXP(-B$129/$A27/EXP(-$B$126))</f>
        <v>0.11303496653818297</v>
      </c>
      <c r="C141" s="3">
        <f t="shared" si="59"/>
        <v>0.11303496653818297</v>
      </c>
      <c r="D141" s="3">
        <f t="shared" si="59"/>
        <v>0.11303496653818297</v>
      </c>
      <c r="E141" s="3">
        <f t="shared" si="59"/>
        <v>0.11303496653818297</v>
      </c>
      <c r="F141" s="3">
        <f t="shared" si="59"/>
        <v>0.11303496653818297</v>
      </c>
      <c r="G141" s="3">
        <f t="shared" si="59"/>
        <v>0.11303496653818297</v>
      </c>
      <c r="H141" s="3">
        <f t="shared" si="59"/>
        <v>0.11303496653818297</v>
      </c>
      <c r="I141" s="3">
        <f t="shared" si="59"/>
        <v>0.11303496653818297</v>
      </c>
      <c r="J141" s="3">
        <f t="shared" si="59"/>
        <v>0.11303496653818297</v>
      </c>
      <c r="K141" s="3">
        <f t="shared" si="59"/>
        <v>0.11303496653818297</v>
      </c>
      <c r="L141" s="3">
        <f t="shared" si="59"/>
        <v>0.11303496653818297</v>
      </c>
      <c r="M141" s="3">
        <f t="shared" si="59"/>
        <v>0.11303496653818297</v>
      </c>
      <c r="N141" s="3">
        <f t="shared" si="59"/>
        <v>0.11303496653818293</v>
      </c>
      <c r="O141" s="3">
        <f t="shared" si="59"/>
        <v>0.11303496653818264</v>
      </c>
      <c r="P141" s="3">
        <f t="shared" si="59"/>
        <v>0.11303496653817974</v>
      </c>
      <c r="Q141" s="3">
        <f t="shared" si="59"/>
        <v>0.11303496653815059</v>
      </c>
      <c r="R141" s="3">
        <f t="shared" si="59"/>
        <v>0.11303496653785915</v>
      </c>
      <c r="S141" s="3">
        <f t="shared" si="59"/>
        <v>0.11303496653494477</v>
      </c>
      <c r="T141" s="3">
        <f t="shared" si="59"/>
        <v>0.11303496650580101</v>
      </c>
      <c r="U141" s="3">
        <f t="shared" si="59"/>
        <v>0.11303496621436329</v>
      </c>
      <c r="V141" s="3">
        <f t="shared" si="59"/>
        <v>0.11303496329998618</v>
      </c>
      <c r="W141" s="3">
        <f t="shared" si="59"/>
        <v>0.11303493415621918</v>
      </c>
      <c r="X141" s="3">
        <f t="shared" si="59"/>
        <v>0.11303464271896252</v>
      </c>
      <c r="Y141" s="3">
        <f t="shared" si="59"/>
        <v>0.11303172838772309</v>
      </c>
      <c r="Z141" s="3">
        <f t="shared" si="59"/>
        <v>0.11300258920766222</v>
      </c>
      <c r="AA141" s="3">
        <f t="shared" ref="AA141" si="60">$C27*EXP(-AA$129/$A27/EXP(-$B$126))</f>
        <v>0.11271161024645514</v>
      </c>
      <c r="AB141" s="3">
        <f t="shared" si="46"/>
        <v>0.10984271343955378</v>
      </c>
      <c r="AC141" s="3">
        <f t="shared" si="46"/>
        <v>8.4878410191557077E-2</v>
      </c>
      <c r="AD141" s="3">
        <f t="shared" si="46"/>
        <v>6.4425392601506308E-3</v>
      </c>
      <c r="AE141" s="3">
        <f t="shared" si="46"/>
        <v>4.0893609641712204E-14</v>
      </c>
      <c r="AF141" s="3">
        <f t="shared" si="46"/>
        <v>4.341493743706505E-126</v>
      </c>
    </row>
    <row r="142" spans="1:33" x14ac:dyDescent="0.25">
      <c r="B142" s="3">
        <f t="shared" ref="B142:Z142" si="61">$C28*EXP(-B$129/$A28/EXP(-$B$126))</f>
        <v>0.13845265884512553</v>
      </c>
      <c r="C142" s="3">
        <f t="shared" si="61"/>
        <v>0.13845265884512553</v>
      </c>
      <c r="D142" s="3">
        <f t="shared" si="61"/>
        <v>0.13845265884512553</v>
      </c>
      <c r="E142" s="3">
        <f t="shared" si="61"/>
        <v>0.13845265884512553</v>
      </c>
      <c r="F142" s="3">
        <f t="shared" si="61"/>
        <v>0.13845265884512553</v>
      </c>
      <c r="G142" s="3">
        <f t="shared" si="61"/>
        <v>0.13845265884512553</v>
      </c>
      <c r="H142" s="3">
        <f t="shared" si="61"/>
        <v>0.13845265884512553</v>
      </c>
      <c r="I142" s="3">
        <f t="shared" si="61"/>
        <v>0.13845265884512553</v>
      </c>
      <c r="J142" s="3">
        <f t="shared" si="61"/>
        <v>0.13845265884512553</v>
      </c>
      <c r="K142" s="3">
        <f t="shared" si="61"/>
        <v>0.13845265884512553</v>
      </c>
      <c r="L142" s="3">
        <f t="shared" si="61"/>
        <v>0.13845265884512553</v>
      </c>
      <c r="M142" s="3">
        <f t="shared" si="61"/>
        <v>0.13845265884512553</v>
      </c>
      <c r="N142" s="3">
        <f t="shared" si="61"/>
        <v>0.13845265884512553</v>
      </c>
      <c r="O142" s="3">
        <f t="shared" si="61"/>
        <v>0.1384526588451255</v>
      </c>
      <c r="P142" s="3">
        <f t="shared" si="61"/>
        <v>0.13845265884512517</v>
      </c>
      <c r="Q142" s="3">
        <f t="shared" si="61"/>
        <v>0.13845265884512195</v>
      </c>
      <c r="R142" s="3">
        <f t="shared" si="61"/>
        <v>0.13845265884508975</v>
      </c>
      <c r="S142" s="3">
        <f t="shared" si="61"/>
        <v>0.13845265884476773</v>
      </c>
      <c r="T142" s="3">
        <f t="shared" si="61"/>
        <v>0.13845265884154753</v>
      </c>
      <c r="U142" s="3">
        <f t="shared" si="61"/>
        <v>0.13845265880934571</v>
      </c>
      <c r="V142" s="3">
        <f t="shared" si="61"/>
        <v>0.13845265848732718</v>
      </c>
      <c r="W142" s="3">
        <f t="shared" si="61"/>
        <v>0.13845265526714215</v>
      </c>
      <c r="X142" s="3">
        <f t="shared" si="61"/>
        <v>0.13845262306529574</v>
      </c>
      <c r="Y142" s="3">
        <f t="shared" si="61"/>
        <v>0.13845230104724382</v>
      </c>
      <c r="Z142" s="3">
        <f t="shared" si="61"/>
        <v>0.13844908090791699</v>
      </c>
      <c r="AA142" s="3">
        <f t="shared" ref="AA142" si="62">$C28*EXP(-AA$129/$A28/EXP(-$B$126))</f>
        <v>0.13841688363355151</v>
      </c>
      <c r="AB142" s="3">
        <f t="shared" si="46"/>
        <v>0.13809532242593262</v>
      </c>
      <c r="AC142" s="3">
        <f t="shared" si="46"/>
        <v>0.13492051199430996</v>
      </c>
      <c r="AD142" s="3">
        <f t="shared" si="46"/>
        <v>0.10692225329371069</v>
      </c>
      <c r="AE142" s="3">
        <f t="shared" si="46"/>
        <v>1.0446464251521648E-2</v>
      </c>
      <c r="AF142" s="3">
        <f t="shared" si="46"/>
        <v>8.2790693598131134E-13</v>
      </c>
    </row>
    <row r="143" spans="1:33" x14ac:dyDescent="0.25">
      <c r="B143" s="3">
        <f t="shared" ref="B143:Z143" si="63">$C29*EXP(-B$129/$A29/EXP(-$B$126))</f>
        <v>8.6910854297372359E-2</v>
      </c>
      <c r="C143" s="3">
        <f t="shared" si="63"/>
        <v>8.6910854297372359E-2</v>
      </c>
      <c r="D143" s="3">
        <f t="shared" si="63"/>
        <v>8.6910854297372359E-2</v>
      </c>
      <c r="E143" s="3">
        <f t="shared" si="63"/>
        <v>8.6910854297372359E-2</v>
      </c>
      <c r="F143" s="3">
        <f t="shared" si="63"/>
        <v>8.6910854297372359E-2</v>
      </c>
      <c r="G143" s="3">
        <f t="shared" si="63"/>
        <v>8.6910854297372359E-2</v>
      </c>
      <c r="H143" s="3">
        <f t="shared" si="63"/>
        <v>8.6910854297372359E-2</v>
      </c>
      <c r="I143" s="3">
        <f t="shared" si="63"/>
        <v>8.6910854297372359E-2</v>
      </c>
      <c r="J143" s="3">
        <f t="shared" si="63"/>
        <v>8.6910854297372359E-2</v>
      </c>
      <c r="K143" s="3">
        <f t="shared" si="63"/>
        <v>8.6910854297372359E-2</v>
      </c>
      <c r="L143" s="3">
        <f t="shared" si="63"/>
        <v>8.6910854297372359E-2</v>
      </c>
      <c r="M143" s="3">
        <f t="shared" si="63"/>
        <v>8.6910854297372359E-2</v>
      </c>
      <c r="N143" s="3">
        <f t="shared" si="63"/>
        <v>8.6910854297372359E-2</v>
      </c>
      <c r="O143" s="3">
        <f t="shared" si="63"/>
        <v>8.6910854297372359E-2</v>
      </c>
      <c r="P143" s="3">
        <f t="shared" si="63"/>
        <v>8.6910854297372345E-2</v>
      </c>
      <c r="Q143" s="3">
        <f t="shared" si="63"/>
        <v>8.691085429737215E-2</v>
      </c>
      <c r="R143" s="3">
        <f t="shared" si="63"/>
        <v>8.6910854297370332E-2</v>
      </c>
      <c r="S143" s="3">
        <f t="shared" si="63"/>
        <v>8.6910854297352097E-2</v>
      </c>
      <c r="T143" s="3">
        <f t="shared" si="63"/>
        <v>8.6910854297169743E-2</v>
      </c>
      <c r="U143" s="3">
        <f t="shared" si="63"/>
        <v>8.6910854295346271E-2</v>
      </c>
      <c r="V143" s="3">
        <f t="shared" si="63"/>
        <v>8.691085427711151E-2</v>
      </c>
      <c r="W143" s="3">
        <f t="shared" si="63"/>
        <v>8.6910854094763873E-2</v>
      </c>
      <c r="X143" s="3">
        <f t="shared" si="63"/>
        <v>8.6910852271287503E-2</v>
      </c>
      <c r="Y143" s="3">
        <f t="shared" si="63"/>
        <v>8.6910834036525914E-2</v>
      </c>
      <c r="Z143" s="3">
        <f t="shared" si="63"/>
        <v>8.6910651689120461E-2</v>
      </c>
      <c r="AA143" s="3">
        <f t="shared" ref="AA143" si="64">$C29*EXP(-AA$129/$A29/EXP(-$B$126))</f>
        <v>8.6908828236107863E-2</v>
      </c>
      <c r="AB143" s="3">
        <f t="shared" si="46"/>
        <v>8.6890595810009727E-2</v>
      </c>
      <c r="AC143" s="3">
        <f t="shared" si="46"/>
        <v>8.6708481788578359E-2</v>
      </c>
      <c r="AD143" s="3">
        <f t="shared" si="46"/>
        <v>8.4908203232853488E-2</v>
      </c>
      <c r="AE143" s="3">
        <f t="shared" si="46"/>
        <v>6.883833184712089E-2</v>
      </c>
      <c r="AF143" s="3">
        <f t="shared" si="46"/>
        <v>8.4457302396796739E-3</v>
      </c>
    </row>
    <row r="144" spans="1:33" x14ac:dyDescent="0.25">
      <c r="B144" s="3">
        <f t="shared" ref="B144:Z144" si="65">$C30*EXP(-B$129/$A30/EXP(-$B$126))</f>
        <v>5.8628121311532923E-2</v>
      </c>
      <c r="C144" s="3">
        <f t="shared" si="65"/>
        <v>5.8628121311532923E-2</v>
      </c>
      <c r="D144" s="3">
        <f t="shared" si="65"/>
        <v>5.8628121311532923E-2</v>
      </c>
      <c r="E144" s="3">
        <f t="shared" si="65"/>
        <v>5.8628121311532923E-2</v>
      </c>
      <c r="F144" s="3">
        <f t="shared" si="65"/>
        <v>5.8628121311532923E-2</v>
      </c>
      <c r="G144" s="3">
        <f t="shared" si="65"/>
        <v>5.8628121311532923E-2</v>
      </c>
      <c r="H144" s="3">
        <f t="shared" si="65"/>
        <v>5.8628121311532923E-2</v>
      </c>
      <c r="I144" s="3">
        <f t="shared" si="65"/>
        <v>5.8628121311532923E-2</v>
      </c>
      <c r="J144" s="3">
        <f t="shared" si="65"/>
        <v>5.8628121311532923E-2</v>
      </c>
      <c r="K144" s="3">
        <f t="shared" si="65"/>
        <v>5.8628121311532923E-2</v>
      </c>
      <c r="L144" s="3">
        <f t="shared" si="65"/>
        <v>5.8628121311532923E-2</v>
      </c>
      <c r="M144" s="3">
        <f t="shared" si="65"/>
        <v>5.8628121311532923E-2</v>
      </c>
      <c r="N144" s="3">
        <f t="shared" si="65"/>
        <v>5.8628121311532923E-2</v>
      </c>
      <c r="O144" s="3">
        <f t="shared" si="65"/>
        <v>5.8628121311532923E-2</v>
      </c>
      <c r="P144" s="3">
        <f t="shared" si="65"/>
        <v>5.8628121311532923E-2</v>
      </c>
      <c r="Q144" s="3">
        <f t="shared" si="65"/>
        <v>5.8628121311532909E-2</v>
      </c>
      <c r="R144" s="3">
        <f t="shared" si="65"/>
        <v>5.8628121311532798E-2</v>
      </c>
      <c r="S144" s="3">
        <f t="shared" si="65"/>
        <v>5.8628121311531695E-2</v>
      </c>
      <c r="T144" s="3">
        <f t="shared" si="65"/>
        <v>5.8628121311520592E-2</v>
      </c>
      <c r="U144" s="3">
        <f t="shared" si="65"/>
        <v>5.8628121311409626E-2</v>
      </c>
      <c r="V144" s="3">
        <f t="shared" si="65"/>
        <v>5.8628121310299999E-2</v>
      </c>
      <c r="W144" s="3">
        <f t="shared" si="65"/>
        <v>5.8628121299203688E-2</v>
      </c>
      <c r="X144" s="3">
        <f t="shared" si="65"/>
        <v>5.8628121188240553E-2</v>
      </c>
      <c r="Y144" s="3">
        <f t="shared" si="65"/>
        <v>5.8628120078609278E-2</v>
      </c>
      <c r="Z144" s="3">
        <f t="shared" si="65"/>
        <v>5.8628108982297658E-2</v>
      </c>
      <c r="AA144" s="3">
        <f t="shared" ref="AA144" si="66">$C30*EXP(-AA$129/$A30/EXP(-$B$126))</f>
        <v>5.8627998019296933E-2</v>
      </c>
      <c r="AB144" s="3">
        <f t="shared" ref="AB144:AF153" si="67">$C30*EXP(-AB$129/$A30/EXP(-$B$126))</f>
        <v>5.8626888400840411E-2</v>
      </c>
      <c r="AC144" s="3">
        <f t="shared" si="67"/>
        <v>5.8615793371270812E-2</v>
      </c>
      <c r="AD144" s="3">
        <f t="shared" si="67"/>
        <v>5.8504958494287919E-2</v>
      </c>
      <c r="AE144" s="3">
        <f t="shared" si="67"/>
        <v>5.7408071177412458E-2</v>
      </c>
      <c r="AF144" s="3">
        <f t="shared" si="67"/>
        <v>4.7508985275280309E-2</v>
      </c>
    </row>
    <row r="145" spans="1:32" x14ac:dyDescent="0.25">
      <c r="B145" s="3">
        <f t="shared" ref="B145:Z145" si="68">$C31*EXP(-B$129/$A31/EXP(-$B$126))</f>
        <v>2.5608295796313463E-2</v>
      </c>
      <c r="C145" s="3">
        <f t="shared" si="68"/>
        <v>2.5608295796313463E-2</v>
      </c>
      <c r="D145" s="3">
        <f t="shared" si="68"/>
        <v>2.5608295796313463E-2</v>
      </c>
      <c r="E145" s="3">
        <f t="shared" si="68"/>
        <v>2.5608295796313463E-2</v>
      </c>
      <c r="F145" s="3">
        <f t="shared" si="68"/>
        <v>2.5608295796313463E-2</v>
      </c>
      <c r="G145" s="3">
        <f t="shared" si="68"/>
        <v>2.5608295796313463E-2</v>
      </c>
      <c r="H145" s="3">
        <f t="shared" si="68"/>
        <v>2.5608295796313463E-2</v>
      </c>
      <c r="I145" s="3">
        <f t="shared" si="68"/>
        <v>2.5608295796313463E-2</v>
      </c>
      <c r="J145" s="3">
        <f t="shared" si="68"/>
        <v>2.5608295796313463E-2</v>
      </c>
      <c r="K145" s="3">
        <f t="shared" si="68"/>
        <v>2.5608295796313463E-2</v>
      </c>
      <c r="L145" s="3">
        <f t="shared" si="68"/>
        <v>2.5608295796313463E-2</v>
      </c>
      <c r="M145" s="3">
        <f t="shared" si="68"/>
        <v>2.5608295796313463E-2</v>
      </c>
      <c r="N145" s="3">
        <f t="shared" si="68"/>
        <v>2.5608295796313463E-2</v>
      </c>
      <c r="O145" s="3">
        <f t="shared" si="68"/>
        <v>2.5608295796313463E-2</v>
      </c>
      <c r="P145" s="3">
        <f t="shared" si="68"/>
        <v>2.5608295796313463E-2</v>
      </c>
      <c r="Q145" s="3">
        <f t="shared" si="68"/>
        <v>2.5608295796313463E-2</v>
      </c>
      <c r="R145" s="3">
        <f t="shared" si="68"/>
        <v>2.5608295796313456E-2</v>
      </c>
      <c r="S145" s="3">
        <f t="shared" si="68"/>
        <v>2.5608295796313414E-2</v>
      </c>
      <c r="T145" s="3">
        <f t="shared" si="68"/>
        <v>2.5608295796312977E-2</v>
      </c>
      <c r="U145" s="3">
        <f t="shared" si="68"/>
        <v>2.5608295796308606E-2</v>
      </c>
      <c r="V145" s="3">
        <f t="shared" si="68"/>
        <v>2.5608295796264884E-2</v>
      </c>
      <c r="W145" s="3">
        <f t="shared" si="68"/>
        <v>2.5608295795827664E-2</v>
      </c>
      <c r="X145" s="3">
        <f t="shared" si="68"/>
        <v>2.5608295791455463E-2</v>
      </c>
      <c r="Y145" s="3">
        <f t="shared" si="68"/>
        <v>2.5608295747733469E-2</v>
      </c>
      <c r="Z145" s="3">
        <f t="shared" si="68"/>
        <v>2.5608295310513507E-2</v>
      </c>
      <c r="AA145" s="3">
        <f t="shared" ref="AA145" si="69">$C31*EXP(-AA$129/$A31/EXP(-$B$126))</f>
        <v>2.5608290938314304E-2</v>
      </c>
      <c r="AB145" s="3">
        <f t="shared" si="67"/>
        <v>2.5608247216363365E-2</v>
      </c>
      <c r="AC145" s="3">
        <f t="shared" si="67"/>
        <v>2.5607810000959585E-2</v>
      </c>
      <c r="AD145" s="3">
        <f t="shared" si="67"/>
        <v>2.5603438257458012E-2</v>
      </c>
      <c r="AE145" s="3">
        <f t="shared" si="67"/>
        <v>2.5559761850143945E-2</v>
      </c>
      <c r="AF145" s="3">
        <f t="shared" si="67"/>
        <v>2.5127074747303316E-2</v>
      </c>
    </row>
    <row r="146" spans="1:32" x14ac:dyDescent="0.25">
      <c r="B146" s="3">
        <f t="shared" ref="B146:Z146" si="70">$C32*EXP(-B$129/$A32/EXP(-$B$126))</f>
        <v>5.0526357723775506E-3</v>
      </c>
      <c r="C146" s="3">
        <f t="shared" si="70"/>
        <v>5.0526357723775506E-3</v>
      </c>
      <c r="D146" s="3">
        <f t="shared" si="70"/>
        <v>5.0526357723775506E-3</v>
      </c>
      <c r="E146" s="3">
        <f t="shared" si="70"/>
        <v>5.0526357723775506E-3</v>
      </c>
      <c r="F146" s="3">
        <f t="shared" si="70"/>
        <v>5.0526357723775506E-3</v>
      </c>
      <c r="G146" s="3">
        <f t="shared" si="70"/>
        <v>5.0526357723775506E-3</v>
      </c>
      <c r="H146" s="3">
        <f t="shared" si="70"/>
        <v>5.0526357723775506E-3</v>
      </c>
      <c r="I146" s="3">
        <f t="shared" si="70"/>
        <v>5.0526357723775506E-3</v>
      </c>
      <c r="J146" s="3">
        <f t="shared" si="70"/>
        <v>5.0526357723775506E-3</v>
      </c>
      <c r="K146" s="3">
        <f t="shared" si="70"/>
        <v>5.0526357723775506E-3</v>
      </c>
      <c r="L146" s="3">
        <f t="shared" si="70"/>
        <v>5.0526357723775506E-3</v>
      </c>
      <c r="M146" s="3">
        <f t="shared" si="70"/>
        <v>5.0526357723775506E-3</v>
      </c>
      <c r="N146" s="3">
        <f t="shared" si="70"/>
        <v>5.0526357723775506E-3</v>
      </c>
      <c r="O146" s="3">
        <f t="shared" si="70"/>
        <v>5.0526357723775506E-3</v>
      </c>
      <c r="P146" s="3">
        <f t="shared" si="70"/>
        <v>5.0526357723775506E-3</v>
      </c>
      <c r="Q146" s="3">
        <f t="shared" si="70"/>
        <v>5.0526357723775506E-3</v>
      </c>
      <c r="R146" s="3">
        <f t="shared" si="70"/>
        <v>5.0526357723775506E-3</v>
      </c>
      <c r="S146" s="3">
        <f t="shared" si="70"/>
        <v>5.0526357723775497E-3</v>
      </c>
      <c r="T146" s="3">
        <f t="shared" si="70"/>
        <v>5.0526357723775419E-3</v>
      </c>
      <c r="U146" s="3">
        <f t="shared" si="70"/>
        <v>5.0526357723774638E-3</v>
      </c>
      <c r="V146" s="3">
        <f t="shared" si="70"/>
        <v>5.0526357723766858E-3</v>
      </c>
      <c r="W146" s="3">
        <f t="shared" si="70"/>
        <v>5.0526357723689038E-3</v>
      </c>
      <c r="X146" s="3">
        <f t="shared" si="70"/>
        <v>5.0526357722910859E-3</v>
      </c>
      <c r="Y146" s="3">
        <f t="shared" si="70"/>
        <v>5.0526357715128985E-3</v>
      </c>
      <c r="Z146" s="3">
        <f t="shared" si="70"/>
        <v>5.0526357637310296E-3</v>
      </c>
      <c r="AA146" s="3">
        <f t="shared" ref="AA146" si="71">$C32*EXP(-AA$129/$A32/EXP(-$B$126))</f>
        <v>5.0526356859123449E-3</v>
      </c>
      <c r="AB146" s="3">
        <f t="shared" si="67"/>
        <v>5.0526349077255617E-3</v>
      </c>
      <c r="AC146" s="3">
        <f t="shared" si="67"/>
        <v>5.0526271258643169E-3</v>
      </c>
      <c r="AD146" s="3">
        <f t="shared" si="67"/>
        <v>5.0525493079110577E-3</v>
      </c>
      <c r="AE146" s="3">
        <f t="shared" si="67"/>
        <v>5.0517711942935787E-3</v>
      </c>
      <c r="AF146" s="3">
        <f t="shared" si="67"/>
        <v>5.0439966458751097E-3</v>
      </c>
    </row>
    <row r="147" spans="1:32" x14ac:dyDescent="0.25">
      <c r="B147" s="3">
        <f t="shared" ref="B147:Z147" si="72">$C33*EXP(-B$129/$A33/EXP(-$B$126))</f>
        <v>4.3761926995835639E-3</v>
      </c>
      <c r="C147" s="3">
        <f t="shared" si="72"/>
        <v>4.3761926995835639E-3</v>
      </c>
      <c r="D147" s="3">
        <f t="shared" si="72"/>
        <v>4.3761926995835639E-3</v>
      </c>
      <c r="E147" s="3">
        <f t="shared" si="72"/>
        <v>4.3761926995835639E-3</v>
      </c>
      <c r="F147" s="3">
        <f t="shared" si="72"/>
        <v>4.3761926995835639E-3</v>
      </c>
      <c r="G147" s="3">
        <f t="shared" si="72"/>
        <v>4.3761926995835639E-3</v>
      </c>
      <c r="H147" s="3">
        <f t="shared" si="72"/>
        <v>4.3761926995835639E-3</v>
      </c>
      <c r="I147" s="3">
        <f t="shared" si="72"/>
        <v>4.3761926995835639E-3</v>
      </c>
      <c r="J147" s="3">
        <f t="shared" si="72"/>
        <v>4.3761926995835639E-3</v>
      </c>
      <c r="K147" s="3">
        <f t="shared" si="72"/>
        <v>4.3761926995835639E-3</v>
      </c>
      <c r="L147" s="3">
        <f t="shared" si="72"/>
        <v>4.3761926995835639E-3</v>
      </c>
      <c r="M147" s="3">
        <f t="shared" si="72"/>
        <v>4.3761926995835639E-3</v>
      </c>
      <c r="N147" s="3">
        <f t="shared" si="72"/>
        <v>4.3761926995835639E-3</v>
      </c>
      <c r="O147" s="3">
        <f t="shared" si="72"/>
        <v>4.3761926995835639E-3</v>
      </c>
      <c r="P147" s="3">
        <f t="shared" si="72"/>
        <v>4.3761926995835639E-3</v>
      </c>
      <c r="Q147" s="3">
        <f t="shared" si="72"/>
        <v>4.3761926995835639E-3</v>
      </c>
      <c r="R147" s="3">
        <f t="shared" si="72"/>
        <v>4.3761926995835639E-3</v>
      </c>
      <c r="S147" s="3">
        <f t="shared" si="72"/>
        <v>4.3761926995835639E-3</v>
      </c>
      <c r="T147" s="3">
        <f t="shared" si="72"/>
        <v>4.3761926995835631E-3</v>
      </c>
      <c r="U147" s="3">
        <f t="shared" si="72"/>
        <v>4.376192699583557E-3</v>
      </c>
      <c r="V147" s="3">
        <f t="shared" si="72"/>
        <v>4.3761926995834963E-3</v>
      </c>
      <c r="W147" s="3">
        <f t="shared" si="72"/>
        <v>4.3761926995828883E-3</v>
      </c>
      <c r="X147" s="3">
        <f t="shared" si="72"/>
        <v>4.376192699576808E-3</v>
      </c>
      <c r="Y147" s="3">
        <f t="shared" si="72"/>
        <v>4.3761926995160077E-3</v>
      </c>
      <c r="Z147" s="3">
        <f t="shared" si="72"/>
        <v>4.3761926989080002E-3</v>
      </c>
      <c r="AA147" s="3">
        <f t="shared" ref="AA147" si="73">$C33*EXP(-AA$129/$A33/EXP(-$B$126))</f>
        <v>4.3761926928279253E-3</v>
      </c>
      <c r="AB147" s="3">
        <f t="shared" si="67"/>
        <v>4.3761926320271772E-3</v>
      </c>
      <c r="AC147" s="3">
        <f t="shared" si="67"/>
        <v>4.3761920240197412E-3</v>
      </c>
      <c r="AD147" s="3">
        <f t="shared" si="67"/>
        <v>4.376185943950033E-3</v>
      </c>
      <c r="AE147" s="3">
        <f t="shared" si="67"/>
        <v>4.376125143717549E-3</v>
      </c>
      <c r="AF147" s="3">
        <f t="shared" si="67"/>
        <v>4.375517187850583E-3</v>
      </c>
    </row>
    <row r="148" spans="1:32" x14ac:dyDescent="0.25">
      <c r="B148" s="3">
        <f t="shared" ref="B148:Z148" si="74">$C34*EXP(-B$129/$A34/EXP(-$B$126))</f>
        <v>3.799405391061131E-3</v>
      </c>
      <c r="C148" s="3">
        <f t="shared" si="74"/>
        <v>3.799405391061131E-3</v>
      </c>
      <c r="D148" s="3">
        <f t="shared" si="74"/>
        <v>3.799405391061131E-3</v>
      </c>
      <c r="E148" s="3">
        <f t="shared" si="74"/>
        <v>3.799405391061131E-3</v>
      </c>
      <c r="F148" s="3">
        <f t="shared" si="74"/>
        <v>3.799405391061131E-3</v>
      </c>
      <c r="G148" s="3">
        <f t="shared" si="74"/>
        <v>3.799405391061131E-3</v>
      </c>
      <c r="H148" s="3">
        <f t="shared" si="74"/>
        <v>3.799405391061131E-3</v>
      </c>
      <c r="I148" s="3">
        <f t="shared" si="74"/>
        <v>3.799405391061131E-3</v>
      </c>
      <c r="J148" s="3">
        <f t="shared" si="74"/>
        <v>3.799405391061131E-3</v>
      </c>
      <c r="K148" s="3">
        <f t="shared" si="74"/>
        <v>3.799405391061131E-3</v>
      </c>
      <c r="L148" s="3">
        <f t="shared" si="74"/>
        <v>3.799405391061131E-3</v>
      </c>
      <c r="M148" s="3">
        <f t="shared" si="74"/>
        <v>3.799405391061131E-3</v>
      </c>
      <c r="N148" s="3">
        <f t="shared" si="74"/>
        <v>3.799405391061131E-3</v>
      </c>
      <c r="O148" s="3">
        <f t="shared" si="74"/>
        <v>3.799405391061131E-3</v>
      </c>
      <c r="P148" s="3">
        <f t="shared" si="74"/>
        <v>3.799405391061131E-3</v>
      </c>
      <c r="Q148" s="3">
        <f t="shared" si="74"/>
        <v>3.799405391061131E-3</v>
      </c>
      <c r="R148" s="3">
        <f t="shared" si="74"/>
        <v>3.799405391061131E-3</v>
      </c>
      <c r="S148" s="3">
        <f t="shared" si="74"/>
        <v>3.799405391061131E-3</v>
      </c>
      <c r="T148" s="3">
        <f t="shared" si="74"/>
        <v>3.799405391061131E-3</v>
      </c>
      <c r="U148" s="3">
        <f t="shared" si="74"/>
        <v>3.7994053910611306E-3</v>
      </c>
      <c r="V148" s="3">
        <f t="shared" si="74"/>
        <v>3.7994053910611254E-3</v>
      </c>
      <c r="W148" s="3">
        <f t="shared" si="74"/>
        <v>3.7994053910610781E-3</v>
      </c>
      <c r="X148" s="3">
        <f t="shared" si="74"/>
        <v>3.7994053910606019E-3</v>
      </c>
      <c r="Y148" s="3">
        <f t="shared" si="74"/>
        <v>3.7994053910558401E-3</v>
      </c>
      <c r="Z148" s="3">
        <f t="shared" si="74"/>
        <v>3.799405391008222E-3</v>
      </c>
      <c r="AA148" s="3">
        <f>$C34*EXP(-AA$129/$A34/EXP(-$B$126))</f>
        <v>3.7994053905320378E-3</v>
      </c>
      <c r="AB148" s="3">
        <f t="shared" si="67"/>
        <v>3.7994053857701988E-3</v>
      </c>
      <c r="AC148" s="3">
        <f t="shared" si="67"/>
        <v>3.7994053381518083E-3</v>
      </c>
      <c r="AD148" s="3">
        <f t="shared" si="67"/>
        <v>3.799404861967936E-3</v>
      </c>
      <c r="AE148" s="3">
        <f t="shared" si="67"/>
        <v>3.7994001001324966E-3</v>
      </c>
      <c r="AF148" s="3">
        <f t="shared" si="67"/>
        <v>3.7993524821063442E-3</v>
      </c>
    </row>
    <row r="149" spans="1:32" x14ac:dyDescent="0.25">
      <c r="B149" s="3">
        <f t="shared" ref="B149:Z149" si="75">$C35*EXP(-B$129/$A35/EXP(-$B$126))</f>
        <v>4.2249411335647654E-3</v>
      </c>
      <c r="C149" s="3">
        <f t="shared" si="75"/>
        <v>4.2249411335647654E-3</v>
      </c>
      <c r="D149" s="3">
        <f t="shared" si="75"/>
        <v>4.2249411335647654E-3</v>
      </c>
      <c r="E149" s="3">
        <f t="shared" si="75"/>
        <v>4.2249411335647654E-3</v>
      </c>
      <c r="F149" s="3">
        <f t="shared" si="75"/>
        <v>4.2249411335647654E-3</v>
      </c>
      <c r="G149" s="3">
        <f t="shared" si="75"/>
        <v>4.2249411335647654E-3</v>
      </c>
      <c r="H149" s="3">
        <f t="shared" si="75"/>
        <v>4.2249411335647654E-3</v>
      </c>
      <c r="I149" s="3">
        <f t="shared" si="75"/>
        <v>4.2249411335647654E-3</v>
      </c>
      <c r="J149" s="3">
        <f t="shared" si="75"/>
        <v>4.2249411335647654E-3</v>
      </c>
      <c r="K149" s="3">
        <f t="shared" si="75"/>
        <v>4.2249411335647654E-3</v>
      </c>
      <c r="L149" s="3">
        <f t="shared" si="75"/>
        <v>4.2249411335647654E-3</v>
      </c>
      <c r="M149" s="3">
        <f t="shared" si="75"/>
        <v>4.2249411335647654E-3</v>
      </c>
      <c r="N149" s="3">
        <f t="shared" si="75"/>
        <v>4.2249411335647654E-3</v>
      </c>
      <c r="O149" s="3">
        <f t="shared" si="75"/>
        <v>4.2249411335647654E-3</v>
      </c>
      <c r="P149" s="3">
        <f t="shared" si="75"/>
        <v>4.2249411335647654E-3</v>
      </c>
      <c r="Q149" s="3">
        <f t="shared" si="75"/>
        <v>4.2249411335647654E-3</v>
      </c>
      <c r="R149" s="3">
        <f t="shared" si="75"/>
        <v>4.2249411335647654E-3</v>
      </c>
      <c r="S149" s="3">
        <f t="shared" si="75"/>
        <v>4.2249411335647654E-3</v>
      </c>
      <c r="T149" s="3">
        <f t="shared" si="75"/>
        <v>4.2249411335647654E-3</v>
      </c>
      <c r="U149" s="3">
        <f t="shared" si="75"/>
        <v>4.2249411335647654E-3</v>
      </c>
      <c r="V149" s="3">
        <f t="shared" si="75"/>
        <v>4.2249411335647646E-3</v>
      </c>
      <c r="W149" s="3">
        <f t="shared" si="75"/>
        <v>4.2249411335647602E-3</v>
      </c>
      <c r="X149" s="3">
        <f t="shared" si="75"/>
        <v>4.2249411335647125E-3</v>
      </c>
      <c r="Y149" s="3">
        <f t="shared" si="75"/>
        <v>4.2249411335642346E-3</v>
      </c>
      <c r="Z149" s="3">
        <f t="shared" si="75"/>
        <v>4.2249411335594581E-3</v>
      </c>
      <c r="AA149" s="3">
        <f t="shared" ref="AA149" si="76">$C35*EXP(-AA$129/$A35/EXP(-$B$126))</f>
        <v>4.2249411335116907E-3</v>
      </c>
      <c r="AB149" s="3">
        <f t="shared" si="67"/>
        <v>4.2249411330340225E-3</v>
      </c>
      <c r="AC149" s="3">
        <f t="shared" si="67"/>
        <v>4.2249411282573408E-3</v>
      </c>
      <c r="AD149" s="3">
        <f t="shared" si="67"/>
        <v>4.2249410804905208E-3</v>
      </c>
      <c r="AE149" s="3">
        <f t="shared" si="67"/>
        <v>4.2249406028223493E-3</v>
      </c>
      <c r="AF149" s="3">
        <f t="shared" si="67"/>
        <v>4.2249358261436023E-3</v>
      </c>
    </row>
    <row r="150" spans="1:32" x14ac:dyDescent="0.25">
      <c r="B150" s="3">
        <f t="shared" ref="B150:Z150" si="77">$C36*EXP(-B$129/$A36/EXP(-$B$126))</f>
        <v>2.7574935483823488E-3</v>
      </c>
      <c r="C150" s="3">
        <f t="shared" si="77"/>
        <v>2.7574935483823488E-3</v>
      </c>
      <c r="D150" s="3">
        <f t="shared" si="77"/>
        <v>2.7574935483823488E-3</v>
      </c>
      <c r="E150" s="3">
        <f t="shared" si="77"/>
        <v>2.7574935483823488E-3</v>
      </c>
      <c r="F150" s="3">
        <f t="shared" si="77"/>
        <v>2.7574935483823488E-3</v>
      </c>
      <c r="G150" s="3">
        <f t="shared" si="77"/>
        <v>2.7574935483823488E-3</v>
      </c>
      <c r="H150" s="3">
        <f t="shared" si="77"/>
        <v>2.7574935483823488E-3</v>
      </c>
      <c r="I150" s="3">
        <f t="shared" si="77"/>
        <v>2.7574935483823488E-3</v>
      </c>
      <c r="J150" s="3">
        <f t="shared" si="77"/>
        <v>2.7574935483823488E-3</v>
      </c>
      <c r="K150" s="3">
        <f t="shared" si="77"/>
        <v>2.7574935483823488E-3</v>
      </c>
      <c r="L150" s="3">
        <f t="shared" si="77"/>
        <v>2.7574935483823488E-3</v>
      </c>
      <c r="M150" s="3">
        <f t="shared" si="77"/>
        <v>2.7574935483823488E-3</v>
      </c>
      <c r="N150" s="3">
        <f t="shared" si="77"/>
        <v>2.7574935483823488E-3</v>
      </c>
      <c r="O150" s="3">
        <f t="shared" si="77"/>
        <v>2.7574935483823488E-3</v>
      </c>
      <c r="P150" s="3">
        <f t="shared" si="77"/>
        <v>2.7574935483823488E-3</v>
      </c>
      <c r="Q150" s="3">
        <f t="shared" si="77"/>
        <v>2.7574935483823488E-3</v>
      </c>
      <c r="R150" s="3">
        <f t="shared" si="77"/>
        <v>2.7574935483823488E-3</v>
      </c>
      <c r="S150" s="3">
        <f t="shared" si="77"/>
        <v>2.7574935483823488E-3</v>
      </c>
      <c r="T150" s="3">
        <f t="shared" si="77"/>
        <v>2.7574935483823488E-3</v>
      </c>
      <c r="U150" s="3">
        <f t="shared" si="77"/>
        <v>2.7574935483823488E-3</v>
      </c>
      <c r="V150" s="3">
        <f t="shared" si="77"/>
        <v>2.7574935483823488E-3</v>
      </c>
      <c r="W150" s="3">
        <f t="shared" si="77"/>
        <v>2.7574935483823484E-3</v>
      </c>
      <c r="X150" s="3">
        <f t="shared" si="77"/>
        <v>2.7574935483823458E-3</v>
      </c>
      <c r="Y150" s="3">
        <f t="shared" si="77"/>
        <v>2.7574935483823176E-3</v>
      </c>
      <c r="Z150" s="3">
        <f t="shared" si="77"/>
        <v>2.7574935483820361E-3</v>
      </c>
      <c r="AA150" s="3">
        <f t="shared" ref="AA150" si="78">$C36*EXP(-AA$129/$A36/EXP(-$B$126))</f>
        <v>2.7574935483792242E-3</v>
      </c>
      <c r="AB150" s="3">
        <f t="shared" si="67"/>
        <v>2.7574935483511008E-3</v>
      </c>
      <c r="AC150" s="3">
        <f t="shared" si="67"/>
        <v>2.7574935480698675E-3</v>
      </c>
      <c r="AD150" s="3">
        <f t="shared" si="67"/>
        <v>2.7574935452575342E-3</v>
      </c>
      <c r="AE150" s="3">
        <f t="shared" si="67"/>
        <v>2.7574935171342028E-3</v>
      </c>
      <c r="AF150" s="3">
        <f t="shared" si="67"/>
        <v>2.757493235900904E-3</v>
      </c>
    </row>
    <row r="151" spans="1:32" x14ac:dyDescent="0.25">
      <c r="B151" s="3">
        <f t="shared" ref="B151:Z151" si="79">$C37*EXP(-B$129/$A37/EXP(-$B$126))</f>
        <v>1.745678055330739E-3</v>
      </c>
      <c r="C151" s="3">
        <f t="shared" si="79"/>
        <v>1.745678055330739E-3</v>
      </c>
      <c r="D151" s="3">
        <f t="shared" si="79"/>
        <v>1.745678055330739E-3</v>
      </c>
      <c r="E151" s="3">
        <f t="shared" si="79"/>
        <v>1.745678055330739E-3</v>
      </c>
      <c r="F151" s="3">
        <f t="shared" si="79"/>
        <v>1.745678055330739E-3</v>
      </c>
      <c r="G151" s="3">
        <f t="shared" si="79"/>
        <v>1.745678055330739E-3</v>
      </c>
      <c r="H151" s="3">
        <f t="shared" si="79"/>
        <v>1.745678055330739E-3</v>
      </c>
      <c r="I151" s="3">
        <f t="shared" si="79"/>
        <v>1.745678055330739E-3</v>
      </c>
      <c r="J151" s="3">
        <f t="shared" si="79"/>
        <v>1.745678055330739E-3</v>
      </c>
      <c r="K151" s="3">
        <f t="shared" si="79"/>
        <v>1.745678055330739E-3</v>
      </c>
      <c r="L151" s="3">
        <f t="shared" si="79"/>
        <v>1.745678055330739E-3</v>
      </c>
      <c r="M151" s="3">
        <f t="shared" si="79"/>
        <v>1.745678055330739E-3</v>
      </c>
      <c r="N151" s="3">
        <f t="shared" si="79"/>
        <v>1.745678055330739E-3</v>
      </c>
      <c r="O151" s="3">
        <f t="shared" si="79"/>
        <v>1.745678055330739E-3</v>
      </c>
      <c r="P151" s="3">
        <f t="shared" si="79"/>
        <v>1.745678055330739E-3</v>
      </c>
      <c r="Q151" s="3">
        <f t="shared" si="79"/>
        <v>1.745678055330739E-3</v>
      </c>
      <c r="R151" s="3">
        <f t="shared" si="79"/>
        <v>1.745678055330739E-3</v>
      </c>
      <c r="S151" s="3">
        <f t="shared" si="79"/>
        <v>1.745678055330739E-3</v>
      </c>
      <c r="T151" s="3">
        <f t="shared" si="79"/>
        <v>1.745678055330739E-3</v>
      </c>
      <c r="U151" s="3">
        <f t="shared" si="79"/>
        <v>1.745678055330739E-3</v>
      </c>
      <c r="V151" s="3">
        <f t="shared" si="79"/>
        <v>1.745678055330739E-3</v>
      </c>
      <c r="W151" s="3">
        <f t="shared" si="79"/>
        <v>1.745678055330739E-3</v>
      </c>
      <c r="X151" s="3">
        <f t="shared" si="79"/>
        <v>1.7456780553307388E-3</v>
      </c>
      <c r="Y151" s="3">
        <f t="shared" si="79"/>
        <v>1.7456780553307372E-3</v>
      </c>
      <c r="Z151" s="3">
        <f t="shared" si="79"/>
        <v>1.7456780553307212E-3</v>
      </c>
      <c r="AA151" s="3">
        <f t="shared" ref="AA151" si="80">$C37*EXP(-AA$129/$A37/EXP(-$B$126))</f>
        <v>1.7456780553305605E-3</v>
      </c>
      <c r="AB151" s="3">
        <f t="shared" si="67"/>
        <v>1.7456780553289544E-3</v>
      </c>
      <c r="AC151" s="3">
        <f t="shared" si="67"/>
        <v>1.7456780553128939E-3</v>
      </c>
      <c r="AD151" s="3">
        <f t="shared" si="67"/>
        <v>1.7456780551522873E-3</v>
      </c>
      <c r="AE151" s="3">
        <f t="shared" si="67"/>
        <v>1.7456780535462229E-3</v>
      </c>
      <c r="AF151" s="3">
        <f t="shared" si="67"/>
        <v>1.745678037485577E-3</v>
      </c>
    </row>
    <row r="152" spans="1:32" x14ac:dyDescent="0.25">
      <c r="B152" s="3">
        <f t="shared" ref="B152:Z152" si="81">$C38*EXP(-B$129/$A38/EXP(-$B$126))</f>
        <v>4.0897783870777585E-4</v>
      </c>
      <c r="C152" s="3">
        <f t="shared" si="81"/>
        <v>4.0897783870777585E-4</v>
      </c>
      <c r="D152" s="3">
        <f t="shared" si="81"/>
        <v>4.0897783870777585E-4</v>
      </c>
      <c r="E152" s="3">
        <f t="shared" si="81"/>
        <v>4.0897783870777585E-4</v>
      </c>
      <c r="F152" s="3">
        <f t="shared" si="81"/>
        <v>4.0897783870777585E-4</v>
      </c>
      <c r="G152" s="3">
        <f t="shared" si="81"/>
        <v>4.0897783870777585E-4</v>
      </c>
      <c r="H152" s="3">
        <f t="shared" si="81"/>
        <v>4.0897783870777585E-4</v>
      </c>
      <c r="I152" s="3">
        <f t="shared" si="81"/>
        <v>4.0897783870777585E-4</v>
      </c>
      <c r="J152" s="3">
        <f t="shared" si="81"/>
        <v>4.0897783870777585E-4</v>
      </c>
      <c r="K152" s="3">
        <f t="shared" si="81"/>
        <v>4.0897783870777585E-4</v>
      </c>
      <c r="L152" s="3">
        <f t="shared" si="81"/>
        <v>4.0897783870777585E-4</v>
      </c>
      <c r="M152" s="3">
        <f t="shared" si="81"/>
        <v>4.0897783870777585E-4</v>
      </c>
      <c r="N152" s="3">
        <f t="shared" si="81"/>
        <v>4.0897783870777585E-4</v>
      </c>
      <c r="O152" s="3">
        <f t="shared" si="81"/>
        <v>4.0897783870777585E-4</v>
      </c>
      <c r="P152" s="3">
        <f t="shared" si="81"/>
        <v>4.0897783870777585E-4</v>
      </c>
      <c r="Q152" s="3">
        <f t="shared" si="81"/>
        <v>4.0897783870777585E-4</v>
      </c>
      <c r="R152" s="3">
        <f t="shared" si="81"/>
        <v>4.0897783870777585E-4</v>
      </c>
      <c r="S152" s="3">
        <f t="shared" si="81"/>
        <v>4.0897783870777585E-4</v>
      </c>
      <c r="T152" s="3">
        <f t="shared" si="81"/>
        <v>4.0897783870777585E-4</v>
      </c>
      <c r="U152" s="3">
        <f t="shared" si="81"/>
        <v>4.0897783870777585E-4</v>
      </c>
      <c r="V152" s="3">
        <f t="shared" si="81"/>
        <v>4.0897783870777585E-4</v>
      </c>
      <c r="W152" s="3">
        <f t="shared" si="81"/>
        <v>4.0897783870777585E-4</v>
      </c>
      <c r="X152" s="3">
        <f t="shared" si="81"/>
        <v>4.0897783870777585E-4</v>
      </c>
      <c r="Y152" s="3">
        <f t="shared" si="81"/>
        <v>4.0897783870777579E-4</v>
      </c>
      <c r="Z152" s="3">
        <f t="shared" si="81"/>
        <v>4.0897783870777547E-4</v>
      </c>
      <c r="AA152" s="3">
        <f t="shared" ref="AA152" si="82">$C38*EXP(-AA$129/$A38/EXP(-$B$126))</f>
        <v>4.0897783870777205E-4</v>
      </c>
      <c r="AB152" s="3">
        <f t="shared" si="67"/>
        <v>4.0897783870773812E-4</v>
      </c>
      <c r="AC152" s="3">
        <f t="shared" si="67"/>
        <v>4.0897783870739871E-4</v>
      </c>
      <c r="AD152" s="3">
        <f t="shared" si="67"/>
        <v>4.0897783870400445E-4</v>
      </c>
      <c r="AE152" s="3">
        <f t="shared" si="67"/>
        <v>4.0897783867006188E-4</v>
      </c>
      <c r="AF152" s="3">
        <f t="shared" si="67"/>
        <v>4.0897783833063574E-4</v>
      </c>
    </row>
    <row r="153" spans="1:32" x14ac:dyDescent="0.25">
      <c r="B153" s="3">
        <f t="shared" ref="B153:Z153" si="83">$C39*EXP(-B$129/$A39/EXP(-$B$126))</f>
        <v>8.9346516984039216E-4</v>
      </c>
      <c r="C153" s="3">
        <f t="shared" si="83"/>
        <v>8.9346516984039216E-4</v>
      </c>
      <c r="D153" s="3">
        <f t="shared" si="83"/>
        <v>8.9346516984039216E-4</v>
      </c>
      <c r="E153" s="3">
        <f t="shared" si="83"/>
        <v>8.9346516984039216E-4</v>
      </c>
      <c r="F153" s="3">
        <f t="shared" si="83"/>
        <v>8.9346516984039216E-4</v>
      </c>
      <c r="G153" s="3">
        <f t="shared" si="83"/>
        <v>8.9346516984039216E-4</v>
      </c>
      <c r="H153" s="3">
        <f t="shared" si="83"/>
        <v>8.9346516984039216E-4</v>
      </c>
      <c r="I153" s="3">
        <f t="shared" si="83"/>
        <v>8.9346516984039216E-4</v>
      </c>
      <c r="J153" s="3">
        <f t="shared" si="83"/>
        <v>8.9346516984039216E-4</v>
      </c>
      <c r="K153" s="3">
        <f t="shared" si="83"/>
        <v>8.9346516984039216E-4</v>
      </c>
      <c r="L153" s="3">
        <f t="shared" si="83"/>
        <v>8.9346516984039216E-4</v>
      </c>
      <c r="M153" s="3">
        <f t="shared" si="83"/>
        <v>8.9346516984039216E-4</v>
      </c>
      <c r="N153" s="3">
        <f t="shared" si="83"/>
        <v>8.9346516984039216E-4</v>
      </c>
      <c r="O153" s="3">
        <f t="shared" si="83"/>
        <v>8.9346516984039216E-4</v>
      </c>
      <c r="P153" s="3">
        <f t="shared" si="83"/>
        <v>8.9346516984039216E-4</v>
      </c>
      <c r="Q153" s="3">
        <f t="shared" si="83"/>
        <v>8.9346516984039216E-4</v>
      </c>
      <c r="R153" s="3">
        <f t="shared" si="83"/>
        <v>8.9346516984039216E-4</v>
      </c>
      <c r="S153" s="3">
        <f t="shared" si="83"/>
        <v>8.9346516984039216E-4</v>
      </c>
      <c r="T153" s="3">
        <f t="shared" si="83"/>
        <v>8.9346516984039216E-4</v>
      </c>
      <c r="U153" s="3">
        <f t="shared" si="83"/>
        <v>8.9346516984039216E-4</v>
      </c>
      <c r="V153" s="3">
        <f t="shared" si="83"/>
        <v>8.9346516984039216E-4</v>
      </c>
      <c r="W153" s="3">
        <f t="shared" si="83"/>
        <v>8.9346516984039216E-4</v>
      </c>
      <c r="X153" s="3">
        <f t="shared" si="83"/>
        <v>8.9346516984039216E-4</v>
      </c>
      <c r="Y153" s="3">
        <f t="shared" si="83"/>
        <v>8.9346516984039216E-4</v>
      </c>
      <c r="Z153" s="3">
        <f t="shared" si="83"/>
        <v>8.9346516984039194E-4</v>
      </c>
      <c r="AA153" s="3">
        <f t="shared" ref="AA153" si="84">$C39*EXP(-AA$129/$A39/EXP(-$B$126))</f>
        <v>8.9346516984038988E-4</v>
      </c>
      <c r="AB153" s="3">
        <f t="shared" si="67"/>
        <v>8.9346516984036939E-4</v>
      </c>
      <c r="AC153" s="3">
        <f t="shared" si="67"/>
        <v>8.9346516984016426E-4</v>
      </c>
      <c r="AD153" s="3">
        <f t="shared" si="67"/>
        <v>8.9346516983811349E-4</v>
      </c>
      <c r="AE153" s="3">
        <f t="shared" si="67"/>
        <v>8.9346516981760483E-4</v>
      </c>
      <c r="AF153" s="3">
        <f t="shared" si="67"/>
        <v>8.9346516961251888E-4</v>
      </c>
    </row>
    <row r="154" spans="1:32" x14ac:dyDescent="0.25">
      <c r="B154" s="3">
        <f t="shared" ref="B154:Z154" si="85">$C40*EXP(-B$129/$A40/EXP(-$B$126))</f>
        <v>2.0267191834609735E-4</v>
      </c>
      <c r="C154" s="3">
        <f t="shared" si="85"/>
        <v>2.0267191834609735E-4</v>
      </c>
      <c r="D154" s="3">
        <f t="shared" si="85"/>
        <v>2.0267191834609735E-4</v>
      </c>
      <c r="E154" s="3">
        <f t="shared" si="85"/>
        <v>2.0267191834609735E-4</v>
      </c>
      <c r="F154" s="3">
        <f t="shared" si="85"/>
        <v>2.0267191834609735E-4</v>
      </c>
      <c r="G154" s="3">
        <f t="shared" si="85"/>
        <v>2.0267191834609735E-4</v>
      </c>
      <c r="H154" s="3">
        <f t="shared" si="85"/>
        <v>2.0267191834609735E-4</v>
      </c>
      <c r="I154" s="3">
        <f t="shared" si="85"/>
        <v>2.0267191834609735E-4</v>
      </c>
      <c r="J154" s="3">
        <f t="shared" si="85"/>
        <v>2.0267191834609735E-4</v>
      </c>
      <c r="K154" s="3">
        <f t="shared" si="85"/>
        <v>2.0267191834609735E-4</v>
      </c>
      <c r="L154" s="3">
        <f t="shared" si="85"/>
        <v>2.0267191834609735E-4</v>
      </c>
      <c r="M154" s="3">
        <f t="shared" si="85"/>
        <v>2.0267191834609735E-4</v>
      </c>
      <c r="N154" s="3">
        <f t="shared" si="85"/>
        <v>2.0267191834609735E-4</v>
      </c>
      <c r="O154" s="3">
        <f t="shared" si="85"/>
        <v>2.0267191834609735E-4</v>
      </c>
      <c r="P154" s="3">
        <f t="shared" si="85"/>
        <v>2.0267191834609735E-4</v>
      </c>
      <c r="Q154" s="3">
        <f t="shared" si="85"/>
        <v>2.0267191834609735E-4</v>
      </c>
      <c r="R154" s="3">
        <f t="shared" si="85"/>
        <v>2.0267191834609735E-4</v>
      </c>
      <c r="S154" s="3">
        <f t="shared" si="85"/>
        <v>2.0267191834609735E-4</v>
      </c>
      <c r="T154" s="3">
        <f t="shared" si="85"/>
        <v>2.0267191834609735E-4</v>
      </c>
      <c r="U154" s="3">
        <f t="shared" si="85"/>
        <v>2.0267191834609735E-4</v>
      </c>
      <c r="V154" s="3">
        <f t="shared" si="85"/>
        <v>2.0267191834609735E-4</v>
      </c>
      <c r="W154" s="3">
        <f t="shared" si="85"/>
        <v>2.0267191834609735E-4</v>
      </c>
      <c r="X154" s="3">
        <f t="shared" si="85"/>
        <v>2.0267191834609735E-4</v>
      </c>
      <c r="Y154" s="3">
        <f t="shared" si="85"/>
        <v>2.0267191834609735E-4</v>
      </c>
      <c r="Z154" s="3">
        <f t="shared" si="85"/>
        <v>2.0267191834609735E-4</v>
      </c>
      <c r="AA154" s="3">
        <f t="shared" ref="AA154:AF154" si="86">$C40*EXP(-AA$129/$A40/EXP(-$B$126))</f>
        <v>2.026719183460973E-4</v>
      </c>
      <c r="AB154" s="3">
        <f t="shared" si="86"/>
        <v>2.0267191834609684E-4</v>
      </c>
      <c r="AC154" s="3">
        <f t="shared" si="86"/>
        <v>2.0267191834609218E-4</v>
      </c>
      <c r="AD154" s="3">
        <f t="shared" si="86"/>
        <v>2.0267191834604566E-4</v>
      </c>
      <c r="AE154" s="3">
        <f t="shared" si="86"/>
        <v>2.0267191834558046E-4</v>
      </c>
      <c r="AF154" s="3">
        <f t="shared" si="86"/>
        <v>2.0267191834092831E-4</v>
      </c>
    </row>
    <row r="155" spans="1:32" x14ac:dyDescent="0.25">
      <c r="B155" s="3">
        <f t="shared" ref="B155:Z155" si="87">$C41*EXP(-B$129/$A41/EXP(-$B$126))</f>
        <v>4.681554200352879E-4</v>
      </c>
      <c r="C155" s="3">
        <f t="shared" si="87"/>
        <v>4.681554200352879E-4</v>
      </c>
      <c r="D155" s="3">
        <f t="shared" si="87"/>
        <v>4.681554200352879E-4</v>
      </c>
      <c r="E155" s="3">
        <f t="shared" si="87"/>
        <v>4.681554200352879E-4</v>
      </c>
      <c r="F155" s="3">
        <f t="shared" si="87"/>
        <v>4.681554200352879E-4</v>
      </c>
      <c r="G155" s="3">
        <f t="shared" si="87"/>
        <v>4.681554200352879E-4</v>
      </c>
      <c r="H155" s="3">
        <f t="shared" si="87"/>
        <v>4.681554200352879E-4</v>
      </c>
      <c r="I155" s="3">
        <f t="shared" si="87"/>
        <v>4.681554200352879E-4</v>
      </c>
      <c r="J155" s="3">
        <f t="shared" si="87"/>
        <v>4.681554200352879E-4</v>
      </c>
      <c r="K155" s="3">
        <f t="shared" si="87"/>
        <v>4.681554200352879E-4</v>
      </c>
      <c r="L155" s="3">
        <f t="shared" si="87"/>
        <v>4.681554200352879E-4</v>
      </c>
      <c r="M155" s="3">
        <f t="shared" si="87"/>
        <v>4.681554200352879E-4</v>
      </c>
      <c r="N155" s="3">
        <f t="shared" si="87"/>
        <v>4.681554200352879E-4</v>
      </c>
      <c r="O155" s="3">
        <f t="shared" si="87"/>
        <v>4.681554200352879E-4</v>
      </c>
      <c r="P155" s="3">
        <f t="shared" si="87"/>
        <v>4.681554200352879E-4</v>
      </c>
      <c r="Q155" s="3">
        <f t="shared" si="87"/>
        <v>4.681554200352879E-4</v>
      </c>
      <c r="R155" s="3">
        <f t="shared" si="87"/>
        <v>4.681554200352879E-4</v>
      </c>
      <c r="S155" s="3">
        <f t="shared" si="87"/>
        <v>4.681554200352879E-4</v>
      </c>
      <c r="T155" s="3">
        <f t="shared" si="87"/>
        <v>4.681554200352879E-4</v>
      </c>
      <c r="U155" s="3">
        <f t="shared" si="87"/>
        <v>4.681554200352879E-4</v>
      </c>
      <c r="V155" s="3">
        <f t="shared" si="87"/>
        <v>4.681554200352879E-4</v>
      </c>
      <c r="W155" s="3">
        <f t="shared" si="87"/>
        <v>4.681554200352879E-4</v>
      </c>
      <c r="X155" s="3">
        <f t="shared" si="87"/>
        <v>4.681554200352879E-4</v>
      </c>
      <c r="Y155" s="3">
        <f t="shared" si="87"/>
        <v>4.681554200352879E-4</v>
      </c>
      <c r="Z155" s="3">
        <f t="shared" si="87"/>
        <v>4.681554200352879E-4</v>
      </c>
      <c r="AA155" s="3">
        <f t="shared" ref="AA155:AF155" si="88">$C41*EXP(-AA$129/$A41/EXP(-$B$126))</f>
        <v>4.681554200352879E-4</v>
      </c>
      <c r="AB155" s="3">
        <f t="shared" si="88"/>
        <v>4.6815542003528779E-4</v>
      </c>
      <c r="AC155" s="3">
        <f t="shared" si="88"/>
        <v>4.6815542003528671E-4</v>
      </c>
      <c r="AD155" s="3">
        <f t="shared" si="88"/>
        <v>4.6815542003527592E-4</v>
      </c>
      <c r="AE155" s="3">
        <f t="shared" si="88"/>
        <v>4.6815542003516853E-4</v>
      </c>
      <c r="AF155" s="3">
        <f t="shared" si="88"/>
        <v>4.6815542003409392E-4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8.6950344882608704E-5</v>
      </c>
      <c r="C157" s="3">
        <f t="shared" si="91"/>
        <v>8.6950344882608704E-5</v>
      </c>
      <c r="D157" s="3">
        <f t="shared" si="91"/>
        <v>8.6950344882608704E-5</v>
      </c>
      <c r="E157" s="3">
        <f t="shared" si="91"/>
        <v>8.6950344882608704E-5</v>
      </c>
      <c r="F157" s="3">
        <f t="shared" si="91"/>
        <v>8.6950344882608704E-5</v>
      </c>
      <c r="G157" s="3">
        <f t="shared" si="91"/>
        <v>8.6950344882608704E-5</v>
      </c>
      <c r="H157" s="3">
        <f t="shared" si="91"/>
        <v>8.6950344882608704E-5</v>
      </c>
      <c r="I157" s="3">
        <f t="shared" si="91"/>
        <v>8.6950344882608704E-5</v>
      </c>
      <c r="J157" s="3">
        <f t="shared" si="91"/>
        <v>8.6950344882608704E-5</v>
      </c>
      <c r="K157" s="3">
        <f t="shared" si="91"/>
        <v>8.6950344882608704E-5</v>
      </c>
      <c r="L157" s="3">
        <f t="shared" si="91"/>
        <v>8.6950344882608704E-5</v>
      </c>
      <c r="M157" s="3">
        <f t="shared" si="91"/>
        <v>8.6950344882608704E-5</v>
      </c>
      <c r="N157" s="3">
        <f t="shared" si="91"/>
        <v>8.6950344882608704E-5</v>
      </c>
      <c r="O157" s="3">
        <f t="shared" si="91"/>
        <v>8.6950344882608704E-5</v>
      </c>
      <c r="P157" s="3">
        <f t="shared" si="91"/>
        <v>8.6950344882608704E-5</v>
      </c>
      <c r="Q157" s="3">
        <f t="shared" si="91"/>
        <v>8.6950344882608704E-5</v>
      </c>
      <c r="R157" s="3">
        <f t="shared" si="91"/>
        <v>8.6950344882608704E-5</v>
      </c>
      <c r="S157" s="3">
        <f t="shared" si="91"/>
        <v>8.6950344882608704E-5</v>
      </c>
      <c r="T157" s="3">
        <f t="shared" si="91"/>
        <v>8.6950344882608704E-5</v>
      </c>
      <c r="U157" s="3">
        <f t="shared" si="91"/>
        <v>8.6950344882608704E-5</v>
      </c>
      <c r="V157" s="3">
        <f t="shared" si="91"/>
        <v>8.6950344882608704E-5</v>
      </c>
      <c r="W157" s="3">
        <f t="shared" si="91"/>
        <v>8.6950344882608704E-5</v>
      </c>
      <c r="X157" s="3">
        <f t="shared" si="91"/>
        <v>8.6950344882608704E-5</v>
      </c>
      <c r="Y157" s="3">
        <f t="shared" si="91"/>
        <v>8.6950344882608704E-5</v>
      </c>
      <c r="Z157" s="3">
        <f t="shared" si="91"/>
        <v>8.6950344882608704E-5</v>
      </c>
      <c r="AA157" s="3">
        <f t="shared" ref="AA157:AF157" si="92">$C43*EXP(-AA$129/$A43/EXP(-$B$126))</f>
        <v>8.6950344882608704E-5</v>
      </c>
      <c r="AB157" s="3">
        <f t="shared" si="92"/>
        <v>8.6950344882608704E-5</v>
      </c>
      <c r="AC157" s="3">
        <f t="shared" si="92"/>
        <v>8.6950344882608704E-5</v>
      </c>
      <c r="AD157" s="3">
        <f t="shared" si="92"/>
        <v>8.6950344882608691E-5</v>
      </c>
      <c r="AE157" s="3">
        <f t="shared" si="92"/>
        <v>8.6950344882608487E-5</v>
      </c>
      <c r="AF157" s="3">
        <f t="shared" si="92"/>
        <v>8.6950344882606481E-5</v>
      </c>
    </row>
    <row r="158" spans="1:32" x14ac:dyDescent="0.25">
      <c r="B158" s="3">
        <f t="shared" ref="B158:Z158" si="93">$C44*EXP(-B$129/$A44/EXP(-$B$126))</f>
        <v>1.5301974797879704E-4</v>
      </c>
      <c r="C158" s="3">
        <f t="shared" si="93"/>
        <v>1.5301974797879704E-4</v>
      </c>
      <c r="D158" s="3">
        <f t="shared" si="93"/>
        <v>1.5301974797879704E-4</v>
      </c>
      <c r="E158" s="3">
        <f t="shared" si="93"/>
        <v>1.5301974797879704E-4</v>
      </c>
      <c r="F158" s="3">
        <f t="shared" si="93"/>
        <v>1.5301974797879704E-4</v>
      </c>
      <c r="G158" s="3">
        <f t="shared" si="93"/>
        <v>1.5301974797879704E-4</v>
      </c>
      <c r="H158" s="3">
        <f t="shared" si="93"/>
        <v>1.5301974797879704E-4</v>
      </c>
      <c r="I158" s="3">
        <f t="shared" si="93"/>
        <v>1.5301974797879704E-4</v>
      </c>
      <c r="J158" s="3">
        <f t="shared" si="93"/>
        <v>1.5301974797879704E-4</v>
      </c>
      <c r="K158" s="3">
        <f t="shared" si="93"/>
        <v>1.5301974797879704E-4</v>
      </c>
      <c r="L158" s="3">
        <f t="shared" si="93"/>
        <v>1.5301974797879704E-4</v>
      </c>
      <c r="M158" s="3">
        <f t="shared" si="93"/>
        <v>1.5301974797879704E-4</v>
      </c>
      <c r="N158" s="3">
        <f t="shared" si="93"/>
        <v>1.5301974797879704E-4</v>
      </c>
      <c r="O158" s="3">
        <f t="shared" si="93"/>
        <v>1.5301974797879704E-4</v>
      </c>
      <c r="P158" s="3">
        <f t="shared" si="93"/>
        <v>1.5301974797879704E-4</v>
      </c>
      <c r="Q158" s="3">
        <f t="shared" si="93"/>
        <v>1.5301974797879704E-4</v>
      </c>
      <c r="R158" s="3">
        <f t="shared" si="93"/>
        <v>1.5301974797879704E-4</v>
      </c>
      <c r="S158" s="3">
        <f t="shared" si="93"/>
        <v>1.5301974797879704E-4</v>
      </c>
      <c r="T158" s="3">
        <f t="shared" si="93"/>
        <v>1.5301974797879704E-4</v>
      </c>
      <c r="U158" s="3">
        <f t="shared" si="93"/>
        <v>1.5301974797879704E-4</v>
      </c>
      <c r="V158" s="3">
        <f t="shared" si="93"/>
        <v>1.5301974797879704E-4</v>
      </c>
      <c r="W158" s="3">
        <f t="shared" si="93"/>
        <v>1.5301974797879704E-4</v>
      </c>
      <c r="X158" s="3">
        <f t="shared" si="93"/>
        <v>1.5301974797879704E-4</v>
      </c>
      <c r="Y158" s="3">
        <f t="shared" si="93"/>
        <v>1.5301974797879704E-4</v>
      </c>
      <c r="Z158" s="3">
        <f t="shared" si="93"/>
        <v>1.5301974797879704E-4</v>
      </c>
      <c r="AA158" s="3">
        <f t="shared" ref="AA158:AF158" si="94">$C44*EXP(-AA$129/$A44/EXP(-$B$126))</f>
        <v>1.5301974797879704E-4</v>
      </c>
      <c r="AB158" s="3">
        <f t="shared" si="94"/>
        <v>1.5301974797879704E-4</v>
      </c>
      <c r="AC158" s="3">
        <f t="shared" si="94"/>
        <v>1.5301974797879704E-4</v>
      </c>
      <c r="AD158" s="3">
        <f t="shared" si="94"/>
        <v>1.5301974797879704E-4</v>
      </c>
      <c r="AE158" s="3">
        <f t="shared" si="94"/>
        <v>1.5301974797879702E-4</v>
      </c>
      <c r="AF158" s="3">
        <f t="shared" si="94"/>
        <v>1.5301974797879666E-4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4.9447313975811648E-5</v>
      </c>
      <c r="C160" s="3">
        <f t="shared" si="97"/>
        <v>4.9447313975811648E-5</v>
      </c>
      <c r="D160" s="3">
        <f t="shared" si="97"/>
        <v>4.9447313975811648E-5</v>
      </c>
      <c r="E160" s="3">
        <f t="shared" si="97"/>
        <v>4.9447313975811648E-5</v>
      </c>
      <c r="F160" s="3">
        <f t="shared" si="97"/>
        <v>4.9447313975811648E-5</v>
      </c>
      <c r="G160" s="3">
        <f t="shared" si="97"/>
        <v>4.9447313975811648E-5</v>
      </c>
      <c r="H160" s="3">
        <f t="shared" si="97"/>
        <v>4.9447313975811648E-5</v>
      </c>
      <c r="I160" s="3">
        <f t="shared" si="97"/>
        <v>4.9447313975811648E-5</v>
      </c>
      <c r="J160" s="3">
        <f t="shared" si="97"/>
        <v>4.9447313975811648E-5</v>
      </c>
      <c r="K160" s="3">
        <f t="shared" si="97"/>
        <v>4.9447313975811648E-5</v>
      </c>
      <c r="L160" s="3">
        <f t="shared" si="97"/>
        <v>4.9447313975811648E-5</v>
      </c>
      <c r="M160" s="3">
        <f t="shared" si="97"/>
        <v>4.9447313975811648E-5</v>
      </c>
      <c r="N160" s="3">
        <f t="shared" si="97"/>
        <v>4.9447313975811648E-5</v>
      </c>
      <c r="O160" s="3">
        <f t="shared" si="97"/>
        <v>4.9447313975811648E-5</v>
      </c>
      <c r="P160" s="3">
        <f t="shared" si="97"/>
        <v>4.9447313975811648E-5</v>
      </c>
      <c r="Q160" s="3">
        <f t="shared" si="97"/>
        <v>4.9447313975811648E-5</v>
      </c>
      <c r="R160" s="3">
        <f t="shared" si="97"/>
        <v>4.9447313975811648E-5</v>
      </c>
      <c r="S160" s="3">
        <f t="shared" si="97"/>
        <v>4.9447313975811648E-5</v>
      </c>
      <c r="T160" s="3">
        <f t="shared" si="97"/>
        <v>4.9447313975811648E-5</v>
      </c>
      <c r="U160" s="3">
        <f t="shared" si="97"/>
        <v>4.9447313975811648E-5</v>
      </c>
      <c r="V160" s="3">
        <f t="shared" si="97"/>
        <v>4.9447313975811648E-5</v>
      </c>
      <c r="W160" s="3">
        <f t="shared" si="97"/>
        <v>4.9447313975811648E-5</v>
      </c>
      <c r="X160" s="3">
        <f t="shared" si="97"/>
        <v>4.9447313975811648E-5</v>
      </c>
      <c r="Y160" s="3">
        <f t="shared" si="97"/>
        <v>4.9447313975811648E-5</v>
      </c>
      <c r="Z160" s="3">
        <f t="shared" si="97"/>
        <v>4.9447313975811648E-5</v>
      </c>
      <c r="AA160" s="3">
        <f t="shared" ref="AA160:AF160" si="98">$C46*EXP(-AA$129/$A46/EXP(-$B$126))</f>
        <v>4.9447313975811648E-5</v>
      </c>
      <c r="AB160" s="3">
        <f t="shared" si="98"/>
        <v>4.9447313975811648E-5</v>
      </c>
      <c r="AC160" s="3">
        <f t="shared" si="98"/>
        <v>4.9447313975811648E-5</v>
      </c>
      <c r="AD160" s="3">
        <f t="shared" si="98"/>
        <v>4.9447313975811648E-5</v>
      </c>
      <c r="AE160" s="3">
        <f t="shared" si="98"/>
        <v>4.9447313975811648E-5</v>
      </c>
      <c r="AF160" s="3">
        <f t="shared" si="98"/>
        <v>4.9447313975811648E-5</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6.9977936619533359E-4</v>
      </c>
      <c r="C162" s="3">
        <f t="shared" si="101"/>
        <v>6.9977936619533359E-4</v>
      </c>
      <c r="D162" s="3">
        <f t="shared" si="101"/>
        <v>6.9977936619533359E-4</v>
      </c>
      <c r="E162" s="3">
        <f t="shared" si="101"/>
        <v>6.9977936619533359E-4</v>
      </c>
      <c r="F162" s="3">
        <f t="shared" si="101"/>
        <v>6.9977936619533359E-4</v>
      </c>
      <c r="G162" s="3">
        <f t="shared" si="101"/>
        <v>6.9977936619533359E-4</v>
      </c>
      <c r="H162" s="3">
        <f t="shared" si="101"/>
        <v>6.9977936619533359E-4</v>
      </c>
      <c r="I162" s="3">
        <f t="shared" si="101"/>
        <v>6.9977936619533359E-4</v>
      </c>
      <c r="J162" s="3">
        <f t="shared" si="101"/>
        <v>6.9977936619533359E-4</v>
      </c>
      <c r="K162" s="3">
        <f t="shared" si="101"/>
        <v>6.9977936619533359E-4</v>
      </c>
      <c r="L162" s="3">
        <f t="shared" si="101"/>
        <v>6.9977936619533359E-4</v>
      </c>
      <c r="M162" s="3">
        <f t="shared" si="101"/>
        <v>6.9977936619533359E-4</v>
      </c>
      <c r="N162" s="3">
        <f t="shared" si="101"/>
        <v>6.9977936619533359E-4</v>
      </c>
      <c r="O162" s="3">
        <f t="shared" si="101"/>
        <v>6.9977936619533359E-4</v>
      </c>
      <c r="P162" s="3">
        <f t="shared" si="101"/>
        <v>6.9977936619533359E-4</v>
      </c>
      <c r="Q162" s="3">
        <f t="shared" si="101"/>
        <v>6.9977936619533359E-4</v>
      </c>
      <c r="R162" s="3">
        <f t="shared" si="101"/>
        <v>6.9977936619533359E-4</v>
      </c>
      <c r="S162" s="3">
        <f t="shared" si="101"/>
        <v>6.9977936619533359E-4</v>
      </c>
      <c r="T162" s="3">
        <f t="shared" si="101"/>
        <v>6.9977936619533359E-4</v>
      </c>
      <c r="U162" s="3">
        <f t="shared" si="101"/>
        <v>6.9977936619533359E-4</v>
      </c>
      <c r="V162" s="3">
        <f t="shared" si="101"/>
        <v>6.9977936619533359E-4</v>
      </c>
      <c r="W162" s="3">
        <f t="shared" si="101"/>
        <v>6.9977936619533359E-4</v>
      </c>
      <c r="X162" s="3">
        <f t="shared" si="101"/>
        <v>6.9977936619533359E-4</v>
      </c>
      <c r="Y162" s="3">
        <f t="shared" si="101"/>
        <v>6.9977936619533359E-4</v>
      </c>
      <c r="Z162" s="3">
        <f t="shared" si="101"/>
        <v>6.9977936619533359E-4</v>
      </c>
      <c r="AA162" s="3">
        <f t="shared" ref="AA162:AF162" si="102">$C48*EXP(-AA$129/$A48/EXP(-$B$126))</f>
        <v>6.9977936619533359E-4</v>
      </c>
      <c r="AB162" s="3">
        <f t="shared" si="102"/>
        <v>6.9977936619533359E-4</v>
      </c>
      <c r="AC162" s="3">
        <f t="shared" si="102"/>
        <v>6.9977936619533359E-4</v>
      </c>
      <c r="AD162" s="3">
        <f t="shared" si="102"/>
        <v>6.9977936619533359E-4</v>
      </c>
      <c r="AE162" s="3">
        <f t="shared" si="102"/>
        <v>6.9977936619533359E-4</v>
      </c>
      <c r="AF162" s="3">
        <f t="shared" si="102"/>
        <v>6.9977936619533359E-4</v>
      </c>
    </row>
    <row r="163" spans="1:34" x14ac:dyDescent="0.25">
      <c r="A163" s="79">
        <f>AVERAGE(B163:AF163)</f>
        <v>0.13914509754449642</v>
      </c>
      <c r="B163" s="80">
        <f>IF($A$64&lt;=B129,IF($B$64&gt;=B129,ABS((B131-B130)/B130),0),0)</f>
        <v>1.4889357504301102E-2</v>
      </c>
      <c r="C163" s="80">
        <f t="shared" ref="C163:AF163" si="103">IF($A$64&lt;=C129,IF($B$64&gt;=C129,ABS((C131-C130)/C130),0),0)</f>
        <v>1.7342437011006444E-2</v>
      </c>
      <c r="D163" s="80">
        <f t="shared" si="103"/>
        <v>3.8915872988839417E-2</v>
      </c>
      <c r="E163" s="80">
        <f t="shared" si="103"/>
        <v>0.11412267316179069</v>
      </c>
      <c r="F163" s="80">
        <f t="shared" si="103"/>
        <v>0.12254578488709478</v>
      </c>
      <c r="G163" s="80">
        <f t="shared" si="103"/>
        <v>0.12254567297898872</v>
      </c>
      <c r="H163" s="80">
        <f t="shared" si="103"/>
        <v>0.12254564313658933</v>
      </c>
      <c r="I163" s="80">
        <f t="shared" si="103"/>
        <v>0.12254563567602476</v>
      </c>
      <c r="J163" s="80">
        <f t="shared" si="103"/>
        <v>0.12254562821578548</v>
      </c>
      <c r="K163" s="80">
        <f t="shared" si="103"/>
        <v>0.12254562821940158</v>
      </c>
      <c r="L163" s="80">
        <f t="shared" si="103"/>
        <v>0.12254562825556398</v>
      </c>
      <c r="M163" s="80">
        <f t="shared" si="103"/>
        <v>0.12254561369598689</v>
      </c>
      <c r="N163" s="80">
        <f t="shared" si="103"/>
        <v>0.12254553524561927</v>
      </c>
      <c r="O163" s="80">
        <f t="shared" si="103"/>
        <v>0.12254470597836618</v>
      </c>
      <c r="P163" s="80">
        <f t="shared" si="103"/>
        <v>0.12253641330864418</v>
      </c>
      <c r="Q163" s="80">
        <f t="shared" si="103"/>
        <v>0.12245369578802928</v>
      </c>
      <c r="R163" s="80">
        <f t="shared" si="103"/>
        <v>0.12164506491468646</v>
      </c>
      <c r="S163" s="80">
        <f t="shared" si="103"/>
        <v>0.11515151266950149</v>
      </c>
      <c r="T163" s="80">
        <f t="shared" si="103"/>
        <v>0.10099048810400436</v>
      </c>
      <c r="U163" s="80">
        <f t="shared" si="103"/>
        <v>0.10757747812299887</v>
      </c>
      <c r="V163" s="80">
        <f t="shared" si="103"/>
        <v>0.11619640790289495</v>
      </c>
      <c r="W163" s="80">
        <f t="shared" si="103"/>
        <v>5.6993389377476625E-2</v>
      </c>
      <c r="X163" s="80">
        <f t="shared" si="103"/>
        <v>5.5432594850878994E-2</v>
      </c>
      <c r="Y163" s="80">
        <f t="shared" si="103"/>
        <v>0.18211427621209281</v>
      </c>
      <c r="Z163" s="80">
        <f t="shared" si="103"/>
        <v>0.2785264464876635</v>
      </c>
      <c r="AA163" s="80">
        <f t="shared" si="103"/>
        <v>0.31731179338339566</v>
      </c>
      <c r="AB163" s="80">
        <f t="shared" si="103"/>
        <v>0.28225925618306302</v>
      </c>
      <c r="AC163" s="80">
        <f t="shared" si="103"/>
        <v>0.17008410669531379</v>
      </c>
      <c r="AD163" s="80">
        <f t="shared" si="103"/>
        <v>1.7976863805127787E-2</v>
      </c>
      <c r="AE163" s="80">
        <f t="shared" si="103"/>
        <v>0.27578492700545415</v>
      </c>
      <c r="AF163" s="80">
        <f t="shared" si="103"/>
        <v>0.45973749211280507</v>
      </c>
    </row>
    <row r="164" spans="1:34" x14ac:dyDescent="0.25">
      <c r="B164" s="21">
        <f>(B131-B130)^2</f>
        <v>12270.54722814494</v>
      </c>
      <c r="C164" s="21">
        <f t="shared" ref="C164:AF164" si="104">(C131-C130)^2</f>
        <v>16647.20137449681</v>
      </c>
      <c r="D164" s="21">
        <f t="shared" si="104"/>
        <v>83824.291381038784</v>
      </c>
      <c r="E164" s="21">
        <f t="shared" si="104"/>
        <v>720873.40588304447</v>
      </c>
      <c r="F164" s="21">
        <f t="shared" si="104"/>
        <v>831211.48128584202</v>
      </c>
      <c r="G164" s="21">
        <f t="shared" si="104"/>
        <v>831209.75114928919</v>
      </c>
      <c r="H164" s="21">
        <f t="shared" si="104"/>
        <v>831209.28977669473</v>
      </c>
      <c r="I164" s="21">
        <f t="shared" si="104"/>
        <v>831209.17443404952</v>
      </c>
      <c r="J164" s="21">
        <f t="shared" si="104"/>
        <v>831209.05909582693</v>
      </c>
      <c r="K164" s="21">
        <f t="shared" si="104"/>
        <v>831209.05914488202</v>
      </c>
      <c r="L164" s="21">
        <f t="shared" si="104"/>
        <v>831209.05963545048</v>
      </c>
      <c r="M164" s="21">
        <f t="shared" si="104"/>
        <v>831208.83385491872</v>
      </c>
      <c r="N164" s="21">
        <f t="shared" si="104"/>
        <v>831207.61413821834</v>
      </c>
      <c r="O164" s="21">
        <f t="shared" si="104"/>
        <v>831194.72498190741</v>
      </c>
      <c r="P164" s="21">
        <f t="shared" si="104"/>
        <v>831065.84035151254</v>
      </c>
      <c r="Q164" s="21">
        <f t="shared" si="104"/>
        <v>829780.91329981049</v>
      </c>
      <c r="R164" s="21">
        <f t="shared" si="104"/>
        <v>817283.707771527</v>
      </c>
      <c r="S164" s="21">
        <f t="shared" si="104"/>
        <v>721055.30738741707</v>
      </c>
      <c r="T164" s="21">
        <f t="shared" si="104"/>
        <v>533005.10374597588</v>
      </c>
      <c r="U164" s="21">
        <f t="shared" si="104"/>
        <v>577653.14095366874</v>
      </c>
      <c r="V164" s="21">
        <f t="shared" si="104"/>
        <v>617591.84221926413</v>
      </c>
      <c r="W164" s="21">
        <f t="shared" si="104"/>
        <v>119928.88280608105</v>
      </c>
      <c r="X164" s="21">
        <f t="shared" si="104"/>
        <v>81591.723559933365</v>
      </c>
      <c r="Y164" s="21">
        <f t="shared" si="104"/>
        <v>627419.82566365285</v>
      </c>
      <c r="Z164" s="21">
        <f t="shared" si="104"/>
        <v>1096951.526085841</v>
      </c>
      <c r="AA164" s="21">
        <f t="shared" si="104"/>
        <v>1120823.6593164571</v>
      </c>
      <c r="AB164" s="21">
        <f t="shared" si="104"/>
        <v>714786.86467583547</v>
      </c>
      <c r="AC164" s="21">
        <f t="shared" si="104"/>
        <v>211022.00878331045</v>
      </c>
      <c r="AD164" s="21">
        <f t="shared" si="104"/>
        <v>1831.9381915100982</v>
      </c>
      <c r="AE164" s="21">
        <f t="shared" si="104"/>
        <v>308022.79832105775</v>
      </c>
      <c r="AF164" s="21">
        <f t="shared" si="104"/>
        <v>538438.0051703722</v>
      </c>
    </row>
    <row r="165" spans="1:34" x14ac:dyDescent="0.25">
      <c r="A165" s="71">
        <f>SUM(B165:AF165)</f>
        <v>18893946.581667028</v>
      </c>
      <c r="B165" s="60">
        <f>IF($A$64&lt;=B129,IF($B$64&gt;=B129,ABS(B164),0),0)</f>
        <v>12270.54722814494</v>
      </c>
      <c r="C165" s="60">
        <f t="shared" ref="C165:AF165" si="105">IF($A$64&lt;=C129,IF($B$64&gt;=C129,ABS(C164),0),0)</f>
        <v>16647.20137449681</v>
      </c>
      <c r="D165" s="60">
        <f t="shared" si="105"/>
        <v>83824.291381038784</v>
      </c>
      <c r="E165" s="60">
        <f t="shared" si="105"/>
        <v>720873.40588304447</v>
      </c>
      <c r="F165" s="60">
        <f t="shared" si="105"/>
        <v>831211.48128584202</v>
      </c>
      <c r="G165" s="60">
        <f t="shared" si="105"/>
        <v>831209.75114928919</v>
      </c>
      <c r="H165" s="60">
        <f t="shared" si="105"/>
        <v>831209.28977669473</v>
      </c>
      <c r="I165" s="60">
        <f t="shared" si="105"/>
        <v>831209.17443404952</v>
      </c>
      <c r="J165" s="60">
        <f t="shared" si="105"/>
        <v>831209.05909582693</v>
      </c>
      <c r="K165" s="60">
        <f t="shared" si="105"/>
        <v>831209.05914488202</v>
      </c>
      <c r="L165" s="60">
        <f t="shared" si="105"/>
        <v>831209.05963545048</v>
      </c>
      <c r="M165" s="60">
        <f t="shared" si="105"/>
        <v>831208.83385491872</v>
      </c>
      <c r="N165" s="60">
        <f t="shared" si="105"/>
        <v>831207.61413821834</v>
      </c>
      <c r="O165" s="60">
        <f t="shared" si="105"/>
        <v>831194.72498190741</v>
      </c>
      <c r="P165" s="60">
        <f t="shared" si="105"/>
        <v>831065.84035151254</v>
      </c>
      <c r="Q165" s="60">
        <f t="shared" si="105"/>
        <v>829780.91329981049</v>
      </c>
      <c r="R165" s="60">
        <f t="shared" si="105"/>
        <v>817283.707771527</v>
      </c>
      <c r="S165" s="60">
        <f t="shared" si="105"/>
        <v>721055.30738741707</v>
      </c>
      <c r="T165" s="60">
        <f t="shared" si="105"/>
        <v>533005.10374597588</v>
      </c>
      <c r="U165" s="60">
        <f t="shared" si="105"/>
        <v>577653.14095366874</v>
      </c>
      <c r="V165" s="60">
        <f t="shared" si="105"/>
        <v>617591.84221926413</v>
      </c>
      <c r="W165" s="60">
        <f t="shared" si="105"/>
        <v>119928.88280608105</v>
      </c>
      <c r="X165" s="60">
        <f t="shared" si="105"/>
        <v>81591.723559933365</v>
      </c>
      <c r="Y165" s="60">
        <f t="shared" si="105"/>
        <v>627419.82566365285</v>
      </c>
      <c r="Z165" s="60">
        <f t="shared" si="105"/>
        <v>1096951.526085841</v>
      </c>
      <c r="AA165" s="60">
        <f t="shared" si="105"/>
        <v>1120823.6593164571</v>
      </c>
      <c r="AB165" s="60">
        <f t="shared" si="105"/>
        <v>714786.86467583547</v>
      </c>
      <c r="AC165" s="60">
        <f t="shared" si="105"/>
        <v>211022.00878331045</v>
      </c>
      <c r="AD165" s="60">
        <f t="shared" si="105"/>
        <v>1831.9381915100982</v>
      </c>
      <c r="AE165" s="60">
        <f t="shared" si="105"/>
        <v>308022.79832105775</v>
      </c>
      <c r="AF165" s="60">
        <f t="shared" si="105"/>
        <v>538438.0051703722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7241.6853697787492</v>
      </c>
      <c r="C170" s="27">
        <f t="shared" ref="C170:AF170" si="106">($C$17+SUM(C171:C201))*$B$51</f>
        <v>6775.0163123335778</v>
      </c>
      <c r="D170" s="27">
        <f t="shared" si="106"/>
        <v>6528.0317593362097</v>
      </c>
      <c r="E170" s="27">
        <f t="shared" si="106"/>
        <v>6528.025669946529</v>
      </c>
      <c r="F170" s="27">
        <f t="shared" si="106"/>
        <v>6528.0256699465162</v>
      </c>
      <c r="G170" s="27">
        <f t="shared" si="106"/>
        <v>6528.0256699463926</v>
      </c>
      <c r="H170" s="27">
        <f t="shared" si="106"/>
        <v>6528.0256699451484</v>
      </c>
      <c r="I170" s="27">
        <f t="shared" si="106"/>
        <v>6528.0256699327119</v>
      </c>
      <c r="J170" s="27">
        <f t="shared" si="106"/>
        <v>6528.0256698083476</v>
      </c>
      <c r="K170" s="27">
        <f t="shared" si="106"/>
        <v>6528.0256685647082</v>
      </c>
      <c r="L170" s="27">
        <f t="shared" si="106"/>
        <v>6528.025656128314</v>
      </c>
      <c r="M170" s="27">
        <f t="shared" si="106"/>
        <v>6528.0255317643769</v>
      </c>
      <c r="N170" s="27">
        <f t="shared" si="106"/>
        <v>6528.0242881267986</v>
      </c>
      <c r="O170" s="27">
        <f t="shared" si="106"/>
        <v>6528.0118519283942</v>
      </c>
      <c r="P170" s="27">
        <f t="shared" si="106"/>
        <v>6527.8875076812483</v>
      </c>
      <c r="Q170" s="27">
        <f t="shared" si="106"/>
        <v>6526.6458371243289</v>
      </c>
      <c r="R170" s="27">
        <f t="shared" si="106"/>
        <v>6514.4045607421012</v>
      </c>
      <c r="S170" s="27">
        <f t="shared" si="106"/>
        <v>6407.8979955424174</v>
      </c>
      <c r="T170" s="27">
        <f t="shared" si="106"/>
        <v>6053.2736807561241</v>
      </c>
      <c r="U170" s="27">
        <f t="shared" si="106"/>
        <v>5811.5768046432231</v>
      </c>
      <c r="V170" s="27">
        <f t="shared" si="106"/>
        <v>5525.3749822149057</v>
      </c>
      <c r="W170" s="27">
        <f t="shared" si="106"/>
        <v>5235.1720553516498</v>
      </c>
      <c r="X170" s="27">
        <f t="shared" si="106"/>
        <v>4917.6727119445031</v>
      </c>
      <c r="Y170" s="27">
        <f t="shared" si="106"/>
        <v>4540.7241890222213</v>
      </c>
      <c r="Z170" s="27">
        <f t="shared" si="106"/>
        <v>4034.8990149077695</v>
      </c>
      <c r="AA170" s="27">
        <f t="shared" si="106"/>
        <v>3404.1425013183766</v>
      </c>
      <c r="AB170" s="27">
        <f t="shared" si="106"/>
        <v>2636.5139190124683</v>
      </c>
      <c r="AC170" s="27">
        <f t="shared" si="106"/>
        <v>1760.6028035878037</v>
      </c>
      <c r="AD170" s="27">
        <f t="shared" si="106"/>
        <v>1060.9125091701346</v>
      </c>
      <c r="AE170" s="27">
        <f t="shared" si="106"/>
        <v>602.22633922370949</v>
      </c>
      <c r="AF170" s="27">
        <f t="shared" si="106"/>
        <v>343.03838686268404</v>
      </c>
      <c r="AG170" s="27"/>
      <c r="AH170" s="27"/>
    </row>
    <row r="171" spans="1:34" x14ac:dyDescent="0.25">
      <c r="B171" s="3">
        <f t="shared" ref="B171:AF171" si="107">$C18*EXP(-B$168/$A18/EXP(-$C$126))</f>
        <v>9.734843462355669E-2</v>
      </c>
      <c r="C171" s="3">
        <f t="shared" si="107"/>
        <v>3.3691341137377671E-2</v>
      </c>
      <c r="D171" s="3">
        <f t="shared" si="107"/>
        <v>8.3063756181997556E-7</v>
      </c>
      <c r="E171" s="3">
        <f t="shared" si="107"/>
        <v>6.891983631499547E-53</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5.9305618641404517E-2</v>
      </c>
      <c r="C172" s="3">
        <f t="shared" si="108"/>
        <v>5.9305618641404517E-2</v>
      </c>
      <c r="D172" s="3">
        <f t="shared" si="108"/>
        <v>5.9305618641404496E-2</v>
      </c>
      <c r="E172" s="3">
        <f t="shared" si="108"/>
        <v>5.9305618641404337E-2</v>
      </c>
      <c r="F172" s="3">
        <f t="shared" si="108"/>
        <v>5.9305618641402727E-2</v>
      </c>
      <c r="G172" s="3">
        <f t="shared" si="108"/>
        <v>5.9305618641386608E-2</v>
      </c>
      <c r="H172" s="3">
        <f t="shared" si="108"/>
        <v>5.9305618641225417E-2</v>
      </c>
      <c r="I172" s="3">
        <f t="shared" si="108"/>
        <v>5.9305618639613526E-2</v>
      </c>
      <c r="J172" s="3">
        <f t="shared" si="108"/>
        <v>5.9305618623494601E-2</v>
      </c>
      <c r="K172" s="3">
        <f t="shared" si="108"/>
        <v>5.9305618462305393E-2</v>
      </c>
      <c r="L172" s="3">
        <f t="shared" si="108"/>
        <v>5.9305616850413308E-2</v>
      </c>
      <c r="M172" s="3">
        <f t="shared" si="108"/>
        <v>5.9305600731494885E-2</v>
      </c>
      <c r="N172" s="3">
        <f t="shared" si="108"/>
        <v>5.9305439542551602E-2</v>
      </c>
      <c r="O172" s="3">
        <f t="shared" si="108"/>
        <v>5.9303827677214142E-2</v>
      </c>
      <c r="P172" s="3">
        <f t="shared" si="108"/>
        <v>5.9287711433136166E-2</v>
      </c>
      <c r="Q172" s="3">
        <f t="shared" si="108"/>
        <v>5.9126789679901044E-2</v>
      </c>
      <c r="R172" s="3">
        <f t="shared" si="108"/>
        <v>5.7541400606999825E-2</v>
      </c>
      <c r="S172" s="3">
        <f t="shared" si="108"/>
        <v>4.3847185596017975E-2</v>
      </c>
      <c r="T172" s="3">
        <f t="shared" si="108"/>
        <v>2.8943740896711298E-3</v>
      </c>
      <c r="U172" s="3">
        <f t="shared" si="108"/>
        <v>4.5465717832960901E-15</v>
      </c>
      <c r="V172" s="3">
        <f t="shared" si="108"/>
        <v>4.1588950205566376E-133</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3.0349614864603257E-2</v>
      </c>
      <c r="C173" s="3">
        <f t="shared" si="109"/>
        <v>3.0349614864603257E-2</v>
      </c>
      <c r="D173" s="3">
        <f t="shared" si="109"/>
        <v>3.0349614864603257E-2</v>
      </c>
      <c r="E173" s="3">
        <f t="shared" si="109"/>
        <v>3.0349614864603251E-2</v>
      </c>
      <c r="F173" s="3">
        <f t="shared" si="109"/>
        <v>3.0349614864603174E-2</v>
      </c>
      <c r="G173" s="3">
        <f t="shared" si="109"/>
        <v>3.0349614864602432E-2</v>
      </c>
      <c r="H173" s="3">
        <f t="shared" si="109"/>
        <v>3.034961486459499E-2</v>
      </c>
      <c r="I173" s="3">
        <f t="shared" si="109"/>
        <v>3.0349614864520577E-2</v>
      </c>
      <c r="J173" s="3">
        <f t="shared" si="109"/>
        <v>3.0349614863776464E-2</v>
      </c>
      <c r="K173" s="3">
        <f t="shared" si="109"/>
        <v>3.0349614856335316E-2</v>
      </c>
      <c r="L173" s="3">
        <f t="shared" si="109"/>
        <v>3.0349614781923842E-2</v>
      </c>
      <c r="M173" s="3">
        <f t="shared" si="109"/>
        <v>3.0349614037809121E-2</v>
      </c>
      <c r="N173" s="3">
        <f t="shared" si="109"/>
        <v>3.034960659666289E-2</v>
      </c>
      <c r="O173" s="3">
        <f t="shared" si="109"/>
        <v>3.0349532185300954E-2</v>
      </c>
      <c r="P173" s="3">
        <f t="shared" si="109"/>
        <v>3.0348788081715823E-2</v>
      </c>
      <c r="Q173" s="3">
        <f t="shared" si="109"/>
        <v>3.0341348049198573E-2</v>
      </c>
      <c r="R173" s="3">
        <f t="shared" si="109"/>
        <v>3.0267047966468483E-2</v>
      </c>
      <c r="S173" s="3">
        <f t="shared" si="109"/>
        <v>2.9533981039833887E-2</v>
      </c>
      <c r="T173" s="3">
        <f t="shared" si="109"/>
        <v>2.3112198508414245E-2</v>
      </c>
      <c r="U173" s="3">
        <f t="shared" si="109"/>
        <v>1.9908288755566875E-3</v>
      </c>
      <c r="V173" s="3">
        <f t="shared" si="109"/>
        <v>4.4767274440688316E-14</v>
      </c>
      <c r="W173" s="3">
        <f t="shared" si="109"/>
        <v>1.4798847082816213E-120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4.167726307399252E-2</v>
      </c>
      <c r="C174" s="3">
        <f t="shared" si="110"/>
        <v>4.167726307399252E-2</v>
      </c>
      <c r="D174" s="3">
        <f t="shared" si="110"/>
        <v>4.167726307399252E-2</v>
      </c>
      <c r="E174" s="3">
        <f t="shared" si="110"/>
        <v>4.167726307399252E-2</v>
      </c>
      <c r="F174" s="3">
        <f t="shared" si="110"/>
        <v>4.1677263073992513E-2</v>
      </c>
      <c r="G174" s="3">
        <f t="shared" si="110"/>
        <v>4.1677263073992415E-2</v>
      </c>
      <c r="H174" s="3">
        <f t="shared" si="110"/>
        <v>4.16772630739915E-2</v>
      </c>
      <c r="I174" s="3">
        <f t="shared" si="110"/>
        <v>4.1677263073982278E-2</v>
      </c>
      <c r="J174" s="3">
        <f t="shared" si="110"/>
        <v>4.1677263073890101E-2</v>
      </c>
      <c r="K174" s="3">
        <f t="shared" si="110"/>
        <v>4.1677263072968304E-2</v>
      </c>
      <c r="L174" s="3">
        <f t="shared" si="110"/>
        <v>4.16772630637504E-2</v>
      </c>
      <c r="M174" s="3">
        <f t="shared" si="110"/>
        <v>4.1677262971571288E-2</v>
      </c>
      <c r="N174" s="3">
        <f t="shared" si="110"/>
        <v>4.1677262049780221E-2</v>
      </c>
      <c r="O174" s="3">
        <f t="shared" si="110"/>
        <v>4.1677252831870647E-2</v>
      </c>
      <c r="P174" s="3">
        <f t="shared" si="110"/>
        <v>4.1677160652887048E-2</v>
      </c>
      <c r="Q174" s="3">
        <f t="shared" si="110"/>
        <v>4.1676238874264124E-2</v>
      </c>
      <c r="R174" s="3">
        <f t="shared" si="110"/>
        <v>4.1667022209250192E-2</v>
      </c>
      <c r="S174" s="3">
        <f t="shared" si="110"/>
        <v>4.1574967588940991E-2</v>
      </c>
      <c r="T174" s="3">
        <f t="shared" si="110"/>
        <v>4.0665533229957168E-2</v>
      </c>
      <c r="U174" s="3">
        <f t="shared" si="110"/>
        <v>3.2596576650006703E-2</v>
      </c>
      <c r="V174" s="3">
        <f t="shared" si="110"/>
        <v>3.5696628463266398E-3</v>
      </c>
      <c r="W174" s="3">
        <f t="shared" si="110"/>
        <v>8.8548104454760414E-13</v>
      </c>
      <c r="X174" s="3">
        <f t="shared" si="110"/>
        <v>7.8108799906168515E-109</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4.036501144186317E-2</v>
      </c>
      <c r="C175" s="3">
        <f t="shared" si="111"/>
        <v>4.036501144186317E-2</v>
      </c>
      <c r="D175" s="3">
        <f t="shared" si="111"/>
        <v>4.036501144186317E-2</v>
      </c>
      <c r="E175" s="3">
        <f t="shared" si="111"/>
        <v>4.036501144186317E-2</v>
      </c>
      <c r="F175" s="3">
        <f t="shared" si="111"/>
        <v>4.036501144186317E-2</v>
      </c>
      <c r="G175" s="3">
        <f t="shared" si="111"/>
        <v>4.0365011441863163E-2</v>
      </c>
      <c r="H175" s="3">
        <f t="shared" si="111"/>
        <v>4.036501144186308E-2</v>
      </c>
      <c r="I175" s="3">
        <f t="shared" si="111"/>
        <v>4.0365011441862275E-2</v>
      </c>
      <c r="J175" s="3">
        <f t="shared" si="111"/>
        <v>4.0365011441854219E-2</v>
      </c>
      <c r="K175" s="3">
        <f t="shared" si="111"/>
        <v>4.0365011441773686E-2</v>
      </c>
      <c r="L175" s="3">
        <f t="shared" si="111"/>
        <v>4.0365011440968337E-2</v>
      </c>
      <c r="M175" s="3">
        <f t="shared" si="111"/>
        <v>4.0365011432914828E-2</v>
      </c>
      <c r="N175" s="3">
        <f t="shared" si="111"/>
        <v>4.036501135237977E-2</v>
      </c>
      <c r="O175" s="3">
        <f t="shared" si="111"/>
        <v>4.0365010547029193E-2</v>
      </c>
      <c r="P175" s="3">
        <f t="shared" si="111"/>
        <v>4.036500249352426E-2</v>
      </c>
      <c r="Q175" s="3">
        <f t="shared" si="111"/>
        <v>4.0364921958563373E-2</v>
      </c>
      <c r="R175" s="3">
        <f t="shared" si="111"/>
        <v>4.0364116617791823E-2</v>
      </c>
      <c r="S175" s="3">
        <f t="shared" si="111"/>
        <v>4.035606409375013E-2</v>
      </c>
      <c r="T175" s="3">
        <f t="shared" si="111"/>
        <v>4.0275627155508392E-2</v>
      </c>
      <c r="U175" s="3">
        <f t="shared" si="111"/>
        <v>3.9480023151232231E-2</v>
      </c>
      <c r="V175" s="3">
        <f t="shared" si="111"/>
        <v>3.2339125175384405E-2</v>
      </c>
      <c r="W175" s="3">
        <f t="shared" si="111"/>
        <v>4.3978149817759937E-3</v>
      </c>
      <c r="X175" s="3">
        <f t="shared" si="111"/>
        <v>9.5131386173210671E-12</v>
      </c>
      <c r="Y175" s="3">
        <f t="shared" si="111"/>
        <v>2.1339907386346245E-98</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4.4176699157067116E-2</v>
      </c>
      <c r="C176" s="3">
        <f t="shared" si="112"/>
        <v>4.4176699157067116E-2</v>
      </c>
      <c r="D176" s="3">
        <f t="shared" si="112"/>
        <v>4.4176699157067116E-2</v>
      </c>
      <c r="E176" s="3">
        <f t="shared" si="112"/>
        <v>4.4176699157067116E-2</v>
      </c>
      <c r="F176" s="3">
        <f t="shared" si="112"/>
        <v>4.4176699157067116E-2</v>
      </c>
      <c r="G176" s="3">
        <f t="shared" si="112"/>
        <v>4.4176699157067116E-2</v>
      </c>
      <c r="H176" s="3">
        <f t="shared" si="112"/>
        <v>4.4176699157067109E-2</v>
      </c>
      <c r="I176" s="3">
        <f t="shared" si="112"/>
        <v>4.4176699157067026E-2</v>
      </c>
      <c r="J176" s="3">
        <f t="shared" si="112"/>
        <v>4.4176699157066235E-2</v>
      </c>
      <c r="K176" s="3">
        <f t="shared" si="112"/>
        <v>4.4176699157058283E-2</v>
      </c>
      <c r="L176" s="3">
        <f t="shared" si="112"/>
        <v>4.4176699156978777E-2</v>
      </c>
      <c r="M176" s="3">
        <f t="shared" si="112"/>
        <v>4.4176699156183677E-2</v>
      </c>
      <c r="N176" s="3">
        <f t="shared" si="112"/>
        <v>4.4176699148232711E-2</v>
      </c>
      <c r="O176" s="3">
        <f t="shared" si="112"/>
        <v>4.4176699068723076E-2</v>
      </c>
      <c r="P176" s="3">
        <f t="shared" si="112"/>
        <v>4.4176698273626747E-2</v>
      </c>
      <c r="Q176" s="3">
        <f t="shared" si="112"/>
        <v>4.4176690322664199E-2</v>
      </c>
      <c r="R176" s="3">
        <f t="shared" si="112"/>
        <v>4.4176610813117467E-2</v>
      </c>
      <c r="S176" s="3">
        <f t="shared" si="112"/>
        <v>4.4175815725520706E-2</v>
      </c>
      <c r="T176" s="3">
        <f t="shared" si="112"/>
        <v>4.4167865636556822E-2</v>
      </c>
      <c r="U176" s="3">
        <f t="shared" si="112"/>
        <v>4.4088443394909596E-2</v>
      </c>
      <c r="V176" s="3">
        <f t="shared" si="112"/>
        <v>4.3302033654777007E-2</v>
      </c>
      <c r="W176" s="3">
        <f t="shared" si="112"/>
        <v>3.6169588536658151E-2</v>
      </c>
      <c r="X176" s="3">
        <f t="shared" si="112"/>
        <v>5.9799330102898928E-3</v>
      </c>
      <c r="Y176" s="3">
        <f t="shared" si="112"/>
        <v>9.1248098858046556E-11</v>
      </c>
      <c r="Z176" s="3">
        <f t="shared" si="112"/>
        <v>6.2445174510926499E-89</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5.1093401565650405E-2</v>
      </c>
      <c r="C177" s="3">
        <f t="shared" si="113"/>
        <v>5.1093401565650405E-2</v>
      </c>
      <c r="D177" s="3">
        <f t="shared" si="113"/>
        <v>5.1093401565650405E-2</v>
      </c>
      <c r="E177" s="3">
        <f t="shared" si="113"/>
        <v>5.1093401565650405E-2</v>
      </c>
      <c r="F177" s="3">
        <f t="shared" si="113"/>
        <v>5.1093401565650405E-2</v>
      </c>
      <c r="G177" s="3">
        <f t="shared" si="113"/>
        <v>5.1093401565650405E-2</v>
      </c>
      <c r="H177" s="3">
        <f t="shared" si="113"/>
        <v>5.1093401565650405E-2</v>
      </c>
      <c r="I177" s="3">
        <f t="shared" si="113"/>
        <v>5.1093401565650391E-2</v>
      </c>
      <c r="J177" s="3">
        <f t="shared" si="113"/>
        <v>5.1093401565650315E-2</v>
      </c>
      <c r="K177" s="3">
        <f t="shared" si="113"/>
        <v>5.1093401565649489E-2</v>
      </c>
      <c r="L177" s="3">
        <f t="shared" si="113"/>
        <v>5.109340156564119E-2</v>
      </c>
      <c r="M177" s="3">
        <f t="shared" si="113"/>
        <v>5.1093401565558236E-2</v>
      </c>
      <c r="N177" s="3">
        <f t="shared" si="113"/>
        <v>5.1093401564728691E-2</v>
      </c>
      <c r="O177" s="3">
        <f t="shared" si="113"/>
        <v>5.1093401556433285E-2</v>
      </c>
      <c r="P177" s="3">
        <f t="shared" si="113"/>
        <v>5.1093401473479176E-2</v>
      </c>
      <c r="Q177" s="3">
        <f t="shared" si="113"/>
        <v>5.1093400643938094E-2</v>
      </c>
      <c r="R177" s="3">
        <f t="shared" si="113"/>
        <v>5.1093392348528062E-2</v>
      </c>
      <c r="S177" s="3">
        <f t="shared" si="113"/>
        <v>5.109330939450183E-2</v>
      </c>
      <c r="T177" s="3">
        <f t="shared" si="113"/>
        <v>5.1092479861646965E-2</v>
      </c>
      <c r="U177" s="3">
        <f t="shared" si="113"/>
        <v>5.1084185273802311E-2</v>
      </c>
      <c r="V177" s="3">
        <f t="shared" si="113"/>
        <v>5.100131342127856E-2</v>
      </c>
      <c r="W177" s="3">
        <f t="shared" si="113"/>
        <v>5.0179953211656844E-2</v>
      </c>
      <c r="X177" s="3">
        <f t="shared" si="113"/>
        <v>4.2659834618158456E-2</v>
      </c>
      <c r="Y177" s="3">
        <f t="shared" si="113"/>
        <v>8.4121754433966519E-3</v>
      </c>
      <c r="Z177" s="3">
        <f t="shared" si="113"/>
        <v>7.478248011148978E-10</v>
      </c>
      <c r="AA177" s="3">
        <f t="shared" si="113"/>
        <v>2.3052354446332503E-80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7.3486409025988797E-2</v>
      </c>
      <c r="C178" s="3">
        <f t="shared" si="114"/>
        <v>7.3486409025988797E-2</v>
      </c>
      <c r="D178" s="3">
        <f t="shared" si="114"/>
        <v>7.3486409025988797E-2</v>
      </c>
      <c r="E178" s="3">
        <f t="shared" si="114"/>
        <v>7.3486409025988797E-2</v>
      </c>
      <c r="F178" s="3">
        <f t="shared" si="114"/>
        <v>7.3486409025988797E-2</v>
      </c>
      <c r="G178" s="3">
        <f t="shared" si="114"/>
        <v>7.3486409025988797E-2</v>
      </c>
      <c r="H178" s="3">
        <f t="shared" si="114"/>
        <v>7.3486409025988797E-2</v>
      </c>
      <c r="I178" s="3">
        <f t="shared" si="114"/>
        <v>7.3486409025988797E-2</v>
      </c>
      <c r="J178" s="3">
        <f t="shared" si="114"/>
        <v>7.3486409025988783E-2</v>
      </c>
      <c r="K178" s="3">
        <f t="shared" si="114"/>
        <v>7.3486409025988672E-2</v>
      </c>
      <c r="L178" s="3">
        <f t="shared" si="114"/>
        <v>7.3486409025987603E-2</v>
      </c>
      <c r="M178" s="3">
        <f t="shared" si="114"/>
        <v>7.3486409025976834E-2</v>
      </c>
      <c r="N178" s="3">
        <f t="shared" si="114"/>
        <v>7.3486409025869212E-2</v>
      </c>
      <c r="O178" s="3">
        <f t="shared" si="114"/>
        <v>7.3486409024792934E-2</v>
      </c>
      <c r="P178" s="3">
        <f t="shared" si="114"/>
        <v>7.3486409014030085E-2</v>
      </c>
      <c r="Q178" s="3">
        <f t="shared" si="114"/>
        <v>7.3486408906401735E-2</v>
      </c>
      <c r="R178" s="3">
        <f t="shared" si="114"/>
        <v>7.34864078301182E-2</v>
      </c>
      <c r="S178" s="3">
        <f t="shared" si="114"/>
        <v>7.3486397067283729E-2</v>
      </c>
      <c r="T178" s="3">
        <f t="shared" si="114"/>
        <v>7.3486289439025618E-2</v>
      </c>
      <c r="U178" s="3">
        <f t="shared" si="114"/>
        <v>7.3485213165114333E-2</v>
      </c>
      <c r="V178" s="3">
        <f t="shared" si="114"/>
        <v>7.3474451292929233E-2</v>
      </c>
      <c r="W178" s="3">
        <f t="shared" si="114"/>
        <v>7.3366919216894685E-2</v>
      </c>
      <c r="X178" s="3">
        <f t="shared" si="114"/>
        <v>7.2300216267959488E-2</v>
      </c>
      <c r="Y178" s="3">
        <f t="shared" si="114"/>
        <v>6.2450041618292047E-2</v>
      </c>
      <c r="Z178" s="3">
        <f t="shared" si="114"/>
        <v>1.443657228332911E-2</v>
      </c>
      <c r="AA178" s="3">
        <f t="shared" si="114"/>
        <v>6.2918399300249179E-9</v>
      </c>
      <c r="AB178" s="3">
        <f t="shared" si="114"/>
        <v>1.5556554718321907E-72</v>
      </c>
      <c r="AC178" s="3">
        <f t="shared" si="114"/>
        <v>0</v>
      </c>
      <c r="AD178" s="3">
        <f t="shared" si="114"/>
        <v>0</v>
      </c>
      <c r="AE178" s="3">
        <f t="shared" si="114"/>
        <v>0</v>
      </c>
      <c r="AF178" s="3">
        <f t="shared" si="114"/>
        <v>0</v>
      </c>
      <c r="AG178" s="3"/>
      <c r="AH178" s="3"/>
    </row>
    <row r="179" spans="2:34" x14ac:dyDescent="0.25">
      <c r="B179" s="3">
        <f t="shared" ref="B179:AF179" si="115">$C26*EXP(-B$168/$A26/EXP(-$C$126))</f>
        <v>9.0828991010172527E-2</v>
      </c>
      <c r="C179" s="3">
        <f t="shared" si="115"/>
        <v>9.0828991010172527E-2</v>
      </c>
      <c r="D179" s="3">
        <f t="shared" si="115"/>
        <v>9.0828991010172527E-2</v>
      </c>
      <c r="E179" s="3">
        <f t="shared" si="115"/>
        <v>9.0828991010172527E-2</v>
      </c>
      <c r="F179" s="3">
        <f t="shared" si="115"/>
        <v>9.0828991010172527E-2</v>
      </c>
      <c r="G179" s="3">
        <f t="shared" si="115"/>
        <v>9.0828991010172527E-2</v>
      </c>
      <c r="H179" s="3">
        <f t="shared" si="115"/>
        <v>9.0828991010172527E-2</v>
      </c>
      <c r="I179" s="3">
        <f t="shared" si="115"/>
        <v>9.0828991010172527E-2</v>
      </c>
      <c r="J179" s="3">
        <f t="shared" si="115"/>
        <v>9.0828991010172527E-2</v>
      </c>
      <c r="K179" s="3">
        <f t="shared" si="115"/>
        <v>9.0828991010172513E-2</v>
      </c>
      <c r="L179" s="3">
        <f t="shared" si="115"/>
        <v>9.0828991010172402E-2</v>
      </c>
      <c r="M179" s="3">
        <f t="shared" si="115"/>
        <v>9.0828991010171195E-2</v>
      </c>
      <c r="N179" s="3">
        <f t="shared" si="115"/>
        <v>9.0828991010159191E-2</v>
      </c>
      <c r="O179" s="3">
        <f t="shared" si="115"/>
        <v>9.082899101003919E-2</v>
      </c>
      <c r="P179" s="3">
        <f t="shared" si="115"/>
        <v>9.0828991008839163E-2</v>
      </c>
      <c r="Q179" s="3">
        <f t="shared" si="115"/>
        <v>9.0828990996838901E-2</v>
      </c>
      <c r="R179" s="3">
        <f t="shared" si="115"/>
        <v>9.0828990876836282E-2</v>
      </c>
      <c r="S179" s="3">
        <f t="shared" si="115"/>
        <v>9.082898967681001E-2</v>
      </c>
      <c r="T179" s="3">
        <f t="shared" si="115"/>
        <v>9.0828977676548225E-2</v>
      </c>
      <c r="U179" s="3">
        <f t="shared" si="115"/>
        <v>9.0828857674017605E-2</v>
      </c>
      <c r="V179" s="3">
        <f t="shared" si="115"/>
        <v>9.0827657657431407E-2</v>
      </c>
      <c r="W179" s="3">
        <f t="shared" si="115"/>
        <v>9.0815658363528617E-2</v>
      </c>
      <c r="X179" s="3">
        <f t="shared" si="115"/>
        <v>9.0695752577802033E-2</v>
      </c>
      <c r="Y179" s="3">
        <f t="shared" si="115"/>
        <v>8.9505367596688631E-2</v>
      </c>
      <c r="Z179" s="3">
        <f t="shared" si="115"/>
        <v>7.8427865868347657E-2</v>
      </c>
      <c r="AA179" s="3">
        <f t="shared" si="115"/>
        <v>2.0925872078461492E-2</v>
      </c>
      <c r="AB179" s="3">
        <f t="shared" si="115"/>
        <v>3.8266192607571692E-8</v>
      </c>
      <c r="AC179" s="3">
        <f t="shared" si="115"/>
        <v>1.6000447286425923E-65</v>
      </c>
      <c r="AD179" s="3">
        <f t="shared" si="115"/>
        <v>0</v>
      </c>
      <c r="AE179" s="3">
        <f t="shared" si="115"/>
        <v>0</v>
      </c>
      <c r="AF179" s="3">
        <f t="shared" si="115"/>
        <v>0</v>
      </c>
      <c r="AG179" s="3"/>
      <c r="AH179" s="3"/>
    </row>
    <row r="180" spans="2:34" x14ac:dyDescent="0.25">
      <c r="B180" s="3">
        <f t="shared" ref="B180:AF180" si="116">$C27*EXP(-B$168/$A27/EXP(-$C$126))</f>
        <v>0.11303496653818297</v>
      </c>
      <c r="C180" s="3">
        <f t="shared" si="116"/>
        <v>0.11303496653818297</v>
      </c>
      <c r="D180" s="3">
        <f t="shared" si="116"/>
        <v>0.11303496653818297</v>
      </c>
      <c r="E180" s="3">
        <f t="shared" si="116"/>
        <v>0.11303496653818297</v>
      </c>
      <c r="F180" s="3">
        <f t="shared" si="116"/>
        <v>0.11303496653818297</v>
      </c>
      <c r="G180" s="3">
        <f t="shared" si="116"/>
        <v>0.11303496653818297</v>
      </c>
      <c r="H180" s="3">
        <f t="shared" si="116"/>
        <v>0.11303496653818297</v>
      </c>
      <c r="I180" s="3">
        <f t="shared" si="116"/>
        <v>0.11303496653818297</v>
      </c>
      <c r="J180" s="3">
        <f t="shared" si="116"/>
        <v>0.11303496653818297</v>
      </c>
      <c r="K180" s="3">
        <f t="shared" si="116"/>
        <v>0.11303496653818297</v>
      </c>
      <c r="L180" s="3">
        <f t="shared" si="116"/>
        <v>0.11303496653818296</v>
      </c>
      <c r="M180" s="3">
        <f t="shared" si="116"/>
        <v>0.11303496653818282</v>
      </c>
      <c r="N180" s="3">
        <f t="shared" si="116"/>
        <v>0.11303496653818147</v>
      </c>
      <c r="O180" s="3">
        <f t="shared" si="116"/>
        <v>0.113034966538168</v>
      </c>
      <c r="P180" s="3">
        <f t="shared" si="116"/>
        <v>0.11303496653803329</v>
      </c>
      <c r="Q180" s="3">
        <f t="shared" si="116"/>
        <v>0.1130349665366861</v>
      </c>
      <c r="R180" s="3">
        <f t="shared" si="116"/>
        <v>0.11303496652321431</v>
      </c>
      <c r="S180" s="3">
        <f t="shared" si="116"/>
        <v>0.11303496638849629</v>
      </c>
      <c r="T180" s="3">
        <f t="shared" si="116"/>
        <v>0.11303496504131617</v>
      </c>
      <c r="U180" s="3">
        <f t="shared" si="116"/>
        <v>0.11303495156951593</v>
      </c>
      <c r="V180" s="3">
        <f t="shared" si="116"/>
        <v>0.11303481685160173</v>
      </c>
      <c r="W180" s="3">
        <f t="shared" si="116"/>
        <v>0.11303346968129054</v>
      </c>
      <c r="X180" s="3">
        <f t="shared" si="116"/>
        <v>0.11301999886121769</v>
      </c>
      <c r="Y180" s="3">
        <f t="shared" si="116"/>
        <v>0.11288537892547164</v>
      </c>
      <c r="Z180" s="3">
        <f t="shared" si="116"/>
        <v>0.11154796726731842</v>
      </c>
      <c r="AA180" s="3">
        <f t="shared" si="116"/>
        <v>9.9015073670531625E-2</v>
      </c>
      <c r="AB180" s="3">
        <f t="shared" si="116"/>
        <v>3.006753731647124E-2</v>
      </c>
      <c r="AC180" s="3">
        <f t="shared" si="116"/>
        <v>2.0047641877755153E-7</v>
      </c>
      <c r="AD180" s="3">
        <f t="shared" si="116"/>
        <v>3.4811093522416952E-59</v>
      </c>
      <c r="AE180" s="3">
        <f t="shared" si="116"/>
        <v>0</v>
      </c>
      <c r="AF180" s="3">
        <f t="shared" si="116"/>
        <v>0</v>
      </c>
      <c r="AG180" s="3"/>
      <c r="AH180" s="3"/>
    </row>
    <row r="181" spans="2:34" x14ac:dyDescent="0.25">
      <c r="B181" s="3">
        <f t="shared" ref="B181:AF181" si="117">$C28*EXP(-B$168/$A28/EXP(-$C$126))</f>
        <v>0.13845265884512553</v>
      </c>
      <c r="C181" s="3">
        <f t="shared" si="117"/>
        <v>0.13845265884512553</v>
      </c>
      <c r="D181" s="3">
        <f t="shared" si="117"/>
        <v>0.13845265884512553</v>
      </c>
      <c r="E181" s="3">
        <f t="shared" si="117"/>
        <v>0.13845265884512553</v>
      </c>
      <c r="F181" s="3">
        <f t="shared" si="117"/>
        <v>0.13845265884512553</v>
      </c>
      <c r="G181" s="3">
        <f t="shared" si="117"/>
        <v>0.13845265884512553</v>
      </c>
      <c r="H181" s="3">
        <f t="shared" si="117"/>
        <v>0.13845265884512553</v>
      </c>
      <c r="I181" s="3">
        <f t="shared" si="117"/>
        <v>0.13845265884512553</v>
      </c>
      <c r="J181" s="3">
        <f t="shared" si="117"/>
        <v>0.13845265884512553</v>
      </c>
      <c r="K181" s="3">
        <f t="shared" si="117"/>
        <v>0.13845265884512553</v>
      </c>
      <c r="L181" s="3">
        <f t="shared" si="117"/>
        <v>0.13845265884512553</v>
      </c>
      <c r="M181" s="3">
        <f t="shared" si="117"/>
        <v>0.1384526588451255</v>
      </c>
      <c r="N181" s="3">
        <f t="shared" si="117"/>
        <v>0.13845265884512536</v>
      </c>
      <c r="O181" s="3">
        <f t="shared" si="117"/>
        <v>0.13845265884512387</v>
      </c>
      <c r="P181" s="3">
        <f t="shared" si="117"/>
        <v>0.13845265884510899</v>
      </c>
      <c r="Q181" s="3">
        <f t="shared" si="117"/>
        <v>0.13845265884496014</v>
      </c>
      <c r="R181" s="3">
        <f t="shared" si="117"/>
        <v>0.1384526588434716</v>
      </c>
      <c r="S181" s="3">
        <f t="shared" si="117"/>
        <v>0.13845265882858621</v>
      </c>
      <c r="T181" s="3">
        <f t="shared" si="117"/>
        <v>0.13845265867973211</v>
      </c>
      <c r="U181" s="3">
        <f t="shared" si="117"/>
        <v>0.13845265719119129</v>
      </c>
      <c r="V181" s="3">
        <f t="shared" si="117"/>
        <v>0.13845264230578413</v>
      </c>
      <c r="W181" s="3">
        <f t="shared" si="117"/>
        <v>0.1384524934518003</v>
      </c>
      <c r="X181" s="3">
        <f t="shared" si="117"/>
        <v>0.13845100492076398</v>
      </c>
      <c r="Y181" s="3">
        <f t="shared" si="117"/>
        <v>0.138436120490565</v>
      </c>
      <c r="Z181" s="3">
        <f t="shared" si="117"/>
        <v>0.13828736416999038</v>
      </c>
      <c r="AA181" s="3">
        <f t="shared" si="117"/>
        <v>0.13680856420747134</v>
      </c>
      <c r="AB181" s="3">
        <f t="shared" si="117"/>
        <v>0.12286300898656062</v>
      </c>
      <c r="AC181" s="3">
        <f t="shared" si="117"/>
        <v>4.1927577386525666E-2</v>
      </c>
      <c r="AD181" s="3">
        <f t="shared" si="117"/>
        <v>8.9801995816032015E-7</v>
      </c>
      <c r="AE181" s="3">
        <f t="shared" si="117"/>
        <v>1.8245181369271915E-53</v>
      </c>
      <c r="AF181" s="3">
        <f t="shared" si="117"/>
        <v>0</v>
      </c>
      <c r="AG181" s="3"/>
      <c r="AH181" s="3"/>
    </row>
    <row r="182" spans="2:34" x14ac:dyDescent="0.25">
      <c r="B182" s="3">
        <f t="shared" ref="B182:AF182" si="118">$C29*EXP(-B$168/$A29/EXP(-$C$126))</f>
        <v>8.6910854297372359E-2</v>
      </c>
      <c r="C182" s="3">
        <f t="shared" si="118"/>
        <v>8.6910854297372359E-2</v>
      </c>
      <c r="D182" s="3">
        <f t="shared" si="118"/>
        <v>8.6910854297372359E-2</v>
      </c>
      <c r="E182" s="3">
        <f t="shared" si="118"/>
        <v>8.6910854297372359E-2</v>
      </c>
      <c r="F182" s="3">
        <f t="shared" si="118"/>
        <v>8.6910854297372359E-2</v>
      </c>
      <c r="G182" s="3">
        <f t="shared" si="118"/>
        <v>8.6910854297372359E-2</v>
      </c>
      <c r="H182" s="3">
        <f t="shared" si="118"/>
        <v>8.6910854297372359E-2</v>
      </c>
      <c r="I182" s="3">
        <f t="shared" si="118"/>
        <v>8.6910854297372359E-2</v>
      </c>
      <c r="J182" s="3">
        <f t="shared" si="118"/>
        <v>8.6910854297372359E-2</v>
      </c>
      <c r="K182" s="3">
        <f t="shared" si="118"/>
        <v>8.6910854297372359E-2</v>
      </c>
      <c r="L182" s="3">
        <f t="shared" si="118"/>
        <v>8.6910854297372359E-2</v>
      </c>
      <c r="M182" s="3">
        <f t="shared" si="118"/>
        <v>8.6910854297372359E-2</v>
      </c>
      <c r="N182" s="3">
        <f t="shared" si="118"/>
        <v>8.6910854297372345E-2</v>
      </c>
      <c r="O182" s="3">
        <f t="shared" si="118"/>
        <v>8.6910854297372261E-2</v>
      </c>
      <c r="P182" s="3">
        <f t="shared" si="118"/>
        <v>8.6910854297371429E-2</v>
      </c>
      <c r="Q182" s="3">
        <f t="shared" si="118"/>
        <v>8.6910854297362991E-2</v>
      </c>
      <c r="R182" s="3">
        <f t="shared" si="118"/>
        <v>8.6910854297278711E-2</v>
      </c>
      <c r="S182" s="3">
        <f t="shared" si="118"/>
        <v>8.6910854296435788E-2</v>
      </c>
      <c r="T182" s="3">
        <f t="shared" si="118"/>
        <v>8.6910854288006711E-2</v>
      </c>
      <c r="U182" s="3">
        <f t="shared" si="118"/>
        <v>8.6910854203715943E-2</v>
      </c>
      <c r="V182" s="3">
        <f t="shared" si="118"/>
        <v>8.6910853360808171E-2</v>
      </c>
      <c r="W182" s="3">
        <f t="shared" si="118"/>
        <v>8.6910844931730971E-2</v>
      </c>
      <c r="X182" s="3">
        <f t="shared" si="118"/>
        <v>8.6910760641003962E-2</v>
      </c>
      <c r="Y182" s="3">
        <f t="shared" si="118"/>
        <v>8.690991773822998E-2</v>
      </c>
      <c r="Z182" s="3">
        <f t="shared" si="118"/>
        <v>8.6901489160095532E-2</v>
      </c>
      <c r="AA182" s="3">
        <f t="shared" si="118"/>
        <v>8.6817248323156265E-2</v>
      </c>
      <c r="AB182" s="3">
        <f t="shared" si="118"/>
        <v>8.5979318307925226E-2</v>
      </c>
      <c r="AC182" s="3">
        <f t="shared" si="118"/>
        <v>7.8032191625228411E-2</v>
      </c>
      <c r="AD182" s="3">
        <f t="shared" si="118"/>
        <v>2.9585020711368069E-2</v>
      </c>
      <c r="AE182" s="3">
        <f t="shared" si="118"/>
        <v>1.8157355914927638E-6</v>
      </c>
      <c r="AF182" s="3">
        <f t="shared" si="118"/>
        <v>1.3767652501170446E-48</v>
      </c>
      <c r="AG182" s="3"/>
      <c r="AH182" s="3"/>
    </row>
    <row r="183" spans="2:34" x14ac:dyDescent="0.25">
      <c r="B183" s="3">
        <f t="shared" ref="B183:AF183" si="119">$C30*EXP(-B$168/$A30/EXP(-$C$126))</f>
        <v>5.8628121311532923E-2</v>
      </c>
      <c r="C183" s="3">
        <f t="shared" si="119"/>
        <v>5.8628121311532923E-2</v>
      </c>
      <c r="D183" s="3">
        <f t="shared" si="119"/>
        <v>5.8628121311532923E-2</v>
      </c>
      <c r="E183" s="3">
        <f t="shared" si="119"/>
        <v>5.8628121311532923E-2</v>
      </c>
      <c r="F183" s="3">
        <f t="shared" si="119"/>
        <v>5.8628121311532923E-2</v>
      </c>
      <c r="G183" s="3">
        <f t="shared" si="119"/>
        <v>5.8628121311532923E-2</v>
      </c>
      <c r="H183" s="3">
        <f t="shared" si="119"/>
        <v>5.8628121311532923E-2</v>
      </c>
      <c r="I183" s="3">
        <f t="shared" si="119"/>
        <v>5.8628121311532923E-2</v>
      </c>
      <c r="J183" s="3">
        <f t="shared" si="119"/>
        <v>5.8628121311532923E-2</v>
      </c>
      <c r="K183" s="3">
        <f t="shared" si="119"/>
        <v>5.8628121311532923E-2</v>
      </c>
      <c r="L183" s="3">
        <f t="shared" si="119"/>
        <v>5.8628121311532923E-2</v>
      </c>
      <c r="M183" s="3">
        <f t="shared" si="119"/>
        <v>5.8628121311532923E-2</v>
      </c>
      <c r="N183" s="3">
        <f t="shared" si="119"/>
        <v>5.8628121311532923E-2</v>
      </c>
      <c r="O183" s="3">
        <f t="shared" si="119"/>
        <v>5.8628121311532916E-2</v>
      </c>
      <c r="P183" s="3">
        <f t="shared" si="119"/>
        <v>5.8628121311532867E-2</v>
      </c>
      <c r="Q183" s="3">
        <f t="shared" si="119"/>
        <v>5.8628121311532347E-2</v>
      </c>
      <c r="R183" s="3">
        <f t="shared" si="119"/>
        <v>5.8628121311527219E-2</v>
      </c>
      <c r="S183" s="3">
        <f t="shared" si="119"/>
        <v>5.8628121311475927E-2</v>
      </c>
      <c r="T183" s="3">
        <f t="shared" si="119"/>
        <v>5.8628121310962997E-2</v>
      </c>
      <c r="U183" s="3">
        <f t="shared" si="119"/>
        <v>5.8628121305833697E-2</v>
      </c>
      <c r="V183" s="3">
        <f t="shared" si="119"/>
        <v>5.862812125454063E-2</v>
      </c>
      <c r="W183" s="3">
        <f t="shared" si="119"/>
        <v>5.8628120741610036E-2</v>
      </c>
      <c r="X183" s="3">
        <f t="shared" si="119"/>
        <v>5.8628115612304334E-2</v>
      </c>
      <c r="Y183" s="3">
        <f t="shared" si="119"/>
        <v>5.862806431927195E-2</v>
      </c>
      <c r="Z183" s="3">
        <f t="shared" si="119"/>
        <v>5.8627551391416309E-2</v>
      </c>
      <c r="AA183" s="3">
        <f t="shared" si="119"/>
        <v>5.862242235966738E-2</v>
      </c>
      <c r="AB183" s="3">
        <f t="shared" si="119"/>
        <v>5.8571156714937893E-2</v>
      </c>
      <c r="AC183" s="3">
        <f t="shared" si="119"/>
        <v>5.8060959575491504E-2</v>
      </c>
      <c r="AD183" s="3">
        <f t="shared" si="119"/>
        <v>5.3197140858656178E-2</v>
      </c>
      <c r="AE183" s="3">
        <f t="shared" si="119"/>
        <v>2.2178343847874985E-2</v>
      </c>
      <c r="AF183" s="3">
        <f t="shared" si="119"/>
        <v>3.5183360934657413E-6</v>
      </c>
      <c r="AG183" s="3"/>
      <c r="AH183" s="3"/>
    </row>
    <row r="184" spans="2:34" x14ac:dyDescent="0.25">
      <c r="B184" s="3">
        <f t="shared" ref="B184:AF184" si="120">$C31*EXP(-B$168/$A31/EXP(-$C$126))</f>
        <v>2.5608295796313463E-2</v>
      </c>
      <c r="C184" s="3">
        <f t="shared" si="120"/>
        <v>2.5608295796313463E-2</v>
      </c>
      <c r="D184" s="3">
        <f t="shared" si="120"/>
        <v>2.5608295796313463E-2</v>
      </c>
      <c r="E184" s="3">
        <f t="shared" si="120"/>
        <v>2.5608295796313463E-2</v>
      </c>
      <c r="F184" s="3">
        <f t="shared" si="120"/>
        <v>2.5608295796313463E-2</v>
      </c>
      <c r="G184" s="3">
        <f t="shared" si="120"/>
        <v>2.5608295796313463E-2</v>
      </c>
      <c r="H184" s="3">
        <f t="shared" si="120"/>
        <v>2.5608295796313463E-2</v>
      </c>
      <c r="I184" s="3">
        <f t="shared" si="120"/>
        <v>2.5608295796313463E-2</v>
      </c>
      <c r="J184" s="3">
        <f t="shared" si="120"/>
        <v>2.5608295796313463E-2</v>
      </c>
      <c r="K184" s="3">
        <f t="shared" si="120"/>
        <v>2.5608295796313463E-2</v>
      </c>
      <c r="L184" s="3">
        <f t="shared" si="120"/>
        <v>2.5608295796313463E-2</v>
      </c>
      <c r="M184" s="3">
        <f t="shared" si="120"/>
        <v>2.5608295796313463E-2</v>
      </c>
      <c r="N184" s="3">
        <f t="shared" si="120"/>
        <v>2.5608295796313463E-2</v>
      </c>
      <c r="O184" s="3">
        <f t="shared" si="120"/>
        <v>2.5608295796313463E-2</v>
      </c>
      <c r="P184" s="3">
        <f t="shared" si="120"/>
        <v>2.5608295796313459E-2</v>
      </c>
      <c r="Q184" s="3">
        <f t="shared" si="120"/>
        <v>2.5608295796313438E-2</v>
      </c>
      <c r="R184" s="3">
        <f t="shared" si="120"/>
        <v>2.5608295796313237E-2</v>
      </c>
      <c r="S184" s="3">
        <f t="shared" si="120"/>
        <v>2.5608295796311218E-2</v>
      </c>
      <c r="T184" s="3">
        <f t="shared" si="120"/>
        <v>2.5608295796291005E-2</v>
      </c>
      <c r="U184" s="3">
        <f t="shared" si="120"/>
        <v>2.5608295796088903E-2</v>
      </c>
      <c r="V184" s="3">
        <f t="shared" si="120"/>
        <v>2.5608295794067839E-2</v>
      </c>
      <c r="W184" s="3">
        <f t="shared" si="120"/>
        <v>2.5608295773857204E-2</v>
      </c>
      <c r="X184" s="3">
        <f t="shared" si="120"/>
        <v>2.5608295571750882E-2</v>
      </c>
      <c r="Y184" s="3">
        <f t="shared" si="120"/>
        <v>2.5608293550687767E-2</v>
      </c>
      <c r="Z184" s="3">
        <f t="shared" si="120"/>
        <v>2.5608273340065359E-2</v>
      </c>
      <c r="AA184" s="3">
        <f t="shared" si="120"/>
        <v>2.5608071234718591E-2</v>
      </c>
      <c r="AB184" s="3">
        <f t="shared" si="120"/>
        <v>2.5606050268976759E-2</v>
      </c>
      <c r="AC184" s="3">
        <f t="shared" si="120"/>
        <v>2.5585849381584948E-2</v>
      </c>
      <c r="AD184" s="3">
        <f t="shared" si="120"/>
        <v>2.5384714954759222E-2</v>
      </c>
      <c r="AE184" s="3">
        <f t="shared" si="120"/>
        <v>2.3458314916466542E-2</v>
      </c>
      <c r="AF184" s="3">
        <f t="shared" si="120"/>
        <v>1.0654719560543405E-2</v>
      </c>
      <c r="AG184" s="3"/>
      <c r="AH184" s="3"/>
    </row>
    <row r="185" spans="2:34" x14ac:dyDescent="0.25">
      <c r="B185" s="3">
        <f t="shared" ref="B185:AF185" si="121">$C32*EXP(-B$168/$A32/EXP(-$C$126))</f>
        <v>5.0526357723775506E-3</v>
      </c>
      <c r="C185" s="3">
        <f t="shared" si="121"/>
        <v>5.0526357723775506E-3</v>
      </c>
      <c r="D185" s="3">
        <f t="shared" si="121"/>
        <v>5.0526357723775506E-3</v>
      </c>
      <c r="E185" s="3">
        <f t="shared" si="121"/>
        <v>5.0526357723775506E-3</v>
      </c>
      <c r="F185" s="3">
        <f t="shared" si="121"/>
        <v>5.0526357723775506E-3</v>
      </c>
      <c r="G185" s="3">
        <f t="shared" si="121"/>
        <v>5.0526357723775506E-3</v>
      </c>
      <c r="H185" s="3">
        <f t="shared" si="121"/>
        <v>5.0526357723775506E-3</v>
      </c>
      <c r="I185" s="3">
        <f t="shared" si="121"/>
        <v>5.0526357723775506E-3</v>
      </c>
      <c r="J185" s="3">
        <f t="shared" si="121"/>
        <v>5.0526357723775506E-3</v>
      </c>
      <c r="K185" s="3">
        <f t="shared" si="121"/>
        <v>5.0526357723775506E-3</v>
      </c>
      <c r="L185" s="3">
        <f t="shared" si="121"/>
        <v>5.0526357723775506E-3</v>
      </c>
      <c r="M185" s="3">
        <f t="shared" si="121"/>
        <v>5.0526357723775506E-3</v>
      </c>
      <c r="N185" s="3">
        <f t="shared" si="121"/>
        <v>5.0526357723775506E-3</v>
      </c>
      <c r="O185" s="3">
        <f t="shared" si="121"/>
        <v>5.0526357723775506E-3</v>
      </c>
      <c r="P185" s="3">
        <f t="shared" si="121"/>
        <v>5.0526357723775506E-3</v>
      </c>
      <c r="Q185" s="3">
        <f t="shared" si="121"/>
        <v>5.0526357723775497E-3</v>
      </c>
      <c r="R185" s="3">
        <f t="shared" si="121"/>
        <v>5.0526357723775462E-3</v>
      </c>
      <c r="S185" s="3">
        <f t="shared" si="121"/>
        <v>5.0526357723775107E-3</v>
      </c>
      <c r="T185" s="3">
        <f t="shared" si="121"/>
        <v>5.0526357723771507E-3</v>
      </c>
      <c r="U185" s="3">
        <f t="shared" si="121"/>
        <v>5.0526357723735538E-3</v>
      </c>
      <c r="V185" s="3">
        <f t="shared" si="121"/>
        <v>5.0526357723375817E-3</v>
      </c>
      <c r="W185" s="3">
        <f t="shared" si="121"/>
        <v>5.0526357719778625E-3</v>
      </c>
      <c r="X185" s="3">
        <f t="shared" si="121"/>
        <v>5.0526357683806688E-3</v>
      </c>
      <c r="Y185" s="3">
        <f t="shared" si="121"/>
        <v>5.0526357324087333E-3</v>
      </c>
      <c r="Z185" s="3">
        <f t="shared" si="121"/>
        <v>5.0526353726893965E-3</v>
      </c>
      <c r="AA185" s="3">
        <f t="shared" si="121"/>
        <v>5.052631775497432E-3</v>
      </c>
      <c r="AB185" s="3">
        <f t="shared" si="121"/>
        <v>5.0525958037186429E-3</v>
      </c>
      <c r="AC185" s="3">
        <f t="shared" si="121"/>
        <v>5.0522361000158401E-3</v>
      </c>
      <c r="AD185" s="3">
        <f t="shared" si="121"/>
        <v>5.0486404711257427E-3</v>
      </c>
      <c r="AE185" s="3">
        <f t="shared" si="121"/>
        <v>5.0128246257928116E-3</v>
      </c>
      <c r="AF185" s="3">
        <f t="shared" si="121"/>
        <v>4.6683475136965972E-3</v>
      </c>
      <c r="AG185" s="3"/>
      <c r="AH185" s="3"/>
    </row>
    <row r="186" spans="2:34" x14ac:dyDescent="0.25">
      <c r="B186" s="3">
        <f t="shared" ref="B186:AF186" si="122">$C33*EXP(-B$168/$A33/EXP(-$C$126))</f>
        <v>4.3761926995835639E-3</v>
      </c>
      <c r="C186" s="3">
        <f t="shared" si="122"/>
        <v>4.3761926995835639E-3</v>
      </c>
      <c r="D186" s="3">
        <f t="shared" si="122"/>
        <v>4.3761926995835639E-3</v>
      </c>
      <c r="E186" s="3">
        <f t="shared" si="122"/>
        <v>4.3761926995835639E-3</v>
      </c>
      <c r="F186" s="3">
        <f t="shared" si="122"/>
        <v>4.3761926995835639E-3</v>
      </c>
      <c r="G186" s="3">
        <f t="shared" si="122"/>
        <v>4.3761926995835639E-3</v>
      </c>
      <c r="H186" s="3">
        <f t="shared" si="122"/>
        <v>4.3761926995835639E-3</v>
      </c>
      <c r="I186" s="3">
        <f t="shared" si="122"/>
        <v>4.3761926995835639E-3</v>
      </c>
      <c r="J186" s="3">
        <f t="shared" si="122"/>
        <v>4.3761926995835639E-3</v>
      </c>
      <c r="K186" s="3">
        <f t="shared" si="122"/>
        <v>4.3761926995835639E-3</v>
      </c>
      <c r="L186" s="3">
        <f t="shared" si="122"/>
        <v>4.3761926995835639E-3</v>
      </c>
      <c r="M186" s="3">
        <f t="shared" si="122"/>
        <v>4.3761926995835639E-3</v>
      </c>
      <c r="N186" s="3">
        <f t="shared" si="122"/>
        <v>4.3761926995835639E-3</v>
      </c>
      <c r="O186" s="3">
        <f t="shared" si="122"/>
        <v>4.3761926995835639E-3</v>
      </c>
      <c r="P186" s="3">
        <f t="shared" si="122"/>
        <v>4.3761926995835639E-3</v>
      </c>
      <c r="Q186" s="3">
        <f t="shared" si="122"/>
        <v>4.3761926995835639E-3</v>
      </c>
      <c r="R186" s="3">
        <f t="shared" si="122"/>
        <v>4.3761926995835631E-3</v>
      </c>
      <c r="S186" s="3">
        <f t="shared" si="122"/>
        <v>4.3761926995835613E-3</v>
      </c>
      <c r="T186" s="3">
        <f t="shared" si="122"/>
        <v>4.3761926995835327E-3</v>
      </c>
      <c r="U186" s="3">
        <f t="shared" si="122"/>
        <v>4.3761926995832517E-3</v>
      </c>
      <c r="V186" s="3">
        <f t="shared" si="122"/>
        <v>4.3761926995804414E-3</v>
      </c>
      <c r="W186" s="3">
        <f t="shared" si="122"/>
        <v>4.3761926995523354E-3</v>
      </c>
      <c r="X186" s="3">
        <f t="shared" si="122"/>
        <v>4.3761926992712825E-3</v>
      </c>
      <c r="Y186" s="3">
        <f t="shared" si="122"/>
        <v>4.3761926964607486E-3</v>
      </c>
      <c r="Z186" s="3">
        <f t="shared" si="122"/>
        <v>4.3761926683554093E-3</v>
      </c>
      <c r="AA186" s="3">
        <f t="shared" si="122"/>
        <v>4.3761923873020222E-3</v>
      </c>
      <c r="AB186" s="3">
        <f t="shared" si="122"/>
        <v>4.3761895767691532E-3</v>
      </c>
      <c r="AC186" s="3">
        <f t="shared" si="122"/>
        <v>4.3761614715397334E-3</v>
      </c>
      <c r="AD186" s="3">
        <f t="shared" si="122"/>
        <v>4.3758804291728626E-3</v>
      </c>
      <c r="AE186" s="3">
        <f t="shared" si="122"/>
        <v>4.3730709980013124E-3</v>
      </c>
      <c r="AF186" s="3">
        <f t="shared" si="122"/>
        <v>4.3450757005625545E-3</v>
      </c>
      <c r="AG186" s="3"/>
      <c r="AH186" s="3"/>
    </row>
    <row r="187" spans="2:34" x14ac:dyDescent="0.25">
      <c r="B187" s="3">
        <f t="shared" ref="B187:AF187" si="123">$C34*EXP(-B$168/$A34/EXP(-$C$126))</f>
        <v>3.799405391061131E-3</v>
      </c>
      <c r="C187" s="3">
        <f t="shared" si="123"/>
        <v>3.799405391061131E-3</v>
      </c>
      <c r="D187" s="3">
        <f t="shared" si="123"/>
        <v>3.799405391061131E-3</v>
      </c>
      <c r="E187" s="3">
        <f t="shared" si="123"/>
        <v>3.799405391061131E-3</v>
      </c>
      <c r="F187" s="3">
        <f t="shared" si="123"/>
        <v>3.799405391061131E-3</v>
      </c>
      <c r="G187" s="3">
        <f t="shared" si="123"/>
        <v>3.799405391061131E-3</v>
      </c>
      <c r="H187" s="3">
        <f t="shared" si="123"/>
        <v>3.799405391061131E-3</v>
      </c>
      <c r="I187" s="3">
        <f t="shared" si="123"/>
        <v>3.799405391061131E-3</v>
      </c>
      <c r="J187" s="3">
        <f t="shared" si="123"/>
        <v>3.799405391061131E-3</v>
      </c>
      <c r="K187" s="3">
        <f t="shared" si="123"/>
        <v>3.799405391061131E-3</v>
      </c>
      <c r="L187" s="3">
        <f t="shared" si="123"/>
        <v>3.799405391061131E-3</v>
      </c>
      <c r="M187" s="3">
        <f t="shared" si="123"/>
        <v>3.799405391061131E-3</v>
      </c>
      <c r="N187" s="3">
        <f t="shared" si="123"/>
        <v>3.799405391061131E-3</v>
      </c>
      <c r="O187" s="3">
        <f t="shared" si="123"/>
        <v>3.799405391061131E-3</v>
      </c>
      <c r="P187" s="3">
        <f t="shared" si="123"/>
        <v>3.799405391061131E-3</v>
      </c>
      <c r="Q187" s="3">
        <f t="shared" si="123"/>
        <v>3.799405391061131E-3</v>
      </c>
      <c r="R187" s="3">
        <f t="shared" si="123"/>
        <v>3.799405391061131E-3</v>
      </c>
      <c r="S187" s="3">
        <f t="shared" si="123"/>
        <v>3.7994053910611306E-3</v>
      </c>
      <c r="T187" s="3">
        <f t="shared" si="123"/>
        <v>3.7994053910611284E-3</v>
      </c>
      <c r="U187" s="3">
        <f t="shared" si="123"/>
        <v>3.7994053910611067E-3</v>
      </c>
      <c r="V187" s="3">
        <f t="shared" si="123"/>
        <v>3.7994053910608864E-3</v>
      </c>
      <c r="W187" s="3">
        <f t="shared" si="123"/>
        <v>3.7994053910586855E-3</v>
      </c>
      <c r="X187" s="3">
        <f t="shared" si="123"/>
        <v>3.7994053910366736E-3</v>
      </c>
      <c r="Y187" s="3">
        <f t="shared" si="123"/>
        <v>3.7994053908165558E-3</v>
      </c>
      <c r="Z187" s="3">
        <f t="shared" si="123"/>
        <v>3.7994053886153808E-3</v>
      </c>
      <c r="AA187" s="3">
        <f t="shared" si="123"/>
        <v>3.7994053666036277E-3</v>
      </c>
      <c r="AB187" s="3">
        <f t="shared" si="123"/>
        <v>3.7994051464861072E-3</v>
      </c>
      <c r="AC187" s="3">
        <f t="shared" si="123"/>
        <v>3.7994029453116036E-3</v>
      </c>
      <c r="AD187" s="3">
        <f t="shared" si="123"/>
        <v>3.7993809336367046E-3</v>
      </c>
      <c r="AE187" s="3">
        <f t="shared" si="123"/>
        <v>3.7991608239013913E-3</v>
      </c>
      <c r="AF187" s="3">
        <f t="shared" si="123"/>
        <v>3.7969604277659713E-3</v>
      </c>
      <c r="AG187" s="3"/>
      <c r="AH187" s="3"/>
    </row>
    <row r="188" spans="2:34" x14ac:dyDescent="0.25">
      <c r="B188" s="3">
        <f t="shared" ref="B188:AF188" si="124">$C35*EXP(-B$168/$A35/EXP(-$C$126))</f>
        <v>4.2249411335647654E-3</v>
      </c>
      <c r="C188" s="3">
        <f t="shared" si="124"/>
        <v>4.2249411335647654E-3</v>
      </c>
      <c r="D188" s="3">
        <f t="shared" si="124"/>
        <v>4.2249411335647654E-3</v>
      </c>
      <c r="E188" s="3">
        <f t="shared" si="124"/>
        <v>4.2249411335647654E-3</v>
      </c>
      <c r="F188" s="3">
        <f t="shared" si="124"/>
        <v>4.2249411335647654E-3</v>
      </c>
      <c r="G188" s="3">
        <f t="shared" si="124"/>
        <v>4.2249411335647654E-3</v>
      </c>
      <c r="H188" s="3">
        <f t="shared" si="124"/>
        <v>4.2249411335647654E-3</v>
      </c>
      <c r="I188" s="3">
        <f t="shared" si="124"/>
        <v>4.2249411335647654E-3</v>
      </c>
      <c r="J188" s="3">
        <f t="shared" si="124"/>
        <v>4.2249411335647654E-3</v>
      </c>
      <c r="K188" s="3">
        <f t="shared" si="124"/>
        <v>4.2249411335647654E-3</v>
      </c>
      <c r="L188" s="3">
        <f t="shared" si="124"/>
        <v>4.2249411335647654E-3</v>
      </c>
      <c r="M188" s="3">
        <f t="shared" si="124"/>
        <v>4.2249411335647654E-3</v>
      </c>
      <c r="N188" s="3">
        <f t="shared" si="124"/>
        <v>4.2249411335647654E-3</v>
      </c>
      <c r="O188" s="3">
        <f t="shared" si="124"/>
        <v>4.2249411335647654E-3</v>
      </c>
      <c r="P188" s="3">
        <f t="shared" si="124"/>
        <v>4.2249411335647654E-3</v>
      </c>
      <c r="Q188" s="3">
        <f t="shared" si="124"/>
        <v>4.2249411335647654E-3</v>
      </c>
      <c r="R188" s="3">
        <f t="shared" si="124"/>
        <v>4.2249411335647654E-3</v>
      </c>
      <c r="S188" s="3">
        <f t="shared" si="124"/>
        <v>4.2249411335647654E-3</v>
      </c>
      <c r="T188" s="3">
        <f t="shared" si="124"/>
        <v>4.2249411335647646E-3</v>
      </c>
      <c r="U188" s="3">
        <f t="shared" si="124"/>
        <v>4.2249411335647628E-3</v>
      </c>
      <c r="V188" s="3">
        <f t="shared" si="124"/>
        <v>4.2249411335647412E-3</v>
      </c>
      <c r="W188" s="3">
        <f t="shared" si="124"/>
        <v>4.22494113356452E-3</v>
      </c>
      <c r="X188" s="3">
        <f t="shared" si="124"/>
        <v>4.2249411335623125E-3</v>
      </c>
      <c r="Y188" s="3">
        <f t="shared" si="124"/>
        <v>4.2249411335402312E-3</v>
      </c>
      <c r="Z188" s="3">
        <f t="shared" si="124"/>
        <v>4.2249411333194278E-3</v>
      </c>
      <c r="AA188" s="3">
        <f t="shared" si="124"/>
        <v>4.224941131111392E-3</v>
      </c>
      <c r="AB188" s="3">
        <f t="shared" si="124"/>
        <v>4.2249411090310267E-3</v>
      </c>
      <c r="AC188" s="3">
        <f t="shared" si="124"/>
        <v>4.2249408882273848E-3</v>
      </c>
      <c r="AD188" s="3">
        <f t="shared" si="124"/>
        <v>4.2249386801916011E-3</v>
      </c>
      <c r="AE188" s="3">
        <f t="shared" si="124"/>
        <v>4.2249165998972313E-3</v>
      </c>
      <c r="AF188" s="3">
        <f t="shared" si="124"/>
        <v>4.2246958033001899E-3</v>
      </c>
      <c r="AG188" s="3"/>
      <c r="AH188" s="3"/>
    </row>
    <row r="189" spans="2:34" x14ac:dyDescent="0.25">
      <c r="B189" s="3">
        <f t="shared" ref="B189:AF189" si="125">$C36*EXP(-B$168/$A36/EXP(-$C$126))</f>
        <v>2.7574935483823488E-3</v>
      </c>
      <c r="C189" s="3">
        <f t="shared" si="125"/>
        <v>2.7574935483823488E-3</v>
      </c>
      <c r="D189" s="3">
        <f t="shared" si="125"/>
        <v>2.7574935483823488E-3</v>
      </c>
      <c r="E189" s="3">
        <f t="shared" si="125"/>
        <v>2.7574935483823488E-3</v>
      </c>
      <c r="F189" s="3">
        <f t="shared" si="125"/>
        <v>2.7574935483823488E-3</v>
      </c>
      <c r="G189" s="3">
        <f t="shared" si="125"/>
        <v>2.7574935483823488E-3</v>
      </c>
      <c r="H189" s="3">
        <f t="shared" si="125"/>
        <v>2.7574935483823488E-3</v>
      </c>
      <c r="I189" s="3">
        <f t="shared" si="125"/>
        <v>2.7574935483823488E-3</v>
      </c>
      <c r="J189" s="3">
        <f t="shared" si="125"/>
        <v>2.7574935483823488E-3</v>
      </c>
      <c r="K189" s="3">
        <f t="shared" si="125"/>
        <v>2.7574935483823488E-3</v>
      </c>
      <c r="L189" s="3">
        <f t="shared" si="125"/>
        <v>2.7574935483823488E-3</v>
      </c>
      <c r="M189" s="3">
        <f t="shared" si="125"/>
        <v>2.7574935483823488E-3</v>
      </c>
      <c r="N189" s="3">
        <f t="shared" si="125"/>
        <v>2.7574935483823488E-3</v>
      </c>
      <c r="O189" s="3">
        <f t="shared" si="125"/>
        <v>2.7574935483823488E-3</v>
      </c>
      <c r="P189" s="3">
        <f t="shared" si="125"/>
        <v>2.7574935483823488E-3</v>
      </c>
      <c r="Q189" s="3">
        <f t="shared" si="125"/>
        <v>2.7574935483823488E-3</v>
      </c>
      <c r="R189" s="3">
        <f t="shared" si="125"/>
        <v>2.7574935483823488E-3</v>
      </c>
      <c r="S189" s="3">
        <f t="shared" si="125"/>
        <v>2.7574935483823488E-3</v>
      </c>
      <c r="T189" s="3">
        <f t="shared" si="125"/>
        <v>2.7574935483823488E-3</v>
      </c>
      <c r="U189" s="3">
        <f t="shared" si="125"/>
        <v>2.7574935483823488E-3</v>
      </c>
      <c r="V189" s="3">
        <f t="shared" si="125"/>
        <v>2.7574935483823471E-3</v>
      </c>
      <c r="W189" s="3">
        <f t="shared" si="125"/>
        <v>2.7574935483823345E-3</v>
      </c>
      <c r="X189" s="3">
        <f t="shared" si="125"/>
        <v>2.7574935483822044E-3</v>
      </c>
      <c r="Y189" s="3">
        <f t="shared" si="125"/>
        <v>2.7574935483809042E-3</v>
      </c>
      <c r="Z189" s="3">
        <f t="shared" si="125"/>
        <v>2.7574935483679042E-3</v>
      </c>
      <c r="AA189" s="3">
        <f t="shared" si="125"/>
        <v>2.7574935482379032E-3</v>
      </c>
      <c r="AB189" s="3">
        <f t="shared" si="125"/>
        <v>2.7574935469378932E-3</v>
      </c>
      <c r="AC189" s="3">
        <f t="shared" si="125"/>
        <v>2.7574935339377939E-3</v>
      </c>
      <c r="AD189" s="3">
        <f t="shared" si="125"/>
        <v>2.7574934039368013E-3</v>
      </c>
      <c r="AE189" s="3">
        <f t="shared" si="125"/>
        <v>2.7574921039272156E-3</v>
      </c>
      <c r="AF189" s="3">
        <f t="shared" si="125"/>
        <v>2.7574791038650678E-3</v>
      </c>
      <c r="AG189" s="3"/>
      <c r="AH189" s="3"/>
    </row>
    <row r="190" spans="2:34" x14ac:dyDescent="0.25">
      <c r="B190" s="3">
        <f t="shared" ref="B190:AF190" si="126">$C37*EXP(-B$168/$A37/EXP(-$C$126))</f>
        <v>1.745678055330739E-3</v>
      </c>
      <c r="C190" s="3">
        <f t="shared" si="126"/>
        <v>1.745678055330739E-3</v>
      </c>
      <c r="D190" s="3">
        <f t="shared" si="126"/>
        <v>1.745678055330739E-3</v>
      </c>
      <c r="E190" s="3">
        <f t="shared" si="126"/>
        <v>1.745678055330739E-3</v>
      </c>
      <c r="F190" s="3">
        <f t="shared" si="126"/>
        <v>1.745678055330739E-3</v>
      </c>
      <c r="G190" s="3">
        <f t="shared" si="126"/>
        <v>1.745678055330739E-3</v>
      </c>
      <c r="H190" s="3">
        <f t="shared" si="126"/>
        <v>1.745678055330739E-3</v>
      </c>
      <c r="I190" s="3">
        <f t="shared" si="126"/>
        <v>1.745678055330739E-3</v>
      </c>
      <c r="J190" s="3">
        <f t="shared" si="126"/>
        <v>1.745678055330739E-3</v>
      </c>
      <c r="K190" s="3">
        <f t="shared" si="126"/>
        <v>1.745678055330739E-3</v>
      </c>
      <c r="L190" s="3">
        <f t="shared" si="126"/>
        <v>1.745678055330739E-3</v>
      </c>
      <c r="M190" s="3">
        <f t="shared" si="126"/>
        <v>1.745678055330739E-3</v>
      </c>
      <c r="N190" s="3">
        <f t="shared" si="126"/>
        <v>1.745678055330739E-3</v>
      </c>
      <c r="O190" s="3">
        <f t="shared" si="126"/>
        <v>1.745678055330739E-3</v>
      </c>
      <c r="P190" s="3">
        <f t="shared" si="126"/>
        <v>1.745678055330739E-3</v>
      </c>
      <c r="Q190" s="3">
        <f t="shared" si="126"/>
        <v>1.745678055330739E-3</v>
      </c>
      <c r="R190" s="3">
        <f t="shared" si="126"/>
        <v>1.745678055330739E-3</v>
      </c>
      <c r="S190" s="3">
        <f t="shared" si="126"/>
        <v>1.745678055330739E-3</v>
      </c>
      <c r="T190" s="3">
        <f t="shared" si="126"/>
        <v>1.745678055330739E-3</v>
      </c>
      <c r="U190" s="3">
        <f t="shared" si="126"/>
        <v>1.745678055330739E-3</v>
      </c>
      <c r="V190" s="3">
        <f t="shared" si="126"/>
        <v>1.745678055330739E-3</v>
      </c>
      <c r="W190" s="3">
        <f t="shared" si="126"/>
        <v>1.7456780553307381E-3</v>
      </c>
      <c r="X190" s="3">
        <f t="shared" si="126"/>
        <v>1.7456780553307307E-3</v>
      </c>
      <c r="Y190" s="3">
        <f t="shared" si="126"/>
        <v>1.7456780553306564E-3</v>
      </c>
      <c r="Z190" s="3">
        <f t="shared" si="126"/>
        <v>1.7456780553299141E-3</v>
      </c>
      <c r="AA190" s="3">
        <f t="shared" si="126"/>
        <v>1.7456780553224902E-3</v>
      </c>
      <c r="AB190" s="3">
        <f t="shared" si="126"/>
        <v>1.7456780552482492E-3</v>
      </c>
      <c r="AC190" s="3">
        <f t="shared" si="126"/>
        <v>1.7456780545058407E-3</v>
      </c>
      <c r="AD190" s="3">
        <f t="shared" si="126"/>
        <v>1.7456780470817559E-3</v>
      </c>
      <c r="AE190" s="3">
        <f t="shared" si="126"/>
        <v>1.7456779728409109E-3</v>
      </c>
      <c r="AF190" s="3">
        <f t="shared" si="126"/>
        <v>1.7456772304326336E-3</v>
      </c>
      <c r="AG190" s="3"/>
      <c r="AH190" s="3"/>
    </row>
    <row r="191" spans="2:34" x14ac:dyDescent="0.25">
      <c r="B191" s="3">
        <f t="shared" ref="B191:AF191" si="127">$C38*EXP(-B$168/$A38/EXP(-$C$126))</f>
        <v>4.0897783870777585E-4</v>
      </c>
      <c r="C191" s="3">
        <f t="shared" si="127"/>
        <v>4.0897783870777585E-4</v>
      </c>
      <c r="D191" s="3">
        <f t="shared" si="127"/>
        <v>4.0897783870777585E-4</v>
      </c>
      <c r="E191" s="3">
        <f t="shared" si="127"/>
        <v>4.0897783870777585E-4</v>
      </c>
      <c r="F191" s="3">
        <f t="shared" si="127"/>
        <v>4.0897783870777585E-4</v>
      </c>
      <c r="G191" s="3">
        <f t="shared" si="127"/>
        <v>4.0897783870777585E-4</v>
      </c>
      <c r="H191" s="3">
        <f t="shared" si="127"/>
        <v>4.0897783870777585E-4</v>
      </c>
      <c r="I191" s="3">
        <f t="shared" si="127"/>
        <v>4.0897783870777585E-4</v>
      </c>
      <c r="J191" s="3">
        <f t="shared" si="127"/>
        <v>4.0897783870777585E-4</v>
      </c>
      <c r="K191" s="3">
        <f t="shared" si="127"/>
        <v>4.0897783870777585E-4</v>
      </c>
      <c r="L191" s="3">
        <f t="shared" si="127"/>
        <v>4.0897783870777585E-4</v>
      </c>
      <c r="M191" s="3">
        <f t="shared" si="127"/>
        <v>4.0897783870777585E-4</v>
      </c>
      <c r="N191" s="3">
        <f t="shared" si="127"/>
        <v>4.0897783870777585E-4</v>
      </c>
      <c r="O191" s="3">
        <f t="shared" si="127"/>
        <v>4.0897783870777585E-4</v>
      </c>
      <c r="P191" s="3">
        <f t="shared" si="127"/>
        <v>4.0897783870777585E-4</v>
      </c>
      <c r="Q191" s="3">
        <f t="shared" si="127"/>
        <v>4.0897783870777585E-4</v>
      </c>
      <c r="R191" s="3">
        <f t="shared" si="127"/>
        <v>4.0897783870777585E-4</v>
      </c>
      <c r="S191" s="3">
        <f t="shared" si="127"/>
        <v>4.0897783870777585E-4</v>
      </c>
      <c r="T191" s="3">
        <f t="shared" si="127"/>
        <v>4.0897783870777585E-4</v>
      </c>
      <c r="U191" s="3">
        <f t="shared" si="127"/>
        <v>4.0897783870777585E-4</v>
      </c>
      <c r="V191" s="3">
        <f t="shared" si="127"/>
        <v>4.0897783870777585E-4</v>
      </c>
      <c r="W191" s="3">
        <f t="shared" si="127"/>
        <v>4.0897783870777585E-4</v>
      </c>
      <c r="X191" s="3">
        <f t="shared" si="127"/>
        <v>4.0897783870777569E-4</v>
      </c>
      <c r="Y191" s="3">
        <f t="shared" si="127"/>
        <v>4.0897783870777411E-4</v>
      </c>
      <c r="Z191" s="3">
        <f t="shared" si="127"/>
        <v>4.0897783870775839E-4</v>
      </c>
      <c r="AA191" s="3">
        <f t="shared" si="127"/>
        <v>4.0897783870760156E-4</v>
      </c>
      <c r="AB191" s="3">
        <f t="shared" si="127"/>
        <v>4.0897783870603251E-4</v>
      </c>
      <c r="AC191" s="3">
        <f t="shared" si="127"/>
        <v>4.0897783869034242E-4</v>
      </c>
      <c r="AD191" s="3">
        <f t="shared" si="127"/>
        <v>4.0897783853344161E-4</v>
      </c>
      <c r="AE191" s="3">
        <f t="shared" si="127"/>
        <v>4.0897783696443372E-4</v>
      </c>
      <c r="AF191" s="3">
        <f t="shared" si="127"/>
        <v>4.0897782127435504E-4</v>
      </c>
      <c r="AG191" s="3"/>
      <c r="AH191" s="3"/>
    </row>
    <row r="192" spans="2:34" x14ac:dyDescent="0.25">
      <c r="B192" s="3">
        <f t="shared" ref="B192:AF192" si="128">$C39*EXP(-B$168/$A39/EXP(-$C$126))</f>
        <v>8.9346516984039216E-4</v>
      </c>
      <c r="C192" s="3">
        <f t="shared" si="128"/>
        <v>8.9346516984039216E-4</v>
      </c>
      <c r="D192" s="3">
        <f t="shared" si="128"/>
        <v>8.9346516984039216E-4</v>
      </c>
      <c r="E192" s="3">
        <f t="shared" si="128"/>
        <v>8.9346516984039216E-4</v>
      </c>
      <c r="F192" s="3">
        <f t="shared" si="128"/>
        <v>8.9346516984039216E-4</v>
      </c>
      <c r="G192" s="3">
        <f t="shared" si="128"/>
        <v>8.9346516984039216E-4</v>
      </c>
      <c r="H192" s="3">
        <f t="shared" si="128"/>
        <v>8.9346516984039216E-4</v>
      </c>
      <c r="I192" s="3">
        <f t="shared" si="128"/>
        <v>8.9346516984039216E-4</v>
      </c>
      <c r="J192" s="3">
        <f t="shared" si="128"/>
        <v>8.9346516984039216E-4</v>
      </c>
      <c r="K192" s="3">
        <f t="shared" si="128"/>
        <v>8.9346516984039216E-4</v>
      </c>
      <c r="L192" s="3">
        <f t="shared" si="128"/>
        <v>8.9346516984039216E-4</v>
      </c>
      <c r="M192" s="3">
        <f t="shared" si="128"/>
        <v>8.9346516984039216E-4</v>
      </c>
      <c r="N192" s="3">
        <f t="shared" si="128"/>
        <v>8.9346516984039216E-4</v>
      </c>
      <c r="O192" s="3">
        <f t="shared" si="128"/>
        <v>8.9346516984039216E-4</v>
      </c>
      <c r="P192" s="3">
        <f t="shared" si="128"/>
        <v>8.9346516984039216E-4</v>
      </c>
      <c r="Q192" s="3">
        <f t="shared" si="128"/>
        <v>8.9346516984039216E-4</v>
      </c>
      <c r="R192" s="3">
        <f t="shared" si="128"/>
        <v>8.9346516984039216E-4</v>
      </c>
      <c r="S192" s="3">
        <f t="shared" si="128"/>
        <v>8.9346516984039216E-4</v>
      </c>
      <c r="T192" s="3">
        <f t="shared" si="128"/>
        <v>8.9346516984039216E-4</v>
      </c>
      <c r="U192" s="3">
        <f t="shared" si="128"/>
        <v>8.9346516984039216E-4</v>
      </c>
      <c r="V192" s="3">
        <f t="shared" si="128"/>
        <v>8.9346516984039216E-4</v>
      </c>
      <c r="W192" s="3">
        <f t="shared" si="128"/>
        <v>8.9346516984039216E-4</v>
      </c>
      <c r="X192" s="3">
        <f t="shared" si="128"/>
        <v>8.9346516984039205E-4</v>
      </c>
      <c r="Y192" s="3">
        <f t="shared" si="128"/>
        <v>8.9346516984039107E-4</v>
      </c>
      <c r="Z192" s="3">
        <f t="shared" si="128"/>
        <v>8.9346516984038164E-4</v>
      </c>
      <c r="AA192" s="3">
        <f t="shared" si="128"/>
        <v>8.9346516984028677E-4</v>
      </c>
      <c r="AB192" s="3">
        <f t="shared" si="128"/>
        <v>8.9346516983933885E-4</v>
      </c>
      <c r="AC192" s="3">
        <f t="shared" si="128"/>
        <v>8.934651698298587E-4</v>
      </c>
      <c r="AD192" s="3">
        <f t="shared" si="128"/>
        <v>8.9346516973505693E-4</v>
      </c>
      <c r="AE192" s="3">
        <f t="shared" si="128"/>
        <v>8.9346516878704063E-4</v>
      </c>
      <c r="AF192" s="3">
        <f t="shared" si="128"/>
        <v>8.934651593068768E-4</v>
      </c>
      <c r="AG192" s="3"/>
      <c r="AH192" s="3"/>
    </row>
    <row r="193" spans="1:34" x14ac:dyDescent="0.25">
      <c r="B193" s="3">
        <f t="shared" ref="B193:AF193" si="129">$C40*EXP(-B$168/$A40/EXP(-$C$126))</f>
        <v>2.0267191834609735E-4</v>
      </c>
      <c r="C193" s="3">
        <f t="shared" si="129"/>
        <v>2.0267191834609735E-4</v>
      </c>
      <c r="D193" s="3">
        <f t="shared" si="129"/>
        <v>2.0267191834609735E-4</v>
      </c>
      <c r="E193" s="3">
        <f t="shared" si="129"/>
        <v>2.0267191834609735E-4</v>
      </c>
      <c r="F193" s="3">
        <f t="shared" si="129"/>
        <v>2.0267191834609735E-4</v>
      </c>
      <c r="G193" s="3">
        <f t="shared" si="129"/>
        <v>2.0267191834609735E-4</v>
      </c>
      <c r="H193" s="3">
        <f t="shared" si="129"/>
        <v>2.0267191834609735E-4</v>
      </c>
      <c r="I193" s="3">
        <f t="shared" si="129"/>
        <v>2.0267191834609735E-4</v>
      </c>
      <c r="J193" s="3">
        <f t="shared" si="129"/>
        <v>2.0267191834609735E-4</v>
      </c>
      <c r="K193" s="3">
        <f t="shared" si="129"/>
        <v>2.0267191834609735E-4</v>
      </c>
      <c r="L193" s="3">
        <f t="shared" si="129"/>
        <v>2.0267191834609735E-4</v>
      </c>
      <c r="M193" s="3">
        <f t="shared" si="129"/>
        <v>2.0267191834609735E-4</v>
      </c>
      <c r="N193" s="3">
        <f t="shared" si="129"/>
        <v>2.0267191834609735E-4</v>
      </c>
      <c r="O193" s="3">
        <f t="shared" si="129"/>
        <v>2.0267191834609735E-4</v>
      </c>
      <c r="P193" s="3">
        <f t="shared" si="129"/>
        <v>2.0267191834609735E-4</v>
      </c>
      <c r="Q193" s="3">
        <f t="shared" si="129"/>
        <v>2.0267191834609735E-4</v>
      </c>
      <c r="R193" s="3">
        <f t="shared" si="129"/>
        <v>2.0267191834609735E-4</v>
      </c>
      <c r="S193" s="3">
        <f t="shared" si="129"/>
        <v>2.0267191834609735E-4</v>
      </c>
      <c r="T193" s="3">
        <f t="shared" si="129"/>
        <v>2.0267191834609735E-4</v>
      </c>
      <c r="U193" s="3">
        <f t="shared" si="129"/>
        <v>2.0267191834609735E-4</v>
      </c>
      <c r="V193" s="3">
        <f t="shared" si="129"/>
        <v>2.0267191834609735E-4</v>
      </c>
      <c r="W193" s="3">
        <f t="shared" si="129"/>
        <v>2.0267191834609735E-4</v>
      </c>
      <c r="X193" s="3">
        <f t="shared" si="129"/>
        <v>2.0267191834609735E-4</v>
      </c>
      <c r="Y193" s="3">
        <f t="shared" si="129"/>
        <v>2.0267191834609733E-4</v>
      </c>
      <c r="Z193" s="3">
        <f t="shared" si="129"/>
        <v>2.0267191834609711E-4</v>
      </c>
      <c r="AA193" s="3">
        <f t="shared" si="129"/>
        <v>2.0267191834609497E-4</v>
      </c>
      <c r="AB193" s="3">
        <f t="shared" si="129"/>
        <v>2.0267191834607345E-4</v>
      </c>
      <c r="AC193" s="3">
        <f t="shared" si="129"/>
        <v>2.0267191834585842E-4</v>
      </c>
      <c r="AD193" s="3">
        <f t="shared" si="129"/>
        <v>2.0267191834370796E-4</v>
      </c>
      <c r="AE193" s="3">
        <f t="shared" si="129"/>
        <v>2.0267191832220333E-4</v>
      </c>
      <c r="AF193" s="3">
        <f t="shared" si="129"/>
        <v>2.0267191810715714E-4</v>
      </c>
      <c r="AG193" s="3"/>
      <c r="AH193" s="3"/>
    </row>
    <row r="194" spans="1:34" x14ac:dyDescent="0.25">
      <c r="B194" s="3">
        <f t="shared" ref="B194:AF194" si="130">$C41*EXP(-B$168/$A41/EXP(-$C$126))</f>
        <v>4.681554200352879E-4</v>
      </c>
      <c r="C194" s="3">
        <f t="shared" si="130"/>
        <v>4.681554200352879E-4</v>
      </c>
      <c r="D194" s="3">
        <f t="shared" si="130"/>
        <v>4.681554200352879E-4</v>
      </c>
      <c r="E194" s="3">
        <f t="shared" si="130"/>
        <v>4.681554200352879E-4</v>
      </c>
      <c r="F194" s="3">
        <f t="shared" si="130"/>
        <v>4.681554200352879E-4</v>
      </c>
      <c r="G194" s="3">
        <f t="shared" si="130"/>
        <v>4.681554200352879E-4</v>
      </c>
      <c r="H194" s="3">
        <f t="shared" si="130"/>
        <v>4.681554200352879E-4</v>
      </c>
      <c r="I194" s="3">
        <f t="shared" si="130"/>
        <v>4.681554200352879E-4</v>
      </c>
      <c r="J194" s="3">
        <f t="shared" si="130"/>
        <v>4.681554200352879E-4</v>
      </c>
      <c r="K194" s="3">
        <f t="shared" si="130"/>
        <v>4.681554200352879E-4</v>
      </c>
      <c r="L194" s="3">
        <f t="shared" si="130"/>
        <v>4.681554200352879E-4</v>
      </c>
      <c r="M194" s="3">
        <f t="shared" si="130"/>
        <v>4.681554200352879E-4</v>
      </c>
      <c r="N194" s="3">
        <f t="shared" si="130"/>
        <v>4.681554200352879E-4</v>
      </c>
      <c r="O194" s="3">
        <f t="shared" si="130"/>
        <v>4.681554200352879E-4</v>
      </c>
      <c r="P194" s="3">
        <f t="shared" si="130"/>
        <v>4.681554200352879E-4</v>
      </c>
      <c r="Q194" s="3">
        <f t="shared" si="130"/>
        <v>4.681554200352879E-4</v>
      </c>
      <c r="R194" s="3">
        <f t="shared" si="130"/>
        <v>4.681554200352879E-4</v>
      </c>
      <c r="S194" s="3">
        <f t="shared" si="130"/>
        <v>4.681554200352879E-4</v>
      </c>
      <c r="T194" s="3">
        <f t="shared" si="130"/>
        <v>4.681554200352879E-4</v>
      </c>
      <c r="U194" s="3">
        <f t="shared" si="130"/>
        <v>4.681554200352879E-4</v>
      </c>
      <c r="V194" s="3">
        <f t="shared" si="130"/>
        <v>4.681554200352879E-4</v>
      </c>
      <c r="W194" s="3">
        <f t="shared" si="130"/>
        <v>4.681554200352879E-4</v>
      </c>
      <c r="X194" s="3">
        <f t="shared" si="130"/>
        <v>4.681554200352879E-4</v>
      </c>
      <c r="Y194" s="3">
        <f t="shared" si="130"/>
        <v>4.681554200352879E-4</v>
      </c>
      <c r="Z194" s="3">
        <f t="shared" si="130"/>
        <v>4.6815542003528785E-4</v>
      </c>
      <c r="AA194" s="3">
        <f t="shared" si="130"/>
        <v>4.6815542003528731E-4</v>
      </c>
      <c r="AB194" s="3">
        <f t="shared" si="130"/>
        <v>4.6815542003528237E-4</v>
      </c>
      <c r="AC194" s="3">
        <f t="shared" si="130"/>
        <v>4.6815542003523272E-4</v>
      </c>
      <c r="AD194" s="3">
        <f t="shared" si="130"/>
        <v>4.6815542003473599E-4</v>
      </c>
      <c r="AE194" s="3">
        <f t="shared" si="130"/>
        <v>4.6815542002976861E-4</v>
      </c>
      <c r="AF194" s="3">
        <f t="shared" si="130"/>
        <v>4.6815541998009464E-4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8.6950344882608704E-5</v>
      </c>
      <c r="C196" s="3">
        <f t="shared" si="132"/>
        <v>8.6950344882608704E-5</v>
      </c>
      <c r="D196" s="3">
        <f t="shared" si="132"/>
        <v>8.6950344882608704E-5</v>
      </c>
      <c r="E196" s="3">
        <f t="shared" si="132"/>
        <v>8.6950344882608704E-5</v>
      </c>
      <c r="F196" s="3">
        <f t="shared" si="132"/>
        <v>8.6950344882608704E-5</v>
      </c>
      <c r="G196" s="3">
        <f t="shared" si="132"/>
        <v>8.6950344882608704E-5</v>
      </c>
      <c r="H196" s="3">
        <f t="shared" si="132"/>
        <v>8.6950344882608704E-5</v>
      </c>
      <c r="I196" s="3">
        <f t="shared" si="132"/>
        <v>8.6950344882608704E-5</v>
      </c>
      <c r="J196" s="3">
        <f t="shared" si="132"/>
        <v>8.6950344882608704E-5</v>
      </c>
      <c r="K196" s="3">
        <f t="shared" si="132"/>
        <v>8.6950344882608704E-5</v>
      </c>
      <c r="L196" s="3">
        <f t="shared" si="132"/>
        <v>8.6950344882608704E-5</v>
      </c>
      <c r="M196" s="3">
        <f t="shared" si="132"/>
        <v>8.6950344882608704E-5</v>
      </c>
      <c r="N196" s="3">
        <f t="shared" si="132"/>
        <v>8.6950344882608704E-5</v>
      </c>
      <c r="O196" s="3">
        <f t="shared" si="132"/>
        <v>8.6950344882608704E-5</v>
      </c>
      <c r="P196" s="3">
        <f t="shared" si="132"/>
        <v>8.6950344882608704E-5</v>
      </c>
      <c r="Q196" s="3">
        <f t="shared" si="132"/>
        <v>8.6950344882608704E-5</v>
      </c>
      <c r="R196" s="3">
        <f t="shared" si="132"/>
        <v>8.6950344882608704E-5</v>
      </c>
      <c r="S196" s="3">
        <f t="shared" si="132"/>
        <v>8.6950344882608704E-5</v>
      </c>
      <c r="T196" s="3">
        <f t="shared" si="132"/>
        <v>8.6950344882608704E-5</v>
      </c>
      <c r="U196" s="3">
        <f t="shared" si="132"/>
        <v>8.6950344882608704E-5</v>
      </c>
      <c r="V196" s="3">
        <f t="shared" si="132"/>
        <v>8.6950344882608704E-5</v>
      </c>
      <c r="W196" s="3">
        <f t="shared" si="132"/>
        <v>8.6950344882608704E-5</v>
      </c>
      <c r="X196" s="3">
        <f t="shared" si="132"/>
        <v>8.6950344882608704E-5</v>
      </c>
      <c r="Y196" s="3">
        <f t="shared" si="132"/>
        <v>8.6950344882608704E-5</v>
      </c>
      <c r="Z196" s="3">
        <f t="shared" si="132"/>
        <v>8.6950344882608704E-5</v>
      </c>
      <c r="AA196" s="3">
        <f t="shared" si="132"/>
        <v>8.6950344882608704E-5</v>
      </c>
      <c r="AB196" s="3">
        <f t="shared" si="132"/>
        <v>8.6950344882608691E-5</v>
      </c>
      <c r="AC196" s="3">
        <f t="shared" si="132"/>
        <v>8.6950344882608596E-5</v>
      </c>
      <c r="AD196" s="3">
        <f t="shared" si="132"/>
        <v>8.6950344882607674E-5</v>
      </c>
      <c r="AE196" s="3">
        <f t="shared" si="132"/>
        <v>8.6950344882598458E-5</v>
      </c>
      <c r="AF196" s="3">
        <f t="shared" si="132"/>
        <v>8.6950344882506193E-5</v>
      </c>
      <c r="AG196" s="3"/>
      <c r="AH196" s="3"/>
    </row>
    <row r="197" spans="1:34" x14ac:dyDescent="0.25">
      <c r="B197" s="3">
        <f t="shared" ref="B197:AF197" si="133">$C44*EXP(-B$168/$A44/EXP(-$C$126))</f>
        <v>1.5301974797879704E-4</v>
      </c>
      <c r="C197" s="3">
        <f t="shared" si="133"/>
        <v>1.5301974797879704E-4</v>
      </c>
      <c r="D197" s="3">
        <f t="shared" si="133"/>
        <v>1.5301974797879704E-4</v>
      </c>
      <c r="E197" s="3">
        <f t="shared" si="133"/>
        <v>1.5301974797879704E-4</v>
      </c>
      <c r="F197" s="3">
        <f t="shared" si="133"/>
        <v>1.5301974797879704E-4</v>
      </c>
      <c r="G197" s="3">
        <f t="shared" si="133"/>
        <v>1.5301974797879704E-4</v>
      </c>
      <c r="H197" s="3">
        <f t="shared" si="133"/>
        <v>1.5301974797879704E-4</v>
      </c>
      <c r="I197" s="3">
        <f t="shared" si="133"/>
        <v>1.5301974797879704E-4</v>
      </c>
      <c r="J197" s="3">
        <f t="shared" si="133"/>
        <v>1.5301974797879704E-4</v>
      </c>
      <c r="K197" s="3">
        <f t="shared" si="133"/>
        <v>1.5301974797879704E-4</v>
      </c>
      <c r="L197" s="3">
        <f t="shared" si="133"/>
        <v>1.5301974797879704E-4</v>
      </c>
      <c r="M197" s="3">
        <f t="shared" si="133"/>
        <v>1.5301974797879704E-4</v>
      </c>
      <c r="N197" s="3">
        <f t="shared" si="133"/>
        <v>1.5301974797879704E-4</v>
      </c>
      <c r="O197" s="3">
        <f t="shared" si="133"/>
        <v>1.5301974797879704E-4</v>
      </c>
      <c r="P197" s="3">
        <f t="shared" si="133"/>
        <v>1.5301974797879704E-4</v>
      </c>
      <c r="Q197" s="3">
        <f t="shared" si="133"/>
        <v>1.5301974797879704E-4</v>
      </c>
      <c r="R197" s="3">
        <f t="shared" si="133"/>
        <v>1.5301974797879704E-4</v>
      </c>
      <c r="S197" s="3">
        <f t="shared" si="133"/>
        <v>1.5301974797879704E-4</v>
      </c>
      <c r="T197" s="3">
        <f t="shared" si="133"/>
        <v>1.5301974797879704E-4</v>
      </c>
      <c r="U197" s="3">
        <f t="shared" si="133"/>
        <v>1.5301974797879704E-4</v>
      </c>
      <c r="V197" s="3">
        <f t="shared" si="133"/>
        <v>1.5301974797879704E-4</v>
      </c>
      <c r="W197" s="3">
        <f t="shared" si="133"/>
        <v>1.5301974797879704E-4</v>
      </c>
      <c r="X197" s="3">
        <f t="shared" si="133"/>
        <v>1.5301974797879704E-4</v>
      </c>
      <c r="Y197" s="3">
        <f t="shared" si="133"/>
        <v>1.5301974797879704E-4</v>
      </c>
      <c r="Z197" s="3">
        <f t="shared" si="133"/>
        <v>1.5301974797879704E-4</v>
      </c>
      <c r="AA197" s="3">
        <f t="shared" si="133"/>
        <v>1.5301974797879704E-4</v>
      </c>
      <c r="AB197" s="3">
        <f t="shared" si="133"/>
        <v>1.5301974797879704E-4</v>
      </c>
      <c r="AC197" s="3">
        <f t="shared" si="133"/>
        <v>1.5301974797879702E-4</v>
      </c>
      <c r="AD197" s="3">
        <f t="shared" si="133"/>
        <v>1.5301974797879685E-4</v>
      </c>
      <c r="AE197" s="3">
        <f t="shared" si="133"/>
        <v>1.5301974797879525E-4</v>
      </c>
      <c r="AF197" s="3">
        <f t="shared" si="133"/>
        <v>1.5301974797877899E-4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4.9447313975811648E-5</v>
      </c>
      <c r="C199" s="3">
        <f t="shared" si="135"/>
        <v>4.9447313975811648E-5</v>
      </c>
      <c r="D199" s="3">
        <f t="shared" si="135"/>
        <v>4.9447313975811648E-5</v>
      </c>
      <c r="E199" s="3">
        <f t="shared" si="135"/>
        <v>4.9447313975811648E-5</v>
      </c>
      <c r="F199" s="3">
        <f t="shared" si="135"/>
        <v>4.9447313975811648E-5</v>
      </c>
      <c r="G199" s="3">
        <f t="shared" si="135"/>
        <v>4.9447313975811648E-5</v>
      </c>
      <c r="H199" s="3">
        <f t="shared" si="135"/>
        <v>4.9447313975811648E-5</v>
      </c>
      <c r="I199" s="3">
        <f t="shared" si="135"/>
        <v>4.9447313975811648E-5</v>
      </c>
      <c r="J199" s="3">
        <f t="shared" si="135"/>
        <v>4.9447313975811648E-5</v>
      </c>
      <c r="K199" s="3">
        <f t="shared" si="135"/>
        <v>4.9447313975811648E-5</v>
      </c>
      <c r="L199" s="3">
        <f t="shared" si="135"/>
        <v>4.9447313975811648E-5</v>
      </c>
      <c r="M199" s="3">
        <f t="shared" si="135"/>
        <v>4.9447313975811648E-5</v>
      </c>
      <c r="N199" s="3">
        <f t="shared" si="135"/>
        <v>4.9447313975811648E-5</v>
      </c>
      <c r="O199" s="3">
        <f t="shared" si="135"/>
        <v>4.9447313975811648E-5</v>
      </c>
      <c r="P199" s="3">
        <f t="shared" si="135"/>
        <v>4.9447313975811648E-5</v>
      </c>
      <c r="Q199" s="3">
        <f t="shared" si="135"/>
        <v>4.9447313975811648E-5</v>
      </c>
      <c r="R199" s="3">
        <f t="shared" si="135"/>
        <v>4.9447313975811648E-5</v>
      </c>
      <c r="S199" s="3">
        <f t="shared" si="135"/>
        <v>4.9447313975811648E-5</v>
      </c>
      <c r="T199" s="3">
        <f t="shared" si="135"/>
        <v>4.9447313975811648E-5</v>
      </c>
      <c r="U199" s="3">
        <f t="shared" si="135"/>
        <v>4.9447313975811648E-5</v>
      </c>
      <c r="V199" s="3">
        <f t="shared" si="135"/>
        <v>4.9447313975811648E-5</v>
      </c>
      <c r="W199" s="3">
        <f t="shared" si="135"/>
        <v>4.9447313975811648E-5</v>
      </c>
      <c r="X199" s="3">
        <f t="shared" si="135"/>
        <v>4.9447313975811648E-5</v>
      </c>
      <c r="Y199" s="3">
        <f t="shared" si="135"/>
        <v>4.9447313975811648E-5</v>
      </c>
      <c r="Z199" s="3">
        <f t="shared" si="135"/>
        <v>4.9447313975811648E-5</v>
      </c>
      <c r="AA199" s="3">
        <f t="shared" si="135"/>
        <v>4.9447313975811648E-5</v>
      </c>
      <c r="AB199" s="3">
        <f t="shared" si="135"/>
        <v>4.9447313975811648E-5</v>
      </c>
      <c r="AC199" s="3">
        <f t="shared" si="135"/>
        <v>4.9447313975811648E-5</v>
      </c>
      <c r="AD199" s="3">
        <f t="shared" si="135"/>
        <v>4.9447313975811648E-5</v>
      </c>
      <c r="AE199" s="3">
        <f t="shared" si="135"/>
        <v>4.9447313975811641E-5</v>
      </c>
      <c r="AF199" s="3">
        <f t="shared" si="135"/>
        <v>4.9447313975811587E-5</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6.9977936619533359E-4</v>
      </c>
      <c r="C201" s="3">
        <f t="shared" si="137"/>
        <v>6.9977936619533359E-4</v>
      </c>
      <c r="D201" s="3">
        <f t="shared" si="137"/>
        <v>6.9977936619533359E-4</v>
      </c>
      <c r="E201" s="3">
        <f t="shared" si="137"/>
        <v>6.9977936619533359E-4</v>
      </c>
      <c r="F201" s="3">
        <f t="shared" si="137"/>
        <v>6.9977936619533359E-4</v>
      </c>
      <c r="G201" s="3">
        <f t="shared" si="137"/>
        <v>6.9977936619533359E-4</v>
      </c>
      <c r="H201" s="3">
        <f t="shared" si="137"/>
        <v>6.9977936619533359E-4</v>
      </c>
      <c r="I201" s="3">
        <f t="shared" si="137"/>
        <v>6.9977936619533359E-4</v>
      </c>
      <c r="J201" s="3">
        <f t="shared" si="137"/>
        <v>6.9977936619533359E-4</v>
      </c>
      <c r="K201" s="3">
        <f t="shared" si="137"/>
        <v>6.9977936619533359E-4</v>
      </c>
      <c r="L201" s="3">
        <f t="shared" si="137"/>
        <v>6.9977936619533359E-4</v>
      </c>
      <c r="M201" s="3">
        <f t="shared" si="137"/>
        <v>6.9977936619533359E-4</v>
      </c>
      <c r="N201" s="3">
        <f t="shared" si="137"/>
        <v>6.9977936619533359E-4</v>
      </c>
      <c r="O201" s="3">
        <f t="shared" si="137"/>
        <v>6.9977936619533359E-4</v>
      </c>
      <c r="P201" s="3">
        <f t="shared" si="137"/>
        <v>6.9977936619533359E-4</v>
      </c>
      <c r="Q201" s="3">
        <f t="shared" si="137"/>
        <v>6.9977936619533359E-4</v>
      </c>
      <c r="R201" s="3">
        <f t="shared" si="137"/>
        <v>6.9977936619533359E-4</v>
      </c>
      <c r="S201" s="3">
        <f t="shared" si="137"/>
        <v>6.9977936619533359E-4</v>
      </c>
      <c r="T201" s="3">
        <f t="shared" si="137"/>
        <v>6.9977936619533359E-4</v>
      </c>
      <c r="U201" s="3">
        <f t="shared" si="137"/>
        <v>6.9977936619533359E-4</v>
      </c>
      <c r="V201" s="3">
        <f t="shared" si="137"/>
        <v>6.9977936619533359E-4</v>
      </c>
      <c r="W201" s="3">
        <f t="shared" si="137"/>
        <v>6.9977936619533359E-4</v>
      </c>
      <c r="X201" s="3">
        <f t="shared" si="137"/>
        <v>6.9977936619533359E-4</v>
      </c>
      <c r="Y201" s="3">
        <f t="shared" si="137"/>
        <v>6.9977936619533359E-4</v>
      </c>
      <c r="Z201" s="3">
        <f t="shared" si="137"/>
        <v>6.9977936619533359E-4</v>
      </c>
      <c r="AA201" s="3">
        <f t="shared" si="137"/>
        <v>6.9977936619533359E-4</v>
      </c>
      <c r="AB201" s="3">
        <f t="shared" si="137"/>
        <v>6.9977936619533359E-4</v>
      </c>
      <c r="AC201" s="3">
        <f t="shared" si="137"/>
        <v>6.9977936619533359E-4</v>
      </c>
      <c r="AD201" s="3">
        <f t="shared" si="137"/>
        <v>6.9977936619533359E-4</v>
      </c>
      <c r="AE201" s="3">
        <f t="shared" si="137"/>
        <v>6.9977936619533359E-4</v>
      </c>
      <c r="AF201" s="3">
        <f t="shared" si="137"/>
        <v>6.9977936619533359E-4</v>
      </c>
      <c r="AG201" s="3"/>
      <c r="AH201" s="3"/>
    </row>
    <row r="202" spans="1:34" x14ac:dyDescent="0.25">
      <c r="A202" s="79">
        <f>AVERAGE(B202:AF202)</f>
        <v>0.16499566412355013</v>
      </c>
      <c r="B202" s="80">
        <f>IF($A$64&lt;=B168,IF($B$64&gt;=B168,ABS((B170-B169)/B169),0),0)</f>
        <v>1.7892379528166965E-2</v>
      </c>
      <c r="C202" s="80">
        <f t="shared" ref="C202:AF202" si="138">IF($A$64&lt;=C168,IF($B$64&gt;=C168,ABS((C170-C169)/C169),0),0)</f>
        <v>8.1190746737193009E-2</v>
      </c>
      <c r="D202" s="80">
        <f t="shared" si="138"/>
        <v>0.11468138886234192</v>
      </c>
      <c r="E202" s="80">
        <f t="shared" si="138"/>
        <v>0.1146809911546661</v>
      </c>
      <c r="F202" s="80">
        <f t="shared" si="138"/>
        <v>0.11468064050643173</v>
      </c>
      <c r="G202" s="80">
        <f t="shared" si="138"/>
        <v>0.11468052859743687</v>
      </c>
      <c r="H202" s="80">
        <f t="shared" si="138"/>
        <v>0.11468049875520268</v>
      </c>
      <c r="I202" s="80">
        <f t="shared" si="138"/>
        <v>0.11468048383568785</v>
      </c>
      <c r="J202" s="80">
        <f t="shared" si="138"/>
        <v>0.11468048385255392</v>
      </c>
      <c r="K202" s="80">
        <f t="shared" si="138"/>
        <v>0.11468046910001252</v>
      </c>
      <c r="L202" s="80">
        <f t="shared" si="138"/>
        <v>0.11468044840481245</v>
      </c>
      <c r="M202" s="80">
        <f t="shared" si="138"/>
        <v>0.11468014446500852</v>
      </c>
      <c r="N202" s="80">
        <f t="shared" si="138"/>
        <v>0.11467713490979412</v>
      </c>
      <c r="O202" s="80">
        <f t="shared" si="138"/>
        <v>0.11464710654546072</v>
      </c>
      <c r="P202" s="80">
        <f t="shared" si="138"/>
        <v>0.1143493338505706</v>
      </c>
      <c r="Q202" s="80">
        <f t="shared" si="138"/>
        <v>0.11160833423969282</v>
      </c>
      <c r="R202" s="80">
        <f t="shared" si="138"/>
        <v>9.8408069035826939E-2</v>
      </c>
      <c r="S202" s="80">
        <f t="shared" si="138"/>
        <v>9.4233892971750208E-2</v>
      </c>
      <c r="T202" s="80">
        <f t="shared" si="138"/>
        <v>0.11468002821315648</v>
      </c>
      <c r="U202" s="80">
        <f t="shared" si="138"/>
        <v>7.6012714717517707E-2</v>
      </c>
      <c r="V202" s="80">
        <f t="shared" si="138"/>
        <v>2.4527424986390791E-2</v>
      </c>
      <c r="W202" s="80">
        <f t="shared" si="138"/>
        <v>0.14838458985720041</v>
      </c>
      <c r="X202" s="80">
        <f t="shared" si="138"/>
        <v>0.25210155878158358</v>
      </c>
      <c r="Y202" s="80">
        <f t="shared" si="138"/>
        <v>0.30825399828395694</v>
      </c>
      <c r="Z202" s="80">
        <f t="shared" si="138"/>
        <v>0.29360192781789729</v>
      </c>
      <c r="AA202" s="80">
        <f t="shared" si="138"/>
        <v>0.20737257888638716</v>
      </c>
      <c r="AB202" s="80">
        <f t="shared" si="138"/>
        <v>4.3785362691900316E-2</v>
      </c>
      <c r="AC202" s="80">
        <f t="shared" si="138"/>
        <v>0.19337046918991999</v>
      </c>
      <c r="AD202" s="80">
        <f t="shared" si="138"/>
        <v>0.40595070966097235</v>
      </c>
      <c r="AE202" s="80">
        <f t="shared" si="138"/>
        <v>0.54980717986946381</v>
      </c>
      <c r="AF202" s="80">
        <f t="shared" si="138"/>
        <v>0.60320396952109689</v>
      </c>
    </row>
    <row r="203" spans="1:34" x14ac:dyDescent="0.25">
      <c r="B203" s="21">
        <f>(B170-B169)^2</f>
        <v>17405.934536657809</v>
      </c>
      <c r="C203" s="21">
        <f t="shared" ref="C203:AF203" si="139">(C170-C169)^2</f>
        <v>358412.41222978465</v>
      </c>
      <c r="D203" s="21">
        <f t="shared" si="139"/>
        <v>715074.37786765385</v>
      </c>
      <c r="E203" s="21">
        <f t="shared" si="139"/>
        <v>715067.44171723106</v>
      </c>
      <c r="F203" s="21">
        <f t="shared" si="139"/>
        <v>715062.50251841825</v>
      </c>
      <c r="G203" s="21">
        <f t="shared" si="139"/>
        <v>715060.9261829867</v>
      </c>
      <c r="H203" s="21">
        <f t="shared" si="139"/>
        <v>715060.5058292835</v>
      </c>
      <c r="I203" s="21">
        <f t="shared" si="139"/>
        <v>715060.29567246966</v>
      </c>
      <c r="J203" s="21">
        <f t="shared" si="139"/>
        <v>715060.29588279757</v>
      </c>
      <c r="K203" s="21">
        <f t="shared" si="139"/>
        <v>715060.08780825988</v>
      </c>
      <c r="L203" s="21">
        <f t="shared" si="139"/>
        <v>715059.79357434541</v>
      </c>
      <c r="M203" s="21">
        <f t="shared" si="139"/>
        <v>715055.48508841719</v>
      </c>
      <c r="N203" s="21">
        <f t="shared" si="139"/>
        <v>715012.82145837822</v>
      </c>
      <c r="O203" s="21">
        <f t="shared" si="139"/>
        <v>714587.21794526966</v>
      </c>
      <c r="P203" s="21">
        <f t="shared" si="139"/>
        <v>710375.04117418779</v>
      </c>
      <c r="Q203" s="21">
        <f t="shared" si="139"/>
        <v>672301.98686443805</v>
      </c>
      <c r="R203" s="21">
        <f t="shared" si="139"/>
        <v>505581.11056960997</v>
      </c>
      <c r="S203" s="21">
        <f t="shared" si="139"/>
        <v>444440.17923829379</v>
      </c>
      <c r="T203" s="21">
        <f t="shared" si="139"/>
        <v>614830.88948391005</v>
      </c>
      <c r="U203" s="21">
        <f t="shared" si="139"/>
        <v>228574.85857329299</v>
      </c>
      <c r="V203" s="21">
        <f t="shared" si="139"/>
        <v>17497.671130786272</v>
      </c>
      <c r="W203" s="21">
        <f t="shared" si="139"/>
        <v>457577.65469121095</v>
      </c>
      <c r="X203" s="21">
        <f t="shared" si="139"/>
        <v>980372.66287434811</v>
      </c>
      <c r="Y203" s="21">
        <f t="shared" si="139"/>
        <v>1144678.541150447</v>
      </c>
      <c r="Z203" s="21">
        <f t="shared" si="139"/>
        <v>838652.09640250111</v>
      </c>
      <c r="AA203" s="21">
        <f t="shared" si="139"/>
        <v>341849.93724530766</v>
      </c>
      <c r="AB203" s="21">
        <f t="shared" si="139"/>
        <v>12231.948256392434</v>
      </c>
      <c r="AC203" s="21">
        <f t="shared" si="139"/>
        <v>178137.29163136109</v>
      </c>
      <c r="AD203" s="21">
        <f t="shared" si="139"/>
        <v>525606.57275212696</v>
      </c>
      <c r="AE203" s="21">
        <f t="shared" si="139"/>
        <v>540932.62702086626</v>
      </c>
      <c r="AF203" s="21">
        <f t="shared" si="139"/>
        <v>271943.81562588766</v>
      </c>
      <c r="AG203" s="3"/>
      <c r="AH203" s="3"/>
    </row>
    <row r="204" spans="1:34" x14ac:dyDescent="0.25">
      <c r="A204" s="71">
        <f>SUM(B204:AF204)</f>
        <v>17441624.982996922</v>
      </c>
      <c r="B204" s="60">
        <f>IF($A$64&lt;=B168,IF($B$64&gt;=B168,ABS(B203),0),0)</f>
        <v>17405.934536657809</v>
      </c>
      <c r="C204" s="60">
        <f t="shared" ref="C204" si="140">IF($A$64&lt;=C168,IF($B$64&gt;=C168,ABS(C203),0),0)</f>
        <v>358412.41222978465</v>
      </c>
      <c r="D204" s="60">
        <f t="shared" ref="D204" si="141">IF($A$64&lt;=D168,IF($B$64&gt;=D168,ABS(D203),0),0)</f>
        <v>715074.37786765385</v>
      </c>
      <c r="E204" s="60">
        <f t="shared" ref="E204" si="142">IF($A$64&lt;=E168,IF($B$64&gt;=E168,ABS(E203),0),0)</f>
        <v>715067.44171723106</v>
      </c>
      <c r="F204" s="60">
        <f t="shared" ref="F204" si="143">IF($A$64&lt;=F168,IF($B$64&gt;=F168,ABS(F203),0),0)</f>
        <v>715062.50251841825</v>
      </c>
      <c r="G204" s="60">
        <f t="shared" ref="G204" si="144">IF($A$64&lt;=G168,IF($B$64&gt;=G168,ABS(G203),0),0)</f>
        <v>715060.9261829867</v>
      </c>
      <c r="H204" s="60">
        <f t="shared" ref="H204" si="145">IF($A$64&lt;=H168,IF($B$64&gt;=H168,ABS(H203),0),0)</f>
        <v>715060.5058292835</v>
      </c>
      <c r="I204" s="60">
        <f t="shared" ref="I204" si="146">IF($A$64&lt;=I168,IF($B$64&gt;=I168,ABS(I203),0),0)</f>
        <v>715060.29567246966</v>
      </c>
      <c r="J204" s="60">
        <f t="shared" ref="J204" si="147">IF($A$64&lt;=J168,IF($B$64&gt;=J168,ABS(J203),0),0)</f>
        <v>715060.29588279757</v>
      </c>
      <c r="K204" s="60">
        <f t="shared" ref="K204" si="148">IF($A$64&lt;=K168,IF($B$64&gt;=K168,ABS(K203),0),0)</f>
        <v>715060.08780825988</v>
      </c>
      <c r="L204" s="60">
        <f t="shared" ref="L204" si="149">IF($A$64&lt;=L168,IF($B$64&gt;=L168,ABS(L203),0),0)</f>
        <v>715059.79357434541</v>
      </c>
      <c r="M204" s="60">
        <f t="shared" ref="M204" si="150">IF($A$64&lt;=M168,IF($B$64&gt;=M168,ABS(M203),0),0)</f>
        <v>715055.48508841719</v>
      </c>
      <c r="N204" s="60">
        <f t="shared" ref="N204" si="151">IF($A$64&lt;=N168,IF($B$64&gt;=N168,ABS(N203),0),0)</f>
        <v>715012.82145837822</v>
      </c>
      <c r="O204" s="60">
        <f t="shared" ref="O204" si="152">IF($A$64&lt;=O168,IF($B$64&gt;=O168,ABS(O203),0),0)</f>
        <v>714587.21794526966</v>
      </c>
      <c r="P204" s="60">
        <f t="shared" ref="P204" si="153">IF($A$64&lt;=P168,IF($B$64&gt;=P168,ABS(P203),0),0)</f>
        <v>710375.04117418779</v>
      </c>
      <c r="Q204" s="60">
        <f t="shared" ref="Q204" si="154">IF($A$64&lt;=Q168,IF($B$64&gt;=Q168,ABS(Q203),0),0)</f>
        <v>672301.98686443805</v>
      </c>
      <c r="R204" s="60">
        <f t="shared" ref="R204" si="155">IF($A$64&lt;=R168,IF($B$64&gt;=R168,ABS(R203),0),0)</f>
        <v>505581.11056960997</v>
      </c>
      <c r="S204" s="60">
        <f t="shared" ref="S204" si="156">IF($A$64&lt;=S168,IF($B$64&gt;=S168,ABS(S203),0),0)</f>
        <v>444440.17923829379</v>
      </c>
      <c r="T204" s="60">
        <f t="shared" ref="T204" si="157">IF($A$64&lt;=T168,IF($B$64&gt;=T168,ABS(T203),0),0)</f>
        <v>614830.88948391005</v>
      </c>
      <c r="U204" s="60">
        <f t="shared" ref="U204" si="158">IF($A$64&lt;=U168,IF($B$64&gt;=U168,ABS(U203),0),0)</f>
        <v>228574.85857329299</v>
      </c>
      <c r="V204" s="60">
        <f t="shared" ref="V204" si="159">IF($A$64&lt;=V168,IF($B$64&gt;=V168,ABS(V203),0),0)</f>
        <v>17497.671130786272</v>
      </c>
      <c r="W204" s="60">
        <f t="shared" ref="W204" si="160">IF($A$64&lt;=W168,IF($B$64&gt;=W168,ABS(W203),0),0)</f>
        <v>457577.65469121095</v>
      </c>
      <c r="X204" s="60">
        <f t="shared" ref="X204" si="161">IF($A$64&lt;=X168,IF($B$64&gt;=X168,ABS(X203),0),0)</f>
        <v>980372.66287434811</v>
      </c>
      <c r="Y204" s="60">
        <f t="shared" ref="Y204" si="162">IF($A$64&lt;=Y168,IF($B$64&gt;=Y168,ABS(Y203),0),0)</f>
        <v>1144678.541150447</v>
      </c>
      <c r="Z204" s="60">
        <f t="shared" ref="Z204" si="163">IF($A$64&lt;=Z168,IF($B$64&gt;=Z168,ABS(Z203),0),0)</f>
        <v>838652.09640250111</v>
      </c>
      <c r="AA204" s="60">
        <f t="shared" ref="AA204" si="164">IF($A$64&lt;=AA168,IF($B$64&gt;=AA168,ABS(AA203),0),0)</f>
        <v>341849.93724530766</v>
      </c>
      <c r="AB204" s="60">
        <f t="shared" ref="AB204" si="165">IF($A$64&lt;=AB168,IF($B$64&gt;=AB168,ABS(AB203),0),0)</f>
        <v>12231.948256392434</v>
      </c>
      <c r="AC204" s="60">
        <f t="shared" ref="AC204" si="166">IF($A$64&lt;=AC168,IF($B$64&gt;=AC168,ABS(AC203),0),0)</f>
        <v>178137.29163136109</v>
      </c>
      <c r="AD204" s="60">
        <f t="shared" ref="AD204" si="167">IF($A$64&lt;=AD168,IF($B$64&gt;=AD168,ABS(AD203),0),0)</f>
        <v>525606.57275212696</v>
      </c>
      <c r="AE204" s="60">
        <f t="shared" ref="AE204" si="168">IF($A$64&lt;=AE168,IF($B$64&gt;=AE168,ABS(AE203),0),0)</f>
        <v>540932.62702086626</v>
      </c>
      <c r="AF204" s="60">
        <f t="shared" ref="AF204" si="169">IF($A$64&lt;=AF168,IF($B$64&gt;=AF168,ABS(AF203),0),0)</f>
        <v>271943.81562588766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6528.3745578353137</v>
      </c>
      <c r="C209" s="27">
        <f t="shared" ref="C209:AF209" si="170">($C$17+SUM(C210:C240))*$B$51</f>
        <v>6528.025669946529</v>
      </c>
      <c r="D209" s="27">
        <f t="shared" si="170"/>
        <v>6528.0256699465208</v>
      </c>
      <c r="E209" s="27">
        <f t="shared" si="170"/>
        <v>6528.0256699464389</v>
      </c>
      <c r="F209" s="27">
        <f t="shared" si="170"/>
        <v>6528.0256699456222</v>
      </c>
      <c r="G209" s="27">
        <f t="shared" si="170"/>
        <v>6528.0256699374568</v>
      </c>
      <c r="H209" s="27">
        <f t="shared" si="170"/>
        <v>6528.0256698557951</v>
      </c>
      <c r="I209" s="27">
        <f t="shared" si="170"/>
        <v>6528.0256690391889</v>
      </c>
      <c r="J209" s="27">
        <f t="shared" si="170"/>
        <v>6528.0256608731197</v>
      </c>
      <c r="K209" s="27">
        <f t="shared" si="170"/>
        <v>6528.0255792124372</v>
      </c>
      <c r="L209" s="27">
        <f t="shared" si="170"/>
        <v>6528.0247626063801</v>
      </c>
      <c r="M209" s="27">
        <f t="shared" si="170"/>
        <v>6528.0165966222885</v>
      </c>
      <c r="N209" s="27">
        <f t="shared" si="170"/>
        <v>6527.9349444290829</v>
      </c>
      <c r="O209" s="27">
        <f t="shared" si="170"/>
        <v>6527.1191867651605</v>
      </c>
      <c r="P209" s="27">
        <f t="shared" si="170"/>
        <v>6519.0375365900427</v>
      </c>
      <c r="Q209" s="27">
        <f t="shared" si="170"/>
        <v>6445.3371989985817</v>
      </c>
      <c r="R209" s="27">
        <f t="shared" si="170"/>
        <v>6111.2956273733298</v>
      </c>
      <c r="S209" s="27">
        <f t="shared" si="170"/>
        <v>5857.6739927804219</v>
      </c>
      <c r="T209" s="27">
        <f t="shared" si="170"/>
        <v>5581.2601225928647</v>
      </c>
      <c r="U209" s="27">
        <f t="shared" si="170"/>
        <v>5293.4254888229416</v>
      </c>
      <c r="V209" s="27">
        <f t="shared" si="170"/>
        <v>4984.2780094887385</v>
      </c>
      <c r="W209" s="27">
        <f t="shared" si="170"/>
        <v>4623.6768583448666</v>
      </c>
      <c r="X209" s="27">
        <f t="shared" si="170"/>
        <v>4148.0157458836884</v>
      </c>
      <c r="Y209" s="27">
        <f t="shared" si="170"/>
        <v>3542.8460103753164</v>
      </c>
      <c r="Z209" s="27">
        <f t="shared" si="170"/>
        <v>2803.6598175728082</v>
      </c>
      <c r="AA209" s="27">
        <f t="shared" si="170"/>
        <v>1939.6526363420016</v>
      </c>
      <c r="AB209" s="27">
        <f t="shared" si="170"/>
        <v>1172.2287279273653</v>
      </c>
      <c r="AC209" s="27">
        <f t="shared" si="170"/>
        <v>672.54352195831939</v>
      </c>
      <c r="AD209" s="27">
        <f t="shared" si="170"/>
        <v>372.21051081398321</v>
      </c>
      <c r="AE209" s="27">
        <f t="shared" si="170"/>
        <v>251.95574564904635</v>
      </c>
      <c r="AF209" s="27">
        <f t="shared" si="170"/>
        <v>217.85313258997411</v>
      </c>
      <c r="AG209" s="27"/>
      <c r="AH209" s="27"/>
    </row>
    <row r="210" spans="1:34" x14ac:dyDescent="0.25">
      <c r="B210" s="3">
        <f t="shared" ref="B210:AF210" si="171">$C18*EXP(-B$207/$A18/EXP(-$D$126))</f>
        <v>4.7590875371365201E-5</v>
      </c>
      <c r="C210" s="3">
        <f t="shared" si="171"/>
        <v>2.6270328688015161E-35</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5.9305618641404503E-2</v>
      </c>
      <c r="C211" s="3">
        <f t="shared" si="172"/>
        <v>5.9305618641404399E-2</v>
      </c>
      <c r="D211" s="3">
        <f t="shared" si="172"/>
        <v>5.9305618641403338E-2</v>
      </c>
      <c r="E211" s="3">
        <f t="shared" si="172"/>
        <v>5.9305618641392756E-2</v>
      </c>
      <c r="F211" s="3">
        <f t="shared" si="172"/>
        <v>5.9305618641286917E-2</v>
      </c>
      <c r="G211" s="3">
        <f t="shared" si="172"/>
        <v>5.9305618640228507E-2</v>
      </c>
      <c r="H211" s="3">
        <f t="shared" si="172"/>
        <v>5.930561862964439E-2</v>
      </c>
      <c r="I211" s="3">
        <f t="shared" si="172"/>
        <v>5.9305618523803255E-2</v>
      </c>
      <c r="J211" s="3">
        <f t="shared" si="172"/>
        <v>5.9305617465391904E-2</v>
      </c>
      <c r="K211" s="3">
        <f t="shared" si="172"/>
        <v>5.9305606881279435E-2</v>
      </c>
      <c r="L211" s="3">
        <f t="shared" si="172"/>
        <v>5.9305501040258612E-2</v>
      </c>
      <c r="M211" s="3">
        <f t="shared" si="172"/>
        <v>5.9304442640439381E-2</v>
      </c>
      <c r="N211" s="3">
        <f t="shared" si="172"/>
        <v>5.9293859681075867E-2</v>
      </c>
      <c r="O211" s="3">
        <f t="shared" si="172"/>
        <v>5.9188133901754446E-2</v>
      </c>
      <c r="P211" s="3">
        <f t="shared" si="172"/>
        <v>5.8141189314330544E-2</v>
      </c>
      <c r="Q211" s="3">
        <f t="shared" si="172"/>
        <v>4.8638094003417981E-2</v>
      </c>
      <c r="R211" s="3">
        <f t="shared" si="172"/>
        <v>8.1639984289645154E-3</v>
      </c>
      <c r="S211" s="3">
        <f t="shared" si="172"/>
        <v>1.4493275895782677E-10</v>
      </c>
      <c r="T211" s="3">
        <f t="shared" si="172"/>
        <v>4.5061228796987856E-88</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3.0349614864603257E-2</v>
      </c>
      <c r="C212" s="3">
        <f t="shared" si="173"/>
        <v>3.0349614864603251E-2</v>
      </c>
      <c r="D212" s="3">
        <f t="shared" si="173"/>
        <v>3.0349614864603202E-2</v>
      </c>
      <c r="E212" s="3">
        <f t="shared" si="173"/>
        <v>3.0349614864602716E-2</v>
      </c>
      <c r="F212" s="3">
        <f t="shared" si="173"/>
        <v>3.0349614864597828E-2</v>
      </c>
      <c r="G212" s="3">
        <f t="shared" si="173"/>
        <v>3.0349614864548968E-2</v>
      </c>
      <c r="H212" s="3">
        <f t="shared" si="173"/>
        <v>3.0349614864060362E-2</v>
      </c>
      <c r="I212" s="3">
        <f t="shared" si="173"/>
        <v>3.0349614859174309E-2</v>
      </c>
      <c r="J212" s="3">
        <f t="shared" si="173"/>
        <v>3.0349614810313747E-2</v>
      </c>
      <c r="K212" s="3">
        <f t="shared" si="173"/>
        <v>3.0349614321708164E-2</v>
      </c>
      <c r="L212" s="3">
        <f t="shared" si="173"/>
        <v>3.0349609435652781E-2</v>
      </c>
      <c r="M212" s="3">
        <f t="shared" si="173"/>
        <v>3.0349560575142202E-2</v>
      </c>
      <c r="N212" s="3">
        <f t="shared" si="173"/>
        <v>3.0349071974362801E-2</v>
      </c>
      <c r="O212" s="3">
        <f t="shared" si="173"/>
        <v>3.0344186399179802E-2</v>
      </c>
      <c r="P212" s="3">
        <f t="shared" si="173"/>
        <v>3.0295373882697475E-2</v>
      </c>
      <c r="Q212" s="3">
        <f t="shared" si="173"/>
        <v>2.9811546609095307E-2</v>
      </c>
      <c r="R212" s="3">
        <f t="shared" si="173"/>
        <v>2.5378527362126709E-2</v>
      </c>
      <c r="S212" s="3">
        <f t="shared" si="173"/>
        <v>5.073241294055307E-3</v>
      </c>
      <c r="T212" s="3">
        <f t="shared" si="173"/>
        <v>5.1698331773882436E-10</v>
      </c>
      <c r="U212" s="3">
        <f t="shared" si="173"/>
        <v>6.2429036833883325E-80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4.167726307399252E-2</v>
      </c>
      <c r="C213" s="3">
        <f t="shared" si="174"/>
        <v>4.167726307399252E-2</v>
      </c>
      <c r="D213" s="3">
        <f t="shared" si="174"/>
        <v>4.1677263073992513E-2</v>
      </c>
      <c r="E213" s="3">
        <f t="shared" si="174"/>
        <v>4.167726307399245E-2</v>
      </c>
      <c r="F213" s="3">
        <f t="shared" si="174"/>
        <v>4.1677263073991846E-2</v>
      </c>
      <c r="G213" s="3">
        <f t="shared" si="174"/>
        <v>4.1677263073985796E-2</v>
      </c>
      <c r="H213" s="3">
        <f t="shared" si="174"/>
        <v>4.1677263073925268E-2</v>
      </c>
      <c r="I213" s="3">
        <f t="shared" si="174"/>
        <v>4.1677263073319995E-2</v>
      </c>
      <c r="J213" s="3">
        <f t="shared" si="174"/>
        <v>4.1677263067267267E-2</v>
      </c>
      <c r="K213" s="3">
        <f t="shared" si="174"/>
        <v>4.167726300674001E-2</v>
      </c>
      <c r="L213" s="3">
        <f t="shared" si="174"/>
        <v>4.1677262401467394E-2</v>
      </c>
      <c r="M213" s="3">
        <f t="shared" si="174"/>
        <v>4.1677256348741767E-2</v>
      </c>
      <c r="N213" s="3">
        <f t="shared" si="174"/>
        <v>4.1677195821533841E-2</v>
      </c>
      <c r="O213" s="3">
        <f t="shared" si="174"/>
        <v>4.1676590554289177E-2</v>
      </c>
      <c r="P213" s="3">
        <f t="shared" si="174"/>
        <v>4.1670538365279272E-2</v>
      </c>
      <c r="Q213" s="3">
        <f t="shared" si="174"/>
        <v>4.1610064792883553E-2</v>
      </c>
      <c r="R213" s="3">
        <f t="shared" si="174"/>
        <v>4.1010134976515178E-2</v>
      </c>
      <c r="S213" s="3">
        <f t="shared" si="174"/>
        <v>3.54665761601069E-2</v>
      </c>
      <c r="T213" s="3">
        <f t="shared" si="174"/>
        <v>8.3004173186600749E-3</v>
      </c>
      <c r="U213" s="3">
        <f t="shared" si="174"/>
        <v>4.0917261239430347E-9</v>
      </c>
      <c r="V213" s="3">
        <f t="shared" si="174"/>
        <v>3.4671517251747715E-72</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4.036501144186317E-2</v>
      </c>
      <c r="C214" s="3">
        <f t="shared" si="175"/>
        <v>4.036501144186317E-2</v>
      </c>
      <c r="D214" s="3">
        <f t="shared" si="175"/>
        <v>4.036501144186317E-2</v>
      </c>
      <c r="E214" s="3">
        <f t="shared" si="175"/>
        <v>4.0365011441863163E-2</v>
      </c>
      <c r="F214" s="3">
        <f t="shared" si="175"/>
        <v>4.0365011441863115E-2</v>
      </c>
      <c r="G214" s="3">
        <f t="shared" si="175"/>
        <v>4.036501144186258E-2</v>
      </c>
      <c r="H214" s="3">
        <f t="shared" si="175"/>
        <v>4.0365011441857293E-2</v>
      </c>
      <c r="I214" s="3">
        <f t="shared" si="175"/>
        <v>4.0365011441804412E-2</v>
      </c>
      <c r="J214" s="3">
        <f t="shared" si="175"/>
        <v>4.0365011441275599E-2</v>
      </c>
      <c r="K214" s="3">
        <f t="shared" si="175"/>
        <v>4.0365011435987454E-2</v>
      </c>
      <c r="L214" s="3">
        <f t="shared" si="175"/>
        <v>4.0365011383105984E-2</v>
      </c>
      <c r="M214" s="3">
        <f t="shared" si="175"/>
        <v>4.0365010854291304E-2</v>
      </c>
      <c r="N214" s="3">
        <f t="shared" si="175"/>
        <v>4.036500556614489E-2</v>
      </c>
      <c r="O214" s="3">
        <f t="shared" si="175"/>
        <v>4.0364952684718867E-2</v>
      </c>
      <c r="P214" s="3">
        <f t="shared" si="175"/>
        <v>4.0364423874268973E-2</v>
      </c>
      <c r="Q214" s="3">
        <f t="shared" si="175"/>
        <v>4.0359136150784285E-2</v>
      </c>
      <c r="R214" s="3">
        <f t="shared" si="175"/>
        <v>4.0306296998901002E-2</v>
      </c>
      <c r="S214" s="3">
        <f t="shared" si="175"/>
        <v>3.9781695380974244E-2</v>
      </c>
      <c r="T214" s="3">
        <f t="shared" si="175"/>
        <v>3.4896924694816894E-2</v>
      </c>
      <c r="U214" s="3">
        <f t="shared" si="175"/>
        <v>9.4151196476733087E-3</v>
      </c>
      <c r="V214" s="3">
        <f t="shared" si="175"/>
        <v>1.9240338785065093E-8</v>
      </c>
      <c r="W214" s="3">
        <f t="shared" si="175"/>
        <v>2.4438887332135179E-65</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4.4176699157067116E-2</v>
      </c>
      <c r="C215" s="3">
        <f t="shared" si="176"/>
        <v>4.4176699157067116E-2</v>
      </c>
      <c r="D215" s="3">
        <f t="shared" si="176"/>
        <v>4.4176699157067116E-2</v>
      </c>
      <c r="E215" s="3">
        <f t="shared" si="176"/>
        <v>4.4176699157067116E-2</v>
      </c>
      <c r="F215" s="3">
        <f t="shared" si="176"/>
        <v>4.4176699157067109E-2</v>
      </c>
      <c r="G215" s="3">
        <f t="shared" si="176"/>
        <v>4.4176699157067061E-2</v>
      </c>
      <c r="H215" s="3">
        <f t="shared" si="176"/>
        <v>4.417669915706654E-2</v>
      </c>
      <c r="I215" s="3">
        <f t="shared" si="176"/>
        <v>4.4176699157061315E-2</v>
      </c>
      <c r="J215" s="3">
        <f t="shared" si="176"/>
        <v>4.4176699157009107E-2</v>
      </c>
      <c r="K215" s="3">
        <f t="shared" si="176"/>
        <v>4.4176699156487025E-2</v>
      </c>
      <c r="L215" s="3">
        <f t="shared" si="176"/>
        <v>4.4176699151266215E-2</v>
      </c>
      <c r="M215" s="3">
        <f t="shared" si="176"/>
        <v>4.4176699099058067E-2</v>
      </c>
      <c r="N215" s="3">
        <f t="shared" si="176"/>
        <v>4.4176698576976599E-2</v>
      </c>
      <c r="O215" s="3">
        <f t="shared" si="176"/>
        <v>4.4176693356162276E-2</v>
      </c>
      <c r="P215" s="3">
        <f t="shared" si="176"/>
        <v>4.4176641148052968E-2</v>
      </c>
      <c r="Q215" s="3">
        <f t="shared" si="176"/>
        <v>4.4176119070353383E-2</v>
      </c>
      <c r="R215" s="3">
        <f t="shared" si="176"/>
        <v>4.4170898632689574E-2</v>
      </c>
      <c r="S215" s="3">
        <f t="shared" si="176"/>
        <v>4.411872817442368E-2</v>
      </c>
      <c r="T215" s="3">
        <f t="shared" si="176"/>
        <v>4.3600400644365274E-2</v>
      </c>
      <c r="U215" s="3">
        <f t="shared" si="176"/>
        <v>3.8740519152552957E-2</v>
      </c>
      <c r="V215" s="3">
        <f t="shared" si="176"/>
        <v>1.1882696343482758E-2</v>
      </c>
      <c r="W215" s="3">
        <f t="shared" si="176"/>
        <v>8.7581146657524819E-8</v>
      </c>
      <c r="X215" s="3">
        <f t="shared" si="176"/>
        <v>4.1434958202773169E-59</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5.1093401565650405E-2</v>
      </c>
      <c r="C216" s="3">
        <f t="shared" si="177"/>
        <v>5.1093401565650405E-2</v>
      </c>
      <c r="D216" s="3">
        <f t="shared" si="177"/>
        <v>5.1093401565650405E-2</v>
      </c>
      <c r="E216" s="3">
        <f t="shared" si="177"/>
        <v>5.1093401565650405E-2</v>
      </c>
      <c r="F216" s="3">
        <f t="shared" si="177"/>
        <v>5.1093401565650405E-2</v>
      </c>
      <c r="G216" s="3">
        <f t="shared" si="177"/>
        <v>5.1093401565650398E-2</v>
      </c>
      <c r="H216" s="3">
        <f t="shared" si="177"/>
        <v>5.1093401565650343E-2</v>
      </c>
      <c r="I216" s="3">
        <f t="shared" si="177"/>
        <v>5.1093401565649801E-2</v>
      </c>
      <c r="J216" s="3">
        <f t="shared" si="177"/>
        <v>5.1093401565644354E-2</v>
      </c>
      <c r="K216" s="3">
        <f t="shared" si="177"/>
        <v>5.1093401565589884E-2</v>
      </c>
      <c r="L216" s="3">
        <f t="shared" si="177"/>
        <v>5.1093401565045181E-2</v>
      </c>
      <c r="M216" s="3">
        <f t="shared" si="177"/>
        <v>5.1093401559598198E-2</v>
      </c>
      <c r="N216" s="3">
        <f t="shared" si="177"/>
        <v>5.1093401505128318E-2</v>
      </c>
      <c r="O216" s="3">
        <f t="shared" si="177"/>
        <v>5.1093400960429511E-2</v>
      </c>
      <c r="P216" s="3">
        <f t="shared" si="177"/>
        <v>5.1093395513441789E-2</v>
      </c>
      <c r="Q216" s="3">
        <f t="shared" si="177"/>
        <v>5.1093341043596509E-2</v>
      </c>
      <c r="R216" s="3">
        <f t="shared" si="177"/>
        <v>5.1092796348337507E-2</v>
      </c>
      <c r="S216" s="3">
        <f t="shared" si="177"/>
        <v>5.1087349715115749E-2</v>
      </c>
      <c r="T216" s="3">
        <f t="shared" si="177"/>
        <v>5.1032915307125448E-2</v>
      </c>
      <c r="U216" s="3">
        <f t="shared" si="177"/>
        <v>5.0491751093233873E-2</v>
      </c>
      <c r="V216" s="3">
        <f t="shared" si="177"/>
        <v>4.5385902242103801E-2</v>
      </c>
      <c r="W216" s="3">
        <f t="shared" si="177"/>
        <v>1.5628826884609121E-2</v>
      </c>
      <c r="X216" s="3">
        <f t="shared" si="177"/>
        <v>3.6642108277657545E-7</v>
      </c>
      <c r="Y216" s="3">
        <f t="shared" si="177"/>
        <v>1.8387436432302153E-53</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7.3486409025988797E-2</v>
      </c>
      <c r="C217" s="3">
        <f t="shared" si="178"/>
        <v>7.3486409025988797E-2</v>
      </c>
      <c r="D217" s="3">
        <f t="shared" si="178"/>
        <v>7.3486409025988797E-2</v>
      </c>
      <c r="E217" s="3">
        <f t="shared" si="178"/>
        <v>7.3486409025988797E-2</v>
      </c>
      <c r="F217" s="3">
        <f t="shared" si="178"/>
        <v>7.3486409025988797E-2</v>
      </c>
      <c r="G217" s="3">
        <f t="shared" si="178"/>
        <v>7.3486409025988797E-2</v>
      </c>
      <c r="H217" s="3">
        <f t="shared" si="178"/>
        <v>7.3486409025988783E-2</v>
      </c>
      <c r="I217" s="3">
        <f t="shared" si="178"/>
        <v>7.3486409025988714E-2</v>
      </c>
      <c r="J217" s="3">
        <f t="shared" si="178"/>
        <v>7.348640902598802E-2</v>
      </c>
      <c r="K217" s="3">
        <f t="shared" si="178"/>
        <v>7.3486409025980942E-2</v>
      </c>
      <c r="L217" s="3">
        <f t="shared" si="178"/>
        <v>7.3486409025910276E-2</v>
      </c>
      <c r="M217" s="3">
        <f t="shared" si="178"/>
        <v>7.348640902520355E-2</v>
      </c>
      <c r="N217" s="3">
        <f t="shared" si="178"/>
        <v>7.3486409018136398E-2</v>
      </c>
      <c r="O217" s="3">
        <f t="shared" si="178"/>
        <v>7.3486408947464749E-2</v>
      </c>
      <c r="P217" s="3">
        <f t="shared" si="178"/>
        <v>7.3486408240748258E-2</v>
      </c>
      <c r="Q217" s="3">
        <f t="shared" si="178"/>
        <v>7.3486401173583779E-2</v>
      </c>
      <c r="R217" s="3">
        <f t="shared" si="178"/>
        <v>7.3486330501976421E-2</v>
      </c>
      <c r="S217" s="3">
        <f t="shared" si="178"/>
        <v>7.3485623789640853E-2</v>
      </c>
      <c r="T217" s="3">
        <f t="shared" si="178"/>
        <v>7.347855704007622E-2</v>
      </c>
      <c r="U217" s="3">
        <f t="shared" si="178"/>
        <v>7.3407926910241561E-2</v>
      </c>
      <c r="V217" s="3">
        <f t="shared" si="178"/>
        <v>7.270534893139681E-2</v>
      </c>
      <c r="W217" s="3">
        <f t="shared" si="178"/>
        <v>6.6038986430225155E-2</v>
      </c>
      <c r="X217" s="3">
        <f t="shared" si="178"/>
        <v>2.5242987894231E-2</v>
      </c>
      <c r="Y217" s="3">
        <f t="shared" si="178"/>
        <v>1.6809096038211409E-6</v>
      </c>
      <c r="Z217" s="3">
        <f t="shared" si="178"/>
        <v>2.8812460911970178E-48</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9.0828991010172527E-2</v>
      </c>
      <c r="C218" s="3">
        <f t="shared" si="179"/>
        <v>9.0828991010172527E-2</v>
      </c>
      <c r="D218" s="3">
        <f t="shared" si="179"/>
        <v>9.0828991010172527E-2</v>
      </c>
      <c r="E218" s="3">
        <f t="shared" si="179"/>
        <v>9.0828991010172527E-2</v>
      </c>
      <c r="F218" s="3">
        <f t="shared" si="179"/>
        <v>9.0828991010172527E-2</v>
      </c>
      <c r="G218" s="3">
        <f t="shared" si="179"/>
        <v>9.0828991010172527E-2</v>
      </c>
      <c r="H218" s="3">
        <f t="shared" si="179"/>
        <v>9.0828991010172527E-2</v>
      </c>
      <c r="I218" s="3">
        <f t="shared" si="179"/>
        <v>9.0828991010172513E-2</v>
      </c>
      <c r="J218" s="3">
        <f t="shared" si="179"/>
        <v>9.082899101017243E-2</v>
      </c>
      <c r="K218" s="3">
        <f t="shared" si="179"/>
        <v>9.0828991010171653E-2</v>
      </c>
      <c r="L218" s="3">
        <f t="shared" si="179"/>
        <v>9.082899101016377E-2</v>
      </c>
      <c r="M218" s="3">
        <f t="shared" si="179"/>
        <v>9.0828991010084972E-2</v>
      </c>
      <c r="N218" s="3">
        <f t="shared" si="179"/>
        <v>9.0828991009297005E-2</v>
      </c>
      <c r="O218" s="3">
        <f t="shared" si="179"/>
        <v>9.0828991001417309E-2</v>
      </c>
      <c r="P218" s="3">
        <f t="shared" si="179"/>
        <v>9.0828990922620395E-2</v>
      </c>
      <c r="Q218" s="3">
        <f t="shared" si="179"/>
        <v>9.0828990134651122E-2</v>
      </c>
      <c r="R218" s="3">
        <f t="shared" si="179"/>
        <v>9.0828982254958862E-2</v>
      </c>
      <c r="S218" s="3">
        <f t="shared" si="179"/>
        <v>9.0828903458073915E-2</v>
      </c>
      <c r="T218" s="3">
        <f t="shared" si="179"/>
        <v>9.0828115492984127E-2</v>
      </c>
      <c r="U218" s="3">
        <f t="shared" si="179"/>
        <v>9.0820236218045899E-2</v>
      </c>
      <c r="V218" s="3">
        <f t="shared" si="179"/>
        <v>9.0741481052566478E-2</v>
      </c>
      <c r="W218" s="3">
        <f t="shared" si="179"/>
        <v>8.9957675752080787E-2</v>
      </c>
      <c r="X218" s="3">
        <f t="shared" si="179"/>
        <v>8.2482506866621397E-2</v>
      </c>
      <c r="Y218" s="3">
        <f t="shared" si="179"/>
        <v>3.464161339478989E-2</v>
      </c>
      <c r="Z218" s="3">
        <f t="shared" si="179"/>
        <v>5.9150810252278193E-6</v>
      </c>
      <c r="AA218" s="3">
        <f t="shared" si="179"/>
        <v>1.2461966286753097E-43</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0.11303496653818297</v>
      </c>
      <c r="C219" s="3">
        <f t="shared" si="180"/>
        <v>0.11303496653818297</v>
      </c>
      <c r="D219" s="3">
        <f t="shared" si="180"/>
        <v>0.11303496653818297</v>
      </c>
      <c r="E219" s="3">
        <f t="shared" si="180"/>
        <v>0.11303496653818297</v>
      </c>
      <c r="F219" s="3">
        <f t="shared" si="180"/>
        <v>0.11303496653818297</v>
      </c>
      <c r="G219" s="3">
        <f t="shared" si="180"/>
        <v>0.11303496653818297</v>
      </c>
      <c r="H219" s="3">
        <f t="shared" si="180"/>
        <v>0.11303496653818297</v>
      </c>
      <c r="I219" s="3">
        <f t="shared" si="180"/>
        <v>0.11303496653818297</v>
      </c>
      <c r="J219" s="3">
        <f t="shared" si="180"/>
        <v>0.11303496653818296</v>
      </c>
      <c r="K219" s="3">
        <f t="shared" si="180"/>
        <v>0.11303496653818287</v>
      </c>
      <c r="L219" s="3">
        <f t="shared" si="180"/>
        <v>0.11303496653818199</v>
      </c>
      <c r="M219" s="3">
        <f t="shared" si="180"/>
        <v>0.11303496653817315</v>
      </c>
      <c r="N219" s="3">
        <f t="shared" si="180"/>
        <v>0.11303496653808469</v>
      </c>
      <c r="O219" s="3">
        <f t="shared" si="180"/>
        <v>0.11303496653720009</v>
      </c>
      <c r="P219" s="3">
        <f t="shared" si="180"/>
        <v>0.11303496652835414</v>
      </c>
      <c r="Q219" s="3">
        <f t="shared" si="180"/>
        <v>0.11303496643989469</v>
      </c>
      <c r="R219" s="3">
        <f t="shared" si="180"/>
        <v>0.11303496555530029</v>
      </c>
      <c r="S219" s="3">
        <f t="shared" si="180"/>
        <v>0.11303495670935663</v>
      </c>
      <c r="T219" s="3">
        <f t="shared" si="180"/>
        <v>0.11303486824995795</v>
      </c>
      <c r="U219" s="3">
        <f t="shared" si="180"/>
        <v>0.11303398365977872</v>
      </c>
      <c r="V219" s="3">
        <f t="shared" si="180"/>
        <v>0.11302513813872271</v>
      </c>
      <c r="W219" s="3">
        <f t="shared" si="180"/>
        <v>0.11293672099077073</v>
      </c>
      <c r="X219" s="3">
        <f t="shared" si="180"/>
        <v>0.11205634477382385</v>
      </c>
      <c r="Y219" s="3">
        <f t="shared" si="180"/>
        <v>0.10362134570014724</v>
      </c>
      <c r="Z219" s="3">
        <f t="shared" si="180"/>
        <v>4.7378029029372479E-2</v>
      </c>
      <c r="AA219" s="3">
        <f t="shared" si="180"/>
        <v>1.8917102033006076E-5</v>
      </c>
      <c r="AB219" s="3">
        <f t="shared" si="180"/>
        <v>1.9481875887733387E-39</v>
      </c>
      <c r="AC219" s="3">
        <f t="shared" si="180"/>
        <v>0</v>
      </c>
      <c r="AD219" s="3">
        <f t="shared" si="180"/>
        <v>0</v>
      </c>
      <c r="AE219" s="3">
        <f t="shared" si="180"/>
        <v>0</v>
      </c>
      <c r="AF219" s="3">
        <f t="shared" si="180"/>
        <v>0</v>
      </c>
      <c r="AG219" s="3"/>
      <c r="AH219" s="3"/>
    </row>
    <row r="220" spans="1:34" x14ac:dyDescent="0.25">
      <c r="B220" s="3">
        <f t="shared" ref="B220:AF220" si="181">$C28*EXP(-B$207/$A28/EXP(-$D$126))</f>
        <v>0.13845265884512553</v>
      </c>
      <c r="C220" s="3">
        <f t="shared" si="181"/>
        <v>0.13845265884512553</v>
      </c>
      <c r="D220" s="3">
        <f t="shared" si="181"/>
        <v>0.13845265884512553</v>
      </c>
      <c r="E220" s="3">
        <f t="shared" si="181"/>
        <v>0.13845265884512553</v>
      </c>
      <c r="F220" s="3">
        <f t="shared" si="181"/>
        <v>0.13845265884512553</v>
      </c>
      <c r="G220" s="3">
        <f t="shared" si="181"/>
        <v>0.13845265884512553</v>
      </c>
      <c r="H220" s="3">
        <f t="shared" si="181"/>
        <v>0.13845265884512553</v>
      </c>
      <c r="I220" s="3">
        <f t="shared" si="181"/>
        <v>0.13845265884512553</v>
      </c>
      <c r="J220" s="3">
        <f t="shared" si="181"/>
        <v>0.13845265884512553</v>
      </c>
      <c r="K220" s="3">
        <f t="shared" si="181"/>
        <v>0.1384526588451255</v>
      </c>
      <c r="L220" s="3">
        <f t="shared" si="181"/>
        <v>0.13845265884512542</v>
      </c>
      <c r="M220" s="3">
        <f t="shared" si="181"/>
        <v>0.13845265884512445</v>
      </c>
      <c r="N220" s="3">
        <f t="shared" si="181"/>
        <v>0.13845265884511465</v>
      </c>
      <c r="O220" s="3">
        <f t="shared" si="181"/>
        <v>0.13845265884501692</v>
      </c>
      <c r="P220" s="3">
        <f t="shared" si="181"/>
        <v>0.13845265884403951</v>
      </c>
      <c r="Q220" s="3">
        <f t="shared" si="181"/>
        <v>0.13845265883426536</v>
      </c>
      <c r="R220" s="3">
        <f t="shared" si="181"/>
        <v>0.13845265873652379</v>
      </c>
      <c r="S220" s="3">
        <f t="shared" si="181"/>
        <v>0.1384526577591082</v>
      </c>
      <c r="T220" s="3">
        <f t="shared" si="181"/>
        <v>0.13845264798495249</v>
      </c>
      <c r="U220" s="3">
        <f t="shared" si="181"/>
        <v>0.13845255024343345</v>
      </c>
      <c r="V220" s="3">
        <f t="shared" si="181"/>
        <v>0.13845157283203799</v>
      </c>
      <c r="W220" s="3">
        <f t="shared" si="181"/>
        <v>0.1384417990975797</v>
      </c>
      <c r="X220" s="3">
        <f t="shared" si="181"/>
        <v>0.13834409969269698</v>
      </c>
      <c r="Y220" s="3">
        <f t="shared" si="181"/>
        <v>0.13737088972258313</v>
      </c>
      <c r="Z220" s="3">
        <f t="shared" si="181"/>
        <v>0.12800749760769717</v>
      </c>
      <c r="AA220" s="3">
        <f t="shared" si="181"/>
        <v>6.3189129729810598E-2</v>
      </c>
      <c r="AB220" s="3">
        <f t="shared" si="181"/>
        <v>5.4289024470101775E-5</v>
      </c>
      <c r="AC220" s="3">
        <f t="shared" si="181"/>
        <v>1.1896211446901254E-35</v>
      </c>
      <c r="AD220" s="3">
        <f t="shared" si="181"/>
        <v>0</v>
      </c>
      <c r="AE220" s="3">
        <f t="shared" si="181"/>
        <v>0</v>
      </c>
      <c r="AF220" s="3">
        <f t="shared" si="181"/>
        <v>0</v>
      </c>
      <c r="AG220" s="3"/>
      <c r="AH220" s="3"/>
    </row>
    <row r="221" spans="1:34" x14ac:dyDescent="0.25">
      <c r="B221" s="3">
        <f t="shared" ref="B221:AF221" si="182">$C29*EXP(-B$207/$A29/EXP(-$D$126))</f>
        <v>8.6910854297372359E-2</v>
      </c>
      <c r="C221" s="3">
        <f t="shared" si="182"/>
        <v>8.6910854297372359E-2</v>
      </c>
      <c r="D221" s="3">
        <f t="shared" si="182"/>
        <v>8.6910854297372359E-2</v>
      </c>
      <c r="E221" s="3">
        <f t="shared" si="182"/>
        <v>8.6910854297372359E-2</v>
      </c>
      <c r="F221" s="3">
        <f t="shared" si="182"/>
        <v>8.6910854297372359E-2</v>
      </c>
      <c r="G221" s="3">
        <f t="shared" si="182"/>
        <v>8.6910854297372359E-2</v>
      </c>
      <c r="H221" s="3">
        <f t="shared" si="182"/>
        <v>8.6910854297372359E-2</v>
      </c>
      <c r="I221" s="3">
        <f t="shared" si="182"/>
        <v>8.6910854297372359E-2</v>
      </c>
      <c r="J221" s="3">
        <f t="shared" si="182"/>
        <v>8.6910854297372359E-2</v>
      </c>
      <c r="K221" s="3">
        <f t="shared" si="182"/>
        <v>8.6910854297372359E-2</v>
      </c>
      <c r="L221" s="3">
        <f t="shared" si="182"/>
        <v>8.6910854297372345E-2</v>
      </c>
      <c r="M221" s="3">
        <f t="shared" si="182"/>
        <v>8.6910854297372303E-2</v>
      </c>
      <c r="N221" s="3">
        <f t="shared" si="182"/>
        <v>8.6910854297371748E-2</v>
      </c>
      <c r="O221" s="3">
        <f t="shared" si="182"/>
        <v>8.6910854297366211E-2</v>
      </c>
      <c r="P221" s="3">
        <f t="shared" si="182"/>
        <v>8.6910854297310866E-2</v>
      </c>
      <c r="Q221" s="3">
        <f t="shared" si="182"/>
        <v>8.6910854296757392E-2</v>
      </c>
      <c r="R221" s="3">
        <f t="shared" si="182"/>
        <v>8.6910854291222625E-2</v>
      </c>
      <c r="S221" s="3">
        <f t="shared" si="182"/>
        <v>8.6910854235875065E-2</v>
      </c>
      <c r="T221" s="3">
        <f t="shared" si="182"/>
        <v>8.6910853682399328E-2</v>
      </c>
      <c r="U221" s="3">
        <f t="shared" si="182"/>
        <v>8.6910848147642245E-2</v>
      </c>
      <c r="V221" s="3">
        <f t="shared" si="182"/>
        <v>8.6910792800090869E-2</v>
      </c>
      <c r="W221" s="3">
        <f t="shared" si="182"/>
        <v>8.691023932651562E-2</v>
      </c>
      <c r="X221" s="3">
        <f t="shared" si="182"/>
        <v>8.6904704784616982E-2</v>
      </c>
      <c r="Y221" s="3">
        <f t="shared" si="182"/>
        <v>8.6849378746450018E-2</v>
      </c>
      <c r="Z221" s="3">
        <f t="shared" si="182"/>
        <v>8.6298051887839802E-2</v>
      </c>
      <c r="AA221" s="3">
        <f t="shared" si="182"/>
        <v>8.0973656259906088E-2</v>
      </c>
      <c r="AB221" s="3">
        <f t="shared" si="182"/>
        <v>4.2832293256511292E-2</v>
      </c>
      <c r="AC221" s="3">
        <f t="shared" si="182"/>
        <v>7.3459353709488215E-5</v>
      </c>
      <c r="AD221" s="3">
        <f t="shared" si="182"/>
        <v>1.6173531600880553E-32</v>
      </c>
      <c r="AE221" s="3">
        <f t="shared" si="182"/>
        <v>0</v>
      </c>
      <c r="AF221" s="3">
        <f t="shared" si="182"/>
        <v>0</v>
      </c>
      <c r="AG221" s="3"/>
      <c r="AH221" s="3"/>
    </row>
    <row r="222" spans="1:34" x14ac:dyDescent="0.25">
      <c r="B222" s="3">
        <f t="shared" ref="B222:AF222" si="183">$C30*EXP(-B$207/$A30/EXP(-$D$126))</f>
        <v>5.8628121311532923E-2</v>
      </c>
      <c r="C222" s="3">
        <f t="shared" si="183"/>
        <v>5.8628121311532923E-2</v>
      </c>
      <c r="D222" s="3">
        <f t="shared" si="183"/>
        <v>5.8628121311532923E-2</v>
      </c>
      <c r="E222" s="3">
        <f t="shared" si="183"/>
        <v>5.8628121311532923E-2</v>
      </c>
      <c r="F222" s="3">
        <f t="shared" si="183"/>
        <v>5.8628121311532923E-2</v>
      </c>
      <c r="G222" s="3">
        <f t="shared" si="183"/>
        <v>5.8628121311532923E-2</v>
      </c>
      <c r="H222" s="3">
        <f t="shared" si="183"/>
        <v>5.8628121311532923E-2</v>
      </c>
      <c r="I222" s="3">
        <f t="shared" si="183"/>
        <v>5.8628121311532923E-2</v>
      </c>
      <c r="J222" s="3">
        <f t="shared" si="183"/>
        <v>5.8628121311532923E-2</v>
      </c>
      <c r="K222" s="3">
        <f t="shared" si="183"/>
        <v>5.8628121311532923E-2</v>
      </c>
      <c r="L222" s="3">
        <f t="shared" si="183"/>
        <v>5.8628121311532923E-2</v>
      </c>
      <c r="M222" s="3">
        <f t="shared" si="183"/>
        <v>5.8628121311532916E-2</v>
      </c>
      <c r="N222" s="3">
        <f t="shared" si="183"/>
        <v>5.8628121311532881E-2</v>
      </c>
      <c r="O222" s="3">
        <f t="shared" si="183"/>
        <v>5.8628121311532555E-2</v>
      </c>
      <c r="P222" s="3">
        <f t="shared" si="183"/>
        <v>5.8628121311529183E-2</v>
      </c>
      <c r="Q222" s="3">
        <f t="shared" si="183"/>
        <v>5.8628121311495501E-2</v>
      </c>
      <c r="R222" s="3">
        <f t="shared" si="183"/>
        <v>5.8628121311158701E-2</v>
      </c>
      <c r="S222" s="3">
        <f t="shared" si="183"/>
        <v>5.8628121307790652E-2</v>
      </c>
      <c r="T222" s="3">
        <f t="shared" si="183"/>
        <v>5.8628121274110261E-2</v>
      </c>
      <c r="U222" s="3">
        <f t="shared" si="183"/>
        <v>5.8628120937306349E-2</v>
      </c>
      <c r="V222" s="3">
        <f t="shared" si="183"/>
        <v>5.8628117569267321E-2</v>
      </c>
      <c r="W222" s="3">
        <f t="shared" si="183"/>
        <v>5.8628083888887648E-2</v>
      </c>
      <c r="X222" s="3">
        <f t="shared" si="183"/>
        <v>5.8627747086155119E-2</v>
      </c>
      <c r="Y222" s="3">
        <f t="shared" si="183"/>
        <v>5.8624379165244274E-2</v>
      </c>
      <c r="Z222" s="3">
        <f t="shared" si="183"/>
        <v>5.8590710595322067E-2</v>
      </c>
      <c r="AA222" s="3">
        <f t="shared" si="183"/>
        <v>5.8255086556770003E-2</v>
      </c>
      <c r="AB222" s="3">
        <f t="shared" si="183"/>
        <v>5.5002789874217958E-2</v>
      </c>
      <c r="AC222" s="3">
        <f t="shared" si="183"/>
        <v>3.0966590059377123E-2</v>
      </c>
      <c r="AD222" s="3">
        <f t="shared" si="183"/>
        <v>9.9078642730753754E-5</v>
      </c>
      <c r="AE222" s="3">
        <f t="shared" si="183"/>
        <v>1.1139012355263374E-29</v>
      </c>
      <c r="AF222" s="3">
        <f t="shared" si="183"/>
        <v>3.5934619972369211E-279</v>
      </c>
      <c r="AG222" s="3"/>
      <c r="AH222" s="3"/>
    </row>
    <row r="223" spans="1:34" x14ac:dyDescent="0.25">
      <c r="B223" s="3">
        <f t="shared" ref="B223:AF223" si="184">$C31*EXP(-B$207/$A31/EXP(-$D$126))</f>
        <v>2.5608295796313463E-2</v>
      </c>
      <c r="C223" s="3">
        <f t="shared" si="184"/>
        <v>2.5608295796313463E-2</v>
      </c>
      <c r="D223" s="3">
        <f t="shared" si="184"/>
        <v>2.5608295796313463E-2</v>
      </c>
      <c r="E223" s="3">
        <f t="shared" si="184"/>
        <v>2.5608295796313463E-2</v>
      </c>
      <c r="F223" s="3">
        <f t="shared" si="184"/>
        <v>2.5608295796313463E-2</v>
      </c>
      <c r="G223" s="3">
        <f t="shared" si="184"/>
        <v>2.5608295796313463E-2</v>
      </c>
      <c r="H223" s="3">
        <f t="shared" si="184"/>
        <v>2.5608295796313463E-2</v>
      </c>
      <c r="I223" s="3">
        <f t="shared" si="184"/>
        <v>2.5608295796313463E-2</v>
      </c>
      <c r="J223" s="3">
        <f t="shared" si="184"/>
        <v>2.5608295796313463E-2</v>
      </c>
      <c r="K223" s="3">
        <f t="shared" si="184"/>
        <v>2.5608295796313463E-2</v>
      </c>
      <c r="L223" s="3">
        <f t="shared" si="184"/>
        <v>2.5608295796313463E-2</v>
      </c>
      <c r="M223" s="3">
        <f t="shared" si="184"/>
        <v>2.5608295796313463E-2</v>
      </c>
      <c r="N223" s="3">
        <f t="shared" si="184"/>
        <v>2.5608295796313459E-2</v>
      </c>
      <c r="O223" s="3">
        <f t="shared" si="184"/>
        <v>2.5608295796313449E-2</v>
      </c>
      <c r="P223" s="3">
        <f t="shared" si="184"/>
        <v>2.5608295796313314E-2</v>
      </c>
      <c r="Q223" s="3">
        <f t="shared" si="184"/>
        <v>2.5608295796311988E-2</v>
      </c>
      <c r="R223" s="3">
        <f t="shared" si="184"/>
        <v>2.5608295796298718E-2</v>
      </c>
      <c r="S223" s="3">
        <f t="shared" si="184"/>
        <v>2.5608295796166008E-2</v>
      </c>
      <c r="T223" s="3">
        <f t="shared" si="184"/>
        <v>2.5608295794838924E-2</v>
      </c>
      <c r="U223" s="3">
        <f t="shared" si="184"/>
        <v>2.5608295781568084E-2</v>
      </c>
      <c r="V223" s="3">
        <f t="shared" si="184"/>
        <v>2.5608295648859681E-2</v>
      </c>
      <c r="W223" s="3">
        <f t="shared" si="184"/>
        <v>2.56082943217757E-2</v>
      </c>
      <c r="X223" s="3">
        <f t="shared" si="184"/>
        <v>2.5608281050939638E-2</v>
      </c>
      <c r="Y223" s="3">
        <f t="shared" si="184"/>
        <v>2.5608148342957285E-2</v>
      </c>
      <c r="Z223" s="3">
        <f t="shared" si="184"/>
        <v>2.5606821300957927E-2</v>
      </c>
      <c r="AA223" s="3">
        <f t="shared" si="184"/>
        <v>2.5593554662657905E-2</v>
      </c>
      <c r="AB223" s="3">
        <f t="shared" si="184"/>
        <v>2.5461265724904182E-2</v>
      </c>
      <c r="AC223" s="3">
        <f t="shared" si="184"/>
        <v>2.4175407069885038E-2</v>
      </c>
      <c r="AD223" s="3">
        <f t="shared" si="184"/>
        <v>1.4398321176371564E-2</v>
      </c>
      <c r="AE223" s="3">
        <f t="shared" si="184"/>
        <v>8.0852317134288331E-5</v>
      </c>
      <c r="AF223" s="3">
        <f t="shared" si="184"/>
        <v>2.5205691092856876E-27</v>
      </c>
      <c r="AG223" s="3"/>
      <c r="AH223" s="3"/>
    </row>
    <row r="224" spans="1:34" x14ac:dyDescent="0.25">
      <c r="B224" s="3">
        <f t="shared" ref="B224:AF224" si="185">$C32*EXP(-B$207/$A32/EXP(-$D$126))</f>
        <v>5.0526357723775506E-3</v>
      </c>
      <c r="C224" s="3">
        <f t="shared" si="185"/>
        <v>5.0526357723775506E-3</v>
      </c>
      <c r="D224" s="3">
        <f t="shared" si="185"/>
        <v>5.0526357723775506E-3</v>
      </c>
      <c r="E224" s="3">
        <f t="shared" si="185"/>
        <v>5.0526357723775506E-3</v>
      </c>
      <c r="F224" s="3">
        <f t="shared" si="185"/>
        <v>5.0526357723775506E-3</v>
      </c>
      <c r="G224" s="3">
        <f t="shared" si="185"/>
        <v>5.0526357723775506E-3</v>
      </c>
      <c r="H224" s="3">
        <f t="shared" si="185"/>
        <v>5.0526357723775506E-3</v>
      </c>
      <c r="I224" s="3">
        <f t="shared" si="185"/>
        <v>5.0526357723775506E-3</v>
      </c>
      <c r="J224" s="3">
        <f t="shared" si="185"/>
        <v>5.0526357723775506E-3</v>
      </c>
      <c r="K224" s="3">
        <f t="shared" si="185"/>
        <v>5.0526357723775506E-3</v>
      </c>
      <c r="L224" s="3">
        <f t="shared" si="185"/>
        <v>5.0526357723775506E-3</v>
      </c>
      <c r="M224" s="3">
        <f t="shared" si="185"/>
        <v>5.0526357723775506E-3</v>
      </c>
      <c r="N224" s="3">
        <f t="shared" si="185"/>
        <v>5.0526357723775506E-3</v>
      </c>
      <c r="O224" s="3">
        <f t="shared" si="185"/>
        <v>5.0526357723775506E-3</v>
      </c>
      <c r="P224" s="3">
        <f t="shared" si="185"/>
        <v>5.052635772377548E-3</v>
      </c>
      <c r="Q224" s="3">
        <f t="shared" si="185"/>
        <v>5.0526357723775246E-3</v>
      </c>
      <c r="R224" s="3">
        <f t="shared" si="185"/>
        <v>5.0526357723772878E-3</v>
      </c>
      <c r="S224" s="3">
        <f t="shared" si="185"/>
        <v>5.0526357723749259E-3</v>
      </c>
      <c r="T224" s="3">
        <f t="shared" si="185"/>
        <v>5.0526357723513059E-3</v>
      </c>
      <c r="U224" s="3">
        <f t="shared" si="185"/>
        <v>5.0526357721151051E-3</v>
      </c>
      <c r="V224" s="3">
        <f t="shared" si="185"/>
        <v>5.0526357697530918E-3</v>
      </c>
      <c r="W224" s="3">
        <f t="shared" si="185"/>
        <v>5.052635746132959E-3</v>
      </c>
      <c r="X224" s="3">
        <f t="shared" si="185"/>
        <v>5.0526355099316418E-3</v>
      </c>
      <c r="Y224" s="3">
        <f t="shared" si="185"/>
        <v>5.0526331479190771E-3</v>
      </c>
      <c r="Z224" s="3">
        <f t="shared" si="185"/>
        <v>5.0526095278541601E-3</v>
      </c>
      <c r="AA224" s="3">
        <f t="shared" si="185"/>
        <v>5.0523733332779631E-3</v>
      </c>
      <c r="AB224" s="3">
        <f t="shared" si="185"/>
        <v>5.0500119947077772E-3</v>
      </c>
      <c r="AC224" s="3">
        <f t="shared" si="185"/>
        <v>5.0264592232911152E-3</v>
      </c>
      <c r="AD224" s="3">
        <f t="shared" si="185"/>
        <v>4.7968893923562538E-3</v>
      </c>
      <c r="AE224" s="3">
        <f t="shared" si="185"/>
        <v>3.0056272017191217E-3</v>
      </c>
      <c r="AF224" s="3">
        <f t="shared" si="185"/>
        <v>2.8034266192735622E-5</v>
      </c>
      <c r="AG224" s="3"/>
      <c r="AH224" s="3"/>
    </row>
    <row r="225" spans="2:34" x14ac:dyDescent="0.25">
      <c r="B225" s="3">
        <f t="shared" ref="B225:AF225" si="186">$C33*EXP(-B$207/$A33/EXP(-$D$126))</f>
        <v>4.3761926995835639E-3</v>
      </c>
      <c r="C225" s="3">
        <f t="shared" si="186"/>
        <v>4.3761926995835639E-3</v>
      </c>
      <c r="D225" s="3">
        <f t="shared" si="186"/>
        <v>4.3761926995835639E-3</v>
      </c>
      <c r="E225" s="3">
        <f t="shared" si="186"/>
        <v>4.3761926995835639E-3</v>
      </c>
      <c r="F225" s="3">
        <f t="shared" si="186"/>
        <v>4.3761926995835639E-3</v>
      </c>
      <c r="G225" s="3">
        <f t="shared" si="186"/>
        <v>4.3761926995835639E-3</v>
      </c>
      <c r="H225" s="3">
        <f t="shared" si="186"/>
        <v>4.3761926995835639E-3</v>
      </c>
      <c r="I225" s="3">
        <f t="shared" si="186"/>
        <v>4.3761926995835639E-3</v>
      </c>
      <c r="J225" s="3">
        <f t="shared" si="186"/>
        <v>4.3761926995835639E-3</v>
      </c>
      <c r="K225" s="3">
        <f t="shared" si="186"/>
        <v>4.3761926995835639E-3</v>
      </c>
      <c r="L225" s="3">
        <f t="shared" si="186"/>
        <v>4.3761926995835639E-3</v>
      </c>
      <c r="M225" s="3">
        <f t="shared" si="186"/>
        <v>4.3761926995835639E-3</v>
      </c>
      <c r="N225" s="3">
        <f t="shared" si="186"/>
        <v>4.3761926995835639E-3</v>
      </c>
      <c r="O225" s="3">
        <f t="shared" si="186"/>
        <v>4.3761926995835639E-3</v>
      </c>
      <c r="P225" s="3">
        <f t="shared" si="186"/>
        <v>4.3761926995835639E-3</v>
      </c>
      <c r="Q225" s="3">
        <f t="shared" si="186"/>
        <v>4.3761926995835622E-3</v>
      </c>
      <c r="R225" s="3">
        <f t="shared" si="186"/>
        <v>4.3761926995835431E-3</v>
      </c>
      <c r="S225" s="3">
        <f t="shared" si="186"/>
        <v>4.3761926995833592E-3</v>
      </c>
      <c r="T225" s="3">
        <f t="shared" si="186"/>
        <v>4.3761926995815135E-3</v>
      </c>
      <c r="U225" s="3">
        <f t="shared" si="186"/>
        <v>4.3761926995630586E-3</v>
      </c>
      <c r="V225" s="3">
        <f t="shared" si="186"/>
        <v>4.3761926993785118E-3</v>
      </c>
      <c r="W225" s="3">
        <f t="shared" si="186"/>
        <v>4.3761926975330401E-3</v>
      </c>
      <c r="X225" s="3">
        <f t="shared" si="186"/>
        <v>4.3761926790783241E-3</v>
      </c>
      <c r="Y225" s="3">
        <f t="shared" si="186"/>
        <v>4.3761924945311705E-3</v>
      </c>
      <c r="Z225" s="3">
        <f t="shared" si="186"/>
        <v>4.3761906490600577E-3</v>
      </c>
      <c r="AA225" s="3">
        <f t="shared" si="186"/>
        <v>4.3761721943917425E-3</v>
      </c>
      <c r="AB225" s="3">
        <f t="shared" si="186"/>
        <v>4.3759876519888757E-3</v>
      </c>
      <c r="AC225" s="3">
        <f t="shared" si="186"/>
        <v>4.3741426559226826E-3</v>
      </c>
      <c r="AD225" s="3">
        <f t="shared" si="186"/>
        <v>4.3557354248076026E-3</v>
      </c>
      <c r="AE225" s="3">
        <f t="shared" si="186"/>
        <v>4.175870142110477E-3</v>
      </c>
      <c r="AF225" s="3">
        <f t="shared" si="186"/>
        <v>2.7390623156227046E-3</v>
      </c>
      <c r="AG225" s="3"/>
      <c r="AH225" s="3"/>
    </row>
    <row r="226" spans="2:34" x14ac:dyDescent="0.25">
      <c r="B226" s="3">
        <f t="shared" ref="B226:AF226" si="187">$C34*EXP(-B$207/$A34/EXP(-$D$126))</f>
        <v>3.799405391061131E-3</v>
      </c>
      <c r="C226" s="3">
        <f t="shared" si="187"/>
        <v>3.799405391061131E-3</v>
      </c>
      <c r="D226" s="3">
        <f t="shared" si="187"/>
        <v>3.799405391061131E-3</v>
      </c>
      <c r="E226" s="3">
        <f t="shared" si="187"/>
        <v>3.799405391061131E-3</v>
      </c>
      <c r="F226" s="3">
        <f t="shared" si="187"/>
        <v>3.799405391061131E-3</v>
      </c>
      <c r="G226" s="3">
        <f t="shared" si="187"/>
        <v>3.799405391061131E-3</v>
      </c>
      <c r="H226" s="3">
        <f t="shared" si="187"/>
        <v>3.799405391061131E-3</v>
      </c>
      <c r="I226" s="3">
        <f t="shared" si="187"/>
        <v>3.799405391061131E-3</v>
      </c>
      <c r="J226" s="3">
        <f t="shared" si="187"/>
        <v>3.799405391061131E-3</v>
      </c>
      <c r="K226" s="3">
        <f t="shared" si="187"/>
        <v>3.799405391061131E-3</v>
      </c>
      <c r="L226" s="3">
        <f t="shared" si="187"/>
        <v>3.799405391061131E-3</v>
      </c>
      <c r="M226" s="3">
        <f t="shared" si="187"/>
        <v>3.799405391061131E-3</v>
      </c>
      <c r="N226" s="3">
        <f t="shared" si="187"/>
        <v>3.799405391061131E-3</v>
      </c>
      <c r="O226" s="3">
        <f t="shared" si="187"/>
        <v>3.799405391061131E-3</v>
      </c>
      <c r="P226" s="3">
        <f t="shared" si="187"/>
        <v>3.799405391061131E-3</v>
      </c>
      <c r="Q226" s="3">
        <f t="shared" si="187"/>
        <v>3.799405391061131E-3</v>
      </c>
      <c r="R226" s="3">
        <f t="shared" si="187"/>
        <v>3.7994053910611293E-3</v>
      </c>
      <c r="S226" s="3">
        <f t="shared" si="187"/>
        <v>3.799405391061115E-3</v>
      </c>
      <c r="T226" s="3">
        <f t="shared" si="187"/>
        <v>3.7994053910609701E-3</v>
      </c>
      <c r="U226" s="3">
        <f t="shared" si="187"/>
        <v>3.7994053910595251E-3</v>
      </c>
      <c r="V226" s="3">
        <f t="shared" si="187"/>
        <v>3.7994053910450714E-3</v>
      </c>
      <c r="W226" s="3">
        <f t="shared" si="187"/>
        <v>3.7994053909005368E-3</v>
      </c>
      <c r="X226" s="3">
        <f t="shared" si="187"/>
        <v>3.799405389455186E-3</v>
      </c>
      <c r="Y226" s="3">
        <f t="shared" si="187"/>
        <v>3.7994053750016821E-3</v>
      </c>
      <c r="Z226" s="3">
        <f t="shared" si="187"/>
        <v>3.7994052304666437E-3</v>
      </c>
      <c r="AA226" s="3">
        <f t="shared" si="187"/>
        <v>3.7994037851165645E-3</v>
      </c>
      <c r="AB226" s="3">
        <f t="shared" si="187"/>
        <v>3.7993893316460143E-3</v>
      </c>
      <c r="AC226" s="3">
        <f t="shared" si="187"/>
        <v>3.799244799964541E-3</v>
      </c>
      <c r="AD226" s="3">
        <f t="shared" si="187"/>
        <v>3.7977997855105808E-3</v>
      </c>
      <c r="AE226" s="3">
        <f t="shared" si="187"/>
        <v>3.7833798345326759E-3</v>
      </c>
      <c r="AF226" s="3">
        <f t="shared" si="187"/>
        <v>3.6421576114047116E-3</v>
      </c>
      <c r="AG226" s="3"/>
      <c r="AH226" s="3"/>
    </row>
    <row r="227" spans="2:34" x14ac:dyDescent="0.25">
      <c r="B227" s="3">
        <f t="shared" ref="B227:AF227" si="188">$C35*EXP(-B$207/$A35/EXP(-$D$126))</f>
        <v>4.2249411335647654E-3</v>
      </c>
      <c r="C227" s="3">
        <f t="shared" si="188"/>
        <v>4.2249411335647654E-3</v>
      </c>
      <c r="D227" s="3">
        <f t="shared" si="188"/>
        <v>4.2249411335647654E-3</v>
      </c>
      <c r="E227" s="3">
        <f t="shared" si="188"/>
        <v>4.2249411335647654E-3</v>
      </c>
      <c r="F227" s="3">
        <f t="shared" si="188"/>
        <v>4.2249411335647654E-3</v>
      </c>
      <c r="G227" s="3">
        <f t="shared" si="188"/>
        <v>4.2249411335647654E-3</v>
      </c>
      <c r="H227" s="3">
        <f t="shared" si="188"/>
        <v>4.2249411335647654E-3</v>
      </c>
      <c r="I227" s="3">
        <f t="shared" si="188"/>
        <v>4.2249411335647654E-3</v>
      </c>
      <c r="J227" s="3">
        <f t="shared" si="188"/>
        <v>4.2249411335647654E-3</v>
      </c>
      <c r="K227" s="3">
        <f t="shared" si="188"/>
        <v>4.2249411335647654E-3</v>
      </c>
      <c r="L227" s="3">
        <f t="shared" si="188"/>
        <v>4.2249411335647654E-3</v>
      </c>
      <c r="M227" s="3">
        <f t="shared" si="188"/>
        <v>4.2249411335647654E-3</v>
      </c>
      <c r="N227" s="3">
        <f t="shared" si="188"/>
        <v>4.2249411335647654E-3</v>
      </c>
      <c r="O227" s="3">
        <f t="shared" si="188"/>
        <v>4.2249411335647654E-3</v>
      </c>
      <c r="P227" s="3">
        <f t="shared" si="188"/>
        <v>4.2249411335647654E-3</v>
      </c>
      <c r="Q227" s="3">
        <f t="shared" si="188"/>
        <v>4.2249411335647654E-3</v>
      </c>
      <c r="R227" s="3">
        <f t="shared" si="188"/>
        <v>4.2249411335647654E-3</v>
      </c>
      <c r="S227" s="3">
        <f t="shared" si="188"/>
        <v>4.2249411335647637E-3</v>
      </c>
      <c r="T227" s="3">
        <f t="shared" si="188"/>
        <v>4.2249411335647498E-3</v>
      </c>
      <c r="U227" s="3">
        <f t="shared" si="188"/>
        <v>4.224941133564605E-3</v>
      </c>
      <c r="V227" s="3">
        <f t="shared" si="188"/>
        <v>4.2249411335631547E-3</v>
      </c>
      <c r="W227" s="3">
        <f t="shared" si="188"/>
        <v>4.2249411335486559E-3</v>
      </c>
      <c r="X227" s="3">
        <f t="shared" si="188"/>
        <v>4.2249411334036703E-3</v>
      </c>
      <c r="Y227" s="3">
        <f t="shared" si="188"/>
        <v>4.2249411319538145E-3</v>
      </c>
      <c r="Z227" s="3">
        <f t="shared" si="188"/>
        <v>4.2249411174552576E-3</v>
      </c>
      <c r="AA227" s="3">
        <f t="shared" si="188"/>
        <v>4.224940972469695E-3</v>
      </c>
      <c r="AB227" s="3">
        <f t="shared" si="188"/>
        <v>4.2249395226143325E-3</v>
      </c>
      <c r="AC227" s="3">
        <f t="shared" si="188"/>
        <v>4.2249250240880779E-3</v>
      </c>
      <c r="AD227" s="3">
        <f t="shared" si="188"/>
        <v>4.2247800415619683E-3</v>
      </c>
      <c r="AE227" s="3">
        <f t="shared" si="188"/>
        <v>4.2233304899098184E-3</v>
      </c>
      <c r="AF227" s="3">
        <f t="shared" si="188"/>
        <v>4.2088622995746635E-3</v>
      </c>
      <c r="AG227" s="3"/>
      <c r="AH227" s="3"/>
    </row>
    <row r="228" spans="2:34" x14ac:dyDescent="0.25">
      <c r="B228" s="3">
        <f t="shared" ref="B228:AF228" si="189">$C36*EXP(-B$207/$A36/EXP(-$D$126))</f>
        <v>2.7574935483823488E-3</v>
      </c>
      <c r="C228" s="3">
        <f t="shared" si="189"/>
        <v>2.7574935483823488E-3</v>
      </c>
      <c r="D228" s="3">
        <f t="shared" si="189"/>
        <v>2.7574935483823488E-3</v>
      </c>
      <c r="E228" s="3">
        <f t="shared" si="189"/>
        <v>2.7574935483823488E-3</v>
      </c>
      <c r="F228" s="3">
        <f t="shared" si="189"/>
        <v>2.7574935483823488E-3</v>
      </c>
      <c r="G228" s="3">
        <f t="shared" si="189"/>
        <v>2.7574935483823488E-3</v>
      </c>
      <c r="H228" s="3">
        <f t="shared" si="189"/>
        <v>2.7574935483823488E-3</v>
      </c>
      <c r="I228" s="3">
        <f t="shared" si="189"/>
        <v>2.7574935483823488E-3</v>
      </c>
      <c r="J228" s="3">
        <f t="shared" si="189"/>
        <v>2.7574935483823488E-3</v>
      </c>
      <c r="K228" s="3">
        <f t="shared" si="189"/>
        <v>2.7574935483823488E-3</v>
      </c>
      <c r="L228" s="3">
        <f t="shared" si="189"/>
        <v>2.7574935483823488E-3</v>
      </c>
      <c r="M228" s="3">
        <f t="shared" si="189"/>
        <v>2.7574935483823488E-3</v>
      </c>
      <c r="N228" s="3">
        <f t="shared" si="189"/>
        <v>2.7574935483823488E-3</v>
      </c>
      <c r="O228" s="3">
        <f t="shared" si="189"/>
        <v>2.7574935483823488E-3</v>
      </c>
      <c r="P228" s="3">
        <f t="shared" si="189"/>
        <v>2.7574935483823488E-3</v>
      </c>
      <c r="Q228" s="3">
        <f t="shared" si="189"/>
        <v>2.7574935483823488E-3</v>
      </c>
      <c r="R228" s="3">
        <f t="shared" si="189"/>
        <v>2.7574935483823488E-3</v>
      </c>
      <c r="S228" s="3">
        <f t="shared" si="189"/>
        <v>2.7574935483823488E-3</v>
      </c>
      <c r="T228" s="3">
        <f t="shared" si="189"/>
        <v>2.757493548382348E-3</v>
      </c>
      <c r="U228" s="3">
        <f t="shared" si="189"/>
        <v>2.7574935483823393E-3</v>
      </c>
      <c r="V228" s="3">
        <f t="shared" si="189"/>
        <v>2.7574935483822539E-3</v>
      </c>
      <c r="W228" s="3">
        <f t="shared" si="189"/>
        <v>2.7574935483814004E-3</v>
      </c>
      <c r="X228" s="3">
        <f t="shared" si="189"/>
        <v>2.7574935483728642E-3</v>
      </c>
      <c r="Y228" s="3">
        <f t="shared" si="189"/>
        <v>2.757493548287502E-3</v>
      </c>
      <c r="Z228" s="3">
        <f t="shared" si="189"/>
        <v>2.757493547433881E-3</v>
      </c>
      <c r="AA228" s="3">
        <f t="shared" si="189"/>
        <v>2.7574935388976689E-3</v>
      </c>
      <c r="AB228" s="3">
        <f t="shared" si="189"/>
        <v>2.7574934535355478E-3</v>
      </c>
      <c r="AC228" s="3">
        <f t="shared" si="189"/>
        <v>2.7574925999144869E-3</v>
      </c>
      <c r="AD228" s="3">
        <f t="shared" si="189"/>
        <v>2.7574840637184122E-3</v>
      </c>
      <c r="AE228" s="3">
        <f t="shared" si="189"/>
        <v>2.7573987032110253E-3</v>
      </c>
      <c r="AF228" s="3">
        <f t="shared" si="189"/>
        <v>2.7565452434564599E-3</v>
      </c>
      <c r="AG228" s="3"/>
      <c r="AH228" s="3"/>
    </row>
    <row r="229" spans="2:34" x14ac:dyDescent="0.25">
      <c r="B229" s="3">
        <f t="shared" ref="B229:AF229" si="190">$C37*EXP(-B$207/$A37/EXP(-$D$126))</f>
        <v>1.745678055330739E-3</v>
      </c>
      <c r="C229" s="3">
        <f t="shared" si="190"/>
        <v>1.745678055330739E-3</v>
      </c>
      <c r="D229" s="3">
        <f t="shared" si="190"/>
        <v>1.745678055330739E-3</v>
      </c>
      <c r="E229" s="3">
        <f t="shared" si="190"/>
        <v>1.745678055330739E-3</v>
      </c>
      <c r="F229" s="3">
        <f t="shared" si="190"/>
        <v>1.745678055330739E-3</v>
      </c>
      <c r="G229" s="3">
        <f t="shared" si="190"/>
        <v>1.745678055330739E-3</v>
      </c>
      <c r="H229" s="3">
        <f t="shared" si="190"/>
        <v>1.745678055330739E-3</v>
      </c>
      <c r="I229" s="3">
        <f t="shared" si="190"/>
        <v>1.745678055330739E-3</v>
      </c>
      <c r="J229" s="3">
        <f t="shared" si="190"/>
        <v>1.745678055330739E-3</v>
      </c>
      <c r="K229" s="3">
        <f t="shared" si="190"/>
        <v>1.745678055330739E-3</v>
      </c>
      <c r="L229" s="3">
        <f t="shared" si="190"/>
        <v>1.745678055330739E-3</v>
      </c>
      <c r="M229" s="3">
        <f t="shared" si="190"/>
        <v>1.745678055330739E-3</v>
      </c>
      <c r="N229" s="3">
        <f t="shared" si="190"/>
        <v>1.745678055330739E-3</v>
      </c>
      <c r="O229" s="3">
        <f t="shared" si="190"/>
        <v>1.745678055330739E-3</v>
      </c>
      <c r="P229" s="3">
        <f t="shared" si="190"/>
        <v>1.745678055330739E-3</v>
      </c>
      <c r="Q229" s="3">
        <f t="shared" si="190"/>
        <v>1.745678055330739E-3</v>
      </c>
      <c r="R229" s="3">
        <f t="shared" si="190"/>
        <v>1.745678055330739E-3</v>
      </c>
      <c r="S229" s="3">
        <f t="shared" si="190"/>
        <v>1.745678055330739E-3</v>
      </c>
      <c r="T229" s="3">
        <f t="shared" si="190"/>
        <v>1.745678055330739E-3</v>
      </c>
      <c r="U229" s="3">
        <f t="shared" si="190"/>
        <v>1.7456780553307383E-3</v>
      </c>
      <c r="V229" s="3">
        <f t="shared" si="190"/>
        <v>1.7456780553307336E-3</v>
      </c>
      <c r="W229" s="3">
        <f t="shared" si="190"/>
        <v>1.745678055330685E-3</v>
      </c>
      <c r="X229" s="3">
        <f t="shared" si="190"/>
        <v>1.7456780553301973E-3</v>
      </c>
      <c r="Y229" s="3">
        <f t="shared" si="190"/>
        <v>1.7456780553253223E-3</v>
      </c>
      <c r="Z229" s="3">
        <f t="shared" si="190"/>
        <v>1.745678055276574E-3</v>
      </c>
      <c r="AA229" s="3">
        <f t="shared" si="190"/>
        <v>1.7456780547890887E-3</v>
      </c>
      <c r="AB229" s="3">
        <f t="shared" si="190"/>
        <v>1.7456780499142367E-3</v>
      </c>
      <c r="AC229" s="3">
        <f t="shared" si="190"/>
        <v>1.7456780011657167E-3</v>
      </c>
      <c r="AD229" s="3">
        <f t="shared" si="190"/>
        <v>1.7456775136805919E-3</v>
      </c>
      <c r="AE229" s="3">
        <f t="shared" si="190"/>
        <v>1.7456726388368315E-3</v>
      </c>
      <c r="AF229" s="3">
        <f t="shared" si="190"/>
        <v>1.7456238911479419E-3</v>
      </c>
      <c r="AG229" s="3"/>
      <c r="AH229" s="3"/>
    </row>
    <row r="230" spans="2:34" x14ac:dyDescent="0.25">
      <c r="B230" s="3">
        <f t="shared" ref="B230:AF230" si="191">$C38*EXP(-B$207/$A38/EXP(-$D$126))</f>
        <v>4.0897783870777585E-4</v>
      </c>
      <c r="C230" s="3">
        <f t="shared" si="191"/>
        <v>4.0897783870777585E-4</v>
      </c>
      <c r="D230" s="3">
        <f t="shared" si="191"/>
        <v>4.0897783870777585E-4</v>
      </c>
      <c r="E230" s="3">
        <f t="shared" si="191"/>
        <v>4.0897783870777585E-4</v>
      </c>
      <c r="F230" s="3">
        <f t="shared" si="191"/>
        <v>4.0897783870777585E-4</v>
      </c>
      <c r="G230" s="3">
        <f t="shared" si="191"/>
        <v>4.0897783870777585E-4</v>
      </c>
      <c r="H230" s="3">
        <f t="shared" si="191"/>
        <v>4.0897783870777585E-4</v>
      </c>
      <c r="I230" s="3">
        <f t="shared" si="191"/>
        <v>4.0897783870777585E-4</v>
      </c>
      <c r="J230" s="3">
        <f t="shared" si="191"/>
        <v>4.0897783870777585E-4</v>
      </c>
      <c r="K230" s="3">
        <f t="shared" si="191"/>
        <v>4.0897783870777585E-4</v>
      </c>
      <c r="L230" s="3">
        <f t="shared" si="191"/>
        <v>4.0897783870777585E-4</v>
      </c>
      <c r="M230" s="3">
        <f t="shared" si="191"/>
        <v>4.0897783870777585E-4</v>
      </c>
      <c r="N230" s="3">
        <f t="shared" si="191"/>
        <v>4.0897783870777585E-4</v>
      </c>
      <c r="O230" s="3">
        <f t="shared" si="191"/>
        <v>4.0897783870777585E-4</v>
      </c>
      <c r="P230" s="3">
        <f t="shared" si="191"/>
        <v>4.0897783870777585E-4</v>
      </c>
      <c r="Q230" s="3">
        <f t="shared" si="191"/>
        <v>4.0897783870777585E-4</v>
      </c>
      <c r="R230" s="3">
        <f t="shared" si="191"/>
        <v>4.0897783870777585E-4</v>
      </c>
      <c r="S230" s="3">
        <f t="shared" si="191"/>
        <v>4.0897783870777585E-4</v>
      </c>
      <c r="T230" s="3">
        <f t="shared" si="191"/>
        <v>4.0897783870777585E-4</v>
      </c>
      <c r="U230" s="3">
        <f t="shared" si="191"/>
        <v>4.0897783870777585E-4</v>
      </c>
      <c r="V230" s="3">
        <f t="shared" si="191"/>
        <v>4.0897783870777569E-4</v>
      </c>
      <c r="W230" s="3">
        <f t="shared" si="191"/>
        <v>4.0897783870777471E-4</v>
      </c>
      <c r="X230" s="3">
        <f t="shared" si="191"/>
        <v>4.0897783870776441E-4</v>
      </c>
      <c r="Y230" s="3">
        <f t="shared" si="191"/>
        <v>4.0897783870766136E-4</v>
      </c>
      <c r="Z230" s="3">
        <f t="shared" si="191"/>
        <v>4.0897783870663115E-4</v>
      </c>
      <c r="AA230" s="3">
        <f t="shared" si="191"/>
        <v>4.0897783869632857E-4</v>
      </c>
      <c r="AB230" s="3">
        <f t="shared" si="191"/>
        <v>4.0897783859330334E-4</v>
      </c>
      <c r="AC230" s="3">
        <f t="shared" si="191"/>
        <v>4.0897783756305091E-4</v>
      </c>
      <c r="AD230" s="3">
        <f t="shared" si="191"/>
        <v>4.0897782726052656E-4</v>
      </c>
      <c r="AE230" s="3">
        <f t="shared" si="191"/>
        <v>4.0897772423529737E-4</v>
      </c>
      <c r="AF230" s="3">
        <f t="shared" si="191"/>
        <v>4.0897669398443299E-4</v>
      </c>
      <c r="AG230" s="3"/>
      <c r="AH230" s="3"/>
    </row>
    <row r="231" spans="2:34" x14ac:dyDescent="0.25">
      <c r="B231" s="3">
        <f t="shared" ref="B231:AF231" si="192">$C39*EXP(-B$207/$A39/EXP(-$D$126))</f>
        <v>8.9346516984039216E-4</v>
      </c>
      <c r="C231" s="3">
        <f t="shared" si="192"/>
        <v>8.9346516984039216E-4</v>
      </c>
      <c r="D231" s="3">
        <f t="shared" si="192"/>
        <v>8.9346516984039216E-4</v>
      </c>
      <c r="E231" s="3">
        <f t="shared" si="192"/>
        <v>8.9346516984039216E-4</v>
      </c>
      <c r="F231" s="3">
        <f t="shared" si="192"/>
        <v>8.9346516984039216E-4</v>
      </c>
      <c r="G231" s="3">
        <f t="shared" si="192"/>
        <v>8.9346516984039216E-4</v>
      </c>
      <c r="H231" s="3">
        <f t="shared" si="192"/>
        <v>8.9346516984039216E-4</v>
      </c>
      <c r="I231" s="3">
        <f t="shared" si="192"/>
        <v>8.9346516984039216E-4</v>
      </c>
      <c r="J231" s="3">
        <f t="shared" si="192"/>
        <v>8.9346516984039216E-4</v>
      </c>
      <c r="K231" s="3">
        <f t="shared" si="192"/>
        <v>8.9346516984039216E-4</v>
      </c>
      <c r="L231" s="3">
        <f t="shared" si="192"/>
        <v>8.9346516984039216E-4</v>
      </c>
      <c r="M231" s="3">
        <f t="shared" si="192"/>
        <v>8.9346516984039216E-4</v>
      </c>
      <c r="N231" s="3">
        <f t="shared" si="192"/>
        <v>8.9346516984039216E-4</v>
      </c>
      <c r="O231" s="3">
        <f t="shared" si="192"/>
        <v>8.9346516984039216E-4</v>
      </c>
      <c r="P231" s="3">
        <f t="shared" si="192"/>
        <v>8.9346516984039216E-4</v>
      </c>
      <c r="Q231" s="3">
        <f t="shared" si="192"/>
        <v>8.9346516984039216E-4</v>
      </c>
      <c r="R231" s="3">
        <f t="shared" si="192"/>
        <v>8.9346516984039216E-4</v>
      </c>
      <c r="S231" s="3">
        <f t="shared" si="192"/>
        <v>8.9346516984039216E-4</v>
      </c>
      <c r="T231" s="3">
        <f t="shared" si="192"/>
        <v>8.9346516984039216E-4</v>
      </c>
      <c r="U231" s="3">
        <f t="shared" si="192"/>
        <v>8.9346516984039216E-4</v>
      </c>
      <c r="V231" s="3">
        <f t="shared" si="192"/>
        <v>8.9346516984039205E-4</v>
      </c>
      <c r="W231" s="3">
        <f t="shared" si="192"/>
        <v>8.934651698403915E-4</v>
      </c>
      <c r="X231" s="3">
        <f t="shared" si="192"/>
        <v>8.9346516984038522E-4</v>
      </c>
      <c r="Y231" s="3">
        <f t="shared" si="192"/>
        <v>8.9346516984032298E-4</v>
      </c>
      <c r="Z231" s="3">
        <f t="shared" si="192"/>
        <v>8.9346516983970043E-4</v>
      </c>
      <c r="AA231" s="3">
        <f t="shared" si="192"/>
        <v>8.934651698334756E-4</v>
      </c>
      <c r="AB231" s="3">
        <f t="shared" si="192"/>
        <v>8.9346516977122624E-4</v>
      </c>
      <c r="AC231" s="3">
        <f t="shared" si="192"/>
        <v>8.934651691487334E-4</v>
      </c>
      <c r="AD231" s="3">
        <f t="shared" si="192"/>
        <v>8.9346516292380495E-4</v>
      </c>
      <c r="AE231" s="3">
        <f t="shared" si="192"/>
        <v>8.9346510067452229E-4</v>
      </c>
      <c r="AF231" s="3">
        <f t="shared" si="192"/>
        <v>8.9346447818193454E-4</v>
      </c>
      <c r="AG231" s="3"/>
      <c r="AH231" s="3"/>
    </row>
    <row r="232" spans="2:34" x14ac:dyDescent="0.25">
      <c r="B232" s="3">
        <f t="shared" ref="B232:AF232" si="193">$C40*EXP(-B$207/$A40/EXP(-$D$126))</f>
        <v>2.0267191834609735E-4</v>
      </c>
      <c r="C232" s="3">
        <f t="shared" si="193"/>
        <v>2.0267191834609735E-4</v>
      </c>
      <c r="D232" s="3">
        <f t="shared" si="193"/>
        <v>2.0267191834609735E-4</v>
      </c>
      <c r="E232" s="3">
        <f t="shared" si="193"/>
        <v>2.0267191834609735E-4</v>
      </c>
      <c r="F232" s="3">
        <f t="shared" si="193"/>
        <v>2.0267191834609735E-4</v>
      </c>
      <c r="G232" s="3">
        <f t="shared" si="193"/>
        <v>2.0267191834609735E-4</v>
      </c>
      <c r="H232" s="3">
        <f t="shared" si="193"/>
        <v>2.0267191834609735E-4</v>
      </c>
      <c r="I232" s="3">
        <f t="shared" si="193"/>
        <v>2.0267191834609735E-4</v>
      </c>
      <c r="J232" s="3">
        <f t="shared" si="193"/>
        <v>2.0267191834609735E-4</v>
      </c>
      <c r="K232" s="3">
        <f t="shared" si="193"/>
        <v>2.0267191834609735E-4</v>
      </c>
      <c r="L232" s="3">
        <f t="shared" si="193"/>
        <v>2.0267191834609735E-4</v>
      </c>
      <c r="M232" s="3">
        <f t="shared" si="193"/>
        <v>2.0267191834609735E-4</v>
      </c>
      <c r="N232" s="3">
        <f t="shared" si="193"/>
        <v>2.0267191834609735E-4</v>
      </c>
      <c r="O232" s="3">
        <f t="shared" si="193"/>
        <v>2.0267191834609735E-4</v>
      </c>
      <c r="P232" s="3">
        <f t="shared" si="193"/>
        <v>2.0267191834609735E-4</v>
      </c>
      <c r="Q232" s="3">
        <f t="shared" si="193"/>
        <v>2.0267191834609735E-4</v>
      </c>
      <c r="R232" s="3">
        <f t="shared" si="193"/>
        <v>2.0267191834609735E-4</v>
      </c>
      <c r="S232" s="3">
        <f t="shared" si="193"/>
        <v>2.0267191834609735E-4</v>
      </c>
      <c r="T232" s="3">
        <f t="shared" si="193"/>
        <v>2.0267191834609735E-4</v>
      </c>
      <c r="U232" s="3">
        <f t="shared" si="193"/>
        <v>2.0267191834609735E-4</v>
      </c>
      <c r="V232" s="3">
        <f t="shared" si="193"/>
        <v>2.0267191834609735E-4</v>
      </c>
      <c r="W232" s="3">
        <f t="shared" si="193"/>
        <v>2.0267191834609733E-4</v>
      </c>
      <c r="X232" s="3">
        <f t="shared" si="193"/>
        <v>2.0267191834609719E-4</v>
      </c>
      <c r="Y232" s="3">
        <f t="shared" si="193"/>
        <v>2.0267191834609578E-4</v>
      </c>
      <c r="Z232" s="3">
        <f t="shared" si="193"/>
        <v>2.0267191834608166E-4</v>
      </c>
      <c r="AA232" s="3">
        <f t="shared" si="193"/>
        <v>2.0267191834594044E-4</v>
      </c>
      <c r="AB232" s="3">
        <f t="shared" si="193"/>
        <v>2.0267191834452843E-4</v>
      </c>
      <c r="AC232" s="3">
        <f t="shared" si="193"/>
        <v>2.0267191833040789E-4</v>
      </c>
      <c r="AD232" s="3">
        <f t="shared" si="193"/>
        <v>2.0267191818920281E-4</v>
      </c>
      <c r="AE232" s="3">
        <f t="shared" si="193"/>
        <v>2.0267191677715202E-4</v>
      </c>
      <c r="AF232" s="3">
        <f t="shared" si="193"/>
        <v>2.0267190265664463E-4</v>
      </c>
      <c r="AG232" s="3"/>
      <c r="AH232" s="3"/>
    </row>
    <row r="233" spans="2:34" x14ac:dyDescent="0.25">
      <c r="B233" s="3">
        <f t="shared" ref="B233:AF233" si="194">$C41*EXP(-B$207/$A41/EXP(-$D$126))</f>
        <v>4.681554200352879E-4</v>
      </c>
      <c r="C233" s="3">
        <f t="shared" si="194"/>
        <v>4.681554200352879E-4</v>
      </c>
      <c r="D233" s="3">
        <f t="shared" si="194"/>
        <v>4.681554200352879E-4</v>
      </c>
      <c r="E233" s="3">
        <f t="shared" si="194"/>
        <v>4.681554200352879E-4</v>
      </c>
      <c r="F233" s="3">
        <f t="shared" si="194"/>
        <v>4.681554200352879E-4</v>
      </c>
      <c r="G233" s="3">
        <f t="shared" si="194"/>
        <v>4.681554200352879E-4</v>
      </c>
      <c r="H233" s="3">
        <f t="shared" si="194"/>
        <v>4.681554200352879E-4</v>
      </c>
      <c r="I233" s="3">
        <f t="shared" si="194"/>
        <v>4.681554200352879E-4</v>
      </c>
      <c r="J233" s="3">
        <f t="shared" si="194"/>
        <v>4.681554200352879E-4</v>
      </c>
      <c r="K233" s="3">
        <f t="shared" si="194"/>
        <v>4.681554200352879E-4</v>
      </c>
      <c r="L233" s="3">
        <f t="shared" si="194"/>
        <v>4.681554200352879E-4</v>
      </c>
      <c r="M233" s="3">
        <f t="shared" si="194"/>
        <v>4.681554200352879E-4</v>
      </c>
      <c r="N233" s="3">
        <f t="shared" si="194"/>
        <v>4.681554200352879E-4</v>
      </c>
      <c r="O233" s="3">
        <f t="shared" si="194"/>
        <v>4.681554200352879E-4</v>
      </c>
      <c r="P233" s="3">
        <f t="shared" si="194"/>
        <v>4.681554200352879E-4</v>
      </c>
      <c r="Q233" s="3">
        <f t="shared" si="194"/>
        <v>4.681554200352879E-4</v>
      </c>
      <c r="R233" s="3">
        <f t="shared" si="194"/>
        <v>4.681554200352879E-4</v>
      </c>
      <c r="S233" s="3">
        <f t="shared" si="194"/>
        <v>4.681554200352879E-4</v>
      </c>
      <c r="T233" s="3">
        <f t="shared" si="194"/>
        <v>4.681554200352879E-4</v>
      </c>
      <c r="U233" s="3">
        <f t="shared" si="194"/>
        <v>4.681554200352879E-4</v>
      </c>
      <c r="V233" s="3">
        <f t="shared" si="194"/>
        <v>4.681554200352879E-4</v>
      </c>
      <c r="W233" s="3">
        <f t="shared" si="194"/>
        <v>4.681554200352879E-4</v>
      </c>
      <c r="X233" s="3">
        <f t="shared" si="194"/>
        <v>4.6815542003528785E-4</v>
      </c>
      <c r="Y233" s="3">
        <f t="shared" si="194"/>
        <v>4.6815542003528752E-4</v>
      </c>
      <c r="Z233" s="3">
        <f t="shared" si="194"/>
        <v>4.6815542003528427E-4</v>
      </c>
      <c r="AA233" s="3">
        <f t="shared" si="194"/>
        <v>4.6815542003525169E-4</v>
      </c>
      <c r="AB233" s="3">
        <f t="shared" si="194"/>
        <v>4.6815542003492545E-4</v>
      </c>
      <c r="AC233" s="3">
        <f t="shared" si="194"/>
        <v>4.6815542003166379E-4</v>
      </c>
      <c r="AD233" s="3">
        <f t="shared" si="194"/>
        <v>4.6815541999904655E-4</v>
      </c>
      <c r="AE233" s="3">
        <f t="shared" si="194"/>
        <v>4.6815541967287446E-4</v>
      </c>
      <c r="AF233" s="3">
        <f t="shared" si="194"/>
        <v>4.681554164111536E-4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8.6950344882608704E-5</v>
      </c>
      <c r="C235" s="3">
        <f t="shared" si="196"/>
        <v>8.6950344882608704E-5</v>
      </c>
      <c r="D235" s="3">
        <f t="shared" si="196"/>
        <v>8.6950344882608704E-5</v>
      </c>
      <c r="E235" s="3">
        <f t="shared" si="196"/>
        <v>8.6950344882608704E-5</v>
      </c>
      <c r="F235" s="3">
        <f t="shared" si="196"/>
        <v>8.6950344882608704E-5</v>
      </c>
      <c r="G235" s="3">
        <f t="shared" si="196"/>
        <v>8.6950344882608704E-5</v>
      </c>
      <c r="H235" s="3">
        <f t="shared" si="196"/>
        <v>8.6950344882608704E-5</v>
      </c>
      <c r="I235" s="3">
        <f t="shared" si="196"/>
        <v>8.6950344882608704E-5</v>
      </c>
      <c r="J235" s="3">
        <f t="shared" si="196"/>
        <v>8.6950344882608704E-5</v>
      </c>
      <c r="K235" s="3">
        <f t="shared" si="196"/>
        <v>8.6950344882608704E-5</v>
      </c>
      <c r="L235" s="3">
        <f t="shared" si="196"/>
        <v>8.6950344882608704E-5</v>
      </c>
      <c r="M235" s="3">
        <f t="shared" si="196"/>
        <v>8.6950344882608704E-5</v>
      </c>
      <c r="N235" s="3">
        <f t="shared" si="196"/>
        <v>8.6950344882608704E-5</v>
      </c>
      <c r="O235" s="3">
        <f t="shared" si="196"/>
        <v>8.6950344882608704E-5</v>
      </c>
      <c r="P235" s="3">
        <f t="shared" si="196"/>
        <v>8.6950344882608704E-5</v>
      </c>
      <c r="Q235" s="3">
        <f t="shared" si="196"/>
        <v>8.6950344882608704E-5</v>
      </c>
      <c r="R235" s="3">
        <f t="shared" si="196"/>
        <v>8.6950344882608704E-5</v>
      </c>
      <c r="S235" s="3">
        <f t="shared" si="196"/>
        <v>8.6950344882608704E-5</v>
      </c>
      <c r="T235" s="3">
        <f t="shared" si="196"/>
        <v>8.6950344882608704E-5</v>
      </c>
      <c r="U235" s="3">
        <f t="shared" si="196"/>
        <v>8.6950344882608704E-5</v>
      </c>
      <c r="V235" s="3">
        <f t="shared" si="196"/>
        <v>8.6950344882608704E-5</v>
      </c>
      <c r="W235" s="3">
        <f t="shared" si="196"/>
        <v>8.6950344882608704E-5</v>
      </c>
      <c r="X235" s="3">
        <f t="shared" si="196"/>
        <v>8.6950344882608704E-5</v>
      </c>
      <c r="Y235" s="3">
        <f t="shared" si="196"/>
        <v>8.6950344882608704E-5</v>
      </c>
      <c r="Z235" s="3">
        <f t="shared" si="196"/>
        <v>8.6950344882608691E-5</v>
      </c>
      <c r="AA235" s="3">
        <f t="shared" si="196"/>
        <v>8.6950344882608636E-5</v>
      </c>
      <c r="AB235" s="3">
        <f t="shared" si="196"/>
        <v>8.6950344882608026E-5</v>
      </c>
      <c r="AC235" s="3">
        <f t="shared" si="196"/>
        <v>8.6950344882601982E-5</v>
      </c>
      <c r="AD235" s="3">
        <f t="shared" si="196"/>
        <v>8.6950344882541389E-5</v>
      </c>
      <c r="AE235" s="3">
        <f t="shared" si="196"/>
        <v>8.6950344881935604E-5</v>
      </c>
      <c r="AF235" s="3">
        <f t="shared" si="196"/>
        <v>8.6950344875877611E-5</v>
      </c>
      <c r="AG235" s="3"/>
      <c r="AH235" s="3"/>
    </row>
    <row r="236" spans="2:34" x14ac:dyDescent="0.25">
      <c r="B236" s="3">
        <f t="shared" ref="B236:AF236" si="197">$C44*EXP(-B$207/$A44/EXP(-$D$126))</f>
        <v>1.5301974797879704E-4</v>
      </c>
      <c r="C236" s="3">
        <f t="shared" si="197"/>
        <v>1.5301974797879704E-4</v>
      </c>
      <c r="D236" s="3">
        <f t="shared" si="197"/>
        <v>1.5301974797879704E-4</v>
      </c>
      <c r="E236" s="3">
        <f t="shared" si="197"/>
        <v>1.5301974797879704E-4</v>
      </c>
      <c r="F236" s="3">
        <f t="shared" si="197"/>
        <v>1.5301974797879704E-4</v>
      </c>
      <c r="G236" s="3">
        <f t="shared" si="197"/>
        <v>1.5301974797879704E-4</v>
      </c>
      <c r="H236" s="3">
        <f t="shared" si="197"/>
        <v>1.5301974797879704E-4</v>
      </c>
      <c r="I236" s="3">
        <f t="shared" si="197"/>
        <v>1.5301974797879704E-4</v>
      </c>
      <c r="J236" s="3">
        <f t="shared" si="197"/>
        <v>1.5301974797879704E-4</v>
      </c>
      <c r="K236" s="3">
        <f t="shared" si="197"/>
        <v>1.5301974797879704E-4</v>
      </c>
      <c r="L236" s="3">
        <f t="shared" si="197"/>
        <v>1.5301974797879704E-4</v>
      </c>
      <c r="M236" s="3">
        <f t="shared" si="197"/>
        <v>1.5301974797879704E-4</v>
      </c>
      <c r="N236" s="3">
        <f t="shared" si="197"/>
        <v>1.5301974797879704E-4</v>
      </c>
      <c r="O236" s="3">
        <f t="shared" si="197"/>
        <v>1.5301974797879704E-4</v>
      </c>
      <c r="P236" s="3">
        <f t="shared" si="197"/>
        <v>1.5301974797879704E-4</v>
      </c>
      <c r="Q236" s="3">
        <f t="shared" si="197"/>
        <v>1.5301974797879704E-4</v>
      </c>
      <c r="R236" s="3">
        <f t="shared" si="197"/>
        <v>1.5301974797879704E-4</v>
      </c>
      <c r="S236" s="3">
        <f t="shared" si="197"/>
        <v>1.5301974797879704E-4</v>
      </c>
      <c r="T236" s="3">
        <f t="shared" si="197"/>
        <v>1.5301974797879704E-4</v>
      </c>
      <c r="U236" s="3">
        <f t="shared" si="197"/>
        <v>1.5301974797879704E-4</v>
      </c>
      <c r="V236" s="3">
        <f t="shared" si="197"/>
        <v>1.5301974797879704E-4</v>
      </c>
      <c r="W236" s="3">
        <f t="shared" si="197"/>
        <v>1.5301974797879704E-4</v>
      </c>
      <c r="X236" s="3">
        <f t="shared" si="197"/>
        <v>1.5301974797879704E-4</v>
      </c>
      <c r="Y236" s="3">
        <f t="shared" si="197"/>
        <v>1.5301974797879704E-4</v>
      </c>
      <c r="Z236" s="3">
        <f t="shared" si="197"/>
        <v>1.5301974797879704E-4</v>
      </c>
      <c r="AA236" s="3">
        <f t="shared" si="197"/>
        <v>1.5301974797879702E-4</v>
      </c>
      <c r="AB236" s="3">
        <f t="shared" si="197"/>
        <v>1.5301974797879694E-4</v>
      </c>
      <c r="AC236" s="3">
        <f t="shared" si="197"/>
        <v>1.5301974797879585E-4</v>
      </c>
      <c r="AD236" s="3">
        <f t="shared" si="197"/>
        <v>1.530197479787852E-4</v>
      </c>
      <c r="AE236" s="3">
        <f t="shared" si="197"/>
        <v>1.5301974797867859E-4</v>
      </c>
      <c r="AF236" s="3">
        <f t="shared" si="197"/>
        <v>1.5301974797761247E-4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4.9447313975811648E-5</v>
      </c>
      <c r="C238" s="3">
        <f t="shared" si="199"/>
        <v>4.9447313975811648E-5</v>
      </c>
      <c r="D238" s="3">
        <f t="shared" si="199"/>
        <v>4.9447313975811648E-5</v>
      </c>
      <c r="E238" s="3">
        <f t="shared" si="199"/>
        <v>4.9447313975811648E-5</v>
      </c>
      <c r="F238" s="3">
        <f t="shared" si="199"/>
        <v>4.9447313975811648E-5</v>
      </c>
      <c r="G238" s="3">
        <f t="shared" si="199"/>
        <v>4.9447313975811648E-5</v>
      </c>
      <c r="H238" s="3">
        <f t="shared" si="199"/>
        <v>4.9447313975811648E-5</v>
      </c>
      <c r="I238" s="3">
        <f t="shared" si="199"/>
        <v>4.9447313975811648E-5</v>
      </c>
      <c r="J238" s="3">
        <f t="shared" si="199"/>
        <v>4.9447313975811648E-5</v>
      </c>
      <c r="K238" s="3">
        <f t="shared" si="199"/>
        <v>4.9447313975811648E-5</v>
      </c>
      <c r="L238" s="3">
        <f t="shared" si="199"/>
        <v>4.9447313975811648E-5</v>
      </c>
      <c r="M238" s="3">
        <f t="shared" si="199"/>
        <v>4.9447313975811648E-5</v>
      </c>
      <c r="N238" s="3">
        <f t="shared" si="199"/>
        <v>4.9447313975811648E-5</v>
      </c>
      <c r="O238" s="3">
        <f t="shared" si="199"/>
        <v>4.9447313975811648E-5</v>
      </c>
      <c r="P238" s="3">
        <f t="shared" si="199"/>
        <v>4.9447313975811648E-5</v>
      </c>
      <c r="Q238" s="3">
        <f t="shared" si="199"/>
        <v>4.9447313975811648E-5</v>
      </c>
      <c r="R238" s="3">
        <f t="shared" si="199"/>
        <v>4.9447313975811648E-5</v>
      </c>
      <c r="S238" s="3">
        <f t="shared" si="199"/>
        <v>4.9447313975811648E-5</v>
      </c>
      <c r="T238" s="3">
        <f t="shared" si="199"/>
        <v>4.9447313975811648E-5</v>
      </c>
      <c r="U238" s="3">
        <f t="shared" si="199"/>
        <v>4.9447313975811648E-5</v>
      </c>
      <c r="V238" s="3">
        <f t="shared" si="199"/>
        <v>4.9447313975811648E-5</v>
      </c>
      <c r="W238" s="3">
        <f t="shared" si="199"/>
        <v>4.9447313975811648E-5</v>
      </c>
      <c r="X238" s="3">
        <f t="shared" si="199"/>
        <v>4.9447313975811648E-5</v>
      </c>
      <c r="Y238" s="3">
        <f t="shared" si="199"/>
        <v>4.9447313975811648E-5</v>
      </c>
      <c r="Z238" s="3">
        <f t="shared" si="199"/>
        <v>4.9447313975811648E-5</v>
      </c>
      <c r="AA238" s="3">
        <f t="shared" si="199"/>
        <v>4.9447313975811648E-5</v>
      </c>
      <c r="AB238" s="3">
        <f t="shared" si="199"/>
        <v>4.9447313975811648E-5</v>
      </c>
      <c r="AC238" s="3">
        <f t="shared" si="199"/>
        <v>4.9447313975811641E-5</v>
      </c>
      <c r="AD238" s="3">
        <f t="shared" si="199"/>
        <v>4.9447313975811607E-5</v>
      </c>
      <c r="AE238" s="3">
        <f t="shared" si="199"/>
        <v>4.9447313975811262E-5</v>
      </c>
      <c r="AF238" s="3">
        <f t="shared" si="199"/>
        <v>4.9447313975807819E-5</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6.9977936619533359E-4</v>
      </c>
      <c r="C240" s="3">
        <f t="shared" si="201"/>
        <v>6.9977936619533359E-4</v>
      </c>
      <c r="D240" s="3">
        <f t="shared" si="201"/>
        <v>6.9977936619533359E-4</v>
      </c>
      <c r="E240" s="3">
        <f t="shared" si="201"/>
        <v>6.9977936619533359E-4</v>
      </c>
      <c r="F240" s="3">
        <f t="shared" si="201"/>
        <v>6.9977936619533359E-4</v>
      </c>
      <c r="G240" s="3">
        <f t="shared" si="201"/>
        <v>6.9977936619533359E-4</v>
      </c>
      <c r="H240" s="3">
        <f t="shared" si="201"/>
        <v>6.9977936619533359E-4</v>
      </c>
      <c r="I240" s="3">
        <f t="shared" si="201"/>
        <v>6.9977936619533359E-4</v>
      </c>
      <c r="J240" s="3">
        <f t="shared" si="201"/>
        <v>6.9977936619533359E-4</v>
      </c>
      <c r="K240" s="3">
        <f t="shared" si="201"/>
        <v>6.9977936619533359E-4</v>
      </c>
      <c r="L240" s="3">
        <f t="shared" si="201"/>
        <v>6.9977936619533359E-4</v>
      </c>
      <c r="M240" s="3">
        <f t="shared" si="201"/>
        <v>6.9977936619533359E-4</v>
      </c>
      <c r="N240" s="3">
        <f t="shared" si="201"/>
        <v>6.9977936619533359E-4</v>
      </c>
      <c r="O240" s="3">
        <f t="shared" si="201"/>
        <v>6.9977936619533359E-4</v>
      </c>
      <c r="P240" s="3">
        <f t="shared" si="201"/>
        <v>6.9977936619533359E-4</v>
      </c>
      <c r="Q240" s="3">
        <f t="shared" si="201"/>
        <v>6.9977936619533359E-4</v>
      </c>
      <c r="R240" s="3">
        <f t="shared" si="201"/>
        <v>6.9977936619533359E-4</v>
      </c>
      <c r="S240" s="3">
        <f t="shared" si="201"/>
        <v>6.9977936619533359E-4</v>
      </c>
      <c r="T240" s="3">
        <f t="shared" si="201"/>
        <v>6.9977936619533359E-4</v>
      </c>
      <c r="U240" s="3">
        <f t="shared" si="201"/>
        <v>6.9977936619533359E-4</v>
      </c>
      <c r="V240" s="3">
        <f t="shared" si="201"/>
        <v>6.9977936619533359E-4</v>
      </c>
      <c r="W240" s="3">
        <f t="shared" si="201"/>
        <v>6.9977936619533359E-4</v>
      </c>
      <c r="X240" s="3">
        <f t="shared" si="201"/>
        <v>6.9977936619533359E-4</v>
      </c>
      <c r="Y240" s="3">
        <f t="shared" si="201"/>
        <v>6.9977936619533359E-4</v>
      </c>
      <c r="Z240" s="3">
        <f t="shared" si="201"/>
        <v>6.9977936619533359E-4</v>
      </c>
      <c r="AA240" s="3">
        <f t="shared" si="201"/>
        <v>6.9977936619533359E-4</v>
      </c>
      <c r="AB240" s="3">
        <f t="shared" si="201"/>
        <v>6.9977936619533359E-4</v>
      </c>
      <c r="AC240" s="3">
        <f t="shared" si="201"/>
        <v>6.9977936619533359E-4</v>
      </c>
      <c r="AD240" s="3">
        <f t="shared" si="201"/>
        <v>6.9977936619533359E-4</v>
      </c>
      <c r="AE240" s="3">
        <f t="shared" si="201"/>
        <v>6.9977936619533348E-4</v>
      </c>
      <c r="AF240" s="3">
        <f t="shared" si="201"/>
        <v>6.9977936619533305E-4</v>
      </c>
      <c r="AG240" s="3"/>
      <c r="AH240" s="3"/>
    </row>
    <row r="241" spans="1:34" x14ac:dyDescent="0.25">
      <c r="A241" s="79">
        <f>AVERAGE(B241:AF241)</f>
        <v>0.1701347908264173</v>
      </c>
      <c r="B241" s="80">
        <f>IF($A$64&lt;=B207,IF($B$64&gt;=B207,ABS((B209-B208)/B208),0),0)</f>
        <v>0.1094801021256233</v>
      </c>
      <c r="C241" s="80">
        <f t="shared" ref="C241:AF241" si="202">IF($A$64&lt;=C207,IF($B$64&gt;=C207,ABS((C209-C208)/C208),0),0)</f>
        <v>0.10953663834512051</v>
      </c>
      <c r="D241" s="80">
        <f t="shared" si="202"/>
        <v>0.10953189340303454</v>
      </c>
      <c r="E241" s="80">
        <f t="shared" si="202"/>
        <v>0.10953066986452019</v>
      </c>
      <c r="F241" s="80">
        <f t="shared" si="202"/>
        <v>0.10953031175579497</v>
      </c>
      <c r="G241" s="80">
        <f t="shared" si="202"/>
        <v>0.10953020730849822</v>
      </c>
      <c r="H241" s="80">
        <f t="shared" si="202"/>
        <v>0.10953017001663352</v>
      </c>
      <c r="I241" s="80">
        <f t="shared" si="202"/>
        <v>0.10953015520682302</v>
      </c>
      <c r="J241" s="80">
        <f t="shared" si="202"/>
        <v>0.10953011901772999</v>
      </c>
      <c r="K241" s="80">
        <f t="shared" si="202"/>
        <v>0.10952983173281075</v>
      </c>
      <c r="L241" s="80">
        <f t="shared" si="202"/>
        <v>0.10952696634452452</v>
      </c>
      <c r="M241" s="80">
        <f t="shared" si="202"/>
        <v>0.10949832741337083</v>
      </c>
      <c r="N241" s="80">
        <f t="shared" si="202"/>
        <v>0.10921417930137248</v>
      </c>
      <c r="O241" s="80">
        <f t="shared" si="202"/>
        <v>0.10658198699520412</v>
      </c>
      <c r="P241" s="80">
        <f t="shared" si="202"/>
        <v>9.3190710617733569E-2</v>
      </c>
      <c r="Q241" s="80">
        <f t="shared" si="202"/>
        <v>8.5161492933350333E-2</v>
      </c>
      <c r="R241" s="80">
        <f t="shared" si="202"/>
        <v>0.11188838110468551</v>
      </c>
      <c r="S241" s="80">
        <f t="shared" si="202"/>
        <v>0.11692598902173661</v>
      </c>
      <c r="T241" s="80">
        <f t="shared" si="202"/>
        <v>9.1302767046968908E-2</v>
      </c>
      <c r="U241" s="80">
        <f t="shared" si="202"/>
        <v>5.7302983358331538E-3</v>
      </c>
      <c r="V241" s="80">
        <f t="shared" si="202"/>
        <v>0.13301375598174048</v>
      </c>
      <c r="W241" s="80">
        <f t="shared" si="202"/>
        <v>0.23060213254752135</v>
      </c>
      <c r="X241" s="80">
        <f t="shared" si="202"/>
        <v>0.26035328491847737</v>
      </c>
      <c r="Y241" s="80">
        <f t="shared" si="202"/>
        <v>0.21189616828735972</v>
      </c>
      <c r="Z241" s="80">
        <f t="shared" si="202"/>
        <v>8.1718732785987541E-2</v>
      </c>
      <c r="AA241" s="80">
        <f t="shared" si="202"/>
        <v>0.12908319782622929</v>
      </c>
      <c r="AB241" s="80">
        <f t="shared" si="202"/>
        <v>0.35524680297996486</v>
      </c>
      <c r="AC241" s="80">
        <f t="shared" si="202"/>
        <v>0.50647010051404928</v>
      </c>
      <c r="AD241" s="80">
        <f t="shared" si="202"/>
        <v>0.57828203288038227</v>
      </c>
      <c r="AE241" s="80">
        <f t="shared" si="202"/>
        <v>0.50979258327235544</v>
      </c>
      <c r="AF241" s="80">
        <f t="shared" si="202"/>
        <v>0.24343852573349914</v>
      </c>
    </row>
    <row r="242" spans="1:34" x14ac:dyDescent="0.25">
      <c r="B242" s="21">
        <f>(B209-B208)^2</f>
        <v>644159.26734301599</v>
      </c>
      <c r="C242" s="21">
        <f t="shared" ref="C242:AF242" si="203">(C209-C208)^2</f>
        <v>644837.69039051724</v>
      </c>
      <c r="D242" s="21">
        <f t="shared" si="203"/>
        <v>644774.95350076107</v>
      </c>
      <c r="E242" s="21">
        <f t="shared" si="203"/>
        <v>644758.77666730341</v>
      </c>
      <c r="F242" s="21">
        <f t="shared" si="203"/>
        <v>644754.04203241423</v>
      </c>
      <c r="G242" s="21">
        <f t="shared" si="203"/>
        <v>644752.66111396195</v>
      </c>
      <c r="H242" s="21">
        <f t="shared" si="203"/>
        <v>644752.16805569478</v>
      </c>
      <c r="I242" s="21">
        <f t="shared" si="203"/>
        <v>644751.97209140798</v>
      </c>
      <c r="J242" s="21">
        <f t="shared" si="203"/>
        <v>644751.49201644212</v>
      </c>
      <c r="K242" s="21">
        <f t="shared" si="203"/>
        <v>644747.67765279533</v>
      </c>
      <c r="L242" s="21">
        <f t="shared" si="203"/>
        <v>644709.63341497129</v>
      </c>
      <c r="M242" s="21">
        <f t="shared" si="203"/>
        <v>644329.46431253175</v>
      </c>
      <c r="N242" s="21">
        <f t="shared" si="203"/>
        <v>640564.84111321741</v>
      </c>
      <c r="O242" s="21">
        <f t="shared" si="203"/>
        <v>606319.17382941442</v>
      </c>
      <c r="P242" s="21">
        <f t="shared" si="203"/>
        <v>448828.35865185526</v>
      </c>
      <c r="Q242" s="21">
        <f t="shared" si="203"/>
        <v>359988.7641184649</v>
      </c>
      <c r="R242" s="21">
        <f t="shared" si="203"/>
        <v>592790.80994717986</v>
      </c>
      <c r="S242" s="21">
        <f t="shared" si="203"/>
        <v>601559.08759412076</v>
      </c>
      <c r="T242" s="21">
        <f t="shared" si="203"/>
        <v>314480.69874735299</v>
      </c>
      <c r="U242" s="21">
        <f t="shared" si="203"/>
        <v>909.63048637614531</v>
      </c>
      <c r="V242" s="21">
        <f t="shared" si="203"/>
        <v>342394.88241356501</v>
      </c>
      <c r="W242" s="21">
        <f t="shared" si="203"/>
        <v>750699.73114273325</v>
      </c>
      <c r="X242" s="21">
        <f t="shared" si="203"/>
        <v>734213.42377054784</v>
      </c>
      <c r="Y242" s="21">
        <f t="shared" si="203"/>
        <v>383724.85840913153</v>
      </c>
      <c r="Z242" s="21">
        <f t="shared" si="203"/>
        <v>44860.610548692435</v>
      </c>
      <c r="AA242" s="21">
        <f t="shared" si="203"/>
        <v>82648.317169704329</v>
      </c>
      <c r="AB242" s="21">
        <f t="shared" si="203"/>
        <v>417155.59115806129</v>
      </c>
      <c r="AC242" s="21">
        <f t="shared" si="203"/>
        <v>476344.84995070094</v>
      </c>
      <c r="AD242" s="21">
        <f t="shared" si="203"/>
        <v>260502.83581523717</v>
      </c>
      <c r="AE242" s="21">
        <f t="shared" si="203"/>
        <v>68655.574130231529</v>
      </c>
      <c r="AF242" s="21">
        <f t="shared" si="203"/>
        <v>4913.8035789447813</v>
      </c>
      <c r="AG242" s="3"/>
      <c r="AH242" s="3"/>
    </row>
    <row r="243" spans="1:34" x14ac:dyDescent="0.25">
      <c r="A243" s="71">
        <f>SUM(B243:AF243)</f>
        <v>14867635.641167348</v>
      </c>
      <c r="B243" s="60">
        <f>IF($A$64&lt;=B207,IF($B$64&gt;=B207,ABS(B242),0),0)</f>
        <v>644159.26734301599</v>
      </c>
      <c r="C243" s="60">
        <f t="shared" ref="C243" si="204">IF($A$64&lt;=C207,IF($B$64&gt;=C207,ABS(C242),0),0)</f>
        <v>644837.69039051724</v>
      </c>
      <c r="D243" s="60">
        <f t="shared" ref="D243" si="205">IF($A$64&lt;=D207,IF($B$64&gt;=D207,ABS(D242),0),0)</f>
        <v>644774.95350076107</v>
      </c>
      <c r="E243" s="60">
        <f t="shared" ref="E243" si="206">IF($A$64&lt;=E207,IF($B$64&gt;=E207,ABS(E242),0),0)</f>
        <v>644758.77666730341</v>
      </c>
      <c r="F243" s="60">
        <f t="shared" ref="F243" si="207">IF($A$64&lt;=F207,IF($B$64&gt;=F207,ABS(F242),0),0)</f>
        <v>644754.04203241423</v>
      </c>
      <c r="G243" s="60">
        <f t="shared" ref="G243" si="208">IF($A$64&lt;=G207,IF($B$64&gt;=G207,ABS(G242),0),0)</f>
        <v>644752.66111396195</v>
      </c>
      <c r="H243" s="60">
        <f t="shared" ref="H243" si="209">IF($A$64&lt;=H207,IF($B$64&gt;=H207,ABS(H242),0),0)</f>
        <v>644752.16805569478</v>
      </c>
      <c r="I243" s="60">
        <f t="shared" ref="I243" si="210">IF($A$64&lt;=I207,IF($B$64&gt;=I207,ABS(I242),0),0)</f>
        <v>644751.97209140798</v>
      </c>
      <c r="J243" s="60">
        <f t="shared" ref="J243" si="211">IF($A$64&lt;=J207,IF($B$64&gt;=J207,ABS(J242),0),0)</f>
        <v>644751.49201644212</v>
      </c>
      <c r="K243" s="60">
        <f t="shared" ref="K243" si="212">IF($A$64&lt;=K207,IF($B$64&gt;=K207,ABS(K242),0),0)</f>
        <v>644747.67765279533</v>
      </c>
      <c r="L243" s="60">
        <f t="shared" ref="L243" si="213">IF($A$64&lt;=L207,IF($B$64&gt;=L207,ABS(L242),0),0)</f>
        <v>644709.63341497129</v>
      </c>
      <c r="M243" s="60">
        <f t="shared" ref="M243" si="214">IF($A$64&lt;=M207,IF($B$64&gt;=M207,ABS(M242),0),0)</f>
        <v>644329.46431253175</v>
      </c>
      <c r="N243" s="60">
        <f t="shared" ref="N243" si="215">IF($A$64&lt;=N207,IF($B$64&gt;=N207,ABS(N242),0),0)</f>
        <v>640564.84111321741</v>
      </c>
      <c r="O243" s="60">
        <f t="shared" ref="O243" si="216">IF($A$64&lt;=O207,IF($B$64&gt;=O207,ABS(O242),0),0)</f>
        <v>606319.17382941442</v>
      </c>
      <c r="P243" s="60">
        <f t="shared" ref="P243" si="217">IF($A$64&lt;=P207,IF($B$64&gt;=P207,ABS(P242),0),0)</f>
        <v>448828.35865185526</v>
      </c>
      <c r="Q243" s="60">
        <f t="shared" ref="Q243" si="218">IF($A$64&lt;=Q207,IF($B$64&gt;=Q207,ABS(Q242),0),0)</f>
        <v>359988.7641184649</v>
      </c>
      <c r="R243" s="60">
        <f t="shared" ref="R243" si="219">IF($A$64&lt;=R207,IF($B$64&gt;=R207,ABS(R242),0),0)</f>
        <v>592790.80994717986</v>
      </c>
      <c r="S243" s="60">
        <f t="shared" ref="S243" si="220">IF($A$64&lt;=S207,IF($B$64&gt;=S207,ABS(S242),0),0)</f>
        <v>601559.08759412076</v>
      </c>
      <c r="T243" s="60">
        <f t="shared" ref="T243" si="221">IF($A$64&lt;=T207,IF($B$64&gt;=T207,ABS(T242),0),0)</f>
        <v>314480.69874735299</v>
      </c>
      <c r="U243" s="60">
        <f t="shared" ref="U243" si="222">IF($A$64&lt;=U207,IF($B$64&gt;=U207,ABS(U242),0),0)</f>
        <v>909.63048637614531</v>
      </c>
      <c r="V243" s="60">
        <f t="shared" ref="V243" si="223">IF($A$64&lt;=V207,IF($B$64&gt;=V207,ABS(V242),0),0)</f>
        <v>342394.88241356501</v>
      </c>
      <c r="W243" s="60">
        <f t="shared" ref="W243" si="224">IF($A$64&lt;=W207,IF($B$64&gt;=W207,ABS(W242),0),0)</f>
        <v>750699.73114273325</v>
      </c>
      <c r="X243" s="60">
        <f t="shared" ref="X243" si="225">IF($A$64&lt;=X207,IF($B$64&gt;=X207,ABS(X242),0),0)</f>
        <v>734213.42377054784</v>
      </c>
      <c r="Y243" s="60">
        <f t="shared" ref="Y243" si="226">IF($A$64&lt;=Y207,IF($B$64&gt;=Y207,ABS(Y242),0),0)</f>
        <v>383724.85840913153</v>
      </c>
      <c r="Z243" s="60">
        <f t="shared" ref="Z243" si="227">IF($A$64&lt;=Z207,IF($B$64&gt;=Z207,ABS(Z242),0),0)</f>
        <v>44860.610548692435</v>
      </c>
      <c r="AA243" s="60">
        <f t="shared" ref="AA243" si="228">IF($A$64&lt;=AA207,IF($B$64&gt;=AA207,ABS(AA242),0),0)</f>
        <v>82648.317169704329</v>
      </c>
      <c r="AB243" s="60">
        <f t="shared" ref="AB243" si="229">IF($A$64&lt;=AB207,IF($B$64&gt;=AB207,ABS(AB242),0),0)</f>
        <v>417155.59115806129</v>
      </c>
      <c r="AC243" s="60">
        <f t="shared" ref="AC243" si="230">IF($A$64&lt;=AC207,IF($B$64&gt;=AC207,ABS(AC242),0),0)</f>
        <v>476344.84995070094</v>
      </c>
      <c r="AD243" s="60">
        <f t="shared" ref="AD243" si="231">IF($A$64&lt;=AD207,IF($B$64&gt;=AD207,ABS(AD242),0),0)</f>
        <v>260502.83581523717</v>
      </c>
      <c r="AE243" s="60">
        <f t="shared" ref="AE243" si="232">IF($A$64&lt;=AE207,IF($B$64&gt;=AE207,ABS(AE242),0),0)</f>
        <v>68655.574130231529</v>
      </c>
      <c r="AF243" s="60">
        <f t="shared" ref="AF243" si="233">IF($A$64&lt;=AF207,IF($B$64&gt;=AF207,ABS(AF242),0),0)</f>
        <v>4913.8035789447813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6528.0256699465126</v>
      </c>
      <c r="C248" s="27">
        <f t="shared" ref="C248:AF248" si="234">($C$17+SUM(C249:C279))*$B$51</f>
        <v>6528.0256699463598</v>
      </c>
      <c r="D248" s="27">
        <f t="shared" si="234"/>
        <v>6528.02566994482</v>
      </c>
      <c r="E248" s="27">
        <f t="shared" si="234"/>
        <v>6528.0256699294305</v>
      </c>
      <c r="F248" s="27">
        <f t="shared" si="234"/>
        <v>6528.0256697755349</v>
      </c>
      <c r="G248" s="27">
        <f t="shared" si="234"/>
        <v>6528.0256682365762</v>
      </c>
      <c r="H248" s="27">
        <f t="shared" si="234"/>
        <v>6528.0256528470072</v>
      </c>
      <c r="I248" s="27">
        <f t="shared" si="234"/>
        <v>6528.0254989513196</v>
      </c>
      <c r="J248" s="27">
        <f t="shared" si="234"/>
        <v>6528.0239599971737</v>
      </c>
      <c r="K248" s="27">
        <f t="shared" si="234"/>
        <v>6528.0085707273456</v>
      </c>
      <c r="L248" s="27">
        <f t="shared" si="234"/>
        <v>6527.8547051890855</v>
      </c>
      <c r="M248" s="27">
        <f t="shared" si="234"/>
        <v>6526.3187624457605</v>
      </c>
      <c r="N248" s="27">
        <f t="shared" si="234"/>
        <v>6511.2272661597799</v>
      </c>
      <c r="O248" s="27">
        <f t="shared" si="234"/>
        <v>6384.0625545176572</v>
      </c>
      <c r="P248" s="27">
        <f t="shared" si="234"/>
        <v>6029.8920184056014</v>
      </c>
      <c r="Q248" s="27">
        <f t="shared" si="234"/>
        <v>5789.3874377596485</v>
      </c>
      <c r="R248" s="27">
        <f t="shared" si="234"/>
        <v>5499.9609454403972</v>
      </c>
      <c r="S248" s="27">
        <f t="shared" si="234"/>
        <v>5207.8727956385183</v>
      </c>
      <c r="T248" s="27">
        <f t="shared" si="234"/>
        <v>4885.680856190651</v>
      </c>
      <c r="U248" s="27">
        <f t="shared" si="234"/>
        <v>4499.3082525709815</v>
      </c>
      <c r="V248" s="27">
        <f t="shared" si="234"/>
        <v>3978.4072504897508</v>
      </c>
      <c r="W248" s="27">
        <f t="shared" si="234"/>
        <v>3333.5067519726017</v>
      </c>
      <c r="X248" s="27">
        <f t="shared" si="234"/>
        <v>2550.1341708593218</v>
      </c>
      <c r="Y248" s="27">
        <f t="shared" si="234"/>
        <v>1669.2118729746762</v>
      </c>
      <c r="Z248" s="27">
        <f t="shared" si="234"/>
        <v>1002.644665607374</v>
      </c>
      <c r="AA248" s="27">
        <f t="shared" si="234"/>
        <v>565.08052940518564</v>
      </c>
      <c r="AB248" s="27">
        <f t="shared" si="234"/>
        <v>327.63638210288963</v>
      </c>
      <c r="AC248" s="27">
        <f t="shared" si="234"/>
        <v>241.89214635796711</v>
      </c>
      <c r="AD248" s="27">
        <f t="shared" si="234"/>
        <v>209.74592454104905</v>
      </c>
      <c r="AE248" s="27">
        <f t="shared" si="234"/>
        <v>181.26922906784236</v>
      </c>
      <c r="AF248" s="27">
        <f t="shared" si="234"/>
        <v>153.7805289585497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5.9305618641402297E-2</v>
      </c>
      <c r="C250" s="3">
        <f t="shared" si="236"/>
        <v>5.9305618641382354E-2</v>
      </c>
      <c r="D250" s="3">
        <f t="shared" si="236"/>
        <v>5.9305618641182889E-2</v>
      </c>
      <c r="E250" s="3">
        <f t="shared" si="236"/>
        <v>5.9305618639188235E-2</v>
      </c>
      <c r="F250" s="3">
        <f t="shared" si="236"/>
        <v>5.9305618619241676E-2</v>
      </c>
      <c r="G250" s="3">
        <f t="shared" si="236"/>
        <v>5.9305618419776086E-2</v>
      </c>
      <c r="H250" s="3">
        <f t="shared" si="236"/>
        <v>5.9305616425120271E-2</v>
      </c>
      <c r="I250" s="3">
        <f t="shared" si="236"/>
        <v>5.9305596478565814E-2</v>
      </c>
      <c r="J250" s="3">
        <f t="shared" si="236"/>
        <v>5.9305397013390201E-2</v>
      </c>
      <c r="K250" s="3">
        <f t="shared" si="236"/>
        <v>5.9303402398531553E-2</v>
      </c>
      <c r="L250" s="3">
        <f t="shared" si="236"/>
        <v>5.9283459939234728E-2</v>
      </c>
      <c r="M250" s="3">
        <f t="shared" si="236"/>
        <v>5.9084403816533723E-2</v>
      </c>
      <c r="N250" s="3">
        <f t="shared" si="236"/>
        <v>5.713023517322486E-2</v>
      </c>
      <c r="O250" s="3">
        <f t="shared" si="236"/>
        <v>4.0812909199620315E-2</v>
      </c>
      <c r="P250" s="3">
        <f t="shared" si="236"/>
        <v>1.4129050085169715E-3</v>
      </c>
      <c r="Q250" s="3">
        <f t="shared" si="236"/>
        <v>3.4935509484720969E-18</v>
      </c>
      <c r="R250" s="3">
        <f t="shared" si="236"/>
        <v>2.9840647803587068E-164</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3.0349614864603157E-2</v>
      </c>
      <c r="C251" s="3">
        <f t="shared" si="237"/>
        <v>3.0349614864602234E-2</v>
      </c>
      <c r="D251" s="3">
        <f t="shared" si="237"/>
        <v>3.0349614864593026E-2</v>
      </c>
      <c r="E251" s="3">
        <f t="shared" si="237"/>
        <v>3.0349614864500947E-2</v>
      </c>
      <c r="F251" s="3">
        <f t="shared" si="237"/>
        <v>3.0349614863580131E-2</v>
      </c>
      <c r="G251" s="3">
        <f t="shared" si="237"/>
        <v>3.034961485437199E-2</v>
      </c>
      <c r="H251" s="3">
        <f t="shared" si="237"/>
        <v>3.0349614762290592E-2</v>
      </c>
      <c r="I251" s="3">
        <f t="shared" si="237"/>
        <v>3.0349613841476615E-2</v>
      </c>
      <c r="J251" s="3">
        <f t="shared" si="237"/>
        <v>3.0349604633338381E-2</v>
      </c>
      <c r="K251" s="3">
        <f t="shared" si="237"/>
        <v>3.0349512552109683E-2</v>
      </c>
      <c r="L251" s="3">
        <f t="shared" si="237"/>
        <v>3.0348591755188267E-2</v>
      </c>
      <c r="M251" s="3">
        <f t="shared" si="237"/>
        <v>3.0339385322355947E-2</v>
      </c>
      <c r="N251" s="3">
        <f t="shared" si="237"/>
        <v>3.0247474459881664E-2</v>
      </c>
      <c r="O251" s="3">
        <f t="shared" si="237"/>
        <v>2.9343541530296495E-2</v>
      </c>
      <c r="P251" s="3">
        <f t="shared" si="237"/>
        <v>2.1664398068390541E-2</v>
      </c>
      <c r="Q251" s="3">
        <f t="shared" si="237"/>
        <v>1.0425277191637723E-3</v>
      </c>
      <c r="R251" s="3">
        <f t="shared" si="237"/>
        <v>6.9422052812712896E-17</v>
      </c>
      <c r="S251" s="3">
        <f t="shared" si="237"/>
        <v>1.190133987686326E-148</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4.1677263073992506E-2</v>
      </c>
      <c r="C252" s="3">
        <f t="shared" si="238"/>
        <v>4.1677263073992395E-2</v>
      </c>
      <c r="D252" s="3">
        <f t="shared" si="238"/>
        <v>4.167726307399125E-2</v>
      </c>
      <c r="E252" s="3">
        <f t="shared" si="238"/>
        <v>4.1677263073979849E-2</v>
      </c>
      <c r="F252" s="3">
        <f t="shared" si="238"/>
        <v>4.1677263073865781E-2</v>
      </c>
      <c r="G252" s="3">
        <f t="shared" si="238"/>
        <v>4.1677263072725096E-2</v>
      </c>
      <c r="H252" s="3">
        <f t="shared" si="238"/>
        <v>4.1677263061318276E-2</v>
      </c>
      <c r="I252" s="3">
        <f t="shared" si="238"/>
        <v>4.1677262947250097E-2</v>
      </c>
      <c r="J252" s="3">
        <f t="shared" si="238"/>
        <v>4.1677261806568326E-2</v>
      </c>
      <c r="K252" s="3">
        <f t="shared" si="238"/>
        <v>4.1677250399752321E-2</v>
      </c>
      <c r="L252" s="3">
        <f t="shared" si="238"/>
        <v>4.1677136331763988E-2</v>
      </c>
      <c r="M252" s="3">
        <f t="shared" si="238"/>
        <v>4.1675995669051329E-2</v>
      </c>
      <c r="N252" s="3">
        <f t="shared" si="238"/>
        <v>4.1664590758819439E-2</v>
      </c>
      <c r="O252" s="3">
        <f t="shared" si="238"/>
        <v>4.1550713172229678E-2</v>
      </c>
      <c r="P252" s="3">
        <f t="shared" si="238"/>
        <v>4.0428916455009886E-2</v>
      </c>
      <c r="Q252" s="3">
        <f t="shared" si="238"/>
        <v>3.0748808853907766E-2</v>
      </c>
      <c r="R252" s="3">
        <f t="shared" si="238"/>
        <v>1.991545558275042E-3</v>
      </c>
      <c r="S252" s="3">
        <f t="shared" si="238"/>
        <v>2.587079265405676E-15</v>
      </c>
      <c r="T252" s="3">
        <f t="shared" si="238"/>
        <v>3.5400111558805229E-134</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4.036501144186317E-2</v>
      </c>
      <c r="C253" s="3">
        <f t="shared" si="239"/>
        <v>4.0365011441863163E-2</v>
      </c>
      <c r="D253" s="3">
        <f t="shared" si="239"/>
        <v>4.0365011441863059E-2</v>
      </c>
      <c r="E253" s="3">
        <f t="shared" si="239"/>
        <v>4.036501144186206E-2</v>
      </c>
      <c r="F253" s="3">
        <f t="shared" si="239"/>
        <v>4.0365011441852096E-2</v>
      </c>
      <c r="G253" s="3">
        <f t="shared" si="239"/>
        <v>4.0365011441752439E-2</v>
      </c>
      <c r="H253" s="3">
        <f t="shared" si="239"/>
        <v>4.0365011440755848E-2</v>
      </c>
      <c r="I253" s="3">
        <f t="shared" si="239"/>
        <v>4.0365011430789938E-2</v>
      </c>
      <c r="J253" s="3">
        <f t="shared" si="239"/>
        <v>4.036501133113083E-2</v>
      </c>
      <c r="K253" s="3">
        <f t="shared" si="239"/>
        <v>4.0365010334539785E-2</v>
      </c>
      <c r="L253" s="3">
        <f t="shared" si="239"/>
        <v>4.0365000368630652E-2</v>
      </c>
      <c r="M253" s="3">
        <f t="shared" si="239"/>
        <v>4.0364900709674675E-2</v>
      </c>
      <c r="N253" s="3">
        <f t="shared" si="239"/>
        <v>4.036390413364771E-2</v>
      </c>
      <c r="O253" s="3">
        <f t="shared" si="239"/>
        <v>4.0353939726532895E-2</v>
      </c>
      <c r="P253" s="3">
        <f t="shared" si="239"/>
        <v>4.025443084734151E-2</v>
      </c>
      <c r="Q253" s="3">
        <f t="shared" si="239"/>
        <v>3.9272738563168694E-2</v>
      </c>
      <c r="R253" s="3">
        <f t="shared" si="239"/>
        <v>3.068076228709191E-2</v>
      </c>
      <c r="S253" s="3">
        <f t="shared" si="239"/>
        <v>2.5978599735040366E-3</v>
      </c>
      <c r="T253" s="3">
        <f t="shared" si="239"/>
        <v>4.9216606600635888E-14</v>
      </c>
      <c r="U253" s="3">
        <f t="shared" si="239"/>
        <v>2.9313720739766994E-121</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4.4176699157067116E-2</v>
      </c>
      <c r="C254" s="3">
        <f t="shared" si="240"/>
        <v>4.4176699157067116E-2</v>
      </c>
      <c r="D254" s="3">
        <f t="shared" si="240"/>
        <v>4.4176699157067109E-2</v>
      </c>
      <c r="E254" s="3">
        <f t="shared" si="240"/>
        <v>4.4176699157067005E-2</v>
      </c>
      <c r="F254" s="3">
        <f t="shared" si="240"/>
        <v>4.417669915706602E-2</v>
      </c>
      <c r="G254" s="3">
        <f t="shared" si="240"/>
        <v>4.417669915705618E-2</v>
      </c>
      <c r="H254" s="3">
        <f t="shared" si="240"/>
        <v>4.4176699156957794E-2</v>
      </c>
      <c r="I254" s="3">
        <f t="shared" si="240"/>
        <v>4.4176699155973893E-2</v>
      </c>
      <c r="J254" s="3">
        <f t="shared" si="240"/>
        <v>4.4176699146134875E-2</v>
      </c>
      <c r="K254" s="3">
        <f t="shared" si="240"/>
        <v>4.417669904774469E-2</v>
      </c>
      <c r="L254" s="3">
        <f t="shared" si="240"/>
        <v>4.417669806384289E-2</v>
      </c>
      <c r="M254" s="3">
        <f t="shared" si="240"/>
        <v>4.4176688224826073E-2</v>
      </c>
      <c r="N254" s="3">
        <f t="shared" si="240"/>
        <v>4.4176589834778394E-2</v>
      </c>
      <c r="O254" s="3">
        <f t="shared" si="240"/>
        <v>4.4175605946353877E-2</v>
      </c>
      <c r="P254" s="3">
        <f t="shared" si="240"/>
        <v>4.4165768267236789E-2</v>
      </c>
      <c r="Q254" s="3">
        <f t="shared" si="240"/>
        <v>4.406751188961764E-2</v>
      </c>
      <c r="R254" s="3">
        <f t="shared" si="240"/>
        <v>4.3096890828666558E-2</v>
      </c>
      <c r="S254" s="3">
        <f t="shared" si="240"/>
        <v>3.4492131460337611E-2</v>
      </c>
      <c r="T254" s="3">
        <f t="shared" si="240"/>
        <v>3.719297881381979E-3</v>
      </c>
      <c r="U254" s="3">
        <f t="shared" si="240"/>
        <v>7.9044246408576432E-13</v>
      </c>
      <c r="V254" s="3">
        <f t="shared" si="240"/>
        <v>1.4858099743533397E-109</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5.1093401565650405E-2</v>
      </c>
      <c r="C255" s="3">
        <f t="shared" si="241"/>
        <v>5.1093401565650405E-2</v>
      </c>
      <c r="D255" s="3">
        <f t="shared" si="241"/>
        <v>5.1093401565650405E-2</v>
      </c>
      <c r="E255" s="3">
        <f t="shared" si="241"/>
        <v>5.1093401565650391E-2</v>
      </c>
      <c r="F255" s="3">
        <f t="shared" si="241"/>
        <v>5.1093401565650294E-2</v>
      </c>
      <c r="G255" s="3">
        <f t="shared" si="241"/>
        <v>5.1093401565649267E-2</v>
      </c>
      <c r="H255" s="3">
        <f t="shared" si="241"/>
        <v>5.1093401565638998E-2</v>
      </c>
      <c r="I255" s="3">
        <f t="shared" si="241"/>
        <v>5.109340156553635E-2</v>
      </c>
      <c r="J255" s="3">
        <f t="shared" si="241"/>
        <v>5.1093401564509824E-2</v>
      </c>
      <c r="K255" s="3">
        <f t="shared" si="241"/>
        <v>5.1093401554244564E-2</v>
      </c>
      <c r="L255" s="3">
        <f t="shared" si="241"/>
        <v>5.1093401451591969E-2</v>
      </c>
      <c r="M255" s="3">
        <f t="shared" si="241"/>
        <v>5.1093400425066091E-2</v>
      </c>
      <c r="N255" s="3">
        <f t="shared" si="241"/>
        <v>5.1093390159808447E-2</v>
      </c>
      <c r="O255" s="3">
        <f t="shared" si="241"/>
        <v>5.1093287507345438E-2</v>
      </c>
      <c r="P255" s="3">
        <f t="shared" si="241"/>
        <v>5.1092260994058475E-2</v>
      </c>
      <c r="Q255" s="3">
        <f t="shared" si="241"/>
        <v>5.1081996995420619E-2</v>
      </c>
      <c r="R255" s="3">
        <f t="shared" si="241"/>
        <v>5.0979470347950855E-2</v>
      </c>
      <c r="S255" s="3">
        <f t="shared" si="241"/>
        <v>4.9965453961916581E-2</v>
      </c>
      <c r="T255" s="3">
        <f t="shared" si="241"/>
        <v>4.0870977301156783E-2</v>
      </c>
      <c r="U255" s="3">
        <f t="shared" si="241"/>
        <v>5.4810892434115797E-3</v>
      </c>
      <c r="V255" s="3">
        <f t="shared" si="241"/>
        <v>1.0313008613130131E-11</v>
      </c>
      <c r="W255" s="3">
        <f t="shared" si="241"/>
        <v>5.7354890067700571E-99</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7.3486409025988797E-2</v>
      </c>
      <c r="C256" s="3">
        <f t="shared" si="242"/>
        <v>7.3486409025988797E-2</v>
      </c>
      <c r="D256" s="3">
        <f t="shared" si="242"/>
        <v>7.3486409025988797E-2</v>
      </c>
      <c r="E256" s="3">
        <f t="shared" si="242"/>
        <v>7.3486409025988797E-2</v>
      </c>
      <c r="F256" s="3">
        <f t="shared" si="242"/>
        <v>7.3486409025988783E-2</v>
      </c>
      <c r="G256" s="3">
        <f t="shared" si="242"/>
        <v>7.3486409025988644E-2</v>
      </c>
      <c r="H256" s="3">
        <f t="shared" si="242"/>
        <v>7.3486409025987326E-2</v>
      </c>
      <c r="I256" s="3">
        <f t="shared" si="242"/>
        <v>7.3486409025974003E-2</v>
      </c>
      <c r="J256" s="3">
        <f t="shared" si="242"/>
        <v>7.3486409025840818E-2</v>
      </c>
      <c r="K256" s="3">
        <f t="shared" si="242"/>
        <v>7.3486409024508953E-2</v>
      </c>
      <c r="L256" s="3">
        <f t="shared" si="242"/>
        <v>7.3486409011190343E-2</v>
      </c>
      <c r="M256" s="3">
        <f t="shared" si="242"/>
        <v>7.3486408878004311E-2</v>
      </c>
      <c r="N256" s="3">
        <f t="shared" si="242"/>
        <v>7.3486407546143925E-2</v>
      </c>
      <c r="O256" s="3">
        <f t="shared" si="242"/>
        <v>7.3486394227541371E-2</v>
      </c>
      <c r="P256" s="3">
        <f t="shared" si="242"/>
        <v>7.3486261041648654E-2</v>
      </c>
      <c r="Q256" s="3">
        <f t="shared" si="242"/>
        <v>7.3484929195997514E-2</v>
      </c>
      <c r="R256" s="3">
        <f t="shared" si="242"/>
        <v>7.3471612067005074E-2</v>
      </c>
      <c r="S256" s="3">
        <f t="shared" si="242"/>
        <v>7.333857343999442E-2</v>
      </c>
      <c r="T256" s="3">
        <f t="shared" si="242"/>
        <v>7.2021364929227838E-2</v>
      </c>
      <c r="U256" s="3">
        <f t="shared" si="242"/>
        <v>6.0082811366901086E-2</v>
      </c>
      <c r="V256" s="3">
        <f t="shared" si="242"/>
        <v>9.8093273129227446E-3</v>
      </c>
      <c r="W256" s="3">
        <f t="shared" si="242"/>
        <v>1.3198635319383019E-10</v>
      </c>
      <c r="X256" s="3">
        <f t="shared" si="242"/>
        <v>2.5670070551890646E-89</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9.0828991010172527E-2</v>
      </c>
      <c r="C257" s="3">
        <f t="shared" si="243"/>
        <v>9.0828991010172527E-2</v>
      </c>
      <c r="D257" s="3">
        <f t="shared" si="243"/>
        <v>9.0828991010172527E-2</v>
      </c>
      <c r="E257" s="3">
        <f t="shared" si="243"/>
        <v>9.0828991010172527E-2</v>
      </c>
      <c r="F257" s="3">
        <f t="shared" si="243"/>
        <v>9.0828991010172527E-2</v>
      </c>
      <c r="G257" s="3">
        <f t="shared" si="243"/>
        <v>9.0828991010172513E-2</v>
      </c>
      <c r="H257" s="3">
        <f t="shared" si="243"/>
        <v>9.0828991010172361E-2</v>
      </c>
      <c r="I257" s="3">
        <f t="shared" si="243"/>
        <v>9.0828991010170876E-2</v>
      </c>
      <c r="J257" s="3">
        <f t="shared" si="243"/>
        <v>9.0828991010156027E-2</v>
      </c>
      <c r="K257" s="3">
        <f t="shared" si="243"/>
        <v>9.0828991010007534E-2</v>
      </c>
      <c r="L257" s="3">
        <f t="shared" si="243"/>
        <v>9.0828991008522542E-2</v>
      </c>
      <c r="M257" s="3">
        <f t="shared" si="243"/>
        <v>9.082899099367267E-2</v>
      </c>
      <c r="N257" s="3">
        <f t="shared" si="243"/>
        <v>9.0828990845173929E-2</v>
      </c>
      <c r="O257" s="3">
        <f t="shared" si="243"/>
        <v>9.082898936018656E-2</v>
      </c>
      <c r="P257" s="3">
        <f t="shared" si="243"/>
        <v>9.0828974510314284E-2</v>
      </c>
      <c r="Q257" s="3">
        <f t="shared" si="243"/>
        <v>9.0828826011724928E-2</v>
      </c>
      <c r="R257" s="3">
        <f t="shared" si="243"/>
        <v>9.0827341039184536E-2</v>
      </c>
      <c r="S257" s="3">
        <f t="shared" si="243"/>
        <v>9.0812492649005691E-2</v>
      </c>
      <c r="T257" s="3">
        <f t="shared" si="243"/>
        <v>9.0664142189005897E-2</v>
      </c>
      <c r="U257" s="3">
        <f t="shared" si="243"/>
        <v>8.91939013976812E-2</v>
      </c>
      <c r="V257" s="3">
        <f t="shared" si="243"/>
        <v>7.574102856392595E-2</v>
      </c>
      <c r="W257" s="3">
        <f t="shared" si="243"/>
        <v>1.4766976286699637E-2</v>
      </c>
      <c r="X257" s="3">
        <f t="shared" si="243"/>
        <v>1.1719129861073679E-9</v>
      </c>
      <c r="Y257" s="3">
        <f t="shared" si="243"/>
        <v>1.1612701412234043E-80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0.11303496653818297</v>
      </c>
      <c r="C258" s="3">
        <f t="shared" si="244"/>
        <v>0.11303496653818297</v>
      </c>
      <c r="D258" s="3">
        <f t="shared" si="244"/>
        <v>0.11303496653818297</v>
      </c>
      <c r="E258" s="3">
        <f t="shared" si="244"/>
        <v>0.11303496653818297</v>
      </c>
      <c r="F258" s="3">
        <f t="shared" si="244"/>
        <v>0.11303496653818297</v>
      </c>
      <c r="G258" s="3">
        <f t="shared" si="244"/>
        <v>0.11303496653818297</v>
      </c>
      <c r="H258" s="3">
        <f t="shared" si="244"/>
        <v>0.11303496653818296</v>
      </c>
      <c r="I258" s="3">
        <f t="shared" si="244"/>
        <v>0.11303496653818278</v>
      </c>
      <c r="J258" s="3">
        <f t="shared" si="244"/>
        <v>0.11303496653818111</v>
      </c>
      <c r="K258" s="3">
        <f t="shared" si="244"/>
        <v>0.11303496653816444</v>
      </c>
      <c r="L258" s="3">
        <f t="shared" si="244"/>
        <v>0.11303496653799774</v>
      </c>
      <c r="M258" s="3">
        <f t="shared" si="244"/>
        <v>0.11303496653633066</v>
      </c>
      <c r="N258" s="3">
        <f t="shared" si="244"/>
        <v>0.1130349665196598</v>
      </c>
      <c r="O258" s="3">
        <f t="shared" si="244"/>
        <v>0.11303496635295134</v>
      </c>
      <c r="P258" s="3">
        <f t="shared" si="244"/>
        <v>0.11303496468586662</v>
      </c>
      <c r="Q258" s="3">
        <f t="shared" si="244"/>
        <v>0.11303494801502083</v>
      </c>
      <c r="R258" s="3">
        <f t="shared" si="244"/>
        <v>0.11303478130669818</v>
      </c>
      <c r="S258" s="3">
        <f t="shared" si="244"/>
        <v>0.11303311423699436</v>
      </c>
      <c r="T258" s="3">
        <f t="shared" si="244"/>
        <v>0.1130164448921497</v>
      </c>
      <c r="U258" s="3">
        <f t="shared" si="244"/>
        <v>0.11284988658930993</v>
      </c>
      <c r="V258" s="3">
        <f t="shared" si="244"/>
        <v>0.1111977446639123</v>
      </c>
      <c r="W258" s="3">
        <f t="shared" si="244"/>
        <v>9.5949893737969638E-2</v>
      </c>
      <c r="X258" s="3">
        <f t="shared" si="244"/>
        <v>2.1954810367871978E-2</v>
      </c>
      <c r="Y258" s="3">
        <f t="shared" si="244"/>
        <v>8.6373717548572642E-9</v>
      </c>
      <c r="Z258" s="3">
        <f t="shared" si="244"/>
        <v>7.6718628582485272E-73</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0.13845265884512553</v>
      </c>
      <c r="C259" s="3">
        <f t="shared" si="245"/>
        <v>0.13845265884512553</v>
      </c>
      <c r="D259" s="3">
        <f t="shared" si="245"/>
        <v>0.13845265884512553</v>
      </c>
      <c r="E259" s="3">
        <f t="shared" si="245"/>
        <v>0.13845265884512553</v>
      </c>
      <c r="F259" s="3">
        <f t="shared" si="245"/>
        <v>0.13845265884512553</v>
      </c>
      <c r="G259" s="3">
        <f t="shared" si="245"/>
        <v>0.13845265884512553</v>
      </c>
      <c r="H259" s="3">
        <f t="shared" si="245"/>
        <v>0.13845265884512553</v>
      </c>
      <c r="I259" s="3">
        <f t="shared" si="245"/>
        <v>0.1384526588451255</v>
      </c>
      <c r="J259" s="3">
        <f t="shared" si="245"/>
        <v>0.13845265884512534</v>
      </c>
      <c r="K259" s="3">
        <f t="shared" si="245"/>
        <v>0.13845265884512348</v>
      </c>
      <c r="L259" s="3">
        <f t="shared" si="245"/>
        <v>0.13845265884510508</v>
      </c>
      <c r="M259" s="3">
        <f t="shared" si="245"/>
        <v>0.13845265884492086</v>
      </c>
      <c r="N259" s="3">
        <f t="shared" si="245"/>
        <v>0.13845265884307886</v>
      </c>
      <c r="O259" s="3">
        <f t="shared" si="245"/>
        <v>0.13845265882465874</v>
      </c>
      <c r="P259" s="3">
        <f t="shared" si="245"/>
        <v>0.13845265864045739</v>
      </c>
      <c r="Q259" s="3">
        <f t="shared" si="245"/>
        <v>0.13845265679844412</v>
      </c>
      <c r="R259" s="3">
        <f t="shared" si="245"/>
        <v>0.13845263837831293</v>
      </c>
      <c r="S259" s="3">
        <f t="shared" si="245"/>
        <v>0.13845245417713575</v>
      </c>
      <c r="T259" s="3">
        <f t="shared" si="245"/>
        <v>0.13845061217884239</v>
      </c>
      <c r="U259" s="3">
        <f t="shared" si="245"/>
        <v>0.13843219354370156</v>
      </c>
      <c r="V259" s="3">
        <f t="shared" si="245"/>
        <v>0.1382481419052547</v>
      </c>
      <c r="W259" s="3">
        <f t="shared" si="245"/>
        <v>0.136421030738648</v>
      </c>
      <c r="X259" s="3">
        <f t="shared" si="245"/>
        <v>0.11942673582461263</v>
      </c>
      <c r="Y259" s="3">
        <f t="shared" si="245"/>
        <v>3.157213273341599E-2</v>
      </c>
      <c r="Z259" s="3">
        <f t="shared" si="245"/>
        <v>5.2641407959240317E-8</v>
      </c>
      <c r="AA259" s="3">
        <f t="shared" si="245"/>
        <v>8.7410431037993671E-66</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8.6910854297372359E-2</v>
      </c>
      <c r="C260" s="3">
        <f t="shared" si="246"/>
        <v>8.6910854297372359E-2</v>
      </c>
      <c r="D260" s="3">
        <f t="shared" si="246"/>
        <v>8.6910854297372359E-2</v>
      </c>
      <c r="E260" s="3">
        <f t="shared" si="246"/>
        <v>8.6910854297372359E-2</v>
      </c>
      <c r="F260" s="3">
        <f t="shared" si="246"/>
        <v>8.6910854297372359E-2</v>
      </c>
      <c r="G260" s="3">
        <f t="shared" si="246"/>
        <v>8.6910854297372359E-2</v>
      </c>
      <c r="H260" s="3">
        <f t="shared" si="246"/>
        <v>8.6910854297372359E-2</v>
      </c>
      <c r="I260" s="3">
        <f t="shared" si="246"/>
        <v>8.6910854297372359E-2</v>
      </c>
      <c r="J260" s="3">
        <f t="shared" si="246"/>
        <v>8.6910854297372345E-2</v>
      </c>
      <c r="K260" s="3">
        <f t="shared" si="246"/>
        <v>8.6910854297372248E-2</v>
      </c>
      <c r="L260" s="3">
        <f t="shared" si="246"/>
        <v>8.6910854297371207E-2</v>
      </c>
      <c r="M260" s="3">
        <f t="shared" si="246"/>
        <v>8.6910854297360771E-2</v>
      </c>
      <c r="N260" s="3">
        <f t="shared" si="246"/>
        <v>8.6910854297256465E-2</v>
      </c>
      <c r="O260" s="3">
        <f t="shared" si="246"/>
        <v>8.6910854296213397E-2</v>
      </c>
      <c r="P260" s="3">
        <f t="shared" si="246"/>
        <v>8.6910854285782727E-2</v>
      </c>
      <c r="Q260" s="3">
        <f t="shared" si="246"/>
        <v>8.6910854181476066E-2</v>
      </c>
      <c r="R260" s="3">
        <f t="shared" si="246"/>
        <v>8.6910853138409405E-2</v>
      </c>
      <c r="S260" s="3">
        <f t="shared" si="246"/>
        <v>8.6910842707743574E-2</v>
      </c>
      <c r="T260" s="3">
        <f t="shared" si="246"/>
        <v>8.6910738401154125E-2</v>
      </c>
      <c r="U260" s="3">
        <f t="shared" si="246"/>
        <v>8.6909695342144627E-2</v>
      </c>
      <c r="V260" s="3">
        <f t="shared" si="246"/>
        <v>8.6899265440529824E-2</v>
      </c>
      <c r="W260" s="3">
        <f t="shared" si="246"/>
        <v>8.6795035241825608E-2</v>
      </c>
      <c r="X260" s="3">
        <f t="shared" si="246"/>
        <v>8.5759584538092515E-2</v>
      </c>
      <c r="Y260" s="3">
        <f t="shared" si="246"/>
        <v>7.6060734375875003E-2</v>
      </c>
      <c r="Z260" s="3">
        <f t="shared" si="246"/>
        <v>2.2905457615734044E-2</v>
      </c>
      <c r="AA260" s="3">
        <f t="shared" si="246"/>
        <v>1.4051528139188397E-7</v>
      </c>
      <c r="AB260" s="3">
        <f t="shared" si="246"/>
        <v>1.0606434258088124E-59</v>
      </c>
      <c r="AC260" s="3">
        <f t="shared" si="246"/>
        <v>0</v>
      </c>
      <c r="AD260" s="3">
        <f t="shared" si="246"/>
        <v>0</v>
      </c>
      <c r="AE260" s="3">
        <f t="shared" si="246"/>
        <v>0</v>
      </c>
      <c r="AF260" s="3">
        <f t="shared" si="246"/>
        <v>0</v>
      </c>
      <c r="AG260" s="3"/>
      <c r="AH260" s="3"/>
    </row>
    <row r="261" spans="2:34" x14ac:dyDescent="0.25">
      <c r="B261" s="3">
        <f t="shared" ref="B261:AF261" si="247">$C30*EXP(-B$246/$A30/EXP(-$E$126))</f>
        <v>5.8628121311532923E-2</v>
      </c>
      <c r="C261" s="3">
        <f t="shared" si="247"/>
        <v>5.8628121311532923E-2</v>
      </c>
      <c r="D261" s="3">
        <f t="shared" si="247"/>
        <v>5.8628121311532923E-2</v>
      </c>
      <c r="E261" s="3">
        <f t="shared" si="247"/>
        <v>5.8628121311532923E-2</v>
      </c>
      <c r="F261" s="3">
        <f t="shared" si="247"/>
        <v>5.8628121311532923E-2</v>
      </c>
      <c r="G261" s="3">
        <f t="shared" si="247"/>
        <v>5.8628121311532923E-2</v>
      </c>
      <c r="H261" s="3">
        <f t="shared" si="247"/>
        <v>5.8628121311532923E-2</v>
      </c>
      <c r="I261" s="3">
        <f t="shared" si="247"/>
        <v>5.8628121311532923E-2</v>
      </c>
      <c r="J261" s="3">
        <f t="shared" si="247"/>
        <v>5.8628121311532923E-2</v>
      </c>
      <c r="K261" s="3">
        <f t="shared" si="247"/>
        <v>5.8628121311532916E-2</v>
      </c>
      <c r="L261" s="3">
        <f t="shared" si="247"/>
        <v>5.8628121311532853E-2</v>
      </c>
      <c r="M261" s="3">
        <f t="shared" si="247"/>
        <v>5.8628121311532222E-2</v>
      </c>
      <c r="N261" s="3">
        <f t="shared" si="247"/>
        <v>5.8628121311525866E-2</v>
      </c>
      <c r="O261" s="3">
        <f t="shared" si="247"/>
        <v>5.8628121311462396E-2</v>
      </c>
      <c r="P261" s="3">
        <f t="shared" si="247"/>
        <v>5.8628121310827661E-2</v>
      </c>
      <c r="Q261" s="3">
        <f t="shared" si="247"/>
        <v>5.8628121304480342E-2</v>
      </c>
      <c r="R261" s="3">
        <f t="shared" si="247"/>
        <v>5.8628121241007108E-2</v>
      </c>
      <c r="S261" s="3">
        <f t="shared" si="247"/>
        <v>5.8628120606274793E-2</v>
      </c>
      <c r="T261" s="3">
        <f t="shared" si="247"/>
        <v>5.8628114258952001E-2</v>
      </c>
      <c r="U261" s="3">
        <f t="shared" si="247"/>
        <v>5.8628050785761845E-2</v>
      </c>
      <c r="V261" s="3">
        <f t="shared" si="247"/>
        <v>5.8627416057639825E-2</v>
      </c>
      <c r="W261" s="3">
        <f t="shared" si="247"/>
        <v>5.8621069154355929E-2</v>
      </c>
      <c r="X261" s="3">
        <f t="shared" si="247"/>
        <v>5.8557637900012366E-2</v>
      </c>
      <c r="Y261" s="3">
        <f t="shared" si="247"/>
        <v>5.7927088116627182E-2</v>
      </c>
      <c r="Z261" s="3">
        <f t="shared" si="247"/>
        <v>5.1983220140960559E-2</v>
      </c>
      <c r="AA261" s="3">
        <f t="shared" si="247"/>
        <v>1.7606700909152312E-2</v>
      </c>
      <c r="AB261" s="3">
        <f t="shared" si="247"/>
        <v>3.4980504412729444E-7</v>
      </c>
      <c r="AC261" s="3">
        <f t="shared" si="247"/>
        <v>3.3520221216969455E-54</v>
      </c>
      <c r="AD261" s="3">
        <f t="shared" si="247"/>
        <v>0</v>
      </c>
      <c r="AE261" s="3">
        <f t="shared" si="247"/>
        <v>0</v>
      </c>
      <c r="AF261" s="3">
        <f t="shared" si="247"/>
        <v>0</v>
      </c>
      <c r="AG261" s="3"/>
      <c r="AH261" s="3"/>
    </row>
    <row r="262" spans="2:34" x14ac:dyDescent="0.25">
      <c r="B262" s="3">
        <f t="shared" ref="B262:AF262" si="248">$C31*EXP(-B$246/$A31/EXP(-$E$126))</f>
        <v>2.5608295796313463E-2</v>
      </c>
      <c r="C262" s="3">
        <f t="shared" si="248"/>
        <v>2.5608295796313463E-2</v>
      </c>
      <c r="D262" s="3">
        <f t="shared" si="248"/>
        <v>2.5608295796313463E-2</v>
      </c>
      <c r="E262" s="3">
        <f t="shared" si="248"/>
        <v>2.5608295796313463E-2</v>
      </c>
      <c r="F262" s="3">
        <f t="shared" si="248"/>
        <v>2.5608295796313463E-2</v>
      </c>
      <c r="G262" s="3">
        <f t="shared" si="248"/>
        <v>2.5608295796313463E-2</v>
      </c>
      <c r="H262" s="3">
        <f t="shared" si="248"/>
        <v>2.5608295796313463E-2</v>
      </c>
      <c r="I262" s="3">
        <f t="shared" si="248"/>
        <v>2.5608295796313463E-2</v>
      </c>
      <c r="J262" s="3">
        <f t="shared" si="248"/>
        <v>2.5608295796313463E-2</v>
      </c>
      <c r="K262" s="3">
        <f t="shared" si="248"/>
        <v>2.5608295796313463E-2</v>
      </c>
      <c r="L262" s="3">
        <f t="shared" si="248"/>
        <v>2.5608295796313459E-2</v>
      </c>
      <c r="M262" s="3">
        <f t="shared" si="248"/>
        <v>2.5608295796313435E-2</v>
      </c>
      <c r="N262" s="3">
        <f t="shared" si="248"/>
        <v>2.5608295796313185E-2</v>
      </c>
      <c r="O262" s="3">
        <f t="shared" si="248"/>
        <v>2.5608295796310684E-2</v>
      </c>
      <c r="P262" s="3">
        <f t="shared" si="248"/>
        <v>2.5608295796285676E-2</v>
      </c>
      <c r="Q262" s="3">
        <f t="shared" si="248"/>
        <v>2.5608295796035577E-2</v>
      </c>
      <c r="R262" s="3">
        <f t="shared" si="248"/>
        <v>2.5608295793534585E-2</v>
      </c>
      <c r="S262" s="3">
        <f t="shared" si="248"/>
        <v>2.5608295768524688E-2</v>
      </c>
      <c r="T262" s="3">
        <f t="shared" si="248"/>
        <v>2.5608295518425719E-2</v>
      </c>
      <c r="U262" s="3">
        <f t="shared" si="248"/>
        <v>2.5608293017436161E-2</v>
      </c>
      <c r="V262" s="3">
        <f t="shared" si="248"/>
        <v>2.560826800755401E-2</v>
      </c>
      <c r="W262" s="3">
        <f t="shared" si="248"/>
        <v>2.5608017910075886E-2</v>
      </c>
      <c r="X262" s="3">
        <f t="shared" si="248"/>
        <v>2.5605517069629439E-2</v>
      </c>
      <c r="Y262" s="3">
        <f t="shared" si="248"/>
        <v>2.5580522093787365E-2</v>
      </c>
      <c r="Z262" s="3">
        <f t="shared" si="248"/>
        <v>2.5331910357771228E-2</v>
      </c>
      <c r="AA262" s="3">
        <f t="shared" si="248"/>
        <v>2.2974883964425923E-2</v>
      </c>
      <c r="AB262" s="3">
        <f t="shared" si="248"/>
        <v>8.6518138736073336E-3</v>
      </c>
      <c r="AC262" s="3">
        <f t="shared" si="248"/>
        <v>4.9618722708727854E-7</v>
      </c>
      <c r="AD262" s="3">
        <f t="shared" si="248"/>
        <v>1.9099838966117425E-49</v>
      </c>
      <c r="AE262" s="3">
        <f t="shared" si="248"/>
        <v>0</v>
      </c>
      <c r="AF262" s="3">
        <f t="shared" si="248"/>
        <v>0</v>
      </c>
      <c r="AG262" s="3"/>
      <c r="AH262" s="3"/>
    </row>
    <row r="263" spans="2:34" x14ac:dyDescent="0.25">
      <c r="B263" s="3">
        <f t="shared" ref="B263:AF263" si="249">$C32*EXP(-B$246/$A32/EXP(-$E$126))</f>
        <v>5.0526357723775506E-3</v>
      </c>
      <c r="C263" s="3">
        <f t="shared" si="249"/>
        <v>5.0526357723775506E-3</v>
      </c>
      <c r="D263" s="3">
        <f t="shared" si="249"/>
        <v>5.0526357723775506E-3</v>
      </c>
      <c r="E263" s="3">
        <f t="shared" si="249"/>
        <v>5.0526357723775506E-3</v>
      </c>
      <c r="F263" s="3">
        <f t="shared" si="249"/>
        <v>5.0526357723775506E-3</v>
      </c>
      <c r="G263" s="3">
        <f t="shared" si="249"/>
        <v>5.0526357723775506E-3</v>
      </c>
      <c r="H263" s="3">
        <f t="shared" si="249"/>
        <v>5.0526357723775506E-3</v>
      </c>
      <c r="I263" s="3">
        <f t="shared" si="249"/>
        <v>5.0526357723775506E-3</v>
      </c>
      <c r="J263" s="3">
        <f t="shared" si="249"/>
        <v>5.0526357723775506E-3</v>
      </c>
      <c r="K263" s="3">
        <f t="shared" si="249"/>
        <v>5.0526357723775506E-3</v>
      </c>
      <c r="L263" s="3">
        <f t="shared" si="249"/>
        <v>5.0526357723775506E-3</v>
      </c>
      <c r="M263" s="3">
        <f t="shared" si="249"/>
        <v>5.0526357723775497E-3</v>
      </c>
      <c r="N263" s="3">
        <f t="shared" si="249"/>
        <v>5.0526357723775454E-3</v>
      </c>
      <c r="O263" s="3">
        <f t="shared" si="249"/>
        <v>5.0526357723775011E-3</v>
      </c>
      <c r="P263" s="3">
        <f t="shared" si="249"/>
        <v>5.0526357723770562E-3</v>
      </c>
      <c r="Q263" s="3">
        <f t="shared" si="249"/>
        <v>5.0526357723726049E-3</v>
      </c>
      <c r="R263" s="3">
        <f t="shared" si="249"/>
        <v>5.052635772328091E-3</v>
      </c>
      <c r="S263" s="3">
        <f t="shared" si="249"/>
        <v>5.0526357718829514E-3</v>
      </c>
      <c r="T263" s="3">
        <f t="shared" si="249"/>
        <v>5.0526357674315599E-3</v>
      </c>
      <c r="U263" s="3">
        <f t="shared" si="249"/>
        <v>5.052635722917643E-3</v>
      </c>
      <c r="V263" s="3">
        <f t="shared" si="249"/>
        <v>5.0526352777784988E-3</v>
      </c>
      <c r="W263" s="3">
        <f t="shared" si="249"/>
        <v>5.0526308263892086E-3</v>
      </c>
      <c r="X263" s="3">
        <f t="shared" si="249"/>
        <v>5.0525863127120043E-3</v>
      </c>
      <c r="Y263" s="3">
        <f t="shared" si="249"/>
        <v>5.0521411975084857E-3</v>
      </c>
      <c r="Z263" s="3">
        <f t="shared" si="249"/>
        <v>5.0476922016236001E-3</v>
      </c>
      <c r="AA263" s="3">
        <f t="shared" si="249"/>
        <v>5.0034171566143868E-3</v>
      </c>
      <c r="AB263" s="3">
        <f t="shared" si="249"/>
        <v>4.5814737369074387E-3</v>
      </c>
      <c r="AC263" s="3">
        <f t="shared" si="249"/>
        <v>1.8984102959017258E-3</v>
      </c>
      <c r="AD263" s="3">
        <f t="shared" si="249"/>
        <v>2.8329497621358522E-7</v>
      </c>
      <c r="AE263" s="3">
        <f t="shared" si="249"/>
        <v>1.5514107552678131E-45</v>
      </c>
      <c r="AF263" s="3">
        <f t="shared" si="249"/>
        <v>0</v>
      </c>
      <c r="AG263" s="3"/>
      <c r="AH263" s="3"/>
    </row>
    <row r="264" spans="2:34" x14ac:dyDescent="0.25">
      <c r="B264" s="3">
        <f t="shared" ref="B264:AF264" si="250">$C33*EXP(-B$246/$A33/EXP(-$E$126))</f>
        <v>4.3761926995835639E-3</v>
      </c>
      <c r="C264" s="3">
        <f t="shared" si="250"/>
        <v>4.3761926995835639E-3</v>
      </c>
      <c r="D264" s="3">
        <f t="shared" si="250"/>
        <v>4.3761926995835639E-3</v>
      </c>
      <c r="E264" s="3">
        <f t="shared" si="250"/>
        <v>4.3761926995835639E-3</v>
      </c>
      <c r="F264" s="3">
        <f t="shared" si="250"/>
        <v>4.3761926995835639E-3</v>
      </c>
      <c r="G264" s="3">
        <f t="shared" si="250"/>
        <v>4.3761926995835639E-3</v>
      </c>
      <c r="H264" s="3">
        <f t="shared" si="250"/>
        <v>4.3761926995835639E-3</v>
      </c>
      <c r="I264" s="3">
        <f t="shared" si="250"/>
        <v>4.3761926995835639E-3</v>
      </c>
      <c r="J264" s="3">
        <f t="shared" si="250"/>
        <v>4.3761926995835639E-3</v>
      </c>
      <c r="K264" s="3">
        <f t="shared" si="250"/>
        <v>4.3761926995835639E-3</v>
      </c>
      <c r="L264" s="3">
        <f t="shared" si="250"/>
        <v>4.3761926995835639E-3</v>
      </c>
      <c r="M264" s="3">
        <f t="shared" si="250"/>
        <v>4.3761926995835639E-3</v>
      </c>
      <c r="N264" s="3">
        <f t="shared" si="250"/>
        <v>4.3761926995835631E-3</v>
      </c>
      <c r="O264" s="3">
        <f t="shared" si="250"/>
        <v>4.3761926995835605E-3</v>
      </c>
      <c r="P264" s="3">
        <f t="shared" si="250"/>
        <v>4.3761926995835249E-3</v>
      </c>
      <c r="Q264" s="3">
        <f t="shared" si="250"/>
        <v>4.3761926995831779E-3</v>
      </c>
      <c r="R264" s="3">
        <f t="shared" si="250"/>
        <v>4.3761926995796998E-3</v>
      </c>
      <c r="S264" s="3">
        <f t="shared" si="250"/>
        <v>4.3761926995449204E-3</v>
      </c>
      <c r="T264" s="3">
        <f t="shared" si="250"/>
        <v>4.3761926991971274E-3</v>
      </c>
      <c r="U264" s="3">
        <f t="shared" si="250"/>
        <v>4.3761926957191976E-3</v>
      </c>
      <c r="V264" s="3">
        <f t="shared" si="250"/>
        <v>4.3761926609398967E-3</v>
      </c>
      <c r="W264" s="3">
        <f t="shared" si="250"/>
        <v>4.3761923131469061E-3</v>
      </c>
      <c r="X264" s="3">
        <f t="shared" si="250"/>
        <v>4.3761888352185207E-3</v>
      </c>
      <c r="Y264" s="3">
        <f t="shared" si="250"/>
        <v>4.3761540560866884E-3</v>
      </c>
      <c r="Z264" s="3">
        <f t="shared" si="250"/>
        <v>4.3758062799701255E-3</v>
      </c>
      <c r="AA264" s="3">
        <f t="shared" si="250"/>
        <v>4.372330038533166E-3</v>
      </c>
      <c r="AB264" s="3">
        <f t="shared" si="250"/>
        <v>4.3377191510979955E-3</v>
      </c>
      <c r="AC264" s="3">
        <f t="shared" si="250"/>
        <v>4.0063267141402419E-3</v>
      </c>
      <c r="AD264" s="3">
        <f t="shared" si="250"/>
        <v>1.8096546099793276E-3</v>
      </c>
      <c r="AE264" s="3">
        <f t="shared" si="250"/>
        <v>6.3986594863479734E-7</v>
      </c>
      <c r="AF264" s="3">
        <f t="shared" si="250"/>
        <v>1.9544387119689823E-41</v>
      </c>
      <c r="AG264" s="3"/>
      <c r="AH264" s="3"/>
    </row>
    <row r="265" spans="2:34" x14ac:dyDescent="0.25">
      <c r="B265" s="3">
        <f t="shared" ref="B265:AF265" si="251">$C34*EXP(-B$246/$A34/EXP(-$E$126))</f>
        <v>3.799405391061131E-3</v>
      </c>
      <c r="C265" s="3">
        <f t="shared" si="251"/>
        <v>3.799405391061131E-3</v>
      </c>
      <c r="D265" s="3">
        <f t="shared" si="251"/>
        <v>3.799405391061131E-3</v>
      </c>
      <c r="E265" s="3">
        <f t="shared" si="251"/>
        <v>3.799405391061131E-3</v>
      </c>
      <c r="F265" s="3">
        <f t="shared" si="251"/>
        <v>3.799405391061131E-3</v>
      </c>
      <c r="G265" s="3">
        <f t="shared" si="251"/>
        <v>3.799405391061131E-3</v>
      </c>
      <c r="H265" s="3">
        <f t="shared" si="251"/>
        <v>3.799405391061131E-3</v>
      </c>
      <c r="I265" s="3">
        <f t="shared" si="251"/>
        <v>3.799405391061131E-3</v>
      </c>
      <c r="J265" s="3">
        <f t="shared" si="251"/>
        <v>3.799405391061131E-3</v>
      </c>
      <c r="K265" s="3">
        <f t="shared" si="251"/>
        <v>3.799405391061131E-3</v>
      </c>
      <c r="L265" s="3">
        <f t="shared" si="251"/>
        <v>3.799405391061131E-3</v>
      </c>
      <c r="M265" s="3">
        <f t="shared" si="251"/>
        <v>3.799405391061131E-3</v>
      </c>
      <c r="N265" s="3">
        <f t="shared" si="251"/>
        <v>3.799405391061131E-3</v>
      </c>
      <c r="O265" s="3">
        <f t="shared" si="251"/>
        <v>3.7994053910611306E-3</v>
      </c>
      <c r="P265" s="3">
        <f t="shared" si="251"/>
        <v>3.799405391061128E-3</v>
      </c>
      <c r="Q265" s="3">
        <f t="shared" si="251"/>
        <v>3.7994053910611007E-3</v>
      </c>
      <c r="R265" s="3">
        <f t="shared" si="251"/>
        <v>3.7994053910608287E-3</v>
      </c>
      <c r="S265" s="3">
        <f t="shared" si="251"/>
        <v>3.7994053910581044E-3</v>
      </c>
      <c r="T265" s="3">
        <f t="shared" si="251"/>
        <v>3.7994053910308657E-3</v>
      </c>
      <c r="U265" s="3">
        <f t="shared" si="251"/>
        <v>3.7994053907584786E-3</v>
      </c>
      <c r="V265" s="3">
        <f t="shared" si="251"/>
        <v>3.7994053880346071E-3</v>
      </c>
      <c r="W265" s="3">
        <f t="shared" si="251"/>
        <v>3.7994053607958906E-3</v>
      </c>
      <c r="X265" s="3">
        <f t="shared" si="251"/>
        <v>3.7994050884087409E-3</v>
      </c>
      <c r="Y265" s="3">
        <f t="shared" si="251"/>
        <v>3.7994023645383174E-3</v>
      </c>
      <c r="Z265" s="3">
        <f t="shared" si="251"/>
        <v>3.7993751259414862E-3</v>
      </c>
      <c r="AA265" s="3">
        <f t="shared" si="251"/>
        <v>3.7991027507132528E-3</v>
      </c>
      <c r="AB265" s="3">
        <f t="shared" si="251"/>
        <v>3.7963800721540972E-3</v>
      </c>
      <c r="AC265" s="3">
        <f t="shared" si="251"/>
        <v>3.7692603746094944E-3</v>
      </c>
      <c r="AD265" s="3">
        <f t="shared" si="251"/>
        <v>3.5084935067733812E-3</v>
      </c>
      <c r="AE265" s="3">
        <f t="shared" si="251"/>
        <v>1.7130343023864557E-3</v>
      </c>
      <c r="AF265" s="3">
        <f t="shared" si="251"/>
        <v>1.3189243417348122E-6</v>
      </c>
      <c r="AG265" s="3"/>
      <c r="AH265" s="3"/>
    </row>
    <row r="266" spans="2:34" x14ac:dyDescent="0.25">
      <c r="B266" s="3">
        <f t="shared" ref="B266:AF266" si="252">$C35*EXP(-B$246/$A35/EXP(-$E$126))</f>
        <v>4.2249411335647654E-3</v>
      </c>
      <c r="C266" s="3">
        <f t="shared" si="252"/>
        <v>4.2249411335647654E-3</v>
      </c>
      <c r="D266" s="3">
        <f t="shared" si="252"/>
        <v>4.2249411335647654E-3</v>
      </c>
      <c r="E266" s="3">
        <f t="shared" si="252"/>
        <v>4.2249411335647654E-3</v>
      </c>
      <c r="F266" s="3">
        <f t="shared" si="252"/>
        <v>4.2249411335647654E-3</v>
      </c>
      <c r="G266" s="3">
        <f t="shared" si="252"/>
        <v>4.2249411335647654E-3</v>
      </c>
      <c r="H266" s="3">
        <f t="shared" si="252"/>
        <v>4.2249411335647654E-3</v>
      </c>
      <c r="I266" s="3">
        <f t="shared" si="252"/>
        <v>4.2249411335647654E-3</v>
      </c>
      <c r="J266" s="3">
        <f t="shared" si="252"/>
        <v>4.2249411335647654E-3</v>
      </c>
      <c r="K266" s="3">
        <f t="shared" si="252"/>
        <v>4.2249411335647654E-3</v>
      </c>
      <c r="L266" s="3">
        <f t="shared" si="252"/>
        <v>4.2249411335647654E-3</v>
      </c>
      <c r="M266" s="3">
        <f t="shared" si="252"/>
        <v>4.2249411335647654E-3</v>
      </c>
      <c r="N266" s="3">
        <f t="shared" si="252"/>
        <v>4.2249411335647654E-3</v>
      </c>
      <c r="O266" s="3">
        <f t="shared" si="252"/>
        <v>4.2249411335647654E-3</v>
      </c>
      <c r="P266" s="3">
        <f t="shared" si="252"/>
        <v>4.2249411335647646E-3</v>
      </c>
      <c r="Q266" s="3">
        <f t="shared" si="252"/>
        <v>4.2249411335647628E-3</v>
      </c>
      <c r="R266" s="3">
        <f t="shared" si="252"/>
        <v>4.2249411335647351E-3</v>
      </c>
      <c r="S266" s="3">
        <f t="shared" si="252"/>
        <v>4.2249411335644619E-3</v>
      </c>
      <c r="T266" s="3">
        <f t="shared" si="252"/>
        <v>4.2249411335617297E-3</v>
      </c>
      <c r="U266" s="3">
        <f t="shared" si="252"/>
        <v>4.224941133534406E-3</v>
      </c>
      <c r="V266" s="3">
        <f t="shared" si="252"/>
        <v>4.2249411332611697E-3</v>
      </c>
      <c r="W266" s="3">
        <f t="shared" si="252"/>
        <v>4.2249411305288077E-3</v>
      </c>
      <c r="X266" s="3">
        <f t="shared" si="252"/>
        <v>4.2249411032051869E-3</v>
      </c>
      <c r="Y266" s="3">
        <f t="shared" si="252"/>
        <v>4.2249408299689876E-3</v>
      </c>
      <c r="Z266" s="3">
        <f t="shared" si="252"/>
        <v>4.2249380976079661E-3</v>
      </c>
      <c r="AA266" s="3">
        <f t="shared" si="252"/>
        <v>4.2249107740949428E-3</v>
      </c>
      <c r="AB266" s="3">
        <f t="shared" si="252"/>
        <v>4.2246375486833842E-3</v>
      </c>
      <c r="AC266" s="3">
        <f t="shared" si="252"/>
        <v>4.2219062662026156E-3</v>
      </c>
      <c r="AD266" s="3">
        <f t="shared" si="252"/>
        <v>4.1946903727790603E-3</v>
      </c>
      <c r="AE266" s="3">
        <f t="shared" si="252"/>
        <v>3.9319965904533582E-3</v>
      </c>
      <c r="AF266" s="3">
        <f t="shared" si="252"/>
        <v>2.0594220828064344E-3</v>
      </c>
      <c r="AG266" s="3"/>
      <c r="AH266" s="3"/>
    </row>
    <row r="267" spans="2:34" x14ac:dyDescent="0.25">
      <c r="B267" s="3">
        <f t="shared" ref="B267:AF267" si="253">$C36*EXP(-B$246/$A36/EXP(-$E$126))</f>
        <v>2.7574935483823488E-3</v>
      </c>
      <c r="C267" s="3">
        <f t="shared" si="253"/>
        <v>2.7574935483823488E-3</v>
      </c>
      <c r="D267" s="3">
        <f t="shared" si="253"/>
        <v>2.7574935483823488E-3</v>
      </c>
      <c r="E267" s="3">
        <f t="shared" si="253"/>
        <v>2.7574935483823488E-3</v>
      </c>
      <c r="F267" s="3">
        <f t="shared" si="253"/>
        <v>2.7574935483823488E-3</v>
      </c>
      <c r="G267" s="3">
        <f t="shared" si="253"/>
        <v>2.7574935483823488E-3</v>
      </c>
      <c r="H267" s="3">
        <f t="shared" si="253"/>
        <v>2.7574935483823488E-3</v>
      </c>
      <c r="I267" s="3">
        <f t="shared" si="253"/>
        <v>2.7574935483823488E-3</v>
      </c>
      <c r="J267" s="3">
        <f t="shared" si="253"/>
        <v>2.7574935483823488E-3</v>
      </c>
      <c r="K267" s="3">
        <f t="shared" si="253"/>
        <v>2.7574935483823488E-3</v>
      </c>
      <c r="L267" s="3">
        <f t="shared" si="253"/>
        <v>2.7574935483823488E-3</v>
      </c>
      <c r="M267" s="3">
        <f t="shared" si="253"/>
        <v>2.7574935483823488E-3</v>
      </c>
      <c r="N267" s="3">
        <f t="shared" si="253"/>
        <v>2.7574935483823488E-3</v>
      </c>
      <c r="O267" s="3">
        <f t="shared" si="253"/>
        <v>2.7574935483823488E-3</v>
      </c>
      <c r="P267" s="3">
        <f t="shared" si="253"/>
        <v>2.7574935483823488E-3</v>
      </c>
      <c r="Q267" s="3">
        <f t="shared" si="253"/>
        <v>2.7574935483823484E-3</v>
      </c>
      <c r="R267" s="3">
        <f t="shared" si="253"/>
        <v>2.7574935483823471E-3</v>
      </c>
      <c r="S267" s="3">
        <f t="shared" si="253"/>
        <v>2.757493548382331E-3</v>
      </c>
      <c r="T267" s="3">
        <f t="shared" si="253"/>
        <v>2.7574935483821702E-3</v>
      </c>
      <c r="U267" s="3">
        <f t="shared" si="253"/>
        <v>2.7574935483805612E-3</v>
      </c>
      <c r="V267" s="3">
        <f t="shared" si="253"/>
        <v>2.7574935483644742E-3</v>
      </c>
      <c r="W267" s="3">
        <f t="shared" si="253"/>
        <v>2.7574935482036029E-3</v>
      </c>
      <c r="X267" s="3">
        <f t="shared" si="253"/>
        <v>2.7574935465948893E-3</v>
      </c>
      <c r="Y267" s="3">
        <f t="shared" si="253"/>
        <v>2.7574935305077555E-3</v>
      </c>
      <c r="Z267" s="3">
        <f t="shared" si="253"/>
        <v>2.7574933696364184E-3</v>
      </c>
      <c r="AA267" s="3">
        <f t="shared" si="253"/>
        <v>2.7574917609235654E-3</v>
      </c>
      <c r="AB267" s="3">
        <f t="shared" si="253"/>
        <v>2.7574756738466526E-3</v>
      </c>
      <c r="AC267" s="3">
        <f t="shared" si="253"/>
        <v>2.7573148082392523E-3</v>
      </c>
      <c r="AD267" s="3">
        <f t="shared" si="253"/>
        <v>2.755706668226682E-3</v>
      </c>
      <c r="AE267" s="3">
        <f t="shared" si="253"/>
        <v>2.7396767630220777E-3</v>
      </c>
      <c r="AF267" s="3">
        <f t="shared" si="253"/>
        <v>2.5844177610409372E-3</v>
      </c>
      <c r="AG267" s="3"/>
      <c r="AH267" s="3"/>
    </row>
    <row r="268" spans="2:34" x14ac:dyDescent="0.25">
      <c r="B268" s="3">
        <f t="shared" ref="B268:AF268" si="254">$C37*EXP(-B$246/$A37/EXP(-$E$126))</f>
        <v>1.745678055330739E-3</v>
      </c>
      <c r="C268" s="3">
        <f t="shared" si="254"/>
        <v>1.745678055330739E-3</v>
      </c>
      <c r="D268" s="3">
        <f t="shared" si="254"/>
        <v>1.745678055330739E-3</v>
      </c>
      <c r="E268" s="3">
        <f t="shared" si="254"/>
        <v>1.745678055330739E-3</v>
      </c>
      <c r="F268" s="3">
        <f t="shared" si="254"/>
        <v>1.745678055330739E-3</v>
      </c>
      <c r="G268" s="3">
        <f t="shared" si="254"/>
        <v>1.745678055330739E-3</v>
      </c>
      <c r="H268" s="3">
        <f t="shared" si="254"/>
        <v>1.745678055330739E-3</v>
      </c>
      <c r="I268" s="3">
        <f t="shared" si="254"/>
        <v>1.745678055330739E-3</v>
      </c>
      <c r="J268" s="3">
        <f t="shared" si="254"/>
        <v>1.745678055330739E-3</v>
      </c>
      <c r="K268" s="3">
        <f t="shared" si="254"/>
        <v>1.745678055330739E-3</v>
      </c>
      <c r="L268" s="3">
        <f t="shared" si="254"/>
        <v>1.745678055330739E-3</v>
      </c>
      <c r="M268" s="3">
        <f t="shared" si="254"/>
        <v>1.745678055330739E-3</v>
      </c>
      <c r="N268" s="3">
        <f t="shared" si="254"/>
        <v>1.745678055330739E-3</v>
      </c>
      <c r="O268" s="3">
        <f t="shared" si="254"/>
        <v>1.745678055330739E-3</v>
      </c>
      <c r="P268" s="3">
        <f t="shared" si="254"/>
        <v>1.745678055330739E-3</v>
      </c>
      <c r="Q268" s="3">
        <f t="shared" si="254"/>
        <v>1.745678055330739E-3</v>
      </c>
      <c r="R268" s="3">
        <f t="shared" si="254"/>
        <v>1.7456780553307388E-3</v>
      </c>
      <c r="S268" s="3">
        <f t="shared" si="254"/>
        <v>1.7456780553307381E-3</v>
      </c>
      <c r="T268" s="3">
        <f t="shared" si="254"/>
        <v>1.7456780553307288E-3</v>
      </c>
      <c r="U268" s="3">
        <f t="shared" si="254"/>
        <v>1.7456780553306368E-3</v>
      </c>
      <c r="V268" s="3">
        <f t="shared" si="254"/>
        <v>1.7456780553297181E-3</v>
      </c>
      <c r="W268" s="3">
        <f t="shared" si="254"/>
        <v>1.7456780553205312E-3</v>
      </c>
      <c r="X268" s="3">
        <f t="shared" si="254"/>
        <v>1.7456780552286609E-3</v>
      </c>
      <c r="Y268" s="3">
        <f t="shared" si="254"/>
        <v>1.7456780543099583E-3</v>
      </c>
      <c r="Z268" s="3">
        <f t="shared" si="254"/>
        <v>1.7456780451229328E-3</v>
      </c>
      <c r="AA268" s="3">
        <f t="shared" si="254"/>
        <v>1.7456779532526801E-3</v>
      </c>
      <c r="AB268" s="3">
        <f t="shared" si="254"/>
        <v>1.7456770345504189E-3</v>
      </c>
      <c r="AC268" s="3">
        <f t="shared" si="254"/>
        <v>1.7456678475543991E-3</v>
      </c>
      <c r="AD268" s="3">
        <f t="shared" si="254"/>
        <v>1.7455759802533278E-3</v>
      </c>
      <c r="AE268" s="3">
        <f t="shared" si="254"/>
        <v>1.744657573103488E-3</v>
      </c>
      <c r="AF268" s="3">
        <f t="shared" si="254"/>
        <v>1.7355000359966311E-3</v>
      </c>
      <c r="AG268" s="3"/>
      <c r="AH268" s="3"/>
    </row>
    <row r="269" spans="2:34" x14ac:dyDescent="0.25">
      <c r="B269" s="3">
        <f t="shared" ref="B269:AF269" si="255">$C38*EXP(-B$246/$A38/EXP(-$E$126))</f>
        <v>4.0897783870777585E-4</v>
      </c>
      <c r="C269" s="3">
        <f t="shared" si="255"/>
        <v>4.0897783870777585E-4</v>
      </c>
      <c r="D269" s="3">
        <f t="shared" si="255"/>
        <v>4.0897783870777585E-4</v>
      </c>
      <c r="E269" s="3">
        <f t="shared" si="255"/>
        <v>4.0897783870777585E-4</v>
      </c>
      <c r="F269" s="3">
        <f t="shared" si="255"/>
        <v>4.0897783870777585E-4</v>
      </c>
      <c r="G269" s="3">
        <f t="shared" si="255"/>
        <v>4.0897783870777585E-4</v>
      </c>
      <c r="H269" s="3">
        <f t="shared" si="255"/>
        <v>4.0897783870777585E-4</v>
      </c>
      <c r="I269" s="3">
        <f t="shared" si="255"/>
        <v>4.0897783870777585E-4</v>
      </c>
      <c r="J269" s="3">
        <f t="shared" si="255"/>
        <v>4.0897783870777585E-4</v>
      </c>
      <c r="K269" s="3">
        <f t="shared" si="255"/>
        <v>4.0897783870777585E-4</v>
      </c>
      <c r="L269" s="3">
        <f t="shared" si="255"/>
        <v>4.0897783870777585E-4</v>
      </c>
      <c r="M269" s="3">
        <f t="shared" si="255"/>
        <v>4.0897783870777585E-4</v>
      </c>
      <c r="N269" s="3">
        <f t="shared" si="255"/>
        <v>4.0897783870777585E-4</v>
      </c>
      <c r="O269" s="3">
        <f t="shared" si="255"/>
        <v>4.0897783870777585E-4</v>
      </c>
      <c r="P269" s="3">
        <f t="shared" si="255"/>
        <v>4.0897783870777585E-4</v>
      </c>
      <c r="Q269" s="3">
        <f t="shared" si="255"/>
        <v>4.0897783870777585E-4</v>
      </c>
      <c r="R269" s="3">
        <f t="shared" si="255"/>
        <v>4.0897783870777585E-4</v>
      </c>
      <c r="S269" s="3">
        <f t="shared" si="255"/>
        <v>4.0897783870777585E-4</v>
      </c>
      <c r="T269" s="3">
        <f t="shared" si="255"/>
        <v>4.0897783870777563E-4</v>
      </c>
      <c r="U269" s="3">
        <f t="shared" si="255"/>
        <v>4.0897783870777368E-4</v>
      </c>
      <c r="V269" s="3">
        <f t="shared" si="255"/>
        <v>4.0897783870775427E-4</v>
      </c>
      <c r="W269" s="3">
        <f t="shared" si="255"/>
        <v>4.0897783870756015E-4</v>
      </c>
      <c r="X269" s="3">
        <f t="shared" si="255"/>
        <v>4.0897783870561856E-4</v>
      </c>
      <c r="Y269" s="3">
        <f t="shared" si="255"/>
        <v>4.0897783868620266E-4</v>
      </c>
      <c r="Z269" s="3">
        <f t="shared" si="255"/>
        <v>4.0897783849204385E-4</v>
      </c>
      <c r="AA269" s="3">
        <f t="shared" si="255"/>
        <v>4.0897783655045557E-4</v>
      </c>
      <c r="AB269" s="3">
        <f t="shared" si="255"/>
        <v>4.0897781713457342E-4</v>
      </c>
      <c r="AC269" s="3">
        <f t="shared" si="255"/>
        <v>4.0897762297580309E-4</v>
      </c>
      <c r="AD269" s="3">
        <f t="shared" si="255"/>
        <v>4.0897568139316895E-4</v>
      </c>
      <c r="AE269" s="3">
        <f t="shared" si="255"/>
        <v>4.0895626607378153E-4</v>
      </c>
      <c r="AF269" s="3">
        <f t="shared" si="255"/>
        <v>4.0876216356642312E-4</v>
      </c>
      <c r="AG269" s="3"/>
      <c r="AH269" s="3"/>
    </row>
    <row r="270" spans="2:34" x14ac:dyDescent="0.25">
      <c r="B270" s="3">
        <f t="shared" ref="B270:AF270" si="256">$C39*EXP(-B$246/$A39/EXP(-$E$126))</f>
        <v>8.9346516984039216E-4</v>
      </c>
      <c r="C270" s="3">
        <f t="shared" si="256"/>
        <v>8.9346516984039216E-4</v>
      </c>
      <c r="D270" s="3">
        <f t="shared" si="256"/>
        <v>8.9346516984039216E-4</v>
      </c>
      <c r="E270" s="3">
        <f t="shared" si="256"/>
        <v>8.9346516984039216E-4</v>
      </c>
      <c r="F270" s="3">
        <f t="shared" si="256"/>
        <v>8.9346516984039216E-4</v>
      </c>
      <c r="G270" s="3">
        <f t="shared" si="256"/>
        <v>8.9346516984039216E-4</v>
      </c>
      <c r="H270" s="3">
        <f t="shared" si="256"/>
        <v>8.9346516984039216E-4</v>
      </c>
      <c r="I270" s="3">
        <f t="shared" si="256"/>
        <v>8.9346516984039216E-4</v>
      </c>
      <c r="J270" s="3">
        <f t="shared" si="256"/>
        <v>8.9346516984039216E-4</v>
      </c>
      <c r="K270" s="3">
        <f t="shared" si="256"/>
        <v>8.9346516984039216E-4</v>
      </c>
      <c r="L270" s="3">
        <f t="shared" si="256"/>
        <v>8.9346516984039216E-4</v>
      </c>
      <c r="M270" s="3">
        <f t="shared" si="256"/>
        <v>8.9346516984039216E-4</v>
      </c>
      <c r="N270" s="3">
        <f t="shared" si="256"/>
        <v>8.9346516984039216E-4</v>
      </c>
      <c r="O270" s="3">
        <f t="shared" si="256"/>
        <v>8.9346516984039216E-4</v>
      </c>
      <c r="P270" s="3">
        <f t="shared" si="256"/>
        <v>8.9346516984039216E-4</v>
      </c>
      <c r="Q270" s="3">
        <f t="shared" si="256"/>
        <v>8.9346516984039216E-4</v>
      </c>
      <c r="R270" s="3">
        <f t="shared" si="256"/>
        <v>8.9346516984039216E-4</v>
      </c>
      <c r="S270" s="3">
        <f t="shared" si="256"/>
        <v>8.9346516984039216E-4</v>
      </c>
      <c r="T270" s="3">
        <f t="shared" si="256"/>
        <v>8.9346516984039205E-4</v>
      </c>
      <c r="U270" s="3">
        <f t="shared" si="256"/>
        <v>8.9346516984039085E-4</v>
      </c>
      <c r="V270" s="3">
        <f t="shared" si="256"/>
        <v>8.9346516984037914E-4</v>
      </c>
      <c r="W270" s="3">
        <f t="shared" si="256"/>
        <v>8.9346516984026183E-4</v>
      </c>
      <c r="X270" s="3">
        <f t="shared" si="256"/>
        <v>8.9346516983908862E-4</v>
      </c>
      <c r="Y270" s="3">
        <f t="shared" si="256"/>
        <v>8.9346516982735733E-4</v>
      </c>
      <c r="Z270" s="3">
        <f t="shared" si="256"/>
        <v>8.9346516971004384E-4</v>
      </c>
      <c r="AA270" s="3">
        <f t="shared" si="256"/>
        <v>8.9346516853690923E-4</v>
      </c>
      <c r="AB270" s="3">
        <f t="shared" si="256"/>
        <v>8.9346515680556308E-4</v>
      </c>
      <c r="AC270" s="3">
        <f t="shared" si="256"/>
        <v>8.9346503949211029E-4</v>
      </c>
      <c r="AD270" s="3">
        <f t="shared" si="256"/>
        <v>8.9346386635842938E-4</v>
      </c>
      <c r="AE270" s="3">
        <f t="shared" si="256"/>
        <v>8.9345213510633875E-4</v>
      </c>
      <c r="AF270" s="3">
        <f t="shared" si="256"/>
        <v>8.9333483105687411E-4</v>
      </c>
      <c r="AG270" s="3"/>
      <c r="AH270" s="3"/>
    </row>
    <row r="271" spans="2:34" x14ac:dyDescent="0.25">
      <c r="B271" s="3">
        <f t="shared" ref="B271:AF271" si="257">$C40*EXP(-B$246/$A40/EXP(-$E$126))</f>
        <v>2.0267191834609735E-4</v>
      </c>
      <c r="C271" s="3">
        <f t="shared" si="257"/>
        <v>2.0267191834609735E-4</v>
      </c>
      <c r="D271" s="3">
        <f t="shared" si="257"/>
        <v>2.0267191834609735E-4</v>
      </c>
      <c r="E271" s="3">
        <f t="shared" si="257"/>
        <v>2.0267191834609735E-4</v>
      </c>
      <c r="F271" s="3">
        <f t="shared" si="257"/>
        <v>2.0267191834609735E-4</v>
      </c>
      <c r="G271" s="3">
        <f t="shared" si="257"/>
        <v>2.0267191834609735E-4</v>
      </c>
      <c r="H271" s="3">
        <f t="shared" si="257"/>
        <v>2.0267191834609735E-4</v>
      </c>
      <c r="I271" s="3">
        <f t="shared" si="257"/>
        <v>2.0267191834609735E-4</v>
      </c>
      <c r="J271" s="3">
        <f t="shared" si="257"/>
        <v>2.0267191834609735E-4</v>
      </c>
      <c r="K271" s="3">
        <f t="shared" si="257"/>
        <v>2.0267191834609735E-4</v>
      </c>
      <c r="L271" s="3">
        <f t="shared" si="257"/>
        <v>2.0267191834609735E-4</v>
      </c>
      <c r="M271" s="3">
        <f t="shared" si="257"/>
        <v>2.0267191834609735E-4</v>
      </c>
      <c r="N271" s="3">
        <f t="shared" si="257"/>
        <v>2.0267191834609735E-4</v>
      </c>
      <c r="O271" s="3">
        <f t="shared" si="257"/>
        <v>2.0267191834609735E-4</v>
      </c>
      <c r="P271" s="3">
        <f t="shared" si="257"/>
        <v>2.0267191834609735E-4</v>
      </c>
      <c r="Q271" s="3">
        <f t="shared" si="257"/>
        <v>2.0267191834609735E-4</v>
      </c>
      <c r="R271" s="3">
        <f t="shared" si="257"/>
        <v>2.0267191834609735E-4</v>
      </c>
      <c r="S271" s="3">
        <f t="shared" si="257"/>
        <v>2.0267191834609735E-4</v>
      </c>
      <c r="T271" s="3">
        <f t="shared" si="257"/>
        <v>2.0267191834609735E-4</v>
      </c>
      <c r="U271" s="3">
        <f t="shared" si="257"/>
        <v>2.0267191834609733E-4</v>
      </c>
      <c r="V271" s="3">
        <f t="shared" si="257"/>
        <v>2.0267191834609706E-4</v>
      </c>
      <c r="W271" s="3">
        <f t="shared" si="257"/>
        <v>2.026719183460944E-4</v>
      </c>
      <c r="X271" s="3">
        <f t="shared" si="257"/>
        <v>2.0267191834606778E-4</v>
      </c>
      <c r="Y271" s="3">
        <f t="shared" si="257"/>
        <v>2.0267191834580166E-4</v>
      </c>
      <c r="Z271" s="3">
        <f t="shared" si="257"/>
        <v>2.0267191834314054E-4</v>
      </c>
      <c r="AA271" s="3">
        <f t="shared" si="257"/>
        <v>2.026719183165294E-4</v>
      </c>
      <c r="AB271" s="3">
        <f t="shared" si="257"/>
        <v>2.026719180504178E-4</v>
      </c>
      <c r="AC271" s="3">
        <f t="shared" si="257"/>
        <v>2.0267191538930185E-4</v>
      </c>
      <c r="AD271" s="3">
        <f t="shared" si="257"/>
        <v>2.0267188877814415E-4</v>
      </c>
      <c r="AE271" s="3">
        <f t="shared" si="257"/>
        <v>2.0267162266675938E-4</v>
      </c>
      <c r="AF271" s="3">
        <f t="shared" si="257"/>
        <v>2.0266896157212908E-4</v>
      </c>
      <c r="AG271" s="3"/>
      <c r="AH271" s="3"/>
    </row>
    <row r="272" spans="2:34" x14ac:dyDescent="0.25">
      <c r="B272" s="3">
        <f t="shared" ref="B272:AF272" si="258">$C41*EXP(-B$246/$A41/EXP(-$E$126))</f>
        <v>4.681554200352879E-4</v>
      </c>
      <c r="C272" s="3">
        <f t="shared" si="258"/>
        <v>4.681554200352879E-4</v>
      </c>
      <c r="D272" s="3">
        <f t="shared" si="258"/>
        <v>4.681554200352879E-4</v>
      </c>
      <c r="E272" s="3">
        <f t="shared" si="258"/>
        <v>4.681554200352879E-4</v>
      </c>
      <c r="F272" s="3">
        <f t="shared" si="258"/>
        <v>4.681554200352879E-4</v>
      </c>
      <c r="G272" s="3">
        <f t="shared" si="258"/>
        <v>4.681554200352879E-4</v>
      </c>
      <c r="H272" s="3">
        <f t="shared" si="258"/>
        <v>4.681554200352879E-4</v>
      </c>
      <c r="I272" s="3">
        <f t="shared" si="258"/>
        <v>4.681554200352879E-4</v>
      </c>
      <c r="J272" s="3">
        <f t="shared" si="258"/>
        <v>4.681554200352879E-4</v>
      </c>
      <c r="K272" s="3">
        <f t="shared" si="258"/>
        <v>4.681554200352879E-4</v>
      </c>
      <c r="L272" s="3">
        <f t="shared" si="258"/>
        <v>4.681554200352879E-4</v>
      </c>
      <c r="M272" s="3">
        <f t="shared" si="258"/>
        <v>4.681554200352879E-4</v>
      </c>
      <c r="N272" s="3">
        <f t="shared" si="258"/>
        <v>4.681554200352879E-4</v>
      </c>
      <c r="O272" s="3">
        <f t="shared" si="258"/>
        <v>4.681554200352879E-4</v>
      </c>
      <c r="P272" s="3">
        <f t="shared" si="258"/>
        <v>4.681554200352879E-4</v>
      </c>
      <c r="Q272" s="3">
        <f t="shared" si="258"/>
        <v>4.681554200352879E-4</v>
      </c>
      <c r="R272" s="3">
        <f t="shared" si="258"/>
        <v>4.681554200352879E-4</v>
      </c>
      <c r="S272" s="3">
        <f t="shared" si="258"/>
        <v>4.681554200352879E-4</v>
      </c>
      <c r="T272" s="3">
        <f t="shared" si="258"/>
        <v>4.681554200352879E-4</v>
      </c>
      <c r="U272" s="3">
        <f t="shared" si="258"/>
        <v>4.681554200352879E-4</v>
      </c>
      <c r="V272" s="3">
        <f t="shared" si="258"/>
        <v>4.6815542003528785E-4</v>
      </c>
      <c r="W272" s="3">
        <f t="shared" si="258"/>
        <v>4.6815542003528725E-4</v>
      </c>
      <c r="X272" s="3">
        <f t="shared" si="258"/>
        <v>4.6815542003528107E-4</v>
      </c>
      <c r="Y272" s="3">
        <f t="shared" si="258"/>
        <v>4.681554200352196E-4</v>
      </c>
      <c r="Z272" s="3">
        <f t="shared" si="258"/>
        <v>4.6815542003460491E-4</v>
      </c>
      <c r="AA272" s="3">
        <f t="shared" si="258"/>
        <v>4.6815542002845792E-4</v>
      </c>
      <c r="AB272" s="3">
        <f t="shared" si="258"/>
        <v>4.6815541996698837E-4</v>
      </c>
      <c r="AC272" s="3">
        <f t="shared" si="258"/>
        <v>4.6815541935229252E-4</v>
      </c>
      <c r="AD272" s="3">
        <f t="shared" si="258"/>
        <v>4.6815541320533409E-4</v>
      </c>
      <c r="AE272" s="3">
        <f t="shared" si="258"/>
        <v>4.6815535173575401E-4</v>
      </c>
      <c r="AF272" s="3">
        <f t="shared" si="258"/>
        <v>4.6815473704039749E-4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8.6950344882608704E-5</v>
      </c>
      <c r="C274" s="3">
        <f t="shared" si="260"/>
        <v>8.6950344882608704E-5</v>
      </c>
      <c r="D274" s="3">
        <f t="shared" si="260"/>
        <v>8.6950344882608704E-5</v>
      </c>
      <c r="E274" s="3">
        <f t="shared" si="260"/>
        <v>8.6950344882608704E-5</v>
      </c>
      <c r="F274" s="3">
        <f t="shared" si="260"/>
        <v>8.6950344882608704E-5</v>
      </c>
      <c r="G274" s="3">
        <f t="shared" si="260"/>
        <v>8.6950344882608704E-5</v>
      </c>
      <c r="H274" s="3">
        <f t="shared" si="260"/>
        <v>8.6950344882608704E-5</v>
      </c>
      <c r="I274" s="3">
        <f t="shared" si="260"/>
        <v>8.6950344882608704E-5</v>
      </c>
      <c r="J274" s="3">
        <f t="shared" si="260"/>
        <v>8.6950344882608704E-5</v>
      </c>
      <c r="K274" s="3">
        <f t="shared" si="260"/>
        <v>8.6950344882608704E-5</v>
      </c>
      <c r="L274" s="3">
        <f t="shared" si="260"/>
        <v>8.6950344882608704E-5</v>
      </c>
      <c r="M274" s="3">
        <f t="shared" si="260"/>
        <v>8.6950344882608704E-5</v>
      </c>
      <c r="N274" s="3">
        <f t="shared" si="260"/>
        <v>8.6950344882608704E-5</v>
      </c>
      <c r="O274" s="3">
        <f t="shared" si="260"/>
        <v>8.6950344882608704E-5</v>
      </c>
      <c r="P274" s="3">
        <f t="shared" si="260"/>
        <v>8.6950344882608704E-5</v>
      </c>
      <c r="Q274" s="3">
        <f t="shared" si="260"/>
        <v>8.6950344882608704E-5</v>
      </c>
      <c r="R274" s="3">
        <f t="shared" si="260"/>
        <v>8.6950344882608704E-5</v>
      </c>
      <c r="S274" s="3">
        <f t="shared" si="260"/>
        <v>8.6950344882608704E-5</v>
      </c>
      <c r="T274" s="3">
        <f t="shared" si="260"/>
        <v>8.6950344882608704E-5</v>
      </c>
      <c r="U274" s="3">
        <f t="shared" si="260"/>
        <v>8.6950344882608704E-5</v>
      </c>
      <c r="V274" s="3">
        <f t="shared" si="260"/>
        <v>8.6950344882608704E-5</v>
      </c>
      <c r="W274" s="3">
        <f t="shared" si="260"/>
        <v>8.6950344882608704E-5</v>
      </c>
      <c r="X274" s="3">
        <f t="shared" si="260"/>
        <v>8.6950344882608691E-5</v>
      </c>
      <c r="Y274" s="3">
        <f t="shared" si="260"/>
        <v>8.6950344882608582E-5</v>
      </c>
      <c r="Z274" s="3">
        <f t="shared" si="260"/>
        <v>8.6950344882607444E-5</v>
      </c>
      <c r="AA274" s="3">
        <f t="shared" si="260"/>
        <v>8.6950344882596019E-5</v>
      </c>
      <c r="AB274" s="3">
        <f t="shared" si="260"/>
        <v>8.6950344882481852E-5</v>
      </c>
      <c r="AC274" s="3">
        <f t="shared" si="260"/>
        <v>8.6950344881340174E-5</v>
      </c>
      <c r="AD274" s="3">
        <f t="shared" si="260"/>
        <v>8.6950344869923457E-5</v>
      </c>
      <c r="AE274" s="3">
        <f t="shared" si="260"/>
        <v>8.695034475575621E-5</v>
      </c>
      <c r="AF274" s="3">
        <f t="shared" si="260"/>
        <v>8.6950343614083733E-5</v>
      </c>
      <c r="AG274" s="3"/>
      <c r="AH274" s="3"/>
    </row>
    <row r="275" spans="1:34" x14ac:dyDescent="0.25">
      <c r="B275" s="3">
        <f t="shared" ref="B275:AF275" si="261">$C44*EXP(-B$246/$A44/EXP(-$E$126))</f>
        <v>1.5301974797879704E-4</v>
      </c>
      <c r="C275" s="3">
        <f t="shared" si="261"/>
        <v>1.5301974797879704E-4</v>
      </c>
      <c r="D275" s="3">
        <f t="shared" si="261"/>
        <v>1.5301974797879704E-4</v>
      </c>
      <c r="E275" s="3">
        <f t="shared" si="261"/>
        <v>1.5301974797879704E-4</v>
      </c>
      <c r="F275" s="3">
        <f t="shared" si="261"/>
        <v>1.5301974797879704E-4</v>
      </c>
      <c r="G275" s="3">
        <f t="shared" si="261"/>
        <v>1.5301974797879704E-4</v>
      </c>
      <c r="H275" s="3">
        <f t="shared" si="261"/>
        <v>1.5301974797879704E-4</v>
      </c>
      <c r="I275" s="3">
        <f t="shared" si="261"/>
        <v>1.5301974797879704E-4</v>
      </c>
      <c r="J275" s="3">
        <f t="shared" si="261"/>
        <v>1.5301974797879704E-4</v>
      </c>
      <c r="K275" s="3">
        <f t="shared" si="261"/>
        <v>1.5301974797879704E-4</v>
      </c>
      <c r="L275" s="3">
        <f t="shared" si="261"/>
        <v>1.5301974797879704E-4</v>
      </c>
      <c r="M275" s="3">
        <f t="shared" si="261"/>
        <v>1.5301974797879704E-4</v>
      </c>
      <c r="N275" s="3">
        <f t="shared" si="261"/>
        <v>1.5301974797879704E-4</v>
      </c>
      <c r="O275" s="3">
        <f t="shared" si="261"/>
        <v>1.5301974797879704E-4</v>
      </c>
      <c r="P275" s="3">
        <f t="shared" si="261"/>
        <v>1.5301974797879704E-4</v>
      </c>
      <c r="Q275" s="3">
        <f t="shared" si="261"/>
        <v>1.5301974797879704E-4</v>
      </c>
      <c r="R275" s="3">
        <f t="shared" si="261"/>
        <v>1.5301974797879704E-4</v>
      </c>
      <c r="S275" s="3">
        <f t="shared" si="261"/>
        <v>1.5301974797879704E-4</v>
      </c>
      <c r="T275" s="3">
        <f t="shared" si="261"/>
        <v>1.5301974797879704E-4</v>
      </c>
      <c r="U275" s="3">
        <f t="shared" si="261"/>
        <v>1.5301974797879704E-4</v>
      </c>
      <c r="V275" s="3">
        <f t="shared" si="261"/>
        <v>1.5301974797879704E-4</v>
      </c>
      <c r="W275" s="3">
        <f t="shared" si="261"/>
        <v>1.5301974797879704E-4</v>
      </c>
      <c r="X275" s="3">
        <f t="shared" si="261"/>
        <v>1.5301974797879704E-4</v>
      </c>
      <c r="Y275" s="3">
        <f t="shared" si="261"/>
        <v>1.5301974797879702E-4</v>
      </c>
      <c r="Z275" s="3">
        <f t="shared" si="261"/>
        <v>1.5301974797879683E-4</v>
      </c>
      <c r="AA275" s="3">
        <f t="shared" si="261"/>
        <v>1.5301974797879482E-4</v>
      </c>
      <c r="AB275" s="3">
        <f t="shared" si="261"/>
        <v>1.5301974797877471E-4</v>
      </c>
      <c r="AC275" s="3">
        <f t="shared" si="261"/>
        <v>1.5301974797857381E-4</v>
      </c>
      <c r="AD275" s="3">
        <f t="shared" si="261"/>
        <v>1.5301974797656462E-4</v>
      </c>
      <c r="AE275" s="3">
        <f t="shared" si="261"/>
        <v>1.5301974795647289E-4</v>
      </c>
      <c r="AF275" s="3">
        <f t="shared" si="261"/>
        <v>1.5301974775555543E-4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4.9447313975811648E-5</v>
      </c>
      <c r="C277" s="3">
        <f t="shared" si="263"/>
        <v>4.9447313975811648E-5</v>
      </c>
      <c r="D277" s="3">
        <f t="shared" si="263"/>
        <v>4.9447313975811648E-5</v>
      </c>
      <c r="E277" s="3">
        <f t="shared" si="263"/>
        <v>4.9447313975811648E-5</v>
      </c>
      <c r="F277" s="3">
        <f t="shared" si="263"/>
        <v>4.9447313975811648E-5</v>
      </c>
      <c r="G277" s="3">
        <f t="shared" si="263"/>
        <v>4.9447313975811648E-5</v>
      </c>
      <c r="H277" s="3">
        <f t="shared" si="263"/>
        <v>4.9447313975811648E-5</v>
      </c>
      <c r="I277" s="3">
        <f t="shared" si="263"/>
        <v>4.9447313975811648E-5</v>
      </c>
      <c r="J277" s="3">
        <f t="shared" si="263"/>
        <v>4.9447313975811648E-5</v>
      </c>
      <c r="K277" s="3">
        <f t="shared" si="263"/>
        <v>4.9447313975811648E-5</v>
      </c>
      <c r="L277" s="3">
        <f t="shared" si="263"/>
        <v>4.9447313975811648E-5</v>
      </c>
      <c r="M277" s="3">
        <f t="shared" si="263"/>
        <v>4.9447313975811648E-5</v>
      </c>
      <c r="N277" s="3">
        <f t="shared" si="263"/>
        <v>4.9447313975811648E-5</v>
      </c>
      <c r="O277" s="3">
        <f t="shared" si="263"/>
        <v>4.9447313975811648E-5</v>
      </c>
      <c r="P277" s="3">
        <f t="shared" si="263"/>
        <v>4.9447313975811648E-5</v>
      </c>
      <c r="Q277" s="3">
        <f t="shared" si="263"/>
        <v>4.9447313975811648E-5</v>
      </c>
      <c r="R277" s="3">
        <f t="shared" si="263"/>
        <v>4.9447313975811648E-5</v>
      </c>
      <c r="S277" s="3">
        <f t="shared" si="263"/>
        <v>4.9447313975811648E-5</v>
      </c>
      <c r="T277" s="3">
        <f t="shared" si="263"/>
        <v>4.9447313975811648E-5</v>
      </c>
      <c r="U277" s="3">
        <f t="shared" si="263"/>
        <v>4.9447313975811648E-5</v>
      </c>
      <c r="V277" s="3">
        <f t="shared" si="263"/>
        <v>4.9447313975811648E-5</v>
      </c>
      <c r="W277" s="3">
        <f t="shared" si="263"/>
        <v>4.9447313975811648E-5</v>
      </c>
      <c r="X277" s="3">
        <f t="shared" si="263"/>
        <v>4.9447313975811648E-5</v>
      </c>
      <c r="Y277" s="3">
        <f t="shared" si="263"/>
        <v>4.9447313975811648E-5</v>
      </c>
      <c r="Z277" s="3">
        <f t="shared" si="263"/>
        <v>4.9447313975811648E-5</v>
      </c>
      <c r="AA277" s="3">
        <f t="shared" si="263"/>
        <v>4.9447313975811641E-5</v>
      </c>
      <c r="AB277" s="3">
        <f t="shared" si="263"/>
        <v>4.9447313975811573E-5</v>
      </c>
      <c r="AC277" s="3">
        <f t="shared" si="263"/>
        <v>4.9447313975810929E-5</v>
      </c>
      <c r="AD277" s="3">
        <f t="shared" si="263"/>
        <v>4.9447313975804431E-5</v>
      </c>
      <c r="AE277" s="3">
        <f t="shared" si="263"/>
        <v>4.9447313975739508E-5</v>
      </c>
      <c r="AF277" s="3">
        <f t="shared" si="263"/>
        <v>4.9447313975090254E-5</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6.9977936619533359E-4</v>
      </c>
      <c r="C279" s="3">
        <f t="shared" si="265"/>
        <v>6.9977936619533359E-4</v>
      </c>
      <c r="D279" s="3">
        <f t="shared" si="265"/>
        <v>6.9977936619533359E-4</v>
      </c>
      <c r="E279" s="3">
        <f t="shared" si="265"/>
        <v>6.9977936619533359E-4</v>
      </c>
      <c r="F279" s="3">
        <f t="shared" si="265"/>
        <v>6.9977936619533359E-4</v>
      </c>
      <c r="G279" s="3">
        <f t="shared" si="265"/>
        <v>6.9977936619533359E-4</v>
      </c>
      <c r="H279" s="3">
        <f t="shared" si="265"/>
        <v>6.9977936619533359E-4</v>
      </c>
      <c r="I279" s="3">
        <f t="shared" si="265"/>
        <v>6.9977936619533359E-4</v>
      </c>
      <c r="J279" s="3">
        <f t="shared" si="265"/>
        <v>6.9977936619533359E-4</v>
      </c>
      <c r="K279" s="3">
        <f t="shared" si="265"/>
        <v>6.9977936619533359E-4</v>
      </c>
      <c r="L279" s="3">
        <f t="shared" si="265"/>
        <v>6.9977936619533359E-4</v>
      </c>
      <c r="M279" s="3">
        <f t="shared" si="265"/>
        <v>6.9977936619533359E-4</v>
      </c>
      <c r="N279" s="3">
        <f t="shared" si="265"/>
        <v>6.9977936619533359E-4</v>
      </c>
      <c r="O279" s="3">
        <f t="shared" si="265"/>
        <v>6.9977936619533359E-4</v>
      </c>
      <c r="P279" s="3">
        <f t="shared" si="265"/>
        <v>6.9977936619533359E-4</v>
      </c>
      <c r="Q279" s="3">
        <f t="shared" si="265"/>
        <v>6.9977936619533359E-4</v>
      </c>
      <c r="R279" s="3">
        <f t="shared" si="265"/>
        <v>6.9977936619533359E-4</v>
      </c>
      <c r="S279" s="3">
        <f t="shared" si="265"/>
        <v>6.9977936619533359E-4</v>
      </c>
      <c r="T279" s="3">
        <f t="shared" si="265"/>
        <v>6.9977936619533359E-4</v>
      </c>
      <c r="U279" s="3">
        <f t="shared" si="265"/>
        <v>6.9977936619533359E-4</v>
      </c>
      <c r="V279" s="3">
        <f t="shared" si="265"/>
        <v>6.9977936619533359E-4</v>
      </c>
      <c r="W279" s="3">
        <f t="shared" si="265"/>
        <v>6.9977936619533359E-4</v>
      </c>
      <c r="X279" s="3">
        <f t="shared" si="265"/>
        <v>6.9977936619533359E-4</v>
      </c>
      <c r="Y279" s="3">
        <f t="shared" si="265"/>
        <v>6.9977936619533359E-4</v>
      </c>
      <c r="Z279" s="3">
        <f t="shared" si="265"/>
        <v>6.9977936619533359E-4</v>
      </c>
      <c r="AA279" s="3">
        <f t="shared" si="265"/>
        <v>6.9977936619533359E-4</v>
      </c>
      <c r="AB279" s="3">
        <f t="shared" si="265"/>
        <v>6.9977936619533359E-4</v>
      </c>
      <c r="AC279" s="3">
        <f t="shared" si="265"/>
        <v>6.9977936619533348E-4</v>
      </c>
      <c r="AD279" s="3">
        <f t="shared" si="265"/>
        <v>6.9977936619533261E-4</v>
      </c>
      <c r="AE279" s="3">
        <f t="shared" si="265"/>
        <v>6.997793661953234E-4</v>
      </c>
      <c r="AF279" s="3">
        <f t="shared" si="265"/>
        <v>6.9977936619523146E-4</v>
      </c>
      <c r="AG279" s="3"/>
      <c r="AH279" s="3"/>
    </row>
    <row r="280" spans="1:34" x14ac:dyDescent="0.25">
      <c r="A280" s="79">
        <f>AVERAGE(B280:AF280)</f>
        <v>7.8154894527761545E-2</v>
      </c>
      <c r="B280" s="80">
        <f>IF($D$61&lt;=B246,IF($E$61&gt;=B246,ABS((B248-B247)/B247),0),0)</f>
        <v>0.10418433621043616</v>
      </c>
      <c r="C280" s="80">
        <f t="shared" ref="C280:AF280" si="266">IF($D$61&lt;=C246,IF($E$61&gt;=C246,ABS((C248-C247)/C247),0),0)</f>
        <v>0.1041932441677714</v>
      </c>
      <c r="D280" s="80">
        <f t="shared" si="266"/>
        <v>0.10418846938349283</v>
      </c>
      <c r="E280" s="80">
        <f t="shared" si="266"/>
        <v>0.10418723838647825</v>
      </c>
      <c r="F280" s="80">
        <f t="shared" si="266"/>
        <v>0.1041868877593608</v>
      </c>
      <c r="G280" s="80">
        <f t="shared" si="266"/>
        <v>0.10418675367973178</v>
      </c>
      <c r="H280" s="80">
        <f t="shared" si="266"/>
        <v>0.1041864499069463</v>
      </c>
      <c r="I280" s="80">
        <f t="shared" si="266"/>
        <v>0.1041837777485996</v>
      </c>
      <c r="J280" s="80">
        <f t="shared" si="266"/>
        <v>0.10415716062012434</v>
      </c>
      <c r="K280" s="80">
        <f t="shared" si="266"/>
        <v>0.10389280291503339</v>
      </c>
      <c r="L280" s="80">
        <f t="shared" si="266"/>
        <v>0.10141964212107207</v>
      </c>
      <c r="M280" s="80">
        <f t="shared" si="266"/>
        <v>8.7693597524521813E-2</v>
      </c>
      <c r="N280" s="80">
        <f t="shared" si="266"/>
        <v>7.1416191358997502E-2</v>
      </c>
      <c r="O280" s="80">
        <f t="shared" si="266"/>
        <v>6.8668716997471471E-2</v>
      </c>
      <c r="P280" s="80">
        <f t="shared" si="266"/>
        <v>9.5607107336881991E-2</v>
      </c>
      <c r="Q280" s="80">
        <f t="shared" si="266"/>
        <v>0.10351486381187346</v>
      </c>
      <c r="R280" s="80">
        <f t="shared" si="266"/>
        <v>0.11250005917294056</v>
      </c>
      <c r="S280" s="80">
        <f t="shared" si="266"/>
        <v>9.0913070089331638E-2</v>
      </c>
      <c r="T280" s="80">
        <f t="shared" si="266"/>
        <v>4.8335390374905441E-3</v>
      </c>
      <c r="U280" s="80">
        <f t="shared" si="266"/>
        <v>0.10965650640145611</v>
      </c>
      <c r="V280" s="80">
        <f t="shared" si="266"/>
        <v>0.17539603338406357</v>
      </c>
      <c r="W280" s="80">
        <f t="shared" si="266"/>
        <v>0.16238633735772184</v>
      </c>
      <c r="X280" s="80">
        <f t="shared" si="266"/>
        <v>6.5253674463174885E-2</v>
      </c>
      <c r="Y280" s="80">
        <f t="shared" si="266"/>
        <v>0.1319952705256357</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576409.67400749319</v>
      </c>
      <c r="C281" s="21">
        <f t="shared" ref="C281:AF281" si="267">(C248-C247)^2</f>
        <v>576519.71217465086</v>
      </c>
      <c r="D281" s="21">
        <f t="shared" si="267"/>
        <v>576460.72866686026</v>
      </c>
      <c r="E281" s="21">
        <f t="shared" si="267"/>
        <v>576445.52259521652</v>
      </c>
      <c r="F281" s="21">
        <f t="shared" si="267"/>
        <v>576441.19144012814</v>
      </c>
      <c r="G281" s="21">
        <f t="shared" si="267"/>
        <v>576439.53495245741</v>
      </c>
      <c r="H281" s="21">
        <f t="shared" si="267"/>
        <v>576435.77989810554</v>
      </c>
      <c r="I281" s="21">
        <f t="shared" si="267"/>
        <v>576402.7456692775</v>
      </c>
      <c r="J281" s="21">
        <f t="shared" si="267"/>
        <v>576073.75613719248</v>
      </c>
      <c r="K281" s="21">
        <f t="shared" si="267"/>
        <v>572812.42208730674</v>
      </c>
      <c r="L281" s="21">
        <f t="shared" si="267"/>
        <v>542839.27801297337</v>
      </c>
      <c r="M281" s="21">
        <f t="shared" si="267"/>
        <v>393541.82237311715</v>
      </c>
      <c r="N281" s="21">
        <f t="shared" si="267"/>
        <v>250770.74235581601</v>
      </c>
      <c r="O281" s="21">
        <f t="shared" si="267"/>
        <v>221566.32379568153</v>
      </c>
      <c r="P281" s="21">
        <f t="shared" si="267"/>
        <v>406335.8545077804</v>
      </c>
      <c r="Q281" s="21">
        <f t="shared" si="267"/>
        <v>446873.36728864186</v>
      </c>
      <c r="R281" s="21">
        <f t="shared" si="267"/>
        <v>486057.94619692164</v>
      </c>
      <c r="S281" s="21">
        <f t="shared" si="267"/>
        <v>271245.50868491619</v>
      </c>
      <c r="T281" s="21">
        <f t="shared" si="267"/>
        <v>563.10474611896916</v>
      </c>
      <c r="U281" s="21">
        <f t="shared" si="267"/>
        <v>197689.30709099089</v>
      </c>
      <c r="V281" s="21">
        <f t="shared" si="267"/>
        <v>352443.55147840426</v>
      </c>
      <c r="W281" s="21">
        <f t="shared" si="267"/>
        <v>216870.58835514099</v>
      </c>
      <c r="X281" s="21">
        <f t="shared" si="267"/>
        <v>24402.252888437266</v>
      </c>
      <c r="Y281" s="21">
        <f t="shared" si="267"/>
        <v>64431.091433263726</v>
      </c>
      <c r="Z281" s="21">
        <f t="shared" si="267"/>
        <v>185228.27365531423</v>
      </c>
      <c r="AA281" s="21">
        <f t="shared" si="267"/>
        <v>131981.05365554633</v>
      </c>
      <c r="AB281" s="21">
        <f t="shared" si="267"/>
        <v>45429.166258499572</v>
      </c>
      <c r="AC281" s="21">
        <f t="shared" si="267"/>
        <v>3625.9728350355654</v>
      </c>
      <c r="AD281" s="21">
        <f t="shared" si="267"/>
        <v>1746.3913855626479</v>
      </c>
      <c r="AE281" s="21">
        <f t="shared" si="267"/>
        <v>4318.2437954290663</v>
      </c>
      <c r="AF281" s="21">
        <f t="shared" si="267"/>
        <v>2835.4533972023587</v>
      </c>
      <c r="AG281" s="3"/>
      <c r="AH281" s="3"/>
    </row>
    <row r="282" spans="1:34" s="3" customFormat="1" x14ac:dyDescent="0.25">
      <c r="A282" s="71">
        <f>SUM(B282:AF282)</f>
        <v>9636071.8068368938</v>
      </c>
      <c r="B282" s="21">
        <f>IF($D$61&lt;=B246,IF($E$61&gt;=B246,ABS(B281),0),0)</f>
        <v>576409.67400749319</v>
      </c>
      <c r="C282" s="21">
        <f t="shared" ref="C282:AF282" si="268">IF($D$61&lt;=C246,IF($E$61&gt;=C246,ABS(C281),0),0)</f>
        <v>576519.71217465086</v>
      </c>
      <c r="D282" s="21">
        <f t="shared" si="268"/>
        <v>576460.72866686026</v>
      </c>
      <c r="E282" s="21">
        <f t="shared" si="268"/>
        <v>576445.52259521652</v>
      </c>
      <c r="F282" s="21">
        <f t="shared" si="268"/>
        <v>576441.19144012814</v>
      </c>
      <c r="G282" s="21">
        <f t="shared" si="268"/>
        <v>576439.53495245741</v>
      </c>
      <c r="H282" s="21">
        <f t="shared" si="268"/>
        <v>576435.77989810554</v>
      </c>
      <c r="I282" s="21">
        <f t="shared" si="268"/>
        <v>576402.7456692775</v>
      </c>
      <c r="J282" s="21">
        <f t="shared" si="268"/>
        <v>576073.75613719248</v>
      </c>
      <c r="K282" s="21">
        <f t="shared" si="268"/>
        <v>572812.42208730674</v>
      </c>
      <c r="L282" s="21">
        <f t="shared" si="268"/>
        <v>542839.27801297337</v>
      </c>
      <c r="M282" s="21">
        <f t="shared" si="268"/>
        <v>393541.82237311715</v>
      </c>
      <c r="N282" s="21">
        <f t="shared" si="268"/>
        <v>250770.74235581601</v>
      </c>
      <c r="O282" s="21">
        <f t="shared" si="268"/>
        <v>221566.32379568153</v>
      </c>
      <c r="P282" s="21">
        <f t="shared" si="268"/>
        <v>406335.8545077804</v>
      </c>
      <c r="Q282" s="21">
        <f t="shared" si="268"/>
        <v>446873.36728864186</v>
      </c>
      <c r="R282" s="21">
        <f t="shared" si="268"/>
        <v>486057.94619692164</v>
      </c>
      <c r="S282" s="21">
        <f t="shared" si="268"/>
        <v>271245.50868491619</v>
      </c>
      <c r="T282" s="21">
        <f t="shared" si="268"/>
        <v>563.10474611896916</v>
      </c>
      <c r="U282" s="21">
        <f t="shared" si="268"/>
        <v>197689.30709099089</v>
      </c>
      <c r="V282" s="21">
        <f t="shared" si="268"/>
        <v>352443.55147840426</v>
      </c>
      <c r="W282" s="21">
        <f t="shared" si="268"/>
        <v>216870.58835514099</v>
      </c>
      <c r="X282" s="21">
        <f t="shared" si="268"/>
        <v>24402.252888437266</v>
      </c>
      <c r="Y282" s="21">
        <f t="shared" si="268"/>
        <v>64431.091433263726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6528.0256698307167</v>
      </c>
      <c r="C287" s="27">
        <f t="shared" ref="C287:AF287" si="269">($C$17+SUM(C288:C318))*$B$51</f>
        <v>6528.0256687884075</v>
      </c>
      <c r="D287" s="27">
        <f t="shared" si="269"/>
        <v>6528.0256583653118</v>
      </c>
      <c r="E287" s="27">
        <f t="shared" si="269"/>
        <v>6528.0255541343568</v>
      </c>
      <c r="F287" s="27">
        <f t="shared" si="269"/>
        <v>6528.0245118260555</v>
      </c>
      <c r="G287" s="27">
        <f t="shared" si="269"/>
        <v>6528.0140888676506</v>
      </c>
      <c r="H287" s="27">
        <f t="shared" si="269"/>
        <v>6527.9098717427942</v>
      </c>
      <c r="I287" s="27">
        <f t="shared" si="269"/>
        <v>6526.8689453685201</v>
      </c>
      <c r="J287" s="27">
        <f t="shared" si="269"/>
        <v>6516.583130173527</v>
      </c>
      <c r="K287" s="27">
        <f t="shared" si="269"/>
        <v>6425.0935535821964</v>
      </c>
      <c r="L287" s="27">
        <f t="shared" si="269"/>
        <v>6075.5978802134332</v>
      </c>
      <c r="M287" s="27">
        <f t="shared" si="269"/>
        <v>5830.5228280239717</v>
      </c>
      <c r="N287" s="27">
        <f t="shared" si="269"/>
        <v>5547.9785730787371</v>
      </c>
      <c r="O287" s="27">
        <f t="shared" si="269"/>
        <v>5259.0512251473019</v>
      </c>
      <c r="P287" s="27">
        <f t="shared" si="269"/>
        <v>4945.2757956662836</v>
      </c>
      <c r="Q287" s="27">
        <f t="shared" si="269"/>
        <v>4575.6207399882323</v>
      </c>
      <c r="R287" s="27">
        <f t="shared" si="269"/>
        <v>4082.5885193767881</v>
      </c>
      <c r="S287" s="27">
        <f t="shared" si="269"/>
        <v>3463.0857612826176</v>
      </c>
      <c r="T287" s="27">
        <f t="shared" si="269"/>
        <v>2707.9776959779879</v>
      </c>
      <c r="U287" s="27">
        <f t="shared" si="269"/>
        <v>1836.9572576381452</v>
      </c>
      <c r="V287" s="27">
        <f t="shared" si="269"/>
        <v>1108.7442295775049</v>
      </c>
      <c r="W287" s="27">
        <f t="shared" si="269"/>
        <v>632.50903558455252</v>
      </c>
      <c r="X287" s="27">
        <f t="shared" si="269"/>
        <v>355.53237402627815</v>
      </c>
      <c r="Y287" s="27">
        <f t="shared" si="269"/>
        <v>248.10722047912049</v>
      </c>
      <c r="Z287" s="27">
        <f t="shared" si="269"/>
        <v>214.91272211724325</v>
      </c>
      <c r="AA287" s="27">
        <f t="shared" si="269"/>
        <v>185.74768380145963</v>
      </c>
      <c r="AB287" s="27">
        <f t="shared" si="269"/>
        <v>158.26298888010064</v>
      </c>
      <c r="AC287" s="27">
        <f t="shared" si="269"/>
        <v>132.56023207753336</v>
      </c>
      <c r="AD287" s="27">
        <f t="shared" si="269"/>
        <v>115.69826063526615</v>
      </c>
      <c r="AE287" s="27">
        <f t="shared" si="269"/>
        <v>105.71550783048163</v>
      </c>
      <c r="AF287" s="27">
        <f t="shared" si="269"/>
        <v>99.807458285162738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5.9305618626393997E-2</v>
      </c>
      <c r="C289" s="3">
        <f t="shared" si="271"/>
        <v>5.9305618491299325E-2</v>
      </c>
      <c r="D289" s="3">
        <f t="shared" si="271"/>
        <v>5.9305617140352637E-2</v>
      </c>
      <c r="E289" s="3">
        <f t="shared" si="271"/>
        <v>5.9305603630887424E-2</v>
      </c>
      <c r="F289" s="3">
        <f t="shared" si="271"/>
        <v>5.9305468536404539E-2</v>
      </c>
      <c r="G289" s="3">
        <f t="shared" si="271"/>
        <v>5.9304117608501114E-2</v>
      </c>
      <c r="H289" s="3">
        <f t="shared" si="271"/>
        <v>5.929061002186526E-2</v>
      </c>
      <c r="I289" s="3">
        <f t="shared" si="271"/>
        <v>5.9155703252795025E-2</v>
      </c>
      <c r="J289" s="3">
        <f t="shared" si="271"/>
        <v>5.7823403633547661E-2</v>
      </c>
      <c r="K289" s="3">
        <f t="shared" si="271"/>
        <v>4.6044096195797232E-2</v>
      </c>
      <c r="L289" s="3">
        <f t="shared" si="271"/>
        <v>4.7192932070427183E-3</v>
      </c>
      <c r="M289" s="3">
        <f t="shared" si="271"/>
        <v>6.0381937097436307E-13</v>
      </c>
      <c r="N289" s="3">
        <f t="shared" si="271"/>
        <v>7.099174458495242E-112</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3.0349614863910308E-2</v>
      </c>
      <c r="C290" s="3">
        <f t="shared" si="272"/>
        <v>3.0349614857673794E-2</v>
      </c>
      <c r="D290" s="3">
        <f t="shared" si="272"/>
        <v>3.0349614795308618E-2</v>
      </c>
      <c r="E290" s="3">
        <f t="shared" si="272"/>
        <v>3.0349614171656866E-2</v>
      </c>
      <c r="F290" s="3">
        <f t="shared" si="272"/>
        <v>3.0349607935140049E-2</v>
      </c>
      <c r="G290" s="3">
        <f t="shared" si="272"/>
        <v>3.0349545570042342E-2</v>
      </c>
      <c r="H290" s="3">
        <f t="shared" si="272"/>
        <v>3.034892192611368E-2</v>
      </c>
      <c r="I290" s="3">
        <f t="shared" si="272"/>
        <v>3.0342686191612806E-2</v>
      </c>
      <c r="J290" s="3">
        <f t="shared" si="272"/>
        <v>3.0280399271624205E-2</v>
      </c>
      <c r="K290" s="3">
        <f t="shared" si="272"/>
        <v>2.9664519321941436E-2</v>
      </c>
      <c r="L290" s="3">
        <f t="shared" si="272"/>
        <v>2.415430226239812E-2</v>
      </c>
      <c r="M290" s="3">
        <f t="shared" si="272"/>
        <v>3.0943277234686769E-3</v>
      </c>
      <c r="N290" s="3">
        <f t="shared" si="272"/>
        <v>3.6837014530803509E-12</v>
      </c>
      <c r="O290" s="3">
        <f t="shared" si="272"/>
        <v>2.106035054137844E-101</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4.1677263073906679E-2</v>
      </c>
      <c r="C291" s="3">
        <f t="shared" si="273"/>
        <v>4.1677263073134116E-2</v>
      </c>
      <c r="D291" s="3">
        <f t="shared" si="273"/>
        <v>4.1677263065408469E-2</v>
      </c>
      <c r="E291" s="3">
        <f t="shared" si="273"/>
        <v>4.1677262988152018E-2</v>
      </c>
      <c r="F291" s="3">
        <f t="shared" si="273"/>
        <v>4.167726221558752E-2</v>
      </c>
      <c r="G291" s="3">
        <f t="shared" si="273"/>
        <v>4.1677254489943354E-2</v>
      </c>
      <c r="H291" s="3">
        <f t="shared" si="273"/>
        <v>4.1677177233580449E-2</v>
      </c>
      <c r="I291" s="3">
        <f t="shared" si="273"/>
        <v>4.167640467782785E-2</v>
      </c>
      <c r="J291" s="3">
        <f t="shared" si="273"/>
        <v>4.1668679907891283E-2</v>
      </c>
      <c r="K291" s="3">
        <f t="shared" si="273"/>
        <v>4.1591510913481934E-2</v>
      </c>
      <c r="L291" s="3">
        <f t="shared" si="273"/>
        <v>4.0827637750829329E-2</v>
      </c>
      <c r="M291" s="3">
        <f t="shared" si="273"/>
        <v>3.3919528438083602E-2</v>
      </c>
      <c r="N291" s="3">
        <f t="shared" si="273"/>
        <v>5.3138016238033483E-3</v>
      </c>
      <c r="O291" s="3">
        <f t="shared" si="273"/>
        <v>4.7310839021869837E-11</v>
      </c>
      <c r="P291" s="3">
        <f t="shared" si="273"/>
        <v>1.4808592353444242E-91</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4.0365011441855669E-2</v>
      </c>
      <c r="C292" s="3">
        <f t="shared" si="274"/>
        <v>4.0365011441788175E-2</v>
      </c>
      <c r="D292" s="3">
        <f t="shared" si="274"/>
        <v>4.0365011441113201E-2</v>
      </c>
      <c r="E292" s="3">
        <f t="shared" si="274"/>
        <v>4.0365011434363454E-2</v>
      </c>
      <c r="F292" s="3">
        <f t="shared" si="274"/>
        <v>4.036501136686603E-2</v>
      </c>
      <c r="G292" s="3">
        <f t="shared" si="274"/>
        <v>4.0365010691891745E-2</v>
      </c>
      <c r="H292" s="3">
        <f t="shared" si="274"/>
        <v>4.0365003942149549E-2</v>
      </c>
      <c r="I292" s="3">
        <f t="shared" si="274"/>
        <v>4.036493644478964E-2</v>
      </c>
      <c r="J292" s="3">
        <f t="shared" si="274"/>
        <v>4.0364261477398244E-2</v>
      </c>
      <c r="K292" s="3">
        <f t="shared" si="274"/>
        <v>4.0357512424213489E-2</v>
      </c>
      <c r="L292" s="3">
        <f t="shared" si="274"/>
        <v>4.0290083926903857E-2</v>
      </c>
      <c r="M292" s="3">
        <f t="shared" si="274"/>
        <v>3.9621964197560547E-2</v>
      </c>
      <c r="N292" s="3">
        <f t="shared" si="274"/>
        <v>3.3520793667155852E-2</v>
      </c>
      <c r="O292" s="3">
        <f t="shared" si="274"/>
        <v>6.2964710192962734E-3</v>
      </c>
      <c r="P292" s="3">
        <f t="shared" si="274"/>
        <v>3.4429155362711454E-10</v>
      </c>
      <c r="Q292" s="3">
        <f t="shared" si="274"/>
        <v>8.2265542353101505E-83</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4.4176699157066374E-2</v>
      </c>
      <c r="C293" s="3">
        <f t="shared" si="275"/>
        <v>4.4176699157059712E-2</v>
      </c>
      <c r="D293" s="3">
        <f t="shared" si="275"/>
        <v>4.4176699156993078E-2</v>
      </c>
      <c r="E293" s="3">
        <f t="shared" si="275"/>
        <v>4.4176699156326694E-2</v>
      </c>
      <c r="F293" s="3">
        <f t="shared" si="275"/>
        <v>4.4176699149662893E-2</v>
      </c>
      <c r="G293" s="3">
        <f t="shared" si="275"/>
        <v>4.4176699083024885E-2</v>
      </c>
      <c r="H293" s="3">
        <f t="shared" si="275"/>
        <v>4.4176698416644816E-2</v>
      </c>
      <c r="I293" s="3">
        <f t="shared" si="275"/>
        <v>4.4176691752844673E-2</v>
      </c>
      <c r="J293" s="3">
        <f t="shared" si="275"/>
        <v>4.4176625114898511E-2</v>
      </c>
      <c r="K293" s="3">
        <f t="shared" si="275"/>
        <v>4.4175958740965429E-2</v>
      </c>
      <c r="L293" s="3">
        <f t="shared" si="275"/>
        <v>4.4169295554458157E-2</v>
      </c>
      <c r="M293" s="3">
        <f t="shared" si="275"/>
        <v>4.4102718940894278E-2</v>
      </c>
      <c r="N293" s="3">
        <f t="shared" si="275"/>
        <v>4.3442447242991233E-2</v>
      </c>
      <c r="O293" s="3">
        <f t="shared" si="275"/>
        <v>3.7359706854774875E-2</v>
      </c>
      <c r="P293" s="3">
        <f t="shared" si="275"/>
        <v>8.2659968341925721E-3</v>
      </c>
      <c r="Q293" s="3">
        <f t="shared" si="275"/>
        <v>2.3238761683784714E-9</v>
      </c>
      <c r="R293" s="3">
        <f t="shared" si="275"/>
        <v>7.1678755821546665E-75</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5.1093401565650329E-2</v>
      </c>
      <c r="C294" s="3">
        <f t="shared" si="276"/>
        <v>5.1093401565649635E-2</v>
      </c>
      <c r="D294" s="3">
        <f t="shared" si="276"/>
        <v>5.1093401565642682E-2</v>
      </c>
      <c r="E294" s="3">
        <f t="shared" si="276"/>
        <v>5.1093401565573154E-2</v>
      </c>
      <c r="F294" s="3">
        <f t="shared" si="276"/>
        <v>5.1093401564877905E-2</v>
      </c>
      <c r="G294" s="3">
        <f t="shared" si="276"/>
        <v>5.1093401557925418E-2</v>
      </c>
      <c r="H294" s="3">
        <f t="shared" si="276"/>
        <v>5.109340148840056E-2</v>
      </c>
      <c r="I294" s="3">
        <f t="shared" si="276"/>
        <v>5.1093400793151916E-2</v>
      </c>
      <c r="J294" s="3">
        <f t="shared" si="276"/>
        <v>5.1093393840666086E-2</v>
      </c>
      <c r="K294" s="3">
        <f t="shared" si="276"/>
        <v>5.1093324315859757E-2</v>
      </c>
      <c r="L294" s="3">
        <f t="shared" si="276"/>
        <v>5.1092629072999739E-2</v>
      </c>
      <c r="M294" s="3">
        <f t="shared" si="276"/>
        <v>5.1085677164699632E-2</v>
      </c>
      <c r="N294" s="3">
        <f t="shared" si="276"/>
        <v>5.1016210085518272E-2</v>
      </c>
      <c r="O294" s="3">
        <f t="shared" si="276"/>
        <v>5.0326713588131865E-2</v>
      </c>
      <c r="P294" s="3">
        <f t="shared" si="276"/>
        <v>4.3924048188636294E-2</v>
      </c>
      <c r="Q294" s="3">
        <f t="shared" si="276"/>
        <v>1.1265234600500381E-2</v>
      </c>
      <c r="R294" s="3">
        <f t="shared" si="276"/>
        <v>1.3871360261964301E-8</v>
      </c>
      <c r="S294" s="3">
        <f t="shared" si="276"/>
        <v>1.1114940936681407E-67</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7.3486409025988783E-2</v>
      </c>
      <c r="C295" s="3">
        <f t="shared" si="277"/>
        <v>7.34864090259887E-2</v>
      </c>
      <c r="D295" s="3">
        <f t="shared" si="277"/>
        <v>7.3486409025987798E-2</v>
      </c>
      <c r="E295" s="3">
        <f t="shared" si="277"/>
        <v>7.3486409025978777E-2</v>
      </c>
      <c r="F295" s="3">
        <f t="shared" si="277"/>
        <v>7.3486409025888572E-2</v>
      </c>
      <c r="G295" s="3">
        <f t="shared" si="277"/>
        <v>7.3486409024986529E-2</v>
      </c>
      <c r="H295" s="3">
        <f t="shared" si="277"/>
        <v>7.3486409015966064E-2</v>
      </c>
      <c r="I295" s="3">
        <f t="shared" si="277"/>
        <v>7.3486408925761401E-2</v>
      </c>
      <c r="J295" s="3">
        <f t="shared" si="277"/>
        <v>7.3486408023714866E-2</v>
      </c>
      <c r="K295" s="3">
        <f t="shared" si="277"/>
        <v>7.3486399003250075E-2</v>
      </c>
      <c r="L295" s="3">
        <f t="shared" si="277"/>
        <v>7.3486308798662997E-2</v>
      </c>
      <c r="M295" s="3">
        <f t="shared" si="277"/>
        <v>7.348540675888221E-2</v>
      </c>
      <c r="N295" s="3">
        <f t="shared" si="277"/>
        <v>7.347638697003836E-2</v>
      </c>
      <c r="O295" s="3">
        <f t="shared" si="277"/>
        <v>7.3386249950354934E-2</v>
      </c>
      <c r="P295" s="3">
        <f t="shared" si="277"/>
        <v>7.2490939074465549E-2</v>
      </c>
      <c r="Q295" s="3">
        <f t="shared" si="277"/>
        <v>6.4117122919494354E-2</v>
      </c>
      <c r="R295" s="3">
        <f t="shared" si="277"/>
        <v>1.8787847732967829E-2</v>
      </c>
      <c r="S295" s="3">
        <f t="shared" si="277"/>
        <v>8.7681321353217016E-8</v>
      </c>
      <c r="T295" s="3">
        <f t="shared" si="277"/>
        <v>4.2974182932411087E-61</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9.0828991010172527E-2</v>
      </c>
      <c r="C296" s="3">
        <f t="shared" si="278"/>
        <v>9.0828991010172513E-2</v>
      </c>
      <c r="D296" s="3">
        <f t="shared" si="278"/>
        <v>9.0828991010172416E-2</v>
      </c>
      <c r="E296" s="3">
        <f t="shared" si="278"/>
        <v>9.0828991010171403E-2</v>
      </c>
      <c r="F296" s="3">
        <f t="shared" si="278"/>
        <v>9.0828991010161356E-2</v>
      </c>
      <c r="G296" s="3">
        <f t="shared" si="278"/>
        <v>9.0828991010060769E-2</v>
      </c>
      <c r="H296" s="3">
        <f t="shared" si="278"/>
        <v>9.0828991009055018E-2</v>
      </c>
      <c r="I296" s="3">
        <f t="shared" si="278"/>
        <v>9.0828990998997453E-2</v>
      </c>
      <c r="J296" s="3">
        <f t="shared" si="278"/>
        <v>9.0828990898421766E-2</v>
      </c>
      <c r="K296" s="3">
        <f t="shared" si="278"/>
        <v>9.0828989892664913E-2</v>
      </c>
      <c r="L296" s="3">
        <f t="shared" si="278"/>
        <v>9.0828979835096996E-2</v>
      </c>
      <c r="M296" s="3">
        <f t="shared" si="278"/>
        <v>9.0828879259479037E-2</v>
      </c>
      <c r="N296" s="3">
        <f t="shared" si="278"/>
        <v>9.0827873509424686E-2</v>
      </c>
      <c r="O296" s="3">
        <f t="shared" si="278"/>
        <v>9.0817816621378819E-2</v>
      </c>
      <c r="P296" s="3">
        <f t="shared" si="278"/>
        <v>9.0717308965599722E-2</v>
      </c>
      <c r="Q296" s="3">
        <f t="shared" si="278"/>
        <v>8.971832986589115E-2</v>
      </c>
      <c r="R296" s="3">
        <f t="shared" si="278"/>
        <v>8.0314025952834198E-2</v>
      </c>
      <c r="S296" s="3">
        <f t="shared" si="278"/>
        <v>2.6539550203804566E-2</v>
      </c>
      <c r="T296" s="3">
        <f t="shared" si="278"/>
        <v>4.1201703553193632E-7</v>
      </c>
      <c r="U296" s="3">
        <f t="shared" si="278"/>
        <v>3.3506674161016542E-55</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0.11303496653818297</v>
      </c>
      <c r="C297" s="3">
        <f t="shared" si="279"/>
        <v>0.11303496653818297</v>
      </c>
      <c r="D297" s="3">
        <f t="shared" si="279"/>
        <v>0.11303496653818296</v>
      </c>
      <c r="E297" s="3">
        <f t="shared" si="279"/>
        <v>0.11303496653818285</v>
      </c>
      <c r="F297" s="3">
        <f t="shared" si="279"/>
        <v>0.11303496653818172</v>
      </c>
      <c r="G297" s="3">
        <f t="shared" si="279"/>
        <v>0.11303496653817043</v>
      </c>
      <c r="H297" s="3">
        <f t="shared" si="279"/>
        <v>0.11303496653805752</v>
      </c>
      <c r="I297" s="3">
        <f t="shared" si="279"/>
        <v>0.11303496653692843</v>
      </c>
      <c r="J297" s="3">
        <f t="shared" si="279"/>
        <v>0.11303496652563755</v>
      </c>
      <c r="K297" s="3">
        <f t="shared" si="279"/>
        <v>0.11303496641272871</v>
      </c>
      <c r="L297" s="3">
        <f t="shared" si="279"/>
        <v>0.1130349652836404</v>
      </c>
      <c r="M297" s="3">
        <f t="shared" si="279"/>
        <v>0.1130349539927579</v>
      </c>
      <c r="N297" s="3">
        <f t="shared" si="279"/>
        <v>0.11303484108399482</v>
      </c>
      <c r="O297" s="3">
        <f t="shared" si="279"/>
        <v>0.11303371200256722</v>
      </c>
      <c r="P297" s="3">
        <f t="shared" si="279"/>
        <v>0.11302242180857121</v>
      </c>
      <c r="Q297" s="3">
        <f t="shared" si="279"/>
        <v>0.11290958187370631</v>
      </c>
      <c r="R297" s="3">
        <f t="shared" si="279"/>
        <v>0.11178736017938952</v>
      </c>
      <c r="S297" s="3">
        <f t="shared" si="279"/>
        <v>0.10116067413903905</v>
      </c>
      <c r="T297" s="3">
        <f t="shared" si="279"/>
        <v>3.7256483207899961E-2</v>
      </c>
      <c r="U297" s="3">
        <f t="shared" si="279"/>
        <v>1.7104220469743631E-6</v>
      </c>
      <c r="V297" s="3">
        <f t="shared" si="279"/>
        <v>7.1140607240578384E-50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0.13845265884512553</v>
      </c>
      <c r="C298" s="3">
        <f t="shared" si="280"/>
        <v>0.13845265884512553</v>
      </c>
      <c r="D298" s="3">
        <f t="shared" si="280"/>
        <v>0.13845265884512553</v>
      </c>
      <c r="E298" s="3">
        <f t="shared" si="280"/>
        <v>0.1384526588451255</v>
      </c>
      <c r="F298" s="3">
        <f t="shared" si="280"/>
        <v>0.13845265884512539</v>
      </c>
      <c r="G298" s="3">
        <f t="shared" si="280"/>
        <v>0.13845265884512414</v>
      </c>
      <c r="H298" s="3">
        <f t="shared" si="280"/>
        <v>0.13845265884511165</v>
      </c>
      <c r="I298" s="3">
        <f t="shared" si="280"/>
        <v>0.13845265884498692</v>
      </c>
      <c r="J298" s="3">
        <f t="shared" si="280"/>
        <v>0.13845265884373933</v>
      </c>
      <c r="K298" s="3">
        <f t="shared" si="280"/>
        <v>0.1384526588312637</v>
      </c>
      <c r="L298" s="3">
        <f t="shared" si="280"/>
        <v>0.13845265870650725</v>
      </c>
      <c r="M298" s="3">
        <f t="shared" si="280"/>
        <v>0.13845265745894281</v>
      </c>
      <c r="N298" s="3">
        <f t="shared" si="280"/>
        <v>0.13845264498329884</v>
      </c>
      <c r="O298" s="3">
        <f t="shared" si="280"/>
        <v>0.13845252022692106</v>
      </c>
      <c r="P298" s="3">
        <f t="shared" si="280"/>
        <v>0.13845127266932605</v>
      </c>
      <c r="Q298" s="3">
        <f t="shared" si="280"/>
        <v>0.13843879771163622</v>
      </c>
      <c r="R298" s="3">
        <f t="shared" si="280"/>
        <v>0.13831410994015061</v>
      </c>
      <c r="S298" s="3">
        <f t="shared" si="280"/>
        <v>0.13707339221031603</v>
      </c>
      <c r="T298" s="3">
        <f t="shared" si="280"/>
        <v>0.12526216177909538</v>
      </c>
      <c r="U298" s="3">
        <f t="shared" si="280"/>
        <v>5.087299682844592E-2</v>
      </c>
      <c r="V298" s="3">
        <f t="shared" si="280"/>
        <v>6.2109997966312225E-6</v>
      </c>
      <c r="W298" s="3">
        <f t="shared" si="280"/>
        <v>4.5698658045204014E-45</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8.6910854297372359E-2</v>
      </c>
      <c r="C299" s="3">
        <f t="shared" si="281"/>
        <v>8.6910854297372359E-2</v>
      </c>
      <c r="D299" s="3">
        <f t="shared" si="281"/>
        <v>8.6910854297372359E-2</v>
      </c>
      <c r="E299" s="3">
        <f t="shared" si="281"/>
        <v>8.6910854297372359E-2</v>
      </c>
      <c r="F299" s="3">
        <f t="shared" si="281"/>
        <v>8.6910854297372345E-2</v>
      </c>
      <c r="G299" s="3">
        <f t="shared" si="281"/>
        <v>8.6910854297372275E-2</v>
      </c>
      <c r="H299" s="3">
        <f t="shared" si="281"/>
        <v>8.6910854297371581E-2</v>
      </c>
      <c r="I299" s="3">
        <f t="shared" si="281"/>
        <v>8.6910854297364518E-2</v>
      </c>
      <c r="J299" s="3">
        <f t="shared" si="281"/>
        <v>8.6910854297293866E-2</v>
      </c>
      <c r="K299" s="3">
        <f t="shared" si="281"/>
        <v>8.6910854296587403E-2</v>
      </c>
      <c r="L299" s="3">
        <f t="shared" si="281"/>
        <v>8.6910854289522901E-2</v>
      </c>
      <c r="M299" s="3">
        <f t="shared" si="281"/>
        <v>8.6910854218877759E-2</v>
      </c>
      <c r="N299" s="3">
        <f t="shared" si="281"/>
        <v>8.6910853512426334E-2</v>
      </c>
      <c r="O299" s="3">
        <f t="shared" si="281"/>
        <v>8.6910846447912443E-2</v>
      </c>
      <c r="P299" s="3">
        <f t="shared" si="281"/>
        <v>8.691077580280504E-2</v>
      </c>
      <c r="Q299" s="3">
        <f t="shared" si="281"/>
        <v>8.6910069354889374E-2</v>
      </c>
      <c r="R299" s="3">
        <f t="shared" si="281"/>
        <v>8.6903005191552099E-2</v>
      </c>
      <c r="S299" s="3">
        <f t="shared" si="281"/>
        <v>8.6832395130620438E-2</v>
      </c>
      <c r="T299" s="3">
        <f t="shared" si="281"/>
        <v>8.6129442290520011E-2</v>
      </c>
      <c r="U299" s="3">
        <f t="shared" si="281"/>
        <v>7.9405426125105719E-2</v>
      </c>
      <c r="V299" s="3">
        <f t="shared" si="281"/>
        <v>3.5223753823182026E-2</v>
      </c>
      <c r="W299" s="3">
        <f t="shared" si="281"/>
        <v>1.0391786178924889E-5</v>
      </c>
      <c r="X299" s="3">
        <f t="shared" si="281"/>
        <v>5.1908185906712899E-41</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5.8628121311532923E-2</v>
      </c>
      <c r="C300" s="3">
        <f t="shared" si="282"/>
        <v>5.8628121311532923E-2</v>
      </c>
      <c r="D300" s="3">
        <f t="shared" si="282"/>
        <v>5.8628121311532923E-2</v>
      </c>
      <c r="E300" s="3">
        <f t="shared" si="282"/>
        <v>5.8628121311532923E-2</v>
      </c>
      <c r="F300" s="3">
        <f t="shared" si="282"/>
        <v>5.8628121311532923E-2</v>
      </c>
      <c r="G300" s="3">
        <f t="shared" si="282"/>
        <v>5.8628121311532916E-2</v>
      </c>
      <c r="H300" s="3">
        <f t="shared" si="282"/>
        <v>5.8628121311532874E-2</v>
      </c>
      <c r="I300" s="3">
        <f t="shared" si="282"/>
        <v>5.8628121311532451E-2</v>
      </c>
      <c r="J300" s="3">
        <f t="shared" si="282"/>
        <v>5.8628121311528142E-2</v>
      </c>
      <c r="K300" s="3">
        <f t="shared" si="282"/>
        <v>5.8628121311485162E-2</v>
      </c>
      <c r="L300" s="3">
        <f t="shared" si="282"/>
        <v>5.8628121311055263E-2</v>
      </c>
      <c r="M300" s="3">
        <f t="shared" si="282"/>
        <v>5.8628121306756327E-2</v>
      </c>
      <c r="N300" s="3">
        <f t="shared" si="282"/>
        <v>5.8628121263766979E-2</v>
      </c>
      <c r="O300" s="3">
        <f t="shared" si="282"/>
        <v>5.8628120833873504E-2</v>
      </c>
      <c r="P300" s="3">
        <f t="shared" si="282"/>
        <v>5.8628116534938934E-2</v>
      </c>
      <c r="Q300" s="3">
        <f t="shared" si="282"/>
        <v>5.8628073545610504E-2</v>
      </c>
      <c r="R300" s="3">
        <f t="shared" si="282"/>
        <v>5.8627643654059966E-2</v>
      </c>
      <c r="S300" s="3">
        <f t="shared" si="282"/>
        <v>5.8623344911921123E-2</v>
      </c>
      <c r="T300" s="3">
        <f t="shared" si="282"/>
        <v>5.8580374822486084E-2</v>
      </c>
      <c r="U300" s="3">
        <f t="shared" si="282"/>
        <v>5.8152402430447926E-2</v>
      </c>
      <c r="V300" s="3">
        <f t="shared" si="282"/>
        <v>5.4040929801843766E-2</v>
      </c>
      <c r="W300" s="3">
        <f t="shared" si="282"/>
        <v>2.5958185190698209E-2</v>
      </c>
      <c r="X300" s="3">
        <f t="shared" si="282"/>
        <v>1.69742058320587E-5</v>
      </c>
      <c r="Y300" s="3">
        <f t="shared" si="282"/>
        <v>2.4262795721047758E-37</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2.5608295796313463E-2</v>
      </c>
      <c r="C301" s="3">
        <f t="shared" si="283"/>
        <v>2.5608295796313463E-2</v>
      </c>
      <c r="D301" s="3">
        <f t="shared" si="283"/>
        <v>2.5608295796313463E-2</v>
      </c>
      <c r="E301" s="3">
        <f t="shared" si="283"/>
        <v>2.5608295796313463E-2</v>
      </c>
      <c r="F301" s="3">
        <f t="shared" si="283"/>
        <v>2.5608295796313463E-2</v>
      </c>
      <c r="G301" s="3">
        <f t="shared" si="283"/>
        <v>2.5608295796313463E-2</v>
      </c>
      <c r="H301" s="3">
        <f t="shared" si="283"/>
        <v>2.5608295796313459E-2</v>
      </c>
      <c r="I301" s="3">
        <f t="shared" si="283"/>
        <v>2.5608295796313442E-2</v>
      </c>
      <c r="J301" s="3">
        <f t="shared" si="283"/>
        <v>2.5608295796313275E-2</v>
      </c>
      <c r="K301" s="3">
        <f t="shared" si="283"/>
        <v>2.5608295796311582E-2</v>
      </c>
      <c r="L301" s="3">
        <f t="shared" si="283"/>
        <v>2.5608295796294641E-2</v>
      </c>
      <c r="M301" s="3">
        <f t="shared" si="283"/>
        <v>2.5608295796125252E-2</v>
      </c>
      <c r="N301" s="3">
        <f t="shared" si="283"/>
        <v>2.5608295794431375E-2</v>
      </c>
      <c r="O301" s="3">
        <f t="shared" si="283"/>
        <v>2.5608295777492594E-2</v>
      </c>
      <c r="P301" s="3">
        <f t="shared" si="283"/>
        <v>2.5608295608104788E-2</v>
      </c>
      <c r="Q301" s="3">
        <f t="shared" si="283"/>
        <v>2.5608293914226785E-2</v>
      </c>
      <c r="R301" s="3">
        <f t="shared" si="283"/>
        <v>2.5608276975452909E-2</v>
      </c>
      <c r="S301" s="3">
        <f t="shared" si="283"/>
        <v>2.5608107588330379E-2</v>
      </c>
      <c r="T301" s="3">
        <f t="shared" si="283"/>
        <v>2.5606413778726897E-2</v>
      </c>
      <c r="U301" s="3">
        <f t="shared" si="283"/>
        <v>2.5589481843365829E-2</v>
      </c>
      <c r="V301" s="3">
        <f t="shared" si="283"/>
        <v>2.5420777052037862E-2</v>
      </c>
      <c r="W301" s="3">
        <f t="shared" si="283"/>
        <v>2.3793707534910988E-2</v>
      </c>
      <c r="X301" s="3">
        <f t="shared" si="283"/>
        <v>1.2279907406429674E-2</v>
      </c>
      <c r="Y301" s="3">
        <f t="shared" si="283"/>
        <v>1.6463600638481366E-5</v>
      </c>
      <c r="Z301" s="3">
        <f t="shared" si="283"/>
        <v>3.0890300212114112E-34</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5.0526357723775506E-3</v>
      </c>
      <c r="C302" s="3">
        <f t="shared" si="284"/>
        <v>5.0526357723775506E-3</v>
      </c>
      <c r="D302" s="3">
        <f t="shared" si="284"/>
        <v>5.0526357723775506E-3</v>
      </c>
      <c r="E302" s="3">
        <f t="shared" si="284"/>
        <v>5.0526357723775506E-3</v>
      </c>
      <c r="F302" s="3">
        <f t="shared" si="284"/>
        <v>5.0526357723775506E-3</v>
      </c>
      <c r="G302" s="3">
        <f t="shared" si="284"/>
        <v>5.0526357723775506E-3</v>
      </c>
      <c r="H302" s="3">
        <f t="shared" si="284"/>
        <v>5.0526357723775506E-3</v>
      </c>
      <c r="I302" s="3">
        <f t="shared" si="284"/>
        <v>5.0526357723775497E-3</v>
      </c>
      <c r="J302" s="3">
        <f t="shared" si="284"/>
        <v>5.0526357723775471E-3</v>
      </c>
      <c r="K302" s="3">
        <f t="shared" si="284"/>
        <v>5.0526357723775167E-3</v>
      </c>
      <c r="L302" s="3">
        <f t="shared" si="284"/>
        <v>5.0526357723772158E-3</v>
      </c>
      <c r="M302" s="3">
        <f t="shared" si="284"/>
        <v>5.0526357723742008E-3</v>
      </c>
      <c r="N302" s="3">
        <f t="shared" si="284"/>
        <v>5.0526357723440522E-3</v>
      </c>
      <c r="O302" s="3">
        <f t="shared" si="284"/>
        <v>5.0526357720425668E-3</v>
      </c>
      <c r="P302" s="3">
        <f t="shared" si="284"/>
        <v>5.0526357690277145E-3</v>
      </c>
      <c r="Q302" s="3">
        <f t="shared" si="284"/>
        <v>5.0526357388791911E-3</v>
      </c>
      <c r="R302" s="3">
        <f t="shared" si="284"/>
        <v>5.0526354373939637E-3</v>
      </c>
      <c r="S302" s="3">
        <f t="shared" si="284"/>
        <v>5.0526324225426845E-3</v>
      </c>
      <c r="T302" s="3">
        <f t="shared" si="284"/>
        <v>5.0526022741288357E-3</v>
      </c>
      <c r="U302" s="3">
        <f t="shared" si="284"/>
        <v>5.0523007998842144E-3</v>
      </c>
      <c r="V302" s="3">
        <f t="shared" si="284"/>
        <v>5.0492870466064821E-3</v>
      </c>
      <c r="W302" s="3">
        <f t="shared" si="284"/>
        <v>5.0192482126420199E-3</v>
      </c>
      <c r="X302" s="3">
        <f t="shared" si="284"/>
        <v>4.7285152862172886E-3</v>
      </c>
      <c r="Y302" s="3">
        <f t="shared" si="284"/>
        <v>2.6036706094049356E-3</v>
      </c>
      <c r="Z302" s="3">
        <f t="shared" si="284"/>
        <v>6.6711157269050107E-6</v>
      </c>
      <c r="AA302" s="3">
        <f t="shared" si="284"/>
        <v>8.1343492215096904E-32</v>
      </c>
      <c r="AB302" s="3">
        <f t="shared" si="284"/>
        <v>5.9097104377094968E-291</v>
      </c>
      <c r="AC302" s="3">
        <f t="shared" si="284"/>
        <v>0</v>
      </c>
      <c r="AD302" s="3">
        <f t="shared" si="284"/>
        <v>0</v>
      </c>
      <c r="AE302" s="3">
        <f t="shared" si="284"/>
        <v>0</v>
      </c>
      <c r="AF302" s="3">
        <f t="shared" si="284"/>
        <v>0</v>
      </c>
      <c r="AG302" s="3"/>
      <c r="AH302" s="3"/>
    </row>
    <row r="303" spans="2:34" x14ac:dyDescent="0.25">
      <c r="B303" s="3">
        <f t="shared" ref="B303:AF303" si="285">$C33*EXP(-B$285/$A33/EXP(-$F$126))</f>
        <v>4.3761926995835639E-3</v>
      </c>
      <c r="C303" s="3">
        <f t="shared" si="285"/>
        <v>4.3761926995835639E-3</v>
      </c>
      <c r="D303" s="3">
        <f t="shared" si="285"/>
        <v>4.3761926995835639E-3</v>
      </c>
      <c r="E303" s="3">
        <f t="shared" si="285"/>
        <v>4.3761926995835639E-3</v>
      </c>
      <c r="F303" s="3">
        <f t="shared" si="285"/>
        <v>4.3761926995835639E-3</v>
      </c>
      <c r="G303" s="3">
        <f t="shared" si="285"/>
        <v>4.3761926995835639E-3</v>
      </c>
      <c r="H303" s="3">
        <f t="shared" si="285"/>
        <v>4.3761926995835639E-3</v>
      </c>
      <c r="I303" s="3">
        <f t="shared" si="285"/>
        <v>4.3761926995835639E-3</v>
      </c>
      <c r="J303" s="3">
        <f t="shared" si="285"/>
        <v>4.3761926995835631E-3</v>
      </c>
      <c r="K303" s="3">
        <f t="shared" si="285"/>
        <v>4.3761926995835613E-3</v>
      </c>
      <c r="L303" s="3">
        <f t="shared" si="285"/>
        <v>4.3761926995835379E-3</v>
      </c>
      <c r="M303" s="3">
        <f t="shared" si="285"/>
        <v>4.376192699583302E-3</v>
      </c>
      <c r="N303" s="3">
        <f t="shared" si="285"/>
        <v>4.3761926995809462E-3</v>
      </c>
      <c r="O303" s="3">
        <f t="shared" si="285"/>
        <v>4.3761926995573913E-3</v>
      </c>
      <c r="P303" s="3">
        <f t="shared" si="285"/>
        <v>4.3761926993218367E-3</v>
      </c>
      <c r="Q303" s="3">
        <f t="shared" si="285"/>
        <v>4.3761926969662938E-3</v>
      </c>
      <c r="R303" s="3">
        <f t="shared" si="285"/>
        <v>4.376192673410861E-3</v>
      </c>
      <c r="S303" s="3">
        <f t="shared" si="285"/>
        <v>4.3761924378565411E-3</v>
      </c>
      <c r="T303" s="3">
        <f t="shared" si="285"/>
        <v>4.3761900823140396E-3</v>
      </c>
      <c r="U303" s="3">
        <f t="shared" si="285"/>
        <v>4.3761665269587595E-3</v>
      </c>
      <c r="V303" s="3">
        <f t="shared" si="285"/>
        <v>4.3759309803792648E-3</v>
      </c>
      <c r="W303" s="3">
        <f t="shared" si="285"/>
        <v>4.37357621177621E-3</v>
      </c>
      <c r="X303" s="3">
        <f t="shared" si="285"/>
        <v>4.3500981062836678E-3</v>
      </c>
      <c r="Y303" s="3">
        <f t="shared" si="285"/>
        <v>4.1221385029501598E-3</v>
      </c>
      <c r="Z303" s="3">
        <f t="shared" si="285"/>
        <v>2.4063448363823453E-3</v>
      </c>
      <c r="AA303" s="3">
        <f t="shared" si="285"/>
        <v>1.1058868548547475E-5</v>
      </c>
      <c r="AB303" s="3">
        <f t="shared" si="285"/>
        <v>4.6477100091056884E-29</v>
      </c>
      <c r="AC303" s="3">
        <f t="shared" si="285"/>
        <v>7.9895494904828153E-263</v>
      </c>
      <c r="AD303" s="3">
        <f t="shared" si="285"/>
        <v>0</v>
      </c>
      <c r="AE303" s="3">
        <f t="shared" si="285"/>
        <v>0</v>
      </c>
      <c r="AF303" s="3">
        <f t="shared" si="285"/>
        <v>0</v>
      </c>
      <c r="AG303" s="3"/>
      <c r="AH303" s="3"/>
    </row>
    <row r="304" spans="2:34" x14ac:dyDescent="0.25">
      <c r="B304" s="3">
        <f t="shared" ref="B304:AF304" si="286">$C34*EXP(-B$285/$A34/EXP(-$F$126))</f>
        <v>3.799405391061131E-3</v>
      </c>
      <c r="C304" s="3">
        <f t="shared" si="286"/>
        <v>3.799405391061131E-3</v>
      </c>
      <c r="D304" s="3">
        <f t="shared" si="286"/>
        <v>3.799405391061131E-3</v>
      </c>
      <c r="E304" s="3">
        <f t="shared" si="286"/>
        <v>3.799405391061131E-3</v>
      </c>
      <c r="F304" s="3">
        <f t="shared" si="286"/>
        <v>3.799405391061131E-3</v>
      </c>
      <c r="G304" s="3">
        <f t="shared" si="286"/>
        <v>3.799405391061131E-3</v>
      </c>
      <c r="H304" s="3">
        <f t="shared" si="286"/>
        <v>3.799405391061131E-3</v>
      </c>
      <c r="I304" s="3">
        <f t="shared" si="286"/>
        <v>3.799405391061131E-3</v>
      </c>
      <c r="J304" s="3">
        <f t="shared" si="286"/>
        <v>3.799405391061131E-3</v>
      </c>
      <c r="K304" s="3">
        <f t="shared" si="286"/>
        <v>3.799405391061131E-3</v>
      </c>
      <c r="L304" s="3">
        <f t="shared" si="286"/>
        <v>3.7994053910611288E-3</v>
      </c>
      <c r="M304" s="3">
        <f t="shared" si="286"/>
        <v>3.7994053910611102E-3</v>
      </c>
      <c r="N304" s="3">
        <f t="shared" si="286"/>
        <v>3.7994053910609259E-3</v>
      </c>
      <c r="O304" s="3">
        <f t="shared" si="286"/>
        <v>3.7994053910590814E-3</v>
      </c>
      <c r="P304" s="3">
        <f t="shared" si="286"/>
        <v>3.7994053910406327E-3</v>
      </c>
      <c r="Q304" s="3">
        <f t="shared" si="286"/>
        <v>3.7994053908561496E-3</v>
      </c>
      <c r="R304" s="3">
        <f t="shared" si="286"/>
        <v>3.7994053890113176E-3</v>
      </c>
      <c r="S304" s="3">
        <f t="shared" si="286"/>
        <v>3.7994053705629953E-3</v>
      </c>
      <c r="T304" s="3">
        <f t="shared" si="286"/>
        <v>3.7994051860797784E-3</v>
      </c>
      <c r="U304" s="3">
        <f t="shared" si="286"/>
        <v>3.7994033412481025E-3</v>
      </c>
      <c r="V304" s="3">
        <f t="shared" si="286"/>
        <v>3.799384892980609E-3</v>
      </c>
      <c r="W304" s="3">
        <f t="shared" si="286"/>
        <v>3.7992004152323281E-3</v>
      </c>
      <c r="X304" s="3">
        <f t="shared" si="286"/>
        <v>3.7973561303265052E-3</v>
      </c>
      <c r="Y304" s="3">
        <f t="shared" si="286"/>
        <v>3.7789624505869751E-3</v>
      </c>
      <c r="Z304" s="3">
        <f t="shared" si="286"/>
        <v>3.599855384750216E-3</v>
      </c>
      <c r="AA304" s="3">
        <f t="shared" si="286"/>
        <v>2.2151841360810755E-3</v>
      </c>
      <c r="AB304" s="3">
        <f t="shared" si="286"/>
        <v>1.724477824932565E-5</v>
      </c>
      <c r="AC304" s="3">
        <f t="shared" si="286"/>
        <v>1.4097283378646973E-26</v>
      </c>
      <c r="AD304" s="3">
        <f t="shared" si="286"/>
        <v>1.8789429204860315E-237</v>
      </c>
      <c r="AE304" s="3">
        <f t="shared" si="286"/>
        <v>0</v>
      </c>
      <c r="AF304" s="3">
        <f t="shared" si="286"/>
        <v>0</v>
      </c>
      <c r="AG304" s="3"/>
      <c r="AH304" s="3"/>
    </row>
    <row r="305" spans="1:34" x14ac:dyDescent="0.25">
      <c r="B305" s="3">
        <f t="shared" ref="B305:AF305" si="287">$C35*EXP(-B$285/$A35/EXP(-$F$126))</f>
        <v>4.2249411335647654E-3</v>
      </c>
      <c r="C305" s="3">
        <f t="shared" si="287"/>
        <v>4.2249411335647654E-3</v>
      </c>
      <c r="D305" s="3">
        <f t="shared" si="287"/>
        <v>4.2249411335647654E-3</v>
      </c>
      <c r="E305" s="3">
        <f t="shared" si="287"/>
        <v>4.2249411335647654E-3</v>
      </c>
      <c r="F305" s="3">
        <f t="shared" si="287"/>
        <v>4.2249411335647654E-3</v>
      </c>
      <c r="G305" s="3">
        <f t="shared" si="287"/>
        <v>4.2249411335647654E-3</v>
      </c>
      <c r="H305" s="3">
        <f t="shared" si="287"/>
        <v>4.2249411335647654E-3</v>
      </c>
      <c r="I305" s="3">
        <f t="shared" si="287"/>
        <v>4.2249411335647654E-3</v>
      </c>
      <c r="J305" s="3">
        <f t="shared" si="287"/>
        <v>4.2249411335647654E-3</v>
      </c>
      <c r="K305" s="3">
        <f t="shared" si="287"/>
        <v>4.2249411335647654E-3</v>
      </c>
      <c r="L305" s="3">
        <f t="shared" si="287"/>
        <v>4.2249411335647654E-3</v>
      </c>
      <c r="M305" s="3">
        <f t="shared" si="287"/>
        <v>4.2249411335647637E-3</v>
      </c>
      <c r="N305" s="3">
        <f t="shared" si="287"/>
        <v>4.2249411335647446E-3</v>
      </c>
      <c r="O305" s="3">
        <f t="shared" si="287"/>
        <v>4.2249411335645599E-3</v>
      </c>
      <c r="P305" s="3">
        <f t="shared" si="287"/>
        <v>4.2249411335627089E-3</v>
      </c>
      <c r="Q305" s="3">
        <f t="shared" si="287"/>
        <v>4.2249411335442038E-3</v>
      </c>
      <c r="R305" s="3">
        <f t="shared" si="287"/>
        <v>4.2249411333591452E-3</v>
      </c>
      <c r="S305" s="3">
        <f t="shared" si="287"/>
        <v>4.2249411315085621E-3</v>
      </c>
      <c r="T305" s="3">
        <f t="shared" si="287"/>
        <v>4.2249411130027359E-3</v>
      </c>
      <c r="U305" s="3">
        <f t="shared" si="287"/>
        <v>4.2249409279444721E-3</v>
      </c>
      <c r="V305" s="3">
        <f t="shared" si="287"/>
        <v>4.2249390773622829E-3</v>
      </c>
      <c r="W305" s="3">
        <f t="shared" si="287"/>
        <v>4.2249205715849678E-3</v>
      </c>
      <c r="X305" s="3">
        <f t="shared" si="287"/>
        <v>4.2247355182699333E-3</v>
      </c>
      <c r="Y305" s="3">
        <f t="shared" si="287"/>
        <v>4.2228854308587705E-3</v>
      </c>
      <c r="Z305" s="3">
        <f t="shared" si="287"/>
        <v>4.2044290585113737E-3</v>
      </c>
      <c r="AA305" s="3">
        <f t="shared" si="287"/>
        <v>4.0242442268222508E-3</v>
      </c>
      <c r="AB305" s="3">
        <f t="shared" si="287"/>
        <v>2.5969126174251993E-3</v>
      </c>
      <c r="AC305" s="3">
        <f t="shared" si="287"/>
        <v>3.2522760737674506E-5</v>
      </c>
      <c r="AD305" s="3">
        <f t="shared" si="287"/>
        <v>3.0866549333414099E-24</v>
      </c>
      <c r="AE305" s="3">
        <f t="shared" si="287"/>
        <v>1.8301844048183114E-214</v>
      </c>
      <c r="AF305" s="3">
        <f t="shared" si="287"/>
        <v>0</v>
      </c>
      <c r="AG305" s="3"/>
      <c r="AH305" s="3"/>
    </row>
    <row r="306" spans="1:34" x14ac:dyDescent="0.25">
      <c r="B306" s="3">
        <f t="shared" ref="B306:AF306" si="288">$C36*EXP(-B$285/$A36/EXP(-$F$126))</f>
        <v>2.7574935483823488E-3</v>
      </c>
      <c r="C306" s="3">
        <f t="shared" si="288"/>
        <v>2.7574935483823488E-3</v>
      </c>
      <c r="D306" s="3">
        <f t="shared" si="288"/>
        <v>2.7574935483823488E-3</v>
      </c>
      <c r="E306" s="3">
        <f t="shared" si="288"/>
        <v>2.7574935483823488E-3</v>
      </c>
      <c r="F306" s="3">
        <f t="shared" si="288"/>
        <v>2.7574935483823488E-3</v>
      </c>
      <c r="G306" s="3">
        <f t="shared" si="288"/>
        <v>2.7574935483823488E-3</v>
      </c>
      <c r="H306" s="3">
        <f t="shared" si="288"/>
        <v>2.7574935483823488E-3</v>
      </c>
      <c r="I306" s="3">
        <f t="shared" si="288"/>
        <v>2.7574935483823488E-3</v>
      </c>
      <c r="J306" s="3">
        <f t="shared" si="288"/>
        <v>2.7574935483823488E-3</v>
      </c>
      <c r="K306" s="3">
        <f t="shared" si="288"/>
        <v>2.7574935483823488E-3</v>
      </c>
      <c r="L306" s="3">
        <f t="shared" si="288"/>
        <v>2.7574935483823488E-3</v>
      </c>
      <c r="M306" s="3">
        <f t="shared" si="288"/>
        <v>2.7574935483823488E-3</v>
      </c>
      <c r="N306" s="3">
        <f t="shared" si="288"/>
        <v>2.7574935483823475E-3</v>
      </c>
      <c r="O306" s="3">
        <f t="shared" si="288"/>
        <v>2.7574935483823367E-3</v>
      </c>
      <c r="P306" s="3">
        <f t="shared" si="288"/>
        <v>2.7574935483822278E-3</v>
      </c>
      <c r="Q306" s="3">
        <f t="shared" si="288"/>
        <v>2.7574935483811384E-3</v>
      </c>
      <c r="R306" s="3">
        <f t="shared" si="288"/>
        <v>2.7574935483702426E-3</v>
      </c>
      <c r="S306" s="3">
        <f t="shared" si="288"/>
        <v>2.7574935482612872E-3</v>
      </c>
      <c r="T306" s="3">
        <f t="shared" si="288"/>
        <v>2.7574935471717326E-3</v>
      </c>
      <c r="U306" s="3">
        <f t="shared" si="288"/>
        <v>2.7574935362761886E-3</v>
      </c>
      <c r="V306" s="3">
        <f t="shared" si="288"/>
        <v>2.7574934273207493E-3</v>
      </c>
      <c r="W306" s="3">
        <f t="shared" si="288"/>
        <v>2.7574923377665893E-3</v>
      </c>
      <c r="X306" s="3">
        <f t="shared" si="288"/>
        <v>2.7574814422486678E-3</v>
      </c>
      <c r="Y306" s="3">
        <f t="shared" si="288"/>
        <v>2.7573724894372218E-3</v>
      </c>
      <c r="Z306" s="3">
        <f t="shared" si="288"/>
        <v>2.7562831980648649E-3</v>
      </c>
      <c r="AA306" s="3">
        <f t="shared" si="288"/>
        <v>2.7454139239770502E-3</v>
      </c>
      <c r="AB306" s="3">
        <f t="shared" si="288"/>
        <v>2.6390509486475754E-3</v>
      </c>
      <c r="AC306" s="3">
        <f t="shared" si="288"/>
        <v>1.7776538648466534E-3</v>
      </c>
      <c r="AD306" s="3">
        <f t="shared" si="288"/>
        <v>3.418546320284791E-5</v>
      </c>
      <c r="AE306" s="3">
        <f t="shared" si="288"/>
        <v>2.364744060286098E-22</v>
      </c>
      <c r="AF306" s="3">
        <f t="shared" si="288"/>
        <v>5.9321331140651317E-194</v>
      </c>
      <c r="AG306" s="3"/>
      <c r="AH306" s="3"/>
    </row>
    <row r="307" spans="1:34" x14ac:dyDescent="0.25">
      <c r="B307" s="3">
        <f t="shared" ref="B307:AF307" si="289">$C37*EXP(-B$285/$A37/EXP(-$F$126))</f>
        <v>1.745678055330739E-3</v>
      </c>
      <c r="C307" s="3">
        <f t="shared" si="289"/>
        <v>1.745678055330739E-3</v>
      </c>
      <c r="D307" s="3">
        <f t="shared" si="289"/>
        <v>1.745678055330739E-3</v>
      </c>
      <c r="E307" s="3">
        <f t="shared" si="289"/>
        <v>1.745678055330739E-3</v>
      </c>
      <c r="F307" s="3">
        <f t="shared" si="289"/>
        <v>1.745678055330739E-3</v>
      </c>
      <c r="G307" s="3">
        <f t="shared" si="289"/>
        <v>1.745678055330739E-3</v>
      </c>
      <c r="H307" s="3">
        <f t="shared" si="289"/>
        <v>1.745678055330739E-3</v>
      </c>
      <c r="I307" s="3">
        <f t="shared" si="289"/>
        <v>1.745678055330739E-3</v>
      </c>
      <c r="J307" s="3">
        <f t="shared" si="289"/>
        <v>1.745678055330739E-3</v>
      </c>
      <c r="K307" s="3">
        <f t="shared" si="289"/>
        <v>1.745678055330739E-3</v>
      </c>
      <c r="L307" s="3">
        <f t="shared" si="289"/>
        <v>1.745678055330739E-3</v>
      </c>
      <c r="M307" s="3">
        <f t="shared" si="289"/>
        <v>1.745678055330739E-3</v>
      </c>
      <c r="N307" s="3">
        <f t="shared" si="289"/>
        <v>1.745678055330739E-3</v>
      </c>
      <c r="O307" s="3">
        <f t="shared" si="289"/>
        <v>1.7456780553307381E-3</v>
      </c>
      <c r="P307" s="3">
        <f t="shared" si="289"/>
        <v>1.745678055330732E-3</v>
      </c>
      <c r="Q307" s="3">
        <f t="shared" si="289"/>
        <v>1.7456780553306698E-3</v>
      </c>
      <c r="R307" s="3">
        <f t="shared" si="289"/>
        <v>1.7456780553300477E-3</v>
      </c>
      <c r="S307" s="3">
        <f t="shared" si="289"/>
        <v>1.7456780553238255E-3</v>
      </c>
      <c r="T307" s="3">
        <f t="shared" si="289"/>
        <v>1.7456780552616031E-3</v>
      </c>
      <c r="U307" s="3">
        <f t="shared" si="289"/>
        <v>1.7456780546393814E-3</v>
      </c>
      <c r="V307" s="3">
        <f t="shared" si="289"/>
        <v>1.7456780484171642E-3</v>
      </c>
      <c r="W307" s="3">
        <f t="shared" si="289"/>
        <v>1.7456779861949937E-3</v>
      </c>
      <c r="X307" s="3">
        <f t="shared" si="289"/>
        <v>1.7456773639734102E-3</v>
      </c>
      <c r="Y307" s="3">
        <f t="shared" si="289"/>
        <v>1.7456711417697718E-3</v>
      </c>
      <c r="Z307" s="3">
        <f t="shared" si="289"/>
        <v>1.7456089209531697E-3</v>
      </c>
      <c r="AA307" s="3">
        <f t="shared" si="289"/>
        <v>1.7449868347493443E-3</v>
      </c>
      <c r="AB307" s="3">
        <f t="shared" si="289"/>
        <v>1.7387781528614152E-3</v>
      </c>
      <c r="AC307" s="3">
        <f t="shared" si="289"/>
        <v>1.6778934376915178E-3</v>
      </c>
      <c r="AD307" s="3">
        <f t="shared" si="289"/>
        <v>1.1748066133594217E-3</v>
      </c>
      <c r="AE307" s="3">
        <f t="shared" si="289"/>
        <v>3.3264917749388108E-5</v>
      </c>
      <c r="AF307" s="3">
        <f t="shared" si="289"/>
        <v>1.1020141401258315E-20</v>
      </c>
      <c r="AG307" s="3"/>
      <c r="AH307" s="3"/>
    </row>
    <row r="308" spans="1:34" x14ac:dyDescent="0.25">
      <c r="B308" s="3">
        <f t="shared" ref="B308:AF308" si="290">$C38*EXP(-B$285/$A38/EXP(-$F$126))</f>
        <v>4.0897783870777585E-4</v>
      </c>
      <c r="C308" s="3">
        <f t="shared" si="290"/>
        <v>4.0897783870777585E-4</v>
      </c>
      <c r="D308" s="3">
        <f t="shared" si="290"/>
        <v>4.0897783870777585E-4</v>
      </c>
      <c r="E308" s="3">
        <f t="shared" si="290"/>
        <v>4.0897783870777585E-4</v>
      </c>
      <c r="F308" s="3">
        <f t="shared" si="290"/>
        <v>4.0897783870777585E-4</v>
      </c>
      <c r="G308" s="3">
        <f t="shared" si="290"/>
        <v>4.0897783870777585E-4</v>
      </c>
      <c r="H308" s="3">
        <f t="shared" si="290"/>
        <v>4.0897783870777585E-4</v>
      </c>
      <c r="I308" s="3">
        <f t="shared" si="290"/>
        <v>4.0897783870777585E-4</v>
      </c>
      <c r="J308" s="3">
        <f t="shared" si="290"/>
        <v>4.0897783870777585E-4</v>
      </c>
      <c r="K308" s="3">
        <f t="shared" si="290"/>
        <v>4.0897783870777585E-4</v>
      </c>
      <c r="L308" s="3">
        <f t="shared" si="290"/>
        <v>4.0897783870777585E-4</v>
      </c>
      <c r="M308" s="3">
        <f t="shared" si="290"/>
        <v>4.0897783870777585E-4</v>
      </c>
      <c r="N308" s="3">
        <f t="shared" si="290"/>
        <v>4.0897783870777585E-4</v>
      </c>
      <c r="O308" s="3">
        <f t="shared" si="290"/>
        <v>4.0897783870777585E-4</v>
      </c>
      <c r="P308" s="3">
        <f t="shared" si="290"/>
        <v>4.0897783870777569E-4</v>
      </c>
      <c r="Q308" s="3">
        <f t="shared" si="290"/>
        <v>4.0897783870777438E-4</v>
      </c>
      <c r="R308" s="3">
        <f t="shared" si="290"/>
        <v>4.0897783870776121E-4</v>
      </c>
      <c r="S308" s="3">
        <f t="shared" si="290"/>
        <v>4.0897783870762975E-4</v>
      </c>
      <c r="T308" s="3">
        <f t="shared" si="290"/>
        <v>4.0897783870631472E-4</v>
      </c>
      <c r="U308" s="3">
        <f t="shared" si="290"/>
        <v>4.0897783869316465E-4</v>
      </c>
      <c r="V308" s="3">
        <f t="shared" si="290"/>
        <v>4.0897783856166421E-4</v>
      </c>
      <c r="W308" s="3">
        <f t="shared" si="290"/>
        <v>4.0897783724665925E-4</v>
      </c>
      <c r="X308" s="3">
        <f t="shared" si="290"/>
        <v>4.0897782409661022E-4</v>
      </c>
      <c r="Y308" s="3">
        <f t="shared" si="290"/>
        <v>4.0897769259614329E-4</v>
      </c>
      <c r="Z308" s="3">
        <f t="shared" si="290"/>
        <v>4.0897637759379897E-4</v>
      </c>
      <c r="AA308" s="3">
        <f t="shared" si="290"/>
        <v>4.089632278029038E-4</v>
      </c>
      <c r="AB308" s="3">
        <f t="shared" si="290"/>
        <v>4.0883175314594976E-4</v>
      </c>
      <c r="AC308" s="3">
        <f t="shared" si="290"/>
        <v>4.0751932901230239E-4</v>
      </c>
      <c r="AD308" s="3">
        <f t="shared" si="290"/>
        <v>3.9462459191695257E-4</v>
      </c>
      <c r="AE308" s="3">
        <f t="shared" si="290"/>
        <v>2.8611687848393273E-4</v>
      </c>
      <c r="AF308" s="3">
        <f t="shared" si="290"/>
        <v>1.1485153476764656E-5</v>
      </c>
      <c r="AG308" s="3"/>
      <c r="AH308" s="3"/>
    </row>
    <row r="309" spans="1:34" x14ac:dyDescent="0.25">
      <c r="B309" s="3">
        <f t="shared" ref="B309:AF309" si="291">$C39*EXP(-B$285/$A39/EXP(-$F$126))</f>
        <v>8.9346516984039216E-4</v>
      </c>
      <c r="C309" s="3">
        <f t="shared" si="291"/>
        <v>8.9346516984039216E-4</v>
      </c>
      <c r="D309" s="3">
        <f t="shared" si="291"/>
        <v>8.9346516984039216E-4</v>
      </c>
      <c r="E309" s="3">
        <f t="shared" si="291"/>
        <v>8.9346516984039216E-4</v>
      </c>
      <c r="F309" s="3">
        <f t="shared" si="291"/>
        <v>8.9346516984039216E-4</v>
      </c>
      <c r="G309" s="3">
        <f t="shared" si="291"/>
        <v>8.9346516984039216E-4</v>
      </c>
      <c r="H309" s="3">
        <f t="shared" si="291"/>
        <v>8.9346516984039216E-4</v>
      </c>
      <c r="I309" s="3">
        <f t="shared" si="291"/>
        <v>8.9346516984039216E-4</v>
      </c>
      <c r="J309" s="3">
        <f t="shared" si="291"/>
        <v>8.9346516984039216E-4</v>
      </c>
      <c r="K309" s="3">
        <f t="shared" si="291"/>
        <v>8.9346516984039216E-4</v>
      </c>
      <c r="L309" s="3">
        <f t="shared" si="291"/>
        <v>8.9346516984039216E-4</v>
      </c>
      <c r="M309" s="3">
        <f t="shared" si="291"/>
        <v>8.9346516984039216E-4</v>
      </c>
      <c r="N309" s="3">
        <f t="shared" si="291"/>
        <v>8.9346516984039216E-4</v>
      </c>
      <c r="O309" s="3">
        <f t="shared" si="291"/>
        <v>8.9346516984039216E-4</v>
      </c>
      <c r="P309" s="3">
        <f t="shared" si="291"/>
        <v>8.9346516984039205E-4</v>
      </c>
      <c r="Q309" s="3">
        <f t="shared" si="291"/>
        <v>8.9346516984039129E-4</v>
      </c>
      <c r="R309" s="3">
        <f t="shared" si="291"/>
        <v>8.9346516984038337E-4</v>
      </c>
      <c r="S309" s="3">
        <f t="shared" si="291"/>
        <v>8.934651698403039E-4</v>
      </c>
      <c r="T309" s="3">
        <f t="shared" si="291"/>
        <v>8.9346516983950929E-4</v>
      </c>
      <c r="U309" s="3">
        <f t="shared" si="291"/>
        <v>8.9346516983156382E-4</v>
      </c>
      <c r="V309" s="3">
        <f t="shared" si="291"/>
        <v>8.9346516975210948E-4</v>
      </c>
      <c r="W309" s="3">
        <f t="shared" si="291"/>
        <v>8.9346516895756525E-4</v>
      </c>
      <c r="X309" s="3">
        <f t="shared" si="291"/>
        <v>8.9346516101212266E-4</v>
      </c>
      <c r="Y309" s="3">
        <f t="shared" si="291"/>
        <v>8.9346508155770121E-4</v>
      </c>
      <c r="Z309" s="3">
        <f t="shared" si="291"/>
        <v>8.9346428701387464E-4</v>
      </c>
      <c r="AA309" s="3">
        <f t="shared" si="291"/>
        <v>8.934563416144707E-4</v>
      </c>
      <c r="AB309" s="3">
        <f t="shared" si="291"/>
        <v>8.9337689150645523E-4</v>
      </c>
      <c r="AC309" s="3">
        <f t="shared" si="291"/>
        <v>8.925827789007713E-4</v>
      </c>
      <c r="AD309" s="3">
        <f t="shared" si="291"/>
        <v>8.8468037277286183E-4</v>
      </c>
      <c r="AE309" s="3">
        <f t="shared" si="291"/>
        <v>8.0940387627374485E-4</v>
      </c>
      <c r="AF309" s="3">
        <f t="shared" si="291"/>
        <v>3.3262444004670963E-4</v>
      </c>
      <c r="AG309" s="3"/>
      <c r="AH309" s="3"/>
    </row>
    <row r="310" spans="1:34" x14ac:dyDescent="0.25">
      <c r="B310" s="3">
        <f t="shared" ref="B310:AF310" si="292">$C40*EXP(-B$285/$A40/EXP(-$F$126))</f>
        <v>2.0267191834609735E-4</v>
      </c>
      <c r="C310" s="3">
        <f t="shared" si="292"/>
        <v>2.0267191834609735E-4</v>
      </c>
      <c r="D310" s="3">
        <f t="shared" si="292"/>
        <v>2.0267191834609735E-4</v>
      </c>
      <c r="E310" s="3">
        <f t="shared" si="292"/>
        <v>2.0267191834609735E-4</v>
      </c>
      <c r="F310" s="3">
        <f t="shared" si="292"/>
        <v>2.0267191834609735E-4</v>
      </c>
      <c r="G310" s="3">
        <f t="shared" si="292"/>
        <v>2.0267191834609735E-4</v>
      </c>
      <c r="H310" s="3">
        <f t="shared" si="292"/>
        <v>2.0267191834609735E-4</v>
      </c>
      <c r="I310" s="3">
        <f t="shared" si="292"/>
        <v>2.0267191834609735E-4</v>
      </c>
      <c r="J310" s="3">
        <f t="shared" si="292"/>
        <v>2.0267191834609735E-4</v>
      </c>
      <c r="K310" s="3">
        <f t="shared" si="292"/>
        <v>2.0267191834609735E-4</v>
      </c>
      <c r="L310" s="3">
        <f t="shared" si="292"/>
        <v>2.0267191834609735E-4</v>
      </c>
      <c r="M310" s="3">
        <f t="shared" si="292"/>
        <v>2.0267191834609735E-4</v>
      </c>
      <c r="N310" s="3">
        <f t="shared" si="292"/>
        <v>2.0267191834609735E-4</v>
      </c>
      <c r="O310" s="3">
        <f t="shared" si="292"/>
        <v>2.0267191834609735E-4</v>
      </c>
      <c r="P310" s="3">
        <f t="shared" si="292"/>
        <v>2.0267191834609735E-4</v>
      </c>
      <c r="Q310" s="3">
        <f t="shared" si="292"/>
        <v>2.0267191834609733E-4</v>
      </c>
      <c r="R310" s="3">
        <f t="shared" si="292"/>
        <v>2.0267191834609716E-4</v>
      </c>
      <c r="S310" s="3">
        <f t="shared" si="292"/>
        <v>2.0267191834609535E-4</v>
      </c>
      <c r="T310" s="3">
        <f t="shared" si="292"/>
        <v>2.0267191834607732E-4</v>
      </c>
      <c r="U310" s="3">
        <f t="shared" si="292"/>
        <v>2.026719183458971E-4</v>
      </c>
      <c r="V310" s="3">
        <f t="shared" si="292"/>
        <v>2.0267191834409475E-4</v>
      </c>
      <c r="W310" s="3">
        <f t="shared" si="292"/>
        <v>2.0267191832607149E-4</v>
      </c>
      <c r="X310" s="3">
        <f t="shared" si="292"/>
        <v>2.026719181458386E-4</v>
      </c>
      <c r="Y310" s="3">
        <f t="shared" si="292"/>
        <v>2.0267191634350972E-4</v>
      </c>
      <c r="Z310" s="3">
        <f t="shared" si="292"/>
        <v>2.0267189832022176E-4</v>
      </c>
      <c r="AA310" s="3">
        <f t="shared" si="292"/>
        <v>2.0267171808743039E-4</v>
      </c>
      <c r="AB310" s="3">
        <f t="shared" si="292"/>
        <v>2.0266991576833217E-4</v>
      </c>
      <c r="AC310" s="3">
        <f t="shared" si="292"/>
        <v>2.0265189345884788E-4</v>
      </c>
      <c r="AD310" s="3">
        <f t="shared" si="292"/>
        <v>2.0247175848480569E-4</v>
      </c>
      <c r="AE310" s="3">
        <f t="shared" si="292"/>
        <v>2.0067919189848933E-4</v>
      </c>
      <c r="AF310" s="3">
        <f t="shared" si="292"/>
        <v>1.836036164123462E-4</v>
      </c>
      <c r="AG310" s="3"/>
      <c r="AH310" s="3"/>
    </row>
    <row r="311" spans="1:34" x14ac:dyDescent="0.25">
      <c r="B311" s="3">
        <f t="shared" ref="B311:AF311" si="293">$C41*EXP(-B$285/$A41/EXP(-$F$126))</f>
        <v>4.681554200352879E-4</v>
      </c>
      <c r="C311" s="3">
        <f t="shared" si="293"/>
        <v>4.681554200352879E-4</v>
      </c>
      <c r="D311" s="3">
        <f t="shared" si="293"/>
        <v>4.681554200352879E-4</v>
      </c>
      <c r="E311" s="3">
        <f t="shared" si="293"/>
        <v>4.681554200352879E-4</v>
      </c>
      <c r="F311" s="3">
        <f t="shared" si="293"/>
        <v>4.681554200352879E-4</v>
      </c>
      <c r="G311" s="3">
        <f t="shared" si="293"/>
        <v>4.681554200352879E-4</v>
      </c>
      <c r="H311" s="3">
        <f t="shared" si="293"/>
        <v>4.681554200352879E-4</v>
      </c>
      <c r="I311" s="3">
        <f t="shared" si="293"/>
        <v>4.681554200352879E-4</v>
      </c>
      <c r="J311" s="3">
        <f t="shared" si="293"/>
        <v>4.681554200352879E-4</v>
      </c>
      <c r="K311" s="3">
        <f t="shared" si="293"/>
        <v>4.681554200352879E-4</v>
      </c>
      <c r="L311" s="3">
        <f t="shared" si="293"/>
        <v>4.681554200352879E-4</v>
      </c>
      <c r="M311" s="3">
        <f t="shared" si="293"/>
        <v>4.681554200352879E-4</v>
      </c>
      <c r="N311" s="3">
        <f t="shared" si="293"/>
        <v>4.681554200352879E-4</v>
      </c>
      <c r="O311" s="3">
        <f t="shared" si="293"/>
        <v>4.681554200352879E-4</v>
      </c>
      <c r="P311" s="3">
        <f t="shared" si="293"/>
        <v>4.681554200352879E-4</v>
      </c>
      <c r="Q311" s="3">
        <f t="shared" si="293"/>
        <v>4.681554200352879E-4</v>
      </c>
      <c r="R311" s="3">
        <f t="shared" si="293"/>
        <v>4.6815542003528785E-4</v>
      </c>
      <c r="S311" s="3">
        <f t="shared" si="293"/>
        <v>4.6815542003528741E-4</v>
      </c>
      <c r="T311" s="3">
        <f t="shared" si="293"/>
        <v>4.6815542003528329E-4</v>
      </c>
      <c r="U311" s="3">
        <f t="shared" si="293"/>
        <v>4.6815542003524166E-4</v>
      </c>
      <c r="V311" s="3">
        <f t="shared" si="293"/>
        <v>4.6815542003482533E-4</v>
      </c>
      <c r="W311" s="3">
        <f t="shared" si="293"/>
        <v>4.6815542003066205E-4</v>
      </c>
      <c r="X311" s="3">
        <f t="shared" si="293"/>
        <v>4.6815541998902982E-4</v>
      </c>
      <c r="Y311" s="3">
        <f t="shared" si="293"/>
        <v>4.681554195727067E-4</v>
      </c>
      <c r="Z311" s="3">
        <f t="shared" si="293"/>
        <v>4.6815541540947558E-4</v>
      </c>
      <c r="AA311" s="3">
        <f t="shared" si="293"/>
        <v>4.6815537377716649E-4</v>
      </c>
      <c r="AB311" s="3">
        <f t="shared" si="293"/>
        <v>4.6815495745427963E-4</v>
      </c>
      <c r="AC311" s="3">
        <f t="shared" si="293"/>
        <v>4.6815079424577318E-4</v>
      </c>
      <c r="AD311" s="3">
        <f t="shared" si="293"/>
        <v>4.6810916419689677E-4</v>
      </c>
      <c r="AE311" s="3">
        <f t="shared" si="293"/>
        <v>4.6769306725991631E-4</v>
      </c>
      <c r="AF311" s="3">
        <f t="shared" si="293"/>
        <v>4.6355238625187911E-4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8.6950344882608704E-5</v>
      </c>
      <c r="C313" s="3">
        <f t="shared" si="295"/>
        <v>8.6950344882608704E-5</v>
      </c>
      <c r="D313" s="3">
        <f t="shared" si="295"/>
        <v>8.6950344882608704E-5</v>
      </c>
      <c r="E313" s="3">
        <f t="shared" si="295"/>
        <v>8.6950344882608704E-5</v>
      </c>
      <c r="F313" s="3">
        <f t="shared" si="295"/>
        <v>8.6950344882608704E-5</v>
      </c>
      <c r="G313" s="3">
        <f t="shared" si="295"/>
        <v>8.6950344882608704E-5</v>
      </c>
      <c r="H313" s="3">
        <f t="shared" si="295"/>
        <v>8.6950344882608704E-5</v>
      </c>
      <c r="I313" s="3">
        <f t="shared" si="295"/>
        <v>8.6950344882608704E-5</v>
      </c>
      <c r="J313" s="3">
        <f t="shared" si="295"/>
        <v>8.6950344882608704E-5</v>
      </c>
      <c r="K313" s="3">
        <f t="shared" si="295"/>
        <v>8.6950344882608704E-5</v>
      </c>
      <c r="L313" s="3">
        <f t="shared" si="295"/>
        <v>8.6950344882608704E-5</v>
      </c>
      <c r="M313" s="3">
        <f t="shared" si="295"/>
        <v>8.6950344882608704E-5</v>
      </c>
      <c r="N313" s="3">
        <f t="shared" si="295"/>
        <v>8.6950344882608704E-5</v>
      </c>
      <c r="O313" s="3">
        <f t="shared" si="295"/>
        <v>8.6950344882608704E-5</v>
      </c>
      <c r="P313" s="3">
        <f t="shared" si="295"/>
        <v>8.6950344882608704E-5</v>
      </c>
      <c r="Q313" s="3">
        <f t="shared" si="295"/>
        <v>8.6950344882608704E-5</v>
      </c>
      <c r="R313" s="3">
        <f t="shared" si="295"/>
        <v>8.6950344882608704E-5</v>
      </c>
      <c r="S313" s="3">
        <f t="shared" si="295"/>
        <v>8.6950344882608704E-5</v>
      </c>
      <c r="T313" s="3">
        <f t="shared" si="295"/>
        <v>8.6950344882608691E-5</v>
      </c>
      <c r="U313" s="3">
        <f t="shared" si="295"/>
        <v>8.6950344882608623E-5</v>
      </c>
      <c r="V313" s="3">
        <f t="shared" si="295"/>
        <v>8.695034488260785E-5</v>
      </c>
      <c r="W313" s="3">
        <f t="shared" si="295"/>
        <v>8.6950344882600112E-5</v>
      </c>
      <c r="X313" s="3">
        <f t="shared" si="295"/>
        <v>8.6950344882522795E-5</v>
      </c>
      <c r="Y313" s="3">
        <f t="shared" si="295"/>
        <v>8.6950344881749555E-5</v>
      </c>
      <c r="Z313" s="3">
        <f t="shared" si="295"/>
        <v>8.6950344874017201E-5</v>
      </c>
      <c r="AA313" s="3">
        <f t="shared" si="295"/>
        <v>8.6950344796693651E-5</v>
      </c>
      <c r="AB313" s="3">
        <f t="shared" si="295"/>
        <v>8.6950344023458171E-5</v>
      </c>
      <c r="AC313" s="3">
        <f t="shared" si="295"/>
        <v>8.6950336291103755E-5</v>
      </c>
      <c r="AD313" s="3">
        <f t="shared" si="295"/>
        <v>8.6950258967597393E-5</v>
      </c>
      <c r="AE313" s="3">
        <f t="shared" si="295"/>
        <v>8.6949485736315723E-5</v>
      </c>
      <c r="AF313" s="3">
        <f t="shared" si="295"/>
        <v>8.6941753801679557E-5</v>
      </c>
      <c r="AG313" s="3"/>
      <c r="AH313" s="3"/>
    </row>
    <row r="314" spans="1:34" x14ac:dyDescent="0.25">
      <c r="B314" s="3">
        <f t="shared" ref="B314:AF314" si="296">$C44*EXP(-B$285/$A44/EXP(-$F$126))</f>
        <v>1.5301974797879704E-4</v>
      </c>
      <c r="C314" s="3">
        <f t="shared" si="296"/>
        <v>1.5301974797879704E-4</v>
      </c>
      <c r="D314" s="3">
        <f t="shared" si="296"/>
        <v>1.5301974797879704E-4</v>
      </c>
      <c r="E314" s="3">
        <f t="shared" si="296"/>
        <v>1.5301974797879704E-4</v>
      </c>
      <c r="F314" s="3">
        <f t="shared" si="296"/>
        <v>1.5301974797879704E-4</v>
      </c>
      <c r="G314" s="3">
        <f t="shared" si="296"/>
        <v>1.5301974797879704E-4</v>
      </c>
      <c r="H314" s="3">
        <f t="shared" si="296"/>
        <v>1.5301974797879704E-4</v>
      </c>
      <c r="I314" s="3">
        <f t="shared" si="296"/>
        <v>1.5301974797879704E-4</v>
      </c>
      <c r="J314" s="3">
        <f t="shared" si="296"/>
        <v>1.5301974797879704E-4</v>
      </c>
      <c r="K314" s="3">
        <f t="shared" si="296"/>
        <v>1.5301974797879704E-4</v>
      </c>
      <c r="L314" s="3">
        <f t="shared" si="296"/>
        <v>1.5301974797879704E-4</v>
      </c>
      <c r="M314" s="3">
        <f t="shared" si="296"/>
        <v>1.5301974797879704E-4</v>
      </c>
      <c r="N314" s="3">
        <f t="shared" si="296"/>
        <v>1.5301974797879704E-4</v>
      </c>
      <c r="O314" s="3">
        <f t="shared" si="296"/>
        <v>1.5301974797879704E-4</v>
      </c>
      <c r="P314" s="3">
        <f t="shared" si="296"/>
        <v>1.5301974797879704E-4</v>
      </c>
      <c r="Q314" s="3">
        <f t="shared" si="296"/>
        <v>1.5301974797879704E-4</v>
      </c>
      <c r="R314" s="3">
        <f t="shared" si="296"/>
        <v>1.5301974797879704E-4</v>
      </c>
      <c r="S314" s="3">
        <f t="shared" si="296"/>
        <v>1.5301974797879704E-4</v>
      </c>
      <c r="T314" s="3">
        <f t="shared" si="296"/>
        <v>1.5301974797879704E-4</v>
      </c>
      <c r="U314" s="3">
        <f t="shared" si="296"/>
        <v>1.5301974797879702E-4</v>
      </c>
      <c r="V314" s="3">
        <f t="shared" si="296"/>
        <v>1.5301974797879688E-4</v>
      </c>
      <c r="W314" s="3">
        <f t="shared" si="296"/>
        <v>1.5301974797879553E-4</v>
      </c>
      <c r="X314" s="3">
        <f t="shared" si="296"/>
        <v>1.5301974797878192E-4</v>
      </c>
      <c r="Y314" s="3">
        <f t="shared" si="296"/>
        <v>1.5301974797864585E-4</v>
      </c>
      <c r="Z314" s="3">
        <f t="shared" si="296"/>
        <v>1.5301974797728507E-4</v>
      </c>
      <c r="AA314" s="3">
        <f t="shared" si="296"/>
        <v>1.5301974796367727E-4</v>
      </c>
      <c r="AB314" s="3">
        <f t="shared" si="296"/>
        <v>1.5301974782759925E-4</v>
      </c>
      <c r="AC314" s="3">
        <f t="shared" si="296"/>
        <v>1.5301974646681916E-4</v>
      </c>
      <c r="AD314" s="3">
        <f t="shared" si="296"/>
        <v>1.5301973285901892E-4</v>
      </c>
      <c r="AE314" s="3">
        <f t="shared" si="296"/>
        <v>1.5301959678108303E-4</v>
      </c>
      <c r="AF314" s="3">
        <f t="shared" si="296"/>
        <v>1.5301823600837985E-4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4.9447313975811648E-5</v>
      </c>
      <c r="C316" s="3">
        <f t="shared" si="298"/>
        <v>4.9447313975811648E-5</v>
      </c>
      <c r="D316" s="3">
        <f t="shared" si="298"/>
        <v>4.9447313975811648E-5</v>
      </c>
      <c r="E316" s="3">
        <f t="shared" si="298"/>
        <v>4.9447313975811648E-5</v>
      </c>
      <c r="F316" s="3">
        <f t="shared" si="298"/>
        <v>4.9447313975811648E-5</v>
      </c>
      <c r="G316" s="3">
        <f t="shared" si="298"/>
        <v>4.9447313975811648E-5</v>
      </c>
      <c r="H316" s="3">
        <f t="shared" si="298"/>
        <v>4.9447313975811648E-5</v>
      </c>
      <c r="I316" s="3">
        <f t="shared" si="298"/>
        <v>4.9447313975811648E-5</v>
      </c>
      <c r="J316" s="3">
        <f t="shared" si="298"/>
        <v>4.9447313975811648E-5</v>
      </c>
      <c r="K316" s="3">
        <f t="shared" si="298"/>
        <v>4.9447313975811648E-5</v>
      </c>
      <c r="L316" s="3">
        <f t="shared" si="298"/>
        <v>4.9447313975811648E-5</v>
      </c>
      <c r="M316" s="3">
        <f t="shared" si="298"/>
        <v>4.9447313975811648E-5</v>
      </c>
      <c r="N316" s="3">
        <f t="shared" si="298"/>
        <v>4.9447313975811648E-5</v>
      </c>
      <c r="O316" s="3">
        <f t="shared" si="298"/>
        <v>4.9447313975811648E-5</v>
      </c>
      <c r="P316" s="3">
        <f t="shared" si="298"/>
        <v>4.9447313975811648E-5</v>
      </c>
      <c r="Q316" s="3">
        <f t="shared" si="298"/>
        <v>4.9447313975811648E-5</v>
      </c>
      <c r="R316" s="3">
        <f t="shared" si="298"/>
        <v>4.9447313975811648E-5</v>
      </c>
      <c r="S316" s="3">
        <f t="shared" si="298"/>
        <v>4.9447313975811648E-5</v>
      </c>
      <c r="T316" s="3">
        <f t="shared" si="298"/>
        <v>4.9447313975811648E-5</v>
      </c>
      <c r="U316" s="3">
        <f t="shared" si="298"/>
        <v>4.9447313975811648E-5</v>
      </c>
      <c r="V316" s="3">
        <f t="shared" si="298"/>
        <v>4.9447313975811648E-5</v>
      </c>
      <c r="W316" s="3">
        <f t="shared" si="298"/>
        <v>4.9447313975811641E-5</v>
      </c>
      <c r="X316" s="3">
        <f t="shared" si="298"/>
        <v>4.94473139758116E-5</v>
      </c>
      <c r="Y316" s="3">
        <f t="shared" si="298"/>
        <v>4.944731397581116E-5</v>
      </c>
      <c r="Z316" s="3">
        <f t="shared" si="298"/>
        <v>4.9447313975806762E-5</v>
      </c>
      <c r="AA316" s="3">
        <f t="shared" si="298"/>
        <v>4.9447313975762791E-5</v>
      </c>
      <c r="AB316" s="3">
        <f t="shared" si="298"/>
        <v>4.9447313975323059E-5</v>
      </c>
      <c r="AC316" s="3">
        <f t="shared" si="298"/>
        <v>4.9447313970925792E-5</v>
      </c>
      <c r="AD316" s="3">
        <f t="shared" si="298"/>
        <v>4.9447313926953087E-5</v>
      </c>
      <c r="AE316" s="3">
        <f t="shared" si="298"/>
        <v>4.9447313487226056E-5</v>
      </c>
      <c r="AF316" s="3">
        <f t="shared" si="298"/>
        <v>4.9447309089955896E-5</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6.9977936619533359E-4</v>
      </c>
      <c r="C318" s="3">
        <f t="shared" si="300"/>
        <v>6.9977936619533359E-4</v>
      </c>
      <c r="D318" s="3">
        <f t="shared" si="300"/>
        <v>6.9977936619533359E-4</v>
      </c>
      <c r="E318" s="3">
        <f t="shared" si="300"/>
        <v>6.9977936619533359E-4</v>
      </c>
      <c r="F318" s="3">
        <f t="shared" si="300"/>
        <v>6.9977936619533359E-4</v>
      </c>
      <c r="G318" s="3">
        <f t="shared" si="300"/>
        <v>6.9977936619533359E-4</v>
      </c>
      <c r="H318" s="3">
        <f t="shared" si="300"/>
        <v>6.9977936619533359E-4</v>
      </c>
      <c r="I318" s="3">
        <f t="shared" si="300"/>
        <v>6.9977936619533359E-4</v>
      </c>
      <c r="J318" s="3">
        <f t="shared" si="300"/>
        <v>6.9977936619533359E-4</v>
      </c>
      <c r="K318" s="3">
        <f t="shared" si="300"/>
        <v>6.9977936619533359E-4</v>
      </c>
      <c r="L318" s="3">
        <f t="shared" si="300"/>
        <v>6.9977936619533359E-4</v>
      </c>
      <c r="M318" s="3">
        <f t="shared" si="300"/>
        <v>6.9977936619533359E-4</v>
      </c>
      <c r="N318" s="3">
        <f t="shared" si="300"/>
        <v>6.9977936619533359E-4</v>
      </c>
      <c r="O318" s="3">
        <f t="shared" si="300"/>
        <v>6.9977936619533359E-4</v>
      </c>
      <c r="P318" s="3">
        <f t="shared" si="300"/>
        <v>6.9977936619533359E-4</v>
      </c>
      <c r="Q318" s="3">
        <f t="shared" si="300"/>
        <v>6.9977936619533359E-4</v>
      </c>
      <c r="R318" s="3">
        <f t="shared" si="300"/>
        <v>6.9977936619533359E-4</v>
      </c>
      <c r="S318" s="3">
        <f t="shared" si="300"/>
        <v>6.9977936619533359E-4</v>
      </c>
      <c r="T318" s="3">
        <f t="shared" si="300"/>
        <v>6.9977936619533359E-4</v>
      </c>
      <c r="U318" s="3">
        <f t="shared" si="300"/>
        <v>6.9977936619533359E-4</v>
      </c>
      <c r="V318" s="3">
        <f t="shared" si="300"/>
        <v>6.9977936619533359E-4</v>
      </c>
      <c r="W318" s="3">
        <f t="shared" si="300"/>
        <v>6.9977936619533359E-4</v>
      </c>
      <c r="X318" s="3">
        <f t="shared" si="300"/>
        <v>6.9977936619533359E-4</v>
      </c>
      <c r="Y318" s="3">
        <f t="shared" si="300"/>
        <v>6.9977936619533348E-4</v>
      </c>
      <c r="Z318" s="3">
        <f t="shared" si="300"/>
        <v>6.9977936619533294E-4</v>
      </c>
      <c r="AA318" s="3">
        <f t="shared" si="300"/>
        <v>6.9977936619532665E-4</v>
      </c>
      <c r="AB318" s="3">
        <f t="shared" si="300"/>
        <v>6.9977936619526442E-4</v>
      </c>
      <c r="AC318" s="3">
        <f t="shared" si="300"/>
        <v>6.9977936619464208E-4</v>
      </c>
      <c r="AD318" s="3">
        <f t="shared" si="300"/>
        <v>6.9977936618841909E-4</v>
      </c>
      <c r="AE318" s="3">
        <f t="shared" si="300"/>
        <v>6.9977936612618892E-4</v>
      </c>
      <c r="AF318" s="3">
        <f t="shared" si="300"/>
        <v>6.9977936550388625E-4</v>
      </c>
      <c r="AG318" s="3"/>
      <c r="AH318" s="3"/>
    </row>
    <row r="319" spans="1:34" x14ac:dyDescent="0.25">
      <c r="A319" s="79">
        <f>AVERAGE(B319:AF319)</f>
        <v>0.19520648125158663</v>
      </c>
      <c r="B319" s="80">
        <f>IF($A$64&lt;=B285,IF($B$64&gt;=B285,ABS((B287-B286)/B286),0),0)</f>
        <v>9.7501130060572927E-2</v>
      </c>
      <c r="C319" s="80">
        <f t="shared" ref="C319:AF319" si="301">IF($A$64&lt;=C285,IF($B$64&gt;=C285,ABS((C287-C286)/C286),0),0)</f>
        <v>9.7509262259505236E-2</v>
      </c>
      <c r="D319" s="80">
        <f t="shared" si="301"/>
        <v>9.7497296896877139E-2</v>
      </c>
      <c r="E319" s="80">
        <f t="shared" si="301"/>
        <v>9.742449584467619E-2</v>
      </c>
      <c r="F319" s="80">
        <f t="shared" si="301"/>
        <v>9.6721060664943584E-2</v>
      </c>
      <c r="G319" s="80">
        <f t="shared" si="301"/>
        <v>9.0800445174528371E-2</v>
      </c>
      <c r="H319" s="80">
        <f t="shared" si="301"/>
        <v>7.30914163018615E-2</v>
      </c>
      <c r="I319" s="80">
        <f t="shared" si="301"/>
        <v>5.3620264149336946E-2</v>
      </c>
      <c r="J319" s="80">
        <f t="shared" si="301"/>
        <v>3.1468326526195092E-2</v>
      </c>
      <c r="K319" s="80">
        <f t="shared" si="301"/>
        <v>1.4971418594022165E-2</v>
      </c>
      <c r="L319" s="80">
        <f t="shared" si="301"/>
        <v>3.9243848936562034E-2</v>
      </c>
      <c r="M319" s="80">
        <f t="shared" si="301"/>
        <v>3.8003367604366019E-2</v>
      </c>
      <c r="N319" s="80">
        <f t="shared" si="301"/>
        <v>3.9601691832122962E-2</v>
      </c>
      <c r="O319" s="80">
        <f t="shared" si="301"/>
        <v>4.3072475312680832E-2</v>
      </c>
      <c r="P319" s="80">
        <f t="shared" si="301"/>
        <v>4.6895871204227536E-2</v>
      </c>
      <c r="Q319" s="80">
        <f t="shared" si="301"/>
        <v>5.5828603581032782E-2</v>
      </c>
      <c r="R319" s="80">
        <f t="shared" si="301"/>
        <v>5.2220715720219218E-2</v>
      </c>
      <c r="S319" s="80">
        <f t="shared" si="301"/>
        <v>1.1344074847639029E-2</v>
      </c>
      <c r="T319" s="80">
        <f t="shared" si="301"/>
        <v>0.10186519973770994</v>
      </c>
      <c r="U319" s="80">
        <f t="shared" si="301"/>
        <v>0.14030238637900538</v>
      </c>
      <c r="V319" s="80">
        <f t="shared" si="301"/>
        <v>0.17614795913417752</v>
      </c>
      <c r="W319" s="80">
        <f t="shared" si="301"/>
        <v>0.2394246881883923</v>
      </c>
      <c r="X319" s="80">
        <f t="shared" si="301"/>
        <v>0.31015007691310159</v>
      </c>
      <c r="Y319" s="80">
        <f t="shared" si="301"/>
        <v>0.62739707326433936</v>
      </c>
      <c r="Z319" s="80">
        <f t="shared" si="301"/>
        <v>0.87720829775796849</v>
      </c>
      <c r="AA319" s="80">
        <f t="shared" si="301"/>
        <v>0.83789994495911146</v>
      </c>
      <c r="AB319" s="80">
        <f t="shared" si="301"/>
        <v>0.7006575966257248</v>
      </c>
      <c r="AC319" s="80">
        <f t="shared" si="301"/>
        <v>0.43104194134906854</v>
      </c>
      <c r="AD319" s="80">
        <f t="shared" si="301"/>
        <v>0.26818631351737737</v>
      </c>
      <c r="AE319" s="80">
        <f t="shared" si="301"/>
        <v>0.15903531208361432</v>
      </c>
      <c r="AF319" s="80">
        <f t="shared" si="301"/>
        <v>0.10526836337822522</v>
      </c>
    </row>
    <row r="320" spans="1:34" x14ac:dyDescent="0.25">
      <c r="B320" s="21">
        <f>(B287-B286)^2</f>
        <v>497381.5507476757</v>
      </c>
      <c r="C320" s="21">
        <f t="shared" ref="C320:AF320" si="302">(C287-C286)^2</f>
        <v>497473.48864698049</v>
      </c>
      <c r="D320" s="21">
        <f t="shared" si="302"/>
        <v>497338.21693288523</v>
      </c>
      <c r="E320" s="21">
        <f t="shared" si="302"/>
        <v>496515.64846747933</v>
      </c>
      <c r="F320" s="21">
        <f t="shared" si="302"/>
        <v>488609.47557703749</v>
      </c>
      <c r="G320" s="21">
        <f t="shared" si="302"/>
        <v>425030.10548465152</v>
      </c>
      <c r="H320" s="21">
        <f t="shared" si="302"/>
        <v>264976.43087316229</v>
      </c>
      <c r="I320" s="21">
        <f t="shared" si="302"/>
        <v>136752.98609188484</v>
      </c>
      <c r="J320" s="21">
        <f t="shared" si="302"/>
        <v>44829.04836817216</v>
      </c>
      <c r="K320" s="21">
        <f t="shared" si="302"/>
        <v>9536.4591669431065</v>
      </c>
      <c r="L320" s="21">
        <f t="shared" si="302"/>
        <v>61587.82784480961</v>
      </c>
      <c r="M320" s="21">
        <f t="shared" si="302"/>
        <v>53053.258340328524</v>
      </c>
      <c r="N320" s="21">
        <f t="shared" si="302"/>
        <v>52335.2444899416</v>
      </c>
      <c r="O320" s="21">
        <f t="shared" si="302"/>
        <v>56034.612153157526</v>
      </c>
      <c r="P320" s="21">
        <f t="shared" si="302"/>
        <v>59206.521872734687</v>
      </c>
      <c r="Q320" s="21">
        <f t="shared" si="302"/>
        <v>73200.13655651336</v>
      </c>
      <c r="R320" s="21">
        <f t="shared" si="302"/>
        <v>50599.058443417161</v>
      </c>
      <c r="S320" s="21">
        <f t="shared" si="302"/>
        <v>1508.9220023291412</v>
      </c>
      <c r="T320" s="21">
        <f t="shared" si="302"/>
        <v>62673.63937014222</v>
      </c>
      <c r="U320" s="21">
        <f t="shared" si="302"/>
        <v>51084.382958815324</v>
      </c>
      <c r="V320" s="21">
        <f t="shared" si="302"/>
        <v>27573.637262887685</v>
      </c>
      <c r="W320" s="21">
        <f t="shared" si="302"/>
        <v>14929.011189475532</v>
      </c>
      <c r="X320" s="21">
        <f t="shared" si="302"/>
        <v>7083.69736476648</v>
      </c>
      <c r="Y320" s="21">
        <f t="shared" si="302"/>
        <v>9149.0651972378273</v>
      </c>
      <c r="Z320" s="21">
        <f t="shared" si="302"/>
        <v>10085.670645507125</v>
      </c>
      <c r="AA320" s="21">
        <f t="shared" si="302"/>
        <v>7171.1269069544451</v>
      </c>
      <c r="AB320" s="21">
        <f t="shared" si="302"/>
        <v>4251.4456363646304</v>
      </c>
      <c r="AC320" s="21">
        <f t="shared" si="302"/>
        <v>1594.2662298444773</v>
      </c>
      <c r="AD320" s="21">
        <f t="shared" si="302"/>
        <v>598.63314238677947</v>
      </c>
      <c r="AE320" s="21">
        <f t="shared" si="302"/>
        <v>210.41233516636683</v>
      </c>
      <c r="AF320" s="21">
        <f t="shared" si="302"/>
        <v>90.362087527400092</v>
      </c>
      <c r="AG320" s="3"/>
      <c r="AH320" s="3"/>
    </row>
    <row r="321" spans="1:34" x14ac:dyDescent="0.25">
      <c r="A321" s="71">
        <f>SUM(B321:AF321)</f>
        <v>3962464.3423871794</v>
      </c>
      <c r="B321" s="60">
        <f>IF($A$64&lt;=B285,IF($B$64&gt;=B285,ABS(B320),0),0)</f>
        <v>497381.5507476757</v>
      </c>
      <c r="C321" s="60">
        <f t="shared" ref="C321" si="303">IF($A$64&lt;=C285,IF($B$64&gt;=C285,ABS(C320),0),0)</f>
        <v>497473.48864698049</v>
      </c>
      <c r="D321" s="60">
        <f t="shared" ref="D321" si="304">IF($A$64&lt;=D285,IF($B$64&gt;=D285,ABS(D320),0),0)</f>
        <v>497338.21693288523</v>
      </c>
      <c r="E321" s="60">
        <f t="shared" ref="E321" si="305">IF($A$64&lt;=E285,IF($B$64&gt;=E285,ABS(E320),0),0)</f>
        <v>496515.64846747933</v>
      </c>
      <c r="F321" s="60">
        <f t="shared" ref="F321" si="306">IF($A$64&lt;=F285,IF($B$64&gt;=F285,ABS(F320),0),0)</f>
        <v>488609.47557703749</v>
      </c>
      <c r="G321" s="60">
        <f t="shared" ref="G321" si="307">IF($A$64&lt;=G285,IF($B$64&gt;=G285,ABS(G320),0),0)</f>
        <v>425030.10548465152</v>
      </c>
      <c r="H321" s="60">
        <f t="shared" ref="H321" si="308">IF($A$64&lt;=H285,IF($B$64&gt;=H285,ABS(H320),0),0)</f>
        <v>264976.43087316229</v>
      </c>
      <c r="I321" s="60">
        <f t="shared" ref="I321" si="309">IF($A$64&lt;=I285,IF($B$64&gt;=I285,ABS(I320),0),0)</f>
        <v>136752.98609188484</v>
      </c>
      <c r="J321" s="60">
        <f t="shared" ref="J321" si="310">IF($A$64&lt;=J285,IF($B$64&gt;=J285,ABS(J320),0),0)</f>
        <v>44829.04836817216</v>
      </c>
      <c r="K321" s="60">
        <f t="shared" ref="K321" si="311">IF($A$64&lt;=K285,IF($B$64&gt;=K285,ABS(K320),0),0)</f>
        <v>9536.4591669431065</v>
      </c>
      <c r="L321" s="60">
        <f t="shared" ref="L321" si="312">IF($A$64&lt;=L285,IF($B$64&gt;=L285,ABS(L320),0),0)</f>
        <v>61587.82784480961</v>
      </c>
      <c r="M321" s="60">
        <f t="shared" ref="M321" si="313">IF($A$64&lt;=M285,IF($B$64&gt;=M285,ABS(M320),0),0)</f>
        <v>53053.258340328524</v>
      </c>
      <c r="N321" s="60">
        <f t="shared" ref="N321" si="314">IF($A$64&lt;=N285,IF($B$64&gt;=N285,ABS(N320),0),0)</f>
        <v>52335.2444899416</v>
      </c>
      <c r="O321" s="60">
        <f t="shared" ref="O321" si="315">IF($A$64&lt;=O285,IF($B$64&gt;=O285,ABS(O320),0),0)</f>
        <v>56034.612153157526</v>
      </c>
      <c r="P321" s="60">
        <f t="shared" ref="P321" si="316">IF($A$64&lt;=P285,IF($B$64&gt;=P285,ABS(P320),0),0)</f>
        <v>59206.521872734687</v>
      </c>
      <c r="Q321" s="60">
        <f t="shared" ref="Q321" si="317">IF($A$64&lt;=Q285,IF($B$64&gt;=Q285,ABS(Q320),0),0)</f>
        <v>73200.13655651336</v>
      </c>
      <c r="R321" s="60">
        <f t="shared" ref="R321" si="318">IF($A$64&lt;=R285,IF($B$64&gt;=R285,ABS(R320),0),0)</f>
        <v>50599.058443417161</v>
      </c>
      <c r="S321" s="60">
        <f t="shared" ref="S321" si="319">IF($A$64&lt;=S285,IF($B$64&gt;=S285,ABS(S320),0),0)</f>
        <v>1508.9220023291412</v>
      </c>
      <c r="T321" s="60">
        <f t="shared" ref="T321" si="320">IF($A$64&lt;=T285,IF($B$64&gt;=T285,ABS(T320),0),0)</f>
        <v>62673.63937014222</v>
      </c>
      <c r="U321" s="60">
        <f t="shared" ref="U321" si="321">IF($A$64&lt;=U285,IF($B$64&gt;=U285,ABS(U320),0),0)</f>
        <v>51084.382958815324</v>
      </c>
      <c r="V321" s="60">
        <f t="shared" ref="V321" si="322">IF($A$64&lt;=V285,IF($B$64&gt;=V285,ABS(V320),0),0)</f>
        <v>27573.637262887685</v>
      </c>
      <c r="W321" s="60">
        <f t="shared" ref="W321" si="323">IF($A$64&lt;=W285,IF($B$64&gt;=W285,ABS(W320),0),0)</f>
        <v>14929.011189475532</v>
      </c>
      <c r="X321" s="60">
        <f t="shared" ref="X321" si="324">IF($A$64&lt;=X285,IF($B$64&gt;=X285,ABS(X320),0),0)</f>
        <v>7083.69736476648</v>
      </c>
      <c r="Y321" s="60">
        <f t="shared" ref="Y321" si="325">IF($A$64&lt;=Y285,IF($B$64&gt;=Y285,ABS(Y320),0),0)</f>
        <v>9149.0651972378273</v>
      </c>
      <c r="Z321" s="60">
        <f t="shared" ref="Z321" si="326">IF($A$64&lt;=Z285,IF($B$64&gt;=Z285,ABS(Z320),0),0)</f>
        <v>10085.670645507125</v>
      </c>
      <c r="AA321" s="60">
        <f t="shared" ref="AA321" si="327">IF($A$64&lt;=AA285,IF($B$64&gt;=AA285,ABS(AA320),0),0)</f>
        <v>7171.1269069544451</v>
      </c>
      <c r="AB321" s="60">
        <f t="shared" ref="AB321" si="328">IF($A$64&lt;=AB285,IF($B$64&gt;=AB285,ABS(AB320),0),0)</f>
        <v>4251.4456363646304</v>
      </c>
      <c r="AC321" s="60">
        <f t="shared" ref="AC321" si="329">IF($A$64&lt;=AC285,IF($B$64&gt;=AC285,ABS(AC320),0),0)</f>
        <v>1594.2662298444773</v>
      </c>
      <c r="AD321" s="60">
        <f t="shared" ref="AD321" si="330">IF($A$64&lt;=AD285,IF($B$64&gt;=AD285,ABS(AD320),0),0)</f>
        <v>598.63314238677947</v>
      </c>
      <c r="AE321" s="60">
        <f t="shared" ref="AE321" si="331">IF($A$64&lt;=AE285,IF($B$64&gt;=AE285,ABS(AE320),0),0)</f>
        <v>210.41233516636683</v>
      </c>
      <c r="AF321" s="60">
        <f t="shared" ref="AF321" si="332">IF($A$64&lt;=AF285,IF($B$64&gt;=AF285,ABS(AF320),0),0)</f>
        <v>90.362087527400092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6516.3780235031682</v>
      </c>
      <c r="C326" s="27">
        <f t="shared" ref="C326:AF326" si="333">($C$17+SUM(C327:C357))*$B$51</f>
        <v>6423.4441336054897</v>
      </c>
      <c r="D326" s="27">
        <f t="shared" si="333"/>
        <v>6073.1896812209607</v>
      </c>
      <c r="E326" s="27">
        <f t="shared" si="333"/>
        <v>5828.5655321190961</v>
      </c>
      <c r="F326" s="27">
        <f t="shared" si="333"/>
        <v>5545.613670087394</v>
      </c>
      <c r="G326" s="27">
        <f t="shared" si="333"/>
        <v>5256.57288086894</v>
      </c>
      <c r="H326" s="27">
        <f t="shared" si="333"/>
        <v>4942.4299444049566</v>
      </c>
      <c r="I326" s="27">
        <f t="shared" si="333"/>
        <v>4572.0582541920603</v>
      </c>
      <c r="J326" s="27">
        <f t="shared" si="333"/>
        <v>4077.7237006547971</v>
      </c>
      <c r="K326" s="27">
        <f t="shared" si="333"/>
        <v>3457.1039994053363</v>
      </c>
      <c r="L326" s="27">
        <f t="shared" si="333"/>
        <v>2700.754152782441</v>
      </c>
      <c r="M326" s="27">
        <f t="shared" si="333"/>
        <v>1829.221306566702</v>
      </c>
      <c r="N326" s="27">
        <f t="shared" si="333"/>
        <v>1103.9283114525897</v>
      </c>
      <c r="O326" s="27">
        <f t="shared" si="333"/>
        <v>629.46738956146203</v>
      </c>
      <c r="P326" s="27">
        <f t="shared" si="333"/>
        <v>354.27714048715563</v>
      </c>
      <c r="Q326" s="27">
        <f t="shared" si="333"/>
        <v>247.82809907403231</v>
      </c>
      <c r="R326" s="27">
        <f t="shared" si="333"/>
        <v>214.68803725194334</v>
      </c>
      <c r="S326" s="27">
        <f t="shared" si="333"/>
        <v>185.55338744977527</v>
      </c>
      <c r="T326" s="27">
        <f t="shared" si="333"/>
        <v>158.06744455544043</v>
      </c>
      <c r="U326" s="27">
        <f t="shared" si="333"/>
        <v>132.42751343612724</v>
      </c>
      <c r="V326" s="27">
        <f t="shared" si="333"/>
        <v>115.61432311309272</v>
      </c>
      <c r="W326" s="27">
        <f t="shared" si="333"/>
        <v>105.67408634153762</v>
      </c>
      <c r="X326" s="27">
        <f t="shared" si="333"/>
        <v>99.755816717103087</v>
      </c>
      <c r="Y326" s="27">
        <f t="shared" si="333"/>
        <v>96.186981185981637</v>
      </c>
      <c r="Z326" s="27">
        <f t="shared" si="333"/>
        <v>93.788125750173265</v>
      </c>
      <c r="AA326" s="27">
        <f t="shared" si="333"/>
        <v>92.468450601858407</v>
      </c>
      <c r="AB326" s="27">
        <f t="shared" si="333"/>
        <v>92.028460031871177</v>
      </c>
      <c r="AC326" s="27">
        <f t="shared" si="333"/>
        <v>91.187450474803114</v>
      </c>
      <c r="AD326" s="27">
        <f t="shared" si="333"/>
        <v>90.741560580279568</v>
      </c>
      <c r="AE326" s="27">
        <f t="shared" si="333"/>
        <v>90.500070711782485</v>
      </c>
      <c r="AF326" s="27">
        <f t="shared" si="333"/>
        <v>89.927896555900745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5.7796851022020569E-2</v>
      </c>
      <c r="C328" s="3">
        <f t="shared" si="335"/>
        <v>4.5833097250405158E-2</v>
      </c>
      <c r="D328" s="3">
        <f t="shared" si="335"/>
        <v>4.5074352755428765E-3</v>
      </c>
      <c r="E328" s="3">
        <f t="shared" si="335"/>
        <v>3.8144543939992461E-13</v>
      </c>
      <c r="F328" s="3">
        <f t="shared" si="335"/>
        <v>7.1855779131832136E-114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3.0279144679622224E-2</v>
      </c>
      <c r="C329" s="3">
        <f t="shared" si="336"/>
        <v>2.9652230867560522E-2</v>
      </c>
      <c r="D329" s="3">
        <f t="shared" si="336"/>
        <v>2.4054429972377334E-2</v>
      </c>
      <c r="E329" s="3">
        <f t="shared" si="336"/>
        <v>2.9687391427491998E-3</v>
      </c>
      <c r="F329" s="3">
        <f t="shared" si="336"/>
        <v>2.4341185627729544E-12</v>
      </c>
      <c r="G329" s="3">
        <f t="shared" si="336"/>
        <v>3.342247637136526E-103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4.1668524166003147E-2</v>
      </c>
      <c r="C330" s="3">
        <f t="shared" si="337"/>
        <v>4.158995640503399E-2</v>
      </c>
      <c r="D330" s="3">
        <f t="shared" si="337"/>
        <v>4.081238073492726E-2</v>
      </c>
      <c r="E330" s="3">
        <f t="shared" si="337"/>
        <v>3.3792986364279763E-2</v>
      </c>
      <c r="F330" s="3">
        <f t="shared" si="337"/>
        <v>5.1188571370577515E-3</v>
      </c>
      <c r="G330" s="3">
        <f t="shared" si="337"/>
        <v>3.2556474342724996E-11</v>
      </c>
      <c r="H330" s="3">
        <f t="shared" si="337"/>
        <v>3.5259889970127421E-93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4.0364247867965178E-2</v>
      </c>
      <c r="C331" s="3">
        <f t="shared" si="338"/>
        <v>4.0357376352844823E-2</v>
      </c>
      <c r="D331" s="3">
        <f t="shared" si="338"/>
        <v>4.0288725507280097E-2</v>
      </c>
      <c r="E331" s="3">
        <f t="shared" si="338"/>
        <v>3.9608607291091169E-2</v>
      </c>
      <c r="F331" s="3">
        <f t="shared" si="338"/>
        <v>3.3407963443464625E-2</v>
      </c>
      <c r="G331" s="3">
        <f t="shared" si="338"/>
        <v>6.0877148010749548E-3</v>
      </c>
      <c r="H331" s="3">
        <f t="shared" si="338"/>
        <v>2.457521146863186E-10</v>
      </c>
      <c r="I331" s="3">
        <f t="shared" si="338"/>
        <v>2.8244046428698421E-84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4.4176623771260699E-2</v>
      </c>
      <c r="C332" s="3">
        <f t="shared" si="339"/>
        <v>4.4175945304791887E-2</v>
      </c>
      <c r="D332" s="3">
        <f t="shared" si="339"/>
        <v>4.4169161213172735E-2</v>
      </c>
      <c r="E332" s="3">
        <f t="shared" si="339"/>
        <v>4.4101377571332451E-2</v>
      </c>
      <c r="F332" s="3">
        <f t="shared" si="339"/>
        <v>4.342923617506577E-2</v>
      </c>
      <c r="G332" s="3">
        <f t="shared" si="339"/>
        <v>3.7246249446636487E-2</v>
      </c>
      <c r="H332" s="3">
        <f t="shared" si="339"/>
        <v>8.0183703453455008E-3</v>
      </c>
      <c r="I332" s="3">
        <f t="shared" si="339"/>
        <v>1.7144378570147115E-9</v>
      </c>
      <c r="J332" s="3">
        <f t="shared" si="339"/>
        <v>3.4235613542503005E-76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5.109339370048125E-2</v>
      </c>
      <c r="C333" s="3">
        <f t="shared" si="340"/>
        <v>5.1093322914013348E-2</v>
      </c>
      <c r="D333" s="3">
        <f t="shared" si="340"/>
        <v>5.1092615054728167E-2</v>
      </c>
      <c r="E333" s="3">
        <f t="shared" si="340"/>
        <v>5.1085537001230912E-2</v>
      </c>
      <c r="F333" s="3">
        <f t="shared" si="340"/>
        <v>5.1014810374076923E-2</v>
      </c>
      <c r="G333" s="3">
        <f t="shared" si="340"/>
        <v>5.031290735279529E-2</v>
      </c>
      <c r="H333" s="3">
        <f t="shared" si="340"/>
        <v>4.3803699049759552E-2</v>
      </c>
      <c r="I333" s="3">
        <f t="shared" si="340"/>
        <v>1.0960352255342322E-2</v>
      </c>
      <c r="J333" s="3">
        <f t="shared" si="340"/>
        <v>1.0542940825255002E-8</v>
      </c>
      <c r="K333" s="3">
        <f t="shared" si="340"/>
        <v>7.1504658449614027E-69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7.3486408005526652E-2</v>
      </c>
      <c r="C334" s="3">
        <f t="shared" si="341"/>
        <v>7.3486398821368024E-2</v>
      </c>
      <c r="D334" s="3">
        <f t="shared" si="341"/>
        <v>7.3486306979844762E-2</v>
      </c>
      <c r="E334" s="3">
        <f t="shared" si="341"/>
        <v>7.348538857092525E-2</v>
      </c>
      <c r="F334" s="3">
        <f t="shared" si="341"/>
        <v>7.3476205112995754E-2</v>
      </c>
      <c r="G334" s="3">
        <f t="shared" si="341"/>
        <v>7.3384433631086404E-2</v>
      </c>
      <c r="H334" s="3">
        <f t="shared" si="341"/>
        <v>7.2472999470515581E-2</v>
      </c>
      <c r="I334" s="3">
        <f t="shared" si="341"/>
        <v>6.3958626462968821E-2</v>
      </c>
      <c r="J334" s="3">
        <f t="shared" si="341"/>
        <v>1.8328547678786111E-2</v>
      </c>
      <c r="K334" s="3">
        <f t="shared" si="341"/>
        <v>6.8456911944236897E-8</v>
      </c>
      <c r="L334" s="3">
        <f t="shared" si="341"/>
        <v>3.6166777368904649E-62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9.0828990896393832E-2</v>
      </c>
      <c r="C335" s="3">
        <f t="shared" si="342"/>
        <v>9.0828989872385565E-2</v>
      </c>
      <c r="D335" s="3">
        <f t="shared" si="342"/>
        <v>9.0828979632303547E-2</v>
      </c>
      <c r="E335" s="3">
        <f t="shared" si="342"/>
        <v>9.0828877231546923E-2</v>
      </c>
      <c r="F335" s="3">
        <f t="shared" si="342"/>
        <v>9.0827853230330241E-2</v>
      </c>
      <c r="G335" s="3">
        <f t="shared" si="342"/>
        <v>9.0817613853092047E-2</v>
      </c>
      <c r="H335" s="3">
        <f t="shared" si="342"/>
        <v>9.0715283547108977E-2</v>
      </c>
      <c r="I335" s="3">
        <f t="shared" si="342"/>
        <v>8.9698300732501443E-2</v>
      </c>
      <c r="J335" s="3">
        <f t="shared" si="342"/>
        <v>8.0134909234793175E-2</v>
      </c>
      <c r="K335" s="3">
        <f t="shared" si="342"/>
        <v>2.5953568842696697E-2</v>
      </c>
      <c r="L335" s="3">
        <f t="shared" si="342"/>
        <v>3.2957210645914085E-7</v>
      </c>
      <c r="M335" s="3">
        <f t="shared" si="342"/>
        <v>3.593222164714245E-56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0.11303496652540988</v>
      </c>
      <c r="C336" s="3">
        <f t="shared" si="343"/>
        <v>0.1130349664104521</v>
      </c>
      <c r="D336" s="3">
        <f t="shared" si="343"/>
        <v>0.1130349652608743</v>
      </c>
      <c r="E336" s="3">
        <f t="shared" si="343"/>
        <v>0.1130349537650968</v>
      </c>
      <c r="F336" s="3">
        <f t="shared" si="343"/>
        <v>0.11303483880738621</v>
      </c>
      <c r="G336" s="3">
        <f t="shared" si="343"/>
        <v>0.11303368923671056</v>
      </c>
      <c r="H336" s="3">
        <f t="shared" si="343"/>
        <v>0.11302219417295027</v>
      </c>
      <c r="I336" s="3">
        <f t="shared" si="343"/>
        <v>0.11290730781078837</v>
      </c>
      <c r="J336" s="3">
        <f t="shared" si="343"/>
        <v>0.11176484761246093</v>
      </c>
      <c r="K336" s="3">
        <f t="shared" si="343"/>
        <v>0.10095713380271583</v>
      </c>
      <c r="L336" s="3">
        <f t="shared" si="343"/>
        <v>3.6513615061608155E-2</v>
      </c>
      <c r="M336" s="3">
        <f t="shared" si="343"/>
        <v>1.3984052218435339E-6</v>
      </c>
      <c r="N336" s="3">
        <f t="shared" si="343"/>
        <v>9.4932535285587238E-51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0.13845265884371419</v>
      </c>
      <c r="C337" s="3">
        <f t="shared" si="344"/>
        <v>0.13845265883101215</v>
      </c>
      <c r="D337" s="3">
        <f t="shared" si="344"/>
        <v>0.13845265870399176</v>
      </c>
      <c r="E337" s="3">
        <f t="shared" si="344"/>
        <v>0.13845265743378782</v>
      </c>
      <c r="F337" s="3">
        <f t="shared" si="344"/>
        <v>0.13845264473174909</v>
      </c>
      <c r="G337" s="3">
        <f t="shared" si="344"/>
        <v>0.1384525177114258</v>
      </c>
      <c r="H337" s="3">
        <f t="shared" si="344"/>
        <v>0.13845124751460217</v>
      </c>
      <c r="I337" s="3">
        <f t="shared" si="344"/>
        <v>0.13843854618726839</v>
      </c>
      <c r="J337" s="3">
        <f t="shared" si="344"/>
        <v>0.13831159698242426</v>
      </c>
      <c r="K337" s="3">
        <f t="shared" si="344"/>
        <v>0.13704849008867775</v>
      </c>
      <c r="L337" s="3">
        <f t="shared" si="344"/>
        <v>0.12503478397039811</v>
      </c>
      <c r="M337" s="3">
        <f t="shared" si="344"/>
        <v>4.9957049152978758E-2</v>
      </c>
      <c r="N337" s="3">
        <f t="shared" si="344"/>
        <v>5.1791211927277825E-6</v>
      </c>
      <c r="O337" s="3">
        <f t="shared" si="344"/>
        <v>7.4276090067024258E-46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8.6910854297292436E-2</v>
      </c>
      <c r="C338" s="3">
        <f t="shared" si="345"/>
        <v>8.6910854296573165E-2</v>
      </c>
      <c r="D338" s="3">
        <f t="shared" si="345"/>
        <v>8.6910854289380446E-2</v>
      </c>
      <c r="E338" s="3">
        <f t="shared" si="345"/>
        <v>8.6910854217453315E-2</v>
      </c>
      <c r="F338" s="3">
        <f t="shared" si="345"/>
        <v>8.6910853498181964E-2</v>
      </c>
      <c r="G338" s="3">
        <f t="shared" si="345"/>
        <v>8.6910846305468747E-2</v>
      </c>
      <c r="H338" s="3">
        <f t="shared" si="345"/>
        <v>8.6910774378369318E-2</v>
      </c>
      <c r="I338" s="3">
        <f t="shared" si="345"/>
        <v>8.6910055110649018E-2</v>
      </c>
      <c r="J338" s="3">
        <f t="shared" si="345"/>
        <v>8.6902862760831409E-2</v>
      </c>
      <c r="K338" s="3">
        <f t="shared" si="345"/>
        <v>8.6830971991181727E-2</v>
      </c>
      <c r="L338" s="3">
        <f t="shared" si="345"/>
        <v>8.6115327147642334E-2</v>
      </c>
      <c r="M338" s="3">
        <f t="shared" si="345"/>
        <v>7.927539013594842E-2</v>
      </c>
      <c r="N338" s="3">
        <f t="shared" si="345"/>
        <v>3.4651154583427005E-2</v>
      </c>
      <c r="O338" s="3">
        <f t="shared" si="345"/>
        <v>8.8208600110115531E-6</v>
      </c>
      <c r="P338" s="3">
        <f t="shared" si="345"/>
        <v>1.0079596056245939E-41</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5.8628121311528059E-2</v>
      </c>
      <c r="C339" s="3">
        <f t="shared" si="346"/>
        <v>5.8628121311484288E-2</v>
      </c>
      <c r="D339" s="3">
        <f t="shared" si="346"/>
        <v>5.8628121311046597E-2</v>
      </c>
      <c r="E339" s="3">
        <f t="shared" si="346"/>
        <v>5.8628121306669646E-2</v>
      </c>
      <c r="F339" s="3">
        <f t="shared" si="346"/>
        <v>5.8628121262900172E-2</v>
      </c>
      <c r="G339" s="3">
        <f t="shared" si="346"/>
        <v>5.8628120825205451E-2</v>
      </c>
      <c r="H339" s="3">
        <f t="shared" si="346"/>
        <v>5.8628116448258355E-2</v>
      </c>
      <c r="I339" s="3">
        <f t="shared" si="346"/>
        <v>5.8628072678805432E-2</v>
      </c>
      <c r="J339" s="3">
        <f t="shared" si="346"/>
        <v>5.8627634986073367E-2</v>
      </c>
      <c r="K339" s="3">
        <f t="shared" si="346"/>
        <v>5.8623258238468458E-2</v>
      </c>
      <c r="L339" s="3">
        <f t="shared" si="346"/>
        <v>5.8579508729025939E-2</v>
      </c>
      <c r="M339" s="3">
        <f t="shared" si="346"/>
        <v>5.8143805342284624E-2</v>
      </c>
      <c r="N339" s="3">
        <f t="shared" si="346"/>
        <v>5.396109033508293E-2</v>
      </c>
      <c r="O339" s="3">
        <f t="shared" si="346"/>
        <v>2.5577221465916337E-2</v>
      </c>
      <c r="P339" s="3">
        <f t="shared" si="346"/>
        <v>1.4641306728760642E-5</v>
      </c>
      <c r="Q339" s="3">
        <f t="shared" si="346"/>
        <v>5.5315213086782917E-38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2.5608295796313272E-2</v>
      </c>
      <c r="C340" s="3">
        <f t="shared" si="347"/>
        <v>2.5608295796311548E-2</v>
      </c>
      <c r="D340" s="3">
        <f t="shared" si="347"/>
        <v>2.5608295796294301E-2</v>
      </c>
      <c r="E340" s="3">
        <f t="shared" si="347"/>
        <v>2.5608295796121838E-2</v>
      </c>
      <c r="F340" s="3">
        <f t="shared" si="347"/>
        <v>2.5608295794397221E-2</v>
      </c>
      <c r="G340" s="3">
        <f t="shared" si="347"/>
        <v>2.5608295777151055E-2</v>
      </c>
      <c r="H340" s="3">
        <f t="shared" si="347"/>
        <v>2.5608295604689378E-2</v>
      </c>
      <c r="I340" s="3">
        <f t="shared" si="347"/>
        <v>2.5608293880072668E-2</v>
      </c>
      <c r="J340" s="3">
        <f t="shared" si="347"/>
        <v>2.5608276633911967E-2</v>
      </c>
      <c r="K340" s="3">
        <f t="shared" si="347"/>
        <v>2.560810417294377E-2</v>
      </c>
      <c r="L340" s="3">
        <f t="shared" si="347"/>
        <v>2.5606379627140363E-2</v>
      </c>
      <c r="M340" s="3">
        <f t="shared" si="347"/>
        <v>2.5589140555372064E-2</v>
      </c>
      <c r="N340" s="3">
        <f t="shared" si="347"/>
        <v>2.5417386875801189E-2</v>
      </c>
      <c r="O340" s="3">
        <f t="shared" si="347"/>
        <v>2.3761994708257305E-2</v>
      </c>
      <c r="P340" s="3">
        <f t="shared" si="347"/>
        <v>1.2117216003471855E-2</v>
      </c>
      <c r="Q340" s="3">
        <f t="shared" si="347"/>
        <v>1.4407956848286705E-5</v>
      </c>
      <c r="R340" s="3">
        <f t="shared" si="347"/>
        <v>8.1395030927867218E-35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5.0526357723775471E-3</v>
      </c>
      <c r="C341" s="3">
        <f t="shared" si="348"/>
        <v>5.0526357723775167E-3</v>
      </c>
      <c r="D341" s="3">
        <f t="shared" si="348"/>
        <v>5.0526357723772097E-3</v>
      </c>
      <c r="E341" s="3">
        <f t="shared" si="348"/>
        <v>5.0526357723741401E-3</v>
      </c>
      <c r="F341" s="3">
        <f t="shared" si="348"/>
        <v>5.0526357723434442E-3</v>
      </c>
      <c r="G341" s="3">
        <f t="shared" si="348"/>
        <v>5.0526357720364883E-3</v>
      </c>
      <c r="H341" s="3">
        <f t="shared" si="348"/>
        <v>5.0526357689669255E-3</v>
      </c>
      <c r="I341" s="3">
        <f t="shared" si="348"/>
        <v>5.052635738271298E-3</v>
      </c>
      <c r="J341" s="3">
        <f t="shared" si="348"/>
        <v>5.0526354313150364E-3</v>
      </c>
      <c r="K341" s="3">
        <f t="shared" si="348"/>
        <v>5.0526323617534463E-3</v>
      </c>
      <c r="L341" s="3">
        <f t="shared" si="348"/>
        <v>5.0526016662401051E-3</v>
      </c>
      <c r="M341" s="3">
        <f t="shared" si="348"/>
        <v>5.0522947213629057E-3</v>
      </c>
      <c r="N341" s="3">
        <f t="shared" si="348"/>
        <v>5.0492262979813379E-3</v>
      </c>
      <c r="O341" s="3">
        <f t="shared" si="348"/>
        <v>5.0186443730941711E-3</v>
      </c>
      <c r="P341" s="3">
        <f t="shared" si="348"/>
        <v>4.722829735018262E-3</v>
      </c>
      <c r="Q341" s="3">
        <f t="shared" si="348"/>
        <v>2.572533010268079E-3</v>
      </c>
      <c r="R341" s="3">
        <f t="shared" si="348"/>
        <v>5.9149030393368358E-6</v>
      </c>
      <c r="S341" s="3">
        <f t="shared" si="348"/>
        <v>2.442386356590505E-32</v>
      </c>
      <c r="T341" s="3">
        <f t="shared" si="348"/>
        <v>3.5195060824778913E-296</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4.3761926995835631E-3</v>
      </c>
      <c r="C342" s="3">
        <f t="shared" si="349"/>
        <v>4.3761926995835613E-3</v>
      </c>
      <c r="D342" s="3">
        <f t="shared" si="349"/>
        <v>4.376192699583537E-3</v>
      </c>
      <c r="E342" s="3">
        <f t="shared" si="349"/>
        <v>4.3761926995832976E-3</v>
      </c>
      <c r="F342" s="3">
        <f t="shared" si="349"/>
        <v>4.3761926995808994E-3</v>
      </c>
      <c r="G342" s="3">
        <f t="shared" si="349"/>
        <v>4.376192699556916E-3</v>
      </c>
      <c r="H342" s="3">
        <f t="shared" si="349"/>
        <v>4.3761926993170878E-3</v>
      </c>
      <c r="I342" s="3">
        <f t="shared" si="349"/>
        <v>4.3761926969187979E-3</v>
      </c>
      <c r="J342" s="3">
        <f t="shared" si="349"/>
        <v>4.3761926729359068E-3</v>
      </c>
      <c r="K342" s="3">
        <f t="shared" si="349"/>
        <v>4.3761924331069957E-3</v>
      </c>
      <c r="L342" s="3">
        <f t="shared" si="349"/>
        <v>4.3761900348186153E-3</v>
      </c>
      <c r="M342" s="3">
        <f t="shared" si="349"/>
        <v>4.3761660520070965E-3</v>
      </c>
      <c r="N342" s="3">
        <f t="shared" si="349"/>
        <v>4.3759262311205954E-3</v>
      </c>
      <c r="O342" s="3">
        <f t="shared" si="349"/>
        <v>4.3735287449779741E-3</v>
      </c>
      <c r="P342" s="3">
        <f t="shared" si="349"/>
        <v>4.349626009457405E-3</v>
      </c>
      <c r="Q342" s="3">
        <f t="shared" si="349"/>
        <v>4.1176671132248707E-3</v>
      </c>
      <c r="R342" s="3">
        <f t="shared" si="349"/>
        <v>2.3803696387500965E-3</v>
      </c>
      <c r="S342" s="3">
        <f t="shared" si="349"/>
        <v>9.921471449286967E-6</v>
      </c>
      <c r="T342" s="3">
        <f t="shared" si="349"/>
        <v>1.5699757124585384E-29</v>
      </c>
      <c r="U342" s="3">
        <f t="shared" si="349"/>
        <v>1.5454729334930963E-267</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3.799405391061131E-3</v>
      </c>
      <c r="C343" s="3">
        <f t="shared" si="350"/>
        <v>3.799405391061131E-3</v>
      </c>
      <c r="D343" s="3">
        <f t="shared" si="350"/>
        <v>3.7994053910611288E-3</v>
      </c>
      <c r="E343" s="3">
        <f t="shared" si="350"/>
        <v>3.7994053910611102E-3</v>
      </c>
      <c r="F343" s="3">
        <f t="shared" si="350"/>
        <v>3.7994053910609224E-3</v>
      </c>
      <c r="G343" s="3">
        <f t="shared" si="350"/>
        <v>3.7994053910590437E-3</v>
      </c>
      <c r="H343" s="3">
        <f t="shared" si="350"/>
        <v>3.799405391040261E-3</v>
      </c>
      <c r="I343" s="3">
        <f t="shared" si="350"/>
        <v>3.7994053908524299E-3</v>
      </c>
      <c r="J343" s="3">
        <f t="shared" si="350"/>
        <v>3.7994053889741195E-3</v>
      </c>
      <c r="K343" s="3">
        <f t="shared" si="350"/>
        <v>3.7994053701910168E-3</v>
      </c>
      <c r="L343" s="3">
        <f t="shared" si="350"/>
        <v>3.7994051823599935E-3</v>
      </c>
      <c r="M343" s="3">
        <f t="shared" si="350"/>
        <v>3.7994033040502743E-3</v>
      </c>
      <c r="N343" s="3">
        <f t="shared" si="350"/>
        <v>3.7993845210041481E-3</v>
      </c>
      <c r="O343" s="3">
        <f t="shared" si="350"/>
        <v>3.7991966956499737E-3</v>
      </c>
      <c r="P343" s="3">
        <f t="shared" si="350"/>
        <v>3.7973189527231075E-3</v>
      </c>
      <c r="Q343" s="3">
        <f t="shared" si="350"/>
        <v>3.7785924916657544E-3</v>
      </c>
      <c r="R343" s="3">
        <f t="shared" si="350"/>
        <v>3.5963326928374244E-3</v>
      </c>
      <c r="S343" s="3">
        <f t="shared" si="350"/>
        <v>2.1936023299254019E-3</v>
      </c>
      <c r="T343" s="3">
        <f t="shared" si="350"/>
        <v>1.5636454149594132E-5</v>
      </c>
      <c r="U343" s="3">
        <f t="shared" si="350"/>
        <v>5.2959276766408614E-27</v>
      </c>
      <c r="V343" s="3">
        <f t="shared" si="350"/>
        <v>1.0519128104949989E-241</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4.2249411335647654E-3</v>
      </c>
      <c r="C344" s="3">
        <f t="shared" si="351"/>
        <v>4.2249411335647654E-3</v>
      </c>
      <c r="D344" s="3">
        <f t="shared" si="351"/>
        <v>4.2249411335647654E-3</v>
      </c>
      <c r="E344" s="3">
        <f t="shared" si="351"/>
        <v>4.2249411335647637E-3</v>
      </c>
      <c r="F344" s="3">
        <f t="shared" si="351"/>
        <v>4.2249411335647446E-3</v>
      </c>
      <c r="G344" s="3">
        <f t="shared" si="351"/>
        <v>4.2249411335645564E-3</v>
      </c>
      <c r="H344" s="3">
        <f t="shared" si="351"/>
        <v>4.2249411335626716E-3</v>
      </c>
      <c r="I344" s="3">
        <f t="shared" si="351"/>
        <v>4.2249411335438299E-3</v>
      </c>
      <c r="J344" s="3">
        <f t="shared" si="351"/>
        <v>4.2249411333554138E-3</v>
      </c>
      <c r="K344" s="3">
        <f t="shared" si="351"/>
        <v>4.2249411314712482E-3</v>
      </c>
      <c r="L344" s="3">
        <f t="shared" si="351"/>
        <v>4.2249411126295978E-3</v>
      </c>
      <c r="M344" s="3">
        <f t="shared" si="351"/>
        <v>4.2249409242130923E-3</v>
      </c>
      <c r="N344" s="3">
        <f t="shared" si="351"/>
        <v>4.224939040048504E-3</v>
      </c>
      <c r="O344" s="3">
        <f t="shared" si="351"/>
        <v>4.224920198448833E-3</v>
      </c>
      <c r="P344" s="3">
        <f t="shared" si="351"/>
        <v>4.2247317870735103E-3</v>
      </c>
      <c r="Q344" s="3">
        <f t="shared" si="351"/>
        <v>4.2228481353823438E-3</v>
      </c>
      <c r="R344" s="3">
        <f t="shared" si="351"/>
        <v>4.2040577485252901E-3</v>
      </c>
      <c r="S344" s="3">
        <f t="shared" si="351"/>
        <v>4.0206916674720653E-3</v>
      </c>
      <c r="T344" s="3">
        <f t="shared" si="351"/>
        <v>2.5740782109785949E-3</v>
      </c>
      <c r="U344" s="3">
        <f t="shared" si="351"/>
        <v>2.9773605084874642E-5</v>
      </c>
      <c r="V344" s="3">
        <f t="shared" si="351"/>
        <v>1.2762280208615224E-24</v>
      </c>
      <c r="W344" s="3">
        <f t="shared" si="351"/>
        <v>2.6723712888868128E-218</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2.7574935483823488E-3</v>
      </c>
      <c r="C345" s="3">
        <f t="shared" si="352"/>
        <v>2.7574935483823488E-3</v>
      </c>
      <c r="D345" s="3">
        <f t="shared" si="352"/>
        <v>2.7574935483823488E-3</v>
      </c>
      <c r="E345" s="3">
        <f t="shared" si="352"/>
        <v>2.7574935483823488E-3</v>
      </c>
      <c r="F345" s="3">
        <f t="shared" si="352"/>
        <v>2.7574935483823475E-3</v>
      </c>
      <c r="G345" s="3">
        <f t="shared" si="352"/>
        <v>2.7574935483823367E-3</v>
      </c>
      <c r="H345" s="3">
        <f t="shared" si="352"/>
        <v>2.7574935483822257E-3</v>
      </c>
      <c r="I345" s="3">
        <f t="shared" si="352"/>
        <v>2.7574935483811163E-3</v>
      </c>
      <c r="J345" s="3">
        <f t="shared" si="352"/>
        <v>2.7574935483700228E-3</v>
      </c>
      <c r="K345" s="3">
        <f t="shared" si="352"/>
        <v>2.7574935482590902E-3</v>
      </c>
      <c r="L345" s="3">
        <f t="shared" si="352"/>
        <v>2.757493547149764E-3</v>
      </c>
      <c r="M345" s="3">
        <f t="shared" si="352"/>
        <v>2.7574935360564989E-3</v>
      </c>
      <c r="N345" s="3">
        <f t="shared" si="352"/>
        <v>2.7574934251238512E-3</v>
      </c>
      <c r="O345" s="3">
        <f t="shared" si="352"/>
        <v>2.7574923157976197E-3</v>
      </c>
      <c r="P345" s="3">
        <f t="shared" si="352"/>
        <v>2.7574812225598508E-3</v>
      </c>
      <c r="Q345" s="3">
        <f t="shared" si="352"/>
        <v>2.7573702926366427E-3</v>
      </c>
      <c r="R345" s="3">
        <f t="shared" si="352"/>
        <v>2.7562612388161906E-3</v>
      </c>
      <c r="S345" s="3">
        <f t="shared" si="352"/>
        <v>2.7451952052845122E-3</v>
      </c>
      <c r="T345" s="3">
        <f t="shared" si="352"/>
        <v>2.6369492514078129E-3</v>
      </c>
      <c r="U345" s="3">
        <f t="shared" si="352"/>
        <v>1.7635475457130031E-3</v>
      </c>
      <c r="V345" s="3">
        <f t="shared" si="352"/>
        <v>3.156757227605609E-5</v>
      </c>
      <c r="W345" s="3">
        <f t="shared" si="352"/>
        <v>1.0660591198587938E-22</v>
      </c>
      <c r="X345" s="3">
        <f t="shared" si="352"/>
        <v>2.0567540105384528E-197</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1.745678055330739E-3</v>
      </c>
      <c r="C346" s="3">
        <f t="shared" si="353"/>
        <v>1.745678055330739E-3</v>
      </c>
      <c r="D346" s="3">
        <f t="shared" si="353"/>
        <v>1.745678055330739E-3</v>
      </c>
      <c r="E346" s="3">
        <f t="shared" si="353"/>
        <v>1.745678055330739E-3</v>
      </c>
      <c r="F346" s="3">
        <f t="shared" si="353"/>
        <v>1.745678055330739E-3</v>
      </c>
      <c r="G346" s="3">
        <f t="shared" si="353"/>
        <v>1.7456780553307381E-3</v>
      </c>
      <c r="H346" s="3">
        <f t="shared" si="353"/>
        <v>1.745678055330732E-3</v>
      </c>
      <c r="I346" s="3">
        <f t="shared" si="353"/>
        <v>1.7456780553306687E-3</v>
      </c>
      <c r="J346" s="3">
        <f t="shared" si="353"/>
        <v>1.7456780553300351E-3</v>
      </c>
      <c r="K346" s="3">
        <f t="shared" si="353"/>
        <v>1.7456780553237001E-3</v>
      </c>
      <c r="L346" s="3">
        <f t="shared" si="353"/>
        <v>1.7456780552603487E-3</v>
      </c>
      <c r="M346" s="3">
        <f t="shared" si="353"/>
        <v>1.7456780546268355E-3</v>
      </c>
      <c r="N346" s="3">
        <f t="shared" si="353"/>
        <v>1.745678048291704E-3</v>
      </c>
      <c r="O346" s="3">
        <f t="shared" si="353"/>
        <v>1.7456779849403913E-3</v>
      </c>
      <c r="P346" s="3">
        <f t="shared" si="353"/>
        <v>1.745677351427391E-3</v>
      </c>
      <c r="Q346" s="3">
        <f t="shared" si="353"/>
        <v>1.7456710163100335E-3</v>
      </c>
      <c r="R346" s="3">
        <f t="shared" si="353"/>
        <v>1.7456076664009107E-3</v>
      </c>
      <c r="S346" s="3">
        <f t="shared" si="353"/>
        <v>1.7449742937381881E-3</v>
      </c>
      <c r="T346" s="3">
        <f t="shared" si="353"/>
        <v>1.7386531930017512E-3</v>
      </c>
      <c r="U346" s="3">
        <f t="shared" si="353"/>
        <v>1.6766879846883765E-3</v>
      </c>
      <c r="V346" s="3">
        <f t="shared" si="353"/>
        <v>1.1663936565256138E-3</v>
      </c>
      <c r="W346" s="3">
        <f t="shared" si="353"/>
        <v>3.0958087122172111E-5</v>
      </c>
      <c r="X346" s="3">
        <f t="shared" si="353"/>
        <v>5.3711070533931538E-21</v>
      </c>
      <c r="Y346" s="3">
        <f t="shared" si="353"/>
        <v>1.3272743845839084E-178</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4.0897783870777585E-4</v>
      </c>
      <c r="C347" s="3">
        <f t="shared" si="354"/>
        <v>4.0897783870777585E-4</v>
      </c>
      <c r="D347" s="3">
        <f t="shared" si="354"/>
        <v>4.0897783870777585E-4</v>
      </c>
      <c r="E347" s="3">
        <f t="shared" si="354"/>
        <v>4.0897783870777585E-4</v>
      </c>
      <c r="F347" s="3">
        <f t="shared" si="354"/>
        <v>4.0897783870777585E-4</v>
      </c>
      <c r="G347" s="3">
        <f t="shared" si="354"/>
        <v>4.0897783870777585E-4</v>
      </c>
      <c r="H347" s="3">
        <f t="shared" si="354"/>
        <v>4.0897783870777569E-4</v>
      </c>
      <c r="I347" s="3">
        <f t="shared" si="354"/>
        <v>4.0897783870777433E-4</v>
      </c>
      <c r="J347" s="3">
        <f t="shared" si="354"/>
        <v>4.0897783870776094E-4</v>
      </c>
      <c r="K347" s="3">
        <f t="shared" si="354"/>
        <v>4.089778387076271E-4</v>
      </c>
      <c r="L347" s="3">
        <f t="shared" si="354"/>
        <v>4.0897783870628821E-4</v>
      </c>
      <c r="M347" s="3">
        <f t="shared" si="354"/>
        <v>4.0897783869289956E-4</v>
      </c>
      <c r="N347" s="3">
        <f t="shared" si="354"/>
        <v>4.0897783855901269E-4</v>
      </c>
      <c r="O347" s="3">
        <f t="shared" si="354"/>
        <v>4.0897783722014443E-4</v>
      </c>
      <c r="P347" s="3">
        <f t="shared" si="354"/>
        <v>4.0897782383146229E-4</v>
      </c>
      <c r="Q347" s="3">
        <f t="shared" si="354"/>
        <v>4.0897768994466437E-4</v>
      </c>
      <c r="R347" s="3">
        <f t="shared" si="354"/>
        <v>4.0897635107909637E-4</v>
      </c>
      <c r="S347" s="3">
        <f t="shared" si="354"/>
        <v>4.0896296266448005E-4</v>
      </c>
      <c r="T347" s="3">
        <f t="shared" si="354"/>
        <v>4.0882910262181923E-4</v>
      </c>
      <c r="U347" s="3">
        <f t="shared" si="354"/>
        <v>4.0749290962840734E-4</v>
      </c>
      <c r="V347" s="3">
        <f t="shared" si="354"/>
        <v>3.9436883232887886E-4</v>
      </c>
      <c r="W347" s="3">
        <f t="shared" si="354"/>
        <v>2.8426792926418442E-4</v>
      </c>
      <c r="X347" s="3">
        <f t="shared" si="354"/>
        <v>1.0764173259269596E-5</v>
      </c>
      <c r="Y347" s="3">
        <f t="shared" si="354"/>
        <v>6.5239228340752524E-20</v>
      </c>
      <c r="Z347" s="3">
        <f t="shared" si="354"/>
        <v>4.3630498527713541E-162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8.9346516984039216E-4</v>
      </c>
      <c r="C348" s="3">
        <f t="shared" si="355"/>
        <v>8.9346516984039216E-4</v>
      </c>
      <c r="D348" s="3">
        <f t="shared" si="355"/>
        <v>8.9346516984039216E-4</v>
      </c>
      <c r="E348" s="3">
        <f t="shared" si="355"/>
        <v>8.9346516984039216E-4</v>
      </c>
      <c r="F348" s="3">
        <f t="shared" si="355"/>
        <v>8.9346516984039216E-4</v>
      </c>
      <c r="G348" s="3">
        <f t="shared" si="355"/>
        <v>8.9346516984039216E-4</v>
      </c>
      <c r="H348" s="3">
        <f t="shared" si="355"/>
        <v>8.9346516984039205E-4</v>
      </c>
      <c r="I348" s="3">
        <f t="shared" si="355"/>
        <v>8.9346516984039129E-4</v>
      </c>
      <c r="J348" s="3">
        <f t="shared" si="355"/>
        <v>8.9346516984038316E-4</v>
      </c>
      <c r="K348" s="3">
        <f t="shared" si="355"/>
        <v>8.9346516984030227E-4</v>
      </c>
      <c r="L348" s="3">
        <f t="shared" si="355"/>
        <v>8.9346516983949335E-4</v>
      </c>
      <c r="M348" s="3">
        <f t="shared" si="355"/>
        <v>8.9346516983140369E-4</v>
      </c>
      <c r="N348" s="3">
        <f t="shared" si="355"/>
        <v>8.9346516975050735E-4</v>
      </c>
      <c r="O348" s="3">
        <f t="shared" si="355"/>
        <v>8.9346516894154464E-4</v>
      </c>
      <c r="P348" s="3">
        <f t="shared" si="355"/>
        <v>8.934651608519165E-4</v>
      </c>
      <c r="Q348" s="3">
        <f t="shared" si="355"/>
        <v>8.9346507995564039E-4</v>
      </c>
      <c r="R348" s="3">
        <f t="shared" si="355"/>
        <v>8.9346427099328083E-4</v>
      </c>
      <c r="S348" s="3">
        <f t="shared" si="355"/>
        <v>8.9345618140997118E-4</v>
      </c>
      <c r="T348" s="3">
        <f t="shared" si="355"/>
        <v>8.9337528960521347E-4</v>
      </c>
      <c r="U348" s="3">
        <f t="shared" si="355"/>
        <v>8.9256677425661262E-4</v>
      </c>
      <c r="V348" s="3">
        <f t="shared" si="355"/>
        <v>8.8452175608782352E-4</v>
      </c>
      <c r="W348" s="3">
        <f t="shared" si="355"/>
        <v>8.0795384494025419E-4</v>
      </c>
      <c r="X348" s="3">
        <f t="shared" si="355"/>
        <v>3.2671334765070815E-4</v>
      </c>
      <c r="Y348" s="3">
        <f t="shared" si="355"/>
        <v>3.8191800555131316E-8</v>
      </c>
      <c r="Z348" s="3">
        <f t="shared" si="355"/>
        <v>1.8197121477045037E-47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2.0267191834609735E-4</v>
      </c>
      <c r="C349" s="3">
        <f t="shared" si="356"/>
        <v>2.0267191834609735E-4</v>
      </c>
      <c r="D349" s="3">
        <f t="shared" si="356"/>
        <v>2.0267191834609735E-4</v>
      </c>
      <c r="E349" s="3">
        <f t="shared" si="356"/>
        <v>2.0267191834609735E-4</v>
      </c>
      <c r="F349" s="3">
        <f t="shared" si="356"/>
        <v>2.0267191834609735E-4</v>
      </c>
      <c r="G349" s="3">
        <f t="shared" si="356"/>
        <v>2.0267191834609735E-4</v>
      </c>
      <c r="H349" s="3">
        <f t="shared" si="356"/>
        <v>2.0267191834609735E-4</v>
      </c>
      <c r="I349" s="3">
        <f t="shared" si="356"/>
        <v>2.0267191834609733E-4</v>
      </c>
      <c r="J349" s="3">
        <f t="shared" si="356"/>
        <v>2.0267191834609716E-4</v>
      </c>
      <c r="K349" s="3">
        <f t="shared" si="356"/>
        <v>2.0267191834609529E-4</v>
      </c>
      <c r="L349" s="3">
        <f t="shared" si="356"/>
        <v>2.0267191834607697E-4</v>
      </c>
      <c r="M349" s="3">
        <f t="shared" si="356"/>
        <v>2.0267191834589347E-4</v>
      </c>
      <c r="N349" s="3">
        <f t="shared" si="356"/>
        <v>2.026719183440584E-4</v>
      </c>
      <c r="O349" s="3">
        <f t="shared" si="356"/>
        <v>2.0267191832570806E-4</v>
      </c>
      <c r="P349" s="3">
        <f t="shared" si="356"/>
        <v>2.0267191814220452E-4</v>
      </c>
      <c r="Q349" s="3">
        <f t="shared" si="356"/>
        <v>2.0267191630716887E-4</v>
      </c>
      <c r="R349" s="3">
        <f t="shared" si="356"/>
        <v>2.0267189795681337E-4</v>
      </c>
      <c r="S349" s="3">
        <f t="shared" si="356"/>
        <v>2.0267171445334978E-4</v>
      </c>
      <c r="T349" s="3">
        <f t="shared" si="356"/>
        <v>2.0266987942785204E-4</v>
      </c>
      <c r="U349" s="3">
        <f t="shared" si="356"/>
        <v>2.0265153008665538E-4</v>
      </c>
      <c r="V349" s="3">
        <f t="shared" si="356"/>
        <v>2.0246812802214909E-4</v>
      </c>
      <c r="W349" s="3">
        <f t="shared" si="356"/>
        <v>2.0064321159514505E-4</v>
      </c>
      <c r="X349" s="3">
        <f t="shared" si="356"/>
        <v>1.8327469409736328E-4</v>
      </c>
      <c r="Y349" s="3">
        <f t="shared" si="356"/>
        <v>7.4111026543399717E-5</v>
      </c>
      <c r="Z349" s="3">
        <f t="shared" si="356"/>
        <v>8.6633544819466757E-9</v>
      </c>
      <c r="AA349" s="3">
        <f t="shared" si="356"/>
        <v>4.1277999888775918E-48</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4.681554200352879E-4</v>
      </c>
      <c r="C350" s="3">
        <f t="shared" si="357"/>
        <v>4.681554200352879E-4</v>
      </c>
      <c r="D350" s="3">
        <f t="shared" si="357"/>
        <v>4.681554200352879E-4</v>
      </c>
      <c r="E350" s="3">
        <f t="shared" si="357"/>
        <v>4.681554200352879E-4</v>
      </c>
      <c r="F350" s="3">
        <f t="shared" si="357"/>
        <v>4.681554200352879E-4</v>
      </c>
      <c r="G350" s="3">
        <f t="shared" si="357"/>
        <v>4.681554200352879E-4</v>
      </c>
      <c r="H350" s="3">
        <f t="shared" si="357"/>
        <v>4.681554200352879E-4</v>
      </c>
      <c r="I350" s="3">
        <f t="shared" si="357"/>
        <v>4.681554200352879E-4</v>
      </c>
      <c r="J350" s="3">
        <f t="shared" si="357"/>
        <v>4.6815542003528785E-4</v>
      </c>
      <c r="K350" s="3">
        <f t="shared" si="357"/>
        <v>4.6815542003528741E-4</v>
      </c>
      <c r="L350" s="3">
        <f t="shared" si="357"/>
        <v>4.6815542003528319E-4</v>
      </c>
      <c r="M350" s="3">
        <f t="shared" si="357"/>
        <v>4.6815542003524079E-4</v>
      </c>
      <c r="N350" s="3">
        <f t="shared" si="357"/>
        <v>4.6815542003481693E-4</v>
      </c>
      <c r="O350" s="3">
        <f t="shared" si="357"/>
        <v>4.6815542003057813E-4</v>
      </c>
      <c r="P350" s="3">
        <f t="shared" si="357"/>
        <v>4.6815541998819032E-4</v>
      </c>
      <c r="Q350" s="3">
        <f t="shared" si="357"/>
        <v>4.6815541956431227E-4</v>
      </c>
      <c r="R350" s="3">
        <f t="shared" si="357"/>
        <v>4.6815541532553118E-4</v>
      </c>
      <c r="S350" s="3">
        <f t="shared" si="357"/>
        <v>4.6815537293772312E-4</v>
      </c>
      <c r="T350" s="3">
        <f t="shared" si="357"/>
        <v>4.6815494905985298E-4</v>
      </c>
      <c r="U350" s="3">
        <f t="shared" si="357"/>
        <v>4.6815071030226055E-4</v>
      </c>
      <c r="V350" s="3">
        <f t="shared" si="357"/>
        <v>4.6810832483709403E-4</v>
      </c>
      <c r="W350" s="3">
        <f t="shared" si="357"/>
        <v>4.6768468119052993E-4</v>
      </c>
      <c r="X350" s="3">
        <f t="shared" si="357"/>
        <v>4.6346927471791524E-4</v>
      </c>
      <c r="Y350" s="3">
        <f t="shared" si="357"/>
        <v>4.233494314218208E-4</v>
      </c>
      <c r="Z350" s="3">
        <f t="shared" si="357"/>
        <v>1.7119036047916187E-4</v>
      </c>
      <c r="AA350" s="3">
        <f t="shared" si="357"/>
        <v>2.001163451507064E-8</v>
      </c>
      <c r="AB350" s="3">
        <f t="shared" si="357"/>
        <v>9.534877615924322E-48</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8.6950344882608704E-5</v>
      </c>
      <c r="C352" s="3">
        <f t="shared" si="359"/>
        <v>8.6950344882608704E-5</v>
      </c>
      <c r="D352" s="3">
        <f t="shared" si="359"/>
        <v>8.6950344882608704E-5</v>
      </c>
      <c r="E352" s="3">
        <f t="shared" si="359"/>
        <v>8.6950344882608704E-5</v>
      </c>
      <c r="F352" s="3">
        <f t="shared" si="359"/>
        <v>8.6950344882608704E-5</v>
      </c>
      <c r="G352" s="3">
        <f t="shared" si="359"/>
        <v>8.6950344882608704E-5</v>
      </c>
      <c r="H352" s="3">
        <f t="shared" si="359"/>
        <v>8.6950344882608704E-5</v>
      </c>
      <c r="I352" s="3">
        <f t="shared" si="359"/>
        <v>8.6950344882608704E-5</v>
      </c>
      <c r="J352" s="3">
        <f t="shared" si="359"/>
        <v>8.6950344882608704E-5</v>
      </c>
      <c r="K352" s="3">
        <f t="shared" si="359"/>
        <v>8.6950344882608704E-5</v>
      </c>
      <c r="L352" s="3">
        <f t="shared" si="359"/>
        <v>8.6950344882608691E-5</v>
      </c>
      <c r="M352" s="3">
        <f t="shared" si="359"/>
        <v>8.6950344882608623E-5</v>
      </c>
      <c r="N352" s="3">
        <f t="shared" si="359"/>
        <v>8.6950344882607823E-5</v>
      </c>
      <c r="O352" s="3">
        <f t="shared" si="359"/>
        <v>8.6950344882599963E-5</v>
      </c>
      <c r="P352" s="3">
        <f t="shared" si="359"/>
        <v>8.6950344882521236E-5</v>
      </c>
      <c r="Q352" s="3">
        <f t="shared" si="359"/>
        <v>8.6950344881733956E-5</v>
      </c>
      <c r="R352" s="3">
        <f t="shared" si="359"/>
        <v>8.6950344873861293E-5</v>
      </c>
      <c r="S352" s="3">
        <f t="shared" si="359"/>
        <v>8.6950344795134554E-5</v>
      </c>
      <c r="T352" s="3">
        <f t="shared" si="359"/>
        <v>8.6950344007867208E-5</v>
      </c>
      <c r="U352" s="3">
        <f t="shared" si="359"/>
        <v>8.6950336135194222E-5</v>
      </c>
      <c r="V352" s="3">
        <f t="shared" si="359"/>
        <v>8.6950257408503434E-5</v>
      </c>
      <c r="W352" s="3">
        <f t="shared" si="359"/>
        <v>8.6949470145516048E-5</v>
      </c>
      <c r="X352" s="3">
        <f t="shared" si="359"/>
        <v>8.6941597907672544E-5</v>
      </c>
      <c r="Y352" s="3">
        <f t="shared" si="359"/>
        <v>8.6862914719142346E-5</v>
      </c>
      <c r="Z352" s="3">
        <f t="shared" si="359"/>
        <v>8.6079988727200184E-5</v>
      </c>
      <c r="AA352" s="3">
        <f t="shared" si="359"/>
        <v>7.8628544053188534E-5</v>
      </c>
      <c r="AB352" s="3">
        <f t="shared" si="359"/>
        <v>3.1795126676348742E-5</v>
      </c>
      <c r="AC352" s="3">
        <f t="shared" si="359"/>
        <v>3.7167539844331007E-9</v>
      </c>
      <c r="AD352" s="3">
        <f t="shared" si="359"/>
        <v>1.7709095348198554E-48</v>
      </c>
      <c r="AE352" s="3">
        <f t="shared" si="359"/>
        <v>0</v>
      </c>
      <c r="AF352" s="3">
        <f t="shared" si="359"/>
        <v>0</v>
      </c>
      <c r="AG352" s="3"/>
      <c r="AH352" s="3"/>
    </row>
    <row r="353" spans="1:34" x14ac:dyDescent="0.25">
      <c r="B353" s="3">
        <f t="shared" ref="B353:AF353" si="360">$C44*EXP(-B$363/$A44/EXP(-$G$126))</f>
        <v>1.5301974797879704E-4</v>
      </c>
      <c r="C353" s="3">
        <f t="shared" si="360"/>
        <v>1.5301974797879704E-4</v>
      </c>
      <c r="D353" s="3">
        <f t="shared" si="360"/>
        <v>1.5301974797879704E-4</v>
      </c>
      <c r="E353" s="3">
        <f t="shared" si="360"/>
        <v>1.5301974797879704E-4</v>
      </c>
      <c r="F353" s="3">
        <f t="shared" si="360"/>
        <v>1.5301974797879704E-4</v>
      </c>
      <c r="G353" s="3">
        <f t="shared" si="360"/>
        <v>1.5301974797879704E-4</v>
      </c>
      <c r="H353" s="3">
        <f t="shared" si="360"/>
        <v>1.5301974797879704E-4</v>
      </c>
      <c r="I353" s="3">
        <f t="shared" si="360"/>
        <v>1.5301974797879704E-4</v>
      </c>
      <c r="J353" s="3">
        <f t="shared" si="360"/>
        <v>1.5301974797879704E-4</v>
      </c>
      <c r="K353" s="3">
        <f t="shared" si="360"/>
        <v>1.5301974797879704E-4</v>
      </c>
      <c r="L353" s="3">
        <f t="shared" si="360"/>
        <v>1.5301974797879704E-4</v>
      </c>
      <c r="M353" s="3">
        <f t="shared" si="360"/>
        <v>1.5301974797879702E-4</v>
      </c>
      <c r="N353" s="3">
        <f t="shared" si="360"/>
        <v>1.5301974797879688E-4</v>
      </c>
      <c r="O353" s="3">
        <f t="shared" si="360"/>
        <v>1.530197479787955E-4</v>
      </c>
      <c r="P353" s="3">
        <f t="shared" si="360"/>
        <v>1.5301974797878165E-4</v>
      </c>
      <c r="Q353" s="3">
        <f t="shared" si="360"/>
        <v>1.5301974797864311E-4</v>
      </c>
      <c r="R353" s="3">
        <f t="shared" si="360"/>
        <v>1.5301974797725761E-4</v>
      </c>
      <c r="S353" s="3">
        <f t="shared" si="360"/>
        <v>1.5301974796340289E-4</v>
      </c>
      <c r="T353" s="3">
        <f t="shared" si="360"/>
        <v>1.5301974782485549E-4</v>
      </c>
      <c r="U353" s="3">
        <f t="shared" si="360"/>
        <v>1.5301974643938139E-4</v>
      </c>
      <c r="V353" s="3">
        <f t="shared" si="360"/>
        <v>1.530197325846412E-4</v>
      </c>
      <c r="W353" s="3">
        <f t="shared" si="360"/>
        <v>1.5301959403730823E-4</v>
      </c>
      <c r="X353" s="3">
        <f t="shared" si="360"/>
        <v>1.5301820857087812E-4</v>
      </c>
      <c r="Y353" s="3">
        <f t="shared" si="360"/>
        <v>1.5300435459649229E-4</v>
      </c>
      <c r="Z353" s="3">
        <f t="shared" si="360"/>
        <v>1.5286588382107082E-4</v>
      </c>
      <c r="AA353" s="3">
        <f t="shared" si="360"/>
        <v>1.5148804986153005E-4</v>
      </c>
      <c r="AB353" s="3">
        <f t="shared" si="360"/>
        <v>1.3837460922325984E-4</v>
      </c>
      <c r="AC353" s="3">
        <f t="shared" si="360"/>
        <v>5.5954720795385096E-5</v>
      </c>
      <c r="AD353" s="3">
        <f t="shared" si="360"/>
        <v>6.5409373449293609E-9</v>
      </c>
      <c r="AE353" s="3">
        <f t="shared" si="360"/>
        <v>3.1165388829364335E-48</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4.9447313975811648E-5</v>
      </c>
      <c r="C355" s="3">
        <f t="shared" si="362"/>
        <v>4.9447313975811648E-5</v>
      </c>
      <c r="D355" s="3">
        <f t="shared" si="362"/>
        <v>4.9447313975811648E-5</v>
      </c>
      <c r="E355" s="3">
        <f t="shared" si="362"/>
        <v>4.9447313975811648E-5</v>
      </c>
      <c r="F355" s="3">
        <f t="shared" si="362"/>
        <v>4.9447313975811648E-5</v>
      </c>
      <c r="G355" s="3">
        <f t="shared" si="362"/>
        <v>4.9447313975811648E-5</v>
      </c>
      <c r="H355" s="3">
        <f t="shared" si="362"/>
        <v>4.9447313975811648E-5</v>
      </c>
      <c r="I355" s="3">
        <f t="shared" si="362"/>
        <v>4.9447313975811648E-5</v>
      </c>
      <c r="J355" s="3">
        <f t="shared" si="362"/>
        <v>4.9447313975811648E-5</v>
      </c>
      <c r="K355" s="3">
        <f t="shared" si="362"/>
        <v>4.9447313975811648E-5</v>
      </c>
      <c r="L355" s="3">
        <f t="shared" si="362"/>
        <v>4.9447313975811648E-5</v>
      </c>
      <c r="M355" s="3">
        <f t="shared" si="362"/>
        <v>4.9447313975811648E-5</v>
      </c>
      <c r="N355" s="3">
        <f t="shared" si="362"/>
        <v>4.9447313975811648E-5</v>
      </c>
      <c r="O355" s="3">
        <f t="shared" si="362"/>
        <v>4.9447313975811641E-5</v>
      </c>
      <c r="P355" s="3">
        <f t="shared" si="362"/>
        <v>4.94473139758116E-5</v>
      </c>
      <c r="Q355" s="3">
        <f t="shared" si="362"/>
        <v>4.9447313975811146E-5</v>
      </c>
      <c r="R355" s="3">
        <f t="shared" si="362"/>
        <v>4.9447313975806674E-5</v>
      </c>
      <c r="S355" s="3">
        <f t="shared" si="362"/>
        <v>4.9447313975761903E-5</v>
      </c>
      <c r="T355" s="3">
        <f t="shared" si="362"/>
        <v>4.9447313975314195E-5</v>
      </c>
      <c r="U355" s="3">
        <f t="shared" si="362"/>
        <v>4.9447313970837132E-5</v>
      </c>
      <c r="V355" s="3">
        <f t="shared" si="362"/>
        <v>4.9447313926066453E-5</v>
      </c>
      <c r="W355" s="3">
        <f t="shared" si="362"/>
        <v>4.9447313478359715E-5</v>
      </c>
      <c r="X355" s="3">
        <f t="shared" si="362"/>
        <v>4.944730900129256E-5</v>
      </c>
      <c r="Y355" s="3">
        <f t="shared" si="362"/>
        <v>4.9447264230643255E-5</v>
      </c>
      <c r="Z355" s="3">
        <f t="shared" si="362"/>
        <v>4.9446816526379727E-5</v>
      </c>
      <c r="AA355" s="3">
        <f t="shared" si="362"/>
        <v>4.9442339706686086E-5</v>
      </c>
      <c r="AB355" s="3">
        <f t="shared" si="362"/>
        <v>4.9397593796441293E-5</v>
      </c>
      <c r="AC355" s="3">
        <f t="shared" si="362"/>
        <v>4.8952355915031451E-5</v>
      </c>
      <c r="AD355" s="3">
        <f t="shared" si="362"/>
        <v>4.4714834777344288E-5</v>
      </c>
      <c r="AE355" s="3">
        <f t="shared" si="362"/>
        <v>1.8081395925326336E-5</v>
      </c>
      <c r="AF355" s="3">
        <f t="shared" si="362"/>
        <v>2.1136604056860019E-9</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6.9977936619533359E-4</v>
      </c>
      <c r="C357" s="3">
        <f t="shared" si="364"/>
        <v>6.9977936619533359E-4</v>
      </c>
      <c r="D357" s="3">
        <f t="shared" si="364"/>
        <v>6.9977936619533359E-4</v>
      </c>
      <c r="E357" s="3">
        <f t="shared" si="364"/>
        <v>6.9977936619533359E-4</v>
      </c>
      <c r="F357" s="3">
        <f t="shared" si="364"/>
        <v>6.9977936619533359E-4</v>
      </c>
      <c r="G357" s="3">
        <f t="shared" si="364"/>
        <v>6.9977936619533359E-4</v>
      </c>
      <c r="H357" s="3">
        <f t="shared" si="364"/>
        <v>6.9977936619533359E-4</v>
      </c>
      <c r="I357" s="3">
        <f t="shared" si="364"/>
        <v>6.9977936619533359E-4</v>
      </c>
      <c r="J357" s="3">
        <f t="shared" si="364"/>
        <v>6.9977936619533359E-4</v>
      </c>
      <c r="K357" s="3">
        <f t="shared" si="364"/>
        <v>6.9977936619533359E-4</v>
      </c>
      <c r="L357" s="3">
        <f t="shared" si="364"/>
        <v>6.9977936619533359E-4</v>
      </c>
      <c r="M357" s="3">
        <f t="shared" si="364"/>
        <v>6.9977936619533359E-4</v>
      </c>
      <c r="N357" s="3">
        <f t="shared" si="364"/>
        <v>6.9977936619533359E-4</v>
      </c>
      <c r="O357" s="3">
        <f t="shared" si="364"/>
        <v>6.9977936619533359E-4</v>
      </c>
      <c r="P357" s="3">
        <f t="shared" si="364"/>
        <v>6.9977936619533359E-4</v>
      </c>
      <c r="Q357" s="3">
        <f t="shared" si="364"/>
        <v>6.9977936619533348E-4</v>
      </c>
      <c r="R357" s="3">
        <f t="shared" si="364"/>
        <v>6.9977936619533294E-4</v>
      </c>
      <c r="S357" s="3">
        <f t="shared" si="364"/>
        <v>6.9977936619532654E-4</v>
      </c>
      <c r="T357" s="3">
        <f t="shared" si="364"/>
        <v>6.9977936619526322E-4</v>
      </c>
      <c r="U357" s="3">
        <f t="shared" si="364"/>
        <v>6.9977936619462962E-4</v>
      </c>
      <c r="V357" s="3">
        <f t="shared" si="364"/>
        <v>6.9977936618829365E-4</v>
      </c>
      <c r="W357" s="3">
        <f t="shared" si="364"/>
        <v>6.9977936612493406E-4</v>
      </c>
      <c r="X357" s="3">
        <f t="shared" si="364"/>
        <v>6.9977936549133867E-4</v>
      </c>
      <c r="Y357" s="3">
        <f t="shared" si="364"/>
        <v>6.9977935915538402E-4</v>
      </c>
      <c r="Z357" s="3">
        <f t="shared" si="364"/>
        <v>6.9977929579584093E-4</v>
      </c>
      <c r="AA357" s="3">
        <f t="shared" si="364"/>
        <v>6.9977866220072575E-4</v>
      </c>
      <c r="AB357" s="3">
        <f t="shared" si="364"/>
        <v>6.9977232628112612E-4</v>
      </c>
      <c r="AC357" s="3">
        <f t="shared" si="364"/>
        <v>6.9970897024020291E-4</v>
      </c>
      <c r="AD357" s="3">
        <f t="shared" si="364"/>
        <v>6.9907572523267335E-4</v>
      </c>
      <c r="AE357" s="3">
        <f t="shared" si="364"/>
        <v>6.927747099214767E-4</v>
      </c>
      <c r="AF357" s="3">
        <f t="shared" si="364"/>
        <v>6.3280522689919134E-4</v>
      </c>
      <c r="AG357" s="3"/>
      <c r="AH357" s="3"/>
    </row>
    <row r="358" spans="1:34" x14ac:dyDescent="0.25">
      <c r="A358" s="79">
        <f>AVERAGE(B358:AF358)</f>
        <v>1.6302670145463248E-3</v>
      </c>
      <c r="B358" s="80">
        <f>IF($A$64&lt;=B324,IF($B$64&gt;=B324,ABS((B326-B325)/B325),0),0)</f>
        <v>1.053243510551964E-2</v>
      </c>
      <c r="C358" s="80">
        <f t="shared" ref="C358:AF358" si="365">IF($A$64&lt;=C324,IF($B$64&gt;=C324,ABS((C326-C325)/C325),0),0)</f>
        <v>1.4060037116484507E-2</v>
      </c>
      <c r="D358" s="80">
        <f t="shared" si="365"/>
        <v>4.0214765515920068E-3</v>
      </c>
      <c r="E358" s="80">
        <f t="shared" si="365"/>
        <v>5.5337473169851485E-4</v>
      </c>
      <c r="F358" s="80">
        <f t="shared" si="365"/>
        <v>2.3787667937856169E-4</v>
      </c>
      <c r="G358" s="80">
        <f t="shared" si="365"/>
        <v>1.444908519259458E-4</v>
      </c>
      <c r="H358" s="80">
        <f t="shared" si="365"/>
        <v>1.9657520170756346E-4</v>
      </c>
      <c r="I358" s="80">
        <f t="shared" si="365"/>
        <v>2.6414342863494475E-4</v>
      </c>
      <c r="J358" s="80">
        <f t="shared" si="365"/>
        <v>3.8004533026781941E-4</v>
      </c>
      <c r="K358" s="80">
        <f t="shared" si="365"/>
        <v>6.2030078336140011E-4</v>
      </c>
      <c r="L358" s="80">
        <f t="shared" si="365"/>
        <v>7.9926990804665633E-4</v>
      </c>
      <c r="M358" s="80">
        <f t="shared" si="365"/>
        <v>1.599512913395453E-3</v>
      </c>
      <c r="N358" s="80">
        <f t="shared" si="365"/>
        <v>1.0962740181198812E-3</v>
      </c>
      <c r="O358" s="80">
        <f t="shared" si="365"/>
        <v>2.3003023711526075E-3</v>
      </c>
      <c r="P358" s="80">
        <f t="shared" si="365"/>
        <v>2.8923062346434463E-5</v>
      </c>
      <c r="Q358" s="80">
        <f t="shared" si="365"/>
        <v>1.5929791460585169E-3</v>
      </c>
      <c r="R358" s="80">
        <f t="shared" si="365"/>
        <v>5.2788411976311777E-4</v>
      </c>
      <c r="S358" s="80">
        <f t="shared" si="365"/>
        <v>9.289251134451472E-4</v>
      </c>
      <c r="T358" s="80">
        <f t="shared" si="365"/>
        <v>1.8430278484338103E-4</v>
      </c>
      <c r="U358" s="80">
        <f t="shared" si="365"/>
        <v>2.7599078576252459E-4</v>
      </c>
      <c r="V358" s="80">
        <f t="shared" si="365"/>
        <v>2.5405106684168457E-4</v>
      </c>
      <c r="W358" s="80">
        <f t="shared" si="365"/>
        <v>2.777335445232641E-4</v>
      </c>
      <c r="X358" s="80">
        <f t="shared" si="365"/>
        <v>1.3271938559599719E-4</v>
      </c>
      <c r="Y358" s="80">
        <f t="shared" si="365"/>
        <v>2.6651149828390148E-4</v>
      </c>
      <c r="Z358" s="80">
        <f t="shared" si="365"/>
        <v>7.9570339512637642E-4</v>
      </c>
      <c r="AA358" s="80">
        <f t="shared" si="365"/>
        <v>9.4494921725076723E-4</v>
      </c>
      <c r="AB358" s="80">
        <f t="shared" si="365"/>
        <v>1.0646067836431652E-3</v>
      </c>
      <c r="AC358" s="80">
        <f t="shared" si="365"/>
        <v>1.1108355825151779E-3</v>
      </c>
      <c r="AD358" s="80">
        <f t="shared" si="365"/>
        <v>1.5966387999902022E-3</v>
      </c>
      <c r="AE358" s="80">
        <f t="shared" si="365"/>
        <v>2.3232730460446202E-3</v>
      </c>
      <c r="AF358" s="80">
        <f t="shared" si="365"/>
        <v>1.4261351276162884E-3</v>
      </c>
    </row>
    <row r="359" spans="1:34" x14ac:dyDescent="0.25">
      <c r="B359" s="21">
        <f>(B326-B325)^2</f>
        <v>4811.350543433251</v>
      </c>
      <c r="C359" s="21">
        <f t="shared" ref="C359:AF359" si="366">(C326-C325)^2</f>
        <v>7931.9779977348189</v>
      </c>
      <c r="D359" s="21">
        <f t="shared" si="366"/>
        <v>601.31885940878249</v>
      </c>
      <c r="E359" s="21">
        <f t="shared" si="366"/>
        <v>10.391577814286521</v>
      </c>
      <c r="F359" s="21">
        <f t="shared" si="366"/>
        <v>1.7410434095290095</v>
      </c>
      <c r="G359" s="21">
        <f t="shared" si="366"/>
        <v>0.57704754268022151</v>
      </c>
      <c r="H359" s="21">
        <f t="shared" si="366"/>
        <v>0.94429842250538032</v>
      </c>
      <c r="I359" s="21">
        <f t="shared" si="366"/>
        <v>1.4592597187900462</v>
      </c>
      <c r="J359" s="21">
        <f t="shared" si="366"/>
        <v>2.4034581141315208</v>
      </c>
      <c r="K359" s="21">
        <f t="shared" si="366"/>
        <v>4.6043518317268095</v>
      </c>
      <c r="L359" s="21">
        <f t="shared" si="366"/>
        <v>4.6671476934954059</v>
      </c>
      <c r="M359" s="21">
        <f t="shared" si="366"/>
        <v>8.5881265540466423</v>
      </c>
      <c r="N359" s="21">
        <f t="shared" si="366"/>
        <v>1.4678197246617433</v>
      </c>
      <c r="O359" s="21">
        <f t="shared" si="366"/>
        <v>2.1062826219786839</v>
      </c>
      <c r="P359" s="21">
        <f t="shared" si="366"/>
        <v>1.0500257062914309E-4</v>
      </c>
      <c r="Q359" s="21">
        <f t="shared" si="366"/>
        <v>0.15635292834732237</v>
      </c>
      <c r="R359" s="21">
        <f t="shared" si="366"/>
        <v>1.2830231500084143E-2</v>
      </c>
      <c r="S359" s="21">
        <f t="shared" si="366"/>
        <v>2.9765035978164742E-2</v>
      </c>
      <c r="T359" s="21">
        <f t="shared" si="366"/>
        <v>8.4900208650097019E-4</v>
      </c>
      <c r="U359" s="21">
        <f t="shared" si="366"/>
        <v>1.3365504930450349E-3</v>
      </c>
      <c r="V359" s="21">
        <f t="shared" si="366"/>
        <v>8.6314949682455276E-4</v>
      </c>
      <c r="W359" s="21">
        <f t="shared" si="366"/>
        <v>8.6185647070515122E-4</v>
      </c>
      <c r="X359" s="21">
        <f t="shared" si="366"/>
        <v>1.7533171001594248E-4</v>
      </c>
      <c r="Y359" s="21">
        <f t="shared" si="366"/>
        <v>6.5679983182070423E-4</v>
      </c>
      <c r="Z359" s="21">
        <f t="shared" si="366"/>
        <v>5.5781418071151256E-3</v>
      </c>
      <c r="AA359" s="21">
        <f t="shared" si="366"/>
        <v>7.6205043555229541E-3</v>
      </c>
      <c r="AB359" s="21">
        <f t="shared" si="366"/>
        <v>9.6193995995358574E-3</v>
      </c>
      <c r="AC359" s="21">
        <f t="shared" si="366"/>
        <v>1.0237770461892165E-2</v>
      </c>
      <c r="AD359" s="21">
        <f t="shared" si="366"/>
        <v>2.1057837837466356E-2</v>
      </c>
      <c r="AE359" s="21">
        <f t="shared" si="366"/>
        <v>4.4003043526376094E-2</v>
      </c>
      <c r="AF359" s="21">
        <f t="shared" si="366"/>
        <v>1.6494905597949052E-2</v>
      </c>
      <c r="AG359" s="3"/>
      <c r="AH359" s="3"/>
    </row>
    <row r="360" spans="1:34" x14ac:dyDescent="0.25">
      <c r="A360" s="71">
        <f>SUM(B360:AF360)</f>
        <v>13383.916221516356</v>
      </c>
      <c r="B360" s="60">
        <f>IF($A$64&lt;=B324,IF($B$64&gt;=B324,ABS(B359),0),0)</f>
        <v>4811.350543433251</v>
      </c>
      <c r="C360" s="60">
        <f t="shared" ref="C360:AF360" si="367">IF($A$64&lt;=C324,IF($B$64&gt;=C324,ABS(C359),0),0)</f>
        <v>7931.9779977348189</v>
      </c>
      <c r="D360" s="60">
        <f t="shared" si="367"/>
        <v>601.31885940878249</v>
      </c>
      <c r="E360" s="60">
        <f t="shared" si="367"/>
        <v>10.391577814286521</v>
      </c>
      <c r="F360" s="60">
        <f t="shared" si="367"/>
        <v>1.7410434095290095</v>
      </c>
      <c r="G360" s="60">
        <f t="shared" si="367"/>
        <v>0.57704754268022151</v>
      </c>
      <c r="H360" s="60">
        <f t="shared" si="367"/>
        <v>0.94429842250538032</v>
      </c>
      <c r="I360" s="60">
        <f t="shared" si="367"/>
        <v>1.4592597187900462</v>
      </c>
      <c r="J360" s="60">
        <f t="shared" si="367"/>
        <v>2.4034581141315208</v>
      </c>
      <c r="K360" s="60">
        <f t="shared" si="367"/>
        <v>4.6043518317268095</v>
      </c>
      <c r="L360" s="60">
        <f t="shared" si="367"/>
        <v>4.6671476934954059</v>
      </c>
      <c r="M360" s="60">
        <f t="shared" si="367"/>
        <v>8.5881265540466423</v>
      </c>
      <c r="N360" s="60">
        <f t="shared" si="367"/>
        <v>1.4678197246617433</v>
      </c>
      <c r="O360" s="60">
        <f t="shared" si="367"/>
        <v>2.1062826219786839</v>
      </c>
      <c r="P360" s="60">
        <f t="shared" si="367"/>
        <v>1.0500257062914309E-4</v>
      </c>
      <c r="Q360" s="60">
        <f t="shared" si="367"/>
        <v>0.15635292834732237</v>
      </c>
      <c r="R360" s="60">
        <f t="shared" si="367"/>
        <v>1.2830231500084143E-2</v>
      </c>
      <c r="S360" s="60">
        <f t="shared" si="367"/>
        <v>2.9765035978164742E-2</v>
      </c>
      <c r="T360" s="60">
        <f t="shared" si="367"/>
        <v>8.4900208650097019E-4</v>
      </c>
      <c r="U360" s="60">
        <f t="shared" si="367"/>
        <v>1.3365504930450349E-3</v>
      </c>
      <c r="V360" s="60">
        <f t="shared" si="367"/>
        <v>8.6314949682455276E-4</v>
      </c>
      <c r="W360" s="60">
        <f t="shared" si="367"/>
        <v>8.6185647070515122E-4</v>
      </c>
      <c r="X360" s="60">
        <f t="shared" si="367"/>
        <v>1.7533171001594248E-4</v>
      </c>
      <c r="Y360" s="60">
        <f t="shared" si="367"/>
        <v>6.5679983182070423E-4</v>
      </c>
      <c r="Z360" s="60">
        <f t="shared" si="367"/>
        <v>5.5781418071151256E-3</v>
      </c>
      <c r="AA360" s="60">
        <f t="shared" si="367"/>
        <v>7.6205043555229541E-3</v>
      </c>
      <c r="AB360" s="60">
        <f t="shared" si="367"/>
        <v>9.6193995995358574E-3</v>
      </c>
      <c r="AC360" s="60">
        <f t="shared" si="367"/>
        <v>1.0237770461892165E-2</v>
      </c>
      <c r="AD360" s="60">
        <f t="shared" si="367"/>
        <v>2.1057837837466356E-2</v>
      </c>
      <c r="AE360" s="60">
        <f t="shared" si="367"/>
        <v>4.4003043526376094E-2</v>
      </c>
      <c r="AF360" s="60">
        <f t="shared" si="367"/>
        <v>1.6494905597949052E-2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6129.5920229191734</v>
      </c>
      <c r="C365" s="27">
        <f t="shared" ref="C365:AF365" si="368">($C$17+SUM(C366:C396))*$B$51</f>
        <v>5870.5420300672558</v>
      </c>
      <c r="D365" s="27">
        <f t="shared" si="368"/>
        <v>5597.2338383962488</v>
      </c>
      <c r="E365" s="27">
        <f t="shared" si="368"/>
        <v>5309.6018046776844</v>
      </c>
      <c r="F365" s="27">
        <f t="shared" si="368"/>
        <v>5002.33501440289</v>
      </c>
      <c r="G365" s="27">
        <f t="shared" si="368"/>
        <v>4645.4761423654227</v>
      </c>
      <c r="H365" s="27">
        <f t="shared" si="368"/>
        <v>4177.5366396989739</v>
      </c>
      <c r="I365" s="27">
        <f t="shared" si="368"/>
        <v>3578.4312116301021</v>
      </c>
      <c r="J365" s="27">
        <f t="shared" si="368"/>
        <v>2845.9878390143526</v>
      </c>
      <c r="K365" s="27">
        <f t="shared" si="368"/>
        <v>1985.1999200119135</v>
      </c>
      <c r="L365" s="27">
        <f t="shared" si="368"/>
        <v>1200.3057325100108</v>
      </c>
      <c r="M365" s="27">
        <f t="shared" si="368"/>
        <v>690.30219097371878</v>
      </c>
      <c r="N365" s="27">
        <f t="shared" si="368"/>
        <v>379.83675683716655</v>
      </c>
      <c r="O365" s="27">
        <f t="shared" si="368"/>
        <v>253.88588743956086</v>
      </c>
      <c r="P365" s="27">
        <f t="shared" si="368"/>
        <v>219.17157362257211</v>
      </c>
      <c r="Q365" s="27">
        <f t="shared" si="368"/>
        <v>189.47377303907777</v>
      </c>
      <c r="R365" s="27">
        <f t="shared" si="368"/>
        <v>162.04397492448149</v>
      </c>
      <c r="S365" s="27">
        <f t="shared" si="368"/>
        <v>135.33893810972882</v>
      </c>
      <c r="T365" s="27">
        <f t="shared" si="368"/>
        <v>117.52302712547389</v>
      </c>
      <c r="U365" s="27">
        <f t="shared" si="368"/>
        <v>106.69434868499016</v>
      </c>
      <c r="V365" s="27">
        <f t="shared" si="368"/>
        <v>100.86245374000309</v>
      </c>
      <c r="W365" s="27">
        <f t="shared" si="368"/>
        <v>96.493567115489512</v>
      </c>
      <c r="X365" s="27">
        <f t="shared" si="368"/>
        <v>94.255967081211139</v>
      </c>
      <c r="Y365" s="27">
        <f t="shared" si="368"/>
        <v>92.493654735400284</v>
      </c>
      <c r="Z365" s="27">
        <f t="shared" si="368"/>
        <v>92.147211589106988</v>
      </c>
      <c r="AA365" s="27">
        <f t="shared" si="368"/>
        <v>91.341038620201687</v>
      </c>
      <c r="AB365" s="27">
        <f t="shared" si="368"/>
        <v>90.754719255651167</v>
      </c>
      <c r="AC365" s="27">
        <f t="shared" si="368"/>
        <v>90.565093872475089</v>
      </c>
      <c r="AD365" s="27">
        <f t="shared" si="368"/>
        <v>90.076534772246632</v>
      </c>
      <c r="AE365" s="27">
        <f t="shared" si="368"/>
        <v>87.858404495366273</v>
      </c>
      <c r="AF365" s="27">
        <f t="shared" si="368"/>
        <v>85.293896685888186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1.009195742985519E-2</v>
      </c>
      <c r="C367" s="3">
        <f t="shared" si="370"/>
        <v>1.2075122181635423E-9</v>
      </c>
      <c r="D367" s="3">
        <f t="shared" si="370"/>
        <v>7.2619419545407164E-79</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2.5868552197874876E-2</v>
      </c>
      <c r="C368" s="3">
        <f t="shared" si="371"/>
        <v>6.1424633114084814E-3</v>
      </c>
      <c r="D368" s="3">
        <f t="shared" si="371"/>
        <v>3.49983083404177E-9</v>
      </c>
      <c r="E368" s="3">
        <f t="shared" si="371"/>
        <v>1.2620944934681705E-71</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4.108094661904807E-2</v>
      </c>
      <c r="C369" s="3">
        <f t="shared" si="372"/>
        <v>3.608375306084604E-2</v>
      </c>
      <c r="D369" s="3">
        <f t="shared" si="372"/>
        <v>9.8633466955667382E-3</v>
      </c>
      <c r="E369" s="3">
        <f t="shared" si="372"/>
        <v>2.2969432541782722E-8</v>
      </c>
      <c r="F369" s="3">
        <f t="shared" si="372"/>
        <v>1.0774817904715336E-64</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4.0312570241457693E-2</v>
      </c>
      <c r="C370" s="3">
        <f t="shared" si="373"/>
        <v>3.9843654702908148E-2</v>
      </c>
      <c r="D370" s="3">
        <f t="shared" si="373"/>
        <v>3.5444263606881563E-2</v>
      </c>
      <c r="E370" s="3">
        <f t="shared" si="373"/>
        <v>1.1000536315798563E-2</v>
      </c>
      <c r="F370" s="3">
        <f t="shared" si="373"/>
        <v>9.122058890302845E-8</v>
      </c>
      <c r="G370" s="3">
        <f t="shared" si="373"/>
        <v>1.4024358245024982E-58</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4.4171518746293777E-2</v>
      </c>
      <c r="C371" s="3">
        <f t="shared" si="374"/>
        <v>4.4124922377585245E-2</v>
      </c>
      <c r="D371" s="3">
        <f t="shared" si="374"/>
        <v>4.3661653641183913E-2</v>
      </c>
      <c r="E371" s="3">
        <f t="shared" si="374"/>
        <v>3.9288227650391895E-2</v>
      </c>
      <c r="F371" s="3">
        <f t="shared" si="374"/>
        <v>1.3673667404596166E-2</v>
      </c>
      <c r="G371" s="3">
        <f t="shared" si="374"/>
        <v>3.5654204911899199E-7</v>
      </c>
      <c r="H371" s="3">
        <f t="shared" si="374"/>
        <v>5.1804584813725335E-53</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5.1092861053437744E-2</v>
      </c>
      <c r="C372" s="3">
        <f t="shared" si="375"/>
        <v>5.1087996700827774E-2</v>
      </c>
      <c r="D372" s="3">
        <f t="shared" si="375"/>
        <v>5.1039378638839589E-2</v>
      </c>
      <c r="E372" s="3">
        <f t="shared" si="375"/>
        <v>5.0555735482430447E-2</v>
      </c>
      <c r="F372" s="3">
        <f t="shared" si="375"/>
        <v>4.596433441856692E-2</v>
      </c>
      <c r="G372" s="3">
        <f t="shared" si="375"/>
        <v>1.7738888525410973E-2</v>
      </c>
      <c r="H372" s="3">
        <f t="shared" si="375"/>
        <v>1.3001117773391515E-6</v>
      </c>
      <c r="I372" s="3">
        <f t="shared" si="375"/>
        <v>5.8146499088946038E-48</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7.3486338897189904E-2</v>
      </c>
      <c r="C373" s="3">
        <f t="shared" si="376"/>
        <v>7.348570774101143E-2</v>
      </c>
      <c r="D373" s="3">
        <f t="shared" si="376"/>
        <v>7.3479396477365594E-2</v>
      </c>
      <c r="E373" s="3">
        <f t="shared" si="376"/>
        <v>7.341631364531942E-2</v>
      </c>
      <c r="F373" s="3">
        <f t="shared" si="376"/>
        <v>7.2788456316395564E-2</v>
      </c>
      <c r="G373" s="3">
        <f t="shared" si="376"/>
        <v>6.6797753803732152E-2</v>
      </c>
      <c r="H373" s="3">
        <f t="shared" si="376"/>
        <v>2.8297974839869872E-2</v>
      </c>
      <c r="I373" s="3">
        <f t="shared" si="376"/>
        <v>5.2685405799268425E-6</v>
      </c>
      <c r="J373" s="3">
        <f t="shared" si="376"/>
        <v>2.6365745948266692E-43</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9.082898319100273E-2</v>
      </c>
      <c r="C374" s="3">
        <f t="shared" si="377"/>
        <v>9.0828912818504831E-2</v>
      </c>
      <c r="D374" s="3">
        <f t="shared" si="377"/>
        <v>9.0828209096524601E-2</v>
      </c>
      <c r="E374" s="3">
        <f t="shared" si="377"/>
        <v>9.082117217659072E-2</v>
      </c>
      <c r="F374" s="3">
        <f t="shared" si="377"/>
        <v>9.0750832955497976E-2</v>
      </c>
      <c r="G374" s="3">
        <f t="shared" si="377"/>
        <v>9.0050429993135825E-2</v>
      </c>
      <c r="H374" s="3">
        <f t="shared" si="377"/>
        <v>8.3336930685946956E-2</v>
      </c>
      <c r="I374" s="3">
        <f t="shared" si="377"/>
        <v>3.8402067329062692E-2</v>
      </c>
      <c r="J374" s="3">
        <f t="shared" si="377"/>
        <v>1.6577752029832905E-5</v>
      </c>
      <c r="K374" s="3">
        <f t="shared" si="377"/>
        <v>3.7259410864671672E-39</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0.11303496566038299</v>
      </c>
      <c r="C375" s="3">
        <f t="shared" si="378"/>
        <v>0.11303495776018337</v>
      </c>
      <c r="D375" s="3">
        <f t="shared" si="378"/>
        <v>0.11303487875821754</v>
      </c>
      <c r="E375" s="3">
        <f t="shared" si="378"/>
        <v>0.11303408874159605</v>
      </c>
      <c r="F375" s="3">
        <f t="shared" si="378"/>
        <v>0.11302618887905955</v>
      </c>
      <c r="G375" s="3">
        <f t="shared" si="378"/>
        <v>0.1129472206136594</v>
      </c>
      <c r="H375" s="3">
        <f t="shared" si="378"/>
        <v>0.11216056611975357</v>
      </c>
      <c r="I375" s="3">
        <f t="shared" si="378"/>
        <v>0.1045891506422062</v>
      </c>
      <c r="J375" s="3">
        <f t="shared" si="378"/>
        <v>5.1993741516178575E-2</v>
      </c>
      <c r="K375" s="3">
        <f t="shared" si="378"/>
        <v>4.7928674345298364E-5</v>
      </c>
      <c r="L375" s="3">
        <f t="shared" si="378"/>
        <v>2.1234345516855015E-35</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0.1384526587481347</v>
      </c>
      <c r="C376" s="3">
        <f t="shared" si="379"/>
        <v>0.13845265787521727</v>
      </c>
      <c r="D376" s="3">
        <f t="shared" si="379"/>
        <v>0.13845264914604333</v>
      </c>
      <c r="E376" s="3">
        <f t="shared" si="379"/>
        <v>0.13845256185433408</v>
      </c>
      <c r="F376" s="3">
        <f t="shared" si="379"/>
        <v>0.13845168894026846</v>
      </c>
      <c r="G376" s="3">
        <f t="shared" si="379"/>
        <v>0.13844296010230125</v>
      </c>
      <c r="H376" s="3">
        <f t="shared" si="379"/>
        <v>0.13835570198445685</v>
      </c>
      <c r="I376" s="3">
        <f t="shared" si="379"/>
        <v>0.1374861399412696</v>
      </c>
      <c r="J376" s="3">
        <f t="shared" si="379"/>
        <v>0.12908550726076987</v>
      </c>
      <c r="K376" s="3">
        <f t="shared" si="379"/>
        <v>6.8716835907034243E-2</v>
      </c>
      <c r="L376" s="3">
        <f t="shared" si="379"/>
        <v>1.2557981446902528E-4</v>
      </c>
      <c r="M376" s="3">
        <f t="shared" si="379"/>
        <v>5.2177908614477586E-32</v>
      </c>
      <c r="N376" s="3">
        <f t="shared" si="379"/>
        <v>8.0011972095313591E-306</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8.6910854291880113E-2</v>
      </c>
      <c r="C377" s="3">
        <f t="shared" si="380"/>
        <v>8.6910854242449903E-2</v>
      </c>
      <c r="D377" s="3">
        <f t="shared" si="380"/>
        <v>8.6910853748147776E-2</v>
      </c>
      <c r="E377" s="3">
        <f t="shared" si="380"/>
        <v>8.6910848805126742E-2</v>
      </c>
      <c r="F377" s="3">
        <f t="shared" si="380"/>
        <v>8.6910799374931777E-2</v>
      </c>
      <c r="G377" s="3">
        <f t="shared" si="380"/>
        <v>8.6910305074528488E-2</v>
      </c>
      <c r="H377" s="3">
        <f t="shared" si="380"/>
        <v>8.6905362225114663E-2</v>
      </c>
      <c r="I377" s="3">
        <f t="shared" si="380"/>
        <v>8.6855949189644718E-2</v>
      </c>
      <c r="J377" s="3">
        <f t="shared" si="380"/>
        <v>8.6363361453654086E-2</v>
      </c>
      <c r="K377" s="3">
        <f t="shared" si="380"/>
        <v>8.1588548532617433E-2</v>
      </c>
      <c r="L377" s="3">
        <f t="shared" si="380"/>
        <v>4.6198289999336083E-2</v>
      </c>
      <c r="M377" s="3">
        <f t="shared" si="380"/>
        <v>1.5652828872597929E-4</v>
      </c>
      <c r="N377" s="3">
        <f t="shared" si="380"/>
        <v>3.1207731639628047E-29</v>
      </c>
      <c r="O377" s="3">
        <f t="shared" si="380"/>
        <v>3.0971044885244743E-276</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5.8628121311198704E-2</v>
      </c>
      <c r="C378" s="3">
        <f t="shared" si="381"/>
        <v>5.8628121308190749E-2</v>
      </c>
      <c r="D378" s="3">
        <f t="shared" si="381"/>
        <v>5.8628121278111227E-2</v>
      </c>
      <c r="E378" s="3">
        <f t="shared" si="381"/>
        <v>5.8628120977315935E-2</v>
      </c>
      <c r="F378" s="3">
        <f t="shared" si="381"/>
        <v>5.8628117969363187E-2</v>
      </c>
      <c r="G378" s="3">
        <f t="shared" si="381"/>
        <v>5.8628087889844131E-2</v>
      </c>
      <c r="H378" s="3">
        <f t="shared" si="381"/>
        <v>5.8627787095502384E-2</v>
      </c>
      <c r="I378" s="3">
        <f t="shared" si="381"/>
        <v>5.8624779236961841E-2</v>
      </c>
      <c r="J378" s="3">
        <f t="shared" si="381"/>
        <v>5.8594709137637133E-2</v>
      </c>
      <c r="K378" s="3">
        <f t="shared" si="381"/>
        <v>5.8294855143755014E-2</v>
      </c>
      <c r="L378" s="3">
        <f t="shared" si="381"/>
        <v>5.5379429102613176E-2</v>
      </c>
      <c r="M378" s="3">
        <f t="shared" si="381"/>
        <v>3.3153619081841966E-2</v>
      </c>
      <c r="N378" s="3">
        <f t="shared" si="381"/>
        <v>1.9604493805503587E-4</v>
      </c>
      <c r="O378" s="3">
        <f t="shared" si="381"/>
        <v>1.0247136732826129E-26</v>
      </c>
      <c r="P378" s="3">
        <f t="shared" si="381"/>
        <v>1.5598093248823418E-249</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2.5608295796300293E-2</v>
      </c>
      <c r="C379" s="3">
        <f t="shared" si="382"/>
        <v>2.5608295796181773E-2</v>
      </c>
      <c r="D379" s="3">
        <f t="shared" si="382"/>
        <v>2.5608295794996572E-2</v>
      </c>
      <c r="E379" s="3">
        <f t="shared" si="382"/>
        <v>2.5608295783144552E-2</v>
      </c>
      <c r="F379" s="3">
        <f t="shared" si="382"/>
        <v>2.5608295664624373E-2</v>
      </c>
      <c r="G379" s="3">
        <f t="shared" si="382"/>
        <v>2.5608294479422571E-2</v>
      </c>
      <c r="H379" s="3">
        <f t="shared" si="382"/>
        <v>2.5608282627407584E-2</v>
      </c>
      <c r="I379" s="3">
        <f t="shared" si="382"/>
        <v>2.5608164107559391E-2</v>
      </c>
      <c r="J379" s="3">
        <f t="shared" si="382"/>
        <v>2.5606978939246312E-2</v>
      </c>
      <c r="K379" s="3">
        <f t="shared" si="382"/>
        <v>2.5595130272481337E-2</v>
      </c>
      <c r="L379" s="3">
        <f t="shared" si="382"/>
        <v>2.5476944725520423E-2</v>
      </c>
      <c r="M379" s="3">
        <f t="shared" si="382"/>
        <v>2.4324691997433163E-2</v>
      </c>
      <c r="N379" s="3">
        <f t="shared" si="382"/>
        <v>1.5312545785082605E-2</v>
      </c>
      <c r="O379" s="3">
        <f t="shared" si="382"/>
        <v>1.4964007050394332E-4</v>
      </c>
      <c r="P379" s="3">
        <f t="shared" si="382"/>
        <v>1.1886471213883693E-24</v>
      </c>
      <c r="Q379" s="3">
        <f t="shared" si="382"/>
        <v>1.1887850393313647E-225</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5.0526357723773164E-3</v>
      </c>
      <c r="C380" s="3">
        <f t="shared" si="383"/>
        <v>5.052635772375207E-3</v>
      </c>
      <c r="D380" s="3">
        <f t="shared" si="383"/>
        <v>5.0526357723541119E-3</v>
      </c>
      <c r="E380" s="3">
        <f t="shared" si="383"/>
        <v>5.0526357721431634E-3</v>
      </c>
      <c r="F380" s="3">
        <f t="shared" si="383"/>
        <v>5.0526357700336798E-3</v>
      </c>
      <c r="G380" s="3">
        <f t="shared" si="383"/>
        <v>5.0526357489388404E-3</v>
      </c>
      <c r="H380" s="3">
        <f t="shared" si="383"/>
        <v>5.0526355379904532E-3</v>
      </c>
      <c r="I380" s="3">
        <f t="shared" si="383"/>
        <v>5.052633428507064E-3</v>
      </c>
      <c r="J380" s="3">
        <f t="shared" si="383"/>
        <v>5.0526123337216134E-3</v>
      </c>
      <c r="K380" s="3">
        <f t="shared" si="383"/>
        <v>5.052401390710946E-3</v>
      </c>
      <c r="L380" s="3">
        <f t="shared" si="383"/>
        <v>5.0502924449133419E-3</v>
      </c>
      <c r="M380" s="3">
        <f t="shared" si="383"/>
        <v>5.0292513431134051E-3</v>
      </c>
      <c r="N380" s="3">
        <f t="shared" si="383"/>
        <v>4.8236020710834696E-3</v>
      </c>
      <c r="O380" s="3">
        <f t="shared" si="383"/>
        <v>3.177260304098557E-3</v>
      </c>
      <c r="P380" s="3">
        <f t="shared" si="383"/>
        <v>4.8850165057366438E-5</v>
      </c>
      <c r="Q380" s="3">
        <f t="shared" si="383"/>
        <v>3.6057733284244005E-23</v>
      </c>
      <c r="R380" s="3">
        <f t="shared" si="383"/>
        <v>1.7311005203412215E-204</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4.3761926995835457E-3</v>
      </c>
      <c r="C381" s="3">
        <f t="shared" si="384"/>
        <v>4.3761926995833809E-3</v>
      </c>
      <c r="D381" s="3">
        <f t="shared" si="384"/>
        <v>4.3761926995817329E-3</v>
      </c>
      <c r="E381" s="3">
        <f t="shared" si="384"/>
        <v>4.3761926995652513E-3</v>
      </c>
      <c r="F381" s="3">
        <f t="shared" si="384"/>
        <v>4.3761926994004344E-3</v>
      </c>
      <c r="G381" s="3">
        <f t="shared" si="384"/>
        <v>4.3761926977522675E-3</v>
      </c>
      <c r="H381" s="3">
        <f t="shared" si="384"/>
        <v>4.3761926812705956E-3</v>
      </c>
      <c r="I381" s="3">
        <f t="shared" si="384"/>
        <v>4.3761925164538832E-3</v>
      </c>
      <c r="J381" s="3">
        <f t="shared" si="384"/>
        <v>4.3761908682871031E-3</v>
      </c>
      <c r="K381" s="3">
        <f t="shared" si="384"/>
        <v>4.3761743866534402E-3</v>
      </c>
      <c r="L381" s="3">
        <f t="shared" si="384"/>
        <v>4.3760095737308026E-3</v>
      </c>
      <c r="M381" s="3">
        <f t="shared" si="384"/>
        <v>4.3743617858556906E-3</v>
      </c>
      <c r="N381" s="3">
        <f t="shared" si="384"/>
        <v>4.3579179947122616E-3</v>
      </c>
      <c r="O381" s="3">
        <f t="shared" si="384"/>
        <v>4.1968418177442098E-3</v>
      </c>
      <c r="P381" s="3">
        <f t="shared" si="384"/>
        <v>2.8797717727875091E-3</v>
      </c>
      <c r="Q381" s="3">
        <f t="shared" si="384"/>
        <v>6.6636590669290352E-5</v>
      </c>
      <c r="R381" s="3">
        <f t="shared" si="384"/>
        <v>2.9326467648593066E-21</v>
      </c>
      <c r="S381" s="3">
        <f t="shared" si="384"/>
        <v>7.9933645679932758E-185</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3.7994053910611297E-3</v>
      </c>
      <c r="C382" s="3">
        <f t="shared" si="385"/>
        <v>3.7994053910611167E-3</v>
      </c>
      <c r="D382" s="3">
        <f t="shared" si="385"/>
        <v>3.7994053910609875E-3</v>
      </c>
      <c r="E382" s="3">
        <f t="shared" si="385"/>
        <v>3.7994053910596968E-3</v>
      </c>
      <c r="F382" s="3">
        <f t="shared" si="385"/>
        <v>3.7994053910467883E-3</v>
      </c>
      <c r="G382" s="3">
        <f t="shared" si="385"/>
        <v>3.7994053909177062E-3</v>
      </c>
      <c r="H382" s="3">
        <f t="shared" si="385"/>
        <v>3.799405389626882E-3</v>
      </c>
      <c r="I382" s="3">
        <f t="shared" si="385"/>
        <v>3.799405376718642E-3</v>
      </c>
      <c r="J382" s="3">
        <f t="shared" si="385"/>
        <v>3.7994052476362406E-3</v>
      </c>
      <c r="K382" s="3">
        <f t="shared" si="385"/>
        <v>3.7994039568124693E-3</v>
      </c>
      <c r="L382" s="3">
        <f t="shared" si="385"/>
        <v>3.7993910485988802E-3</v>
      </c>
      <c r="M382" s="3">
        <f t="shared" si="385"/>
        <v>3.7992619688749746E-3</v>
      </c>
      <c r="N382" s="3">
        <f t="shared" si="385"/>
        <v>3.7979714128043617E-3</v>
      </c>
      <c r="O382" s="3">
        <f t="shared" si="385"/>
        <v>3.7850899386543484E-3</v>
      </c>
      <c r="P382" s="3">
        <f t="shared" si="385"/>
        <v>3.6586538479064169E-3</v>
      </c>
      <c r="Q382" s="3">
        <f t="shared" si="385"/>
        <v>2.6047887564011867E-3</v>
      </c>
      <c r="R382" s="3">
        <f t="shared" si="385"/>
        <v>8.7153407997032369E-5</v>
      </c>
      <c r="S382" s="3">
        <f t="shared" si="385"/>
        <v>1.5325089877921545E-19</v>
      </c>
      <c r="T382" s="3">
        <f t="shared" si="385"/>
        <v>4.3310140311389945E-167</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4.2249411335647654E-3</v>
      </c>
      <c r="C383" s="3">
        <f t="shared" si="386"/>
        <v>4.2249411335647637E-3</v>
      </c>
      <c r="D383" s="3">
        <f t="shared" si="386"/>
        <v>4.2249411335647507E-3</v>
      </c>
      <c r="E383" s="3">
        <f t="shared" si="386"/>
        <v>4.2249411335646215E-3</v>
      </c>
      <c r="F383" s="3">
        <f t="shared" si="386"/>
        <v>4.2249411335633265E-3</v>
      </c>
      <c r="G383" s="3">
        <f t="shared" si="386"/>
        <v>4.2249411335503785E-3</v>
      </c>
      <c r="H383" s="3">
        <f t="shared" si="386"/>
        <v>4.2249411334208935E-3</v>
      </c>
      <c r="I383" s="3">
        <f t="shared" si="386"/>
        <v>4.2249411321260456E-3</v>
      </c>
      <c r="J383" s="3">
        <f t="shared" si="386"/>
        <v>4.2249411191775691E-3</v>
      </c>
      <c r="K383" s="3">
        <f t="shared" si="386"/>
        <v>4.2249409896928103E-3</v>
      </c>
      <c r="L383" s="3">
        <f t="shared" si="386"/>
        <v>4.2249396948454317E-3</v>
      </c>
      <c r="M383" s="3">
        <f t="shared" si="386"/>
        <v>4.2249267463934717E-3</v>
      </c>
      <c r="N383" s="3">
        <f t="shared" si="386"/>
        <v>4.2247972640564761E-3</v>
      </c>
      <c r="O383" s="3">
        <f t="shared" si="386"/>
        <v>4.2235026589216356E-3</v>
      </c>
      <c r="P383" s="3">
        <f t="shared" si="386"/>
        <v>4.2105784063580926E-3</v>
      </c>
      <c r="Q383" s="3">
        <f t="shared" si="386"/>
        <v>4.0834912414795949E-3</v>
      </c>
      <c r="R383" s="3">
        <f t="shared" si="386"/>
        <v>3.0055940604806629E-3</v>
      </c>
      <c r="S383" s="3">
        <f t="shared" si="386"/>
        <v>1.4025465292344573E-4</v>
      </c>
      <c r="T383" s="3">
        <f t="shared" si="386"/>
        <v>6.8673126119856654E-18</v>
      </c>
      <c r="U383" s="3">
        <f t="shared" si="386"/>
        <v>5.4385386140645228E-151</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2.7574935483823488E-3</v>
      </c>
      <c r="C384" s="3">
        <f t="shared" si="387"/>
        <v>2.7574935483823488E-3</v>
      </c>
      <c r="D384" s="3">
        <f t="shared" si="387"/>
        <v>2.757493548382348E-3</v>
      </c>
      <c r="E384" s="3">
        <f t="shared" si="387"/>
        <v>2.7574935483823402E-3</v>
      </c>
      <c r="F384" s="3">
        <f t="shared" si="387"/>
        <v>2.7574935483822638E-3</v>
      </c>
      <c r="G384" s="3">
        <f t="shared" si="387"/>
        <v>2.7574935483815019E-3</v>
      </c>
      <c r="H384" s="3">
        <f t="shared" si="387"/>
        <v>2.7574935483738782E-3</v>
      </c>
      <c r="I384" s="3">
        <f t="shared" si="387"/>
        <v>2.7574935482976423E-3</v>
      </c>
      <c r="J384" s="3">
        <f t="shared" si="387"/>
        <v>2.7574935475352842E-3</v>
      </c>
      <c r="K384" s="3">
        <f t="shared" si="387"/>
        <v>2.7574935399117019E-3</v>
      </c>
      <c r="L384" s="3">
        <f t="shared" si="387"/>
        <v>2.7574934636758791E-3</v>
      </c>
      <c r="M384" s="3">
        <f t="shared" si="387"/>
        <v>2.7574927013177715E-3</v>
      </c>
      <c r="N384" s="3">
        <f t="shared" si="387"/>
        <v>2.7574850777482844E-3</v>
      </c>
      <c r="O384" s="3">
        <f t="shared" si="387"/>
        <v>2.7574088432126215E-3</v>
      </c>
      <c r="P384" s="3">
        <f t="shared" si="387"/>
        <v>2.7566466137649574E-3</v>
      </c>
      <c r="Q384" s="3">
        <f t="shared" si="387"/>
        <v>2.7490358983366246E-3</v>
      </c>
      <c r="R384" s="3">
        <f t="shared" si="387"/>
        <v>2.67407489139951E-3</v>
      </c>
      <c r="S384" s="3">
        <f t="shared" si="387"/>
        <v>2.0281735583269037E-3</v>
      </c>
      <c r="T384" s="3">
        <f t="shared" si="387"/>
        <v>1.2776756536740162E-4</v>
      </c>
      <c r="U384" s="3">
        <f t="shared" si="387"/>
        <v>1.2576959085277513E-16</v>
      </c>
      <c r="V384" s="3">
        <f t="shared" si="387"/>
        <v>1.074300890848402E-136</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1.745678055330739E-3</v>
      </c>
      <c r="C385" s="3">
        <f t="shared" si="388"/>
        <v>1.745678055330739E-3</v>
      </c>
      <c r="D385" s="3">
        <f t="shared" si="388"/>
        <v>1.745678055330739E-3</v>
      </c>
      <c r="E385" s="3">
        <f t="shared" si="388"/>
        <v>1.7456780553307385E-3</v>
      </c>
      <c r="F385" s="3">
        <f t="shared" si="388"/>
        <v>1.7456780553307342E-3</v>
      </c>
      <c r="G385" s="3">
        <f t="shared" si="388"/>
        <v>1.7456780553306906E-3</v>
      </c>
      <c r="H385" s="3">
        <f t="shared" si="388"/>
        <v>1.7456780553302552E-3</v>
      </c>
      <c r="I385" s="3">
        <f t="shared" si="388"/>
        <v>1.7456780553259015E-3</v>
      </c>
      <c r="J385" s="3">
        <f t="shared" si="388"/>
        <v>1.7456780552823649E-3</v>
      </c>
      <c r="K385" s="3">
        <f t="shared" si="388"/>
        <v>1.7456780548469981E-3</v>
      </c>
      <c r="L385" s="3">
        <f t="shared" si="388"/>
        <v>1.7456780504933299E-3</v>
      </c>
      <c r="M385" s="3">
        <f t="shared" si="388"/>
        <v>1.7456780069566478E-3</v>
      </c>
      <c r="N385" s="3">
        <f t="shared" si="388"/>
        <v>1.7456775715898865E-3</v>
      </c>
      <c r="O385" s="3">
        <f t="shared" si="388"/>
        <v>1.7456732179282454E-3</v>
      </c>
      <c r="P385" s="3">
        <f t="shared" si="388"/>
        <v>1.7456296819090146E-3</v>
      </c>
      <c r="Q385" s="3">
        <f t="shared" si="388"/>
        <v>1.7451943814291286E-3</v>
      </c>
      <c r="R385" s="3">
        <f t="shared" si="388"/>
        <v>1.7408473423659717E-3</v>
      </c>
      <c r="S385" s="3">
        <f t="shared" si="388"/>
        <v>1.6979680568413014E-3</v>
      </c>
      <c r="T385" s="3">
        <f t="shared" si="388"/>
        <v>1.3231765192909524E-3</v>
      </c>
      <c r="U385" s="3">
        <f t="shared" si="388"/>
        <v>1.0926988391103164E-4</v>
      </c>
      <c r="V385" s="3">
        <f t="shared" si="388"/>
        <v>1.6118604691603531E-15</v>
      </c>
      <c r="W385" s="3">
        <f t="shared" si="388"/>
        <v>7.8631592454653458E-124</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4.0897783870777585E-4</v>
      </c>
      <c r="C386" s="3">
        <f t="shared" si="389"/>
        <v>4.0897783870777585E-4</v>
      </c>
      <c r="D386" s="3">
        <f t="shared" si="389"/>
        <v>4.0897783870777585E-4</v>
      </c>
      <c r="E386" s="3">
        <f t="shared" si="389"/>
        <v>4.0897783870777585E-4</v>
      </c>
      <c r="F386" s="3">
        <f t="shared" si="389"/>
        <v>4.0897783870777574E-4</v>
      </c>
      <c r="G386" s="3">
        <f t="shared" si="389"/>
        <v>4.0897783870777482E-4</v>
      </c>
      <c r="H386" s="3">
        <f t="shared" si="389"/>
        <v>4.0897783870776566E-4</v>
      </c>
      <c r="I386" s="3">
        <f t="shared" si="389"/>
        <v>4.0897783870767361E-4</v>
      </c>
      <c r="J386" s="3">
        <f t="shared" si="389"/>
        <v>4.089778387067535E-4</v>
      </c>
      <c r="K386" s="3">
        <f t="shared" si="389"/>
        <v>4.0897783869755247E-4</v>
      </c>
      <c r="L386" s="3">
        <f t="shared" si="389"/>
        <v>4.0897783860554193E-4</v>
      </c>
      <c r="M386" s="3">
        <f t="shared" si="389"/>
        <v>4.0897783768543663E-4</v>
      </c>
      <c r="N386" s="3">
        <f t="shared" si="389"/>
        <v>4.0897782848438335E-4</v>
      </c>
      <c r="O386" s="3">
        <f t="shared" si="389"/>
        <v>4.0897773647386246E-4</v>
      </c>
      <c r="P386" s="3">
        <f t="shared" si="389"/>
        <v>4.0897681636979156E-4</v>
      </c>
      <c r="Q386" s="3">
        <f t="shared" si="389"/>
        <v>4.0896761544293331E-4</v>
      </c>
      <c r="R386" s="3">
        <f t="shared" si="389"/>
        <v>4.0887561755842828E-4</v>
      </c>
      <c r="S386" s="3">
        <f t="shared" si="389"/>
        <v>4.0795677617407478E-4</v>
      </c>
      <c r="T386" s="3">
        <f t="shared" si="389"/>
        <v>3.9888116723269017E-4</v>
      </c>
      <c r="U386" s="3">
        <f t="shared" si="389"/>
        <v>3.1852046462462505E-4</v>
      </c>
      <c r="V386" s="3">
        <f t="shared" si="389"/>
        <v>3.3579592839620255E-5</v>
      </c>
      <c r="W386" s="3">
        <f t="shared" si="389"/>
        <v>5.6945089445825779E-15</v>
      </c>
      <c r="X386" s="3">
        <f t="shared" si="389"/>
        <v>1.1201206785921232E-112</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8.9346516984039216E-4</v>
      </c>
      <c r="C387" s="3">
        <f t="shared" si="390"/>
        <v>8.9346516984039216E-4</v>
      </c>
      <c r="D387" s="3">
        <f t="shared" si="390"/>
        <v>8.9346516984039216E-4</v>
      </c>
      <c r="E387" s="3">
        <f t="shared" si="390"/>
        <v>8.9346516984039216E-4</v>
      </c>
      <c r="F387" s="3">
        <f t="shared" si="390"/>
        <v>8.9346516984039205E-4</v>
      </c>
      <c r="G387" s="3">
        <f t="shared" si="390"/>
        <v>8.9346516984039161E-4</v>
      </c>
      <c r="H387" s="3">
        <f t="shared" si="390"/>
        <v>8.9346516984038598E-4</v>
      </c>
      <c r="I387" s="3">
        <f t="shared" si="390"/>
        <v>8.9346516984033036E-4</v>
      </c>
      <c r="J387" s="3">
        <f t="shared" si="390"/>
        <v>8.9346516983977449E-4</v>
      </c>
      <c r="K387" s="3">
        <f t="shared" si="390"/>
        <v>8.9346516983421502E-4</v>
      </c>
      <c r="L387" s="3">
        <f t="shared" si="390"/>
        <v>8.9346516977862104E-4</v>
      </c>
      <c r="M387" s="3">
        <f t="shared" si="390"/>
        <v>8.9346516922268054E-4</v>
      </c>
      <c r="N387" s="3">
        <f t="shared" si="390"/>
        <v>8.9346516366327626E-4</v>
      </c>
      <c r="O387" s="3">
        <f t="shared" si="390"/>
        <v>8.9346510806923485E-4</v>
      </c>
      <c r="P387" s="3">
        <f t="shared" si="390"/>
        <v>8.934645521290113E-4</v>
      </c>
      <c r="Q387" s="3">
        <f t="shared" si="390"/>
        <v>8.9345899274580198E-4</v>
      </c>
      <c r="R387" s="3">
        <f t="shared" si="390"/>
        <v>8.9340340081623347E-4</v>
      </c>
      <c r="S387" s="3">
        <f t="shared" si="390"/>
        <v>8.9284767172930098E-4</v>
      </c>
      <c r="T387" s="3">
        <f t="shared" si="390"/>
        <v>8.8730935801724419E-4</v>
      </c>
      <c r="U387" s="3">
        <f t="shared" si="390"/>
        <v>8.3378096412571991E-4</v>
      </c>
      <c r="V387" s="3">
        <f t="shared" si="390"/>
        <v>4.4752892838853753E-4</v>
      </c>
      <c r="W387" s="3">
        <f t="shared" si="390"/>
        <v>8.8820352408835707E-7</v>
      </c>
      <c r="X387" s="3">
        <f t="shared" si="390"/>
        <v>8.4222140930540434E-34</v>
      </c>
      <c r="Y387" s="3">
        <f t="shared" si="390"/>
        <v>4.9495318968342799E-304</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2.0267191834609735E-4</v>
      </c>
      <c r="C388" s="3">
        <f t="shared" si="391"/>
        <v>2.0267191834609735E-4</v>
      </c>
      <c r="D388" s="3">
        <f t="shared" si="391"/>
        <v>2.0267191834609735E-4</v>
      </c>
      <c r="E388" s="3">
        <f t="shared" si="391"/>
        <v>2.0267191834609735E-4</v>
      </c>
      <c r="F388" s="3">
        <f t="shared" si="391"/>
        <v>2.0267191834609735E-4</v>
      </c>
      <c r="G388" s="3">
        <f t="shared" si="391"/>
        <v>2.0267191834609733E-4</v>
      </c>
      <c r="H388" s="3">
        <f t="shared" si="391"/>
        <v>2.0267191834609722E-4</v>
      </c>
      <c r="I388" s="3">
        <f t="shared" si="391"/>
        <v>2.0267191834609597E-4</v>
      </c>
      <c r="J388" s="3">
        <f t="shared" si="391"/>
        <v>2.0267191834608334E-4</v>
      </c>
      <c r="K388" s="3">
        <f t="shared" si="391"/>
        <v>2.0267191834595725E-4</v>
      </c>
      <c r="L388" s="3">
        <f t="shared" si="391"/>
        <v>2.0267191834469613E-4</v>
      </c>
      <c r="M388" s="3">
        <f t="shared" si="391"/>
        <v>2.0267191833208531E-4</v>
      </c>
      <c r="N388" s="3">
        <f t="shared" si="391"/>
        <v>2.0267191820597685E-4</v>
      </c>
      <c r="O388" s="3">
        <f t="shared" si="391"/>
        <v>2.0267191694489227E-4</v>
      </c>
      <c r="P388" s="3">
        <f t="shared" si="391"/>
        <v>2.0267190433404702E-4</v>
      </c>
      <c r="Q388" s="3">
        <f t="shared" si="391"/>
        <v>2.0267177822563741E-4</v>
      </c>
      <c r="R388" s="3">
        <f t="shared" si="391"/>
        <v>2.0267051714585737E-4</v>
      </c>
      <c r="S388" s="3">
        <f t="shared" si="391"/>
        <v>2.0265790677962201E-4</v>
      </c>
      <c r="T388" s="3">
        <f t="shared" si="391"/>
        <v>2.0253184626385569E-4</v>
      </c>
      <c r="U388" s="3">
        <f t="shared" si="391"/>
        <v>2.012755458479978E-4</v>
      </c>
      <c r="V388" s="3">
        <f t="shared" si="391"/>
        <v>1.8913326807132883E-4</v>
      </c>
      <c r="W388" s="3">
        <f t="shared" si="391"/>
        <v>1.0151660019167953E-4</v>
      </c>
      <c r="X388" s="3">
        <f t="shared" si="391"/>
        <v>2.0147837675743861E-7</v>
      </c>
      <c r="Y388" s="3">
        <f t="shared" si="391"/>
        <v>1.9104788239990672E-34</v>
      </c>
      <c r="Z388" s="3">
        <f t="shared" si="391"/>
        <v>1.1227422828645911E-304</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4.681554200352879E-4</v>
      </c>
      <c r="C389" s="3">
        <f t="shared" si="392"/>
        <v>4.681554200352879E-4</v>
      </c>
      <c r="D389" s="3">
        <f t="shared" si="392"/>
        <v>4.681554200352879E-4</v>
      </c>
      <c r="E389" s="3">
        <f t="shared" si="392"/>
        <v>4.681554200352879E-4</v>
      </c>
      <c r="F389" s="3">
        <f t="shared" si="392"/>
        <v>4.681554200352879E-4</v>
      </c>
      <c r="G389" s="3">
        <f t="shared" si="392"/>
        <v>4.681554200352879E-4</v>
      </c>
      <c r="H389" s="3">
        <f t="shared" si="392"/>
        <v>4.6815542003528785E-4</v>
      </c>
      <c r="I389" s="3">
        <f t="shared" si="392"/>
        <v>4.6815542003528758E-4</v>
      </c>
      <c r="J389" s="3">
        <f t="shared" si="392"/>
        <v>4.681554200352847E-4</v>
      </c>
      <c r="K389" s="3">
        <f t="shared" si="392"/>
        <v>4.6815542003525554E-4</v>
      </c>
      <c r="L389" s="3">
        <f t="shared" si="392"/>
        <v>4.6815542003496427E-4</v>
      </c>
      <c r="M389" s="3">
        <f t="shared" si="392"/>
        <v>4.6815542003205123E-4</v>
      </c>
      <c r="N389" s="3">
        <f t="shared" si="392"/>
        <v>4.6815542000292121E-4</v>
      </c>
      <c r="O389" s="3">
        <f t="shared" si="392"/>
        <v>4.6815541971162108E-4</v>
      </c>
      <c r="P389" s="3">
        <f t="shared" si="392"/>
        <v>4.6815541679861975E-4</v>
      </c>
      <c r="Q389" s="3">
        <f t="shared" si="392"/>
        <v>4.6815538766860695E-4</v>
      </c>
      <c r="R389" s="3">
        <f t="shared" si="392"/>
        <v>4.6815509636857912E-4</v>
      </c>
      <c r="S389" s="3">
        <f t="shared" si="392"/>
        <v>4.6815218337826971E-4</v>
      </c>
      <c r="T389" s="3">
        <f t="shared" si="392"/>
        <v>4.6812305447205575E-4</v>
      </c>
      <c r="U389" s="3">
        <f t="shared" si="392"/>
        <v>4.6783186507497475E-4</v>
      </c>
      <c r="V389" s="3">
        <f t="shared" si="392"/>
        <v>4.6492991470278698E-4</v>
      </c>
      <c r="W389" s="3">
        <f t="shared" si="392"/>
        <v>4.3688225423206317E-4</v>
      </c>
      <c r="X389" s="3">
        <f t="shared" si="392"/>
        <v>2.3449497587589823E-4</v>
      </c>
      <c r="Y389" s="3">
        <f t="shared" si="392"/>
        <v>4.653984373791415E-7</v>
      </c>
      <c r="Z389" s="3">
        <f t="shared" si="392"/>
        <v>4.4130485546125918E-34</v>
      </c>
      <c r="AA389" s="3">
        <f t="shared" si="392"/>
        <v>2.5934420975296007E-304</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8.6950344882608704E-5</v>
      </c>
      <c r="C391" s="3">
        <f t="shared" si="394"/>
        <v>8.6950344882608704E-5</v>
      </c>
      <c r="D391" s="3">
        <f t="shared" si="394"/>
        <v>8.6950344882608704E-5</v>
      </c>
      <c r="E391" s="3">
        <f t="shared" si="394"/>
        <v>8.6950344882608704E-5</v>
      </c>
      <c r="F391" s="3">
        <f t="shared" si="394"/>
        <v>8.6950344882608704E-5</v>
      </c>
      <c r="G391" s="3">
        <f t="shared" si="394"/>
        <v>8.6950344882608704E-5</v>
      </c>
      <c r="H391" s="3">
        <f t="shared" si="394"/>
        <v>8.6950344882608704E-5</v>
      </c>
      <c r="I391" s="3">
        <f t="shared" si="394"/>
        <v>8.6950344882608704E-5</v>
      </c>
      <c r="J391" s="3">
        <f t="shared" si="394"/>
        <v>8.6950344882608691E-5</v>
      </c>
      <c r="K391" s="3">
        <f t="shared" si="394"/>
        <v>8.695034488260865E-5</v>
      </c>
      <c r="L391" s="3">
        <f t="shared" si="394"/>
        <v>8.6950344882608108E-5</v>
      </c>
      <c r="M391" s="3">
        <f t="shared" si="394"/>
        <v>8.6950344882602687E-5</v>
      </c>
      <c r="N391" s="3">
        <f t="shared" si="394"/>
        <v>8.6950344882548599E-5</v>
      </c>
      <c r="O391" s="3">
        <f t="shared" si="394"/>
        <v>8.6950344882007555E-5</v>
      </c>
      <c r="P391" s="3">
        <f t="shared" si="394"/>
        <v>8.695034487659725E-5</v>
      </c>
      <c r="Q391" s="3">
        <f t="shared" si="394"/>
        <v>8.6950344822494179E-5</v>
      </c>
      <c r="R391" s="3">
        <f t="shared" si="394"/>
        <v>8.6950344281463445E-5</v>
      </c>
      <c r="S391" s="3">
        <f t="shared" si="394"/>
        <v>8.6950338871156206E-5</v>
      </c>
      <c r="T391" s="3">
        <f t="shared" si="394"/>
        <v>8.6950284768102381E-5</v>
      </c>
      <c r="U391" s="3">
        <f t="shared" si="394"/>
        <v>8.6949743739415754E-5</v>
      </c>
      <c r="V391" s="3">
        <f t="shared" si="394"/>
        <v>8.6944333637699607E-5</v>
      </c>
      <c r="W391" s="3">
        <f t="shared" si="394"/>
        <v>8.6890251131295111E-5</v>
      </c>
      <c r="X391" s="3">
        <f t="shared" si="394"/>
        <v>8.6351272888396803E-5</v>
      </c>
      <c r="Y391" s="3">
        <f t="shared" si="394"/>
        <v>8.1141990571648404E-5</v>
      </c>
      <c r="Z391" s="3">
        <f t="shared" si="394"/>
        <v>4.3552671085408935E-5</v>
      </c>
      <c r="AA391" s="3">
        <f t="shared" si="394"/>
        <v>8.6438291443669061E-8</v>
      </c>
      <c r="AB391" s="3">
        <f t="shared" si="394"/>
        <v>8.1963398774351382E-35</v>
      </c>
      <c r="AC391" s="3">
        <f t="shared" si="394"/>
        <v>4.8167910732781322E-305</v>
      </c>
      <c r="AD391" s="3">
        <f t="shared" si="394"/>
        <v>0</v>
      </c>
      <c r="AE391" s="3">
        <f t="shared" si="394"/>
        <v>0</v>
      </c>
      <c r="AF391" s="3">
        <f t="shared" si="394"/>
        <v>0</v>
      </c>
      <c r="AG391" s="3"/>
      <c r="AH391" s="3"/>
    </row>
    <row r="392" spans="1:34" x14ac:dyDescent="0.25">
      <c r="B392" s="3">
        <f t="shared" ref="B392:AF392" si="395">$C44*EXP(-B$363/$A44/EXP(-$H$126))</f>
        <v>1.5301974797879704E-4</v>
      </c>
      <c r="C392" s="3">
        <f t="shared" si="395"/>
        <v>1.5301974797879704E-4</v>
      </c>
      <c r="D392" s="3">
        <f t="shared" si="395"/>
        <v>1.5301974797879704E-4</v>
      </c>
      <c r="E392" s="3">
        <f t="shared" si="395"/>
        <v>1.5301974797879704E-4</v>
      </c>
      <c r="F392" s="3">
        <f t="shared" si="395"/>
        <v>1.5301974797879704E-4</v>
      </c>
      <c r="G392" s="3">
        <f t="shared" si="395"/>
        <v>1.5301974797879704E-4</v>
      </c>
      <c r="H392" s="3">
        <f t="shared" si="395"/>
        <v>1.5301974797879704E-4</v>
      </c>
      <c r="I392" s="3">
        <f t="shared" si="395"/>
        <v>1.5301974797879704E-4</v>
      </c>
      <c r="J392" s="3">
        <f t="shared" si="395"/>
        <v>1.5301974797879704E-4</v>
      </c>
      <c r="K392" s="3">
        <f t="shared" si="395"/>
        <v>1.5301974797879702E-4</v>
      </c>
      <c r="L392" s="3">
        <f t="shared" si="395"/>
        <v>1.5301974797879694E-4</v>
      </c>
      <c r="M392" s="3">
        <f t="shared" si="395"/>
        <v>1.5301974797879599E-4</v>
      </c>
      <c r="N392" s="3">
        <f t="shared" si="395"/>
        <v>1.5301974797878647E-4</v>
      </c>
      <c r="O392" s="3">
        <f t="shared" si="395"/>
        <v>1.5301974797869125E-4</v>
      </c>
      <c r="P392" s="3">
        <f t="shared" si="395"/>
        <v>1.5301974797773911E-4</v>
      </c>
      <c r="Q392" s="3">
        <f t="shared" si="395"/>
        <v>1.5301974796821778E-4</v>
      </c>
      <c r="R392" s="3">
        <f t="shared" si="395"/>
        <v>1.5301974787300436E-4</v>
      </c>
      <c r="S392" s="3">
        <f t="shared" si="395"/>
        <v>1.5301974692087029E-4</v>
      </c>
      <c r="T392" s="3">
        <f t="shared" si="395"/>
        <v>1.5301973739952968E-4</v>
      </c>
      <c r="U392" s="3">
        <f t="shared" si="395"/>
        <v>1.530196421861562E-4</v>
      </c>
      <c r="V392" s="3">
        <f t="shared" si="395"/>
        <v>1.5301869005568001E-4</v>
      </c>
      <c r="W392" s="3">
        <f t="shared" si="395"/>
        <v>1.5300916907675505E-4</v>
      </c>
      <c r="X392" s="3">
        <f t="shared" si="395"/>
        <v>1.5291399186370032E-4</v>
      </c>
      <c r="Y392" s="3">
        <f t="shared" si="395"/>
        <v>1.5196546986524589E-4</v>
      </c>
      <c r="Z392" s="3">
        <f t="shared" si="395"/>
        <v>1.4279790338422228E-4</v>
      </c>
      <c r="AA392" s="3">
        <f t="shared" si="395"/>
        <v>7.664626014181221E-5</v>
      </c>
      <c r="AB392" s="3">
        <f t="shared" si="395"/>
        <v>1.5211860965342287E-7</v>
      </c>
      <c r="AC392" s="3">
        <f t="shared" si="395"/>
        <v>1.4424346034359976E-34</v>
      </c>
      <c r="AD392" s="3">
        <f t="shared" si="395"/>
        <v>8.4768399377213082E-305</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4.9447313975811648E-5</v>
      </c>
      <c r="C394" s="3">
        <f t="shared" si="397"/>
        <v>4.9447313975811648E-5</v>
      </c>
      <c r="D394" s="3">
        <f t="shared" si="397"/>
        <v>4.9447313975811648E-5</v>
      </c>
      <c r="E394" s="3">
        <f t="shared" si="397"/>
        <v>4.9447313975811648E-5</v>
      </c>
      <c r="F394" s="3">
        <f t="shared" si="397"/>
        <v>4.9447313975811648E-5</v>
      </c>
      <c r="G394" s="3">
        <f t="shared" si="397"/>
        <v>4.9447313975811648E-5</v>
      </c>
      <c r="H394" s="3">
        <f t="shared" si="397"/>
        <v>4.9447313975811648E-5</v>
      </c>
      <c r="I394" s="3">
        <f t="shared" si="397"/>
        <v>4.9447313975811648E-5</v>
      </c>
      <c r="J394" s="3">
        <f t="shared" si="397"/>
        <v>4.9447313975811648E-5</v>
      </c>
      <c r="K394" s="3">
        <f t="shared" si="397"/>
        <v>4.9447313975811648E-5</v>
      </c>
      <c r="L394" s="3">
        <f t="shared" si="397"/>
        <v>4.9447313975811648E-5</v>
      </c>
      <c r="M394" s="3">
        <f t="shared" si="397"/>
        <v>4.9447313975811641E-5</v>
      </c>
      <c r="N394" s="3">
        <f t="shared" si="397"/>
        <v>4.9447313975811614E-5</v>
      </c>
      <c r="O394" s="3">
        <f t="shared" si="397"/>
        <v>4.9447313975811309E-5</v>
      </c>
      <c r="P394" s="3">
        <f t="shared" si="397"/>
        <v>4.9447313975808226E-5</v>
      </c>
      <c r="Q394" s="3">
        <f t="shared" si="397"/>
        <v>4.9447313975777461E-5</v>
      </c>
      <c r="R394" s="3">
        <f t="shared" si="397"/>
        <v>4.9447313975469785E-5</v>
      </c>
      <c r="S394" s="3">
        <f t="shared" si="397"/>
        <v>4.944731397239303E-5</v>
      </c>
      <c r="T394" s="3">
        <f t="shared" si="397"/>
        <v>4.9447313941625445E-5</v>
      </c>
      <c r="U394" s="3">
        <f t="shared" si="397"/>
        <v>4.9447313633949652E-5</v>
      </c>
      <c r="V394" s="3">
        <f t="shared" si="397"/>
        <v>4.9447310557191748E-5</v>
      </c>
      <c r="W394" s="3">
        <f t="shared" si="397"/>
        <v>4.9447279789623283E-5</v>
      </c>
      <c r="X394" s="3">
        <f t="shared" si="397"/>
        <v>4.9446972114991586E-5</v>
      </c>
      <c r="Y394" s="3">
        <f t="shared" si="397"/>
        <v>4.9443895473966633E-5</v>
      </c>
      <c r="Z394" s="3">
        <f t="shared" si="397"/>
        <v>4.9413139590497835E-5</v>
      </c>
      <c r="AA394" s="3">
        <f t="shared" si="397"/>
        <v>4.9106631014382287E-5</v>
      </c>
      <c r="AB394" s="3">
        <f t="shared" si="397"/>
        <v>4.6144192870489169E-5</v>
      </c>
      <c r="AC394" s="3">
        <f t="shared" si="397"/>
        <v>2.476772926608842E-5</v>
      </c>
      <c r="AD394" s="3">
        <f t="shared" si="397"/>
        <v>4.9156117118549879E-8</v>
      </c>
      <c r="AE394" s="3">
        <f t="shared" si="397"/>
        <v>4.6611314988937321E-35</v>
      </c>
      <c r="AF394" s="3">
        <f t="shared" si="397"/>
        <v>2.739234454766486E-305</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6.9977936619533359E-4</v>
      </c>
      <c r="C396" s="3">
        <f t="shared" si="399"/>
        <v>6.9977936619533359E-4</v>
      </c>
      <c r="D396" s="3">
        <f t="shared" si="399"/>
        <v>6.9977936619533359E-4</v>
      </c>
      <c r="E396" s="3">
        <f t="shared" si="399"/>
        <v>6.9977936619533359E-4</v>
      </c>
      <c r="F396" s="3">
        <f t="shared" si="399"/>
        <v>6.9977936619533359E-4</v>
      </c>
      <c r="G396" s="3">
        <f t="shared" si="399"/>
        <v>6.9977936619533359E-4</v>
      </c>
      <c r="H396" s="3">
        <f t="shared" si="399"/>
        <v>6.9977936619533359E-4</v>
      </c>
      <c r="I396" s="3">
        <f t="shared" si="399"/>
        <v>6.9977936619533359E-4</v>
      </c>
      <c r="J396" s="3">
        <f t="shared" si="399"/>
        <v>6.9977936619533359E-4</v>
      </c>
      <c r="K396" s="3">
        <f t="shared" si="399"/>
        <v>6.9977936619533359E-4</v>
      </c>
      <c r="L396" s="3">
        <f t="shared" si="399"/>
        <v>6.9977936619533359E-4</v>
      </c>
      <c r="M396" s="3">
        <f t="shared" si="399"/>
        <v>6.9977936619533359E-4</v>
      </c>
      <c r="N396" s="3">
        <f t="shared" si="399"/>
        <v>6.9977936619533359E-4</v>
      </c>
      <c r="O396" s="3">
        <f t="shared" si="399"/>
        <v>6.9977936619533348E-4</v>
      </c>
      <c r="P396" s="3">
        <f t="shared" si="399"/>
        <v>6.9977936619533315E-4</v>
      </c>
      <c r="Q396" s="3">
        <f t="shared" si="399"/>
        <v>6.9977936619532882E-4</v>
      </c>
      <c r="R396" s="3">
        <f t="shared" si="399"/>
        <v>6.9977936619528523E-4</v>
      </c>
      <c r="S396" s="3">
        <f t="shared" si="399"/>
        <v>6.9977936619484982E-4</v>
      </c>
      <c r="T396" s="3">
        <f t="shared" si="399"/>
        <v>6.9977936619049555E-4</v>
      </c>
      <c r="U396" s="3">
        <f t="shared" si="399"/>
        <v>6.9977936614695323E-4</v>
      </c>
      <c r="V396" s="3">
        <f t="shared" si="399"/>
        <v>6.9977936571152984E-4</v>
      </c>
      <c r="W396" s="3">
        <f t="shared" si="399"/>
        <v>6.9977936135729585E-4</v>
      </c>
      <c r="X396" s="3">
        <f t="shared" si="399"/>
        <v>6.9977931781495717E-4</v>
      </c>
      <c r="Y396" s="3">
        <f t="shared" si="399"/>
        <v>6.9977888239171912E-4</v>
      </c>
      <c r="Z396" s="3">
        <f t="shared" si="399"/>
        <v>6.997745281742409E-4</v>
      </c>
      <c r="AA396" s="3">
        <f t="shared" si="399"/>
        <v>6.9973098748955364E-4</v>
      </c>
      <c r="AB396" s="3">
        <f t="shared" si="399"/>
        <v>6.9929572961789047E-4</v>
      </c>
      <c r="AC396" s="3">
        <f t="shared" si="399"/>
        <v>6.9495801418136558E-4</v>
      </c>
      <c r="AD396" s="3">
        <f t="shared" si="399"/>
        <v>6.530335309275231E-4</v>
      </c>
      <c r="AE396" s="3">
        <f t="shared" si="399"/>
        <v>3.5051339485091769E-4</v>
      </c>
      <c r="AF396" s="3">
        <f t="shared" si="399"/>
        <v>6.956583425071228E-7</v>
      </c>
      <c r="AG396" s="3"/>
      <c r="AH396" s="3"/>
    </row>
    <row r="397" spans="1:34" x14ac:dyDescent="0.25">
      <c r="A397" s="79">
        <f>AVERAGE(B397:AF397)</f>
        <v>4.1148558225904491E-2</v>
      </c>
      <c r="B397" s="80">
        <f>IF($A$64&lt;=B363,IF($B$64&gt;=B363,ABS((B365-B364)/B364),0),0)</f>
        <v>5.5687414865834839E-3</v>
      </c>
      <c r="C397" s="80">
        <f t="shared" ref="C397:AF397" si="400">IF($A$64&lt;=C363,IF($B$64&gt;=C363,ABS((C365-C364)/C364),0),0)</f>
        <v>4.8831081117627706E-3</v>
      </c>
      <c r="D397" s="80">
        <f t="shared" si="400"/>
        <v>7.1351874355889775E-3</v>
      </c>
      <c r="E397" s="80">
        <f t="shared" si="400"/>
        <v>6.467753496237438E-3</v>
      </c>
      <c r="F397" s="80">
        <f t="shared" si="400"/>
        <v>7.2351964567909273E-3</v>
      </c>
      <c r="G397" s="80">
        <f t="shared" si="400"/>
        <v>5.2933118831246214E-3</v>
      </c>
      <c r="H397" s="80">
        <f t="shared" si="400"/>
        <v>5.3084895801203671E-3</v>
      </c>
      <c r="I397" s="80">
        <f t="shared" si="400"/>
        <v>3.2687028950896171E-3</v>
      </c>
      <c r="J397" s="80">
        <f t="shared" si="400"/>
        <v>1.7387035413014029E-3</v>
      </c>
      <c r="K397" s="80">
        <f t="shared" si="400"/>
        <v>8.669841926879876E-3</v>
      </c>
      <c r="L397" s="80">
        <f t="shared" si="400"/>
        <v>3.707963758196095E-2</v>
      </c>
      <c r="M397" s="80">
        <f t="shared" si="400"/>
        <v>4.3404192965013882E-2</v>
      </c>
      <c r="N397" s="80">
        <f t="shared" si="400"/>
        <v>6.1497300940720735E-2</v>
      </c>
      <c r="O397" s="80">
        <f t="shared" si="400"/>
        <v>4.2199560108290263E-2</v>
      </c>
      <c r="P397" s="80">
        <f t="shared" si="400"/>
        <v>2.3302810876869997E-2</v>
      </c>
      <c r="Q397" s="80">
        <f t="shared" si="400"/>
        <v>6.42900082404156E-2</v>
      </c>
      <c r="R397" s="80">
        <f t="shared" si="400"/>
        <v>0.1464079165514027</v>
      </c>
      <c r="S397" s="80">
        <f t="shared" si="400"/>
        <v>0.20324596731383601</v>
      </c>
      <c r="T397" s="80">
        <f t="shared" si="400"/>
        <v>0.17408107180976459</v>
      </c>
      <c r="U397" s="80">
        <f t="shared" si="400"/>
        <v>0.1234170217246616</v>
      </c>
      <c r="V397" s="80">
        <f t="shared" si="400"/>
        <v>7.7000262348636175E-2</v>
      </c>
      <c r="W397" s="80">
        <f t="shared" si="400"/>
        <v>5.3278730269730706E-2</v>
      </c>
      <c r="X397" s="80">
        <f t="shared" si="400"/>
        <v>3.3284916233510521E-2</v>
      </c>
      <c r="Y397" s="80">
        <f t="shared" si="400"/>
        <v>2.3431243012872978E-2</v>
      </c>
      <c r="Z397" s="80">
        <f t="shared" si="400"/>
        <v>8.4176518435832483E-3</v>
      </c>
      <c r="AA397" s="80">
        <f t="shared" si="400"/>
        <v>7.2293981909751235E-3</v>
      </c>
      <c r="AB397" s="80">
        <f t="shared" si="400"/>
        <v>1.099075949350883E-2</v>
      </c>
      <c r="AC397" s="80">
        <f t="shared" si="400"/>
        <v>2.6921767328260391E-3</v>
      </c>
      <c r="AD397" s="80">
        <f t="shared" si="400"/>
        <v>7.9068978177644182E-3</v>
      </c>
      <c r="AE397" s="80">
        <f t="shared" si="400"/>
        <v>2.5501125636995615E-2</v>
      </c>
      <c r="AF397" s="80">
        <f t="shared" si="400"/>
        <v>5.1377618496219697E-2</v>
      </c>
    </row>
    <row r="398" spans="1:34" x14ac:dyDescent="0.25">
      <c r="B398" s="21">
        <f>(B365-B364)^2</f>
        <v>1178.2236047687932</v>
      </c>
      <c r="C398" s="21">
        <f t="shared" ref="C398:AF398" si="401">(C365-C364)^2</f>
        <v>813.80057239447922</v>
      </c>
      <c r="D398" s="21">
        <f t="shared" si="401"/>
        <v>1572.4691542142257</v>
      </c>
      <c r="E398" s="21">
        <f t="shared" si="401"/>
        <v>1164.2093781320561</v>
      </c>
      <c r="F398" s="21">
        <f t="shared" si="401"/>
        <v>1291.172944315568</v>
      </c>
      <c r="G398" s="21">
        <f t="shared" si="401"/>
        <v>598.314941568167</v>
      </c>
      <c r="H398" s="21">
        <f t="shared" si="401"/>
        <v>486.61307451864502</v>
      </c>
      <c r="I398" s="21">
        <f t="shared" si="401"/>
        <v>135.92574203334968</v>
      </c>
      <c r="J398" s="21">
        <f t="shared" si="401"/>
        <v>24.571331461027878</v>
      </c>
      <c r="K398" s="21">
        <f t="shared" si="401"/>
        <v>301.43537644769185</v>
      </c>
      <c r="L398" s="21">
        <f t="shared" si="401"/>
        <v>2136.3577505103744</v>
      </c>
      <c r="M398" s="21">
        <f t="shared" si="401"/>
        <v>981.03596482926901</v>
      </c>
      <c r="N398" s="21">
        <f t="shared" si="401"/>
        <v>619.49105122790797</v>
      </c>
      <c r="O398" s="21">
        <f t="shared" si="401"/>
        <v>125.1246584180945</v>
      </c>
      <c r="P398" s="21">
        <f t="shared" si="401"/>
        <v>27.344198429023066</v>
      </c>
      <c r="Q398" s="21">
        <f t="shared" si="401"/>
        <v>169.47382661391731</v>
      </c>
      <c r="R398" s="21">
        <f t="shared" si="401"/>
        <v>772.49226483775431</v>
      </c>
      <c r="S398" s="21">
        <f t="shared" si="401"/>
        <v>1191.9028640152451</v>
      </c>
      <c r="T398" s="21">
        <f t="shared" si="401"/>
        <v>613.58425120554443</v>
      </c>
      <c r="U398" s="21">
        <f t="shared" si="401"/>
        <v>225.65600269413207</v>
      </c>
      <c r="V398" s="21">
        <f t="shared" si="401"/>
        <v>70.801150209921488</v>
      </c>
      <c r="W398" s="21">
        <f t="shared" si="401"/>
        <v>29.489009580339108</v>
      </c>
      <c r="X398" s="21">
        <f t="shared" si="401"/>
        <v>10.532116493243363</v>
      </c>
      <c r="Y398" s="21">
        <f t="shared" si="401"/>
        <v>4.9250300544540258</v>
      </c>
      <c r="Z398" s="21">
        <f t="shared" si="401"/>
        <v>0.61191167606355445</v>
      </c>
      <c r="AA398" s="21">
        <f t="shared" si="401"/>
        <v>0.44242368309135144</v>
      </c>
      <c r="AB398" s="21">
        <f t="shared" si="401"/>
        <v>1.0171690698243256</v>
      </c>
      <c r="AC398" s="21">
        <f t="shared" si="401"/>
        <v>5.9768225869258104E-2</v>
      </c>
      <c r="AD398" s="21">
        <f t="shared" si="401"/>
        <v>0.51538376495520455</v>
      </c>
      <c r="AE398" s="21">
        <f t="shared" si="401"/>
        <v>5.2859450325377191</v>
      </c>
      <c r="AF398" s="21">
        <f t="shared" si="401"/>
        <v>21.340132745436151</v>
      </c>
      <c r="AG398" s="3"/>
      <c r="AH398" s="3"/>
    </row>
    <row r="399" spans="1:34" x14ac:dyDescent="0.25">
      <c r="A399" s="71">
        <f>SUM(B399:AF399)</f>
        <v>14574.218993171</v>
      </c>
      <c r="B399" s="60">
        <f>IF($A$64&lt;=B363,IF($B$64&gt;=B363,ABS(B398),0),0)</f>
        <v>1178.2236047687932</v>
      </c>
      <c r="C399" s="60">
        <f t="shared" ref="C399" si="402">IF($A$64&lt;=C363,IF($B$64&gt;=C363,ABS(C398),0),0)</f>
        <v>813.80057239447922</v>
      </c>
      <c r="D399" s="60">
        <f t="shared" ref="D399" si="403">IF($A$64&lt;=D363,IF($B$64&gt;=D363,ABS(D398),0),0)</f>
        <v>1572.4691542142257</v>
      </c>
      <c r="E399" s="60">
        <f t="shared" ref="E399" si="404">IF($A$64&lt;=E363,IF($B$64&gt;=E363,ABS(E398),0),0)</f>
        <v>1164.2093781320561</v>
      </c>
      <c r="F399" s="60">
        <f t="shared" ref="F399" si="405">IF($A$64&lt;=F363,IF($B$64&gt;=F363,ABS(F398),0),0)</f>
        <v>1291.172944315568</v>
      </c>
      <c r="G399" s="60">
        <f t="shared" ref="G399" si="406">IF($A$64&lt;=G363,IF($B$64&gt;=G363,ABS(G398),0),0)</f>
        <v>598.314941568167</v>
      </c>
      <c r="H399" s="60">
        <f t="shared" ref="H399" si="407">IF($A$64&lt;=H363,IF($B$64&gt;=H363,ABS(H398),0),0)</f>
        <v>486.61307451864502</v>
      </c>
      <c r="I399" s="60">
        <f t="shared" ref="I399" si="408">IF($A$64&lt;=I363,IF($B$64&gt;=I363,ABS(I398),0),0)</f>
        <v>135.92574203334968</v>
      </c>
      <c r="J399" s="60">
        <f t="shared" ref="J399" si="409">IF($A$64&lt;=J363,IF($B$64&gt;=J363,ABS(J398),0),0)</f>
        <v>24.571331461027878</v>
      </c>
      <c r="K399" s="60">
        <f t="shared" ref="K399" si="410">IF($A$64&lt;=K363,IF($B$64&gt;=K363,ABS(K398),0),0)</f>
        <v>301.43537644769185</v>
      </c>
      <c r="L399" s="60">
        <f t="shared" ref="L399" si="411">IF($A$64&lt;=L363,IF($B$64&gt;=L363,ABS(L398),0),0)</f>
        <v>2136.3577505103744</v>
      </c>
      <c r="M399" s="60">
        <f t="shared" ref="M399" si="412">IF($A$64&lt;=M363,IF($B$64&gt;=M363,ABS(M398),0),0)</f>
        <v>981.03596482926901</v>
      </c>
      <c r="N399" s="60">
        <f t="shared" ref="N399" si="413">IF($A$64&lt;=N363,IF($B$64&gt;=N363,ABS(N398),0),0)</f>
        <v>619.49105122790797</v>
      </c>
      <c r="O399" s="60">
        <f t="shared" ref="O399" si="414">IF($A$64&lt;=O363,IF($B$64&gt;=O363,ABS(O398),0),0)</f>
        <v>125.1246584180945</v>
      </c>
      <c r="P399" s="60">
        <f t="shared" ref="P399" si="415">IF($A$64&lt;=P363,IF($B$64&gt;=P363,ABS(P398),0),0)</f>
        <v>27.344198429023066</v>
      </c>
      <c r="Q399" s="60">
        <f t="shared" ref="Q399" si="416">IF($A$64&lt;=Q363,IF($B$64&gt;=Q363,ABS(Q398),0),0)</f>
        <v>169.47382661391731</v>
      </c>
      <c r="R399" s="60">
        <f t="shared" ref="R399" si="417">IF($A$64&lt;=R363,IF($B$64&gt;=R363,ABS(R398),0),0)</f>
        <v>772.49226483775431</v>
      </c>
      <c r="S399" s="60">
        <f t="shared" ref="S399" si="418">IF($A$64&lt;=S363,IF($B$64&gt;=S363,ABS(S398),0),0)</f>
        <v>1191.9028640152451</v>
      </c>
      <c r="T399" s="60">
        <f t="shared" ref="T399" si="419">IF($A$64&lt;=T363,IF($B$64&gt;=T363,ABS(T398),0),0)</f>
        <v>613.58425120554443</v>
      </c>
      <c r="U399" s="60">
        <f t="shared" ref="U399" si="420">IF($A$64&lt;=U363,IF($B$64&gt;=U363,ABS(U398),0),0)</f>
        <v>225.65600269413207</v>
      </c>
      <c r="V399" s="60">
        <f t="shared" ref="V399" si="421">IF($A$64&lt;=V363,IF($B$64&gt;=V363,ABS(V398),0),0)</f>
        <v>70.801150209921488</v>
      </c>
      <c r="W399" s="60">
        <f t="shared" ref="W399" si="422">IF($A$64&lt;=W363,IF($B$64&gt;=W363,ABS(W398),0),0)</f>
        <v>29.489009580339108</v>
      </c>
      <c r="X399" s="60">
        <f t="shared" ref="X399" si="423">IF($A$64&lt;=X363,IF($B$64&gt;=X363,ABS(X398),0),0)</f>
        <v>10.532116493243363</v>
      </c>
      <c r="Y399" s="60">
        <f t="shared" ref="Y399" si="424">IF($A$64&lt;=Y363,IF($B$64&gt;=Y363,ABS(Y398),0),0)</f>
        <v>4.9250300544540258</v>
      </c>
      <c r="Z399" s="60">
        <f t="shared" ref="Z399" si="425">IF($A$64&lt;=Z363,IF($B$64&gt;=Z363,ABS(Z398),0),0)</f>
        <v>0.61191167606355445</v>
      </c>
      <c r="AA399" s="60">
        <f t="shared" ref="AA399" si="426">IF($A$64&lt;=AA363,IF($B$64&gt;=AA363,ABS(AA398),0),0)</f>
        <v>0.44242368309135144</v>
      </c>
      <c r="AB399" s="60">
        <f t="shared" ref="AB399" si="427">IF($A$64&lt;=AB363,IF($B$64&gt;=AB363,ABS(AB398),0),0)</f>
        <v>1.0171690698243256</v>
      </c>
      <c r="AC399" s="60">
        <f t="shared" ref="AC399" si="428">IF($A$64&lt;=AC363,IF($B$64&gt;=AC363,ABS(AC398),0),0)</f>
        <v>5.9768225869258104E-2</v>
      </c>
      <c r="AD399" s="60">
        <f t="shared" ref="AD399" si="429">IF($A$64&lt;=AD363,IF($B$64&gt;=AD363,ABS(AD398),0),0)</f>
        <v>0.51538376495520455</v>
      </c>
      <c r="AE399" s="60">
        <f t="shared" ref="AE399" si="430">IF($A$64&lt;=AE363,IF($B$64&gt;=AE363,ABS(AE398),0),0)</f>
        <v>5.2859450325377191</v>
      </c>
      <c r="AF399" s="60">
        <f t="shared" ref="AF399" si="431">IF($A$64&lt;=AF363,IF($B$64&gt;=AF363,ABS(AF398),0),0)</f>
        <v>21.340132745436151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-40.510264201282538</v>
      </c>
      <c r="C403" s="107">
        <f t="shared" ref="C403:H403" si="432">IF(C125=$B$2,0,C126)</f>
        <v>-36.676736534348279</v>
      </c>
      <c r="D403" s="107">
        <f t="shared" si="432"/>
        <v>-32.49220599166479</v>
      </c>
      <c r="E403" s="107">
        <f t="shared" si="432"/>
        <v>-27.253333342864021</v>
      </c>
      <c r="F403" s="107">
        <f t="shared" si="432"/>
        <v>-18.432658890102765</v>
      </c>
      <c r="G403" s="107">
        <f t="shared" si="432"/>
        <v>0</v>
      </c>
      <c r="H403" s="107">
        <f t="shared" si="432"/>
        <v>4.2360845065660389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2.5504440279263633E-33</v>
      </c>
      <c r="C404" s="3">
        <f t="shared" ref="C404:H419" si="433">$A404/EXP(-C$403)</f>
        <v>1.1789508744529243E-31</v>
      </c>
      <c r="D404" s="3">
        <f t="shared" si="433"/>
        <v>7.7413059692521966E-30</v>
      </c>
      <c r="E404" s="3">
        <f t="shared" si="433"/>
        <v>1.4589073615824765E-27</v>
      </c>
      <c r="F404" s="3">
        <f t="shared" si="433"/>
        <v>9.880933062684868E-24</v>
      </c>
      <c r="G404" s="3">
        <f t="shared" si="433"/>
        <v>1.0000000000000001E-15</v>
      </c>
      <c r="H404" s="3">
        <f t="shared" si="433"/>
        <v>6.9136617205854054E-14</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2.5504440279263629E-32</v>
      </c>
      <c r="C405" s="3">
        <f t="shared" si="433"/>
        <v>1.1789508744529243E-30</v>
      </c>
      <c r="D405" s="3">
        <f t="shared" si="433"/>
        <v>7.7413059692521955E-29</v>
      </c>
      <c r="E405" s="3">
        <f t="shared" si="433"/>
        <v>1.4589073615824765E-26</v>
      </c>
      <c r="F405" s="3">
        <f t="shared" si="433"/>
        <v>9.8809330626848677E-23</v>
      </c>
      <c r="G405" s="3">
        <f t="shared" si="433"/>
        <v>1E-14</v>
      </c>
      <c r="H405" s="3">
        <f t="shared" si="433"/>
        <v>6.9136617205854052E-13</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2.550444027926363E-31</v>
      </c>
      <c r="C406" s="3">
        <f t="shared" si="433"/>
        <v>1.1789508744529243E-29</v>
      </c>
      <c r="D406" s="3">
        <f t="shared" si="433"/>
        <v>7.7413059692521959E-28</v>
      </c>
      <c r="E406" s="3">
        <f t="shared" si="433"/>
        <v>1.4589073615824764E-25</v>
      </c>
      <c r="F406" s="3">
        <f t="shared" si="433"/>
        <v>9.8809330626848679E-22</v>
      </c>
      <c r="G406" s="3">
        <f t="shared" si="433"/>
        <v>1E-13</v>
      </c>
      <c r="H406" s="3">
        <f t="shared" si="433"/>
        <v>6.913661720585405E-12</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2.5504440279263631E-30</v>
      </c>
      <c r="C407" s="3">
        <f t="shared" si="433"/>
        <v>1.1789508744529243E-28</v>
      </c>
      <c r="D407" s="3">
        <f t="shared" si="433"/>
        <v>7.7413059692521952E-27</v>
      </c>
      <c r="E407" s="3">
        <f t="shared" si="433"/>
        <v>1.4589073615824763E-24</v>
      </c>
      <c r="F407" s="3">
        <f t="shared" si="433"/>
        <v>9.8809330626848668E-21</v>
      </c>
      <c r="G407" s="3">
        <f t="shared" si="433"/>
        <v>9.9999999999999998E-13</v>
      </c>
      <c r="H407" s="3">
        <f t="shared" si="433"/>
        <v>6.9136617205854053E-11</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2.5504440279263628E-29</v>
      </c>
      <c r="C408" s="3">
        <f t="shared" si="433"/>
        <v>1.1789508744529242E-27</v>
      </c>
      <c r="D408" s="3">
        <f t="shared" si="433"/>
        <v>7.7413059692521961E-26</v>
      </c>
      <c r="E408" s="3">
        <f t="shared" si="433"/>
        <v>1.4589073615824762E-23</v>
      </c>
      <c r="F408" s="3">
        <f t="shared" si="433"/>
        <v>9.8809330626848662E-20</v>
      </c>
      <c r="G408" s="3">
        <f t="shared" si="433"/>
        <v>9.9999999999999994E-12</v>
      </c>
      <c r="H408" s="3">
        <f t="shared" si="433"/>
        <v>6.9136617205854045E-10</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2.5504440279263634E-28</v>
      </c>
      <c r="C409" s="3">
        <f t="shared" si="433"/>
        <v>1.1789508744529244E-26</v>
      </c>
      <c r="D409" s="3">
        <f t="shared" si="433"/>
        <v>7.7413059692521968E-25</v>
      </c>
      <c r="E409" s="3">
        <f t="shared" si="433"/>
        <v>1.4589073615824764E-22</v>
      </c>
      <c r="F409" s="3">
        <f t="shared" si="433"/>
        <v>9.8809330626848674E-19</v>
      </c>
      <c r="G409" s="3">
        <f t="shared" si="433"/>
        <v>1E-10</v>
      </c>
      <c r="H409" s="3">
        <f t="shared" si="433"/>
        <v>6.9136617205854049E-9</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2.5504440279263631E-27</v>
      </c>
      <c r="C410" s="3">
        <f t="shared" si="433"/>
        <v>1.1789508744529243E-25</v>
      </c>
      <c r="D410" s="3">
        <f t="shared" si="433"/>
        <v>7.7413059692521962E-24</v>
      </c>
      <c r="E410" s="3">
        <f t="shared" si="433"/>
        <v>1.4589073615824765E-21</v>
      </c>
      <c r="F410" s="3">
        <f t="shared" si="433"/>
        <v>9.8809330626848678E-18</v>
      </c>
      <c r="G410" s="3">
        <f t="shared" si="433"/>
        <v>1.0000000000000001E-9</v>
      </c>
      <c r="H410" s="3">
        <f t="shared" si="433"/>
        <v>6.9136617205854053E-8</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2.550444027926363E-26</v>
      </c>
      <c r="C411" s="3">
        <f t="shared" si="433"/>
        <v>1.1789508744529243E-24</v>
      </c>
      <c r="D411" s="3">
        <f t="shared" si="433"/>
        <v>7.7413059692521956E-23</v>
      </c>
      <c r="E411" s="3">
        <f t="shared" si="433"/>
        <v>1.4589073615824765E-20</v>
      </c>
      <c r="F411" s="3">
        <f t="shared" si="433"/>
        <v>9.8809330626848678E-17</v>
      </c>
      <c r="G411" s="3">
        <f t="shared" si="433"/>
        <v>1E-8</v>
      </c>
      <c r="H411" s="3">
        <f t="shared" si="433"/>
        <v>6.9136617205854053E-7</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2.5504440279263629E-25</v>
      </c>
      <c r="C412" s="3">
        <f t="shared" si="433"/>
        <v>1.1789508744529243E-23</v>
      </c>
      <c r="D412" s="3">
        <f t="shared" si="433"/>
        <v>7.7413059692521954E-22</v>
      </c>
      <c r="E412" s="3">
        <f t="shared" si="433"/>
        <v>1.4589073615824764E-19</v>
      </c>
      <c r="F412" s="3">
        <f t="shared" si="433"/>
        <v>9.8809330626848661E-16</v>
      </c>
      <c r="G412" s="3">
        <f t="shared" si="433"/>
        <v>9.9999999999999995E-8</v>
      </c>
      <c r="H412" s="3">
        <f t="shared" si="433"/>
        <v>6.9136617205854044E-6</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2.550444027926363E-24</v>
      </c>
      <c r="C413" s="3">
        <f t="shared" si="433"/>
        <v>1.1789508744529242E-22</v>
      </c>
      <c r="D413" s="3">
        <f t="shared" si="433"/>
        <v>7.7413059692521959E-21</v>
      </c>
      <c r="E413" s="3">
        <f t="shared" si="433"/>
        <v>1.4589073615824764E-18</v>
      </c>
      <c r="F413" s="3">
        <f t="shared" si="433"/>
        <v>9.8809330626848664E-15</v>
      </c>
      <c r="G413" s="3">
        <f t="shared" si="433"/>
        <v>9.9999999999999995E-7</v>
      </c>
      <c r="H413" s="3">
        <f t="shared" si="433"/>
        <v>6.9136617205854049E-5</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2.5504440279263634E-23</v>
      </c>
      <c r="C414" s="3">
        <f t="shared" si="433"/>
        <v>1.1789508744529245E-21</v>
      </c>
      <c r="D414" s="3">
        <f t="shared" si="433"/>
        <v>7.7413059692521962E-20</v>
      </c>
      <c r="E414" s="3">
        <f t="shared" si="433"/>
        <v>1.4589073615824766E-17</v>
      </c>
      <c r="F414" s="3">
        <f t="shared" si="433"/>
        <v>9.8809330626848683E-14</v>
      </c>
      <c r="G414" s="3">
        <f t="shared" si="433"/>
        <v>1.0000000000000001E-5</v>
      </c>
      <c r="H414" s="3">
        <f t="shared" si="433"/>
        <v>6.913661720585406E-4</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2.550444027926363E-22</v>
      </c>
      <c r="C415" s="3">
        <f t="shared" si="433"/>
        <v>1.1789508744529243E-20</v>
      </c>
      <c r="D415" s="3">
        <f t="shared" si="433"/>
        <v>7.7413059692521967E-19</v>
      </c>
      <c r="E415" s="3">
        <f t="shared" si="433"/>
        <v>1.4589073615824764E-16</v>
      </c>
      <c r="F415" s="3">
        <f t="shared" si="433"/>
        <v>9.8809330626848673E-13</v>
      </c>
      <c r="G415" s="3">
        <f t="shared" si="433"/>
        <v>1E-4</v>
      </c>
      <c r="H415" s="3">
        <f t="shared" si="433"/>
        <v>6.9136617205854053E-3</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2.550444027926363E-21</v>
      </c>
      <c r="C416" s="3">
        <f t="shared" si="433"/>
        <v>1.1789508744529244E-19</v>
      </c>
      <c r="D416" s="3">
        <f t="shared" si="433"/>
        <v>7.7413059692521963E-18</v>
      </c>
      <c r="E416" s="3">
        <f t="shared" si="433"/>
        <v>1.4589073615824764E-15</v>
      </c>
      <c r="F416" s="3">
        <f t="shared" si="433"/>
        <v>9.8809330626848677E-12</v>
      </c>
      <c r="G416" s="3">
        <f t="shared" si="433"/>
        <v>1E-3</v>
      </c>
      <c r="H416" s="3">
        <f t="shared" si="433"/>
        <v>6.9136617205854053E-2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2.5504440279263631E-20</v>
      </c>
      <c r="C417" s="3">
        <f t="shared" si="433"/>
        <v>1.1789508744529243E-18</v>
      </c>
      <c r="D417" s="3">
        <f t="shared" si="433"/>
        <v>7.7413059692521963E-17</v>
      </c>
      <c r="E417" s="3">
        <f t="shared" si="433"/>
        <v>1.4589073615824765E-14</v>
      </c>
      <c r="F417" s="3">
        <f t="shared" si="433"/>
        <v>9.8809330626848681E-11</v>
      </c>
      <c r="G417" s="3">
        <f t="shared" si="433"/>
        <v>0.01</v>
      </c>
      <c r="H417" s="3">
        <f t="shared" si="433"/>
        <v>0.69136617205854056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2.5504440279263631E-19</v>
      </c>
      <c r="C418" s="3">
        <f t="shared" si="433"/>
        <v>1.1789508744529244E-17</v>
      </c>
      <c r="D418" s="3">
        <f t="shared" si="433"/>
        <v>7.7413059692521968E-16</v>
      </c>
      <c r="E418" s="3">
        <f t="shared" si="433"/>
        <v>1.4589073615824763E-13</v>
      </c>
      <c r="F418" s="3">
        <f t="shared" si="433"/>
        <v>9.8809330626848683E-10</v>
      </c>
      <c r="G418" s="3">
        <f t="shared" si="433"/>
        <v>0.1</v>
      </c>
      <c r="H418" s="3">
        <f t="shared" si="433"/>
        <v>6.913661720585405</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2.5504440279263632E-18</v>
      </c>
      <c r="C419" s="3">
        <f t="shared" si="433"/>
        <v>1.1789508744529242E-16</v>
      </c>
      <c r="D419" s="3">
        <f t="shared" si="433"/>
        <v>7.7413059692521964E-15</v>
      </c>
      <c r="E419" s="3">
        <f t="shared" si="433"/>
        <v>1.4589073615824763E-12</v>
      </c>
      <c r="F419" s="3">
        <f t="shared" si="433"/>
        <v>9.8809330626848679E-9</v>
      </c>
      <c r="G419" s="3">
        <f t="shared" si="433"/>
        <v>1</v>
      </c>
      <c r="H419" s="3">
        <f t="shared" si="433"/>
        <v>69.136617205854051</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2.5504440279263629E-17</v>
      </c>
      <c r="C420" s="3">
        <f t="shared" si="434"/>
        <v>1.1789508744529244E-15</v>
      </c>
      <c r="D420" s="3">
        <f t="shared" si="434"/>
        <v>7.7413059692521961E-14</v>
      </c>
      <c r="E420" s="3">
        <f t="shared" si="434"/>
        <v>1.4589073615824763E-11</v>
      </c>
      <c r="F420" s="3">
        <f t="shared" si="434"/>
        <v>9.8809330626848679E-8</v>
      </c>
      <c r="G420" s="3">
        <f t="shared" si="434"/>
        <v>10</v>
      </c>
      <c r="H420" s="3">
        <f t="shared" si="434"/>
        <v>691.36617205854054</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2.5504440279263633E-16</v>
      </c>
      <c r="C421" s="3">
        <f t="shared" si="434"/>
        <v>1.1789508744529243E-14</v>
      </c>
      <c r="D421" s="3">
        <f t="shared" si="434"/>
        <v>7.7413059692521961E-13</v>
      </c>
      <c r="E421" s="3">
        <f t="shared" si="434"/>
        <v>1.4589073615824765E-10</v>
      </c>
      <c r="F421" s="3">
        <f t="shared" si="434"/>
        <v>9.8809330626848676E-7</v>
      </c>
      <c r="G421" s="3">
        <f t="shared" si="434"/>
        <v>100</v>
      </c>
      <c r="H421" s="3">
        <f t="shared" si="434"/>
        <v>6913.6617205854054</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2.5504440279263629E-15</v>
      </c>
      <c r="C422" s="3">
        <f t="shared" si="434"/>
        <v>1.1789508744529243E-13</v>
      </c>
      <c r="D422" s="3">
        <f t="shared" si="434"/>
        <v>7.7413059692521957E-12</v>
      </c>
      <c r="E422" s="3">
        <f t="shared" si="434"/>
        <v>1.4589073615824764E-9</v>
      </c>
      <c r="F422" s="3">
        <f t="shared" si="434"/>
        <v>9.8809330626848672E-6</v>
      </c>
      <c r="G422" s="3">
        <f t="shared" si="434"/>
        <v>1000</v>
      </c>
      <c r="H422" s="3">
        <f t="shared" si="434"/>
        <v>69136.617205854054</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2.5504440279263631E-14</v>
      </c>
      <c r="C423" s="3">
        <f t="shared" si="434"/>
        <v>1.1789508744529243E-12</v>
      </c>
      <c r="D423" s="3">
        <f t="shared" si="434"/>
        <v>7.7413059692521964E-11</v>
      </c>
      <c r="E423" s="3">
        <f t="shared" si="434"/>
        <v>1.4589073615824764E-8</v>
      </c>
      <c r="F423" s="3">
        <f t="shared" si="434"/>
        <v>9.8809330626848676E-5</v>
      </c>
      <c r="G423" s="3">
        <f t="shared" si="434"/>
        <v>10000</v>
      </c>
      <c r="H423" s="3">
        <f t="shared" si="434"/>
        <v>691366.17205854051</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2.5504440279263632E-13</v>
      </c>
      <c r="C424" s="3">
        <f t="shared" si="434"/>
        <v>1.1789508744529244E-11</v>
      </c>
      <c r="D424" s="3">
        <f t="shared" si="434"/>
        <v>7.7413059692521961E-10</v>
      </c>
      <c r="E424" s="3">
        <f t="shared" si="434"/>
        <v>1.4589073615824763E-7</v>
      </c>
      <c r="F424" s="3">
        <f t="shared" si="434"/>
        <v>9.880933062684867E-4</v>
      </c>
      <c r="G424" s="3">
        <f t="shared" si="434"/>
        <v>100000</v>
      </c>
      <c r="H424" s="3">
        <f t="shared" si="434"/>
        <v>6913661.7205854049</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2.5504440279263631E-12</v>
      </c>
      <c r="C425" s="3">
        <f t="shared" si="434"/>
        <v>1.1789508744529243E-10</v>
      </c>
      <c r="D425" s="3">
        <f t="shared" si="434"/>
        <v>7.7413059692521957E-9</v>
      </c>
      <c r="E425" s="3">
        <f t="shared" si="434"/>
        <v>1.4589073615824764E-6</v>
      </c>
      <c r="F425" s="3">
        <f t="shared" si="434"/>
        <v>9.8809330626848674E-3</v>
      </c>
      <c r="G425" s="3">
        <f t="shared" si="434"/>
        <v>1000000</v>
      </c>
      <c r="H425" s="3">
        <f t="shared" si="434"/>
        <v>69136617.205854043</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2.5504440279263632E-11</v>
      </c>
      <c r="C426" s="3">
        <f t="shared" si="434"/>
        <v>1.1789508744529243E-9</v>
      </c>
      <c r="D426" s="3">
        <f t="shared" si="434"/>
        <v>7.7413059692521957E-8</v>
      </c>
      <c r="E426" s="3">
        <f t="shared" si="434"/>
        <v>1.4589073615824764E-5</v>
      </c>
      <c r="F426" s="3">
        <f t="shared" si="434"/>
        <v>9.8809330626848671E-2</v>
      </c>
      <c r="G426" s="3">
        <f t="shared" si="434"/>
        <v>10000000</v>
      </c>
      <c r="H426" s="3">
        <f t="shared" si="434"/>
        <v>691366172.05854046</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2.5504440279263628E-10</v>
      </c>
      <c r="C427" s="3">
        <f t="shared" si="434"/>
        <v>1.1789508744529244E-8</v>
      </c>
      <c r="D427" s="3">
        <f t="shared" si="434"/>
        <v>7.7413059692521965E-7</v>
      </c>
      <c r="E427" s="3">
        <f t="shared" si="434"/>
        <v>1.4589073615824764E-4</v>
      </c>
      <c r="F427" s="3">
        <f t="shared" si="434"/>
        <v>0.98809330626848668</v>
      </c>
      <c r="G427" s="3">
        <f t="shared" si="434"/>
        <v>100000000</v>
      </c>
      <c r="H427" s="3">
        <f t="shared" si="434"/>
        <v>6913661720.5854053</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2.5504440279263629E-9</v>
      </c>
      <c r="C428" s="3">
        <f t="shared" si="434"/>
        <v>1.1789508744529243E-7</v>
      </c>
      <c r="D428" s="3">
        <f t="shared" si="434"/>
        <v>7.7413059692521954E-6</v>
      </c>
      <c r="E428" s="3">
        <f t="shared" si="434"/>
        <v>1.4589073615824764E-3</v>
      </c>
      <c r="F428" s="3">
        <f t="shared" si="434"/>
        <v>9.8809330626848677</v>
      </c>
      <c r="G428" s="3">
        <f t="shared" si="434"/>
        <v>1000000000</v>
      </c>
      <c r="H428" s="3">
        <f t="shared" si="434"/>
        <v>69136617205.85405</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2.5504440279263632E-8</v>
      </c>
      <c r="C429" s="3">
        <f t="shared" si="434"/>
        <v>1.1789508744529243E-6</v>
      </c>
      <c r="D429" s="3">
        <f t="shared" si="434"/>
        <v>7.7413059692521961E-5</v>
      </c>
      <c r="E429" s="3">
        <f t="shared" si="434"/>
        <v>1.4589073615824764E-2</v>
      </c>
      <c r="F429" s="3">
        <f t="shared" si="434"/>
        <v>98.809330626848677</v>
      </c>
      <c r="G429" s="3">
        <f t="shared" si="434"/>
        <v>10000000000</v>
      </c>
      <c r="H429" s="3">
        <f t="shared" si="434"/>
        <v>691366172058.54053</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2.550444027926363E-7</v>
      </c>
      <c r="C430" s="3">
        <f t="shared" si="434"/>
        <v>1.1789508744529243E-5</v>
      </c>
      <c r="D430" s="3">
        <f t="shared" si="434"/>
        <v>7.7413059692521958E-4</v>
      </c>
      <c r="E430" s="3">
        <f t="shared" si="434"/>
        <v>0.14589073615824763</v>
      </c>
      <c r="F430" s="3">
        <f t="shared" si="434"/>
        <v>988.09330626848669</v>
      </c>
      <c r="G430" s="3">
        <f t="shared" si="434"/>
        <v>100000000000</v>
      </c>
      <c r="H430" s="3">
        <f t="shared" si="434"/>
        <v>6913661720585.4053</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2.550444027926363E-6</v>
      </c>
      <c r="C431" s="3">
        <f t="shared" si="434"/>
        <v>1.1789508744529243E-4</v>
      </c>
      <c r="D431" s="3">
        <f t="shared" si="434"/>
        <v>7.7413059692521963E-3</v>
      </c>
      <c r="E431" s="3">
        <f t="shared" si="434"/>
        <v>1.4589073615824764</v>
      </c>
      <c r="F431" s="3">
        <f t="shared" si="434"/>
        <v>9880.9330626848678</v>
      </c>
      <c r="G431" s="3">
        <f t="shared" si="434"/>
        <v>1000000000000</v>
      </c>
      <c r="H431" s="3">
        <f t="shared" si="434"/>
        <v>69136617205854.047</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2.5504440279263631E-5</v>
      </c>
      <c r="C432" s="3">
        <f t="shared" si="434"/>
        <v>1.1789508744529244E-3</v>
      </c>
      <c r="D432" s="3">
        <f t="shared" si="434"/>
        <v>7.7413059692521963E-2</v>
      </c>
      <c r="E432" s="3">
        <f t="shared" si="434"/>
        <v>14.589073615824764</v>
      </c>
      <c r="F432" s="3">
        <f t="shared" si="434"/>
        <v>98809.330626848678</v>
      </c>
      <c r="G432" s="3">
        <f t="shared" si="434"/>
        <v>10000000000000</v>
      </c>
      <c r="H432" s="3">
        <f t="shared" si="434"/>
        <v>691366172058540.5</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2.5504440279263633E-4</v>
      </c>
      <c r="C433" s="3">
        <f t="shared" si="434"/>
        <v>1.1789508744529243E-2</v>
      </c>
      <c r="D433" s="3">
        <f t="shared" si="434"/>
        <v>0.77413059692521957</v>
      </c>
      <c r="E433" s="3">
        <f t="shared" si="434"/>
        <v>145.89073615824765</v>
      </c>
      <c r="F433" s="3">
        <f t="shared" si="434"/>
        <v>988093.30626848678</v>
      </c>
      <c r="G433" s="3">
        <f t="shared" si="434"/>
        <v>100000000000000</v>
      </c>
      <c r="H433" s="3">
        <f t="shared" si="434"/>
        <v>6913661720585405</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2.5504440279263633E-3</v>
      </c>
      <c r="C434" s="3">
        <f t="shared" si="434"/>
        <v>0.11789508744529244</v>
      </c>
      <c r="D434" s="3">
        <f t="shared" si="434"/>
        <v>7.7413059692521964</v>
      </c>
      <c r="E434" s="3">
        <f t="shared" si="434"/>
        <v>1458.9073615824764</v>
      </c>
      <c r="F434" s="3">
        <f t="shared" si="434"/>
        <v>9880933.0626848675</v>
      </c>
      <c r="G434" s="3">
        <f t="shared" si="434"/>
        <v>1000000000000000</v>
      </c>
      <c r="H434" s="3">
        <f t="shared" si="434"/>
        <v>6.9136617205854048E+16</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-40.510264201282538</v>
      </c>
      <c r="M1" s="54">
        <v>1</v>
      </c>
      <c r="N1" s="56">
        <f>INDEX($H$217:$P$217,1,Q1)</f>
        <v>0.28828859128831863</v>
      </c>
      <c r="O1" s="11"/>
      <c r="P1" s="55">
        <v>1</v>
      </c>
      <c r="Q1" s="11">
        <v>2</v>
      </c>
    </row>
    <row r="2" spans="1:17" x14ac:dyDescent="0.25">
      <c r="A2" s="11">
        <f>'Mastercurve bestimmen'!M119</f>
        <v>0</v>
      </c>
      <c r="B2" s="11">
        <f>'Mastercurve bestimmen'!N119</f>
        <v>-36.676736534348279</v>
      </c>
      <c r="M2" s="54">
        <v>2</v>
      </c>
      <c r="N2" s="56">
        <f t="shared" ref="N2:N9" si="0">INDEX($H$217:$P$217,1,Q2)</f>
        <v>-5.8961465751516083E-3</v>
      </c>
      <c r="O2" s="11"/>
      <c r="P2" s="55">
        <v>2</v>
      </c>
      <c r="Q2" s="11">
        <f>Q1+1</f>
        <v>3</v>
      </c>
    </row>
    <row r="3" spans="1:17" x14ac:dyDescent="0.25">
      <c r="A3" s="11">
        <f>'Mastercurve bestimmen'!M120</f>
        <v>25</v>
      </c>
      <c r="B3" s="11">
        <f>'Mastercurve bestimmen'!N120</f>
        <v>-32.49220599166479</v>
      </c>
      <c r="M3" s="54">
        <v>3</v>
      </c>
      <c r="N3" s="56">
        <f t="shared" si="0"/>
        <v>-4.9020729742651643E-5</v>
      </c>
      <c r="O3" s="11"/>
      <c r="P3" s="55">
        <v>3</v>
      </c>
      <c r="Q3" s="11">
        <f t="shared" ref="Q3:Q8" si="1">Q2+1</f>
        <v>4</v>
      </c>
    </row>
    <row r="4" spans="1:17" x14ac:dyDescent="0.25">
      <c r="A4" s="11">
        <f>'Mastercurve bestimmen'!M121</f>
        <v>50</v>
      </c>
      <c r="B4" s="11">
        <f>'Mastercurve bestimmen'!N121</f>
        <v>-27.253333342864021</v>
      </c>
      <c r="M4" s="54">
        <v>4</v>
      </c>
      <c r="N4" s="56">
        <f t="shared" si="0"/>
        <v>1.3875731130202573E-6</v>
      </c>
      <c r="O4" s="11"/>
      <c r="P4" s="55">
        <v>4</v>
      </c>
      <c r="Q4" s="11">
        <f t="shared" si="1"/>
        <v>5</v>
      </c>
    </row>
    <row r="5" spans="1:17" x14ac:dyDescent="0.25">
      <c r="A5" s="11">
        <f>'Mastercurve bestimmen'!M122</f>
        <v>80</v>
      </c>
      <c r="B5" s="11">
        <f>'Mastercurve bestimmen'!N122</f>
        <v>-18.432658890102765</v>
      </c>
      <c r="M5" s="54">
        <v>5</v>
      </c>
      <c r="N5" s="56">
        <f t="shared" si="0"/>
        <v>2.5669850169978131E-8</v>
      </c>
      <c r="O5" s="11"/>
      <c r="P5" s="55">
        <v>5</v>
      </c>
      <c r="Q5" s="11">
        <f t="shared" si="1"/>
        <v>6</v>
      </c>
    </row>
    <row r="6" spans="1:17" x14ac:dyDescent="0.25">
      <c r="A6" s="11">
        <f>'Mastercurve bestimmen'!M123</f>
        <v>125</v>
      </c>
      <c r="B6" s="11">
        <f>'Mastercurve bestimmen'!N123</f>
        <v>0</v>
      </c>
      <c r="M6" s="54">
        <v>6</v>
      </c>
      <c r="N6" s="56">
        <f t="shared" si="0"/>
        <v>1.6325831865965362E-10</v>
      </c>
      <c r="O6" s="11"/>
      <c r="P6" s="55">
        <v>6</v>
      </c>
      <c r="Q6" s="11">
        <f t="shared" si="1"/>
        <v>7</v>
      </c>
    </row>
    <row r="7" spans="1:17" x14ac:dyDescent="0.25">
      <c r="A7" s="11">
        <f>'Mastercurve bestimmen'!M124</f>
        <v>160</v>
      </c>
      <c r="B7" s="11">
        <f>'Mastercurve bestimmen'!N124</f>
        <v>4.2360845065660389</v>
      </c>
      <c r="M7" s="54">
        <v>7</v>
      </c>
      <c r="N7" s="56">
        <f t="shared" si="0"/>
        <v>4.1835046048773301E-13</v>
      </c>
      <c r="O7" s="11"/>
      <c r="P7" s="55">
        <v>7</v>
      </c>
      <c r="Q7" s="11">
        <f t="shared" si="1"/>
        <v>8</v>
      </c>
    </row>
    <row r="8" spans="1:17" x14ac:dyDescent="0.25">
      <c r="A8" s="11"/>
      <c r="B8" s="11"/>
      <c r="M8" s="54">
        <v>8</v>
      </c>
      <c r="N8" s="56">
        <f t="shared" si="0"/>
        <v>2.8510301274482405E-16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-40.510264201282538</v>
      </c>
      <c r="E15" s="11">
        <f>A15-'Mastercurve bestimmen'!$B$2</f>
        <v>-165</v>
      </c>
      <c r="F15" s="11">
        <f>B15</f>
        <v>-40.510264201282538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-40.443643053222601</v>
      </c>
      <c r="E16" s="11">
        <f>A16-'Mastercurve bestimmen'!$B$2</f>
        <v>-164</v>
      </c>
      <c r="F16" s="11">
        <f t="shared" ref="F16:F79" si="4">B16</f>
        <v>-40.443643053222601</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-40.376912272728838</v>
      </c>
      <c r="E17" s="11">
        <f>A17-'Mastercurve bestimmen'!$B$2</f>
        <v>-163</v>
      </c>
      <c r="F17" s="11">
        <f t="shared" si="4"/>
        <v>-40.376912272728838</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-40.309962227367436</v>
      </c>
      <c r="E18" s="11">
        <f>A18-'Mastercurve bestimmen'!$B$2</f>
        <v>-162</v>
      </c>
      <c r="F18" s="11">
        <f t="shared" si="4"/>
        <v>-40.309962227367436</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-40.242683284704562</v>
      </c>
      <c r="E19" s="11">
        <f>A19-'Mastercurve bestimmen'!$B$2</f>
        <v>-161</v>
      </c>
      <c r="F19" s="11">
        <f t="shared" si="4"/>
        <v>-40.242683284704562</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-40.174965812306411</v>
      </c>
      <c r="E20" s="11">
        <f>A20-'Mastercurve bestimmen'!$B$2</f>
        <v>-160</v>
      </c>
      <c r="F20" s="11">
        <f t="shared" si="4"/>
        <v>-40.174965812306411</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-40.106700177739143</v>
      </c>
      <c r="E21" s="11">
        <f>A21-'Mastercurve bestimmen'!$B$2</f>
        <v>-159</v>
      </c>
      <c r="F21" s="11">
        <f t="shared" si="4"/>
        <v>-40.106700177739143</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-40.037776748568952</v>
      </c>
      <c r="E22" s="11">
        <f>A22-'Mastercurve bestimmen'!$B$2</f>
        <v>-158</v>
      </c>
      <c r="F22" s="11">
        <f t="shared" si="4"/>
        <v>-40.037776748568952</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-39.968085892362005</v>
      </c>
      <c r="E23" s="11">
        <f>A23-'Mastercurve bestimmen'!$B$2</f>
        <v>-157</v>
      </c>
      <c r="F23" s="11">
        <f t="shared" si="4"/>
        <v>-39.968085892362005</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-39.89751797668449</v>
      </c>
      <c r="E24" s="11">
        <f>A24-'Mastercurve bestimmen'!$B$2</f>
        <v>-156</v>
      </c>
      <c r="F24" s="11">
        <f t="shared" si="4"/>
        <v>-39.89751797668449</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-39.825963369102588</v>
      </c>
      <c r="E25" s="11">
        <f>A25-'Mastercurve bestimmen'!$B$2</f>
        <v>-155</v>
      </c>
      <c r="F25" s="11">
        <f t="shared" si="4"/>
        <v>-39.825963369102588</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-39.753312437182466</v>
      </c>
      <c r="E26" s="11">
        <f>A26-'Mastercurve bestimmen'!$B$2</f>
        <v>-154</v>
      </c>
      <c r="F26" s="11">
        <f t="shared" si="4"/>
        <v>-39.753312437182466</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-39.67945554849031</v>
      </c>
      <c r="E27" s="11">
        <f>A27-'Mastercurve bestimmen'!$B$2</f>
        <v>-153</v>
      </c>
      <c r="F27" s="11">
        <f t="shared" si="4"/>
        <v>-39.67945554849031</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-39.604283070592295</v>
      </c>
      <c r="E28" s="11">
        <f>A28-'Mastercurve bestimmen'!$B$2</f>
        <v>-152</v>
      </c>
      <c r="F28" s="11">
        <f t="shared" si="4"/>
        <v>-39.604283070592295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-39.527685371054602</v>
      </c>
      <c r="E29" s="11">
        <f>A29-'Mastercurve bestimmen'!$B$2</f>
        <v>-151</v>
      </c>
      <c r="F29" s="11">
        <f t="shared" si="4"/>
        <v>-39.527685371054602</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-39.449552817443404</v>
      </c>
      <c r="E30" s="11">
        <f>A30-'Mastercurve bestimmen'!$B$2</f>
        <v>-150</v>
      </c>
      <c r="F30" s="11">
        <f t="shared" si="4"/>
        <v>-39.449552817443404</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-39.36977577732489</v>
      </c>
      <c r="E31" s="11">
        <f>A31-'Mastercurve bestimmen'!$B$2</f>
        <v>-149</v>
      </c>
      <c r="F31" s="11">
        <f t="shared" si="4"/>
        <v>-39.36977577732489</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-39.288244618265232</v>
      </c>
      <c r="E32" s="11">
        <f>A32-'Mastercurve bestimmen'!$B$2</f>
        <v>-148</v>
      </c>
      <c r="F32" s="11">
        <f t="shared" si="4"/>
        <v>-39.288244618265232</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-39.204849707830611</v>
      </c>
      <c r="E33" s="11">
        <f>A33-'Mastercurve bestimmen'!$B$2</f>
        <v>-147</v>
      </c>
      <c r="F33" s="11">
        <f t="shared" si="4"/>
        <v>-39.204849707830611</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-39.119481413587202</v>
      </c>
      <c r="E34" s="11">
        <f>A34-'Mastercurve bestimmen'!$B$2</f>
        <v>-146</v>
      </c>
      <c r="F34" s="11">
        <f t="shared" si="4"/>
        <v>-39.119481413587202</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-39.032030103101185</v>
      </c>
      <c r="E35" s="11">
        <f>A35-'Mastercurve bestimmen'!$B$2</f>
        <v>-145</v>
      </c>
      <c r="F35" s="11">
        <f t="shared" si="4"/>
        <v>-39.032030103101185</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-38.942386143938741</v>
      </c>
      <c r="E36" s="11">
        <f>A36-'Mastercurve bestimmen'!$B$2</f>
        <v>-144</v>
      </c>
      <c r="F36" s="11">
        <f t="shared" si="4"/>
        <v>-38.942386143938741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-38.850439903666043</v>
      </c>
      <c r="E37" s="11">
        <f>A37-'Mastercurve bestimmen'!$B$2</f>
        <v>-143</v>
      </c>
      <c r="F37" s="11">
        <f t="shared" si="4"/>
        <v>-38.850439903666043</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-38.75608174984928</v>
      </c>
      <c r="E38" s="11">
        <f>A38-'Mastercurve bestimmen'!$B$2</f>
        <v>-142</v>
      </c>
      <c r="F38" s="11">
        <f t="shared" si="4"/>
        <v>-38.75608174984928</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-38.659202050054617</v>
      </c>
      <c r="E39" s="11">
        <f>A39-'Mastercurve bestimmen'!$B$2</f>
        <v>-141</v>
      </c>
      <c r="F39" s="11">
        <f t="shared" si="4"/>
        <v>-38.659202050054617</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-38.559691171848243</v>
      </c>
      <c r="E40" s="11">
        <f>A40-'Mastercurve bestimmen'!$B$2</f>
        <v>-140</v>
      </c>
      <c r="F40" s="11">
        <f t="shared" si="4"/>
        <v>-38.559691171848243</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-38.457439482796332</v>
      </c>
      <c r="E41" s="11">
        <f>A41-'Mastercurve bestimmen'!$B$2</f>
        <v>-139</v>
      </c>
      <c r="F41" s="11">
        <f t="shared" si="4"/>
        <v>-38.457439482796332</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-38.352337350465064</v>
      </c>
      <c r="E42" s="11">
        <f>A42-'Mastercurve bestimmen'!$B$2</f>
        <v>-138</v>
      </c>
      <c r="F42" s="11">
        <f t="shared" si="4"/>
        <v>-38.352337350465064</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-38.244275142420619</v>
      </c>
      <c r="E43" s="11">
        <f>A43-'Mastercurve bestimmen'!$B$2</f>
        <v>-137</v>
      </c>
      <c r="F43" s="11">
        <f t="shared" si="4"/>
        <v>-38.244275142420619</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-38.133143226229166</v>
      </c>
      <c r="E44" s="11">
        <f>A44-'Mastercurve bestimmen'!$B$2</f>
        <v>-136</v>
      </c>
      <c r="F44" s="11">
        <f t="shared" si="4"/>
        <v>-38.133143226229166</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-38.018831969456897</v>
      </c>
      <c r="E45" s="11">
        <f>A45-'Mastercurve bestimmen'!$B$2</f>
        <v>-135</v>
      </c>
      <c r="F45" s="11">
        <f t="shared" si="4"/>
        <v>-38.018831969456897</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-37.901231739669981</v>
      </c>
      <c r="E46" s="11">
        <f>A46-'Mastercurve bestimmen'!$B$2</f>
        <v>-134</v>
      </c>
      <c r="F46" s="11">
        <f t="shared" si="4"/>
        <v>-37.901231739669981</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-37.780232904434605</v>
      </c>
      <c r="E47" s="11">
        <f>A47-'Mastercurve bestimmen'!$B$2</f>
        <v>-133</v>
      </c>
      <c r="F47" s="11">
        <f t="shared" si="4"/>
        <v>-37.780232904434605</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-37.655725831316943</v>
      </c>
      <c r="E48" s="11">
        <f>A48-'Mastercurve bestimmen'!$B$2</f>
        <v>-132</v>
      </c>
      <c r="F48" s="11">
        <f t="shared" si="4"/>
        <v>-37.655725831316943</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-37.527600887883168</v>
      </c>
      <c r="E49" s="11">
        <f>A49-'Mastercurve bestimmen'!$B$2</f>
        <v>-131</v>
      </c>
      <c r="F49" s="11">
        <f t="shared" si="4"/>
        <v>-37.527600887883168</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-37.395748441699467</v>
      </c>
      <c r="E50" s="11">
        <f>A50-'Mastercurve bestimmen'!$B$2</f>
        <v>-130</v>
      </c>
      <c r="F50" s="11">
        <f t="shared" si="4"/>
        <v>-37.395748441699467</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-37.260058860332016</v>
      </c>
      <c r="E51" s="11">
        <f>A51-'Mastercurve bestimmen'!$B$2</f>
        <v>-129</v>
      </c>
      <c r="F51" s="11">
        <f t="shared" si="4"/>
        <v>-37.260058860332016</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-37.120422511346995</v>
      </c>
      <c r="E52" s="11">
        <f>A52-'Mastercurve bestimmen'!$B$2</f>
        <v>-128</v>
      </c>
      <c r="F52" s="11">
        <f t="shared" si="4"/>
        <v>-37.120422511346995</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-36.976729762310576</v>
      </c>
      <c r="E53" s="11">
        <f>A53-'Mastercurve bestimmen'!$B$2</f>
        <v>-127</v>
      </c>
      <c r="F53" s="11">
        <f t="shared" si="4"/>
        <v>-36.976729762310576</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-36.828870980788942</v>
      </c>
      <c r="E54" s="11">
        <f>A54-'Mastercurve bestimmen'!$B$2</f>
        <v>-126</v>
      </c>
      <c r="F54" s="11">
        <f t="shared" si="4"/>
        <v>-36.828870980788942</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-36.676736534348272</v>
      </c>
      <c r="E55" s="11">
        <f>A55-'Mastercurve bestimmen'!$B$2</f>
        <v>-125</v>
      </c>
      <c r="F55" s="11">
        <f t="shared" si="4"/>
        <v>-36.676736534348272</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-36.547421863121329</v>
      </c>
      <c r="E56" s="11">
        <f>A56-'Mastercurve bestimmen'!$B$2</f>
        <v>-124</v>
      </c>
      <c r="F56" s="11">
        <f t="shared" si="4"/>
        <v>-36.547421863121329</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-36.413861865866089</v>
      </c>
      <c r="E57" s="11">
        <f>A57-'Mastercurve bestimmen'!$B$2</f>
        <v>-123</v>
      </c>
      <c r="F57" s="11">
        <f t="shared" si="4"/>
        <v>-36.413861865866089</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-36.276196513907088</v>
      </c>
      <c r="E58" s="11">
        <f>A58-'Mastercurve bestimmen'!$B$2</f>
        <v>-122</v>
      </c>
      <c r="F58" s="11">
        <f t="shared" si="4"/>
        <v>-36.276196513907088</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-36.134565778568899</v>
      </c>
      <c r="E59" s="11">
        <f>A59-'Mastercurve bestimmen'!$B$2</f>
        <v>-121</v>
      </c>
      <c r="F59" s="11">
        <f t="shared" si="4"/>
        <v>-36.134565778568899</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-35.989109631176092</v>
      </c>
      <c r="E60" s="11">
        <f>A60-'Mastercurve bestimmen'!$B$2</f>
        <v>-120</v>
      </c>
      <c r="F60" s="11">
        <f t="shared" si="4"/>
        <v>-35.989109631176092</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-35.839968043053204</v>
      </c>
      <c r="E61" s="11">
        <f>A61-'Mastercurve bestimmen'!$B$2</f>
        <v>-119</v>
      </c>
      <c r="F61" s="11">
        <f t="shared" si="4"/>
        <v>-35.839968043053204</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-35.687280985524794</v>
      </c>
      <c r="E62" s="11">
        <f>A62-'Mastercurve bestimmen'!$B$2</f>
        <v>-118</v>
      </c>
      <c r="F62" s="11">
        <f t="shared" si="4"/>
        <v>-35.687280985524794</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-35.531188429915431</v>
      </c>
      <c r="E63" s="11">
        <f>A63-'Mastercurve bestimmen'!$B$2</f>
        <v>-117</v>
      </c>
      <c r="F63" s="11">
        <f t="shared" si="4"/>
        <v>-35.531188429915431</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-35.371830347549661</v>
      </c>
      <c r="E64" s="11">
        <f>A64-'Mastercurve bestimmen'!$B$2</f>
        <v>-116</v>
      </c>
      <c r="F64" s="11">
        <f t="shared" si="4"/>
        <v>-35.371830347549661</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-35.209346709752047</v>
      </c>
      <c r="E65" s="11">
        <f>A65-'Mastercurve bestimmen'!$B$2</f>
        <v>-115</v>
      </c>
      <c r="F65" s="11">
        <f t="shared" si="4"/>
        <v>-35.209346709752047</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-35.043877487847141</v>
      </c>
      <c r="E66" s="11">
        <f>A66-'Mastercurve bestimmen'!$B$2</f>
        <v>-114</v>
      </c>
      <c r="F66" s="11">
        <f t="shared" si="4"/>
        <v>-35.043877487847141</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-34.875562653159506</v>
      </c>
      <c r="E67" s="11">
        <f>A67-'Mastercurve bestimmen'!$B$2</f>
        <v>-113</v>
      </c>
      <c r="F67" s="11">
        <f t="shared" si="4"/>
        <v>-34.875562653159506</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-34.704542177013693</v>
      </c>
      <c r="E68" s="11">
        <f>A68-'Mastercurve bestimmen'!$B$2</f>
        <v>-112</v>
      </c>
      <c r="F68" s="11">
        <f t="shared" si="4"/>
        <v>-34.704542177013693</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-34.530956030734252</v>
      </c>
      <c r="E69" s="11">
        <f>A69-'Mastercurve bestimmen'!$B$2</f>
        <v>-111</v>
      </c>
      <c r="F69" s="11">
        <f t="shared" si="4"/>
        <v>-34.530956030734252</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-34.354944185645756</v>
      </c>
      <c r="E70" s="11">
        <f>A70-'Mastercurve bestimmen'!$B$2</f>
        <v>-110</v>
      </c>
      <c r="F70" s="11">
        <f t="shared" si="4"/>
        <v>-34.354944185645756</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-34.176646613072748</v>
      </c>
      <c r="E71" s="11">
        <f>A71-'Mastercurve bestimmen'!$B$2</f>
        <v>-109</v>
      </c>
      <c r="F71" s="11">
        <f t="shared" si="4"/>
        <v>-34.176646613072748</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-33.996203284339799</v>
      </c>
      <c r="E72" s="11">
        <f>A72-'Mastercurve bestimmen'!$B$2</f>
        <v>-108</v>
      </c>
      <c r="F72" s="11">
        <f t="shared" si="4"/>
        <v>-33.996203284339799</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-33.813754170771453</v>
      </c>
      <c r="E73" s="11">
        <f>A73-'Mastercurve bestimmen'!$B$2</f>
        <v>-107</v>
      </c>
      <c r="F73" s="11">
        <f t="shared" si="4"/>
        <v>-33.813754170771453</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-33.629439243692261</v>
      </c>
      <c r="E74" s="11">
        <f>A74-'Mastercurve bestimmen'!$B$2</f>
        <v>-106</v>
      </c>
      <c r="F74" s="11">
        <f t="shared" si="4"/>
        <v>-33.629439243692261</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-33.443398474426807</v>
      </c>
      <c r="E75" s="11">
        <f>A75-'Mastercurve bestimmen'!$B$2</f>
        <v>-105</v>
      </c>
      <c r="F75" s="11">
        <f t="shared" si="4"/>
        <v>-33.443398474426807</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-33.255771834299622</v>
      </c>
      <c r="E76" s="11">
        <f>A76-'Mastercurve bestimmen'!$B$2</f>
        <v>-104</v>
      </c>
      <c r="F76" s="11">
        <f t="shared" si="4"/>
        <v>-33.255771834299622</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-33.066699294635264</v>
      </c>
      <c r="E77" s="11">
        <f>A77-'Mastercurve bestimmen'!$B$2</f>
        <v>-103</v>
      </c>
      <c r="F77" s="11">
        <f t="shared" si="4"/>
        <v>-33.066699294635264</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-32.87632082675831</v>
      </c>
      <c r="E78" s="11">
        <f>A78-'Mastercurve bestimmen'!$B$2</f>
        <v>-102</v>
      </c>
      <c r="F78" s="11">
        <f t="shared" si="4"/>
        <v>-32.87632082675831</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-32.684776401993297</v>
      </c>
      <c r="E79" s="11">
        <f>A79-'Mastercurve bestimmen'!$B$2</f>
        <v>-101</v>
      </c>
      <c r="F79" s="11">
        <f t="shared" si="4"/>
        <v>-32.684776401993297</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-32.49220599166479</v>
      </c>
      <c r="E80" s="11">
        <f>A80-'Mastercurve bestimmen'!$B$2</f>
        <v>-100</v>
      </c>
      <c r="F80" s="11">
        <f t="shared" ref="F80:F143" si="10">B80</f>
        <v>-32.49220599166479</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-32.298717529772112</v>
      </c>
      <c r="E81" s="11">
        <f>A81-'Mastercurve bestimmen'!$B$2</f>
        <v>-99</v>
      </c>
      <c r="F81" s="11">
        <f t="shared" si="10"/>
        <v>-32.298717529772112</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-32.104290801013647</v>
      </c>
      <c r="E82" s="11">
        <f>A82-'Mastercurve bestimmen'!$B$2</f>
        <v>-98</v>
      </c>
      <c r="F82" s="11">
        <f t="shared" si="10"/>
        <v>-32.104290801013647</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-31.908873552762547</v>
      </c>
      <c r="E83" s="11">
        <f>A83-'Mastercurve bestimmen'!$B$2</f>
        <v>-97</v>
      </c>
      <c r="F83" s="11">
        <f t="shared" si="10"/>
        <v>-31.908873552762547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-31.71241353239197</v>
      </c>
      <c r="E84" s="11">
        <f>A84-'Mastercurve bestimmen'!$B$2</f>
        <v>-96</v>
      </c>
      <c r="F84" s="11">
        <f t="shared" si="10"/>
        <v>-31.71241353239197</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-31.514858487275067</v>
      </c>
      <c r="E85" s="11">
        <f>A85-'Mastercurve bestimmen'!$B$2</f>
        <v>-95</v>
      </c>
      <c r="F85" s="11">
        <f t="shared" si="10"/>
        <v>-31.514858487275067</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-31.316156164784985</v>
      </c>
      <c r="E86" s="11">
        <f>A86-'Mastercurve bestimmen'!$B$2</f>
        <v>-94</v>
      </c>
      <c r="F86" s="11">
        <f t="shared" si="10"/>
        <v>-31.316156164784985</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-31.116254312294892</v>
      </c>
      <c r="E87" s="11">
        <f>A87-'Mastercurve bestimmen'!$B$2</f>
        <v>-93</v>
      </c>
      <c r="F87" s="11">
        <f t="shared" si="10"/>
        <v>-31.116254312294892</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-30.915100677177925</v>
      </c>
      <c r="E88" s="11">
        <f>A88-'Mastercurve bestimmen'!$B$2</f>
        <v>-92</v>
      </c>
      <c r="F88" s="11">
        <f t="shared" si="10"/>
        <v>-30.915100677177925</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-30.712643006807241</v>
      </c>
      <c r="E89" s="11">
        <f>A89-'Mastercurve bestimmen'!$B$2</f>
        <v>-91</v>
      </c>
      <c r="F89" s="11">
        <f t="shared" si="10"/>
        <v>-30.712643006807241</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-30.508829048555999</v>
      </c>
      <c r="E90" s="11">
        <f>A90-'Mastercurve bestimmen'!$B$2</f>
        <v>-90</v>
      </c>
      <c r="F90" s="11">
        <f t="shared" si="10"/>
        <v>-30.508829048555999</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-30.303606549797347</v>
      </c>
      <c r="E91" s="11">
        <f>A91-'Mastercurve bestimmen'!$B$2</f>
        <v>-89</v>
      </c>
      <c r="F91" s="11">
        <f t="shared" si="10"/>
        <v>-30.303606549797347</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-30.096923257904443</v>
      </c>
      <c r="E92" s="11">
        <f>A92-'Mastercurve bestimmen'!$B$2</f>
        <v>-88</v>
      </c>
      <c r="F92" s="11">
        <f t="shared" si="10"/>
        <v>-30.096923257904443</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-29.888726920250434</v>
      </c>
      <c r="E93" s="11">
        <f>A93-'Mastercurve bestimmen'!$B$2</f>
        <v>-87</v>
      </c>
      <c r="F93" s="11">
        <f t="shared" si="10"/>
        <v>-29.888726920250434</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-29.678965284208473</v>
      </c>
      <c r="E94" s="11">
        <f>A94-'Mastercurve bestimmen'!$B$2</f>
        <v>-86</v>
      </c>
      <c r="F94" s="11">
        <f t="shared" si="10"/>
        <v>-29.678965284208473</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-29.467586097151724</v>
      </c>
      <c r="E95" s="11">
        <f>A95-'Mastercurve bestimmen'!$B$2</f>
        <v>-85</v>
      </c>
      <c r="F95" s="11">
        <f t="shared" si="10"/>
        <v>-29.467586097151724</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-29.254537106453324</v>
      </c>
      <c r="E96" s="11">
        <f>A96-'Mastercurve bestimmen'!$B$2</f>
        <v>-84</v>
      </c>
      <c r="F96" s="11">
        <f t="shared" si="10"/>
        <v>-29.254537106453324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-29.039766059486432</v>
      </c>
      <c r="E97" s="11">
        <f>A97-'Mastercurve bestimmen'!$B$2</f>
        <v>-83</v>
      </c>
      <c r="F97" s="11">
        <f t="shared" si="10"/>
        <v>-29.039766059486432</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-28.823220703624209</v>
      </c>
      <c r="E98" s="11">
        <f>A98-'Mastercurve bestimmen'!$B$2</f>
        <v>-82</v>
      </c>
      <c r="F98" s="11">
        <f t="shared" si="10"/>
        <v>-28.823220703624209</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-28.604848786239796</v>
      </c>
      <c r="E99" s="11">
        <f>A99-'Mastercurve bestimmen'!$B$2</f>
        <v>-81</v>
      </c>
      <c r="F99" s="11">
        <f t="shared" si="10"/>
        <v>-28.604848786239796</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-28.384598054706355</v>
      </c>
      <c r="E100" s="11">
        <f>A100-'Mastercurve bestimmen'!$B$2</f>
        <v>-80</v>
      </c>
      <c r="F100" s="11">
        <f t="shared" si="10"/>
        <v>-28.384598054706355</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-28.16241625639703</v>
      </c>
      <c r="E101" s="11">
        <f>A101-'Mastercurve bestimmen'!$B$2</f>
        <v>-79</v>
      </c>
      <c r="F101" s="11">
        <f t="shared" si="10"/>
        <v>-28.16241625639703</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-27.938251138684983</v>
      </c>
      <c r="E102" s="11">
        <f>A102-'Mastercurve bestimmen'!$B$2</f>
        <v>-78</v>
      </c>
      <c r="F102" s="11">
        <f t="shared" si="10"/>
        <v>-27.938251138684983</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-27.712050448943366</v>
      </c>
      <c r="E103" s="11">
        <f>A103-'Mastercurve bestimmen'!$B$2</f>
        <v>-77</v>
      </c>
      <c r="F103" s="11">
        <f t="shared" si="10"/>
        <v>-27.712050448943366</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-27.483761934545328</v>
      </c>
      <c r="E104" s="11">
        <f>A104-'Mastercurve bestimmen'!$B$2</f>
        <v>-76</v>
      </c>
      <c r="F104" s="11">
        <f t="shared" si="10"/>
        <v>-27.483761934545328</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-27.253333342864021</v>
      </c>
      <c r="E105" s="11">
        <f>A105-'Mastercurve bestimmen'!$B$2</f>
        <v>-75</v>
      </c>
      <c r="F105" s="11">
        <f t="shared" si="10"/>
        <v>-27.253333342864021</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-27.020688217282366</v>
      </c>
      <c r="E106" s="11">
        <f>A106-'Mastercurve bestimmen'!$B$2</f>
        <v>-74</v>
      </c>
      <c r="F106" s="11">
        <f t="shared" si="10"/>
        <v>-27.020688217282366</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-26.785653285222317</v>
      </c>
      <c r="E107" s="11">
        <f>A107-'Mastercurve bestimmen'!$B$2</f>
        <v>-73</v>
      </c>
      <c r="F107" s="11">
        <f t="shared" si="10"/>
        <v>-26.785653285222317</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-26.548031070115599</v>
      </c>
      <c r="E108" s="11">
        <f>A108-'Mastercurve bestimmen'!$B$2</f>
        <v>-72</v>
      </c>
      <c r="F108" s="11">
        <f t="shared" si="10"/>
        <v>-26.548031070115599</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-26.30762409539393</v>
      </c>
      <c r="E109" s="11">
        <f>A109-'Mastercurve bestimmen'!$B$2</f>
        <v>-71</v>
      </c>
      <c r="F109" s="11">
        <f t="shared" si="10"/>
        <v>-26.30762409539393</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-26.064234884489032</v>
      </c>
      <c r="E110" s="11">
        <f>A110-'Mastercurve bestimmen'!$B$2</f>
        <v>-70</v>
      </c>
      <c r="F110" s="11">
        <f t="shared" si="10"/>
        <v>-26.064234884489032</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-25.817665960832628</v>
      </c>
      <c r="E111" s="11">
        <f>A111-'Mastercurve bestimmen'!$B$2</f>
        <v>-69</v>
      </c>
      <c r="F111" s="11">
        <f t="shared" si="10"/>
        <v>-25.817665960832628</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-25.567719847856441</v>
      </c>
      <c r="E112" s="11">
        <f>A112-'Mastercurve bestimmen'!$B$2</f>
        <v>-68</v>
      </c>
      <c r="F112" s="11">
        <f t="shared" si="10"/>
        <v>-25.567719847856441</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-25.314199068992188</v>
      </c>
      <c r="E113" s="11">
        <f>A113-'Mastercurve bestimmen'!$B$2</f>
        <v>-67</v>
      </c>
      <c r="F113" s="11">
        <f t="shared" si="10"/>
        <v>-25.314199068992188</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-25.056906147671594</v>
      </c>
      <c r="E114" s="11">
        <f>A114-'Mastercurve bestimmen'!$B$2</f>
        <v>-66</v>
      </c>
      <c r="F114" s="11">
        <f t="shared" si="10"/>
        <v>-25.056906147671594</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-24.795643607326383</v>
      </c>
      <c r="E115" s="11">
        <f>A115-'Mastercurve bestimmen'!$B$2</f>
        <v>-65</v>
      </c>
      <c r="F115" s="11">
        <f t="shared" si="10"/>
        <v>-24.795643607326383</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-24.530213971388271</v>
      </c>
      <c r="E116" s="11">
        <f>A116-'Mastercurve bestimmen'!$B$2</f>
        <v>-64</v>
      </c>
      <c r="F116" s="11">
        <f t="shared" si="10"/>
        <v>-24.530213971388271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-24.260419763288979</v>
      </c>
      <c r="E117" s="11">
        <f>A117-'Mastercurve bestimmen'!$B$2</f>
        <v>-63</v>
      </c>
      <c r="F117" s="11">
        <f t="shared" si="10"/>
        <v>-24.260419763288979</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-23.986063506460233</v>
      </c>
      <c r="E118" s="11">
        <f>A118-'Mastercurve bestimmen'!$B$2</f>
        <v>-62</v>
      </c>
      <c r="F118" s="11">
        <f t="shared" si="10"/>
        <v>-23.986063506460233</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-23.706947724333748</v>
      </c>
      <c r="E119" s="11">
        <f>A119-'Mastercurve bestimmen'!$B$2</f>
        <v>-61</v>
      </c>
      <c r="F119" s="11">
        <f t="shared" si="10"/>
        <v>-23.706947724333748</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-23.422874940341252</v>
      </c>
      <c r="E120" s="11">
        <f>A120-'Mastercurve bestimmen'!$B$2</f>
        <v>-60</v>
      </c>
      <c r="F120" s="11">
        <f t="shared" si="10"/>
        <v>-23.422874940341252</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-23.133647677914468</v>
      </c>
      <c r="E121" s="11">
        <f>A121-'Mastercurve bestimmen'!$B$2</f>
        <v>-59</v>
      </c>
      <c r="F121" s="11">
        <f t="shared" si="10"/>
        <v>-23.133647677914468</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-22.839068460485109</v>
      </c>
      <c r="E122" s="11">
        <f>A122-'Mastercurve bestimmen'!$B$2</f>
        <v>-58</v>
      </c>
      <c r="F122" s="11">
        <f t="shared" si="10"/>
        <v>-22.839068460485109</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-22.538939811484902</v>
      </c>
      <c r="E123" s="11">
        <f>A123-'Mastercurve bestimmen'!$B$2</f>
        <v>-57</v>
      </c>
      <c r="F123" s="11">
        <f t="shared" si="10"/>
        <v>-22.538939811484902</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-22.233064254345564</v>
      </c>
      <c r="E124" s="11">
        <f>A124-'Mastercurve bestimmen'!$B$2</f>
        <v>-56</v>
      </c>
      <c r="F124" s="11">
        <f t="shared" si="10"/>
        <v>-22.233064254345564</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-21.921244312498821</v>
      </c>
      <c r="E125" s="11">
        <f>A125-'Mastercurve bestimmen'!$B$2</f>
        <v>-55</v>
      </c>
      <c r="F125" s="11">
        <f t="shared" si="10"/>
        <v>-21.921244312498821</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-21.603282509376395</v>
      </c>
      <c r="E126" s="11">
        <f>A126-'Mastercurve bestimmen'!$B$2</f>
        <v>-54</v>
      </c>
      <c r="F126" s="11">
        <f t="shared" si="10"/>
        <v>-21.603282509376395</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-21.278981368410005</v>
      </c>
      <c r="E127" s="11">
        <f>A127-'Mastercurve bestimmen'!$B$2</f>
        <v>-53</v>
      </c>
      <c r="F127" s="11">
        <f t="shared" si="10"/>
        <v>-21.278981368410005</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-20.948143413031374</v>
      </c>
      <c r="E128" s="11">
        <f>A128-'Mastercurve bestimmen'!$B$2</f>
        <v>-52</v>
      </c>
      <c r="F128" s="11">
        <f t="shared" si="10"/>
        <v>-20.948143413031374</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-20.610571166672219</v>
      </c>
      <c r="E129" s="11">
        <f>A129-'Mastercurve bestimmen'!$B$2</f>
        <v>-51</v>
      </c>
      <c r="F129" s="11">
        <f t="shared" si="10"/>
        <v>-20.610571166672219</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-20.266067152764268</v>
      </c>
      <c r="E130" s="11">
        <f>A130-'Mastercurve bestimmen'!$B$2</f>
        <v>-50</v>
      </c>
      <c r="F130" s="11">
        <f t="shared" si="10"/>
        <v>-20.266067152764268</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-19.914433894739236</v>
      </c>
      <c r="E131" s="11">
        <f>A131-'Mastercurve bestimmen'!$B$2</f>
        <v>-49</v>
      </c>
      <c r="F131" s="11">
        <f t="shared" si="10"/>
        <v>-19.914433894739236</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-19.555473916028848</v>
      </c>
      <c r="E132" s="11">
        <f>A132-'Mastercurve bestimmen'!$B$2</f>
        <v>-48</v>
      </c>
      <c r="F132" s="11">
        <f t="shared" si="10"/>
        <v>-19.555473916028848</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-19.188989740064827</v>
      </c>
      <c r="E133" s="11">
        <f>A133-'Mastercurve bestimmen'!$B$2</f>
        <v>-47</v>
      </c>
      <c r="F133" s="11">
        <f t="shared" si="10"/>
        <v>-19.188989740064827</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-18.814783890278889</v>
      </c>
      <c r="E134" s="11">
        <f>A134-'Mastercurve bestimmen'!$B$2</f>
        <v>-46</v>
      </c>
      <c r="F134" s="11">
        <f t="shared" si="10"/>
        <v>-18.814783890278889</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-18.432658890102765</v>
      </c>
      <c r="E135" s="11">
        <f>A135-'Mastercurve bestimmen'!$B$2</f>
        <v>-45</v>
      </c>
      <c r="F135" s="11">
        <f t="shared" si="10"/>
        <v>-18.432658890102765</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-18.042528773193968</v>
      </c>
      <c r="E136" s="11">
        <f>A136-'Mastercurve bestimmen'!$B$2</f>
        <v>-44</v>
      </c>
      <c r="F136" s="11">
        <f t="shared" si="10"/>
        <v>-18.042528773193968</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-17.644753614113242</v>
      </c>
      <c r="E137" s="11">
        <f>A137-'Mastercurve bestimmen'!$B$2</f>
        <v>-43</v>
      </c>
      <c r="F137" s="11">
        <f t="shared" si="10"/>
        <v>-17.644753614113242</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-17.239804997647127</v>
      </c>
      <c r="E138" s="11">
        <f>A138-'Mastercurve bestimmen'!$B$2</f>
        <v>-42</v>
      </c>
      <c r="F138" s="11">
        <f t="shared" si="10"/>
        <v>-17.239804997647127</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-16.828154508582159</v>
      </c>
      <c r="E139" s="11">
        <f>A139-'Mastercurve bestimmen'!$B$2</f>
        <v>-41</v>
      </c>
      <c r="F139" s="11">
        <f t="shared" si="10"/>
        <v>-16.828154508582159</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-16.410273731704883</v>
      </c>
      <c r="E140" s="11">
        <f>A140-'Mastercurve bestimmen'!$B$2</f>
        <v>-40</v>
      </c>
      <c r="F140" s="11">
        <f t="shared" si="10"/>
        <v>-16.410273731704883</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-15.986634251801835</v>
      </c>
      <c r="E141" s="11">
        <f>A141-'Mastercurve bestimmen'!$B$2</f>
        <v>-39</v>
      </c>
      <c r="F141" s="11">
        <f t="shared" si="10"/>
        <v>-15.986634251801835</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-15.557707653659557</v>
      </c>
      <c r="E142" s="11">
        <f>A142-'Mastercurve bestimmen'!$B$2</f>
        <v>-38</v>
      </c>
      <c r="F142" s="11">
        <f t="shared" si="10"/>
        <v>-15.557707653659557</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-15.123965522064589</v>
      </c>
      <c r="E143" s="11">
        <f>A143-'Mastercurve bestimmen'!$B$2</f>
        <v>-37</v>
      </c>
      <c r="F143" s="11">
        <f t="shared" si="10"/>
        <v>-15.123965522064589</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-14.685879441803472</v>
      </c>
      <c r="E144" s="11">
        <f>A144-'Mastercurve bestimmen'!$B$2</f>
        <v>-36</v>
      </c>
      <c r="F144" s="11">
        <f t="shared" ref="F144:F207" si="15">B144</f>
        <v>-14.685879441803472</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-14.243920997662748</v>
      </c>
      <c r="E145" s="11">
        <f>A145-'Mastercurve bestimmen'!$B$2</f>
        <v>-35</v>
      </c>
      <c r="F145" s="11">
        <f t="shared" si="15"/>
        <v>-14.243920997662748</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-13.798561774428952</v>
      </c>
      <c r="E146" s="11">
        <f>A146-'Mastercurve bestimmen'!$B$2</f>
        <v>-34</v>
      </c>
      <c r="F146" s="11">
        <f t="shared" si="15"/>
        <v>-13.798561774428952</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-13.350273356888625</v>
      </c>
      <c r="E147" s="11">
        <f>A147-'Mastercurve bestimmen'!$B$2</f>
        <v>-33</v>
      </c>
      <c r="F147" s="11">
        <f t="shared" si="15"/>
        <v>-13.350273356888625</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-12.899527329828311</v>
      </c>
      <c r="E148" s="11">
        <f>A148-'Mastercurve bestimmen'!$B$2</f>
        <v>-32</v>
      </c>
      <c r="F148" s="11">
        <f t="shared" si="15"/>
        <v>-12.899527329828311</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-12.446795278034548</v>
      </c>
      <c r="E149" s="11">
        <f>A149-'Mastercurve bestimmen'!$B$2</f>
        <v>-31</v>
      </c>
      <c r="F149" s="11">
        <f t="shared" si="15"/>
        <v>-12.446795278034548</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-11.992548786293876</v>
      </c>
      <c r="E150" s="11">
        <f>A150-'Mastercurve bestimmen'!$B$2</f>
        <v>-30</v>
      </c>
      <c r="F150" s="11">
        <f t="shared" si="15"/>
        <v>-11.992548786293876</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-11.537259439392832</v>
      </c>
      <c r="E151" s="11">
        <f>A151-'Mastercurve bestimmen'!$B$2</f>
        <v>-29</v>
      </c>
      <c r="F151" s="11">
        <f t="shared" si="15"/>
        <v>-11.537259439392832</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-11.081398822117963</v>
      </c>
      <c r="E152" s="11">
        <f>A152-'Mastercurve bestimmen'!$B$2</f>
        <v>-28</v>
      </c>
      <c r="F152" s="11">
        <f t="shared" si="15"/>
        <v>-11.081398822117963</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-10.625438519255804</v>
      </c>
      <c r="E153" s="11">
        <f>A153-'Mastercurve bestimmen'!$B$2</f>
        <v>-27</v>
      </c>
      <c r="F153" s="11">
        <f t="shared" si="15"/>
        <v>-10.625438519255804</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-10.169850115592896</v>
      </c>
      <c r="E154" s="11">
        <f>A154-'Mastercurve bestimmen'!$B$2</f>
        <v>-26</v>
      </c>
      <c r="F154" s="11">
        <f t="shared" si="15"/>
        <v>-10.169850115592896</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-9.715105195915779</v>
      </c>
      <c r="E155" s="11">
        <f>A155-'Mastercurve bestimmen'!$B$2</f>
        <v>-25</v>
      </c>
      <c r="F155" s="11">
        <f t="shared" si="15"/>
        <v>-9.715105195915779</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-9.2616753450109943</v>
      </c>
      <c r="E156" s="11">
        <f>A156-'Mastercurve bestimmen'!$B$2</f>
        <v>-24</v>
      </c>
      <c r="F156" s="11">
        <f t="shared" si="15"/>
        <v>-9.2616753450109943</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-8.8100321476650834</v>
      </c>
      <c r="E157" s="11">
        <f>A157-'Mastercurve bestimmen'!$B$2</f>
        <v>-23</v>
      </c>
      <c r="F157" s="11">
        <f t="shared" si="15"/>
        <v>-8.8100321476650834</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-8.360647188664581</v>
      </c>
      <c r="E158" s="11">
        <f>A158-'Mastercurve bestimmen'!$B$2</f>
        <v>-22</v>
      </c>
      <c r="F158" s="11">
        <f t="shared" si="15"/>
        <v>-8.360647188664581</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-7.913992052796031</v>
      </c>
      <c r="E159" s="11">
        <f>A159-'Mastercurve bestimmen'!$B$2</f>
        <v>-21</v>
      </c>
      <c r="F159" s="11">
        <f t="shared" si="15"/>
        <v>-7.913992052796031</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-7.4705383248459754</v>
      </c>
      <c r="E160" s="11">
        <f>A160-'Mastercurve bestimmen'!$B$2</f>
        <v>-20</v>
      </c>
      <c r="F160" s="11">
        <f t="shared" si="15"/>
        <v>-7.4705383248459754</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-7.0307575896009533</v>
      </c>
      <c r="E161" s="11">
        <f>A161-'Mastercurve bestimmen'!$B$2</f>
        <v>-19</v>
      </c>
      <c r="F161" s="11">
        <f t="shared" si="15"/>
        <v>-7.0307575896009533</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-6.5951214318475015</v>
      </c>
      <c r="E162" s="11">
        <f>A162-'Mastercurve bestimmen'!$B$2</f>
        <v>-18</v>
      </c>
      <c r="F162" s="11">
        <f t="shared" si="15"/>
        <v>-6.5951214318475015</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-6.1641014363721629</v>
      </c>
      <c r="E163" s="11">
        <f>A163-'Mastercurve bestimmen'!$B$2</f>
        <v>-17</v>
      </c>
      <c r="F163" s="11">
        <f t="shared" si="15"/>
        <v>-6.1641014363721629</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-5.7381691879614758</v>
      </c>
      <c r="E164" s="11">
        <f>A164-'Mastercurve bestimmen'!$B$2</f>
        <v>-16</v>
      </c>
      <c r="F164" s="11">
        <f t="shared" si="15"/>
        <v>-5.7381691879614758</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-5.3177962714019831</v>
      </c>
      <c r="E165" s="11">
        <f>A165-'Mastercurve bestimmen'!$B$2</f>
        <v>-15</v>
      </c>
      <c r="F165" s="11">
        <f t="shared" si="15"/>
        <v>-5.3177962714019831</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-4.9034542714802214</v>
      </c>
      <c r="E166" s="11">
        <f>A166-'Mastercurve bestimmen'!$B$2</f>
        <v>-14</v>
      </c>
      <c r="F166" s="11">
        <f t="shared" si="15"/>
        <v>-4.9034542714802214</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-4.4956147729827336</v>
      </c>
      <c r="E167" s="11">
        <f>A167-'Mastercurve bestimmen'!$B$2</f>
        <v>-13</v>
      </c>
      <c r="F167" s="11">
        <f t="shared" si="15"/>
        <v>-4.4956147729827336</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-4.0947493606960599</v>
      </c>
      <c r="E168" s="11">
        <f>A168-'Mastercurve bestimmen'!$B$2</f>
        <v>-12</v>
      </c>
      <c r="F168" s="11">
        <f t="shared" si="15"/>
        <v>-4.0947493606960599</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-3.7013296194067382</v>
      </c>
      <c r="E169" s="11">
        <f>A169-'Mastercurve bestimmen'!$B$2</f>
        <v>-11</v>
      </c>
      <c r="F169" s="11">
        <f t="shared" si="15"/>
        <v>-3.7013296194067382</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-3.3158271339013119</v>
      </c>
      <c r="E170" s="11">
        <f>A170-'Mastercurve bestimmen'!$B$2</f>
        <v>-10</v>
      </c>
      <c r="F170" s="11">
        <f t="shared" si="15"/>
        <v>-3.3158271339013119</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-2.9387134889663171</v>
      </c>
      <c r="E171" s="11">
        <f>A171-'Mastercurve bestimmen'!$B$2</f>
        <v>-9</v>
      </c>
      <c r="F171" s="11">
        <f t="shared" si="15"/>
        <v>-2.9387134889663171</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-2.5704602693882963</v>
      </c>
      <c r="E172" s="11">
        <f>A172-'Mastercurve bestimmen'!$B$2</f>
        <v>-8</v>
      </c>
      <c r="F172" s="11">
        <f t="shared" si="15"/>
        <v>-2.5704602693882963</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-2.2115390599537896</v>
      </c>
      <c r="E173" s="11">
        <f>A173-'Mastercurve bestimmen'!$B$2</f>
        <v>-7</v>
      </c>
      <c r="F173" s="11">
        <f t="shared" si="15"/>
        <v>-2.2115390599537896</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-1.8624214454493377</v>
      </c>
      <c r="E174" s="11">
        <f>A174-'Mastercurve bestimmen'!$B$2</f>
        <v>-6</v>
      </c>
      <c r="F174" s="11">
        <f t="shared" si="15"/>
        <v>-1.8624214454493377</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-1.523579010661479</v>
      </c>
      <c r="E175" s="11">
        <f>A175-'Mastercurve bestimmen'!$B$2</f>
        <v>-5</v>
      </c>
      <c r="F175" s="11">
        <f t="shared" si="15"/>
        <v>-1.523579010661479</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-1.1954833403767537</v>
      </c>
      <c r="E176" s="11">
        <f>A176-'Mastercurve bestimmen'!$B$2</f>
        <v>-4</v>
      </c>
      <c r="F176" s="11">
        <f t="shared" si="15"/>
        <v>-1.1954833403767537</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-0.8786060193817038</v>
      </c>
      <c r="E177" s="11">
        <f>A177-'Mastercurve bestimmen'!$B$2</f>
        <v>-3</v>
      </c>
      <c r="F177" s="11">
        <f t="shared" si="15"/>
        <v>-0.8786060193817038</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-0.57341863246286895</v>
      </c>
      <c r="E178" s="11">
        <f>A178-'Mastercurve bestimmen'!$B$2</f>
        <v>-2</v>
      </c>
      <c r="F178" s="11">
        <f t="shared" si="15"/>
        <v>-0.57341863246286895</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-0.28039276440678762</v>
      </c>
      <c r="E179" s="11">
        <f>A179-'Mastercurve bestimmen'!$B$2</f>
        <v>-1</v>
      </c>
      <c r="F179" s="11">
        <f t="shared" si="15"/>
        <v>-0.28039276440678762</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0.26742907671364141</v>
      </c>
      <c r="E181" s="11">
        <f>A181-'Mastercurve bestimmen'!$B$2</f>
        <v>1</v>
      </c>
      <c r="F181" s="11">
        <f t="shared" si="15"/>
        <v>0.26742907671364141</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0.52212788466104298</v>
      </c>
      <c r="E182" s="11">
        <f>A182-'Mastercurve bestimmen'!$B$2</f>
        <v>2</v>
      </c>
      <c r="F182" s="11">
        <f t="shared" si="15"/>
        <v>0.52212788466104298</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0.76447084351180017</v>
      </c>
      <c r="E183" s="11">
        <f>A183-'Mastercurve bestimmen'!$B$2</f>
        <v>3</v>
      </c>
      <c r="F183" s="11">
        <f t="shared" si="15"/>
        <v>0.76447084351180017</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0.99483237293550841</v>
      </c>
      <c r="E184" s="11">
        <f>A184-'Mastercurve bestimmen'!$B$2</f>
        <v>4</v>
      </c>
      <c r="F184" s="11">
        <f t="shared" si="15"/>
        <v>0.99483237293550841</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1.213586892601763</v>
      </c>
      <c r="E185" s="11">
        <f>A185-'Mastercurve bestimmen'!$B$2</f>
        <v>5</v>
      </c>
      <c r="F185" s="11">
        <f t="shared" si="15"/>
        <v>1.213586892601763</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1.4211088221801593</v>
      </c>
      <c r="E186" s="11">
        <f>A186-'Mastercurve bestimmen'!$B$2</f>
        <v>6</v>
      </c>
      <c r="F186" s="11">
        <f t="shared" si="15"/>
        <v>1.4211088221801593</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1.617772581340293</v>
      </c>
      <c r="E187" s="11">
        <f>A187-'Mastercurve bestimmen'!$B$2</f>
        <v>7</v>
      </c>
      <c r="F187" s="11">
        <f t="shared" si="15"/>
        <v>1.617772581340293</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1.8039525897517583</v>
      </c>
      <c r="E188" s="11">
        <f>A188-'Mastercurve bestimmen'!$B$2</f>
        <v>8</v>
      </c>
      <c r="F188" s="11">
        <f t="shared" si="15"/>
        <v>1.8039525897517583</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1.9800232670841511</v>
      </c>
      <c r="E189" s="11">
        <f>A189-'Mastercurve bestimmen'!$B$2</f>
        <v>9</v>
      </c>
      <c r="F189" s="11">
        <f t="shared" si="15"/>
        <v>1.9800232670841511</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2.1463590330070663</v>
      </c>
      <c r="E190" s="11">
        <f>A190-'Mastercurve bestimmen'!$B$2</f>
        <v>10</v>
      </c>
      <c r="F190" s="11">
        <f t="shared" si="15"/>
        <v>2.1463590330070663</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2.3033343071901005</v>
      </c>
      <c r="E191" s="11">
        <f>A191-'Mastercurve bestimmen'!$B$2</f>
        <v>11</v>
      </c>
      <c r="F191" s="11">
        <f t="shared" si="15"/>
        <v>2.3033343071901005</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2.4513235093028474</v>
      </c>
      <c r="E192" s="11">
        <f>A192-'Mastercurve bestimmen'!$B$2</f>
        <v>12</v>
      </c>
      <c r="F192" s="11">
        <f t="shared" si="15"/>
        <v>2.4513235093028474</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2.5907010590149024</v>
      </c>
      <c r="E193" s="11">
        <f>A193-'Mastercurve bestimmen'!$B$2</f>
        <v>13</v>
      </c>
      <c r="F193" s="11">
        <f t="shared" si="15"/>
        <v>2.5907010590149024</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2.721841375995862</v>
      </c>
      <c r="E194" s="11">
        <f>A194-'Mastercurve bestimmen'!$B$2</f>
        <v>14</v>
      </c>
      <c r="F194" s="11">
        <f t="shared" si="15"/>
        <v>2.721841375995862</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2.8451188799153204</v>
      </c>
      <c r="E195" s="11">
        <f>A195-'Mastercurve bestimmen'!$B$2</f>
        <v>15</v>
      </c>
      <c r="F195" s="11">
        <f t="shared" si="15"/>
        <v>2.8451188799153204</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2.9609079904428732</v>
      </c>
      <c r="E196" s="11">
        <f>A196-'Mastercurve bestimmen'!$B$2</f>
        <v>16</v>
      </c>
      <c r="F196" s="11">
        <f t="shared" si="15"/>
        <v>2.9609079904428732</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3.0695831272481162</v>
      </c>
      <c r="E197" s="11">
        <f>A197-'Mastercurve bestimmen'!$B$2</f>
        <v>17</v>
      </c>
      <c r="F197" s="11">
        <f t="shared" si="15"/>
        <v>3.0695831272481162</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3.1715187100006434</v>
      </c>
      <c r="E198" s="11">
        <f>A198-'Mastercurve bestimmen'!$B$2</f>
        <v>18</v>
      </c>
      <c r="F198" s="11">
        <f t="shared" si="15"/>
        <v>3.1715187100006434</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3.2670891583700516</v>
      </c>
      <c r="E199" s="11">
        <f>A199-'Mastercurve bestimmen'!$B$2</f>
        <v>19</v>
      </c>
      <c r="F199" s="11">
        <f t="shared" si="15"/>
        <v>3.2670891583700516</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3.3566688920259344</v>
      </c>
      <c r="E200" s="11">
        <f>A200-'Mastercurve bestimmen'!$B$2</f>
        <v>20</v>
      </c>
      <c r="F200" s="11">
        <f t="shared" si="15"/>
        <v>3.3566688920259344</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3.440632330637889</v>
      </c>
      <c r="E201" s="11">
        <f>A201-'Mastercurve bestimmen'!$B$2</f>
        <v>21</v>
      </c>
      <c r="F201" s="11">
        <f t="shared" si="15"/>
        <v>3.440632330637889</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3.5193538938755093</v>
      </c>
      <c r="E202" s="11">
        <f>A202-'Mastercurve bestimmen'!$B$2</f>
        <v>22</v>
      </c>
      <c r="F202" s="11">
        <f t="shared" si="15"/>
        <v>3.5193538938755093</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3.5932080014083905</v>
      </c>
      <c r="E203" s="11">
        <f>A203-'Mastercurve bestimmen'!$B$2</f>
        <v>23</v>
      </c>
      <c r="F203" s="11">
        <f t="shared" si="15"/>
        <v>3.5932080014083905</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3.6625690729061291</v>
      </c>
      <c r="E204" s="11">
        <f>A204-'Mastercurve bestimmen'!$B$2</f>
        <v>24</v>
      </c>
      <c r="F204" s="11">
        <f t="shared" si="15"/>
        <v>3.6625690729061291</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3.7278115280383197</v>
      </c>
      <c r="E205" s="11">
        <f>A205-'Mastercurve bestimmen'!$B$2</f>
        <v>25</v>
      </c>
      <c r="F205" s="11">
        <f t="shared" si="15"/>
        <v>3.7278115280383197</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3.7893097864745564</v>
      </c>
      <c r="E206" s="11">
        <f>A206-'Mastercurve bestimmen'!$B$2</f>
        <v>26</v>
      </c>
      <c r="F206" s="11">
        <f t="shared" si="15"/>
        <v>3.7893097864745564</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3.8474382678844368</v>
      </c>
      <c r="E207" s="11">
        <f>A207-'Mastercurve bestimmen'!$B$2</f>
        <v>27</v>
      </c>
      <c r="F207" s="11">
        <f t="shared" si="15"/>
        <v>3.8474382678844368</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3.9025713919375544</v>
      </c>
      <c r="E208" s="11">
        <f>A208-'Mastercurve bestimmen'!$B$2</f>
        <v>28</v>
      </c>
      <c r="F208" s="11">
        <f t="shared" ref="F208:F215" si="21">B208</f>
        <v>3.9025713919375544</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3.9550835783035048</v>
      </c>
      <c r="E209" s="11">
        <f>A209-'Mastercurve bestimmen'!$B$2</f>
        <v>29</v>
      </c>
      <c r="F209" s="11">
        <f t="shared" si="21"/>
        <v>3.9550835783035048</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4.0053492466518845</v>
      </c>
      <c r="E210" s="11">
        <f>A210-'Mastercurve bestimmen'!$B$2</f>
        <v>30</v>
      </c>
      <c r="F210" s="11">
        <f t="shared" si="21"/>
        <v>4.0053492466518845</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4.0537428166522869</v>
      </c>
      <c r="E211" s="11">
        <f>A211-'Mastercurve bestimmen'!$B$2</f>
        <v>31</v>
      </c>
      <c r="F211" s="11">
        <f t="shared" si="21"/>
        <v>4.0537428166522869</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4.1006387079743085</v>
      </c>
      <c r="E212" s="11">
        <f>A212-'Mastercurve bestimmen'!$B$2</f>
        <v>32</v>
      </c>
      <c r="F212" s="11">
        <f t="shared" si="21"/>
        <v>4.1006387079743085</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4.1464113402875444</v>
      </c>
      <c r="E213" s="11">
        <f>A213-'Mastercurve bestimmen'!$B$2</f>
        <v>33</v>
      </c>
      <c r="F213" s="11">
        <f t="shared" si="21"/>
        <v>4.1464113402875444</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4.1914351332615896</v>
      </c>
      <c r="E214" s="11">
        <f>A214-'Mastercurve bestimmen'!$B$2</f>
        <v>34</v>
      </c>
      <c r="F214" s="11">
        <f t="shared" si="21"/>
        <v>4.1914351332615896</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4.2360845065660389</v>
      </c>
      <c r="E215" s="11">
        <f>A215-'Mastercurve bestimmen'!$B$2</f>
        <v>35</v>
      </c>
      <c r="F215" s="11">
        <f t="shared" si="21"/>
        <v>4.2360845065660389</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0.28828859128831863</v>
      </c>
      <c r="J217" s="98">
        <v>-5.8961465751516083E-3</v>
      </c>
      <c r="K217" s="98">
        <v>-4.9020729742651643E-5</v>
      </c>
      <c r="L217" s="98">
        <v>1.3875731130202573E-6</v>
      </c>
      <c r="M217" s="98">
        <v>2.5669850169978131E-8</v>
      </c>
      <c r="N217" s="98">
        <v>1.6325831865965362E-10</v>
      </c>
      <c r="O217" s="98">
        <v>4.1835046048773301E-13</v>
      </c>
      <c r="P217" s="98">
        <v>2.8510301274482405E-16</v>
      </c>
    </row>
    <row r="218" spans="1:16" x14ac:dyDescent="0.25">
      <c r="G218" s="11"/>
      <c r="H218" s="11">
        <v>0</v>
      </c>
      <c r="I218" s="11">
        <v>9.7528137637883081E-4</v>
      </c>
      <c r="J218" s="11">
        <v>3.9615567407327421E-5</v>
      </c>
      <c r="K218" s="3">
        <v>1.2210248235051935E-6</v>
      </c>
      <c r="L218" s="3">
        <v>3.137722789525669E-8</v>
      </c>
      <c r="M218" s="3">
        <v>8.7389823696082538E-10</v>
      </c>
      <c r="N218" s="3">
        <v>1.0364923022078651E-11</v>
      </c>
      <c r="O218" s="11">
        <v>5.4460150740160388E-14</v>
      </c>
      <c r="P218" s="11">
        <v>1.063180656341922E-16</v>
      </c>
    </row>
    <row r="219" spans="1:16" x14ac:dyDescent="0.25">
      <c r="G219" s="11"/>
      <c r="H219" s="11">
        <v>0.99999004482888232</v>
      </c>
      <c r="I219" s="11">
        <v>8.3845194678477952E-2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-40.662725389639974</v>
      </c>
      <c r="G222">
        <f>F15</f>
        <v>-40.510264201282538</v>
      </c>
    </row>
    <row r="223" spans="1:16" x14ac:dyDescent="0.25">
      <c r="E223" s="11">
        <f t="shared" ref="E223:E286" si="25">E16</f>
        <v>-164</v>
      </c>
      <c r="F223" s="11">
        <f t="shared" ref="F223:F286" si="26">$H$217*0+E223*$I$217+E223^2*$J$217+E223^3*$K$217+E223^4*$L$217+E223^5*$M$217+E223^6*$N$217+E223^7*$O$217+E223^8*$P$217</f>
        <v>-40.536061305612407</v>
      </c>
      <c r="G223" s="11">
        <f t="shared" ref="G223:G286" si="27">F16</f>
        <v>-40.443643053222601</v>
      </c>
    </row>
    <row r="224" spans="1:16" x14ac:dyDescent="0.25">
      <c r="E224" s="11">
        <f t="shared" si="25"/>
        <v>-163</v>
      </c>
      <c r="F224" s="11">
        <f t="shared" si="26"/>
        <v>-40.420574023335234</v>
      </c>
      <c r="G224" s="11">
        <f t="shared" si="27"/>
        <v>-40.376912272728838</v>
      </c>
    </row>
    <row r="225" spans="5:7" x14ac:dyDescent="0.25">
      <c r="E225" s="11">
        <f t="shared" si="25"/>
        <v>-162</v>
      </c>
      <c r="F225" s="11">
        <f t="shared" si="26"/>
        <v>-40.314867330622207</v>
      </c>
      <c r="G225" s="11">
        <f t="shared" si="27"/>
        <v>-40.309962227367436</v>
      </c>
    </row>
    <row r="226" spans="5:7" x14ac:dyDescent="0.25">
      <c r="E226" s="11">
        <f t="shared" si="25"/>
        <v>-161</v>
      </c>
      <c r="F226" s="11">
        <f t="shared" si="26"/>
        <v>-40.217636062427573</v>
      </c>
      <c r="G226" s="11">
        <f t="shared" si="27"/>
        <v>-40.242683284704562</v>
      </c>
    </row>
    <row r="227" spans="5:7" x14ac:dyDescent="0.25">
      <c r="E227" s="11">
        <f t="shared" si="25"/>
        <v>-160</v>
      </c>
      <c r="F227" s="11">
        <f t="shared" si="26"/>
        <v>-40.127662504151488</v>
      </c>
      <c r="G227" s="11">
        <f t="shared" si="27"/>
        <v>-40.174965812306411</v>
      </c>
    </row>
    <row r="228" spans="5:7" x14ac:dyDescent="0.25">
      <c r="E228" s="11">
        <f t="shared" si="25"/>
        <v>-159</v>
      </c>
      <c r="F228" s="11">
        <f t="shared" si="26"/>
        <v>-40.04381286813063</v>
      </c>
      <c r="G228" s="11">
        <f t="shared" si="27"/>
        <v>-40.106700177739143</v>
      </c>
    </row>
    <row r="229" spans="5:7" x14ac:dyDescent="0.25">
      <c r="E229" s="11">
        <f t="shared" si="25"/>
        <v>-158</v>
      </c>
      <c r="F229" s="11">
        <f t="shared" si="26"/>
        <v>-39.965033843059572</v>
      </c>
      <c r="G229" s="11">
        <f t="shared" si="27"/>
        <v>-40.037776748568952</v>
      </c>
    </row>
    <row r="230" spans="5:7" x14ac:dyDescent="0.25">
      <c r="E230" s="11">
        <f t="shared" si="25"/>
        <v>-157</v>
      </c>
      <c r="F230" s="11">
        <f t="shared" si="26"/>
        <v>-39.890349216081844</v>
      </c>
      <c r="G230" s="11">
        <f t="shared" si="27"/>
        <v>-39.968085892362005</v>
      </c>
    </row>
    <row r="231" spans="5:7" x14ac:dyDescent="0.25">
      <c r="E231" s="11">
        <f t="shared" si="25"/>
        <v>-156</v>
      </c>
      <c r="F231" s="11">
        <f t="shared" si="26"/>
        <v>-39.81885656727485</v>
      </c>
      <c r="G231" s="11">
        <f t="shared" si="27"/>
        <v>-39.89751797668449</v>
      </c>
    </row>
    <row r="232" spans="5:7" x14ac:dyDescent="0.25">
      <c r="E232" s="11">
        <f t="shared" si="25"/>
        <v>-155</v>
      </c>
      <c r="F232" s="11">
        <f t="shared" si="26"/>
        <v>-39.74972403623805</v>
      </c>
      <c r="G232" s="11">
        <f t="shared" si="27"/>
        <v>-39.825963369102588</v>
      </c>
    </row>
    <row r="233" spans="5:7" x14ac:dyDescent="0.25">
      <c r="E233" s="11">
        <f t="shared" si="25"/>
        <v>-154</v>
      </c>
      <c r="F233" s="11">
        <f t="shared" si="26"/>
        <v>-39.682187160495189</v>
      </c>
      <c r="G233" s="11">
        <f t="shared" si="27"/>
        <v>-39.753312437182466</v>
      </c>
    </row>
    <row r="234" spans="5:7" x14ac:dyDescent="0.25">
      <c r="E234" s="11">
        <f t="shared" si="25"/>
        <v>-153</v>
      </c>
      <c r="F234" s="11">
        <f t="shared" si="26"/>
        <v>-39.615545785393081</v>
      </c>
      <c r="G234" s="11">
        <f t="shared" si="27"/>
        <v>-39.67945554849031</v>
      </c>
    </row>
    <row r="235" spans="5:7" x14ac:dyDescent="0.25">
      <c r="E235" s="11">
        <f t="shared" si="25"/>
        <v>-152</v>
      </c>
      <c r="F235" s="11">
        <f t="shared" si="26"/>
        <v>-39.549161045180469</v>
      </c>
      <c r="G235" s="11">
        <f t="shared" si="27"/>
        <v>-39.604283070592295</v>
      </c>
    </row>
    <row r="236" spans="5:7" x14ac:dyDescent="0.25">
      <c r="E236" s="11">
        <f t="shared" si="25"/>
        <v>-151</v>
      </c>
      <c r="F236" s="11">
        <f t="shared" si="26"/>
        <v>-39.48245241493062</v>
      </c>
      <c r="G236" s="11">
        <f t="shared" si="27"/>
        <v>-39.527685371054602</v>
      </c>
    </row>
    <row r="237" spans="5:7" x14ac:dyDescent="0.25">
      <c r="E237" s="11">
        <f t="shared" si="25"/>
        <v>-150</v>
      </c>
      <c r="F237" s="11">
        <f t="shared" si="26"/>
        <v>-39.414894832968017</v>
      </c>
      <c r="G237" s="11">
        <f t="shared" si="27"/>
        <v>-39.449552817443404</v>
      </c>
    </row>
    <row r="238" spans="5:7" x14ac:dyDescent="0.25">
      <c r="E238" s="11">
        <f t="shared" si="25"/>
        <v>-149</v>
      </c>
      <c r="F238" s="11">
        <f t="shared" si="26"/>
        <v>-39.346015893442043</v>
      </c>
      <c r="G238" s="11">
        <f t="shared" si="27"/>
        <v>-39.36977577732489</v>
      </c>
    </row>
    <row r="239" spans="5:7" x14ac:dyDescent="0.25">
      <c r="E239" s="11">
        <f t="shared" si="25"/>
        <v>-148</v>
      </c>
      <c r="F239" s="11">
        <f t="shared" si="26"/>
        <v>-39.275393108679921</v>
      </c>
      <c r="G239" s="11">
        <f t="shared" si="27"/>
        <v>-39.288244618265232</v>
      </c>
    </row>
    <row r="240" spans="5:7" x14ac:dyDescent="0.25">
      <c r="E240" s="11">
        <f t="shared" si="25"/>
        <v>-147</v>
      </c>
      <c r="F240" s="11">
        <f t="shared" si="26"/>
        <v>-39.202651240941563</v>
      </c>
      <c r="G240" s="11">
        <f t="shared" si="27"/>
        <v>-39.204849707830611</v>
      </c>
    </row>
    <row r="241" spans="5:7" x14ac:dyDescent="0.25">
      <c r="E241" s="11">
        <f t="shared" si="25"/>
        <v>-146</v>
      </c>
      <c r="F241" s="11">
        <f t="shared" si="26"/>
        <v>-39.127459703182168</v>
      </c>
      <c r="G241" s="11">
        <f t="shared" si="27"/>
        <v>-39.119481413587202</v>
      </c>
    </row>
    <row r="242" spans="5:7" x14ac:dyDescent="0.25">
      <c r="E242" s="11">
        <f t="shared" si="25"/>
        <v>-145</v>
      </c>
      <c r="F242" s="11">
        <f t="shared" si="26"/>
        <v>-39.049530028432322</v>
      </c>
      <c r="G242" s="11">
        <f t="shared" si="27"/>
        <v>-39.032030103101185</v>
      </c>
    </row>
    <row r="243" spans="5:7" x14ac:dyDescent="0.25">
      <c r="E243" s="11">
        <f t="shared" si="25"/>
        <v>-144</v>
      </c>
      <c r="F243" s="11">
        <f t="shared" si="26"/>
        <v>-38.968613407366902</v>
      </c>
      <c r="G243" s="11">
        <f t="shared" si="27"/>
        <v>-38.942386143938741</v>
      </c>
    </row>
    <row r="244" spans="5:7" x14ac:dyDescent="0.25">
      <c r="E244" s="11">
        <f t="shared" si="25"/>
        <v>-143</v>
      </c>
      <c r="F244" s="11">
        <f t="shared" si="26"/>
        <v>-38.884498293652754</v>
      </c>
      <c r="G244" s="11">
        <f t="shared" si="27"/>
        <v>-38.850439903666043</v>
      </c>
    </row>
    <row r="245" spans="5:7" x14ac:dyDescent="0.25">
      <c r="E245" s="11">
        <f t="shared" si="25"/>
        <v>-142</v>
      </c>
      <c r="F245" s="11">
        <f t="shared" si="26"/>
        <v>-38.797008076630398</v>
      </c>
      <c r="G245" s="11">
        <f t="shared" si="27"/>
        <v>-38.75608174984928</v>
      </c>
    </row>
    <row r="246" spans="5:7" x14ac:dyDescent="0.25">
      <c r="E246" s="11">
        <f t="shared" si="25"/>
        <v>-141</v>
      </c>
      <c r="F246" s="11">
        <f t="shared" si="26"/>
        <v>-38.705998820884531</v>
      </c>
      <c r="G246" s="11">
        <f t="shared" si="27"/>
        <v>-38.659202050054617</v>
      </c>
    </row>
    <row r="247" spans="5:7" x14ac:dyDescent="0.25">
      <c r="E247" s="11">
        <f t="shared" si="25"/>
        <v>-140</v>
      </c>
      <c r="F247" s="11">
        <f t="shared" si="26"/>
        <v>-38.611357072247131</v>
      </c>
      <c r="G247" s="11">
        <f t="shared" si="27"/>
        <v>-38.559691171848243</v>
      </c>
    </row>
    <row r="248" spans="5:7" x14ac:dyDescent="0.25">
      <c r="E248" s="11">
        <f t="shared" si="25"/>
        <v>-139</v>
      </c>
      <c r="F248" s="11">
        <f t="shared" si="26"/>
        <v>-38.512997729758617</v>
      </c>
      <c r="G248" s="11">
        <f t="shared" si="27"/>
        <v>-38.457439482796332</v>
      </c>
    </row>
    <row r="249" spans="5:7" x14ac:dyDescent="0.25">
      <c r="E249" s="11">
        <f t="shared" si="25"/>
        <v>-138</v>
      </c>
      <c r="F249" s="11">
        <f t="shared" si="26"/>
        <v>-38.410861983109271</v>
      </c>
      <c r="G249" s="11">
        <f t="shared" si="27"/>
        <v>-38.352337350465064</v>
      </c>
    </row>
    <row r="250" spans="5:7" x14ac:dyDescent="0.25">
      <c r="E250" s="11">
        <f t="shared" si="25"/>
        <v>-137</v>
      </c>
      <c r="F250" s="11">
        <f t="shared" si="26"/>
        <v>-38.304915315062267</v>
      </c>
      <c r="G250" s="11">
        <f t="shared" si="27"/>
        <v>-38.244275142420619</v>
      </c>
    </row>
    <row r="251" spans="5:7" x14ac:dyDescent="0.25">
      <c r="E251" s="11">
        <f t="shared" si="25"/>
        <v>-136</v>
      </c>
      <c r="F251" s="11">
        <f t="shared" si="26"/>
        <v>-38.195145568359777</v>
      </c>
      <c r="G251" s="11">
        <f t="shared" si="27"/>
        <v>-38.133143226229166</v>
      </c>
    </row>
    <row r="252" spans="5:7" x14ac:dyDescent="0.25">
      <c r="E252" s="11">
        <f t="shared" si="25"/>
        <v>-135</v>
      </c>
      <c r="F252" s="11">
        <f t="shared" si="26"/>
        <v>-38.081561076590589</v>
      </c>
      <c r="G252" s="11">
        <f t="shared" si="27"/>
        <v>-38.018831969456897</v>
      </c>
    </row>
    <row r="253" spans="5:7" x14ac:dyDescent="0.25">
      <c r="E253" s="11">
        <f t="shared" si="25"/>
        <v>-134</v>
      </c>
      <c r="F253" s="11">
        <f t="shared" si="26"/>
        <v>-37.96418885849431</v>
      </c>
      <c r="G253" s="11">
        <f t="shared" si="27"/>
        <v>-37.901231739669981</v>
      </c>
    </row>
    <row r="254" spans="5:7" x14ac:dyDescent="0.25">
      <c r="E254" s="11">
        <f t="shared" si="25"/>
        <v>-133</v>
      </c>
      <c r="F254" s="11">
        <f t="shared" si="26"/>
        <v>-37.843072875161276</v>
      </c>
      <c r="G254" s="11">
        <f t="shared" si="27"/>
        <v>-37.780232904434605</v>
      </c>
    </row>
    <row r="255" spans="5:7" x14ac:dyDescent="0.25">
      <c r="E255" s="11">
        <f t="shared" si="25"/>
        <v>-132</v>
      </c>
      <c r="F255" s="11">
        <f t="shared" si="26"/>
        <v>-37.718272349578072</v>
      </c>
      <c r="G255" s="11">
        <f t="shared" si="27"/>
        <v>-37.655725831316943</v>
      </c>
    </row>
    <row r="256" spans="5:7" x14ac:dyDescent="0.25">
      <c r="E256" s="11">
        <f t="shared" si="25"/>
        <v>-131</v>
      </c>
      <c r="F256" s="11">
        <f t="shared" si="26"/>
        <v>-37.589860147956422</v>
      </c>
      <c r="G256" s="11">
        <f t="shared" si="27"/>
        <v>-37.527600887883168</v>
      </c>
    </row>
    <row r="257" spans="5:7" x14ac:dyDescent="0.25">
      <c r="E257" s="11">
        <f t="shared" si="25"/>
        <v>-130</v>
      </c>
      <c r="F257" s="11">
        <f t="shared" si="26"/>
        <v>-37.457921222269874</v>
      </c>
      <c r="G257" s="11">
        <f t="shared" si="27"/>
        <v>-37.395748441699467</v>
      </c>
    </row>
    <row r="258" spans="5:7" x14ac:dyDescent="0.25">
      <c r="E258" s="11">
        <f t="shared" si="25"/>
        <v>-129</v>
      </c>
      <c r="F258" s="11">
        <f t="shared" si="26"/>
        <v>-37.322551113416452</v>
      </c>
      <c r="G258" s="11">
        <f t="shared" si="27"/>
        <v>-37.260058860332016</v>
      </c>
    </row>
    <row r="259" spans="5:7" x14ac:dyDescent="0.25">
      <c r="E259" s="11">
        <f t="shared" si="25"/>
        <v>-128</v>
      </c>
      <c r="F259" s="11">
        <f t="shared" si="26"/>
        <v>-37.183854514406235</v>
      </c>
      <c r="G259" s="11">
        <f t="shared" si="27"/>
        <v>-37.120422511346995</v>
      </c>
    </row>
    <row r="260" spans="5:7" x14ac:dyDescent="0.25">
      <c r="E260" s="11">
        <f t="shared" si="25"/>
        <v>-127</v>
      </c>
      <c r="F260" s="11">
        <f t="shared" si="26"/>
        <v>-37.041943892969122</v>
      </c>
      <c r="G260" s="11">
        <f t="shared" si="27"/>
        <v>-36.976729762310576</v>
      </c>
    </row>
    <row r="261" spans="5:7" x14ac:dyDescent="0.25">
      <c r="E261" s="11">
        <f t="shared" si="25"/>
        <v>-126</v>
      </c>
      <c r="F261" s="11">
        <f t="shared" si="26"/>
        <v>-36.896938172960155</v>
      </c>
      <c r="G261" s="11">
        <f t="shared" si="27"/>
        <v>-36.828870980788942</v>
      </c>
    </row>
    <row r="262" spans="5:7" x14ac:dyDescent="0.25">
      <c r="E262" s="11">
        <f t="shared" si="25"/>
        <v>-125</v>
      </c>
      <c r="F262" s="11">
        <f t="shared" si="26"/>
        <v>-36.748961473932887</v>
      </c>
      <c r="G262" s="11">
        <f t="shared" si="27"/>
        <v>-36.676736534348272</v>
      </c>
    </row>
    <row r="263" spans="5:7" x14ac:dyDescent="0.25">
      <c r="E263" s="11">
        <f t="shared" si="25"/>
        <v>-124</v>
      </c>
      <c r="F263" s="11">
        <f t="shared" si="26"/>
        <v>-36.598141908237835</v>
      </c>
      <c r="G263" s="11">
        <f t="shared" si="27"/>
        <v>-36.547421863121329</v>
      </c>
    </row>
    <row r="264" spans="5:7" x14ac:dyDescent="0.25">
      <c r="E264" s="11">
        <f t="shared" si="25"/>
        <v>-123</v>
      </c>
      <c r="F264" s="11">
        <f t="shared" si="26"/>
        <v>-36.444610434989812</v>
      </c>
      <c r="G264" s="11">
        <f t="shared" si="27"/>
        <v>-36.413861865866089</v>
      </c>
    </row>
    <row r="265" spans="5:7" x14ac:dyDescent="0.25">
      <c r="E265" s="11">
        <f t="shared" si="25"/>
        <v>-122</v>
      </c>
      <c r="F265" s="11">
        <f t="shared" si="26"/>
        <v>-36.288499770241508</v>
      </c>
      <c r="G265" s="11">
        <f t="shared" si="27"/>
        <v>-36.276196513907088</v>
      </c>
    </row>
    <row r="266" spans="5:7" x14ac:dyDescent="0.25">
      <c r="E266" s="11">
        <f t="shared" si="25"/>
        <v>-121</v>
      </c>
      <c r="F266" s="11">
        <f t="shared" si="26"/>
        <v>-36.129943352682638</v>
      </c>
      <c r="G266" s="11">
        <f t="shared" si="27"/>
        <v>-36.134565778568899</v>
      </c>
    </row>
    <row r="267" spans="5:7" x14ac:dyDescent="0.25">
      <c r="E267" s="11">
        <f t="shared" si="25"/>
        <v>-120</v>
      </c>
      <c r="F267" s="11">
        <f t="shared" si="26"/>
        <v>-35.969074364178944</v>
      </c>
      <c r="G267" s="11">
        <f t="shared" si="27"/>
        <v>-35.989109631176092</v>
      </c>
    </row>
    <row r="268" spans="5:7" x14ac:dyDescent="0.25">
      <c r="E268" s="11">
        <f t="shared" si="25"/>
        <v>-119</v>
      </c>
      <c r="F268" s="11">
        <f t="shared" si="26"/>
        <v>-35.806024804447546</v>
      </c>
      <c r="G268" s="11">
        <f t="shared" si="27"/>
        <v>-35.839968043053204</v>
      </c>
    </row>
    <row r="269" spans="5:7" x14ac:dyDescent="0.25">
      <c r="E269" s="11">
        <f t="shared" si="25"/>
        <v>-118</v>
      </c>
      <c r="F269" s="11">
        <f t="shared" si="26"/>
        <v>-35.64092461916033</v>
      </c>
      <c r="G269" s="11">
        <f t="shared" si="27"/>
        <v>-35.687280985524794</v>
      </c>
    </row>
    <row r="270" spans="5:7" x14ac:dyDescent="0.25">
      <c r="E270" s="11">
        <f t="shared" si="25"/>
        <v>-117</v>
      </c>
      <c r="F270" s="11">
        <f t="shared" si="26"/>
        <v>-35.473900880748744</v>
      </c>
      <c r="G270" s="11">
        <f t="shared" si="27"/>
        <v>-35.531188429915431</v>
      </c>
    </row>
    <row r="271" spans="5:7" x14ac:dyDescent="0.25">
      <c r="E271" s="11">
        <f t="shared" si="25"/>
        <v>-116</v>
      </c>
      <c r="F271" s="11">
        <f t="shared" si="26"/>
        <v>-35.305077021177617</v>
      </c>
      <c r="G271" s="11">
        <f t="shared" si="27"/>
        <v>-35.371830347549661</v>
      </c>
    </row>
    <row r="272" spans="5:7" x14ac:dyDescent="0.25">
      <c r="E272" s="11">
        <f t="shared" si="25"/>
        <v>-115</v>
      </c>
      <c r="F272" s="11">
        <f t="shared" si="26"/>
        <v>-35.134572115940948</v>
      </c>
      <c r="G272" s="11">
        <f t="shared" si="27"/>
        <v>-35.209346709752047</v>
      </c>
    </row>
    <row r="273" spans="5:7" x14ac:dyDescent="0.25">
      <c r="E273" s="11">
        <f t="shared" si="25"/>
        <v>-114</v>
      </c>
      <c r="F273" s="11">
        <f t="shared" si="26"/>
        <v>-34.962500218521129</v>
      </c>
      <c r="G273" s="11">
        <f t="shared" si="27"/>
        <v>-35.043877487847141</v>
      </c>
    </row>
    <row r="274" spans="5:7" x14ac:dyDescent="0.25">
      <c r="E274" s="11">
        <f t="shared" si="25"/>
        <v>-113</v>
      </c>
      <c r="F274" s="11">
        <f t="shared" si="26"/>
        <v>-34.788969744543394</v>
      </c>
      <c r="G274" s="11">
        <f t="shared" si="27"/>
        <v>-34.875562653159506</v>
      </c>
    </row>
    <row r="275" spans="5:7" x14ac:dyDescent="0.25">
      <c r="E275" s="11">
        <f t="shared" si="25"/>
        <v>-112</v>
      </c>
      <c r="F275" s="11">
        <f t="shared" si="26"/>
        <v>-34.61408290484453</v>
      </c>
      <c r="G275" s="11">
        <f t="shared" si="27"/>
        <v>-34.704542177013693</v>
      </c>
    </row>
    <row r="276" spans="5:7" x14ac:dyDescent="0.25">
      <c r="E276" s="11">
        <f t="shared" si="25"/>
        <v>-111</v>
      </c>
      <c r="F276" s="11">
        <f t="shared" si="26"/>
        <v>-34.437935186662529</v>
      </c>
      <c r="G276" s="11">
        <f t="shared" si="27"/>
        <v>-34.530956030734252</v>
      </c>
    </row>
    <row r="277" spans="5:7" x14ac:dyDescent="0.25">
      <c r="E277" s="11">
        <f t="shared" si="25"/>
        <v>-110</v>
      </c>
      <c r="F277" s="11">
        <f t="shared" si="26"/>
        <v>-34.260614882145497</v>
      </c>
      <c r="G277" s="11">
        <f t="shared" si="27"/>
        <v>-34.354944185645756</v>
      </c>
    </row>
    <row r="278" spans="5:7" x14ac:dyDescent="0.25">
      <c r="E278" s="11">
        <f t="shared" si="25"/>
        <v>-109</v>
      </c>
      <c r="F278" s="11">
        <f t="shared" si="26"/>
        <v>-34.082202663362075</v>
      </c>
      <c r="G278" s="11">
        <f t="shared" si="27"/>
        <v>-34.176646613072748</v>
      </c>
    </row>
    <row r="279" spans="5:7" x14ac:dyDescent="0.25">
      <c r="E279" s="11">
        <f t="shared" si="25"/>
        <v>-108</v>
      </c>
      <c r="F279" s="11">
        <f t="shared" si="26"/>
        <v>-33.902771202988575</v>
      </c>
      <c r="G279" s="11">
        <f t="shared" si="27"/>
        <v>-33.996203284339799</v>
      </c>
    </row>
    <row r="280" spans="5:7" x14ac:dyDescent="0.25">
      <c r="E280" s="11">
        <f t="shared" si="25"/>
        <v>-107</v>
      </c>
      <c r="F280" s="11">
        <f t="shared" si="26"/>
        <v>-33.722384839833722</v>
      </c>
      <c r="G280" s="11">
        <f t="shared" si="27"/>
        <v>-33.813754170771453</v>
      </c>
    </row>
    <row r="281" spans="5:7" x14ac:dyDescent="0.25">
      <c r="E281" s="11">
        <f t="shared" si="25"/>
        <v>-106</v>
      </c>
      <c r="F281" s="11">
        <f t="shared" si="26"/>
        <v>-33.541099288351269</v>
      </c>
      <c r="G281" s="11">
        <f t="shared" si="27"/>
        <v>-33.629439243692261</v>
      </c>
    </row>
    <row r="282" spans="5:7" x14ac:dyDescent="0.25">
      <c r="E282" s="11">
        <f t="shared" si="25"/>
        <v>-105</v>
      </c>
      <c r="F282" s="11">
        <f t="shared" si="26"/>
        <v>-33.358961391279408</v>
      </c>
      <c r="G282" s="11">
        <f t="shared" si="27"/>
        <v>-33.443398474426807</v>
      </c>
    </row>
    <row r="283" spans="5:7" x14ac:dyDescent="0.25">
      <c r="E283" s="11">
        <f t="shared" si="25"/>
        <v>-104</v>
      </c>
      <c r="F283" s="11">
        <f t="shared" si="26"/>
        <v>-33.176008914534307</v>
      </c>
      <c r="G283" s="11">
        <f t="shared" si="27"/>
        <v>-33.255771834299622</v>
      </c>
    </row>
    <row r="284" spans="5:7" x14ac:dyDescent="0.25">
      <c r="E284" s="11">
        <f t="shared" si="25"/>
        <v>-103</v>
      </c>
      <c r="F284" s="11">
        <f t="shared" si="26"/>
        <v>-32.992270383473574</v>
      </c>
      <c r="G284" s="11">
        <f t="shared" si="27"/>
        <v>-33.066699294635264</v>
      </c>
    </row>
    <row r="285" spans="5:7" x14ac:dyDescent="0.25">
      <c r="E285" s="11">
        <f t="shared" si="25"/>
        <v>-102</v>
      </c>
      <c r="F285" s="11">
        <f t="shared" si="26"/>
        <v>-32.807764959633083</v>
      </c>
      <c r="G285" s="11">
        <f t="shared" si="27"/>
        <v>-32.87632082675831</v>
      </c>
    </row>
    <row r="286" spans="5:7" x14ac:dyDescent="0.25">
      <c r="E286" s="11">
        <f t="shared" si="25"/>
        <v>-101</v>
      </c>
      <c r="F286" s="11">
        <f t="shared" si="26"/>
        <v>-32.622502357031749</v>
      </c>
      <c r="G286" s="11">
        <f t="shared" si="27"/>
        <v>-32.684776401993297</v>
      </c>
    </row>
    <row r="287" spans="5:7" x14ac:dyDescent="0.25">
      <c r="E287" s="11">
        <f t="shared" ref="E287:E350" si="28">E80</f>
        <v>-100</v>
      </c>
      <c r="F287" s="11">
        <f t="shared" ref="F287:F350" si="29">$H$217*0+E287*$I$217+E287^2*$J$217+E287^3*$K$217+E287^4*$L$217+E287^5*$M$217+E287^6*$N$217+E287^7*$O$217+E287^8*$P$217</f>
        <v>-32.43648279712334</v>
      </c>
      <c r="G287" s="11">
        <f t="shared" ref="G287:G350" si="30">F80</f>
        <v>-32.49220599166479</v>
      </c>
    </row>
    <row r="288" spans="5:7" x14ac:dyDescent="0.25">
      <c r="E288" s="11">
        <f t="shared" si="28"/>
        <v>-99</v>
      </c>
      <c r="F288" s="11">
        <f t="shared" si="29"/>
        <v>-32.249697001466814</v>
      </c>
      <c r="G288" s="11">
        <f t="shared" si="30"/>
        <v>-32.298717529772112</v>
      </c>
    </row>
    <row r="289" spans="5:7" x14ac:dyDescent="0.25">
      <c r="E289" s="11">
        <f t="shared" si="28"/>
        <v>-98</v>
      </c>
      <c r="F289" s="11">
        <f t="shared" si="29"/>
        <v>-32.062126221172939</v>
      </c>
      <c r="G289" s="11">
        <f t="shared" si="30"/>
        <v>-32.104290801013647</v>
      </c>
    </row>
    <row r="290" spans="5:7" x14ac:dyDescent="0.25">
      <c r="E290" s="11">
        <f t="shared" si="28"/>
        <v>-97</v>
      </c>
      <c r="F290" s="11">
        <f t="shared" si="29"/>
        <v>-31.873742302173476</v>
      </c>
      <c r="G290" s="11">
        <f t="shared" si="30"/>
        <v>-31.908873552762547</v>
      </c>
    </row>
    <row r="291" spans="5:7" x14ac:dyDescent="0.25">
      <c r="E291" s="11">
        <f t="shared" si="28"/>
        <v>-96</v>
      </c>
      <c r="F291" s="11">
        <f t="shared" si="29"/>
        <v>-31.684507785348998</v>
      </c>
      <c r="G291" s="11">
        <f t="shared" si="30"/>
        <v>-31.71241353239197</v>
      </c>
    </row>
    <row r="292" spans="5:7" x14ac:dyDescent="0.25">
      <c r="E292" s="11">
        <f t="shared" si="28"/>
        <v>-95</v>
      </c>
      <c r="F292" s="11">
        <f t="shared" si="29"/>
        <v>-31.494376040538654</v>
      </c>
      <c r="G292" s="11">
        <f t="shared" si="30"/>
        <v>-31.514858487275067</v>
      </c>
    </row>
    <row r="293" spans="5:7" x14ac:dyDescent="0.25">
      <c r="E293" s="11">
        <f t="shared" si="28"/>
        <v>-94</v>
      </c>
      <c r="F293" s="11">
        <f t="shared" si="29"/>
        <v>-31.303291433444521</v>
      </c>
      <c r="G293" s="11">
        <f t="shared" si="30"/>
        <v>-31.316156164784985</v>
      </c>
    </row>
    <row r="294" spans="5:7" x14ac:dyDescent="0.25">
      <c r="E294" s="11">
        <f t="shared" si="28"/>
        <v>-93</v>
      </c>
      <c r="F294" s="11">
        <f t="shared" si="29"/>
        <v>-31.111189524430959</v>
      </c>
      <c r="G294" s="11">
        <f t="shared" si="30"/>
        <v>-31.116254312294892</v>
      </c>
    </row>
    <row r="295" spans="5:7" x14ac:dyDescent="0.25">
      <c r="E295" s="11">
        <f t="shared" si="28"/>
        <v>-92</v>
      </c>
      <c r="F295" s="11">
        <f t="shared" si="29"/>
        <v>-30.917997298208732</v>
      </c>
      <c r="G295" s="11">
        <f t="shared" si="30"/>
        <v>-30.915100677177925</v>
      </c>
    </row>
    <row r="296" spans="5:7" x14ac:dyDescent="0.25">
      <c r="E296" s="11">
        <f t="shared" si="28"/>
        <v>-91</v>
      </c>
      <c r="F296" s="11">
        <f t="shared" si="29"/>
        <v>-30.723633423381393</v>
      </c>
      <c r="G296" s="11">
        <f t="shared" si="30"/>
        <v>-30.712643006807241</v>
      </c>
    </row>
    <row r="297" spans="5:7" x14ac:dyDescent="0.25">
      <c r="E297" s="11">
        <f t="shared" si="28"/>
        <v>-90</v>
      </c>
      <c r="F297" s="11">
        <f t="shared" si="29"/>
        <v>-30.528008540820409</v>
      </c>
      <c r="G297" s="11">
        <f t="shared" si="30"/>
        <v>-30.508829048555999</v>
      </c>
    </row>
    <row r="298" spans="5:7" x14ac:dyDescent="0.25">
      <c r="E298" s="11">
        <f t="shared" si="28"/>
        <v>-89</v>
      </c>
      <c r="F298" s="11">
        <f t="shared" si="29"/>
        <v>-30.33102557982377</v>
      </c>
      <c r="G298" s="11">
        <f t="shared" si="30"/>
        <v>-30.303606549797347</v>
      </c>
    </row>
    <row r="299" spans="5:7" x14ac:dyDescent="0.25">
      <c r="E299" s="11">
        <f t="shared" si="28"/>
        <v>-88</v>
      </c>
      <c r="F299" s="11">
        <f t="shared" si="29"/>
        <v>-30.132580101001739</v>
      </c>
      <c r="G299" s="11">
        <f t="shared" si="30"/>
        <v>-30.096923257904443</v>
      </c>
    </row>
    <row r="300" spans="5:7" x14ac:dyDescent="0.25">
      <c r="E300" s="11">
        <f t="shared" si="28"/>
        <v>-87</v>
      </c>
      <c r="F300" s="11">
        <f t="shared" si="29"/>
        <v>-29.932560664820834</v>
      </c>
      <c r="G300" s="11">
        <f t="shared" si="30"/>
        <v>-29.888726920250434</v>
      </c>
    </row>
    <row r="301" spans="5:7" x14ac:dyDescent="0.25">
      <c r="E301" s="11">
        <f t="shared" si="28"/>
        <v>-86</v>
      </c>
      <c r="F301" s="11">
        <f t="shared" si="29"/>
        <v>-29.730849224727358</v>
      </c>
      <c r="G301" s="11">
        <f t="shared" si="30"/>
        <v>-29.678965284208473</v>
      </c>
    </row>
    <row r="302" spans="5:7" x14ac:dyDescent="0.25">
      <c r="E302" s="11">
        <f t="shared" si="28"/>
        <v>-85</v>
      </c>
      <c r="F302" s="11">
        <f t="shared" si="29"/>
        <v>-29.527321543758639</v>
      </c>
      <c r="G302" s="11">
        <f t="shared" si="30"/>
        <v>-29.467586097151724</v>
      </c>
    </row>
    <row r="303" spans="5:7" x14ac:dyDescent="0.25">
      <c r="E303" s="11">
        <f t="shared" si="28"/>
        <v>-84</v>
      </c>
      <c r="F303" s="11">
        <f t="shared" si="29"/>
        <v>-29.321847633539523</v>
      </c>
      <c r="G303" s="11">
        <f t="shared" si="30"/>
        <v>-29.254537106453324</v>
      </c>
    </row>
    <row r="304" spans="5:7" x14ac:dyDescent="0.25">
      <c r="E304" s="11">
        <f t="shared" si="28"/>
        <v>-83</v>
      </c>
      <c r="F304" s="11">
        <f t="shared" si="29"/>
        <v>-29.114292214550101</v>
      </c>
      <c r="G304" s="11">
        <f t="shared" si="30"/>
        <v>-29.039766059486432</v>
      </c>
    </row>
    <row r="305" spans="5:7" x14ac:dyDescent="0.25">
      <c r="E305" s="11">
        <f t="shared" si="28"/>
        <v>-82</v>
      </c>
      <c r="F305" s="11">
        <f t="shared" si="29"/>
        <v>-28.904515196538966</v>
      </c>
      <c r="G305" s="11">
        <f t="shared" si="30"/>
        <v>-28.823220703624209</v>
      </c>
    </row>
    <row r="306" spans="5:7" x14ac:dyDescent="0.25">
      <c r="E306" s="11">
        <f t="shared" si="28"/>
        <v>-81</v>
      </c>
      <c r="F306" s="11">
        <f t="shared" si="29"/>
        <v>-28.692372177944669</v>
      </c>
      <c r="G306" s="11">
        <f t="shared" si="30"/>
        <v>-28.604848786239796</v>
      </c>
    </row>
    <row r="307" spans="5:7" x14ac:dyDescent="0.25">
      <c r="E307" s="11">
        <f t="shared" si="28"/>
        <v>-80</v>
      </c>
      <c r="F307" s="11">
        <f t="shared" si="29"/>
        <v>-28.477714963177139</v>
      </c>
      <c r="G307" s="11">
        <f t="shared" si="30"/>
        <v>-28.384598054706355</v>
      </c>
    </row>
    <row r="308" spans="5:7" x14ac:dyDescent="0.25">
      <c r="E308" s="11">
        <f t="shared" si="28"/>
        <v>-79</v>
      </c>
      <c r="F308" s="11">
        <f t="shared" si="29"/>
        <v>-28.260392096598679</v>
      </c>
      <c r="G308" s="11">
        <f t="shared" si="30"/>
        <v>-28.16241625639703</v>
      </c>
    </row>
    <row r="309" spans="5:7" x14ac:dyDescent="0.25">
      <c r="E309" s="11">
        <f t="shared" si="28"/>
        <v>-78</v>
      </c>
      <c r="F309" s="11">
        <f t="shared" si="29"/>
        <v>-28.040249412032846</v>
      </c>
      <c r="G309" s="11">
        <f t="shared" si="30"/>
        <v>-27.938251138684983</v>
      </c>
    </row>
    <row r="310" spans="5:7" x14ac:dyDescent="0.25">
      <c r="E310" s="11">
        <f t="shared" si="28"/>
        <v>-77</v>
      </c>
      <c r="F310" s="11">
        <f t="shared" si="29"/>
        <v>-27.817130596618551</v>
      </c>
      <c r="G310" s="11">
        <f t="shared" si="30"/>
        <v>-27.712050448943366</v>
      </c>
    </row>
    <row r="311" spans="5:7" x14ac:dyDescent="0.25">
      <c r="E311" s="11">
        <f t="shared" si="28"/>
        <v>-76</v>
      </c>
      <c r="F311" s="11">
        <f t="shared" si="29"/>
        <v>-27.590877767814032</v>
      </c>
      <c r="G311" s="11">
        <f t="shared" si="30"/>
        <v>-27.483761934545328</v>
      </c>
    </row>
    <row r="312" spans="5:7" x14ac:dyDescent="0.25">
      <c r="E312" s="11">
        <f t="shared" si="28"/>
        <v>-75</v>
      </c>
      <c r="F312" s="11">
        <f t="shared" si="29"/>
        <v>-27.361332062345504</v>
      </c>
      <c r="G312" s="11">
        <f t="shared" si="30"/>
        <v>-27.253333342864021</v>
      </c>
    </row>
    <row r="313" spans="5:7" x14ac:dyDescent="0.25">
      <c r="E313" s="11">
        <f t="shared" si="28"/>
        <v>-74</v>
      </c>
      <c r="F313" s="11">
        <f t="shared" si="29"/>
        <v>-27.128334235881994</v>
      </c>
      <c r="G313" s="11">
        <f t="shared" si="30"/>
        <v>-27.020688217282366</v>
      </c>
    </row>
    <row r="314" spans="5:7" x14ac:dyDescent="0.25">
      <c r="E314" s="11">
        <f t="shared" si="28"/>
        <v>-73</v>
      </c>
      <c r="F314" s="11">
        <f t="shared" si="29"/>
        <v>-26.89172527220801</v>
      </c>
      <c r="G314" s="11">
        <f t="shared" si="30"/>
        <v>-26.785653285222317</v>
      </c>
    </row>
    <row r="315" spans="5:7" x14ac:dyDescent="0.25">
      <c r="E315" s="11">
        <f t="shared" si="28"/>
        <v>-72</v>
      </c>
      <c r="F315" s="11">
        <f t="shared" si="29"/>
        <v>-26.651347000652976</v>
      </c>
      <c r="G315" s="11">
        <f t="shared" si="30"/>
        <v>-26.548031070115599</v>
      </c>
    </row>
    <row r="316" spans="5:7" x14ac:dyDescent="0.25">
      <c r="E316" s="11">
        <f t="shared" si="28"/>
        <v>-71</v>
      </c>
      <c r="F316" s="11">
        <f t="shared" si="29"/>
        <v>-26.407042720525485</v>
      </c>
      <c r="G316" s="11">
        <f t="shared" si="30"/>
        <v>-26.30762409539393</v>
      </c>
    </row>
    <row r="317" spans="5:7" x14ac:dyDescent="0.25">
      <c r="E317" s="11">
        <f t="shared" si="28"/>
        <v>-70</v>
      </c>
      <c r="F317" s="11">
        <f t="shared" si="29"/>
        <v>-26.158657831289005</v>
      </c>
      <c r="G317" s="11">
        <f t="shared" si="30"/>
        <v>-26.064234884489032</v>
      </c>
    </row>
    <row r="318" spans="5:7" x14ac:dyDescent="0.25">
      <c r="E318" s="11">
        <f t="shared" si="28"/>
        <v>-69</v>
      </c>
      <c r="F318" s="11">
        <f t="shared" si="29"/>
        <v>-25.906040467203557</v>
      </c>
      <c r="G318" s="11">
        <f t="shared" si="30"/>
        <v>-25.817665960832628</v>
      </c>
    </row>
    <row r="319" spans="5:7" x14ac:dyDescent="0.25">
      <c r="E319" s="11">
        <f t="shared" si="28"/>
        <v>-68</v>
      </c>
      <c r="F319" s="11">
        <f t="shared" si="29"/>
        <v>-25.649042135147145</v>
      </c>
      <c r="G319" s="11">
        <f t="shared" si="30"/>
        <v>-25.567719847856441</v>
      </c>
    </row>
    <row r="320" spans="5:7" x14ac:dyDescent="0.25">
      <c r="E320" s="11">
        <f t="shared" si="28"/>
        <v>-67</v>
      </c>
      <c r="F320" s="11">
        <f t="shared" si="29"/>
        <v>-25.387518354318797</v>
      </c>
      <c r="G320" s="11">
        <f t="shared" si="30"/>
        <v>-25.314199068992188</v>
      </c>
    </row>
    <row r="321" spans="5:7" x14ac:dyDescent="0.25">
      <c r="E321" s="11">
        <f t="shared" si="28"/>
        <v>-66</v>
      </c>
      <c r="F321" s="11">
        <f t="shared" si="29"/>
        <v>-25.121329296513451</v>
      </c>
      <c r="G321" s="11">
        <f t="shared" si="30"/>
        <v>-25.056906147671594</v>
      </c>
    </row>
    <row r="322" spans="5:7" x14ac:dyDescent="0.25">
      <c r="E322" s="11">
        <f t="shared" si="28"/>
        <v>-65</v>
      </c>
      <c r="F322" s="11">
        <f t="shared" si="29"/>
        <v>-24.850340425647936</v>
      </c>
      <c r="G322" s="11">
        <f t="shared" si="30"/>
        <v>-24.795643607326383</v>
      </c>
    </row>
    <row r="323" spans="5:7" x14ac:dyDescent="0.25">
      <c r="E323" s="11">
        <f t="shared" si="28"/>
        <v>-64</v>
      </c>
      <c r="F323" s="11">
        <f t="shared" si="29"/>
        <v>-24.574423135205262</v>
      </c>
      <c r="G323" s="11">
        <f t="shared" si="30"/>
        <v>-24.530213971388271</v>
      </c>
    </row>
    <row r="324" spans="5:7" x14ac:dyDescent="0.25">
      <c r="E324" s="11">
        <f t="shared" si="28"/>
        <v>-63</v>
      </c>
      <c r="F324" s="11">
        <f t="shared" si="29"/>
        <v>-24.293455382253342</v>
      </c>
      <c r="G324" s="11">
        <f t="shared" si="30"/>
        <v>-24.260419763288979</v>
      </c>
    </row>
    <row r="325" spans="5:7" x14ac:dyDescent="0.25">
      <c r="E325" s="11">
        <f t="shared" si="28"/>
        <v>-62</v>
      </c>
      <c r="F325" s="11">
        <f t="shared" si="29"/>
        <v>-24.007322316682398</v>
      </c>
      <c r="G325" s="11">
        <f t="shared" si="30"/>
        <v>-23.986063506460233</v>
      </c>
    </row>
    <row r="326" spans="5:7" x14ac:dyDescent="0.25">
      <c r="E326" s="11">
        <f t="shared" si="28"/>
        <v>-61</v>
      </c>
      <c r="F326" s="11">
        <f t="shared" si="29"/>
        <v>-23.715916904294382</v>
      </c>
      <c r="G326" s="11">
        <f t="shared" si="30"/>
        <v>-23.706947724333748</v>
      </c>
    </row>
    <row r="327" spans="5:7" x14ac:dyDescent="0.25">
      <c r="E327" s="11">
        <f t="shared" si="28"/>
        <v>-60</v>
      </c>
      <c r="F327" s="11">
        <f t="shared" si="29"/>
        <v>-23.419140542365319</v>
      </c>
      <c r="G327" s="11">
        <f t="shared" si="30"/>
        <v>-23.422874940341252</v>
      </c>
    </row>
    <row r="328" spans="5:7" x14ac:dyDescent="0.25">
      <c r="E328" s="11">
        <f t="shared" si="28"/>
        <v>-59</v>
      </c>
      <c r="F328" s="11">
        <f t="shared" si="29"/>
        <v>-23.116903666291137</v>
      </c>
      <c r="G328" s="11">
        <f t="shared" si="30"/>
        <v>-23.133647677914468</v>
      </c>
    </row>
    <row r="329" spans="5:7" x14ac:dyDescent="0.25">
      <c r="E329" s="11">
        <f t="shared" si="28"/>
        <v>-58</v>
      </c>
      <c r="F329" s="11">
        <f t="shared" si="29"/>
        <v>-22.809126345915129</v>
      </c>
      <c r="G329" s="11">
        <f t="shared" si="30"/>
        <v>-22.839068460485109</v>
      </c>
    </row>
    <row r="330" spans="5:7" x14ac:dyDescent="0.25">
      <c r="E330" s="11">
        <f t="shared" si="28"/>
        <v>-57</v>
      </c>
      <c r="F330" s="11">
        <f t="shared" si="29"/>
        <v>-22.495738870123958</v>
      </c>
      <c r="G330" s="11">
        <f t="shared" si="30"/>
        <v>-22.538939811484902</v>
      </c>
    </row>
    <row r="331" spans="5:7" x14ac:dyDescent="0.25">
      <c r="E331" s="11">
        <f t="shared" si="28"/>
        <v>-56</v>
      </c>
      <c r="F331" s="11">
        <f t="shared" si="29"/>
        <v>-22.176682318288034</v>
      </c>
      <c r="G331" s="11">
        <f t="shared" si="30"/>
        <v>-22.233064254345564</v>
      </c>
    </row>
    <row r="332" spans="5:7" x14ac:dyDescent="0.25">
      <c r="E332" s="11">
        <f t="shared" si="28"/>
        <v>-55</v>
      </c>
      <c r="F332" s="11">
        <f t="shared" si="29"/>
        <v>-21.851909117109891</v>
      </c>
      <c r="G332" s="11">
        <f t="shared" si="30"/>
        <v>-21.921244312498821</v>
      </c>
    </row>
    <row r="333" spans="5:7" x14ac:dyDescent="0.25">
      <c r="E333" s="11">
        <f t="shared" si="28"/>
        <v>-54</v>
      </c>
      <c r="F333" s="11">
        <f t="shared" si="29"/>
        <v>-21.521383581433316</v>
      </c>
      <c r="G333" s="11">
        <f t="shared" si="30"/>
        <v>-21.603282509376395</v>
      </c>
    </row>
    <row r="334" spans="5:7" x14ac:dyDescent="0.25">
      <c r="E334" s="11">
        <f t="shared" si="28"/>
        <v>-53</v>
      </c>
      <c r="F334" s="11">
        <f t="shared" si="29"/>
        <v>-21.185082437554069</v>
      </c>
      <c r="G334" s="11">
        <f t="shared" si="30"/>
        <v>-21.278981368410005</v>
      </c>
    </row>
    <row r="335" spans="5:7" x14ac:dyDescent="0.25">
      <c r="E335" s="11">
        <f t="shared" si="28"/>
        <v>-52</v>
      </c>
      <c r="F335" s="11">
        <f t="shared" si="29"/>
        <v>-20.842995327561823</v>
      </c>
      <c r="G335" s="11">
        <f t="shared" si="30"/>
        <v>-20.948143413031374</v>
      </c>
    </row>
    <row r="336" spans="5:7" x14ac:dyDescent="0.25">
      <c r="E336" s="11">
        <f t="shared" si="28"/>
        <v>-51</v>
      </c>
      <c r="F336" s="11">
        <f t="shared" si="29"/>
        <v>-20.495125293231215</v>
      </c>
      <c r="G336" s="11">
        <f t="shared" si="30"/>
        <v>-20.610571166672219</v>
      </c>
    </row>
    <row r="337" spans="5:7" x14ac:dyDescent="0.25">
      <c r="E337" s="11">
        <f t="shared" si="28"/>
        <v>-50</v>
      </c>
      <c r="F337" s="11">
        <f t="shared" si="29"/>
        <v>-20.14148923796866</v>
      </c>
      <c r="G337" s="11">
        <f t="shared" si="30"/>
        <v>-20.266067152764268</v>
      </c>
    </row>
    <row r="338" spans="5:7" x14ac:dyDescent="0.25">
      <c r="E338" s="11">
        <f t="shared" si="28"/>
        <v>-49</v>
      </c>
      <c r="F338" s="11">
        <f t="shared" si="29"/>
        <v>-19.782118365309788</v>
      </c>
      <c r="G338" s="11">
        <f t="shared" si="30"/>
        <v>-19.914433894739236</v>
      </c>
    </row>
    <row r="339" spans="5:7" x14ac:dyDescent="0.25">
      <c r="E339" s="11">
        <f t="shared" si="28"/>
        <v>-48</v>
      </c>
      <c r="F339" s="11">
        <f t="shared" si="29"/>
        <v>-19.417058592451152</v>
      </c>
      <c r="G339" s="11">
        <f t="shared" si="30"/>
        <v>-19.555473916028848</v>
      </c>
    </row>
    <row r="340" spans="5:7" x14ac:dyDescent="0.25">
      <c r="E340" s="11">
        <f t="shared" si="28"/>
        <v>-47</v>
      </c>
      <c r="F340" s="11">
        <f t="shared" si="29"/>
        <v>-19.046370937288263</v>
      </c>
      <c r="G340" s="11">
        <f t="shared" si="30"/>
        <v>-19.188989740064827</v>
      </c>
    </row>
    <row r="341" spans="5:7" x14ac:dyDescent="0.25">
      <c r="E341" s="11">
        <f t="shared" si="28"/>
        <v>-46</v>
      </c>
      <c r="F341" s="11">
        <f t="shared" si="29"/>
        <v>-18.670131877420289</v>
      </c>
      <c r="G341" s="11">
        <f t="shared" si="30"/>
        <v>-18.814783890278889</v>
      </c>
    </row>
    <row r="342" spans="5:7" x14ac:dyDescent="0.25">
      <c r="E342" s="11">
        <f t="shared" si="28"/>
        <v>-45</v>
      </c>
      <c r="F342" s="11">
        <f t="shared" si="29"/>
        <v>-18.28843367957068</v>
      </c>
      <c r="G342" s="11">
        <f t="shared" si="30"/>
        <v>-18.432658890102765</v>
      </c>
    </row>
    <row r="343" spans="5:7" x14ac:dyDescent="0.25">
      <c r="E343" s="11">
        <f t="shared" si="28"/>
        <v>-44</v>
      </c>
      <c r="F343" s="11">
        <f t="shared" si="29"/>
        <v>-17.901384697861154</v>
      </c>
      <c r="G343" s="11">
        <f t="shared" si="30"/>
        <v>-18.042528773193968</v>
      </c>
    </row>
    <row r="344" spans="5:7" x14ac:dyDescent="0.25">
      <c r="E344" s="11">
        <f t="shared" si="28"/>
        <v>-43</v>
      </c>
      <c r="F344" s="11">
        <f t="shared" si="29"/>
        <v>-17.509109639365061</v>
      </c>
      <c r="G344" s="11">
        <f t="shared" si="30"/>
        <v>-17.644753614113242</v>
      </c>
    </row>
    <row r="345" spans="5:7" x14ac:dyDescent="0.25">
      <c r="E345" s="11">
        <f t="shared" si="28"/>
        <v>-42</v>
      </c>
      <c r="F345" s="11">
        <f t="shared" si="29"/>
        <v>-17.111749795354807</v>
      </c>
      <c r="G345" s="11">
        <f t="shared" si="30"/>
        <v>-17.239804997647127</v>
      </c>
    </row>
    <row r="346" spans="5:7" x14ac:dyDescent="0.25">
      <c r="E346" s="11">
        <f t="shared" si="28"/>
        <v>-41</v>
      </c>
      <c r="F346" s="11">
        <f t="shared" si="29"/>
        <v>-16.709463236646222</v>
      </c>
      <c r="G346" s="11">
        <f t="shared" si="30"/>
        <v>-16.828154508582159</v>
      </c>
    </row>
    <row r="347" spans="5:7" x14ac:dyDescent="0.25">
      <c r="E347" s="11">
        <f t="shared" si="28"/>
        <v>-40</v>
      </c>
      <c r="F347" s="11">
        <f t="shared" si="29"/>
        <v>-16.302424971431559</v>
      </c>
      <c r="G347" s="11">
        <f t="shared" si="30"/>
        <v>-16.410273731704883</v>
      </c>
    </row>
    <row r="348" spans="5:7" x14ac:dyDescent="0.25">
      <c r="E348" s="11">
        <f t="shared" si="28"/>
        <v>-39</v>
      </c>
      <c r="F348" s="11">
        <f t="shared" si="29"/>
        <v>-15.890827063981209</v>
      </c>
      <c r="G348" s="11">
        <f t="shared" si="30"/>
        <v>-15.986634251801835</v>
      </c>
    </row>
    <row r="349" spans="5:7" x14ac:dyDescent="0.25">
      <c r="E349" s="11">
        <f t="shared" si="28"/>
        <v>-38</v>
      </c>
      <c r="F349" s="11">
        <f t="shared" si="29"/>
        <v>-15.474878712582532</v>
      </c>
      <c r="G349" s="11">
        <f t="shared" si="30"/>
        <v>-15.557707653659557</v>
      </c>
    </row>
    <row r="350" spans="5:7" x14ac:dyDescent="0.25">
      <c r="E350" s="11">
        <f t="shared" si="28"/>
        <v>-37</v>
      </c>
      <c r="F350" s="11">
        <f t="shared" si="29"/>
        <v>-15.054806285073081</v>
      </c>
      <c r="G350" s="11">
        <f t="shared" si="30"/>
        <v>-15.123965522064589</v>
      </c>
    </row>
    <row r="351" spans="5:7" x14ac:dyDescent="0.25">
      <c r="E351" s="11">
        <f t="shared" ref="E351:E414" si="31">E144</f>
        <v>-36</v>
      </c>
      <c r="F351" s="11">
        <f t="shared" ref="F351:F414" si="32">$H$217*0+E351*$I$217+E351^2*$J$217+E351^3*$K$217+E351^4*$L$217+E351^5*$M$217+E351^6*$N$217+E351^7*$O$217+E351^8*$P$217</f>
        <v>-14.6308533103137</v>
      </c>
      <c r="G351" s="11">
        <f t="shared" ref="G351:G414" si="33">F144</f>
        <v>-14.685879441803472</v>
      </c>
    </row>
    <row r="352" spans="5:7" x14ac:dyDescent="0.25">
      <c r="E352" s="11">
        <f t="shared" si="31"/>
        <v>-35</v>
      </c>
      <c r="F352" s="11">
        <f t="shared" si="32"/>
        <v>-14.203280423935562</v>
      </c>
      <c r="G352" s="11">
        <f t="shared" si="33"/>
        <v>-14.243920997662748</v>
      </c>
    </row>
    <row r="353" spans="5:7" x14ac:dyDescent="0.25">
      <c r="E353" s="11">
        <f t="shared" si="31"/>
        <v>-34</v>
      </c>
      <c r="F353" s="11">
        <f t="shared" si="32"/>
        <v>-13.772365266683805</v>
      </c>
      <c r="G353" s="11">
        <f t="shared" si="33"/>
        <v>-13.798561774428952</v>
      </c>
    </row>
    <row r="354" spans="5:7" x14ac:dyDescent="0.25">
      <c r="E354" s="11">
        <f t="shared" si="31"/>
        <v>-33</v>
      </c>
      <c r="F354" s="11">
        <f t="shared" si="32"/>
        <v>-13.338402333668807</v>
      </c>
      <c r="G354" s="11">
        <f t="shared" si="33"/>
        <v>-13.350273356888625</v>
      </c>
    </row>
    <row r="355" spans="5:7" x14ac:dyDescent="0.25">
      <c r="E355" s="11">
        <f t="shared" si="31"/>
        <v>-32</v>
      </c>
      <c r="F355" s="11">
        <f t="shared" si="32"/>
        <v>-12.901702772824699</v>
      </c>
      <c r="G355" s="11">
        <f t="shared" si="33"/>
        <v>-12.899527329828311</v>
      </c>
    </row>
    <row r="356" spans="5:7" x14ac:dyDescent="0.25">
      <c r="E356" s="11">
        <f t="shared" si="31"/>
        <v>-31</v>
      </c>
      <c r="F356" s="11">
        <f t="shared" si="32"/>
        <v>-12.462594130863264</v>
      </c>
      <c r="G356" s="11">
        <f t="shared" si="33"/>
        <v>-12.446795278034548</v>
      </c>
    </row>
    <row r="357" spans="5:7" x14ac:dyDescent="0.25">
      <c r="E357" s="11">
        <f t="shared" si="31"/>
        <v>-30</v>
      </c>
      <c r="F357" s="11">
        <f t="shared" si="32"/>
        <v>-12.02142004499979</v>
      </c>
      <c r="G357" s="11">
        <f t="shared" si="33"/>
        <v>-11.992548786293876</v>
      </c>
    </row>
    <row r="358" spans="5:7" x14ac:dyDescent="0.25">
      <c r="E358" s="11">
        <f t="shared" si="31"/>
        <v>-29</v>
      </c>
      <c r="F358" s="11">
        <f t="shared" si="32"/>
        <v>-11.578539878715993</v>
      </c>
      <c r="G358" s="11">
        <f t="shared" si="33"/>
        <v>-11.537259439392832</v>
      </c>
    </row>
    <row r="359" spans="5:7" x14ac:dyDescent="0.25">
      <c r="E359" s="11">
        <f t="shared" si="31"/>
        <v>-28</v>
      </c>
      <c r="F359" s="11">
        <f t="shared" si="32"/>
        <v>-11.134328299813649</v>
      </c>
      <c r="G359" s="11">
        <f t="shared" si="33"/>
        <v>-11.081398822117963</v>
      </c>
    </row>
    <row r="360" spans="5:7" x14ac:dyDescent="0.25">
      <c r="E360" s="11">
        <f t="shared" si="31"/>
        <v>-27</v>
      </c>
      <c r="F360" s="11">
        <f t="shared" si="32"/>
        <v>-10.689174799001023</v>
      </c>
      <c r="G360" s="11">
        <f t="shared" si="33"/>
        <v>-10.625438519255804</v>
      </c>
    </row>
    <row r="361" spans="5:7" x14ac:dyDescent="0.25">
      <c r="E361" s="11">
        <f t="shared" si="31"/>
        <v>-26</v>
      </c>
      <c r="F361" s="11">
        <f t="shared" si="32"/>
        <v>-10.243483147242779</v>
      </c>
      <c r="G361" s="11">
        <f t="shared" si="33"/>
        <v>-10.169850115592896</v>
      </c>
    </row>
    <row r="362" spans="5:7" x14ac:dyDescent="0.25">
      <c r="E362" s="11">
        <f t="shared" si="31"/>
        <v>-25</v>
      </c>
      <c r="F362" s="11">
        <f t="shared" si="32"/>
        <v>-9.7976707900924129</v>
      </c>
      <c r="G362" s="11">
        <f t="shared" si="33"/>
        <v>-9.715105195915779</v>
      </c>
    </row>
    <row r="363" spans="5:7" x14ac:dyDescent="0.25">
      <c r="E363" s="11">
        <f t="shared" si="31"/>
        <v>-24</v>
      </c>
      <c r="F363" s="11">
        <f t="shared" si="32"/>
        <v>-9.3521681772149492</v>
      </c>
      <c r="G363" s="11">
        <f t="shared" si="33"/>
        <v>-9.2616753450109943</v>
      </c>
    </row>
    <row r="364" spans="5:7" x14ac:dyDescent="0.25">
      <c r="E364" s="11">
        <f t="shared" si="31"/>
        <v>-23</v>
      </c>
      <c r="F364" s="11">
        <f t="shared" si="32"/>
        <v>-8.907418025295943</v>
      </c>
      <c r="G364" s="11">
        <f t="shared" si="33"/>
        <v>-8.8100321476650834</v>
      </c>
    </row>
    <row r="365" spans="5:7" x14ac:dyDescent="0.25">
      <c r="E365" s="11">
        <f t="shared" si="31"/>
        <v>-22</v>
      </c>
      <c r="F365" s="11">
        <f t="shared" si="32"/>
        <v>-8.4638745125215262</v>
      </c>
      <c r="G365" s="11">
        <f t="shared" si="33"/>
        <v>-8.360647188664581</v>
      </c>
    </row>
    <row r="366" spans="5:7" x14ac:dyDescent="0.25">
      <c r="E366" s="11">
        <f t="shared" si="31"/>
        <v>-21</v>
      </c>
      <c r="F366" s="11">
        <f t="shared" si="32"/>
        <v>-8.0220024028025492</v>
      </c>
      <c r="G366" s="11">
        <f t="shared" si="33"/>
        <v>-7.913992052796031</v>
      </c>
    </row>
    <row r="367" spans="5:7" x14ac:dyDescent="0.25">
      <c r="E367" s="11">
        <f t="shared" si="31"/>
        <v>-20</v>
      </c>
      <c r="F367" s="11">
        <f t="shared" si="32"/>
        <v>-7.5822760979045718</v>
      </c>
      <c r="G367" s="11">
        <f t="shared" si="33"/>
        <v>-7.4705383248459754</v>
      </c>
    </row>
    <row r="368" spans="5:7" x14ac:dyDescent="0.25">
      <c r="E368" s="11">
        <f t="shared" si="31"/>
        <v>-19</v>
      </c>
      <c r="F368" s="11">
        <f t="shared" si="32"/>
        <v>-7.145178615633772</v>
      </c>
      <c r="G368" s="11">
        <f t="shared" si="33"/>
        <v>-7.0307575896009533</v>
      </c>
    </row>
    <row r="369" spans="5:7" x14ac:dyDescent="0.25">
      <c r="E369" s="11">
        <f t="shared" si="31"/>
        <v>-18</v>
      </c>
      <c r="F369" s="11">
        <f t="shared" si="32"/>
        <v>-6.7112004922175146</v>
      </c>
      <c r="G369" s="11">
        <f t="shared" si="33"/>
        <v>-6.5951214318475015</v>
      </c>
    </row>
    <row r="370" spans="5:7" x14ac:dyDescent="0.25">
      <c r="E370" s="11">
        <f t="shared" si="31"/>
        <v>-17</v>
      </c>
      <c r="F370" s="11">
        <f t="shared" si="32"/>
        <v>-6.2808386070066842</v>
      </c>
      <c r="G370" s="11">
        <f t="shared" si="33"/>
        <v>-6.1641014363721629</v>
      </c>
    </row>
    <row r="371" spans="5:7" x14ac:dyDescent="0.25">
      <c r="E371" s="11">
        <f t="shared" si="31"/>
        <v>-16</v>
      </c>
      <c r="F371" s="11">
        <f t="shared" si="32"/>
        <v>-5.854594927615512</v>
      </c>
      <c r="G371" s="11">
        <f t="shared" si="33"/>
        <v>-5.7381691879614758</v>
      </c>
    </row>
    <row r="372" spans="5:7" x14ac:dyDescent="0.25">
      <c r="E372" s="11">
        <f t="shared" si="31"/>
        <v>-15</v>
      </c>
      <c r="F372" s="11">
        <f t="shared" si="32"/>
        <v>-5.4329751736030083</v>
      </c>
      <c r="G372" s="11">
        <f t="shared" si="33"/>
        <v>-5.3177962714019831</v>
      </c>
    </row>
    <row r="373" spans="5:7" x14ac:dyDescent="0.25">
      <c r="E373" s="11">
        <f t="shared" si="31"/>
        <v>-14</v>
      </c>
      <c r="F373" s="11">
        <f t="shared" si="32"/>
        <v>-5.016487396788758</v>
      </c>
      <c r="G373" s="11">
        <f t="shared" si="33"/>
        <v>-4.9034542714802214</v>
      </c>
    </row>
    <row r="374" spans="5:7" x14ac:dyDescent="0.25">
      <c r="E374" s="11">
        <f t="shared" si="31"/>
        <v>-13</v>
      </c>
      <c r="F374" s="11">
        <f t="shared" si="32"/>
        <v>-4.6056404762842122</v>
      </c>
      <c r="G374" s="11">
        <f t="shared" si="33"/>
        <v>-4.4956147729827336</v>
      </c>
    </row>
    <row r="375" spans="5:7" x14ac:dyDescent="0.25">
      <c r="E375" s="11">
        <f t="shared" si="31"/>
        <v>-12</v>
      </c>
      <c r="F375" s="11">
        <f t="shared" si="32"/>
        <v>-4.200942526309178</v>
      </c>
      <c r="G375" s="11">
        <f t="shared" si="33"/>
        <v>-4.0947493606960599</v>
      </c>
    </row>
    <row r="376" spans="5:7" x14ac:dyDescent="0.25">
      <c r="E376" s="11">
        <f t="shared" si="31"/>
        <v>-11</v>
      </c>
      <c r="F376" s="11">
        <f t="shared" si="32"/>
        <v>-3.8028992148517116</v>
      </c>
      <c r="G376" s="11">
        <f t="shared" si="33"/>
        <v>-3.7013296194067382</v>
      </c>
    </row>
    <row r="377" spans="5:7" x14ac:dyDescent="0.25">
      <c r="E377" s="11">
        <f t="shared" si="31"/>
        <v>-10</v>
      </c>
      <c r="F377" s="11">
        <f t="shared" si="32"/>
        <v>-3.4120119912181348</v>
      </c>
      <c r="G377" s="11">
        <f t="shared" si="33"/>
        <v>-3.3158271339013119</v>
      </c>
    </row>
    <row r="378" spans="5:7" x14ac:dyDescent="0.25">
      <c r="E378" s="11">
        <f t="shared" si="31"/>
        <v>-9</v>
      </c>
      <c r="F378" s="11">
        <f t="shared" si="32"/>
        <v>-3.0287762205083228</v>
      </c>
      <c r="G378" s="11">
        <f t="shared" si="33"/>
        <v>-2.9387134889663171</v>
      </c>
    </row>
    <row r="379" spans="5:7" x14ac:dyDescent="0.25">
      <c r="E379" s="11">
        <f t="shared" si="31"/>
        <v>-8</v>
      </c>
      <c r="F379" s="11">
        <f t="shared" si="32"/>
        <v>-2.6536792230400366</v>
      </c>
      <c r="G379" s="11">
        <f t="shared" si="33"/>
        <v>-2.5704602693882963</v>
      </c>
    </row>
    <row r="380" spans="5:7" x14ac:dyDescent="0.25">
      <c r="E380" s="11">
        <f t="shared" si="31"/>
        <v>-7</v>
      </c>
      <c r="F380" s="11">
        <f t="shared" si="32"/>
        <v>-2.287198216734474</v>
      </c>
      <c r="G380" s="11">
        <f t="shared" si="33"/>
        <v>-2.2115390599537896</v>
      </c>
    </row>
    <row r="381" spans="5:7" x14ac:dyDescent="0.25">
      <c r="E381" s="11">
        <f t="shared" si="31"/>
        <v>-6</v>
      </c>
      <c r="F381" s="11">
        <f t="shared" si="32"/>
        <v>-1.9297981604637799</v>
      </c>
      <c r="G381" s="11">
        <f t="shared" si="33"/>
        <v>-1.8624214454493377</v>
      </c>
    </row>
    <row r="382" spans="5:7" x14ac:dyDescent="0.25">
      <c r="E382" s="11">
        <f t="shared" si="31"/>
        <v>-5</v>
      </c>
      <c r="F382" s="11">
        <f t="shared" si="32"/>
        <v>-1.5819294963497277</v>
      </c>
      <c r="G382" s="11">
        <f t="shared" si="33"/>
        <v>-1.523579010661479</v>
      </c>
    </row>
    <row r="383" spans="5:7" x14ac:dyDescent="0.25">
      <c r="E383" s="11">
        <f t="shared" si="31"/>
        <v>-4</v>
      </c>
      <c r="F383" s="11">
        <f t="shared" si="32"/>
        <v>-1.2440257889913078</v>
      </c>
      <c r="G383" s="11">
        <f t="shared" si="33"/>
        <v>-1.1954833403767537</v>
      </c>
    </row>
    <row r="384" spans="5:7" x14ac:dyDescent="0.25">
      <c r="E384" s="11">
        <f t="shared" si="31"/>
        <v>-3</v>
      </c>
      <c r="F384" s="11">
        <f t="shared" si="32"/>
        <v>-0.91650125958745299</v>
      </c>
      <c r="G384" s="11">
        <f t="shared" si="33"/>
        <v>-0.8786060193817038</v>
      </c>
    </row>
    <row r="385" spans="5:7" x14ac:dyDescent="0.25">
      <c r="E385" s="11">
        <f t="shared" si="31"/>
        <v>-2</v>
      </c>
      <c r="F385" s="11">
        <f t="shared" si="32"/>
        <v>-0.59974821290964309</v>
      </c>
      <c r="G385" s="11">
        <f t="shared" si="33"/>
        <v>-0.57341863246286895</v>
      </c>
    </row>
    <row r="386" spans="5:7" x14ac:dyDescent="0.25">
      <c r="E386" s="11">
        <f t="shared" si="31"/>
        <v>-1</v>
      </c>
      <c r="F386" s="11">
        <f t="shared" si="32"/>
        <v>-0.29413435506762448</v>
      </c>
      <c r="G386" s="11">
        <f t="shared" si="33"/>
        <v>-0.28039276440678762</v>
      </c>
    </row>
    <row r="387" spans="5:7" x14ac:dyDescent="0.25">
      <c r="E387" s="11">
        <f t="shared" si="31"/>
        <v>0</v>
      </c>
      <c r="F387" s="11">
        <f t="shared" si="32"/>
        <v>0</v>
      </c>
      <c r="G387" s="11">
        <f t="shared" si="33"/>
        <v>0</v>
      </c>
    </row>
    <row r="388" spans="5:7" x14ac:dyDescent="0.25">
      <c r="E388" s="11">
        <f t="shared" si="31"/>
        <v>1</v>
      </c>
      <c r="F388" s="11">
        <f t="shared" si="32"/>
        <v>0.2823448373900645</v>
      </c>
      <c r="G388" s="11">
        <f t="shared" si="33"/>
        <v>0.26742907671364141</v>
      </c>
    </row>
    <row r="389" spans="5:7" x14ac:dyDescent="0.25">
      <c r="E389" s="11">
        <f t="shared" si="31"/>
        <v>2</v>
      </c>
      <c r="F389" s="11">
        <f t="shared" si="32"/>
        <v>0.55262346354525749</v>
      </c>
      <c r="G389" s="11">
        <f t="shared" si="33"/>
        <v>0.52212788466104298</v>
      </c>
    </row>
    <row r="390" spans="5:7" x14ac:dyDescent="0.25">
      <c r="E390" s="11">
        <f t="shared" si="31"/>
        <v>3</v>
      </c>
      <c r="F390" s="11">
        <f t="shared" si="32"/>
        <v>0.81059564611340307</v>
      </c>
      <c r="G390" s="11">
        <f t="shared" si="33"/>
        <v>0.76447084351180017</v>
      </c>
    </row>
    <row r="391" spans="5:7" x14ac:dyDescent="0.25">
      <c r="E391" s="11">
        <f t="shared" si="31"/>
        <v>4</v>
      </c>
      <c r="F391" s="11">
        <f t="shared" si="32"/>
        <v>1.056060873469838</v>
      </c>
      <c r="G391" s="11">
        <f t="shared" si="33"/>
        <v>0.99483237293550841</v>
      </c>
    </row>
    <row r="392" spans="5:7" x14ac:dyDescent="0.25">
      <c r="E392" s="11">
        <f t="shared" si="31"/>
        <v>5</v>
      </c>
      <c r="F392" s="11">
        <f t="shared" si="32"/>
        <v>1.2888617360286179</v>
      </c>
      <c r="G392" s="11">
        <f t="shared" si="33"/>
        <v>1.213586892601763</v>
      </c>
    </row>
    <row r="393" spans="5:7" x14ac:dyDescent="0.25">
      <c r="E393" s="11">
        <f t="shared" si="31"/>
        <v>6</v>
      </c>
      <c r="F393" s="11">
        <f t="shared" si="32"/>
        <v>1.5088874314797707</v>
      </c>
      <c r="G393" s="11">
        <f t="shared" si="33"/>
        <v>1.4211088221801593</v>
      </c>
    </row>
    <row r="394" spans="5:7" x14ac:dyDescent="0.25">
      <c r="E394" s="11">
        <f t="shared" si="31"/>
        <v>7</v>
      </c>
      <c r="F394" s="11">
        <f t="shared" si="32"/>
        <v>1.716077396101328</v>
      </c>
      <c r="G394" s="11">
        <f t="shared" si="33"/>
        <v>1.617772581340293</v>
      </c>
    </row>
    <row r="395" spans="5:7" x14ac:dyDescent="0.25">
      <c r="E395" s="11">
        <f t="shared" si="31"/>
        <v>8</v>
      </c>
      <c r="F395" s="11">
        <f t="shared" si="32"/>
        <v>1.9104250643063356</v>
      </c>
      <c r="G395" s="11">
        <f t="shared" si="33"/>
        <v>1.8039525897517583</v>
      </c>
    </row>
    <row r="396" spans="5:7" x14ac:dyDescent="0.25">
      <c r="E396" s="11">
        <f t="shared" si="31"/>
        <v>9</v>
      </c>
      <c r="F396" s="11">
        <f t="shared" si="32"/>
        <v>2.0919817585965679</v>
      </c>
      <c r="G396" s="11">
        <f t="shared" si="33"/>
        <v>1.9800232670841511</v>
      </c>
    </row>
    <row r="397" spans="5:7" x14ac:dyDescent="0.25">
      <c r="E397" s="11">
        <f t="shared" si="31"/>
        <v>10</v>
      </c>
      <c r="F397" s="11">
        <f t="shared" si="32"/>
        <v>2.2608607121061395</v>
      </c>
      <c r="G397" s="11">
        <f t="shared" si="33"/>
        <v>2.1463590330070663</v>
      </c>
    </row>
    <row r="398" spans="5:7" x14ac:dyDescent="0.25">
      <c r="E398" s="11">
        <f t="shared" si="31"/>
        <v>11</v>
      </c>
      <c r="F398" s="11">
        <f t="shared" si="32"/>
        <v>2.4172412259297333</v>
      </c>
      <c r="G398" s="11">
        <f t="shared" si="33"/>
        <v>2.3033343071901005</v>
      </c>
    </row>
    <row r="399" spans="5:7" x14ac:dyDescent="0.25">
      <c r="E399" s="11">
        <f t="shared" si="31"/>
        <v>12</v>
      </c>
      <c r="F399" s="11">
        <f t="shared" si="32"/>
        <v>2.5613729634416131</v>
      </c>
      <c r="G399" s="11">
        <f t="shared" si="33"/>
        <v>2.4513235093028474</v>
      </c>
    </row>
    <row r="400" spans="5:7" x14ac:dyDescent="0.25">
      <c r="E400" s="11">
        <f t="shared" si="31"/>
        <v>13</v>
      </c>
      <c r="F400" s="11">
        <f t="shared" si="32"/>
        <v>2.6935803838231478</v>
      </c>
      <c r="G400" s="11">
        <f t="shared" si="33"/>
        <v>2.5907010590149024</v>
      </c>
    </row>
    <row r="401" spans="5:7" x14ac:dyDescent="0.25">
      <c r="E401" s="11">
        <f t="shared" si="31"/>
        <v>14</v>
      </c>
      <c r="F401" s="11">
        <f t="shared" si="32"/>
        <v>2.8142673170280079</v>
      </c>
      <c r="G401" s="11">
        <f t="shared" si="33"/>
        <v>2.721841375995862</v>
      </c>
    </row>
    <row r="402" spans="5:7" x14ac:dyDescent="0.25">
      <c r="E402" s="11">
        <f t="shared" si="31"/>
        <v>15</v>
      </c>
      <c r="F402" s="11">
        <f t="shared" si="32"/>
        <v>2.923921682425727</v>
      </c>
      <c r="G402" s="11">
        <f t="shared" si="33"/>
        <v>2.8451188799153204</v>
      </c>
    </row>
    <row r="403" spans="5:7" x14ac:dyDescent="0.25">
      <c r="E403" s="11">
        <f t="shared" si="31"/>
        <v>16</v>
      </c>
      <c r="F403" s="11">
        <f t="shared" si="32"/>
        <v>3.0231203533758104</v>
      </c>
      <c r="G403" s="11">
        <f t="shared" si="33"/>
        <v>2.9609079904428732</v>
      </c>
    </row>
    <row r="404" spans="5:7" x14ac:dyDescent="0.25">
      <c r="E404" s="11">
        <f t="shared" si="31"/>
        <v>17</v>
      </c>
      <c r="F404" s="11">
        <f t="shared" si="32"/>
        <v>3.1125341699960534</v>
      </c>
      <c r="G404" s="11">
        <f t="shared" si="33"/>
        <v>3.0695831272481162</v>
      </c>
    </row>
    <row r="405" spans="5:7" x14ac:dyDescent="0.25">
      <c r="E405" s="11">
        <f t="shared" si="31"/>
        <v>18</v>
      </c>
      <c r="F405" s="11">
        <f t="shared" si="32"/>
        <v>3.1929331024002527</v>
      </c>
      <c r="G405" s="11">
        <f t="shared" si="33"/>
        <v>3.1715187100006434</v>
      </c>
    </row>
    <row r="406" spans="5:7" x14ac:dyDescent="0.25">
      <c r="E406" s="11">
        <f t="shared" si="31"/>
        <v>19</v>
      </c>
      <c r="F406" s="11">
        <f t="shared" si="32"/>
        <v>3.265191566691962</v>
      </c>
      <c r="G406" s="11">
        <f t="shared" si="33"/>
        <v>3.2670891583700516</v>
      </c>
    </row>
    <row r="407" spans="5:7" x14ac:dyDescent="0.25">
      <c r="E407" s="11">
        <f t="shared" si="31"/>
        <v>20</v>
      </c>
      <c r="F407" s="11">
        <f t="shared" si="32"/>
        <v>3.3302938960124555</v>
      </c>
      <c r="G407" s="11">
        <f t="shared" si="33"/>
        <v>3.3566688920259344</v>
      </c>
    </row>
    <row r="408" spans="5:7" x14ac:dyDescent="0.25">
      <c r="E408" s="11">
        <f t="shared" si="31"/>
        <v>21</v>
      </c>
      <c r="F408" s="11">
        <f t="shared" si="32"/>
        <v>3.3893399689525667</v>
      </c>
      <c r="G408" s="11">
        <f t="shared" si="33"/>
        <v>3.440632330637889</v>
      </c>
    </row>
    <row r="409" spans="5:7" x14ac:dyDescent="0.25">
      <c r="E409" s="11">
        <f t="shared" si="31"/>
        <v>22</v>
      </c>
      <c r="F409" s="11">
        <f t="shared" si="32"/>
        <v>3.4435509976495271</v>
      </c>
      <c r="G409" s="11">
        <f t="shared" si="33"/>
        <v>3.5193538938755093</v>
      </c>
    </row>
    <row r="410" spans="5:7" x14ac:dyDescent="0.25">
      <c r="E410" s="11">
        <f t="shared" si="31"/>
        <v>23</v>
      </c>
      <c r="F410" s="11">
        <f t="shared" si="32"/>
        <v>3.4942754779014691</v>
      </c>
      <c r="G410" s="11">
        <f t="shared" si="33"/>
        <v>3.5932080014083905</v>
      </c>
    </row>
    <row r="411" spans="5:7" x14ac:dyDescent="0.25">
      <c r="E411" s="11">
        <f t="shared" si="31"/>
        <v>24</v>
      </c>
      <c r="F411" s="11">
        <f t="shared" si="32"/>
        <v>3.542995303643746</v>
      </c>
      <c r="G411" s="11">
        <f t="shared" si="33"/>
        <v>3.6625690729061291</v>
      </c>
    </row>
    <row r="412" spans="5:7" x14ac:dyDescent="0.25">
      <c r="E412" s="11">
        <f t="shared" si="31"/>
        <v>25</v>
      </c>
      <c r="F412" s="11">
        <f t="shared" si="32"/>
        <v>3.5913320481426645</v>
      </c>
      <c r="G412" s="11">
        <f t="shared" si="33"/>
        <v>3.7278115280383197</v>
      </c>
    </row>
    <row r="413" spans="5:7" x14ac:dyDescent="0.25">
      <c r="E413" s="11">
        <f t="shared" si="31"/>
        <v>26</v>
      </c>
      <c r="F413" s="11">
        <f t="shared" si="32"/>
        <v>3.6410534142738062</v>
      </c>
      <c r="G413" s="11">
        <f t="shared" si="33"/>
        <v>3.7893097864745564</v>
      </c>
    </row>
    <row r="414" spans="5:7" x14ac:dyDescent="0.25">
      <c r="E414" s="11">
        <f t="shared" si="31"/>
        <v>27</v>
      </c>
      <c r="F414" s="11">
        <f t="shared" si="32"/>
        <v>3.694079856263536</v>
      </c>
      <c r="G414" s="11">
        <f t="shared" si="33"/>
        <v>3.8474382678844368</v>
      </c>
    </row>
    <row r="415" spans="5:7" x14ac:dyDescent="0.25">
      <c r="E415" s="11">
        <f t="shared" ref="E415:E422" si="34">E208</f>
        <v>28</v>
      </c>
      <c r="F415" s="11">
        <f t="shared" ref="F415:F422" si="35">$H$217*0+E415*$I$217+E415^2*$J$217+E415^3*$K$217+E415^4*$L$217+E415^5*$M$217+E415^6*$N$217+E415^7*$O$217+E415^8*$P$217</f>
        <v>3.7524913752838382</v>
      </c>
      <c r="G415" s="11">
        <f t="shared" ref="G415:G422" si="36">F208</f>
        <v>3.9025713919375544</v>
      </c>
    </row>
    <row r="416" spans="5:7" x14ac:dyDescent="0.25">
      <c r="E416" s="11">
        <f t="shared" si="34"/>
        <v>29</v>
      </c>
      <c r="F416" s="11">
        <f t="shared" si="35"/>
        <v>3.818534491302072</v>
      </c>
      <c r="G416" s="11">
        <f t="shared" si="36"/>
        <v>3.9550835783035048</v>
      </c>
    </row>
    <row r="417" spans="5:7" x14ac:dyDescent="0.25">
      <c r="E417" s="11">
        <f t="shared" si="34"/>
        <v>30</v>
      </c>
      <c r="F417" s="11">
        <f t="shared" si="35"/>
        <v>3.8946293935988106</v>
      </c>
      <c r="G417" s="11">
        <f t="shared" si="36"/>
        <v>4.0053492466518845</v>
      </c>
    </row>
    <row r="418" spans="5:7" x14ac:dyDescent="0.25">
      <c r="E418" s="11">
        <f t="shared" si="34"/>
        <v>31</v>
      </c>
      <c r="F418" s="11">
        <f t="shared" si="35"/>
        <v>3.9833772723782959</v>
      </c>
      <c r="G418" s="11">
        <f t="shared" si="36"/>
        <v>4.0537428166522869</v>
      </c>
    </row>
    <row r="419" spans="5:7" x14ac:dyDescent="0.25">
      <c r="E419" s="11">
        <f t="shared" si="34"/>
        <v>32</v>
      </c>
      <c r="F419" s="11">
        <f t="shared" si="35"/>
        <v>4.0875678339076966</v>
      </c>
      <c r="G419" s="11">
        <f t="shared" si="36"/>
        <v>4.1006387079743085</v>
      </c>
    </row>
    <row r="420" spans="5:7" x14ac:dyDescent="0.25">
      <c r="E420" s="11">
        <f t="shared" si="34"/>
        <v>33</v>
      </c>
      <c r="F420" s="11">
        <f t="shared" si="35"/>
        <v>4.2101870016326961</v>
      </c>
      <c r="G420" s="11">
        <f t="shared" si="36"/>
        <v>4.1464113402875444</v>
      </c>
    </row>
    <row r="421" spans="5:7" x14ac:dyDescent="0.25">
      <c r="E421" s="11">
        <f t="shared" si="34"/>
        <v>34</v>
      </c>
      <c r="F421" s="11">
        <f t="shared" si="35"/>
        <v>4.3544248057285566</v>
      </c>
      <c r="G421" s="11">
        <f t="shared" si="36"/>
        <v>4.1914351332615896</v>
      </c>
    </row>
    <row r="422" spans="5:7" x14ac:dyDescent="0.25">
      <c r="E422" s="11">
        <f t="shared" si="34"/>
        <v>35</v>
      </c>
      <c r="F422" s="11">
        <f t="shared" si="35"/>
        <v>4.5236834635572301</v>
      </c>
      <c r="G422" s="11">
        <f t="shared" si="36"/>
        <v>4.2360845065660389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2022-01-12T07:27:15Z</dcterms:modified>
</cp:coreProperties>
</file>