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bestimmen'!$D$126:$H$126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F431" i="43" l="1"/>
  <c r="F430" i="43"/>
  <c r="F419" i="43"/>
  <c r="F427" i="43"/>
  <c r="F416" i="43"/>
  <c r="F404" i="43"/>
  <c r="F424" i="43"/>
  <c r="F410" i="43"/>
  <c r="G416" i="43"/>
  <c r="G434" i="43"/>
  <c r="F423" i="43"/>
  <c r="F434" i="43"/>
  <c r="F420" i="43"/>
  <c r="C405" i="43"/>
  <c r="C423" i="43"/>
  <c r="C427" i="43"/>
  <c r="G431" i="43"/>
  <c r="G413" i="43"/>
  <c r="E422" i="43"/>
  <c r="D420" i="43"/>
  <c r="E431" i="43"/>
  <c r="D415" i="43"/>
  <c r="E420" i="43"/>
  <c r="C426" i="43"/>
  <c r="C404" i="43"/>
  <c r="D413" i="43"/>
  <c r="D405" i="43"/>
  <c r="D410" i="43"/>
  <c r="D433" i="43"/>
  <c r="D431" i="43"/>
  <c r="D422" i="43"/>
  <c r="C419" i="43"/>
  <c r="C415" i="43"/>
  <c r="C410" i="43"/>
  <c r="C433" i="43"/>
  <c r="C431" i="43"/>
  <c r="D424" i="43"/>
  <c r="C421" i="43"/>
  <c r="C418" i="43"/>
  <c r="C414" i="43"/>
  <c r="C409" i="43"/>
  <c r="C432" i="43"/>
  <c r="C424" i="43"/>
  <c r="C417" i="43"/>
  <c r="D408" i="43"/>
  <c r="C430" i="43"/>
  <c r="C425" i="43"/>
  <c r="C412" i="43"/>
  <c r="C408" i="43"/>
  <c r="C429" i="43"/>
  <c r="C420" i="43"/>
  <c r="C434" i="43"/>
  <c r="C428" i="43"/>
  <c r="C422" i="43"/>
  <c r="C407" i="43"/>
  <c r="D412" i="43"/>
  <c r="E410" i="43"/>
  <c r="E429" i="43"/>
  <c r="E418" i="43"/>
  <c r="E434" i="43"/>
  <c r="D432" i="43"/>
  <c r="D429" i="43"/>
  <c r="D427" i="43"/>
  <c r="D425" i="43"/>
  <c r="D418" i="43"/>
  <c r="D414" i="43"/>
  <c r="D407" i="43"/>
  <c r="D434" i="43"/>
  <c r="E423" i="43"/>
  <c r="D421" i="43"/>
  <c r="E416" i="43"/>
  <c r="E411" i="43"/>
  <c r="D409" i="43"/>
  <c r="E426" i="43"/>
  <c r="D423" i="43"/>
  <c r="E419" i="43"/>
  <c r="E417" i="43"/>
  <c r="D416" i="43"/>
  <c r="D411" i="43"/>
  <c r="E406" i="43"/>
  <c r="E427" i="43"/>
  <c r="E425" i="43"/>
  <c r="E404" i="43"/>
  <c r="D404" i="43"/>
  <c r="E430" i="43"/>
  <c r="D428" i="43"/>
  <c r="E433" i="43"/>
  <c r="D430" i="43"/>
  <c r="D426" i="43"/>
  <c r="E424"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<sst xmlns="http://schemas.openxmlformats.org/spreadsheetml/2006/main" count="311" uniqueCount="164">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</sst>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77416848"/>
        <c:axId val="577425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77416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25864"/>
        <c:crossesAt val="-8.0000000000000019E-3"/>
        <c:crossBetween val="midCat"/>
      </c:valAx>
      <c:valAx>
        <c:axId val="57742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168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77974600"/>
        <c:axId val="477980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79746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80872"/>
        <c:crosses val="autoZero"/>
        <c:crossBetween val="midCat"/>
      </c:valAx>
      <c:valAx>
        <c:axId val="47798087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746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79706176"/>
        <c:axId val="429181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79706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9181696"/>
        <c:crosses val="autoZero"/>
        <c:crossBetween val="midCat"/>
        <c:majorUnit val="10000"/>
      </c:valAx>
      <c:valAx>
        <c:axId val="42918169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70617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04818608"/>
        <c:axId val="6048170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86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7040"/>
        <c:crosses val="autoZero"/>
        <c:crossBetween val="midCat"/>
        <c:majorUnit val="10000"/>
      </c:valAx>
      <c:valAx>
        <c:axId val="6048170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860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04810376"/>
        <c:axId val="60481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037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9000"/>
        <c:crosses val="autoZero"/>
        <c:crossBetween val="midCat"/>
        <c:majorUnit val="10000"/>
      </c:valAx>
      <c:valAx>
        <c:axId val="60481900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376"/>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6.4553115572410022E-6</c:v>
                </c:pt>
                <c:pt idx="1">
                  <c:v>3.4887183318556005E-6</c:v>
                </c:pt>
                <c:pt idx="2">
                  <c:v>1.8413806233887663E-6</c:v>
                </c:pt>
                <c:pt idx="3">
                  <c:v>3.215229432830142E-6</c:v>
                </c:pt>
                <c:pt idx="4">
                  <c:v>3.6034037148644884E-6</c:v>
                </c:pt>
                <c:pt idx="5">
                  <c:v>3.7207411976317337E-6</c:v>
                </c:pt>
                <c:pt idx="6">
                  <c:v>3.7364837639704192E-6</c:v>
                </c:pt>
                <c:pt idx="7">
                  <c:v>3.4863900840669675E-6</c:v>
                </c:pt>
                <c:pt idx="8">
                  <c:v>9.2556900103284314E-7</c:v>
                </c:pt>
                <c:pt idx="9">
                  <c:v>2.1205307188212623E-5</c:v>
                </c:pt>
                <c:pt idx="10">
                  <c:v>1.4484412435119317E-5</c:v>
                </c:pt>
                <c:pt idx="11">
                  <c:v>3.0263318961548981E-5</c:v>
                </c:pt>
                <c:pt idx="12">
                  <c:v>3.9892121502632246E-5</c:v>
                </c:pt>
                <c:pt idx="13">
                  <c:v>4.3623597542640157E-5</c:v>
                </c:pt>
                <c:pt idx="14">
                  <c:v>4.0018425305950115E-5</c:v>
                </c:pt>
                <c:pt idx="15">
                  <c:v>3.1101094216116021E-5</c:v>
                </c:pt>
                <c:pt idx="16">
                  <c:v>2.1034923358539052E-5</c:v>
                </c:pt>
                <c:pt idx="17">
                  <c:v>1.3192253916111908E-5</c:v>
                </c:pt>
                <c:pt idx="18">
                  <c:v>8.2312679580392323E-6</c:v>
                </c:pt>
                <c:pt idx="19">
                  <c:v>5.0151798491761667E-6</c:v>
                </c:pt>
                <c:pt idx="20">
                  <c:v>2.8831966901130563E-6</c:v>
                </c:pt>
                <c:pt idx="21">
                  <c:v>1.9672984974437129E-6</c:v>
                </c:pt>
                <c:pt idx="22">
                  <c:v>2.9628213595646227E-6</c:v>
                </c:pt>
                <c:pt idx="23">
                  <c:v>5.1881779006038324E-6</c:v>
                </c:pt>
                <c:pt idx="24">
                  <c:v>7.5509540033898464E-6</c:v>
                </c:pt>
                <c:pt idx="25">
                  <c:v>1.2221597667432687E-5</c:v>
                </c:pt>
                <c:pt idx="26">
                  <c:v>2.601076964373969E-5</c:v>
                </c:pt>
                <c:pt idx="27">
                  <c:v>6.4471191262258581E-5</c:v>
                </c:pt>
                <c:pt idx="28">
                  <c:v>1.5886304062206206E-4</c:v>
                </c:pt>
                <c:pt idx="29">
                  <c:v>3.0366251511459216E-4</c:v>
                </c:pt>
                <c:pt idx="30">
                  <c:v>2.056185122654294E-4</c:v>
                </c:pt>
              </c:numCache>
            </c:numRef>
          </c:yVal>
          <c:smooth val="1"/>
        </c:ser>
        <c:dLbls>
          <c:showLegendKey val="0"/>
          <c:showVal val="0"/>
          <c:showCatName val="0"/>
          <c:showSerName val="0"/>
          <c:showPercent val="0"/>
          <c:showBubbleSize val="0"/>
        </c:dLbls>
        <c:axId val="604810768"/>
        <c:axId val="604817432"/>
      </c:scatterChart>
      <c:valAx>
        <c:axId val="604810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432"/>
        <c:crossesAt val="-1.5000000000000005E-3"/>
        <c:crossBetween val="midCat"/>
      </c:valAx>
      <c:valAx>
        <c:axId val="6048174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76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7287.2891982826222</c:v>
                </c:pt>
                <c:pt idx="1">
                  <c:v>7287.2891982588853</c:v>
                </c:pt>
                <c:pt idx="2">
                  <c:v>7287.2891980215209</c:v>
                </c:pt>
                <c:pt idx="3">
                  <c:v>7287.2891956478752</c:v>
                </c:pt>
                <c:pt idx="4">
                  <c:v>7287.289171911425</c:v>
                </c:pt>
                <c:pt idx="5">
                  <c:v>7287.2889345473377</c:v>
                </c:pt>
                <c:pt idx="6">
                  <c:v>7287.2865609487162</c:v>
                </c:pt>
                <c:pt idx="7">
                  <c:v>7287.2628291862602</c:v>
                </c:pt>
                <c:pt idx="8">
                  <c:v>7287.0259326431087</c:v>
                </c:pt>
                <c:pt idx="9">
                  <c:v>7284.6978168855394</c:v>
                </c:pt>
                <c:pt idx="10">
                  <c:v>7264.5257553345609</c:v>
                </c:pt>
                <c:pt idx="11">
                  <c:v>7153.8643736390295</c:v>
                </c:pt>
                <c:pt idx="12">
                  <c:v>7011.7176919328949</c:v>
                </c:pt>
                <c:pt idx="13">
                  <c:v>6855.0699056416097</c:v>
                </c:pt>
                <c:pt idx="14">
                  <c:v>6667.0699875438713</c:v>
                </c:pt>
                <c:pt idx="15">
                  <c:v>6458.0741613421114</c:v>
                </c:pt>
                <c:pt idx="16">
                  <c:v>6197.0091502858468</c:v>
                </c:pt>
                <c:pt idx="17">
                  <c:v>5728.7607244893079</c:v>
                </c:pt>
                <c:pt idx="18">
                  <c:v>4909.3702737098383</c:v>
                </c:pt>
                <c:pt idx="19">
                  <c:v>4054.7059305785556</c:v>
                </c:pt>
                <c:pt idx="20">
                  <c:v>3384.7279274075818</c:v>
                </c:pt>
                <c:pt idx="21">
                  <c:v>2867.8187301762346</c:v>
                </c:pt>
                <c:pt idx="22">
                  <c:v>2393.9148734243458</c:v>
                </c:pt>
                <c:pt idx="23">
                  <c:v>1923.0546521948713</c:v>
                </c:pt>
                <c:pt idx="24">
                  <c:v>1433.0153891706077</c:v>
                </c:pt>
                <c:pt idx="25">
                  <c:v>928.38384310793288</c:v>
                </c:pt>
                <c:pt idx="26">
                  <c:v>540.76350461674588</c:v>
                </c:pt>
                <c:pt idx="27">
                  <c:v>302.12767494059574</c:v>
                </c:pt>
                <c:pt idx="28">
                  <c:v>167.92939465126034</c:v>
                </c:pt>
                <c:pt idx="29">
                  <c:v>115.59097341631293</c:v>
                </c:pt>
                <c:pt idx="30">
                  <c:v>100.51088225937114</c:v>
                </c:pt>
              </c:numCache>
            </c:numRef>
          </c:yVal>
          <c:smooth val="1"/>
        </c:ser>
        <c:dLbls>
          <c:showLegendKey val="0"/>
          <c:showVal val="0"/>
          <c:showCatName val="0"/>
          <c:showSerName val="0"/>
          <c:showPercent val="0"/>
          <c:showBubbleSize val="0"/>
        </c:dLbls>
        <c:axId val="604813904"/>
        <c:axId val="604811160"/>
      </c:scatterChart>
      <c:valAx>
        <c:axId val="6048139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160"/>
        <c:crosses val="autoZero"/>
        <c:crossBetween val="midCat"/>
      </c:valAx>
      <c:valAx>
        <c:axId val="604811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39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2.0490434716049732E-2</c:v>
                </c:pt>
                <c:pt idx="11">
                  <c:v>2.0490665337719885E-2</c:v>
                </c:pt>
                <c:pt idx="12">
                  <c:v>2.0493046168580404E-2</c:v>
                </c:pt>
                <c:pt idx="13">
                  <c:v>2.0516770508094334E-2</c:v>
                </c:pt>
                <c:pt idx="14">
                  <c:v>2.0750693248229913E-2</c:v>
                </c:pt>
                <c:pt idx="15">
                  <c:v>2.2822939950962441E-2</c:v>
                </c:pt>
                <c:pt idx="16">
                  <c:v>3.4773957528591033E-2</c:v>
                </c:pt>
                <c:pt idx="17">
                  <c:v>4.715578649540577E-2</c:v>
                </c:pt>
                <c:pt idx="18">
                  <c:v>4.8829668151564538E-2</c:v>
                </c:pt>
                <c:pt idx="19">
                  <c:v>5.3413285196553917E-2</c:v>
                </c:pt>
                <c:pt idx="20">
                  <c:v>4.1480196888491888E-2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6.4553115572410022E-6</c:v>
                </c:pt>
                <c:pt idx="1">
                  <c:v>3.4887183318556005E-6</c:v>
                </c:pt>
                <c:pt idx="2">
                  <c:v>1.8413806222655136E-6</c:v>
                </c:pt>
                <c:pt idx="3">
                  <c:v>3.2152294202247328E-6</c:v>
                </c:pt>
                <c:pt idx="4">
                  <c:v>3.6034035893095743E-6</c:v>
                </c:pt>
                <c:pt idx="5">
                  <c:v>3.7207399409591486E-6</c:v>
                </c:pt>
                <c:pt idx="6">
                  <c:v>3.7364711983635301E-6</c:v>
                </c:pt>
                <c:pt idx="7">
                  <c:v>3.4862644674335652E-6</c:v>
                </c:pt>
                <c:pt idx="8">
                  <c:v>9.2431684467504682E-7</c:v>
                </c:pt>
                <c:pt idx="9">
                  <c:v>2.1217445526890459E-5</c:v>
                </c:pt>
                <c:pt idx="10">
                  <c:v>1.4580106790893387E-5</c:v>
                </c:pt>
                <c:pt idx="11">
                  <c:v>2.9883536957937605E-5</c:v>
                </c:pt>
                <c:pt idx="12">
                  <c:v>4.0191017829802273E-5</c:v>
                </c:pt>
                <c:pt idx="13">
                  <c:v>4.318710218723705E-5</c:v>
                </c:pt>
                <c:pt idx="14">
                  <c:v>4.0458759746073804E-5</c:v>
                </c:pt>
                <c:pt idx="15">
                  <c:v>3.0554060659856023E-5</c:v>
                </c:pt>
                <c:pt idx="16">
                  <c:v>2.1754904673814325E-5</c:v>
                </c:pt>
                <c:pt idx="17">
                  <c:v>1.1359776277517321E-5</c:v>
                </c:pt>
                <c:pt idx="18">
                  <c:v>1.0689332413211698E-5</c:v>
                </c:pt>
                <c:pt idx="19">
                  <c:v>2.6657616011380303E-6</c:v>
                </c:pt>
                <c:pt idx="20">
                  <c:v>5.095696737217256E-6</c:v>
                </c:pt>
                <c:pt idx="21">
                  <c:v>6.3206236853287054E-8</c:v>
                </c:pt>
                <c:pt idx="22">
                  <c:v>6.391045762237586E-6</c:v>
                </c:pt>
                <c:pt idx="23">
                  <c:v>1.1224221977165916E-6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6.5370169112242388E-2</c:v>
                </c:pt>
                <c:pt idx="11">
                  <c:v>7.9347788891809712E-2</c:v>
                </c:pt>
                <c:pt idx="12">
                  <c:v>9.0912626444992636E-2</c:v>
                </c:pt>
                <c:pt idx="13">
                  <c:v>8.4821882666655704E-2</c:v>
                </c:pt>
                <c:pt idx="14">
                  <c:v>7.9927730055473992E-3</c:v>
                </c:pt>
                <c:pt idx="15">
                  <c:v>0.10117570365588117</c:v>
                </c:pt>
                <c:pt idx="16">
                  <c:v>0.15748070343229512</c:v>
                </c:pt>
                <c:pt idx="17">
                  <c:v>0.10707015590012688</c:v>
                </c:pt>
                <c:pt idx="18">
                  <c:v>6.5476269407176324E-2</c:v>
                </c:pt>
                <c:pt idx="19">
                  <c:v>0.30970783407155644</c:v>
                </c:pt>
                <c:pt idx="20">
                  <c:v>0.7275494908843364</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4.6664155053728913E-3</c:v>
                </c:pt>
                <c:pt idx="11">
                  <c:v>3.7799494791760521E-2</c:v>
                </c:pt>
                <c:pt idx="12">
                  <c:v>7.4739438342785861E-2</c:v>
                </c:pt>
                <c:pt idx="13">
                  <c:v>0.11392731233757161</c:v>
                </c:pt>
                <c:pt idx="14">
                  <c:v>0.38024680470905803</c:v>
                </c:pt>
                <c:pt idx="15">
                  <c:v>0.47069600965643305</c:v>
                </c:pt>
                <c:pt idx="16">
                  <c:v>0.49766877156117922</c:v>
                </c:pt>
                <c:pt idx="17">
                  <c:v>0.63623398834122125</c:v>
                </c:pt>
                <c:pt idx="18">
                  <c:v>0.60164691807405879</c:v>
                </c:pt>
                <c:pt idx="19">
                  <c:v>0.53430095420743107</c:v>
                </c:pt>
                <c:pt idx="20">
                  <c:v>0.48128861551657115</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04811944"/>
        <c:axId val="604817824"/>
      </c:scatterChart>
      <c:valAx>
        <c:axId val="604811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824"/>
        <c:crossesAt val="1.0000000000000005E-9"/>
        <c:crossBetween val="midCat"/>
      </c:valAx>
      <c:valAx>
        <c:axId val="60481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9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-11.767742998078067</c:v>
                </c:pt>
                <c:pt idx="1">
                  <c:v>-7.8587380955255552</c:v>
                </c:pt>
                <c:pt idx="2">
                  <c:v>-3.7354013348601445</c:v>
                </c:pt>
                <c:pt idx="3">
                  <c:v>0</c:v>
                </c:pt>
                <c:pt idx="4">
                  <c:v>8.2707313122809456</c:v>
                </c:pt>
                <c:pt idx="5">
                  <c:v>28.146332639018276</c:v>
                </c:pt>
                <c:pt idx="6">
                  <c:v>33.046934955690347</c:v>
                </c:pt>
              </c:numCache>
            </c:numRef>
          </c:yVal>
          <c:smooth val="0"/>
        </c:ser>
        <c:dLbls>
          <c:showLegendKey val="0"/>
          <c:showVal val="0"/>
          <c:showCatName val="0"/>
          <c:showSerName val="0"/>
          <c:showPercent val="0"/>
          <c:showBubbleSize val="0"/>
        </c:dLbls>
        <c:axId val="604812728"/>
        <c:axId val="604818216"/>
      </c:scatterChart>
      <c:valAx>
        <c:axId val="604812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8216"/>
        <c:crossesAt val="-100"/>
        <c:crossBetween val="midCat"/>
      </c:valAx>
      <c:valAx>
        <c:axId val="604818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2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604815080"/>
        <c:axId val="604808808"/>
      </c:scatterChart>
      <c:valAx>
        <c:axId val="6048150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8808"/>
        <c:crosses val="autoZero"/>
        <c:crossBetween val="midCat"/>
      </c:valAx>
      <c:valAx>
        <c:axId val="6048088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08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7.7505790746703311E-21</c:v>
                </c:pt>
                <c:pt idx="1">
                  <c:v>7.7505790746703311E-20</c:v>
                </c:pt>
                <c:pt idx="2">
                  <c:v>7.7505790746703308E-19</c:v>
                </c:pt>
                <c:pt idx="3">
                  <c:v>7.7505790746703304E-18</c:v>
                </c:pt>
                <c:pt idx="4">
                  <c:v>7.7505790746703298E-17</c:v>
                </c:pt>
                <c:pt idx="5">
                  <c:v>7.7505790746703311E-16</c:v>
                </c:pt>
                <c:pt idx="6">
                  <c:v>7.7505790746703311E-15</c:v>
                </c:pt>
                <c:pt idx="7">
                  <c:v>7.7505790746703311E-14</c:v>
                </c:pt>
                <c:pt idx="8">
                  <c:v>7.7505790746703303E-13</c:v>
                </c:pt>
                <c:pt idx="9">
                  <c:v>7.7505790746703311E-12</c:v>
                </c:pt>
                <c:pt idx="10">
                  <c:v>7.7505790746703318E-11</c:v>
                </c:pt>
                <c:pt idx="11">
                  <c:v>7.7505790746703307E-10</c:v>
                </c:pt>
                <c:pt idx="12">
                  <c:v>7.7505790746703309E-9</c:v>
                </c:pt>
                <c:pt idx="13">
                  <c:v>7.7505790746703309E-8</c:v>
                </c:pt>
                <c:pt idx="14">
                  <c:v>7.7505790746703309E-7</c:v>
                </c:pt>
                <c:pt idx="15">
                  <c:v>7.7505790746703309E-6</c:v>
                </c:pt>
                <c:pt idx="16">
                  <c:v>7.7505790746703303E-5</c:v>
                </c:pt>
                <c:pt idx="17">
                  <c:v>7.7505790746703305E-4</c:v>
                </c:pt>
                <c:pt idx="18">
                  <c:v>7.7505790746703303E-3</c:v>
                </c:pt>
                <c:pt idx="19">
                  <c:v>7.7505790746703301E-2</c:v>
                </c:pt>
                <c:pt idx="20">
                  <c:v>0.77505790746703307</c:v>
                </c:pt>
                <c:pt idx="21">
                  <c:v>7.7505790746703305</c:v>
                </c:pt>
                <c:pt idx="22">
                  <c:v>77.505790746703312</c:v>
                </c:pt>
                <c:pt idx="23">
                  <c:v>775.05790746703303</c:v>
                </c:pt>
                <c:pt idx="24">
                  <c:v>7750.5790746703306</c:v>
                </c:pt>
                <c:pt idx="25">
                  <c:v>77505.790746703307</c:v>
                </c:pt>
                <c:pt idx="26">
                  <c:v>775057.90746703302</c:v>
                </c:pt>
                <c:pt idx="27">
                  <c:v>7750579.0746703306</c:v>
                </c:pt>
                <c:pt idx="28">
                  <c:v>77505790.746703312</c:v>
                </c:pt>
                <c:pt idx="29">
                  <c:v>775057907.46703303</c:v>
                </c:pt>
                <c:pt idx="30">
                  <c:v>7750579074.670331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3.8636111469951679E-19</c:v>
                </c:pt>
                <c:pt idx="1">
                  <c:v>3.8636111469951678E-18</c:v>
                </c:pt>
                <c:pt idx="2">
                  <c:v>3.8636111469951678E-17</c:v>
                </c:pt>
                <c:pt idx="3">
                  <c:v>3.8636111469951675E-16</c:v>
                </c:pt>
                <c:pt idx="4">
                  <c:v>3.8636111469951675E-15</c:v>
                </c:pt>
                <c:pt idx="5">
                  <c:v>3.8636111469951679E-14</c:v>
                </c:pt>
                <c:pt idx="6">
                  <c:v>3.8636111469951679E-13</c:v>
                </c:pt>
                <c:pt idx="7">
                  <c:v>3.8636111469951677E-12</c:v>
                </c:pt>
                <c:pt idx="8">
                  <c:v>3.8636111469951672E-11</c:v>
                </c:pt>
                <c:pt idx="9">
                  <c:v>3.8636111469951672E-10</c:v>
                </c:pt>
                <c:pt idx="10">
                  <c:v>3.863611146995168E-9</c:v>
                </c:pt>
                <c:pt idx="11">
                  <c:v>3.8636111469951675E-8</c:v>
                </c:pt>
                <c:pt idx="12">
                  <c:v>3.8636111469951675E-7</c:v>
                </c:pt>
                <c:pt idx="13">
                  <c:v>3.8636111469951673E-6</c:v>
                </c:pt>
                <c:pt idx="14">
                  <c:v>3.8636111469951678E-5</c:v>
                </c:pt>
                <c:pt idx="15">
                  <c:v>3.8636111469951675E-4</c:v>
                </c:pt>
                <c:pt idx="16">
                  <c:v>3.8636111469951676E-3</c:v>
                </c:pt>
                <c:pt idx="17">
                  <c:v>3.8636111469951676E-2</c:v>
                </c:pt>
                <c:pt idx="18">
                  <c:v>0.38636111469951673</c:v>
                </c:pt>
                <c:pt idx="19">
                  <c:v>3.8636111469951673</c:v>
                </c:pt>
                <c:pt idx="20">
                  <c:v>38.636111469951672</c:v>
                </c:pt>
                <c:pt idx="21">
                  <c:v>386.36111469951675</c:v>
                </c:pt>
                <c:pt idx="22">
                  <c:v>3863.6111469951675</c:v>
                </c:pt>
                <c:pt idx="23">
                  <c:v>38636.111469951677</c:v>
                </c:pt>
                <c:pt idx="24">
                  <c:v>386361.11469951674</c:v>
                </c:pt>
                <c:pt idx="25">
                  <c:v>3863611.1469951672</c:v>
                </c:pt>
                <c:pt idx="26">
                  <c:v>38636111.469951674</c:v>
                </c:pt>
                <c:pt idx="27">
                  <c:v>386361114.69951677</c:v>
                </c:pt>
                <c:pt idx="28">
                  <c:v>3863611146.9951673</c:v>
                </c:pt>
                <c:pt idx="29">
                  <c:v>38636111469.951675</c:v>
                </c:pt>
                <c:pt idx="30">
                  <c:v>386361114699.51672</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2.3863591855339665E-17</c:v>
                </c:pt>
                <c:pt idx="1">
                  <c:v>2.3863591855339665E-16</c:v>
                </c:pt>
                <c:pt idx="2">
                  <c:v>2.3863591855339663E-15</c:v>
                </c:pt>
                <c:pt idx="3">
                  <c:v>2.3863591855339664E-14</c:v>
                </c:pt>
                <c:pt idx="4">
                  <c:v>2.3863591855339662E-13</c:v>
                </c:pt>
                <c:pt idx="5">
                  <c:v>2.3863591855339664E-12</c:v>
                </c:pt>
                <c:pt idx="6">
                  <c:v>2.3863591855339664E-11</c:v>
                </c:pt>
                <c:pt idx="7">
                  <c:v>2.3863591855339665E-10</c:v>
                </c:pt>
                <c:pt idx="8">
                  <c:v>2.3863591855339662E-9</c:v>
                </c:pt>
                <c:pt idx="9">
                  <c:v>2.3863591855339664E-8</c:v>
                </c:pt>
                <c:pt idx="10">
                  <c:v>2.3863591855339663E-7</c:v>
                </c:pt>
                <c:pt idx="11">
                  <c:v>2.3863591855339664E-6</c:v>
                </c:pt>
                <c:pt idx="12">
                  <c:v>2.3863591855339662E-5</c:v>
                </c:pt>
                <c:pt idx="13">
                  <c:v>2.3863591855339663E-4</c:v>
                </c:pt>
                <c:pt idx="14">
                  <c:v>2.3863591855339665E-3</c:v>
                </c:pt>
                <c:pt idx="15">
                  <c:v>2.3863591855339664E-2</c:v>
                </c:pt>
                <c:pt idx="16">
                  <c:v>0.23863591855339664</c:v>
                </c:pt>
                <c:pt idx="17">
                  <c:v>2.3863591855339665</c:v>
                </c:pt>
                <c:pt idx="18">
                  <c:v>23.863591855339664</c:v>
                </c:pt>
                <c:pt idx="19">
                  <c:v>238.63591855339664</c:v>
                </c:pt>
                <c:pt idx="20">
                  <c:v>2386.3591855339664</c:v>
                </c:pt>
                <c:pt idx="21">
                  <c:v>23863.591855339662</c:v>
                </c:pt>
                <c:pt idx="22">
                  <c:v>238635.91855339662</c:v>
                </c:pt>
                <c:pt idx="23">
                  <c:v>2386359.1855339664</c:v>
                </c:pt>
                <c:pt idx="24">
                  <c:v>23863591.855339665</c:v>
                </c:pt>
                <c:pt idx="25">
                  <c:v>238635918.55339664</c:v>
                </c:pt>
                <c:pt idx="26">
                  <c:v>2386359185.5339665</c:v>
                </c:pt>
                <c:pt idx="27">
                  <c:v>23863591855.339664</c:v>
                </c:pt>
                <c:pt idx="28">
                  <c:v>238635918553.39664</c:v>
                </c:pt>
                <c:pt idx="29">
                  <c:v>2386359185533.9663</c:v>
                </c:pt>
                <c:pt idx="30">
                  <c:v>23863591855339.664</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3.9078057737808554E-12</c:v>
                </c:pt>
                <c:pt idx="1">
                  <c:v>3.9078057737808548E-11</c:v>
                </c:pt>
                <c:pt idx="2">
                  <c:v>3.9078057737808548E-10</c:v>
                </c:pt>
                <c:pt idx="3">
                  <c:v>3.9078057737808548E-9</c:v>
                </c:pt>
                <c:pt idx="4">
                  <c:v>3.9078057737808548E-8</c:v>
                </c:pt>
                <c:pt idx="5">
                  <c:v>3.9078057737808548E-7</c:v>
                </c:pt>
                <c:pt idx="6">
                  <c:v>3.9078057737808549E-6</c:v>
                </c:pt>
                <c:pt idx="7">
                  <c:v>3.9078057737808547E-5</c:v>
                </c:pt>
                <c:pt idx="8">
                  <c:v>3.9078057737808547E-4</c:v>
                </c:pt>
                <c:pt idx="9">
                  <c:v>3.9078057737808548E-3</c:v>
                </c:pt>
                <c:pt idx="10">
                  <c:v>3.907805773780855E-2</c:v>
                </c:pt>
                <c:pt idx="11">
                  <c:v>0.39078057737808553</c:v>
                </c:pt>
                <c:pt idx="12">
                  <c:v>3.9078057737808547</c:v>
                </c:pt>
                <c:pt idx="13">
                  <c:v>39.07805773780855</c:v>
                </c:pt>
                <c:pt idx="14">
                  <c:v>390.78057737808552</c:v>
                </c:pt>
                <c:pt idx="15">
                  <c:v>3907.8057737808549</c:v>
                </c:pt>
                <c:pt idx="16">
                  <c:v>39078.057737808551</c:v>
                </c:pt>
                <c:pt idx="17">
                  <c:v>390780.57737808547</c:v>
                </c:pt>
                <c:pt idx="18">
                  <c:v>3907805.7737808549</c:v>
                </c:pt>
                <c:pt idx="19">
                  <c:v>39078057.737808548</c:v>
                </c:pt>
                <c:pt idx="20">
                  <c:v>390780577.37808549</c:v>
                </c:pt>
                <c:pt idx="21">
                  <c:v>3907805773.7808547</c:v>
                </c:pt>
                <c:pt idx="22">
                  <c:v>39078057737.808548</c:v>
                </c:pt>
                <c:pt idx="23">
                  <c:v>390780577378.08551</c:v>
                </c:pt>
                <c:pt idx="24">
                  <c:v>3907805773780.855</c:v>
                </c:pt>
                <c:pt idx="25">
                  <c:v>39078057737808.547</c:v>
                </c:pt>
                <c:pt idx="26">
                  <c:v>390780577378085.5</c:v>
                </c:pt>
                <c:pt idx="27">
                  <c:v>3907805773780855</c:v>
                </c:pt>
                <c:pt idx="28">
                  <c:v>3.9078057737808552E+16</c:v>
                </c:pt>
                <c:pt idx="29">
                  <c:v>3.907805773780855E+17</c:v>
                </c:pt>
                <c:pt idx="30">
                  <c:v>3.9078057737808548E+18</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1.6741599600536229E-3</c:v>
                </c:pt>
                <c:pt idx="1">
                  <c:v>1.6741599600536228E-2</c:v>
                </c:pt>
                <c:pt idx="2">
                  <c:v>0.16741599600536228</c:v>
                </c:pt>
                <c:pt idx="3">
                  <c:v>1.6741599600536228</c:v>
                </c:pt>
                <c:pt idx="4">
                  <c:v>16.741599600536226</c:v>
                </c:pt>
                <c:pt idx="5">
                  <c:v>167.41599600536227</c:v>
                </c:pt>
                <c:pt idx="6">
                  <c:v>1674.1599600536229</c:v>
                </c:pt>
                <c:pt idx="7">
                  <c:v>16741.599600536229</c:v>
                </c:pt>
                <c:pt idx="8">
                  <c:v>167415.99600536228</c:v>
                </c:pt>
                <c:pt idx="9">
                  <c:v>1674159.9600536227</c:v>
                </c:pt>
                <c:pt idx="10">
                  <c:v>16741599.600536229</c:v>
                </c:pt>
                <c:pt idx="11">
                  <c:v>167415996.0053623</c:v>
                </c:pt>
                <c:pt idx="12">
                  <c:v>1674159960.0536227</c:v>
                </c:pt>
                <c:pt idx="13">
                  <c:v>16741599600.536228</c:v>
                </c:pt>
                <c:pt idx="14">
                  <c:v>167415996005.36227</c:v>
                </c:pt>
                <c:pt idx="15">
                  <c:v>1674159960053.6228</c:v>
                </c:pt>
                <c:pt idx="16">
                  <c:v>16741599600536.229</c:v>
                </c:pt>
                <c:pt idx="17">
                  <c:v>167415996005362.28</c:v>
                </c:pt>
                <c:pt idx="18">
                  <c:v>1674159960053622.7</c:v>
                </c:pt>
                <c:pt idx="19">
                  <c:v>1.6741599600536228E+16</c:v>
                </c:pt>
                <c:pt idx="20">
                  <c:v>1.6741599600536227E+17</c:v>
                </c:pt>
                <c:pt idx="21">
                  <c:v>1.6741599600536228E+18</c:v>
                </c:pt>
                <c:pt idx="22">
                  <c:v>1.6741599600536228E+19</c:v>
                </c:pt>
                <c:pt idx="23">
                  <c:v>1.6741599600536227E+20</c:v>
                </c:pt>
                <c:pt idx="24">
                  <c:v>1.6741599600536228E+21</c:v>
                </c:pt>
                <c:pt idx="25">
                  <c:v>1.6741599600536229E+22</c:v>
                </c:pt>
                <c:pt idx="26">
                  <c:v>1.6741599600536227E+23</c:v>
                </c:pt>
                <c:pt idx="27">
                  <c:v>1.6741599600536229E+24</c:v>
                </c:pt>
                <c:pt idx="28">
                  <c:v>1.6741599600536227E+25</c:v>
                </c:pt>
                <c:pt idx="29">
                  <c:v>1.6741599600536229E+26</c:v>
                </c:pt>
                <c:pt idx="30">
                  <c:v>1.6741599600536227E+27</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0.22495802736579049</c:v>
                </c:pt>
                <c:pt idx="1">
                  <c:v>2.2495802736579047</c:v>
                </c:pt>
                <c:pt idx="2">
                  <c:v>22.495802736579048</c:v>
                </c:pt>
                <c:pt idx="3">
                  <c:v>224.95802736579046</c:v>
                </c:pt>
                <c:pt idx="4">
                  <c:v>2249.5802736579044</c:v>
                </c:pt>
                <c:pt idx="5">
                  <c:v>22495.802736579048</c:v>
                </c:pt>
                <c:pt idx="6">
                  <c:v>224958.02736579048</c:v>
                </c:pt>
                <c:pt idx="7">
                  <c:v>2249580.2736579045</c:v>
                </c:pt>
                <c:pt idx="8">
                  <c:v>22495802.736579046</c:v>
                </c:pt>
                <c:pt idx="9">
                  <c:v>224958027.36579046</c:v>
                </c:pt>
                <c:pt idx="10">
                  <c:v>2249580273.6579046</c:v>
                </c:pt>
                <c:pt idx="11">
                  <c:v>22495802736.579048</c:v>
                </c:pt>
                <c:pt idx="12">
                  <c:v>224958027365.79047</c:v>
                </c:pt>
                <c:pt idx="13">
                  <c:v>2249580273657.9048</c:v>
                </c:pt>
                <c:pt idx="14">
                  <c:v>22495802736579.047</c:v>
                </c:pt>
                <c:pt idx="15">
                  <c:v>224958027365790.47</c:v>
                </c:pt>
                <c:pt idx="16">
                  <c:v>2249580273657904.5</c:v>
                </c:pt>
                <c:pt idx="17">
                  <c:v>2.2495802736579048E+16</c:v>
                </c:pt>
                <c:pt idx="18">
                  <c:v>2.2495802736579046E+17</c:v>
                </c:pt>
                <c:pt idx="19">
                  <c:v>2.2495802736579046E+18</c:v>
                </c:pt>
                <c:pt idx="20">
                  <c:v>2.2495802736579047E+19</c:v>
                </c:pt>
                <c:pt idx="21">
                  <c:v>2.2495802736579045E+20</c:v>
                </c:pt>
                <c:pt idx="22">
                  <c:v>2.2495802736579046E+21</c:v>
                </c:pt>
                <c:pt idx="23">
                  <c:v>2.2495802736579044E+22</c:v>
                </c:pt>
                <c:pt idx="24">
                  <c:v>2.2495802736579047E+23</c:v>
                </c:pt>
                <c:pt idx="25">
                  <c:v>2.2495802736579047E+24</c:v>
                </c:pt>
                <c:pt idx="26">
                  <c:v>2.2495802736579046E+25</c:v>
                </c:pt>
                <c:pt idx="27">
                  <c:v>2.2495802736579045E+26</c:v>
                </c:pt>
                <c:pt idx="28">
                  <c:v>2.2495802736579046E+27</c:v>
                </c:pt>
                <c:pt idx="29">
                  <c:v>2.2495802736579048E+28</c:v>
                </c:pt>
                <c:pt idx="30">
                  <c:v>2.2495802736579048E+29</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09200"/>
        <c:axId val="604807240"/>
      </c:scatterChart>
      <c:valAx>
        <c:axId val="6048092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7240"/>
        <c:crosses val="autoZero"/>
        <c:crossBetween val="midCat"/>
      </c:valAx>
      <c:valAx>
        <c:axId val="604807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20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7.7505790746703311E-21</c:v>
                </c:pt>
                <c:pt idx="1">
                  <c:v>7.7505790746703311E-20</c:v>
                </c:pt>
                <c:pt idx="2">
                  <c:v>7.7505790746703308E-19</c:v>
                </c:pt>
                <c:pt idx="3">
                  <c:v>7.7505790746703304E-18</c:v>
                </c:pt>
                <c:pt idx="4">
                  <c:v>7.7505790746703298E-17</c:v>
                </c:pt>
                <c:pt idx="5">
                  <c:v>7.7505790746703311E-16</c:v>
                </c:pt>
                <c:pt idx="6">
                  <c:v>7.7505790746703311E-15</c:v>
                </c:pt>
                <c:pt idx="7">
                  <c:v>7.7505790746703311E-14</c:v>
                </c:pt>
                <c:pt idx="8">
                  <c:v>7.7505790746703303E-13</c:v>
                </c:pt>
                <c:pt idx="9">
                  <c:v>7.7505790746703311E-12</c:v>
                </c:pt>
                <c:pt idx="10">
                  <c:v>7.7505790746703318E-11</c:v>
                </c:pt>
                <c:pt idx="11">
                  <c:v>7.7505790746703307E-10</c:v>
                </c:pt>
                <c:pt idx="12">
                  <c:v>7.7505790746703309E-9</c:v>
                </c:pt>
                <c:pt idx="13">
                  <c:v>7.7505790746703309E-8</c:v>
                </c:pt>
                <c:pt idx="14">
                  <c:v>7.7505790746703309E-7</c:v>
                </c:pt>
                <c:pt idx="15">
                  <c:v>7.7505790746703309E-6</c:v>
                </c:pt>
                <c:pt idx="16">
                  <c:v>7.7505790746703303E-5</c:v>
                </c:pt>
                <c:pt idx="17">
                  <c:v>7.7505790746703305E-4</c:v>
                </c:pt>
                <c:pt idx="18">
                  <c:v>7.7505790746703303E-3</c:v>
                </c:pt>
                <c:pt idx="19">
                  <c:v>7.7505790746703301E-2</c:v>
                </c:pt>
                <c:pt idx="20">
                  <c:v>0.77505790746703307</c:v>
                </c:pt>
                <c:pt idx="21">
                  <c:v>7.7505790746703305</c:v>
                </c:pt>
                <c:pt idx="22">
                  <c:v>77.505790746703312</c:v>
                </c:pt>
                <c:pt idx="23">
                  <c:v>775.05790746703303</c:v>
                </c:pt>
                <c:pt idx="24">
                  <c:v>7750.5790746703306</c:v>
                </c:pt>
                <c:pt idx="25">
                  <c:v>77505.790746703307</c:v>
                </c:pt>
                <c:pt idx="26">
                  <c:v>775057.90746703302</c:v>
                </c:pt>
                <c:pt idx="27">
                  <c:v>7750579.0746703306</c:v>
                </c:pt>
                <c:pt idx="28">
                  <c:v>77505790.746703312</c:v>
                </c:pt>
                <c:pt idx="29">
                  <c:v>775057907.46703303</c:v>
                </c:pt>
                <c:pt idx="30">
                  <c:v>7750579074.670331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3.8636111469951679E-19</c:v>
                </c:pt>
                <c:pt idx="1">
                  <c:v>3.8636111469951678E-18</c:v>
                </c:pt>
                <c:pt idx="2">
                  <c:v>3.8636111469951678E-17</c:v>
                </c:pt>
                <c:pt idx="3">
                  <c:v>3.8636111469951675E-16</c:v>
                </c:pt>
                <c:pt idx="4">
                  <c:v>3.8636111469951675E-15</c:v>
                </c:pt>
                <c:pt idx="5">
                  <c:v>3.8636111469951679E-14</c:v>
                </c:pt>
                <c:pt idx="6">
                  <c:v>3.8636111469951679E-13</c:v>
                </c:pt>
                <c:pt idx="7">
                  <c:v>3.8636111469951677E-12</c:v>
                </c:pt>
                <c:pt idx="8">
                  <c:v>3.8636111469951672E-11</c:v>
                </c:pt>
                <c:pt idx="9">
                  <c:v>3.8636111469951672E-10</c:v>
                </c:pt>
                <c:pt idx="10">
                  <c:v>3.863611146995168E-9</c:v>
                </c:pt>
                <c:pt idx="11">
                  <c:v>3.8636111469951675E-8</c:v>
                </c:pt>
                <c:pt idx="12">
                  <c:v>3.8636111469951675E-7</c:v>
                </c:pt>
                <c:pt idx="13">
                  <c:v>3.8636111469951673E-6</c:v>
                </c:pt>
                <c:pt idx="14">
                  <c:v>3.8636111469951678E-5</c:v>
                </c:pt>
                <c:pt idx="15">
                  <c:v>3.8636111469951675E-4</c:v>
                </c:pt>
                <c:pt idx="16">
                  <c:v>3.8636111469951676E-3</c:v>
                </c:pt>
                <c:pt idx="17">
                  <c:v>3.8636111469951676E-2</c:v>
                </c:pt>
                <c:pt idx="18">
                  <c:v>0.38636111469951673</c:v>
                </c:pt>
                <c:pt idx="19">
                  <c:v>3.8636111469951673</c:v>
                </c:pt>
                <c:pt idx="20">
                  <c:v>38.636111469951672</c:v>
                </c:pt>
                <c:pt idx="21">
                  <c:v>386.36111469951675</c:v>
                </c:pt>
                <c:pt idx="22">
                  <c:v>3863.6111469951675</c:v>
                </c:pt>
                <c:pt idx="23">
                  <c:v>38636.111469951677</c:v>
                </c:pt>
                <c:pt idx="24">
                  <c:v>386361.11469951674</c:v>
                </c:pt>
                <c:pt idx="25">
                  <c:v>3863611.1469951672</c:v>
                </c:pt>
                <c:pt idx="26">
                  <c:v>38636111.469951674</c:v>
                </c:pt>
                <c:pt idx="27">
                  <c:v>386361114.69951677</c:v>
                </c:pt>
                <c:pt idx="28">
                  <c:v>3863611146.9951673</c:v>
                </c:pt>
                <c:pt idx="29">
                  <c:v>38636111469.951675</c:v>
                </c:pt>
                <c:pt idx="30">
                  <c:v>386361114699.51672</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2.3863591855339665E-17</c:v>
                </c:pt>
                <c:pt idx="1">
                  <c:v>2.3863591855339665E-16</c:v>
                </c:pt>
                <c:pt idx="2">
                  <c:v>2.3863591855339663E-15</c:v>
                </c:pt>
                <c:pt idx="3">
                  <c:v>2.3863591855339664E-14</c:v>
                </c:pt>
                <c:pt idx="4">
                  <c:v>2.3863591855339662E-13</c:v>
                </c:pt>
                <c:pt idx="5">
                  <c:v>2.3863591855339664E-12</c:v>
                </c:pt>
                <c:pt idx="6">
                  <c:v>2.3863591855339664E-11</c:v>
                </c:pt>
                <c:pt idx="7">
                  <c:v>2.3863591855339665E-10</c:v>
                </c:pt>
                <c:pt idx="8">
                  <c:v>2.3863591855339662E-9</c:v>
                </c:pt>
                <c:pt idx="9">
                  <c:v>2.3863591855339664E-8</c:v>
                </c:pt>
                <c:pt idx="10">
                  <c:v>2.3863591855339663E-7</c:v>
                </c:pt>
                <c:pt idx="11">
                  <c:v>2.3863591855339664E-6</c:v>
                </c:pt>
                <c:pt idx="12">
                  <c:v>2.3863591855339662E-5</c:v>
                </c:pt>
                <c:pt idx="13">
                  <c:v>2.3863591855339663E-4</c:v>
                </c:pt>
                <c:pt idx="14">
                  <c:v>2.3863591855339665E-3</c:v>
                </c:pt>
                <c:pt idx="15">
                  <c:v>2.3863591855339664E-2</c:v>
                </c:pt>
                <c:pt idx="16">
                  <c:v>0.23863591855339664</c:v>
                </c:pt>
                <c:pt idx="17">
                  <c:v>2.3863591855339665</c:v>
                </c:pt>
                <c:pt idx="18">
                  <c:v>23.863591855339664</c:v>
                </c:pt>
                <c:pt idx="19">
                  <c:v>238.63591855339664</c:v>
                </c:pt>
                <c:pt idx="20">
                  <c:v>2386.3591855339664</c:v>
                </c:pt>
                <c:pt idx="21">
                  <c:v>23863.591855339662</c:v>
                </c:pt>
                <c:pt idx="22">
                  <c:v>238635.91855339662</c:v>
                </c:pt>
                <c:pt idx="23">
                  <c:v>2386359.1855339664</c:v>
                </c:pt>
                <c:pt idx="24">
                  <c:v>23863591.855339665</c:v>
                </c:pt>
                <c:pt idx="25">
                  <c:v>238635918.55339664</c:v>
                </c:pt>
                <c:pt idx="26">
                  <c:v>2386359185.5339665</c:v>
                </c:pt>
                <c:pt idx="27">
                  <c:v>23863591855.339664</c:v>
                </c:pt>
                <c:pt idx="28">
                  <c:v>238635918553.39664</c:v>
                </c:pt>
                <c:pt idx="29">
                  <c:v>2386359185533.9663</c:v>
                </c:pt>
                <c:pt idx="30">
                  <c:v>23863591855339.664</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3.9078057737808554E-12</c:v>
                </c:pt>
                <c:pt idx="1">
                  <c:v>3.9078057737808548E-11</c:v>
                </c:pt>
                <c:pt idx="2">
                  <c:v>3.9078057737808548E-10</c:v>
                </c:pt>
                <c:pt idx="3">
                  <c:v>3.9078057737808548E-9</c:v>
                </c:pt>
                <c:pt idx="4">
                  <c:v>3.9078057737808548E-8</c:v>
                </c:pt>
                <c:pt idx="5">
                  <c:v>3.9078057737808548E-7</c:v>
                </c:pt>
                <c:pt idx="6">
                  <c:v>3.9078057737808549E-6</c:v>
                </c:pt>
                <c:pt idx="7">
                  <c:v>3.9078057737808547E-5</c:v>
                </c:pt>
                <c:pt idx="8">
                  <c:v>3.9078057737808547E-4</c:v>
                </c:pt>
                <c:pt idx="9">
                  <c:v>3.9078057737808548E-3</c:v>
                </c:pt>
                <c:pt idx="10">
                  <c:v>3.907805773780855E-2</c:v>
                </c:pt>
                <c:pt idx="11">
                  <c:v>0.39078057737808553</c:v>
                </c:pt>
                <c:pt idx="12">
                  <c:v>3.9078057737808547</c:v>
                </c:pt>
                <c:pt idx="13">
                  <c:v>39.07805773780855</c:v>
                </c:pt>
                <c:pt idx="14">
                  <c:v>390.78057737808552</c:v>
                </c:pt>
                <c:pt idx="15">
                  <c:v>3907.8057737808549</c:v>
                </c:pt>
                <c:pt idx="16">
                  <c:v>39078.057737808551</c:v>
                </c:pt>
                <c:pt idx="17">
                  <c:v>390780.57737808547</c:v>
                </c:pt>
                <c:pt idx="18">
                  <c:v>3907805.7737808549</c:v>
                </c:pt>
                <c:pt idx="19">
                  <c:v>39078057.737808548</c:v>
                </c:pt>
                <c:pt idx="20">
                  <c:v>390780577.37808549</c:v>
                </c:pt>
                <c:pt idx="21">
                  <c:v>3907805773.7808547</c:v>
                </c:pt>
                <c:pt idx="22">
                  <c:v>39078057737.808548</c:v>
                </c:pt>
                <c:pt idx="23">
                  <c:v>390780577378.08551</c:v>
                </c:pt>
                <c:pt idx="24">
                  <c:v>3907805773780.855</c:v>
                </c:pt>
                <c:pt idx="25">
                  <c:v>39078057737808.547</c:v>
                </c:pt>
                <c:pt idx="26">
                  <c:v>390780577378085.5</c:v>
                </c:pt>
                <c:pt idx="27">
                  <c:v>3907805773780855</c:v>
                </c:pt>
                <c:pt idx="28">
                  <c:v>3.9078057737808552E+16</c:v>
                </c:pt>
                <c:pt idx="29">
                  <c:v>3.907805773780855E+17</c:v>
                </c:pt>
                <c:pt idx="30">
                  <c:v>3.9078057737808548E+18</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1.6741599600536229E-3</c:v>
                </c:pt>
                <c:pt idx="1">
                  <c:v>1.6741599600536228E-2</c:v>
                </c:pt>
                <c:pt idx="2">
                  <c:v>0.16741599600536228</c:v>
                </c:pt>
                <c:pt idx="3">
                  <c:v>1.6741599600536228</c:v>
                </c:pt>
                <c:pt idx="4">
                  <c:v>16.741599600536226</c:v>
                </c:pt>
                <c:pt idx="5">
                  <c:v>167.41599600536227</c:v>
                </c:pt>
                <c:pt idx="6">
                  <c:v>1674.1599600536229</c:v>
                </c:pt>
                <c:pt idx="7">
                  <c:v>16741.599600536229</c:v>
                </c:pt>
                <c:pt idx="8">
                  <c:v>167415.99600536228</c:v>
                </c:pt>
                <c:pt idx="9">
                  <c:v>1674159.9600536227</c:v>
                </c:pt>
                <c:pt idx="10">
                  <c:v>16741599.600536229</c:v>
                </c:pt>
                <c:pt idx="11">
                  <c:v>167415996.0053623</c:v>
                </c:pt>
                <c:pt idx="12">
                  <c:v>1674159960.0536227</c:v>
                </c:pt>
                <c:pt idx="13">
                  <c:v>16741599600.536228</c:v>
                </c:pt>
                <c:pt idx="14">
                  <c:v>167415996005.36227</c:v>
                </c:pt>
                <c:pt idx="15">
                  <c:v>1674159960053.6228</c:v>
                </c:pt>
                <c:pt idx="16">
                  <c:v>16741599600536.229</c:v>
                </c:pt>
                <c:pt idx="17">
                  <c:v>167415996005362.28</c:v>
                </c:pt>
                <c:pt idx="18">
                  <c:v>1674159960053622.7</c:v>
                </c:pt>
                <c:pt idx="19">
                  <c:v>1.6741599600536228E+16</c:v>
                </c:pt>
                <c:pt idx="20">
                  <c:v>1.6741599600536227E+17</c:v>
                </c:pt>
                <c:pt idx="21">
                  <c:v>1.6741599600536228E+18</c:v>
                </c:pt>
                <c:pt idx="22">
                  <c:v>1.6741599600536228E+19</c:v>
                </c:pt>
                <c:pt idx="23">
                  <c:v>1.6741599600536227E+20</c:v>
                </c:pt>
                <c:pt idx="24">
                  <c:v>1.6741599600536228E+21</c:v>
                </c:pt>
                <c:pt idx="25">
                  <c:v>1.6741599600536229E+22</c:v>
                </c:pt>
                <c:pt idx="26">
                  <c:v>1.6741599600536227E+23</c:v>
                </c:pt>
                <c:pt idx="27">
                  <c:v>1.6741599600536229E+24</c:v>
                </c:pt>
                <c:pt idx="28">
                  <c:v>1.6741599600536227E+25</c:v>
                </c:pt>
                <c:pt idx="29">
                  <c:v>1.6741599600536229E+26</c:v>
                </c:pt>
                <c:pt idx="30">
                  <c:v>1.6741599600536227E+27</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0.22495802736579049</c:v>
                </c:pt>
                <c:pt idx="1">
                  <c:v>2.2495802736579047</c:v>
                </c:pt>
                <c:pt idx="2">
                  <c:v>22.495802736579048</c:v>
                </c:pt>
                <c:pt idx="3">
                  <c:v>224.95802736579046</c:v>
                </c:pt>
                <c:pt idx="4">
                  <c:v>2249.5802736579044</c:v>
                </c:pt>
                <c:pt idx="5">
                  <c:v>22495.802736579048</c:v>
                </c:pt>
                <c:pt idx="6">
                  <c:v>224958.02736579048</c:v>
                </c:pt>
                <c:pt idx="7">
                  <c:v>2249580.2736579045</c:v>
                </c:pt>
                <c:pt idx="8">
                  <c:v>22495802.736579046</c:v>
                </c:pt>
                <c:pt idx="9">
                  <c:v>224958027.36579046</c:v>
                </c:pt>
                <c:pt idx="10">
                  <c:v>2249580273.6579046</c:v>
                </c:pt>
                <c:pt idx="11">
                  <c:v>22495802736.579048</c:v>
                </c:pt>
                <c:pt idx="12">
                  <c:v>224958027365.79047</c:v>
                </c:pt>
                <c:pt idx="13">
                  <c:v>2249580273657.9048</c:v>
                </c:pt>
                <c:pt idx="14">
                  <c:v>22495802736579.047</c:v>
                </c:pt>
                <c:pt idx="15">
                  <c:v>224958027365790.47</c:v>
                </c:pt>
                <c:pt idx="16">
                  <c:v>2249580273657904.5</c:v>
                </c:pt>
                <c:pt idx="17">
                  <c:v>2.2495802736579048E+16</c:v>
                </c:pt>
                <c:pt idx="18">
                  <c:v>2.2495802736579046E+17</c:v>
                </c:pt>
                <c:pt idx="19">
                  <c:v>2.2495802736579046E+18</c:v>
                </c:pt>
                <c:pt idx="20">
                  <c:v>2.2495802736579047E+19</c:v>
                </c:pt>
                <c:pt idx="21">
                  <c:v>2.2495802736579045E+20</c:v>
                </c:pt>
                <c:pt idx="22">
                  <c:v>2.2495802736579046E+21</c:v>
                </c:pt>
                <c:pt idx="23">
                  <c:v>2.2495802736579044E+22</c:v>
                </c:pt>
                <c:pt idx="24">
                  <c:v>2.2495802736579047E+23</c:v>
                </c:pt>
                <c:pt idx="25">
                  <c:v>2.2495802736579047E+24</c:v>
                </c:pt>
                <c:pt idx="26">
                  <c:v>2.2495802736579046E+25</c:v>
                </c:pt>
                <c:pt idx="27">
                  <c:v>2.2495802736579045E+26</c:v>
                </c:pt>
                <c:pt idx="28">
                  <c:v>2.2495802736579046E+27</c:v>
                </c:pt>
                <c:pt idx="29">
                  <c:v>2.2495802736579048E+28</c:v>
                </c:pt>
                <c:pt idx="30">
                  <c:v>2.2495802736579048E+29</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14688"/>
        <c:axId val="604815864"/>
      </c:scatterChart>
      <c:valAx>
        <c:axId val="6048146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864"/>
        <c:crosses val="autoZero"/>
        <c:crossBetween val="midCat"/>
      </c:valAx>
      <c:valAx>
        <c:axId val="60481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468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-11.767742998078067</c:v>
                </c:pt>
                <c:pt idx="1">
                  <c:v>-11.714626737219531</c:v>
                </c:pt>
                <c:pt idx="2">
                  <c:v>-11.661343088512195</c:v>
                </c:pt>
                <c:pt idx="3">
                  <c:v>-11.607724664107259</c:v>
                </c:pt>
                <c:pt idx="4">
                  <c:v>-11.553604076155922</c:v>
                </c:pt>
                <c:pt idx="5">
                  <c:v>-11.498813936809382</c:v>
                </c:pt>
                <c:pt idx="6">
                  <c:v>-11.443186858218844</c:v>
                </c:pt>
                <c:pt idx="7">
                  <c:v>-11.386555452535502</c:v>
                </c:pt>
                <c:pt idx="8">
                  <c:v>-11.328752331910559</c:v>
                </c:pt>
                <c:pt idx="9">
                  <c:v>-11.269610108495215</c:v>
                </c:pt>
                <c:pt idx="10">
                  <c:v>-11.208961394440665</c:v>
                </c:pt>
                <c:pt idx="11">
                  <c:v>-11.146638801898115</c:v>
                </c:pt>
                <c:pt idx="12">
                  <c:v>-11.082474943018759</c:v>
                </c:pt>
                <c:pt idx="13">
                  <c:v>-11.0163024299538</c:v>
                </c:pt>
                <c:pt idx="14">
                  <c:v>-10.94795387485444</c:v>
                </c:pt>
                <c:pt idx="15">
                  <c:v>-10.877261889871875</c:v>
                </c:pt>
                <c:pt idx="16">
                  <c:v>-10.804059087157302</c:v>
                </c:pt>
                <c:pt idx="17">
                  <c:v>-10.728178078861928</c:v>
                </c:pt>
                <c:pt idx="18">
                  <c:v>-10.64945147713695</c:v>
                </c:pt>
                <c:pt idx="19">
                  <c:v>-10.567711894133563</c:v>
                </c:pt>
                <c:pt idx="20">
                  <c:v>-10.482791942002974</c:v>
                </c:pt>
                <c:pt idx="21">
                  <c:v>-10.394524232896377</c:v>
                </c:pt>
                <c:pt idx="22">
                  <c:v>-10.302741378964974</c:v>
                </c:pt>
                <c:pt idx="23">
                  <c:v>-10.207275992359966</c:v>
                </c:pt>
                <c:pt idx="24">
                  <c:v>-10.107960685232548</c:v>
                </c:pt>
                <c:pt idx="25">
                  <c:v>-10.004628069733927</c:v>
                </c:pt>
                <c:pt idx="26">
                  <c:v>-9.8971107580152982</c:v>
                </c:pt>
                <c:pt idx="27">
                  <c:v>-9.7852413622278611</c:v>
                </c:pt>
                <c:pt idx="28">
                  <c:v>-9.6688524945228149</c:v>
                </c:pt>
                <c:pt idx="29">
                  <c:v>-9.5477767670513618</c:v>
                </c:pt>
                <c:pt idx="30">
                  <c:v>-9.4218467919647004</c:v>
                </c:pt>
                <c:pt idx="31">
                  <c:v>-9.2908951814140295</c:v>
                </c:pt>
                <c:pt idx="32">
                  <c:v>-9.1547545475505494</c:v>
                </c:pt>
                <c:pt idx="33">
                  <c:v>-9.0132575025254607</c:v>
                </c:pt>
                <c:pt idx="34">
                  <c:v>-8.8662366584899637</c:v>
                </c:pt>
                <c:pt idx="35">
                  <c:v>-8.7135246275952554</c:v>
                </c:pt>
                <c:pt idx="36">
                  <c:v>-8.5549540219925362</c:v>
                </c:pt>
                <c:pt idx="37">
                  <c:v>-8.3903574538330083</c:v>
                </c:pt>
                <c:pt idx="38">
                  <c:v>-8.2195675352678688</c:v>
                </c:pt>
                <c:pt idx="39">
                  <c:v>-8.0424168784483179</c:v>
                </c:pt>
                <c:pt idx="40">
                  <c:v>-7.8587380955255561</c:v>
                </c:pt>
                <c:pt idx="41">
                  <c:v>-7.7301748113043622</c:v>
                </c:pt>
                <c:pt idx="42">
                  <c:v>-7.5953388591044133</c:v>
                </c:pt>
                <c:pt idx="43">
                  <c:v>-7.4546530848989656</c:v>
                </c:pt>
                <c:pt idx="44">
                  <c:v>-7.3085403346612789</c:v>
                </c:pt>
                <c:pt idx="45">
                  <c:v>-7.157423454364606</c:v>
                </c:pt>
                <c:pt idx="46">
                  <c:v>-7.0017252899822084</c:v>
                </c:pt>
                <c:pt idx="47">
                  <c:v>-6.8418686874873389</c:v>
                </c:pt>
                <c:pt idx="48">
                  <c:v>-6.6782764928532572</c:v>
                </c:pt>
                <c:pt idx="49">
                  <c:v>-6.5113715520532178</c:v>
                </c:pt>
                <c:pt idx="50">
                  <c:v>-6.3415767110604788</c:v>
                </c:pt>
                <c:pt idx="51">
                  <c:v>-6.1693148158482991</c:v>
                </c:pt>
                <c:pt idx="52">
                  <c:v>-5.9950087123899314</c:v>
                </c:pt>
                <c:pt idx="53">
                  <c:v>-5.8190812466586355</c:v>
                </c:pt>
                <c:pt idx="54">
                  <c:v>-5.6419552646276676</c:v>
                </c:pt>
                <c:pt idx="55">
                  <c:v>-5.464053612270285</c:v>
                </c:pt>
                <c:pt idx="56">
                  <c:v>-5.2857991355597438</c:v>
                </c:pt>
                <c:pt idx="57">
                  <c:v>-5.1076146804693021</c:v>
                </c:pt>
                <c:pt idx="58">
                  <c:v>-4.9299230929722153</c:v>
                </c:pt>
                <c:pt idx="59">
                  <c:v>-4.7531472190417414</c:v>
                </c:pt>
                <c:pt idx="60">
                  <c:v>-4.5777099046511358</c:v>
                </c:pt>
                <c:pt idx="61">
                  <c:v>-4.4040339957736574</c:v>
                </c:pt>
                <c:pt idx="62">
                  <c:v>-4.2325423383825624</c:v>
                </c:pt>
                <c:pt idx="63">
                  <c:v>-4.0636577784511072</c:v>
                </c:pt>
                <c:pt idx="64">
                  <c:v>-3.8978031619525488</c:v>
                </c:pt>
                <c:pt idx="65">
                  <c:v>-3.7354013348601445</c:v>
                </c:pt>
                <c:pt idx="66">
                  <c:v>-3.5767449455992257</c:v>
                </c:pt>
                <c:pt idx="67">
                  <c:v>-3.4216058524034256</c:v>
                </c:pt>
                <c:pt idx="68">
                  <c:v>-3.2696257159584512</c:v>
                </c:pt>
                <c:pt idx="69">
                  <c:v>-3.1204461969500099</c:v>
                </c:pt>
                <c:pt idx="70">
                  <c:v>-2.9737089560638101</c:v>
                </c:pt>
                <c:pt idx="71">
                  <c:v>-2.8290556539855585</c:v>
                </c:pt>
                <c:pt idx="72">
                  <c:v>-2.6861279514009624</c:v>
                </c:pt>
                <c:pt idx="73">
                  <c:v>-2.5445675089957311</c:v>
                </c:pt>
                <c:pt idx="74">
                  <c:v>-2.4040159874555695</c:v>
                </c:pt>
                <c:pt idx="75">
                  <c:v>-2.2641150474661869</c:v>
                </c:pt>
                <c:pt idx="76">
                  <c:v>-2.1245063497132906</c:v>
                </c:pt>
                <c:pt idx="77">
                  <c:v>-1.9848315548825877</c:v>
                </c:pt>
                <c:pt idx="78">
                  <c:v>-1.8447323236597861</c:v>
                </c:pt>
                <c:pt idx="79">
                  <c:v>-1.7038503167305934</c:v>
                </c:pt>
                <c:pt idx="80">
                  <c:v>-1.5618271947807165</c:v>
                </c:pt>
                <c:pt idx="81">
                  <c:v>-1.4183046184958634</c:v>
                </c:pt>
                <c:pt idx="82">
                  <c:v>-1.272924248561742</c:v>
                </c:pt>
                <c:pt idx="83">
                  <c:v>-1.1253277456640591</c:v>
                </c:pt>
                <c:pt idx="84">
                  <c:v>-0.97515677048852267</c:v>
                </c:pt>
                <c:pt idx="85">
                  <c:v>-0.82205298372084012</c:v>
                </c:pt>
                <c:pt idx="86">
                  <c:v>-0.66565804604671919</c:v>
                </c:pt>
                <c:pt idx="87">
                  <c:v>-0.50561361815186712</c:v>
                </c:pt>
                <c:pt idx="88">
                  <c:v>-0.3415613607219915</c:v>
                </c:pt>
                <c:pt idx="89">
                  <c:v>-0.17314293444279988</c:v>
                </c:pt>
                <c:pt idx="90">
                  <c:v>1.1102230246251565E-16</c:v>
                </c:pt>
                <c:pt idx="91">
                  <c:v>0.17819252947566477</c:v>
                </c:pt>
                <c:pt idx="92">
                  <c:v>0.36162673107330701</c:v>
                </c:pt>
                <c:pt idx="93">
                  <c:v>0.55046142943700338</c:v>
                </c:pt>
                <c:pt idx="94">
                  <c:v>0.74485544921083036</c:v>
                </c:pt>
                <c:pt idx="95">
                  <c:v>0.94496761503886428</c:v>
                </c:pt>
                <c:pt idx="96">
                  <c:v>1.150956751565182</c:v>
                </c:pt>
                <c:pt idx="97">
                  <c:v>1.3629816834338599</c:v>
                </c:pt>
                <c:pt idx="98">
                  <c:v>1.5812012352889746</c:v>
                </c:pt>
                <c:pt idx="99">
                  <c:v>1.8057742317746026</c:v>
                </c:pt>
                <c:pt idx="100">
                  <c:v>2.0368594975348202</c:v>
                </c:pt>
                <c:pt idx="101">
                  <c:v>2.2746158572137047</c:v>
                </c:pt>
                <c:pt idx="102">
                  <c:v>2.5192021354553322</c:v>
                </c:pt>
                <c:pt idx="103">
                  <c:v>2.7707771569037787</c:v>
                </c:pt>
                <c:pt idx="104">
                  <c:v>3.0294997462031219</c:v>
                </c:pt>
                <c:pt idx="105">
                  <c:v>3.2955287279974375</c:v>
                </c:pt>
                <c:pt idx="106">
                  <c:v>3.5690229269308023</c:v>
                </c:pt>
                <c:pt idx="107">
                  <c:v>3.8501411676472928</c:v>
                </c:pt>
                <c:pt idx="108">
                  <c:v>4.1390422747909854</c:v>
                </c:pt>
                <c:pt idx="109">
                  <c:v>4.4358850730059576</c:v>
                </c:pt>
                <c:pt idx="110">
                  <c:v>4.7408283869362844</c:v>
                </c:pt>
                <c:pt idx="111">
                  <c:v>5.0540310412260432</c:v>
                </c:pt>
                <c:pt idx="112">
                  <c:v>5.3756518605193113</c:v>
                </c:pt>
                <c:pt idx="113">
                  <c:v>5.7058496694601644</c:v>
                </c:pt>
                <c:pt idx="114">
                  <c:v>6.0447832926926779</c:v>
                </c:pt>
                <c:pt idx="115">
                  <c:v>6.3926115548609301</c:v>
                </c:pt>
                <c:pt idx="116">
                  <c:v>6.7494932806089984</c:v>
                </c:pt>
                <c:pt idx="117">
                  <c:v>7.1155872945809566</c:v>
                </c:pt>
                <c:pt idx="118">
                  <c:v>7.4910524214208829</c:v>
                </c:pt>
                <c:pt idx="119">
                  <c:v>7.8760474857728537</c:v>
                </c:pt>
                <c:pt idx="120">
                  <c:v>8.2707313122809456</c:v>
                </c:pt>
                <c:pt idx="121">
                  <c:v>8.6751476267546508</c:v>
                </c:pt>
                <c:pt idx="122">
                  <c:v>9.0888797596651312</c:v>
                </c:pt>
                <c:pt idx="123">
                  <c:v>9.51139594264896</c:v>
                </c:pt>
                <c:pt idx="124">
                  <c:v>9.942164407342716</c:v>
                </c:pt>
                <c:pt idx="125">
                  <c:v>10.380653385382972</c:v>
                </c:pt>
                <c:pt idx="126">
                  <c:v>10.826331108406308</c:v>
                </c:pt>
                <c:pt idx="127">
                  <c:v>11.278665808049297</c:v>
                </c:pt>
                <c:pt idx="128">
                  <c:v>11.737125715948515</c:v>
                </c:pt>
                <c:pt idx="129">
                  <c:v>12.20117906374054</c:v>
                </c:pt>
                <c:pt idx="130">
                  <c:v>12.670294083061947</c:v>
                </c:pt>
                <c:pt idx="131">
                  <c:v>13.143939005549313</c:v>
                </c:pt>
                <c:pt idx="132">
                  <c:v>13.621582062839213</c:v>
                </c:pt>
                <c:pt idx="133">
                  <c:v>14.102691486568226</c:v>
                </c:pt>
                <c:pt idx="134">
                  <c:v>14.586735508372922</c:v>
                </c:pt>
                <c:pt idx="135">
                  <c:v>15.073182359889884</c:v>
                </c:pt>
                <c:pt idx="136">
                  <c:v>15.561500272755683</c:v>
                </c:pt>
                <c:pt idx="137">
                  <c:v>16.051157478606896</c:v>
                </c:pt>
                <c:pt idx="138">
                  <c:v>16.541622209080103</c:v>
                </c:pt>
                <c:pt idx="139">
                  <c:v>17.032362695811873</c:v>
                </c:pt>
                <c:pt idx="140">
                  <c:v>17.522847170438791</c:v>
                </c:pt>
                <c:pt idx="141">
                  <c:v>18.012543864597426</c:v>
                </c:pt>
                <c:pt idx="142">
                  <c:v>18.500921009924355</c:v>
                </c:pt>
                <c:pt idx="143">
                  <c:v>18.987446838056155</c:v>
                </c:pt>
                <c:pt idx="144">
                  <c:v>19.471589580629406</c:v>
                </c:pt>
                <c:pt idx="145">
                  <c:v>19.952817469280681</c:v>
                </c:pt>
                <c:pt idx="146">
                  <c:v>20.430598735646551</c:v>
                </c:pt>
                <c:pt idx="147">
                  <c:v>20.9044016113636</c:v>
                </c:pt>
                <c:pt idx="148">
                  <c:v>21.3736943280684</c:v>
                </c:pt>
                <c:pt idx="149">
                  <c:v>21.837945117397528</c:v>
                </c:pt>
                <c:pt idx="150">
                  <c:v>22.296622210987561</c:v>
                </c:pt>
                <c:pt idx="151">
                  <c:v>22.749193840475073</c:v>
                </c:pt>
                <c:pt idx="152">
                  <c:v>23.195128237496643</c:v>
                </c:pt>
                <c:pt idx="153">
                  <c:v>23.633893633688842</c:v>
                </c:pt>
                <c:pt idx="154">
                  <c:v>24.064958260688254</c:v>
                </c:pt>
                <c:pt idx="155">
                  <c:v>24.487790350131448</c:v>
                </c:pt>
                <c:pt idx="156">
                  <c:v>24.901858133655004</c:v>
                </c:pt>
                <c:pt idx="157">
                  <c:v>25.306629842895493</c:v>
                </c:pt>
                <c:pt idx="158">
                  <c:v>25.701573709489498</c:v>
                </c:pt>
                <c:pt idx="159">
                  <c:v>26.086157965073589</c:v>
                </c:pt>
                <c:pt idx="160">
                  <c:v>26.45985084128435</c:v>
                </c:pt>
                <c:pt idx="161">
                  <c:v>26.822120569758351</c:v>
                </c:pt>
                <c:pt idx="162">
                  <c:v>27.172435382132164</c:v>
                </c:pt>
                <c:pt idx="163">
                  <c:v>27.510263510042375</c:v>
                </c:pt>
                <c:pt idx="164">
                  <c:v>27.835073185125552</c:v>
                </c:pt>
                <c:pt idx="165">
                  <c:v>28.146332639018283</c:v>
                </c:pt>
                <c:pt idx="166">
                  <c:v>28.443665788510806</c:v>
                </c:pt>
                <c:pt idx="167">
                  <c:v>28.72731929100814</c:v>
                </c:pt>
                <c:pt idx="168">
                  <c:v>28.99769548906896</c:v>
                </c:pt>
                <c:pt idx="169">
                  <c:v>29.255196725251949</c:v>
                </c:pt>
                <c:pt idx="170">
                  <c:v>29.500225342115787</c:v>
                </c:pt>
                <c:pt idx="171">
                  <c:v>29.733183682219156</c:v>
                </c:pt>
                <c:pt idx="172">
                  <c:v>29.954474088120744</c:v>
                </c:pt>
                <c:pt idx="173">
                  <c:v>30.164498902379226</c:v>
                </c:pt>
                <c:pt idx="174">
                  <c:v>30.363660467553288</c:v>
                </c:pt>
                <c:pt idx="175">
                  <c:v>30.552361126201614</c:v>
                </c:pt>
                <c:pt idx="176">
                  <c:v>30.731003220882883</c:v>
                </c:pt>
                <c:pt idx="177">
                  <c:v>30.899989094155782</c:v>
                </c:pt>
                <c:pt idx="178">
                  <c:v>31.059721088578989</c:v>
                </c:pt>
                <c:pt idx="179">
                  <c:v>31.210601546711182</c:v>
                </c:pt>
                <c:pt idx="180">
                  <c:v>31.353032811111046</c:v>
                </c:pt>
                <c:pt idx="181">
                  <c:v>31.487417224337271</c:v>
                </c:pt>
                <c:pt idx="182">
                  <c:v>31.614157128948527</c:v>
                </c:pt>
                <c:pt idx="183">
                  <c:v>31.733654867503503</c:v>
                </c:pt>
                <c:pt idx="184">
                  <c:v>31.846312782560886</c:v>
                </c:pt>
                <c:pt idx="185">
                  <c:v>31.952533216679349</c:v>
                </c:pt>
                <c:pt idx="186">
                  <c:v>32.052718512417584</c:v>
                </c:pt>
                <c:pt idx="187">
                  <c:v>32.147271012334265</c:v>
                </c:pt>
                <c:pt idx="188">
                  <c:v>32.23659305898807</c:v>
                </c:pt>
                <c:pt idx="189">
                  <c:v>32.321086994937701</c:v>
                </c:pt>
                <c:pt idx="190">
                  <c:v>32.401155162741816</c:v>
                </c:pt>
                <c:pt idx="191">
                  <c:v>32.477199904959114</c:v>
                </c:pt>
                <c:pt idx="192">
                  <c:v>32.54962356414827</c:v>
                </c:pt>
                <c:pt idx="193">
                  <c:v>32.618828482867968</c:v>
                </c:pt>
                <c:pt idx="194">
                  <c:v>32.685217003676897</c:v>
                </c:pt>
                <c:pt idx="195">
                  <c:v>32.74919146913372</c:v>
                </c:pt>
                <c:pt idx="196">
                  <c:v>32.811154221797139</c:v>
                </c:pt>
                <c:pt idx="197">
                  <c:v>32.871507604225833</c:v>
                </c:pt>
                <c:pt idx="198">
                  <c:v>32.930653958978475</c:v>
                </c:pt>
                <c:pt idx="199">
                  <c:v>32.98899562861375</c:v>
                </c:pt>
                <c:pt idx="200">
                  <c:v>33.046934955690347</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-11.767742998078067</c:v>
                </c:pt>
                <c:pt idx="1">
                  <c:v>-7.8587380955255552</c:v>
                </c:pt>
                <c:pt idx="2">
                  <c:v>-3.7354013348601445</c:v>
                </c:pt>
                <c:pt idx="3">
                  <c:v>0</c:v>
                </c:pt>
                <c:pt idx="4">
                  <c:v>8.2707313122809456</c:v>
                </c:pt>
                <c:pt idx="5">
                  <c:v>28.146332639018276</c:v>
                </c:pt>
                <c:pt idx="6">
                  <c:v>33.046934955690347</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-11.987663299237143</c:v>
                </c:pt>
                <c:pt idx="1">
                  <c:v>-11.836847262867625</c:v>
                </c:pt>
                <c:pt idx="2">
                  <c:v>-11.706890654494131</c:v>
                </c:pt>
                <c:pt idx="3">
                  <c:v>-11.594858023712103</c:v>
                </c:pt>
                <c:pt idx="4">
                  <c:v>-11.498043137567878</c:v>
                </c:pt>
                <c:pt idx="5">
                  <c:v>-11.413957653890895</c:v>
                </c:pt>
                <c:pt idx="6">
                  <c:v>-11.340320143189381</c:v>
                </c:pt>
                <c:pt idx="7">
                  <c:v>-11.275045453010812</c:v>
                </c:pt>
                <c:pt idx="8">
                  <c:v>-11.216234408714536</c:v>
                </c:pt>
                <c:pt idx="9">
                  <c:v>-11.162163844649633</c:v>
                </c:pt>
                <c:pt idx="10">
                  <c:v>-11.111276959776573</c:v>
                </c:pt>
                <c:pt idx="11">
                  <c:v>-11.062173991817668</c:v>
                </c:pt>
                <c:pt idx="12">
                  <c:v>-11.013603204066371</c:v>
                </c:pt>
                <c:pt idx="13">
                  <c:v>-10.964452179031774</c:v>
                </c:pt>
                <c:pt idx="14">
                  <c:v>-10.913739413140187</c:v>
                </c:pt>
                <c:pt idx="15">
                  <c:v>-10.860606206761535</c:v>
                </c:pt>
                <c:pt idx="16">
                  <c:v>-10.804308843874111</c:v>
                </c:pt>
                <c:pt idx="17">
                  <c:v>-10.744211055726991</c:v>
                </c:pt>
                <c:pt idx="18">
                  <c:v>-10.679776762905066</c:v>
                </c:pt>
                <c:pt idx="19">
                  <c:v>-10.610563090247739</c:v>
                </c:pt>
                <c:pt idx="20">
                  <c:v>-10.536213649117803</c:v>
                </c:pt>
                <c:pt idx="21">
                  <c:v>-10.456452081562944</c:v>
                </c:pt>
                <c:pt idx="22">
                  <c:v>-10.371075860958021</c:v>
                </c:pt>
                <c:pt idx="23">
                  <c:v>-10.279950343762277</c:v>
                </c:pt>
                <c:pt idx="24">
                  <c:v>-10.18300306707104</c:v>
                </c:pt>
                <c:pt idx="25">
                  <c:v>-10.080218286687586</c:v>
                </c:pt>
                <c:pt idx="26">
                  <c:v>-9.971631750486452</c:v>
                </c:pt>
                <c:pt idx="27">
                  <c:v>-9.8573257018853369</c:v>
                </c:pt>
                <c:pt idx="28">
                  <c:v>-9.7374241082884296</c:v>
                </c:pt>
                <c:pt idx="29">
                  <c:v>-9.6120881094099193</c:v>
                </c:pt>
                <c:pt idx="30">
                  <c:v>-9.4815116804320567</c:v>
                </c:pt>
                <c:pt idx="31">
                  <c:v>-9.3459175049980541</c:v>
                </c:pt>
                <c:pt idx="32">
                  <c:v>-9.2055530530858469</c:v>
                </c:pt>
                <c:pt idx="33">
                  <c:v>-9.0606868588544831</c:v>
                </c:pt>
                <c:pt idx="34">
                  <c:v>-8.9116049936007578</c:v>
                </c:pt>
                <c:pt idx="35">
                  <c:v>-8.758607729009416</c:v>
                </c:pt>
                <c:pt idx="36">
                  <c:v>-8.6020063859261366</c:v>
                </c:pt>
                <c:pt idx="37">
                  <c:v>-8.4421203639281188</c:v>
                </c:pt>
                <c:pt idx="38">
                  <c:v>-8.2792743470130947</c:v>
                </c:pt>
                <c:pt idx="39">
                  <c:v>-8.1137956807731904</c:v>
                </c:pt>
                <c:pt idx="40">
                  <c:v>-7.9460119164658982</c:v>
                </c:pt>
                <c:pt idx="41">
                  <c:v>-7.7762485174402558</c:v>
                </c:pt>
                <c:pt idx="42">
                  <c:v>-7.6048267234220557</c:v>
                </c:pt>
                <c:pt idx="43">
                  <c:v>-7.4320615682076712</c:v>
                </c:pt>
                <c:pt idx="44">
                  <c:v>-7.2582600463619134</c:v>
                </c:pt>
                <c:pt idx="45">
                  <c:v>-7.0837194245611519</c:v>
                </c:pt>
                <c:pt idx="46">
                  <c:v>-6.9087256932685355</c:v>
                </c:pt>
                <c:pt idx="47">
                  <c:v>-6.7335521544742054</c:v>
                </c:pt>
                <c:pt idx="48">
                  <c:v>-6.5584581412789067</c:v>
                </c:pt>
                <c:pt idx="49">
                  <c:v>-6.3836878651453555</c:v>
                </c:pt>
                <c:pt idx="50">
                  <c:v>-6.2094693866874611</c:v>
                </c:pt>
                <c:pt idx="51">
                  <c:v>-6.0360137059132377</c:v>
                </c:pt>
                <c:pt idx="52">
                  <c:v>-5.8635139678830726</c:v>
                </c:pt>
                <c:pt idx="53">
                  <c:v>-5.6921447797907874</c:v>
                </c:pt>
                <c:pt idx="54">
                  <c:v>-5.5220616355207115</c:v>
                </c:pt>
                <c:pt idx="55">
                  <c:v>-5.3534004437797247</c:v>
                </c:pt>
                <c:pt idx="56">
                  <c:v>-5.1862771559491128</c:v>
                </c:pt>
                <c:pt idx="57">
                  <c:v>-5.0207874898467262</c:v>
                </c:pt>
                <c:pt idx="58">
                  <c:v>-4.8570067456358323</c:v>
                </c:pt>
                <c:pt idx="59">
                  <c:v>-4.6949897101627478</c:v>
                </c:pt>
                <c:pt idx="60">
                  <c:v>-4.5347706460511841</c:v>
                </c:pt>
                <c:pt idx="61">
                  <c:v>-4.3763633619269733</c:v>
                </c:pt>
                <c:pt idx="62">
                  <c:v>-4.219761360192642</c:v>
                </c:pt>
                <c:pt idx="63">
                  <c:v>-4.0649380588170869</c:v>
                </c:pt>
                <c:pt idx="64">
                  <c:v>-3.9118470836513843</c:v>
                </c:pt>
                <c:pt idx="65">
                  <c:v>-3.7604226278275288</c:v>
                </c:pt>
                <c:pt idx="66">
                  <c:v>-3.6105798748427222</c:v>
                </c:pt>
                <c:pt idx="67">
                  <c:v>-3.4622154819775588</c:v>
                </c:pt>
                <c:pt idx="68">
                  <c:v>-3.3152081207422799</c:v>
                </c:pt>
                <c:pt idx="69">
                  <c:v>-3.1694190710910335</c:v>
                </c:pt>
                <c:pt idx="70">
                  <c:v>-3.0246928661898531</c:v>
                </c:pt>
                <c:pt idx="71">
                  <c:v>-2.8808579845698619</c:v>
                </c:pt>
                <c:pt idx="72">
                  <c:v>-2.7377275865429835</c:v>
                </c:pt>
                <c:pt idx="73">
                  <c:v>-2.5951002918032247</c:v>
                </c:pt>
                <c:pt idx="74">
                  <c:v>-2.4527609951823663</c:v>
                </c:pt>
                <c:pt idx="75">
                  <c:v>-2.310481717574715</c:v>
                </c:pt>
                <c:pt idx="76">
                  <c:v>-2.1680224890912894</c:v>
                </c:pt>
                <c:pt idx="77">
                  <c:v>-2.0251322615496656</c:v>
                </c:pt>
                <c:pt idx="78">
                  <c:v>-1.8815498474514267</c:v>
                </c:pt>
                <c:pt idx="79">
                  <c:v>-1.7370048826449909</c:v>
                </c:pt>
                <c:pt idx="80">
                  <c:v>-1.591218809917343</c:v>
                </c:pt>
                <c:pt idx="81">
                  <c:v>-1.4439058808039862</c:v>
                </c:pt>
                <c:pt idx="82">
                  <c:v>-1.2947741729522186</c:v>
                </c:pt>
                <c:pt idx="83">
                  <c:v>-1.1435266204186081</c:v>
                </c:pt>
                <c:pt idx="84">
                  <c:v>-0.98986205432733554</c:v>
                </c:pt>
                <c:pt idx="85">
                  <c:v>-0.83347625136184078</c:v>
                </c:pt>
                <c:pt idx="86">
                  <c:v>-0.67406298760800398</c:v>
                </c:pt>
                <c:pt idx="87">
                  <c:v>-0.51131509531286334</c:v>
                </c:pt>
                <c:pt idx="88">
                  <c:v>-0.34492552016866324</c:v>
                </c:pt>
                <c:pt idx="89">
                  <c:v>-0.17458837677779698</c:v>
                </c:pt>
                <c:pt idx="90">
                  <c:v>0</c:v>
                </c:pt>
                <c:pt idx="91">
                  <c:v>0.17914001007107555</c:v>
                </c:pt>
                <c:pt idx="92">
                  <c:v>0.36312775170898964</c:v>
                </c:pt>
                <c:pt idx="93">
                  <c:v>0.55225399589465041</c:v>
                </c:pt>
                <c:pt idx="94">
                  <c:v>0.74680317351097836</c:v>
                </c:pt>
                <c:pt idx="95">
                  <c:v>0.94705237746184157</c:v>
                </c:pt>
                <c:pt idx="96">
                  <c:v>1.1532703817392183</c:v>
                </c:pt>
                <c:pt idx="97">
                  <c:v>1.365716679416765</c:v>
                </c:pt>
                <c:pt idx="98">
                  <c:v>1.5846405415021882</c:v>
                </c:pt>
                <c:pt idx="99">
                  <c:v>1.8102800985350274</c:v>
                </c:pt>
                <c:pt idx="100">
                  <c:v>2.0428614467706909</c:v>
                </c:pt>
                <c:pt idx="101">
                  <c:v>2.2825977807457885</c:v>
                </c:pt>
                <c:pt idx="102">
                  <c:v>2.5296885539740277</c:v>
                </c:pt>
                <c:pt idx="103">
                  <c:v>2.7843186694761748</c:v>
                </c:pt>
                <c:pt idx="104">
                  <c:v>3.0466577018017715</c:v>
                </c:pt>
                <c:pt idx="105">
                  <c:v>3.3168591521545383</c:v>
                </c:pt>
                <c:pt idx="106">
                  <c:v>3.595059738187607</c:v>
                </c:pt>
                <c:pt idx="107">
                  <c:v>3.8813787199889491</c:v>
                </c:pt>
                <c:pt idx="108">
                  <c:v>4.1759172637315656</c:v>
                </c:pt>
                <c:pt idx="109">
                  <c:v>4.4787578444172498</c:v>
                </c:pt>
                <c:pt idx="110">
                  <c:v>4.7899636890969362</c:v>
                </c:pt>
                <c:pt idx="111">
                  <c:v>5.1095782619048657</c:v>
                </c:pt>
                <c:pt idx="112">
                  <c:v>5.4376247921980259</c:v>
                </c:pt>
                <c:pt idx="113">
                  <c:v>5.7741058470465338</c:v>
                </c:pt>
                <c:pt idx="114">
                  <c:v>6.1190029492748517</c:v>
                </c:pt>
                <c:pt idx="115">
                  <c:v>6.4722762422079514</c:v>
                </c:pt>
                <c:pt idx="116">
                  <c:v>6.8338642022307488</c:v>
                </c:pt>
                <c:pt idx="117">
                  <c:v>7.2036834002233396</c:v>
                </c:pt>
                <c:pt idx="118">
                  <c:v>7.5816283128888333</c:v>
                </c:pt>
                <c:pt idx="119">
                  <c:v>7.9675711849447373</c:v>
                </c:pt>
                <c:pt idx="120">
                  <c:v>8.3613619431030966</c:v>
                </c:pt>
                <c:pt idx="121">
                  <c:v>8.7628281627188311</c:v>
                </c:pt>
                <c:pt idx="122">
                  <c:v>9.1717750879398672</c:v>
                </c:pt>
                <c:pt idx="123">
                  <c:v>9.5879857061469806</c:v>
                </c:pt>
                <c:pt idx="124">
                  <c:v>10.011220877425323</c:v>
                </c:pt>
                <c:pt idx="125">
                  <c:v>10.44121951976406</c:v>
                </c:pt>
                <c:pt idx="126">
                  <c:v>10.877698850634506</c:v>
                </c:pt>
                <c:pt idx="127">
                  <c:v>11.32035468555156</c:v>
                </c:pt>
                <c:pt idx="128">
                  <c:v>11.768861794177386</c:v>
                </c:pt>
                <c:pt idx="129">
                  <c:v>12.222874314480441</c:v>
                </c:pt>
                <c:pt idx="130">
                  <c:v>12.682026225417314</c:v>
                </c:pt>
                <c:pt idx="131">
                  <c:v>13.145931878558967</c:v>
                </c:pt>
                <c:pt idx="132">
                  <c:v>13.614186589037105</c:v>
                </c:pt>
                <c:pt idx="133">
                  <c:v>14.08636728614086</c:v>
                </c:pt>
                <c:pt idx="134">
                  <c:v>14.562033223847955</c:v>
                </c:pt>
                <c:pt idx="135">
                  <c:v>15.040726751528814</c:v>
                </c:pt>
                <c:pt idx="136">
                  <c:v>15.52197414501638</c:v>
                </c:pt>
                <c:pt idx="137">
                  <c:v>16.005286498188486</c:v>
                </c:pt>
                <c:pt idx="138">
                  <c:v>16.490160675163988</c:v>
                </c:pt>
                <c:pt idx="139">
                  <c:v>16.976080323167903</c:v>
                </c:pt>
                <c:pt idx="140">
                  <c:v>17.462516946075226</c:v>
                </c:pt>
                <c:pt idx="141">
                  <c:v>17.948931038597163</c:v>
                </c:pt>
                <c:pt idx="142">
                  <c:v>18.434773281027752</c:v>
                </c:pt>
                <c:pt idx="143">
                  <c:v>18.919485794423213</c:v>
                </c:pt>
                <c:pt idx="144">
                  <c:v>19.402503456040279</c:v>
                </c:pt>
                <c:pt idx="145">
                  <c:v>19.883255274814413</c:v>
                </c:pt>
                <c:pt idx="146">
                  <c:v>20.361165826612492</c:v>
                </c:pt>
                <c:pt idx="147">
                  <c:v>20.835656748949418</c:v>
                </c:pt>
                <c:pt idx="148">
                  <c:v>21.306148294811589</c:v>
                </c:pt>
                <c:pt idx="149">
                  <c:v>21.77206094518505</c:v>
                </c:pt>
                <c:pt idx="150">
                  <c:v>22.232817079839965</c:v>
                </c:pt>
                <c:pt idx="151">
                  <c:v>22.687842705877362</c:v>
                </c:pt>
                <c:pt idx="152">
                  <c:v>23.136569243498375</c:v>
                </c:pt>
                <c:pt idx="153">
                  <c:v>23.578435368410421</c:v>
                </c:pt>
                <c:pt idx="154">
                  <c:v>24.012888910238846</c:v>
                </c:pt>
                <c:pt idx="155">
                  <c:v>24.439388806266987</c:v>
                </c:pt>
                <c:pt idx="156">
                  <c:v>24.857407109781636</c:v>
                </c:pt>
                <c:pt idx="157">
                  <c:v>25.2664310522552</c:v>
                </c:pt>
                <c:pt idx="158">
                  <c:v>25.665965158550165</c:v>
                </c:pt>
                <c:pt idx="159">
                  <c:v>26.055533414285385</c:v>
                </c:pt>
                <c:pt idx="160">
                  <c:v>26.434681484458238</c:v>
                </c:pt>
                <c:pt idx="161">
                  <c:v>26.802978982370941</c:v>
                </c:pt>
                <c:pt idx="162">
                  <c:v>27.160021787863084</c:v>
                </c:pt>
                <c:pt idx="163">
                  <c:v>27.505434413807262</c:v>
                </c:pt>
                <c:pt idx="164">
                  <c:v>27.838872419778454</c:v>
                </c:pt>
                <c:pt idx="165">
                  <c:v>28.160024871762289</c:v>
                </c:pt>
                <c:pt idx="166">
                  <c:v>28.468616846721282</c:v>
                </c:pt>
                <c:pt idx="167">
                  <c:v>28.764411980792698</c:v>
                </c:pt>
                <c:pt idx="168">
                  <c:v>29.047215059845605</c:v>
                </c:pt>
                <c:pt idx="169">
                  <c:v>29.316874651079026</c:v>
                </c:pt>
                <c:pt idx="170">
                  <c:v>29.573285774297386</c:v>
                </c:pt>
                <c:pt idx="171">
                  <c:v>29.816392611453495</c:v>
                </c:pt>
                <c:pt idx="172">
                  <c:v>30.046191253003688</c:v>
                </c:pt>
                <c:pt idx="173">
                  <c:v>30.262732479573891</c:v>
                </c:pt>
                <c:pt idx="174">
                  <c:v>30.466124577389557</c:v>
                </c:pt>
                <c:pt idx="175">
                  <c:v>30.656536185876792</c:v>
                </c:pt>
                <c:pt idx="176">
                  <c:v>30.834199175795934</c:v>
                </c:pt>
                <c:pt idx="177">
                  <c:v>30.99941155622346</c:v>
                </c:pt>
                <c:pt idx="178">
                  <c:v>31.152540408651848</c:v>
                </c:pt>
                <c:pt idx="179">
                  <c:v>31.294024846431604</c:v>
                </c:pt>
                <c:pt idx="180">
                  <c:v>31.424378997733939</c:v>
                </c:pt>
                <c:pt idx="181">
                  <c:v>31.544195010166003</c:v>
                </c:pt>
                <c:pt idx="182">
                  <c:v>31.654146075126413</c:v>
                </c:pt>
                <c:pt idx="183">
                  <c:v>31.754989469940945</c:v>
                </c:pt>
                <c:pt idx="184">
                  <c:v>31.847569615774383</c:v>
                </c:pt>
                <c:pt idx="185">
                  <c:v>31.932821149267546</c:v>
                </c:pt>
                <c:pt idx="186">
                  <c:v>32.011772005803216</c:v>
                </c:pt>
                <c:pt idx="187">
                  <c:v>32.085546512258716</c:v>
                </c:pt>
                <c:pt idx="188">
                  <c:v>32.155368487057181</c:v>
                </c:pt>
                <c:pt idx="189">
                  <c:v>32.222564345284205</c:v>
                </c:pt>
                <c:pt idx="190">
                  <c:v>32.288566206589365</c:v>
                </c:pt>
                <c:pt idx="191">
                  <c:v>32.35491500354879</c:v>
                </c:pt>
                <c:pt idx="192">
                  <c:v>32.423263588116065</c:v>
                </c:pt>
                <c:pt idx="193">
                  <c:v>32.495379833745979</c:v>
                </c:pt>
                <c:pt idx="194">
                  <c:v>32.573149730727692</c:v>
                </c:pt>
                <c:pt idx="195">
                  <c:v>32.658580472219285</c:v>
                </c:pt>
                <c:pt idx="196">
                  <c:v>32.753803528429032</c:v>
                </c:pt>
                <c:pt idx="197">
                  <c:v>32.861077706344233</c:v>
                </c:pt>
                <c:pt idx="198">
                  <c:v>32.982792192360719</c:v>
                </c:pt>
                <c:pt idx="199">
                  <c:v>33.121469575122674</c:v>
                </c:pt>
                <c:pt idx="200">
                  <c:v>33.279768845834411</c:v>
                </c:pt>
              </c:numCache>
            </c:numRef>
          </c:yVal>
          <c:smooth val="1"/>
        </c:ser>
        <c:dLbls>
          <c:showLegendKey val="0"/>
          <c:showVal val="0"/>
          <c:showCatName val="0"/>
          <c:showSerName val="0"/>
          <c:showPercent val="0"/>
          <c:showBubbleSize val="0"/>
        </c:dLbls>
        <c:axId val="604815472"/>
        <c:axId val="604809592"/>
      </c:scatterChart>
      <c:valAx>
        <c:axId val="6048154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592"/>
        <c:crossesAt val="-1000"/>
        <c:crossBetween val="midCat"/>
      </c:valAx>
      <c:valAx>
        <c:axId val="604809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4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0.17681445085985728</v>
      </c>
      <c r="D59" s="55">
        <v>1</v>
      </c>
    </row>
    <row r="60" spans="1:4" s="11" customFormat="1" x14ac:dyDescent="0.25">
      <c r="A60" s="54">
        <v>2</v>
      </c>
      <c r="B60" s="56">
        <f>'Shiftfunktion bestimmen'!N2</f>
        <v>2.2759959410408102E-3</v>
      </c>
      <c r="D60" s="55">
        <v>2</v>
      </c>
    </row>
    <row r="61" spans="1:4" s="11" customFormat="1" x14ac:dyDescent="0.25">
      <c r="A61" s="54">
        <v>3</v>
      </c>
      <c r="B61" s="56">
        <f>'Shiftfunktion bestimmen'!N3</f>
        <v>4.9751162006110606E-5</v>
      </c>
      <c r="D61" s="55">
        <v>3</v>
      </c>
    </row>
    <row r="62" spans="1:4" s="11" customFormat="1" x14ac:dyDescent="0.25">
      <c r="A62" s="54">
        <v>4</v>
      </c>
      <c r="B62" s="56">
        <f>'Shiftfunktion bestimmen'!N4</f>
        <v>-1.7930933156983167E-7</v>
      </c>
      <c r="D62" s="55">
        <v>4</v>
      </c>
    </row>
    <row r="63" spans="1:4" s="11" customFormat="1" x14ac:dyDescent="0.25">
      <c r="A63" s="54">
        <v>5</v>
      </c>
      <c r="B63" s="56">
        <f>'Shiftfunktion bestimmen'!N5</f>
        <v>-8.5978514336081242E-9</v>
      </c>
      <c r="D63" s="55">
        <v>5</v>
      </c>
    </row>
    <row r="64" spans="1:4" s="11" customFormat="1" x14ac:dyDescent="0.25">
      <c r="A64" s="54">
        <v>6</v>
      </c>
      <c r="B64" s="56">
        <f>'Shiftfunktion bestimmen'!N6</f>
        <v>1.4931183928185842E-11</v>
      </c>
      <c r="D64" s="55">
        <v>6</v>
      </c>
    </row>
    <row r="65" spans="1:5" s="11" customFormat="1" x14ac:dyDescent="0.25">
      <c r="A65" s="54">
        <v>7</v>
      </c>
      <c r="B65" s="56">
        <f>'Shiftfunktion bestimmen'!N7</f>
        <v>4.2428826946100552E-13</v>
      </c>
      <c r="D65" s="55">
        <v>7</v>
      </c>
    </row>
    <row r="66" spans="1:5" x14ac:dyDescent="0.25">
      <c r="A66" s="54">
        <v>8</v>
      </c>
      <c r="B66" s="56">
        <f>'Shiftfunktion bestimmen'!N8</f>
        <v>-1.1354563677137034E-15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5.9601287994759033E-3</v>
      </c>
      <c r="D74" s="51">
        <v>1</v>
      </c>
      <c r="E74" s="56">
        <f>'Mastercurve bestimmen'!A18</f>
        <v>1.0000000000000001E-30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8.2357212069048761E-4</v>
      </c>
      <c r="C83" s="11"/>
      <c r="D83" s="51">
        <f t="shared" ref="D83:D104" si="1">A83</f>
        <v>10</v>
      </c>
      <c r="E83" s="56">
        <f>'Mastercurve bestimmen'!A27</f>
        <v>8.9027742702096099E-6</v>
      </c>
    </row>
    <row r="84" spans="1:5" x14ac:dyDescent="0.25">
      <c r="A84" s="50">
        <f t="shared" si="0"/>
        <v>11</v>
      </c>
      <c r="B84" s="56">
        <f>'Mastercurve bestimmen'!C28</f>
        <v>2.4665844117639606E-2</v>
      </c>
      <c r="C84" s="11"/>
      <c r="D84" s="51">
        <f t="shared" si="1"/>
        <v>11</v>
      </c>
      <c r="E84" s="56">
        <f>'Mastercurve bestimmen'!A28</f>
        <v>9.86912775817142E-5</v>
      </c>
    </row>
    <row r="85" spans="1:5" x14ac:dyDescent="0.25">
      <c r="A85" s="50">
        <f t="shared" si="0"/>
        <v>12</v>
      </c>
      <c r="B85" s="56">
        <f>'Mastercurve bestimmen'!C29</f>
        <v>1.6291197925316764E-2</v>
      </c>
      <c r="C85" s="11"/>
      <c r="D85" s="51">
        <f t="shared" si="1"/>
        <v>12</v>
      </c>
      <c r="E85" s="56">
        <f>'Mastercurve bestimmen'!A29</f>
        <v>1.0940374286813801E-3</v>
      </c>
    </row>
    <row r="86" spans="1:5" x14ac:dyDescent="0.25">
      <c r="A86" s="50">
        <f t="shared" si="0"/>
        <v>13</v>
      </c>
      <c r="B86" s="56">
        <f>'Mastercurve bestimmen'!C30</f>
        <v>2.6847553865855696E-2</v>
      </c>
      <c r="C86" s="11"/>
      <c r="D86" s="51">
        <f t="shared" si="1"/>
        <v>13</v>
      </c>
      <c r="E86" s="56">
        <f>'Mastercurve bestimmen'!A30</f>
        <v>1.2127899493091E-2</v>
      </c>
    </row>
    <row r="87" spans="1:5" x14ac:dyDescent="0.25">
      <c r="A87" s="50">
        <f t="shared" si="0"/>
        <v>14</v>
      </c>
      <c r="B87" s="56">
        <f>'Mastercurve bestimmen'!C31</f>
        <v>2.5906186741603665E-2</v>
      </c>
      <c r="C87" s="11"/>
      <c r="D87" s="51">
        <f t="shared" si="1"/>
        <v>14</v>
      </c>
      <c r="E87" s="56">
        <f>'Mastercurve bestimmen'!A31</f>
        <v>0.13444324870292301</v>
      </c>
    </row>
    <row r="88" spans="1:5" x14ac:dyDescent="0.25">
      <c r="A88" s="50">
        <f t="shared" si="0"/>
        <v>15</v>
      </c>
      <c r="B88" s="56">
        <f>'Mastercurve bestimmen'!C32</f>
        <v>3.2694648537282267E-2</v>
      </c>
      <c r="C88" s="11"/>
      <c r="D88" s="51">
        <f t="shared" si="1"/>
        <v>15</v>
      </c>
      <c r="E88" s="56">
        <f>'Mastercurve bestimmen'!A32</f>
        <v>1.49036419143257</v>
      </c>
    </row>
    <row r="89" spans="1:5" x14ac:dyDescent="0.25">
      <c r="A89" s="50">
        <f t="shared" si="0"/>
        <v>16</v>
      </c>
      <c r="B89" s="56">
        <f>'Mastercurve bestimmen'!C33</f>
        <v>3.3282078428276948E-2</v>
      </c>
      <c r="C89" s="11"/>
      <c r="D89" s="51">
        <f t="shared" si="1"/>
        <v>16</v>
      </c>
      <c r="E89" s="56">
        <f>'Mastercurve bestimmen'!A33</f>
        <v>16.521360830937301</v>
      </c>
    </row>
    <row r="90" spans="1:5" x14ac:dyDescent="0.25">
      <c r="A90" s="50">
        <f t="shared" si="0"/>
        <v>17</v>
      </c>
      <c r="B90" s="56">
        <f>'Mastercurve bestimmen'!C34</f>
        <v>0.1075539898267141</v>
      </c>
      <c r="C90" s="11"/>
      <c r="D90" s="51">
        <f t="shared" si="1"/>
        <v>17</v>
      </c>
      <c r="E90" s="56">
        <f>'Mastercurve bestimmen'!A34</f>
        <v>183.146753843879</v>
      </c>
    </row>
    <row r="91" spans="1:5" x14ac:dyDescent="0.25">
      <c r="A91" s="50">
        <f t="shared" si="0"/>
        <v>18</v>
      </c>
      <c r="B91" s="56">
        <f>'Mastercurve bestimmen'!C35</f>
        <v>0.13355176295714186</v>
      </c>
      <c r="C91" s="11"/>
      <c r="D91" s="51">
        <f t="shared" si="1"/>
        <v>18</v>
      </c>
      <c r="E91" s="56">
        <f>'Mastercurve bestimmen'!A35</f>
        <v>2030.26456396616</v>
      </c>
    </row>
    <row r="92" spans="1:5" x14ac:dyDescent="0.25">
      <c r="A92" s="50">
        <f t="shared" si="0"/>
        <v>19</v>
      </c>
      <c r="B92" s="56">
        <f>'Mastercurve bestimmen'!C36</f>
        <v>0.10276653551975504</v>
      </c>
      <c r="C92" s="11"/>
      <c r="D92" s="51">
        <f t="shared" si="1"/>
        <v>19</v>
      </c>
      <c r="E92" s="56">
        <f>'Mastercurve bestimmen'!A36</f>
        <v>22506.400540467101</v>
      </c>
    </row>
    <row r="93" spans="1:5" x14ac:dyDescent="0.25">
      <c r="A93" s="50">
        <f t="shared" si="0"/>
        <v>20</v>
      </c>
      <c r="B93" s="56">
        <f>'Mastercurve bestimmen'!C37</f>
        <v>8.2308697100650766E-2</v>
      </c>
      <c r="C93" s="11"/>
      <c r="D93" s="51">
        <f t="shared" si="1"/>
        <v>20</v>
      </c>
      <c r="E93" s="56">
        <f>'Mastercurve bestimmen'!A37</f>
        <v>249493.62476110301</v>
      </c>
    </row>
    <row r="94" spans="1:5" x14ac:dyDescent="0.25">
      <c r="A94" s="50">
        <f t="shared" si="0"/>
        <v>21</v>
      </c>
      <c r="B94" s="56">
        <f>'Mastercurve bestimmen'!C38</f>
        <v>3.7013792035783422E-2</v>
      </c>
      <c r="C94" s="11"/>
      <c r="D94" s="51">
        <f t="shared" si="1"/>
        <v>21</v>
      </c>
      <c r="E94" s="56">
        <f>'Mastercurve bestimmen'!A38</f>
        <v>2765749.6224023802</v>
      </c>
    </row>
    <row r="95" spans="1:5" x14ac:dyDescent="0.25">
      <c r="A95" s="50">
        <f t="shared" si="0"/>
        <v>22</v>
      </c>
      <c r="B95" s="56">
        <f>'Mastercurve bestimmen'!C39</f>
        <v>5.9919400803358086E-2</v>
      </c>
      <c r="C95" s="11"/>
      <c r="D95" s="51">
        <f t="shared" si="1"/>
        <v>22</v>
      </c>
      <c r="E95" s="56">
        <f>'Mastercurve bestimmen'!A39</f>
        <v>10000000</v>
      </c>
    </row>
    <row r="96" spans="1:5" x14ac:dyDescent="0.25">
      <c r="A96" s="50">
        <f t="shared" si="0"/>
        <v>23</v>
      </c>
      <c r="B96" s="56">
        <f>'Mastercurve bestimmen'!C40</f>
        <v>6.4670451984415095E-2</v>
      </c>
      <c r="C96" s="11"/>
      <c r="D96" s="51">
        <f t="shared" si="1"/>
        <v>23</v>
      </c>
      <c r="E96" s="56">
        <f>'Mastercurve bestimmen'!A40</f>
        <v>100000000</v>
      </c>
    </row>
    <row r="97" spans="1:5" x14ac:dyDescent="0.25">
      <c r="A97" s="50">
        <f t="shared" si="0"/>
        <v>24</v>
      </c>
      <c r="B97" s="56">
        <f>'Mastercurve bestimmen'!C41</f>
        <v>6.7576207998846588E-2</v>
      </c>
      <c r="C97" s="11"/>
      <c r="D97" s="51">
        <f t="shared" si="1"/>
        <v>24</v>
      </c>
      <c r="E97" s="56">
        <f>'Mastercurve bestimmen'!A41</f>
        <v>1000000000</v>
      </c>
    </row>
    <row r="98" spans="1:5" x14ac:dyDescent="0.25">
      <c r="A98" s="50">
        <f t="shared" si="0"/>
        <v>25</v>
      </c>
      <c r="B98" s="56">
        <f>'Mastercurve bestimmen'!C42</f>
        <v>7.4650772379504848E-2</v>
      </c>
      <c r="C98" s="11"/>
      <c r="D98" s="51">
        <f t="shared" si="1"/>
        <v>25</v>
      </c>
      <c r="E98" s="56">
        <f>'Mastercurve bestimmen'!A42</f>
        <v>10000000000</v>
      </c>
    </row>
    <row r="99" spans="1:5" x14ac:dyDescent="0.25">
      <c r="A99" s="50">
        <f t="shared" si="0"/>
        <v>26</v>
      </c>
      <c r="B99" s="56">
        <f>'Mastercurve bestimmen'!C43</f>
        <v>4.2437426023751848E-2</v>
      </c>
      <c r="C99" s="11"/>
      <c r="D99" s="51">
        <f t="shared" si="1"/>
        <v>26</v>
      </c>
      <c r="E99" s="56">
        <f>'Mastercurve bestimmen'!A43</f>
        <v>100000000000</v>
      </c>
    </row>
    <row r="100" spans="1:5" x14ac:dyDescent="0.25">
      <c r="A100" s="50">
        <f t="shared" si="0"/>
        <v>27</v>
      </c>
      <c r="B100" s="56">
        <f>'Mastercurve bestimmen'!C44</f>
        <v>2.9362775672931045E-2</v>
      </c>
      <c r="C100" s="11"/>
      <c r="D100" s="51">
        <f t="shared" si="1"/>
        <v>27</v>
      </c>
      <c r="E100" s="56">
        <f>'Mastercurve bestimmen'!A44</f>
        <v>1000000000000</v>
      </c>
    </row>
    <row r="101" spans="1:5" x14ac:dyDescent="0.25">
      <c r="A101" s="50">
        <f t="shared" si="0"/>
        <v>28</v>
      </c>
      <c r="B101" s="56">
        <f>'Mastercurve bestimmen'!C45</f>
        <v>1.3317924951321973E-2</v>
      </c>
      <c r="C101" s="11"/>
      <c r="D101" s="51">
        <f t="shared" si="1"/>
        <v>28</v>
      </c>
      <c r="E101" s="56">
        <f>'Mastercurve bestimmen'!A45</f>
        <v>10000000000000</v>
      </c>
    </row>
    <row r="102" spans="1:5" x14ac:dyDescent="0.25">
      <c r="A102" s="50">
        <f t="shared" si="0"/>
        <v>29</v>
      </c>
      <c r="B102" s="56">
        <f>'Mastercurve bestimmen'!C46</f>
        <v>4.0600750332731679E-3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6.6069827735831333E-3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3: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8" zoomScale="120" zoomScaleNormal="120" zoomScaleSheetLayoutView="110" workbookViewId="0">
      <selection activeCell="A68" sqref="A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7287.2421568641066</v>
      </c>
      <c r="G16" s="26">
        <f>INDEX(Comparison!$AM$3:$AS$33,G14,$B$3)</f>
        <v>7287.3146216469959</v>
      </c>
      <c r="H16" s="26">
        <f>INDEX(Comparison!$AM$3:$AS$33,H14,$B$3)</f>
        <v>7287.2757793731034</v>
      </c>
      <c r="I16" s="26">
        <f>INDEX(Comparison!$AM$3:$AS$33,I14,$B$3)</f>
        <v>7287.2657654165014</v>
      </c>
      <c r="J16" s="26">
        <f>INDEX(Comparison!$AM$3:$AS$33,J14,$B$3)</f>
        <v>7287.2629129611732</v>
      </c>
      <c r="K16" s="26">
        <f>INDEX(Comparison!$AM$3:$AS$33,K14,$B$3)</f>
        <v>7287.2618205320641</v>
      </c>
      <c r="L16" s="26">
        <f>INDEX(Comparison!$AM$3:$AS$33,L14,$B$3)</f>
        <v>7287.2593322225375</v>
      </c>
      <c r="M16" s="26">
        <f>INDEX(Comparison!$AM$3:$AS$33,M14,$B$3)</f>
        <v>7287.2374230339683</v>
      </c>
      <c r="N16" s="26">
        <f>INDEX(Comparison!$AM$3:$AS$33,N14,$B$3)</f>
        <v>7287.0191880040384</v>
      </c>
      <c r="O16" s="26">
        <f>INDEX(Comparison!$AM$3:$AS$33,O14,$B$3)</f>
        <v>7284.8522944162632</v>
      </c>
      <c r="P16" s="26">
        <f>INDEX(Comparison!$AM$3:$AS$33,P14,$B$3)</f>
        <v>7264.6309792458533</v>
      </c>
      <c r="Q16" s="26">
        <f>INDEX(Comparison!$AM$3:$AS$33,Q14,$B$3)</f>
        <v>7153.647880511483</v>
      </c>
      <c r="R16" s="26">
        <f>INDEX(Comparison!$AM$3:$AS$33,R14,$B$3)</f>
        <v>7011.9974153857656</v>
      </c>
      <c r="S16" s="26">
        <f>INDEX(Comparison!$AM$3:$AS$33,S14,$B$3)</f>
        <v>6854.7708758756735</v>
      </c>
      <c r="T16" s="26">
        <f>INDEX(Comparison!$AM$3:$AS$33,T14,$B$3)</f>
        <v>6667.3368038637464</v>
      </c>
      <c r="U16" s="26">
        <f>INDEX(Comparison!$AM$3:$AS$33,U14,$B$3)</f>
        <v>6457.8733144157241</v>
      </c>
      <c r="V16" s="26">
        <f>INDEX(Comparison!$AM$3:$AS$33,V14,$B$3)</f>
        <v>6197.1395066404111</v>
      </c>
      <c r="W16" s="26">
        <f>INDEX(Comparison!$AM$3:$AS$33,W14,$B$3)</f>
        <v>5728.6851502202007</v>
      </c>
      <c r="X16" s="26">
        <f>INDEX(Comparison!$AM$3:$AS$33,X14,$B$3)</f>
        <v>4909.4106843846976</v>
      </c>
      <c r="Y16" s="26">
        <f>INDEX(Comparison!$AM$3:$AS$33,Y14,$B$3)</f>
        <v>4054.6855956010618</v>
      </c>
      <c r="Z16" s="26">
        <f>INDEX(Comparison!$AM$3:$AS$33,Z14,$B$3)</f>
        <v>3384.7376862720757</v>
      </c>
      <c r="AA16" s="26">
        <f>INDEX(Comparison!$AM$3:$AS$33,AA14,$B$3)</f>
        <v>2867.8130883318549</v>
      </c>
      <c r="AB16" s="26">
        <f>INDEX(Comparison!$AM$3:$AS$33,AB14,$B$3)</f>
        <v>2393.9219661874804</v>
      </c>
      <c r="AC16" s="26">
        <f>INDEX(Comparison!$AM$3:$AS$33,AC14,$B$3)</f>
        <v>1923.0446750969861</v>
      </c>
      <c r="AD16" s="26">
        <f>INDEX(Comparison!$AM$3:$AS$33,AD14,$B$3)</f>
        <v>1433.0262098856042</v>
      </c>
      <c r="AE16" s="26">
        <f>INDEX(Comparison!$AM$3:$AS$33,AE14,$B$3)</f>
        <v>928.3724969127901</v>
      </c>
      <c r="AF16" s="26">
        <f>INDEX(Comparison!$AM$3:$AS$33,AF14,$B$3)</f>
        <v>540.77757065756475</v>
      </c>
      <c r="AG16" s="26">
        <f>INDEX(Comparison!$AM$3:$AS$33,AG14,$B$3)</f>
        <v>302.10819766520217</v>
      </c>
      <c r="AH16" s="26">
        <f>INDEX(Comparison!$AM$3:$AS$33,AH14,$B$3)</f>
        <v>167.95607666429018</v>
      </c>
      <c r="AI16" s="26">
        <f>INDEX(Comparison!$AM$3:$AS$33,AI14,$B$3)</f>
        <v>115.55588342611547</v>
      </c>
      <c r="AJ16" s="26">
        <f>INDEX(Comparison!$AM$3:$AS$33,AJ14,$B$3)</f>
        <v>100.53155340781859</v>
      </c>
    </row>
    <row r="17" spans="1:36" x14ac:dyDescent="0.25">
      <c r="A17" s="14" t="s">
        <v>20</v>
      </c>
      <c r="B17" s="105">
        <v>8.9646700320236052E-3</v>
      </c>
      <c r="C17" s="18">
        <f t="shared" ref="C17:C48" si="3">ABS(B17/$B$49)</f>
        <v>7.7319944028278438E-3</v>
      </c>
      <c r="D17" s="66"/>
      <c r="E17" s="65" t="s">
        <v>22</v>
      </c>
      <c r="F17" s="27">
        <f>($C$17+SUM(F18:F48))*$B$51</f>
        <v>7287.2891982826222</v>
      </c>
      <c r="G17" s="27">
        <f t="shared" ref="G17:M17" si="4">($C$17+SUM(G18:G48))*$B$51</f>
        <v>7287.2891982588853</v>
      </c>
      <c r="H17" s="27">
        <f t="shared" si="4"/>
        <v>7287.2891980215209</v>
      </c>
      <c r="I17" s="27">
        <f t="shared" si="4"/>
        <v>7287.2891956478752</v>
      </c>
      <c r="J17" s="27">
        <f t="shared" si="4"/>
        <v>7287.289171911425</v>
      </c>
      <c r="K17" s="27">
        <f t="shared" si="4"/>
        <v>7287.2889345473377</v>
      </c>
      <c r="L17" s="27">
        <f t="shared" si="4"/>
        <v>7287.2865609487162</v>
      </c>
      <c r="M17" s="27">
        <f t="shared" si="4"/>
        <v>7287.2628291862602</v>
      </c>
      <c r="N17" s="27">
        <f t="shared" ref="N17" si="5">($C$17+SUM(N18:N48))*$B$51</f>
        <v>7287.0259326431087</v>
      </c>
      <c r="O17" s="27">
        <f t="shared" ref="O17" si="6">($C$17+SUM(O18:O48))*$B$51</f>
        <v>7284.6978168855394</v>
      </c>
      <c r="P17" s="27">
        <f t="shared" ref="P17" si="7">($C$17+SUM(P18:P48))*$B$51</f>
        <v>7264.5257553345609</v>
      </c>
      <c r="Q17" s="27">
        <f t="shared" ref="Q17" si="8">($C$17+SUM(Q18:Q48))*$B$51</f>
        <v>7153.8643736390295</v>
      </c>
      <c r="R17" s="27">
        <f t="shared" ref="R17" si="9">($C$17+SUM(R18:R48))*$B$51</f>
        <v>7011.7176919328949</v>
      </c>
      <c r="S17" s="27">
        <f t="shared" ref="S17:T17" si="10">($C$17+SUM(S18:S48))*$B$51</f>
        <v>6855.0699056416097</v>
      </c>
      <c r="T17" s="27">
        <f t="shared" si="10"/>
        <v>6667.0699875438713</v>
      </c>
      <c r="U17" s="27">
        <f t="shared" ref="U17" si="11">($C$17+SUM(U18:U48))*$B$51</f>
        <v>6458.0741613421114</v>
      </c>
      <c r="V17" s="27">
        <f t="shared" ref="V17" si="12">($C$17+SUM(V18:V48))*$B$51</f>
        <v>6197.0091502858468</v>
      </c>
      <c r="W17" s="27">
        <f t="shared" ref="W17" si="13">($C$17+SUM(W18:W48))*$B$51</f>
        <v>5728.7607244893079</v>
      </c>
      <c r="X17" s="27">
        <f t="shared" ref="X17" si="14">($C$17+SUM(X18:X48))*$B$51</f>
        <v>4909.3702737098383</v>
      </c>
      <c r="Y17" s="27">
        <f t="shared" ref="Y17" si="15">($C$17+SUM(Y18:Y48))*$B$51</f>
        <v>4054.7059305785556</v>
      </c>
      <c r="Z17" s="27">
        <f t="shared" ref="Z17:AA17" si="16">($C$17+SUM(Z18:Z48))*$B$51</f>
        <v>3384.7279274075818</v>
      </c>
      <c r="AA17" s="27">
        <f t="shared" si="16"/>
        <v>2867.8187301762346</v>
      </c>
      <c r="AB17" s="27">
        <f t="shared" ref="AB17" si="17">($C$17+SUM(AB18:AB48))*$B$51</f>
        <v>2393.9148734243458</v>
      </c>
      <c r="AC17" s="27">
        <f t="shared" ref="AC17" si="18">($C$17+SUM(AC18:AC48))*$B$51</f>
        <v>1923.0546521948713</v>
      </c>
      <c r="AD17" s="27">
        <f t="shared" ref="AD17" si="19">($C$17+SUM(AD18:AD48))*$B$51</f>
        <v>1433.0153891706077</v>
      </c>
      <c r="AE17" s="27">
        <f t="shared" ref="AE17" si="20">($C$17+SUM(AE18:AE48))*$B$51</f>
        <v>928.38384310793288</v>
      </c>
      <c r="AF17" s="27">
        <f t="shared" ref="AF17" si="21">($C$17+SUM(AF18:AF48))*$B$51</f>
        <v>540.76350461674588</v>
      </c>
      <c r="AG17" s="27">
        <f t="shared" ref="AG17:AH17" si="22">($C$17+SUM(AG18:AG48))*$B$51</f>
        <v>302.12767494059574</v>
      </c>
      <c r="AH17" s="27">
        <f t="shared" si="22"/>
        <v>167.92939465126034</v>
      </c>
      <c r="AI17" s="27">
        <f t="shared" ref="AI17" si="23">($C$17+SUM(AI18:AI48))*$B$51</f>
        <v>115.59097341631293</v>
      </c>
      <c r="AJ17" s="27">
        <f t="shared" ref="AJ17" si="24">($C$17+SUM(AJ18:AJ48))*$B$51</f>
        <v>100.51088225937114</v>
      </c>
    </row>
    <row r="18" spans="1:36" x14ac:dyDescent="0.25">
      <c r="A18" s="3">
        <f>0.000000000000001/10^15</f>
        <v>1.0000000000000001E-30</v>
      </c>
      <c r="B18" s="106">
        <v>6.9103241999400747E-3</v>
      </c>
      <c r="C18" s="18">
        <f t="shared" si="3"/>
        <v>5.9601287994759033E-3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9.548703639599012E-4</v>
      </c>
      <c r="C27" s="18">
        <f t="shared" si="3"/>
        <v>8.2357212069048761E-4</v>
      </c>
      <c r="D27" s="17"/>
      <c r="F27" s="3">
        <f t="shared" si="25"/>
        <v>8.2357212059798034E-4</v>
      </c>
      <c r="G27" s="3">
        <f t="shared" si="25"/>
        <v>8.2357211976541401E-4</v>
      </c>
      <c r="H27" s="3">
        <f t="shared" si="25"/>
        <v>8.2357211143975191E-4</v>
      </c>
      <c r="I27" s="3">
        <f t="shared" si="25"/>
        <v>8.2357202818313547E-4</v>
      </c>
      <c r="J27" s="3">
        <f t="shared" si="25"/>
        <v>8.2357119561743376E-4</v>
      </c>
      <c r="K27" s="3">
        <f t="shared" si="25"/>
        <v>8.2356287000670818E-4</v>
      </c>
      <c r="L27" s="3">
        <f t="shared" si="25"/>
        <v>8.2347961852838076E-4</v>
      </c>
      <c r="M27" s="3">
        <f t="shared" si="25"/>
        <v>8.2264756646496914E-4</v>
      </c>
      <c r="N27" s="3">
        <f t="shared" si="25"/>
        <v>8.1437314520799229E-4</v>
      </c>
      <c r="O27" s="3">
        <f t="shared" si="25"/>
        <v>7.3607100392576654E-4</v>
      </c>
      <c r="P27" s="3">
        <f t="shared" si="25"/>
        <v>2.6784427593738139E-4</v>
      </c>
      <c r="Q27" s="3">
        <f t="shared" si="25"/>
        <v>1.0902070001700549E-8</v>
      </c>
      <c r="R27" s="3">
        <f t="shared" si="25"/>
        <v>1.3607393173858519E-52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2.8598204041003734E-2</v>
      </c>
      <c r="C28" s="18">
        <f t="shared" si="3"/>
        <v>2.4665844117639606E-2</v>
      </c>
      <c r="D28" s="17"/>
      <c r="F28" s="3">
        <f t="shared" si="25"/>
        <v>2.4665844117389677E-2</v>
      </c>
      <c r="G28" s="3">
        <f t="shared" si="25"/>
        <v>2.4665844115140313E-2</v>
      </c>
      <c r="H28" s="3">
        <f t="shared" si="25"/>
        <v>2.4665844092646671E-2</v>
      </c>
      <c r="I28" s="3">
        <f t="shared" si="25"/>
        <v>2.4665843867710285E-2</v>
      </c>
      <c r="J28" s="3">
        <f t="shared" si="25"/>
        <v>2.466584161834651E-2</v>
      </c>
      <c r="K28" s="3">
        <f t="shared" si="25"/>
        <v>2.4665819124720045E-2</v>
      </c>
      <c r="L28" s="3">
        <f t="shared" si="25"/>
        <v>2.4665594189583574E-2</v>
      </c>
      <c r="M28" s="3">
        <f t="shared" si="25"/>
        <v>2.4663344951034654E-2</v>
      </c>
      <c r="N28" s="3">
        <f t="shared" si="25"/>
        <v>2.464086384331823E-2</v>
      </c>
      <c r="O28" s="3">
        <f t="shared" si="25"/>
        <v>2.4417176747396931E-2</v>
      </c>
      <c r="P28" s="3">
        <f t="shared" si="25"/>
        <v>2.2289002163981546E-2</v>
      </c>
      <c r="Q28" s="3">
        <f t="shared" si="25"/>
        <v>8.954522272638132E-3</v>
      </c>
      <c r="R28" s="3">
        <f t="shared" si="25"/>
        <v>9.8075463075206441E-7</v>
      </c>
      <c r="S28" s="3">
        <f t="shared" si="25"/>
        <v>2.436350857728665E-46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1.8888427256677633E-2</v>
      </c>
      <c r="C29" s="18">
        <f t="shared" si="3"/>
        <v>1.6291197925316764E-2</v>
      </c>
      <c r="D29" s="17"/>
      <c r="F29" s="3">
        <f t="shared" si="25"/>
        <v>1.6291197925301874E-2</v>
      </c>
      <c r="G29" s="3">
        <f t="shared" si="25"/>
        <v>1.6291197925167856E-2</v>
      </c>
      <c r="H29" s="3">
        <f t="shared" si="25"/>
        <v>1.6291197923827674E-2</v>
      </c>
      <c r="I29" s="3">
        <f t="shared" si="25"/>
        <v>1.6291197910425867E-2</v>
      </c>
      <c r="J29" s="3">
        <f t="shared" si="25"/>
        <v>1.6291197776407803E-2</v>
      </c>
      <c r="K29" s="3">
        <f t="shared" si="25"/>
        <v>1.6291196436227201E-2</v>
      </c>
      <c r="L29" s="3">
        <f t="shared" si="25"/>
        <v>1.6291183034427247E-2</v>
      </c>
      <c r="M29" s="3">
        <f t="shared" si="25"/>
        <v>1.6291049017034067E-2</v>
      </c>
      <c r="N29" s="3">
        <f t="shared" si="25"/>
        <v>1.6289708903737054E-2</v>
      </c>
      <c r="O29" s="3">
        <f t="shared" si="25"/>
        <v>1.6276313832397974E-2</v>
      </c>
      <c r="P29" s="3">
        <f t="shared" si="25"/>
        <v>1.6142967441144997E-2</v>
      </c>
      <c r="Q29" s="3">
        <f t="shared" si="25"/>
        <v>1.4868136100680348E-2</v>
      </c>
      <c r="R29" s="3">
        <f t="shared" si="25"/>
        <v>6.5311265456217222E-3</v>
      </c>
      <c r="S29" s="3">
        <f t="shared" si="25"/>
        <v>1.747043850693191E-6</v>
      </c>
      <c r="T29" s="3">
        <f t="shared" si="25"/>
        <v>3.2768825704828486E-42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3.1127733549102372E-2</v>
      </c>
      <c r="C30" s="18">
        <f t="shared" si="3"/>
        <v>2.6847553865855696E-2</v>
      </c>
      <c r="D30" s="17"/>
      <c r="F30" s="3">
        <f t="shared" si="25"/>
        <v>2.6847553865853482E-2</v>
      </c>
      <c r="G30" s="3">
        <f t="shared" si="25"/>
        <v>2.6847553865833557E-2</v>
      </c>
      <c r="H30" s="3">
        <f t="shared" si="25"/>
        <v>2.6847553865634328E-2</v>
      </c>
      <c r="I30" s="3">
        <f t="shared" si="25"/>
        <v>2.6847553863641994E-2</v>
      </c>
      <c r="J30" s="3">
        <f t="shared" si="25"/>
        <v>2.6847553843718678E-2</v>
      </c>
      <c r="K30" s="3">
        <f t="shared" si="25"/>
        <v>2.684755364448551E-2</v>
      </c>
      <c r="L30" s="3">
        <f t="shared" si="25"/>
        <v>2.6847551652153911E-2</v>
      </c>
      <c r="M30" s="3">
        <f t="shared" si="25"/>
        <v>2.6847531728846057E-2</v>
      </c>
      <c r="N30" s="3">
        <f t="shared" si="25"/>
        <v>2.6847332496580691E-2</v>
      </c>
      <c r="O30" s="3">
        <f t="shared" si="25"/>
        <v>2.6845340255241538E-2</v>
      </c>
      <c r="P30" s="3">
        <f t="shared" si="25"/>
        <v>2.68254259710679E-2</v>
      </c>
      <c r="Q30" s="3">
        <f t="shared" si="25"/>
        <v>2.6627093823476843E-2</v>
      </c>
      <c r="R30" s="3">
        <f t="shared" si="25"/>
        <v>2.4722659306798442E-2</v>
      </c>
      <c r="S30" s="3">
        <f t="shared" si="25"/>
        <v>1.1770891024041488E-2</v>
      </c>
      <c r="T30" s="3">
        <f t="shared" si="25"/>
        <v>7.0461338392953746E-6</v>
      </c>
      <c r="U30" s="3">
        <f t="shared" si="25"/>
        <v>4.1626163009853151E-38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3.0036288676246803E-2</v>
      </c>
      <c r="C31" s="18">
        <f t="shared" si="3"/>
        <v>2.5906186741603665E-2</v>
      </c>
      <c r="D31" s="17"/>
      <c r="F31" s="3">
        <f t="shared" si="25"/>
        <v>2.5906186741603471E-2</v>
      </c>
      <c r="G31" s="3">
        <f t="shared" si="25"/>
        <v>2.590618674160174E-2</v>
      </c>
      <c r="H31" s="3">
        <f t="shared" si="25"/>
        <v>2.5906186741584396E-2</v>
      </c>
      <c r="I31" s="3">
        <f t="shared" si="25"/>
        <v>2.5906186741410972E-2</v>
      </c>
      <c r="J31" s="3">
        <f t="shared" si="25"/>
        <v>2.5906186739676741E-2</v>
      </c>
      <c r="K31" s="3">
        <f t="shared" si="25"/>
        <v>2.590618672233443E-2</v>
      </c>
      <c r="L31" s="3">
        <f t="shared" si="25"/>
        <v>2.5906186548911306E-2</v>
      </c>
      <c r="M31" s="3">
        <f t="shared" si="25"/>
        <v>2.5906184814680148E-2</v>
      </c>
      <c r="N31" s="3">
        <f t="shared" si="25"/>
        <v>2.5906167472374935E-2</v>
      </c>
      <c r="O31" s="3">
        <f t="shared" si="25"/>
        <v>2.5905994049961314E-2</v>
      </c>
      <c r="P31" s="3">
        <f t="shared" si="25"/>
        <v>2.5904259889675166E-2</v>
      </c>
      <c r="Q31" s="3">
        <f t="shared" si="25"/>
        <v>2.5886924670237624E-2</v>
      </c>
      <c r="R31" s="3">
        <f t="shared" si="25"/>
        <v>2.5714209239984687E-2</v>
      </c>
      <c r="S31" s="3">
        <f t="shared" si="25"/>
        <v>2.4049182004452229E-2</v>
      </c>
      <c r="T31" s="3">
        <f t="shared" si="25"/>
        <v>1.2313220742294106E-2</v>
      </c>
      <c r="U31" s="3">
        <f t="shared" si="25"/>
        <v>1.5243518657839488E-5</v>
      </c>
      <c r="V31" s="3">
        <f t="shared" si="26"/>
        <v>1.2889047994156682E-34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3.7907003119728548E-2</v>
      </c>
      <c r="C32" s="18">
        <f t="shared" si="3"/>
        <v>3.2694648537282267E-2</v>
      </c>
      <c r="D32" s="17"/>
      <c r="F32" s="3">
        <f t="shared" si="25"/>
        <v>3.2694648537282246E-2</v>
      </c>
      <c r="G32" s="3">
        <f t="shared" si="25"/>
        <v>3.2694648537282052E-2</v>
      </c>
      <c r="H32" s="3">
        <f t="shared" si="25"/>
        <v>3.2694648537280074E-2</v>
      </c>
      <c r="I32" s="3">
        <f t="shared" si="25"/>
        <v>3.2694648537260326E-2</v>
      </c>
      <c r="J32" s="3">
        <f t="shared" si="25"/>
        <v>3.2694648537062894E-2</v>
      </c>
      <c r="K32" s="3">
        <f t="shared" si="25"/>
        <v>3.2694648535088536E-2</v>
      </c>
      <c r="L32" s="3">
        <f t="shared" si="25"/>
        <v>3.2694648515344912E-2</v>
      </c>
      <c r="M32" s="3">
        <f t="shared" si="25"/>
        <v>3.269464831790872E-2</v>
      </c>
      <c r="N32" s="3">
        <f t="shared" si="25"/>
        <v>3.2694646343546831E-2</v>
      </c>
      <c r="O32" s="3">
        <f t="shared" si="25"/>
        <v>3.2694626599934502E-2</v>
      </c>
      <c r="P32" s="3">
        <f t="shared" si="25"/>
        <v>3.2694429164466958E-2</v>
      </c>
      <c r="Q32" s="3">
        <f t="shared" si="25"/>
        <v>3.269245487536513E-2</v>
      </c>
      <c r="R32" s="3">
        <f t="shared" si="25"/>
        <v>3.2672718540238302E-2</v>
      </c>
      <c r="S32" s="3">
        <f t="shared" si="25"/>
        <v>3.2476009315659006E-2</v>
      </c>
      <c r="T32" s="3">
        <f t="shared" si="25"/>
        <v>3.0572891497042495E-2</v>
      </c>
      <c r="U32" s="3">
        <f t="shared" si="25"/>
        <v>1.6713795802285263E-2</v>
      </c>
      <c r="V32" s="3">
        <f t="shared" si="26"/>
        <v>3.9852985521718944E-5</v>
      </c>
      <c r="W32" s="3">
        <f t="shared" si="26"/>
        <v>2.3676557420593564E-31</v>
      </c>
      <c r="X32" s="3">
        <f t="shared" si="26"/>
        <v>1.2968671890861184E-293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3.8588084205067784E-2</v>
      </c>
      <c r="C33" s="18">
        <f t="shared" si="3"/>
        <v>3.3282078428276948E-2</v>
      </c>
      <c r="D33" s="17"/>
      <c r="F33" s="3">
        <f t="shared" si="25"/>
        <v>3.3282078428276941E-2</v>
      </c>
      <c r="G33" s="3">
        <f t="shared" si="25"/>
        <v>3.3282078428276927E-2</v>
      </c>
      <c r="H33" s="3">
        <f t="shared" si="25"/>
        <v>3.3282078428276747E-2</v>
      </c>
      <c r="I33" s="3">
        <f t="shared" si="25"/>
        <v>3.3282078428274936E-2</v>
      </c>
      <c r="J33" s="3">
        <f t="shared" si="25"/>
        <v>3.3282078428256805E-2</v>
      </c>
      <c r="K33" s="3">
        <f t="shared" si="25"/>
        <v>3.3282078428075498E-2</v>
      </c>
      <c r="L33" s="3">
        <f t="shared" si="25"/>
        <v>3.3282078426262462E-2</v>
      </c>
      <c r="M33" s="3">
        <f t="shared" si="25"/>
        <v>3.3282078408132069E-2</v>
      </c>
      <c r="N33" s="3">
        <f t="shared" si="25"/>
        <v>3.3282078226828174E-2</v>
      </c>
      <c r="O33" s="3">
        <f t="shared" si="25"/>
        <v>3.3282076413789295E-2</v>
      </c>
      <c r="P33" s="3">
        <f t="shared" si="25"/>
        <v>3.3282058283405899E-2</v>
      </c>
      <c r="Q33" s="3">
        <f t="shared" si="25"/>
        <v>3.3281876980115109E-2</v>
      </c>
      <c r="R33" s="3">
        <f t="shared" si="25"/>
        <v>3.3280064001526916E-2</v>
      </c>
      <c r="S33" s="3">
        <f t="shared" si="25"/>
        <v>3.3261939646513104E-2</v>
      </c>
      <c r="T33" s="3">
        <f t="shared" si="25"/>
        <v>3.3081238090150719E-2</v>
      </c>
      <c r="U33" s="3">
        <f t="shared" ref="P33:AE48" si="27">$C33*EXP(-U$15/$A33)</f>
        <v>3.1327345211880533E-2</v>
      </c>
      <c r="V33" s="3">
        <f t="shared" si="27"/>
        <v>1.8169457949737643E-2</v>
      </c>
      <c r="W33" s="3">
        <f t="shared" si="27"/>
        <v>7.8257461231728029E-5</v>
      </c>
      <c r="X33" s="3">
        <f t="shared" si="27"/>
        <v>1.7193472188044366E-28</v>
      </c>
      <c r="Y33" s="3">
        <f t="shared" si="27"/>
        <v>4.5054891445729625E-265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0.12470081833885979</v>
      </c>
      <c r="C34" s="18">
        <f t="shared" si="3"/>
        <v>0.1075539898267141</v>
      </c>
      <c r="D34" s="17"/>
      <c r="F34" s="3">
        <f t="shared" ref="F34:O48" si="28">$C34*EXP(-F$15/$A34)</f>
        <v>0.1075539898267141</v>
      </c>
      <c r="G34" s="3">
        <f t="shared" si="28"/>
        <v>0.1075539898267141</v>
      </c>
      <c r="H34" s="3">
        <f t="shared" si="28"/>
        <v>0.10755398982671405</v>
      </c>
      <c r="I34" s="3">
        <f t="shared" si="28"/>
        <v>0.10755398982671352</v>
      </c>
      <c r="J34" s="3">
        <f t="shared" si="28"/>
        <v>0.10755398982670823</v>
      </c>
      <c r="K34" s="3">
        <f t="shared" si="28"/>
        <v>0.10755398982665537</v>
      </c>
      <c r="L34" s="3">
        <f t="shared" si="28"/>
        <v>0.10755398982612685</v>
      </c>
      <c r="M34" s="3">
        <f t="shared" si="28"/>
        <v>0.10755398982084155</v>
      </c>
      <c r="N34" s="3">
        <f t="shared" si="28"/>
        <v>0.10755398976798852</v>
      </c>
      <c r="O34" s="3">
        <f t="shared" si="28"/>
        <v>0.10755398923945832</v>
      </c>
      <c r="P34" s="3">
        <f t="shared" si="27"/>
        <v>0.10755398395415647</v>
      </c>
      <c r="Q34" s="3">
        <f t="shared" si="27"/>
        <v>0.10755393110115211</v>
      </c>
      <c r="R34" s="3">
        <f t="shared" si="27"/>
        <v>0.10755340257253709</v>
      </c>
      <c r="S34" s="3">
        <f t="shared" si="27"/>
        <v>0.10754811742923262</v>
      </c>
      <c r="T34" s="3">
        <f t="shared" si="27"/>
        <v>0.10749528027815571</v>
      </c>
      <c r="U34" s="3">
        <f t="shared" si="27"/>
        <v>0.10696833437080522</v>
      </c>
      <c r="V34" s="3">
        <f t="shared" si="27"/>
        <v>0.101838877305609</v>
      </c>
      <c r="W34" s="3">
        <f t="shared" si="27"/>
        <v>6.2301327199916365E-2</v>
      </c>
      <c r="X34" s="3">
        <f t="shared" si="27"/>
        <v>4.5744012251352448E-4</v>
      </c>
      <c r="Y34" s="3">
        <f t="shared" si="27"/>
        <v>2.0830697521051761E-25</v>
      </c>
      <c r="Z34" s="3">
        <f t="shared" si="27"/>
        <v>7.9872889500547281E-239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0.15484329459265223</v>
      </c>
      <c r="C35" s="18">
        <f t="shared" si="3"/>
        <v>0.13355176295714186</v>
      </c>
      <c r="D35" s="17"/>
      <c r="F35" s="3">
        <f t="shared" si="28"/>
        <v>0.13355176295714186</v>
      </c>
      <c r="G35" s="3">
        <f t="shared" si="28"/>
        <v>0.13355176295714186</v>
      </c>
      <c r="H35" s="3">
        <f t="shared" si="28"/>
        <v>0.13355176295714186</v>
      </c>
      <c r="I35" s="3">
        <f t="shared" si="28"/>
        <v>0.1335517629571418</v>
      </c>
      <c r="J35" s="3">
        <f t="shared" si="28"/>
        <v>0.13355176295714119</v>
      </c>
      <c r="K35" s="3">
        <f t="shared" si="28"/>
        <v>0.13355176295713528</v>
      </c>
      <c r="L35" s="3">
        <f t="shared" si="28"/>
        <v>0.13355176295707608</v>
      </c>
      <c r="M35" s="3">
        <f t="shared" si="28"/>
        <v>0.13355176295648405</v>
      </c>
      <c r="N35" s="3">
        <f t="shared" si="28"/>
        <v>0.13355176295056381</v>
      </c>
      <c r="O35" s="3">
        <f t="shared" si="28"/>
        <v>0.13355176289136139</v>
      </c>
      <c r="P35" s="3">
        <f t="shared" si="27"/>
        <v>0.13355176229933713</v>
      </c>
      <c r="Q35" s="3">
        <f t="shared" si="27"/>
        <v>0.13355175637909472</v>
      </c>
      <c r="R35" s="3">
        <f t="shared" si="27"/>
        <v>0.13355169717668525</v>
      </c>
      <c r="S35" s="3">
        <f t="shared" si="27"/>
        <v>0.13355110515403371</v>
      </c>
      <c r="T35" s="3">
        <f t="shared" si="27"/>
        <v>0.13354518507185748</v>
      </c>
      <c r="U35" s="3">
        <f t="shared" si="27"/>
        <v>0.1334859986816431</v>
      </c>
      <c r="V35" s="3">
        <f t="shared" si="27"/>
        <v>0.13289557557007681</v>
      </c>
      <c r="W35" s="3">
        <f t="shared" si="27"/>
        <v>0.12713308811506188</v>
      </c>
      <c r="X35" s="3">
        <f t="shared" si="27"/>
        <v>8.1609240332050109E-2</v>
      </c>
      <c r="Y35" s="3">
        <f t="shared" si="27"/>
        <v>9.694975682611708E-4</v>
      </c>
      <c r="Z35" s="3">
        <f t="shared" si="27"/>
        <v>5.4277597116396731E-23</v>
      </c>
      <c r="AA35" s="3">
        <f t="shared" si="27"/>
        <v>1.6419483927647446E-215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0.11915012262966712</v>
      </c>
      <c r="C36" s="18">
        <f t="shared" si="3"/>
        <v>0.10276653551975504</v>
      </c>
      <c r="D36" s="17"/>
      <c r="F36" s="3">
        <f t="shared" si="28"/>
        <v>0.10276653551975504</v>
      </c>
      <c r="G36" s="3">
        <f t="shared" si="28"/>
        <v>0.10276653551975504</v>
      </c>
      <c r="H36" s="3">
        <f t="shared" si="28"/>
        <v>0.10276653551975504</v>
      </c>
      <c r="I36" s="3">
        <f t="shared" si="28"/>
        <v>0.10276653551975504</v>
      </c>
      <c r="J36" s="3">
        <f t="shared" si="28"/>
        <v>0.102766535519755</v>
      </c>
      <c r="K36" s="3">
        <f t="shared" si="28"/>
        <v>0.10276653551975458</v>
      </c>
      <c r="L36" s="3">
        <f t="shared" si="28"/>
        <v>0.10276653551975047</v>
      </c>
      <c r="M36" s="3">
        <f t="shared" si="28"/>
        <v>0.10276653551970938</v>
      </c>
      <c r="N36" s="3">
        <f t="shared" si="28"/>
        <v>0.10276653551929842</v>
      </c>
      <c r="O36" s="3">
        <f t="shared" si="28"/>
        <v>0.10276653551518894</v>
      </c>
      <c r="P36" s="3">
        <f t="shared" si="27"/>
        <v>0.10276653547409401</v>
      </c>
      <c r="Q36" s="3">
        <f t="shared" si="27"/>
        <v>0.10276653506314477</v>
      </c>
      <c r="R36" s="3">
        <f t="shared" si="27"/>
        <v>0.10276653095365247</v>
      </c>
      <c r="S36" s="3">
        <f t="shared" si="27"/>
        <v>0.10276648985873853</v>
      </c>
      <c r="T36" s="3">
        <f t="shared" si="27"/>
        <v>0.10276607891050279</v>
      </c>
      <c r="U36" s="3">
        <f t="shared" si="27"/>
        <v>0.10276196951852719</v>
      </c>
      <c r="V36" s="3">
        <f t="shared" si="27"/>
        <v>0.10272088463559759</v>
      </c>
      <c r="W36" s="3">
        <f t="shared" si="27"/>
        <v>0.10231093815330614</v>
      </c>
      <c r="X36" s="3">
        <f t="shared" si="27"/>
        <v>9.8300387097415509E-2</v>
      </c>
      <c r="Y36" s="3">
        <f t="shared" si="27"/>
        <v>6.5900216058910888E-2</v>
      </c>
      <c r="Z36" s="3">
        <f t="shared" si="27"/>
        <v>1.2083783696206327E-3</v>
      </c>
      <c r="AA36" s="3">
        <f t="shared" si="27"/>
        <v>5.1923503029812691E-21</v>
      </c>
      <c r="AB36" s="3">
        <f t="shared" si="27"/>
        <v>1.1142288610648964E-194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9.543078691356123E-2</v>
      </c>
      <c r="C37" s="18">
        <f t="shared" si="3"/>
        <v>8.2308697100650766E-2</v>
      </c>
      <c r="D37" s="17"/>
      <c r="F37" s="3">
        <f t="shared" si="28"/>
        <v>8.2308697100650766E-2</v>
      </c>
      <c r="G37" s="3">
        <f t="shared" si="28"/>
        <v>8.2308697100650766E-2</v>
      </c>
      <c r="H37" s="3">
        <f t="shared" si="28"/>
        <v>8.2308697100650766E-2</v>
      </c>
      <c r="I37" s="3">
        <f t="shared" si="28"/>
        <v>8.2308697100650766E-2</v>
      </c>
      <c r="J37" s="3">
        <f t="shared" si="28"/>
        <v>8.2308697100650766E-2</v>
      </c>
      <c r="K37" s="3">
        <f t="shared" si="28"/>
        <v>8.2308697100650724E-2</v>
      </c>
      <c r="L37" s="3">
        <f t="shared" si="28"/>
        <v>8.2308697100650433E-2</v>
      </c>
      <c r="M37" s="3">
        <f t="shared" si="28"/>
        <v>8.2308697100647463E-2</v>
      </c>
      <c r="N37" s="3">
        <f t="shared" si="28"/>
        <v>8.2308697100617778E-2</v>
      </c>
      <c r="O37" s="3">
        <f t="shared" si="28"/>
        <v>8.2308697100320863E-2</v>
      </c>
      <c r="P37" s="3">
        <f t="shared" si="27"/>
        <v>8.2308697097351738E-2</v>
      </c>
      <c r="Q37" s="3">
        <f t="shared" si="27"/>
        <v>8.2308697067660461E-2</v>
      </c>
      <c r="R37" s="3">
        <f t="shared" si="27"/>
        <v>8.2308696770747758E-2</v>
      </c>
      <c r="S37" s="3">
        <f t="shared" si="27"/>
        <v>8.2308693801620758E-2</v>
      </c>
      <c r="T37" s="3">
        <f t="shared" si="27"/>
        <v>8.2308664110356658E-2</v>
      </c>
      <c r="U37" s="3">
        <f t="shared" si="27"/>
        <v>8.2308367198304658E-2</v>
      </c>
      <c r="V37" s="3">
        <f t="shared" si="27"/>
        <v>8.2305398136691812E-2</v>
      </c>
      <c r="W37" s="3">
        <f t="shared" si="27"/>
        <v>8.2275713410493279E-2</v>
      </c>
      <c r="X37" s="3">
        <f t="shared" si="27"/>
        <v>8.1979454356124748E-2</v>
      </c>
      <c r="Y37" s="3">
        <f t="shared" si="27"/>
        <v>7.9074907009091741E-2</v>
      </c>
      <c r="Z37" s="3">
        <f t="shared" si="27"/>
        <v>5.5128395757355966E-2</v>
      </c>
      <c r="AA37" s="3">
        <f t="shared" si="27"/>
        <v>1.4953470643080033E-3</v>
      </c>
      <c r="AB37" s="3">
        <f t="shared" si="27"/>
        <v>3.2240998278210598E-19</v>
      </c>
      <c r="AC37" s="3">
        <f t="shared" si="27"/>
        <v>6.9996006053768253E-176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4.2914727423158182E-2</v>
      </c>
      <c r="C38" s="18">
        <f t="shared" si="3"/>
        <v>3.7013792035783422E-2</v>
      </c>
      <c r="D38" s="17"/>
      <c r="F38" s="3">
        <f t="shared" si="28"/>
        <v>3.7013792035783422E-2</v>
      </c>
      <c r="G38" s="3">
        <f t="shared" si="28"/>
        <v>3.7013792035783422E-2</v>
      </c>
      <c r="H38" s="3">
        <f t="shared" si="28"/>
        <v>3.7013792035783422E-2</v>
      </c>
      <c r="I38" s="3">
        <f t="shared" si="28"/>
        <v>3.7013792035783422E-2</v>
      </c>
      <c r="J38" s="3">
        <f t="shared" si="28"/>
        <v>3.7013792035783422E-2</v>
      </c>
      <c r="K38" s="3">
        <f t="shared" si="28"/>
        <v>3.7013792035783422E-2</v>
      </c>
      <c r="L38" s="3">
        <f t="shared" si="28"/>
        <v>3.7013792035783408E-2</v>
      </c>
      <c r="M38" s="3">
        <f t="shared" si="28"/>
        <v>3.7013792035783283E-2</v>
      </c>
      <c r="N38" s="3">
        <f t="shared" si="28"/>
        <v>3.7013792035782082E-2</v>
      </c>
      <c r="O38" s="3">
        <f t="shared" si="28"/>
        <v>3.7013792035770036E-2</v>
      </c>
      <c r="P38" s="3">
        <f t="shared" si="27"/>
        <v>3.7013792035649591E-2</v>
      </c>
      <c r="Q38" s="3">
        <f t="shared" si="27"/>
        <v>3.7013792034445131E-2</v>
      </c>
      <c r="R38" s="3">
        <f t="shared" si="27"/>
        <v>3.7013792022400502E-2</v>
      </c>
      <c r="S38" s="3">
        <f t="shared" si="27"/>
        <v>3.7013791901954272E-2</v>
      </c>
      <c r="T38" s="3">
        <f t="shared" si="27"/>
        <v>3.7013790697491951E-2</v>
      </c>
      <c r="U38" s="3">
        <f t="shared" si="27"/>
        <v>3.7013778652870866E-2</v>
      </c>
      <c r="V38" s="3">
        <f t="shared" si="27"/>
        <v>3.7013658206875626E-2</v>
      </c>
      <c r="W38" s="3">
        <f t="shared" si="27"/>
        <v>3.7012453768479746E-2</v>
      </c>
      <c r="X38" s="3">
        <f t="shared" si="27"/>
        <v>3.7000411539918961E-2</v>
      </c>
      <c r="Y38" s="3">
        <f t="shared" si="27"/>
        <v>3.6880204534819841E-2</v>
      </c>
      <c r="Z38" s="3">
        <f t="shared" si="27"/>
        <v>3.5699405574730211E-2</v>
      </c>
      <c r="AA38" s="3">
        <f t="shared" si="27"/>
        <v>2.5783247842133171E-2</v>
      </c>
      <c r="AB38" s="3">
        <f t="shared" si="27"/>
        <v>9.9564383344851359E-4</v>
      </c>
      <c r="AC38" s="3">
        <f t="shared" si="27"/>
        <v>7.3412135578108635E-18</v>
      </c>
      <c r="AD38" s="3">
        <f t="shared" si="27"/>
        <v>3.4866339546071994E-159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6.9472070042138054E-2</v>
      </c>
      <c r="C39" s="18">
        <f t="shared" si="3"/>
        <v>5.9919400803358086E-2</v>
      </c>
      <c r="D39" s="17"/>
      <c r="F39" s="3">
        <f t="shared" si="28"/>
        <v>5.9919400803358086E-2</v>
      </c>
      <c r="G39" s="3">
        <f t="shared" si="28"/>
        <v>5.9919400803358086E-2</v>
      </c>
      <c r="H39" s="3">
        <f t="shared" si="28"/>
        <v>5.9919400803358086E-2</v>
      </c>
      <c r="I39" s="3">
        <f t="shared" si="28"/>
        <v>5.9919400803358086E-2</v>
      </c>
      <c r="J39" s="3">
        <f t="shared" si="28"/>
        <v>5.9919400803358086E-2</v>
      </c>
      <c r="K39" s="3">
        <f t="shared" si="28"/>
        <v>5.9919400803358086E-2</v>
      </c>
      <c r="L39" s="3">
        <f t="shared" si="28"/>
        <v>5.9919400803358079E-2</v>
      </c>
      <c r="M39" s="3">
        <f t="shared" si="28"/>
        <v>5.9919400803358024E-2</v>
      </c>
      <c r="N39" s="3">
        <f t="shared" si="28"/>
        <v>5.9919400803357489E-2</v>
      </c>
      <c r="O39" s="3">
        <f t="shared" si="28"/>
        <v>5.9919400803352091E-2</v>
      </c>
      <c r="P39" s="3">
        <f t="shared" si="27"/>
        <v>5.9919400803298169E-2</v>
      </c>
      <c r="Q39" s="3">
        <f t="shared" si="27"/>
        <v>5.9919400802758892E-2</v>
      </c>
      <c r="R39" s="3">
        <f t="shared" si="27"/>
        <v>5.9919400797366143E-2</v>
      </c>
      <c r="S39" s="3">
        <f t="shared" si="27"/>
        <v>5.991940074343869E-2</v>
      </c>
      <c r="T39" s="3">
        <f t="shared" si="27"/>
        <v>5.9919400204164079E-2</v>
      </c>
      <c r="U39" s="3">
        <f t="shared" si="27"/>
        <v>5.9919394811418308E-2</v>
      </c>
      <c r="V39" s="3">
        <f t="shared" si="27"/>
        <v>5.9919340883987246E-2</v>
      </c>
      <c r="W39" s="3">
        <f t="shared" si="27"/>
        <v>5.9918801612346015E-2</v>
      </c>
      <c r="X39" s="3">
        <f t="shared" si="27"/>
        <v>5.9913409162864771E-2</v>
      </c>
      <c r="Y39" s="3">
        <f t="shared" si="27"/>
        <v>5.9859511352271064E-2</v>
      </c>
      <c r="Z39" s="3">
        <f t="shared" si="27"/>
        <v>5.9323192803714446E-2</v>
      </c>
      <c r="AA39" s="3">
        <f t="shared" si="27"/>
        <v>5.4217315913172331E-2</v>
      </c>
      <c r="AB39" s="3">
        <f t="shared" si="27"/>
        <v>2.2043115682867046E-2</v>
      </c>
      <c r="AC39" s="3">
        <f t="shared" si="27"/>
        <v>2.7203365878826357E-6</v>
      </c>
      <c r="AD39" s="3">
        <f t="shared" si="27"/>
        <v>2.2290472342613599E-45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7.498055904568092E-2</v>
      </c>
      <c r="C40" s="18">
        <f t="shared" si="3"/>
        <v>6.4670451984415095E-2</v>
      </c>
      <c r="D40" s="17"/>
      <c r="F40" s="3">
        <f t="shared" si="28"/>
        <v>6.4670451984415095E-2</v>
      </c>
      <c r="G40" s="3">
        <f t="shared" si="28"/>
        <v>6.4670451984415095E-2</v>
      </c>
      <c r="H40" s="3">
        <f t="shared" si="28"/>
        <v>6.4670451984415095E-2</v>
      </c>
      <c r="I40" s="3">
        <f t="shared" si="28"/>
        <v>6.4670451984415095E-2</v>
      </c>
      <c r="J40" s="3">
        <f t="shared" si="28"/>
        <v>6.4670451984415095E-2</v>
      </c>
      <c r="K40" s="3">
        <f t="shared" si="28"/>
        <v>6.4670451984415095E-2</v>
      </c>
      <c r="L40" s="3">
        <f t="shared" si="28"/>
        <v>6.4670451984415095E-2</v>
      </c>
      <c r="M40" s="3">
        <f t="shared" si="28"/>
        <v>6.4670451984415081E-2</v>
      </c>
      <c r="N40" s="3">
        <f t="shared" si="28"/>
        <v>6.4670451984415026E-2</v>
      </c>
      <c r="O40" s="3">
        <f t="shared" si="28"/>
        <v>6.4670451984414443E-2</v>
      </c>
      <c r="P40" s="3">
        <f t="shared" si="27"/>
        <v>6.4670451984408628E-2</v>
      </c>
      <c r="Q40" s="3">
        <f t="shared" si="27"/>
        <v>6.4670451984350424E-2</v>
      </c>
      <c r="R40" s="3">
        <f t="shared" si="27"/>
        <v>6.467045198376839E-2</v>
      </c>
      <c r="S40" s="3">
        <f t="shared" si="27"/>
        <v>6.4670451977948046E-2</v>
      </c>
      <c r="T40" s="3">
        <f t="shared" si="27"/>
        <v>6.4670451919744645E-2</v>
      </c>
      <c r="U40" s="3">
        <f t="shared" si="27"/>
        <v>6.4670451337710586E-2</v>
      </c>
      <c r="V40" s="3">
        <f t="shared" si="27"/>
        <v>6.4670445517370223E-2</v>
      </c>
      <c r="W40" s="3">
        <f t="shared" si="27"/>
        <v>6.467038731399545E-2</v>
      </c>
      <c r="X40" s="3">
        <f t="shared" si="27"/>
        <v>6.4669805283128767E-2</v>
      </c>
      <c r="Y40" s="3">
        <f t="shared" si="27"/>
        <v>6.4663985262558135E-2</v>
      </c>
      <c r="Z40" s="3">
        <f t="shared" si="27"/>
        <v>6.4605813856880953E-2</v>
      </c>
      <c r="AA40" s="3">
        <f t="shared" si="27"/>
        <v>6.4026970235653721E-2</v>
      </c>
      <c r="AB40" s="3">
        <f t="shared" si="27"/>
        <v>5.8516244796796651E-2</v>
      </c>
      <c r="AC40" s="3">
        <f t="shared" si="27"/>
        <v>2.3790929736331221E-2</v>
      </c>
      <c r="AD40" s="3">
        <f t="shared" si="27"/>
        <v>2.9360339778005946E-6</v>
      </c>
      <c r="AE40" s="3">
        <f t="shared" si="27"/>
        <v>2.4057899478563159E-45</v>
      </c>
      <c r="AF40" s="3">
        <f t="shared" si="29"/>
        <v>0</v>
      </c>
      <c r="AG40" s="3">
        <f t="shared" si="29"/>
        <v>0</v>
      </c>
      <c r="AH40" s="3">
        <f t="shared" si="29"/>
        <v>0</v>
      </c>
      <c r="AI40" s="3">
        <f t="shared" si="29"/>
        <v>0</v>
      </c>
      <c r="AJ40" s="3">
        <f t="shared" si="29"/>
        <v>0</v>
      </c>
    </row>
    <row r="41" spans="1:36" x14ac:dyDescent="0.25">
      <c r="A41" s="3">
        <f t="shared" si="30"/>
        <v>1000000000</v>
      </c>
      <c r="B41" s="106">
        <v>7.8349566122744935E-2</v>
      </c>
      <c r="C41" s="18">
        <f t="shared" si="3"/>
        <v>6.7576207998846588E-2</v>
      </c>
      <c r="D41" s="17"/>
      <c r="F41" s="3">
        <f t="shared" si="28"/>
        <v>6.7576207998846588E-2</v>
      </c>
      <c r="G41" s="3">
        <f t="shared" si="28"/>
        <v>6.7576207998846588E-2</v>
      </c>
      <c r="H41" s="3">
        <f t="shared" si="28"/>
        <v>6.7576207998846588E-2</v>
      </c>
      <c r="I41" s="3">
        <f t="shared" si="28"/>
        <v>6.7576207998846588E-2</v>
      </c>
      <c r="J41" s="3">
        <f t="shared" si="28"/>
        <v>6.7576207998846588E-2</v>
      </c>
      <c r="K41" s="3">
        <f t="shared" si="28"/>
        <v>6.7576207998846588E-2</v>
      </c>
      <c r="L41" s="3">
        <f t="shared" si="28"/>
        <v>6.7576207998846588E-2</v>
      </c>
      <c r="M41" s="3">
        <f t="shared" si="28"/>
        <v>6.7576207998846588E-2</v>
      </c>
      <c r="N41" s="3">
        <f t="shared" si="28"/>
        <v>6.7576207998846574E-2</v>
      </c>
      <c r="O41" s="3">
        <f t="shared" si="28"/>
        <v>6.7576207998846519E-2</v>
      </c>
      <c r="P41" s="3">
        <f t="shared" si="27"/>
        <v>6.7576207998845908E-2</v>
      </c>
      <c r="Q41" s="3">
        <f t="shared" si="27"/>
        <v>6.757620799883983E-2</v>
      </c>
      <c r="R41" s="3">
        <f t="shared" si="27"/>
        <v>6.7576207998779017E-2</v>
      </c>
      <c r="S41" s="3">
        <f t="shared" si="27"/>
        <v>6.7576207998170823E-2</v>
      </c>
      <c r="T41" s="3">
        <f t="shared" si="27"/>
        <v>6.7576207992088966E-2</v>
      </c>
      <c r="U41" s="3">
        <f t="shared" si="27"/>
        <v>6.757620793127038E-2</v>
      </c>
      <c r="V41" s="3">
        <f t="shared" si="27"/>
        <v>6.7576207323084517E-2</v>
      </c>
      <c r="W41" s="3">
        <f t="shared" si="27"/>
        <v>6.7576201241226125E-2</v>
      </c>
      <c r="X41" s="3">
        <f t="shared" si="27"/>
        <v>6.7576140422672376E-2</v>
      </c>
      <c r="Y41" s="3">
        <f t="shared" si="27"/>
        <v>6.7575532240145397E-2</v>
      </c>
      <c r="Z41" s="3">
        <f t="shared" si="27"/>
        <v>6.7569450715916482E-2</v>
      </c>
      <c r="AA41" s="3">
        <f t="shared" si="27"/>
        <v>6.7508665567691861E-2</v>
      </c>
      <c r="AB41" s="3">
        <f t="shared" si="27"/>
        <v>6.6903813494657266E-2</v>
      </c>
      <c r="AC41" s="3">
        <f t="shared" si="27"/>
        <v>6.1145481566337305E-2</v>
      </c>
      <c r="AD41" s="3">
        <f t="shared" si="27"/>
        <v>2.4859897635100835E-2</v>
      </c>
      <c r="AE41" s="3">
        <f t="shared" si="27"/>
        <v>3.0679550967627022E-6</v>
      </c>
      <c r="AF41" s="3">
        <f t="shared" si="29"/>
        <v>2.5138862792709626E-45</v>
      </c>
      <c r="AG41" s="3">
        <f t="shared" si="29"/>
        <v>0</v>
      </c>
      <c r="AH41" s="3">
        <f t="shared" si="29"/>
        <v>0</v>
      </c>
      <c r="AI41" s="3">
        <f t="shared" si="29"/>
        <v>0</v>
      </c>
      <c r="AJ41" s="3">
        <f t="shared" si="29"/>
        <v>0</v>
      </c>
    </row>
    <row r="42" spans="1:36" x14ac:dyDescent="0.25">
      <c r="A42" s="3">
        <f t="shared" si="30"/>
        <v>10000000000</v>
      </c>
      <c r="B42" s="106">
        <v>8.6551995145419031E-2</v>
      </c>
      <c r="C42" s="18">
        <f t="shared" si="3"/>
        <v>7.4650772379504848E-2</v>
      </c>
      <c r="D42" s="17"/>
      <c r="F42" s="3">
        <f t="shared" si="28"/>
        <v>7.4650772379504848E-2</v>
      </c>
      <c r="G42" s="3">
        <f t="shared" si="28"/>
        <v>7.4650772379504848E-2</v>
      </c>
      <c r="H42" s="3">
        <f t="shared" si="28"/>
        <v>7.4650772379504848E-2</v>
      </c>
      <c r="I42" s="3">
        <f t="shared" si="28"/>
        <v>7.4650772379504848E-2</v>
      </c>
      <c r="J42" s="3">
        <f t="shared" si="28"/>
        <v>7.4650772379504848E-2</v>
      </c>
      <c r="K42" s="3">
        <f t="shared" si="28"/>
        <v>7.4650772379504848E-2</v>
      </c>
      <c r="L42" s="3">
        <f t="shared" si="28"/>
        <v>7.4650772379504848E-2</v>
      </c>
      <c r="M42" s="3">
        <f t="shared" si="28"/>
        <v>7.4650772379504848E-2</v>
      </c>
      <c r="N42" s="3">
        <f t="shared" si="28"/>
        <v>7.4650772379504848E-2</v>
      </c>
      <c r="O42" s="3">
        <f t="shared" si="28"/>
        <v>7.4650772379504834E-2</v>
      </c>
      <c r="P42" s="3">
        <f t="shared" si="27"/>
        <v>7.4650772379504779E-2</v>
      </c>
      <c r="Q42" s="3">
        <f t="shared" si="27"/>
        <v>7.4650772379504099E-2</v>
      </c>
      <c r="R42" s="3">
        <f t="shared" si="27"/>
        <v>7.4650772379497382E-2</v>
      </c>
      <c r="S42" s="3">
        <f t="shared" si="27"/>
        <v>7.46507723794302E-2</v>
      </c>
      <c r="T42" s="3">
        <f t="shared" si="27"/>
        <v>7.4650772378758334E-2</v>
      </c>
      <c r="U42" s="3">
        <f t="shared" si="27"/>
        <v>7.4650772372039764E-2</v>
      </c>
      <c r="V42" s="3">
        <f t="shared" si="27"/>
        <v>7.4650772304854077E-2</v>
      </c>
      <c r="W42" s="3">
        <f t="shared" si="27"/>
        <v>7.4650771632997132E-2</v>
      </c>
      <c r="X42" s="3">
        <f t="shared" si="27"/>
        <v>7.4650764914427986E-2</v>
      </c>
      <c r="Y42" s="3">
        <f t="shared" si="27"/>
        <v>7.4650697728769796E-2</v>
      </c>
      <c r="Z42" s="3">
        <f t="shared" si="27"/>
        <v>7.4650025875513573E-2</v>
      </c>
      <c r="AA42" s="3">
        <f t="shared" si="27"/>
        <v>7.4643307675508322E-2</v>
      </c>
      <c r="AB42" s="3">
        <f t="shared" si="27"/>
        <v>7.4576158920072855E-2</v>
      </c>
      <c r="AC42" s="3">
        <f t="shared" si="27"/>
        <v>7.390798478357577E-2</v>
      </c>
      <c r="AD42" s="3">
        <f t="shared" si="27"/>
        <v>6.7546812134261294E-2</v>
      </c>
      <c r="AE42" s="3">
        <f t="shared" si="27"/>
        <v>2.7462484425988785E-2</v>
      </c>
      <c r="AF42" s="3">
        <f t="shared" si="29"/>
        <v>3.3891398227447644E-6</v>
      </c>
      <c r="AG42" s="3">
        <f t="shared" si="29"/>
        <v>2.7770654492039576E-45</v>
      </c>
      <c r="AH42" s="3">
        <f t="shared" si="29"/>
        <v>0</v>
      </c>
      <c r="AI42" s="3">
        <f t="shared" si="29"/>
        <v>0</v>
      </c>
      <c r="AJ42" s="3">
        <f t="shared" si="29"/>
        <v>0</v>
      </c>
    </row>
    <row r="43" spans="1:36" x14ac:dyDescent="0.25">
      <c r="A43" s="3">
        <f t="shared" si="30"/>
        <v>100000000000</v>
      </c>
      <c r="B43" s="106">
        <v>4.9203025958245439E-2</v>
      </c>
      <c r="C43" s="18">
        <f t="shared" si="3"/>
        <v>4.2437426023751848E-2</v>
      </c>
      <c r="D43" s="17"/>
      <c r="F43" s="3">
        <f t="shared" si="28"/>
        <v>4.2437426023751848E-2</v>
      </c>
      <c r="G43" s="3">
        <f t="shared" si="28"/>
        <v>4.2437426023751848E-2</v>
      </c>
      <c r="H43" s="3">
        <f t="shared" si="28"/>
        <v>4.2437426023751848E-2</v>
      </c>
      <c r="I43" s="3">
        <f t="shared" si="28"/>
        <v>4.2437426023751848E-2</v>
      </c>
      <c r="J43" s="3">
        <f t="shared" si="28"/>
        <v>4.2437426023751848E-2</v>
      </c>
      <c r="K43" s="3">
        <f t="shared" si="28"/>
        <v>4.2437426023751848E-2</v>
      </c>
      <c r="L43" s="3">
        <f t="shared" si="28"/>
        <v>4.2437426023751848E-2</v>
      </c>
      <c r="M43" s="3">
        <f t="shared" si="28"/>
        <v>4.2437426023751848E-2</v>
      </c>
      <c r="N43" s="3">
        <f t="shared" si="28"/>
        <v>4.2437426023751848E-2</v>
      </c>
      <c r="O43" s="3">
        <f t="shared" si="28"/>
        <v>4.2437426023751848E-2</v>
      </c>
      <c r="P43" s="3">
        <f t="shared" si="27"/>
        <v>4.2437426023751841E-2</v>
      </c>
      <c r="Q43" s="3">
        <f t="shared" si="27"/>
        <v>4.2437426023751806E-2</v>
      </c>
      <c r="R43" s="3">
        <f t="shared" si="27"/>
        <v>4.2437426023751425E-2</v>
      </c>
      <c r="S43" s="3">
        <f t="shared" si="27"/>
        <v>4.2437426023747601E-2</v>
      </c>
      <c r="T43" s="3">
        <f t="shared" si="27"/>
        <v>4.243742602370941E-2</v>
      </c>
      <c r="U43" s="3">
        <f t="shared" si="27"/>
        <v>4.2437426023327472E-2</v>
      </c>
      <c r="V43" s="3">
        <f t="shared" si="27"/>
        <v>4.2437426019508104E-2</v>
      </c>
      <c r="W43" s="3">
        <f t="shared" si="27"/>
        <v>4.2437425981314426E-2</v>
      </c>
      <c r="X43" s="3">
        <f t="shared" si="27"/>
        <v>4.243742559937759E-2</v>
      </c>
      <c r="Y43" s="3">
        <f t="shared" si="27"/>
        <v>4.2437421780009463E-2</v>
      </c>
      <c r="Z43" s="3">
        <f t="shared" si="27"/>
        <v>4.2437383586347042E-2</v>
      </c>
      <c r="AA43" s="3">
        <f t="shared" si="27"/>
        <v>4.2437001651613473E-2</v>
      </c>
      <c r="AB43" s="3">
        <f t="shared" si="27"/>
        <v>4.243318249332953E-2</v>
      </c>
      <c r="AC43" s="3">
        <f t="shared" si="27"/>
        <v>4.2395009809369971E-2</v>
      </c>
      <c r="AD43" s="3">
        <f t="shared" si="27"/>
        <v>4.2015166579558137E-2</v>
      </c>
      <c r="AE43" s="3">
        <f t="shared" si="27"/>
        <v>3.8398970991423656E-2</v>
      </c>
      <c r="AF43" s="3">
        <f t="shared" si="29"/>
        <v>1.5611856570372253E-2</v>
      </c>
      <c r="AG43" s="3">
        <f t="shared" si="29"/>
        <v>1.926656160778981E-6</v>
      </c>
      <c r="AH43" s="3">
        <f t="shared" si="29"/>
        <v>1.578704490351207E-45</v>
      </c>
      <c r="AI43" s="3">
        <f t="shared" si="29"/>
        <v>0</v>
      </c>
      <c r="AJ43" s="3">
        <f t="shared" si="29"/>
        <v>0</v>
      </c>
    </row>
    <row r="44" spans="1:36" x14ac:dyDescent="0.25">
      <c r="A44" s="3">
        <f t="shared" si="30"/>
        <v>1000000000000</v>
      </c>
      <c r="B44" s="106">
        <v>3.4043945380494031E-2</v>
      </c>
      <c r="C44" s="18">
        <f t="shared" si="3"/>
        <v>2.9362775672931045E-2</v>
      </c>
      <c r="D44" s="17"/>
      <c r="F44" s="3">
        <f t="shared" si="28"/>
        <v>2.9362775672931045E-2</v>
      </c>
      <c r="G44" s="3">
        <f t="shared" si="28"/>
        <v>2.9362775672931045E-2</v>
      </c>
      <c r="H44" s="3">
        <f t="shared" si="28"/>
        <v>2.9362775672931045E-2</v>
      </c>
      <c r="I44" s="3">
        <f t="shared" si="28"/>
        <v>2.9362775672931045E-2</v>
      </c>
      <c r="J44" s="3">
        <f t="shared" si="28"/>
        <v>2.9362775672931045E-2</v>
      </c>
      <c r="K44" s="3">
        <f t="shared" si="28"/>
        <v>2.9362775672931045E-2</v>
      </c>
      <c r="L44" s="3">
        <f t="shared" si="28"/>
        <v>2.9362775672931045E-2</v>
      </c>
      <c r="M44" s="3">
        <f t="shared" si="28"/>
        <v>2.9362775672931045E-2</v>
      </c>
      <c r="N44" s="3">
        <f t="shared" si="28"/>
        <v>2.9362775672931045E-2</v>
      </c>
      <c r="O44" s="3">
        <f t="shared" si="28"/>
        <v>2.9362775672931045E-2</v>
      </c>
      <c r="P44" s="3">
        <f t="shared" si="27"/>
        <v>2.9362775672931045E-2</v>
      </c>
      <c r="Q44" s="3">
        <f t="shared" si="27"/>
        <v>2.9362775672931041E-2</v>
      </c>
      <c r="R44" s="3">
        <f t="shared" si="27"/>
        <v>2.9362775672931017E-2</v>
      </c>
      <c r="S44" s="3">
        <f t="shared" si="27"/>
        <v>2.936277567293075E-2</v>
      </c>
      <c r="T44" s="3">
        <f t="shared" si="27"/>
        <v>2.9362775672928106E-2</v>
      </c>
      <c r="U44" s="3">
        <f t="shared" si="27"/>
        <v>2.9362775672901683E-2</v>
      </c>
      <c r="V44" s="3">
        <f t="shared" si="27"/>
        <v>2.9362775672637419E-2</v>
      </c>
      <c r="W44" s="3">
        <f t="shared" si="27"/>
        <v>2.9362775669994769E-2</v>
      </c>
      <c r="X44" s="3">
        <f t="shared" si="27"/>
        <v>2.9362775643568269E-2</v>
      </c>
      <c r="Y44" s="3">
        <f t="shared" si="27"/>
        <v>2.9362775379303291E-2</v>
      </c>
      <c r="Z44" s="3">
        <f t="shared" si="27"/>
        <v>2.9362772736653626E-2</v>
      </c>
      <c r="AA44" s="3">
        <f t="shared" si="27"/>
        <v>2.9362746310170055E-2</v>
      </c>
      <c r="AB44" s="3">
        <f t="shared" si="27"/>
        <v>2.9362482046642449E-2</v>
      </c>
      <c r="AC44" s="3">
        <f t="shared" si="27"/>
        <v>2.9359839542172736E-2</v>
      </c>
      <c r="AD44" s="3">
        <f t="shared" si="27"/>
        <v>2.9333427573753377E-2</v>
      </c>
      <c r="AE44" s="3">
        <f t="shared" si="27"/>
        <v>2.9070611173399499E-2</v>
      </c>
      <c r="AF44" s="3">
        <f t="shared" si="29"/>
        <v>2.6568538126264009E-2</v>
      </c>
      <c r="AG44" s="3">
        <f t="shared" si="29"/>
        <v>1.0801961505800295E-2</v>
      </c>
      <c r="AH44" s="3">
        <f t="shared" si="29"/>
        <v>1.3330679531826685E-6</v>
      </c>
      <c r="AI44" s="3">
        <f t="shared" si="29"/>
        <v>1.0923175637015982E-45</v>
      </c>
      <c r="AJ44" s="3">
        <f t="shared" si="29"/>
        <v>0</v>
      </c>
    </row>
    <row r="45" spans="1:36" x14ac:dyDescent="0.25">
      <c r="A45" s="3">
        <f t="shared" si="30"/>
        <v>10000000000000</v>
      </c>
      <c r="B45" s="106">
        <v>1.5441139307626812E-2</v>
      </c>
      <c r="C45" s="18">
        <f t="shared" si="3"/>
        <v>1.3317924951321973E-2</v>
      </c>
      <c r="D45" s="17"/>
      <c r="F45" s="3">
        <f t="shared" si="28"/>
        <v>1.3317924951321973E-2</v>
      </c>
      <c r="G45" s="3">
        <f t="shared" si="28"/>
        <v>1.3317924951321973E-2</v>
      </c>
      <c r="H45" s="3">
        <f t="shared" si="28"/>
        <v>1.3317924951321973E-2</v>
      </c>
      <c r="I45" s="3">
        <f t="shared" si="28"/>
        <v>1.3317924951321973E-2</v>
      </c>
      <c r="J45" s="3">
        <f t="shared" si="28"/>
        <v>1.3317924951321973E-2</v>
      </c>
      <c r="K45" s="3">
        <f t="shared" si="28"/>
        <v>1.3317924951321973E-2</v>
      </c>
      <c r="L45" s="3">
        <f t="shared" si="28"/>
        <v>1.3317924951321973E-2</v>
      </c>
      <c r="M45" s="3">
        <f t="shared" si="28"/>
        <v>1.3317924951321973E-2</v>
      </c>
      <c r="N45" s="3">
        <f t="shared" si="28"/>
        <v>1.3317924951321973E-2</v>
      </c>
      <c r="O45" s="3">
        <f t="shared" si="28"/>
        <v>1.3317924951321973E-2</v>
      </c>
      <c r="P45" s="3">
        <f t="shared" si="27"/>
        <v>1.3317924951321973E-2</v>
      </c>
      <c r="Q45" s="3">
        <f t="shared" si="27"/>
        <v>1.3317924951321973E-2</v>
      </c>
      <c r="R45" s="3">
        <f t="shared" si="27"/>
        <v>1.3317924951321971E-2</v>
      </c>
      <c r="S45" s="3">
        <f t="shared" si="27"/>
        <v>1.3317924951321959E-2</v>
      </c>
      <c r="T45" s="3">
        <f t="shared" si="27"/>
        <v>1.3317924951321839E-2</v>
      </c>
      <c r="U45" s="3">
        <f t="shared" si="27"/>
        <v>1.331792495132064E-2</v>
      </c>
      <c r="V45" s="3">
        <f t="shared" si="27"/>
        <v>1.3317924951308655E-2</v>
      </c>
      <c r="W45" s="3">
        <f t="shared" si="27"/>
        <v>1.3317924951188793E-2</v>
      </c>
      <c r="X45" s="3">
        <f t="shared" si="27"/>
        <v>1.331792494999018E-2</v>
      </c>
      <c r="Y45" s="3">
        <f t="shared" si="27"/>
        <v>1.3317924938004048E-2</v>
      </c>
      <c r="Z45" s="3">
        <f t="shared" si="27"/>
        <v>1.3317924818142724E-2</v>
      </c>
      <c r="AA45" s="3">
        <f t="shared" si="27"/>
        <v>1.3317923619529545E-2</v>
      </c>
      <c r="AB45" s="3">
        <f t="shared" si="27"/>
        <v>1.331791163340368E-2</v>
      </c>
      <c r="AC45" s="3">
        <f t="shared" si="27"/>
        <v>1.3317791772738353E-2</v>
      </c>
      <c r="AD45" s="3">
        <f t="shared" si="27"/>
        <v>1.3316593225414246E-2</v>
      </c>
      <c r="AE45" s="3">
        <f t="shared" si="27"/>
        <v>1.3304613683114027E-2</v>
      </c>
      <c r="AF45" s="3">
        <f t="shared" si="29"/>
        <v>1.3185409383940217E-2</v>
      </c>
      <c r="AG45" s="3">
        <f t="shared" si="29"/>
        <v>1.2050556826550856E-2</v>
      </c>
      <c r="AH45" s="3">
        <f t="shared" si="29"/>
        <v>4.8993907886555358E-3</v>
      </c>
      <c r="AI45" s="3">
        <f t="shared" si="29"/>
        <v>6.0463285737206205E-7</v>
      </c>
      <c r="AJ45" s="3">
        <f t="shared" si="29"/>
        <v>4.9543692661861332E-46</v>
      </c>
    </row>
    <row r="46" spans="1:36" x14ac:dyDescent="0.25">
      <c r="A46" s="3">
        <f t="shared" si="30"/>
        <v>100000000000000</v>
      </c>
      <c r="B46" s="106">
        <v>4.707353766996979E-3</v>
      </c>
      <c r="C46" s="18">
        <f t="shared" si="3"/>
        <v>4.0600750332731679E-3</v>
      </c>
      <c r="D46" s="17"/>
      <c r="F46" s="3">
        <f t="shared" si="28"/>
        <v>4.0600750332731679E-3</v>
      </c>
      <c r="G46" s="3">
        <f t="shared" si="28"/>
        <v>4.0600750332731679E-3</v>
      </c>
      <c r="H46" s="3">
        <f t="shared" si="28"/>
        <v>4.0600750332731679E-3</v>
      </c>
      <c r="I46" s="3">
        <f t="shared" si="28"/>
        <v>4.0600750332731679E-3</v>
      </c>
      <c r="J46" s="3">
        <f t="shared" si="28"/>
        <v>4.0600750332731679E-3</v>
      </c>
      <c r="K46" s="3">
        <f t="shared" si="28"/>
        <v>4.0600750332731679E-3</v>
      </c>
      <c r="L46" s="3">
        <f t="shared" si="28"/>
        <v>4.0600750332731679E-3</v>
      </c>
      <c r="M46" s="3">
        <f t="shared" si="28"/>
        <v>4.0600750332731679E-3</v>
      </c>
      <c r="N46" s="3">
        <f t="shared" si="28"/>
        <v>4.0600750332731679E-3</v>
      </c>
      <c r="O46" s="3">
        <f t="shared" si="28"/>
        <v>4.0600750332731679E-3</v>
      </c>
      <c r="P46" s="3">
        <f t="shared" si="27"/>
        <v>4.0600750332731679E-3</v>
      </c>
      <c r="Q46" s="3">
        <f t="shared" si="27"/>
        <v>4.0600750332731679E-3</v>
      </c>
      <c r="R46" s="3">
        <f t="shared" si="27"/>
        <v>4.0600750332731679E-3</v>
      </c>
      <c r="S46" s="3">
        <f t="shared" si="27"/>
        <v>4.060075033273167E-3</v>
      </c>
      <c r="T46" s="3">
        <f t="shared" si="27"/>
        <v>4.0600750332731635E-3</v>
      </c>
      <c r="U46" s="3">
        <f t="shared" si="27"/>
        <v>4.0600750332731271E-3</v>
      </c>
      <c r="V46" s="3">
        <f t="shared" si="27"/>
        <v>4.0600750332727619E-3</v>
      </c>
      <c r="W46" s="3">
        <f t="shared" si="27"/>
        <v>4.0600750332691077E-3</v>
      </c>
      <c r="X46" s="3">
        <f t="shared" si="27"/>
        <v>4.0600750332325675E-3</v>
      </c>
      <c r="Y46" s="3">
        <f t="shared" si="27"/>
        <v>4.0600750328671602E-3</v>
      </c>
      <c r="Z46" s="3">
        <f t="shared" si="27"/>
        <v>4.0600750292130927E-3</v>
      </c>
      <c r="AA46" s="3">
        <f t="shared" si="27"/>
        <v>4.0600749926724177E-3</v>
      </c>
      <c r="AB46" s="3">
        <f t="shared" si="27"/>
        <v>4.060074627265685E-3</v>
      </c>
      <c r="AC46" s="3">
        <f t="shared" si="27"/>
        <v>4.0600709732001644E-3</v>
      </c>
      <c r="AD46" s="3">
        <f t="shared" si="27"/>
        <v>4.0600344327258384E-3</v>
      </c>
      <c r="AE46" s="3">
        <f t="shared" si="27"/>
        <v>4.0596690460695389E-3</v>
      </c>
      <c r="AF46" s="3">
        <f t="shared" si="29"/>
        <v>4.0560169876009012E-3</v>
      </c>
      <c r="AG46" s="3">
        <f t="shared" si="29"/>
        <v>4.0196766117012476E-3</v>
      </c>
      <c r="AH46" s="3">
        <f t="shared" si="29"/>
        <v>3.6737078101391554E-3</v>
      </c>
      <c r="AI46" s="3">
        <f t="shared" si="29"/>
        <v>1.4936181343546582E-3</v>
      </c>
      <c r="AJ46" s="3">
        <f t="shared" si="29"/>
        <v>1.8432712134102017E-7</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7.6603030714526609E-3</v>
      </c>
      <c r="C48" s="18">
        <f t="shared" si="3"/>
        <v>6.6069827735831333E-3</v>
      </c>
      <c r="D48" s="17"/>
      <c r="F48" s="3">
        <f t="shared" si="28"/>
        <v>6.6069827735831333E-3</v>
      </c>
      <c r="G48" s="3">
        <f t="shared" si="28"/>
        <v>6.6069827735831333E-3</v>
      </c>
      <c r="H48" s="3">
        <f t="shared" si="28"/>
        <v>6.6069827735831333E-3</v>
      </c>
      <c r="I48" s="3">
        <f t="shared" si="28"/>
        <v>6.6069827735831333E-3</v>
      </c>
      <c r="J48" s="3">
        <f t="shared" si="28"/>
        <v>6.6069827735831333E-3</v>
      </c>
      <c r="K48" s="3">
        <f t="shared" si="28"/>
        <v>6.6069827735831333E-3</v>
      </c>
      <c r="L48" s="3">
        <f t="shared" si="28"/>
        <v>6.6069827735831333E-3</v>
      </c>
      <c r="M48" s="3">
        <f t="shared" si="28"/>
        <v>6.6069827735831333E-3</v>
      </c>
      <c r="N48" s="3">
        <f t="shared" si="28"/>
        <v>6.6069827735831333E-3</v>
      </c>
      <c r="O48" s="3">
        <f t="shared" si="28"/>
        <v>6.6069827735831333E-3</v>
      </c>
      <c r="P48" s="3">
        <f t="shared" si="27"/>
        <v>6.6069827735831333E-3</v>
      </c>
      <c r="Q48" s="3">
        <f t="shared" si="27"/>
        <v>6.6069827735831333E-3</v>
      </c>
      <c r="R48" s="3">
        <f t="shared" si="27"/>
        <v>6.6069827735831333E-3</v>
      </c>
      <c r="S48" s="3">
        <f t="shared" si="27"/>
        <v>6.6069827735831333E-3</v>
      </c>
      <c r="T48" s="3">
        <f t="shared" si="27"/>
        <v>6.6069827735831333E-3</v>
      </c>
      <c r="U48" s="3">
        <f t="shared" si="27"/>
        <v>6.6069827735831324E-3</v>
      </c>
      <c r="V48" s="3">
        <f t="shared" si="27"/>
        <v>6.6069827735831263E-3</v>
      </c>
      <c r="W48" s="3">
        <f t="shared" si="27"/>
        <v>6.6069827735830674E-3</v>
      </c>
      <c r="X48" s="3">
        <f t="shared" si="27"/>
        <v>6.6069827735824723E-3</v>
      </c>
      <c r="Y48" s="3">
        <f t="shared" si="27"/>
        <v>6.6069827735765266E-3</v>
      </c>
      <c r="Z48" s="3">
        <f t="shared" si="27"/>
        <v>6.6069827735170637E-3</v>
      </c>
      <c r="AA48" s="3">
        <f t="shared" si="27"/>
        <v>6.6069827729224352E-3</v>
      </c>
      <c r="AB48" s="3">
        <f t="shared" si="27"/>
        <v>6.606982766976151E-3</v>
      </c>
      <c r="AC48" s="3">
        <f t="shared" si="27"/>
        <v>6.6069827075133057E-3</v>
      </c>
      <c r="AD48" s="3">
        <f t="shared" si="27"/>
        <v>6.6069821128848889E-3</v>
      </c>
      <c r="AE48" s="3">
        <f t="shared" si="27"/>
        <v>6.6069761666036637E-3</v>
      </c>
      <c r="AF48" s="3">
        <f t="shared" si="29"/>
        <v>6.6069167040857454E-3</v>
      </c>
      <c r="AG48" s="3">
        <f t="shared" si="29"/>
        <v>6.6063221083395877E-3</v>
      </c>
      <c r="AH48" s="3">
        <f t="shared" si="29"/>
        <v>6.6003790932000483E-3</v>
      </c>
      <c r="AI48" s="3">
        <f t="shared" si="29"/>
        <v>6.5412421965695983E-3</v>
      </c>
      <c r="AJ48" s="3">
        <f t="shared" si="29"/>
        <v>5.978245233857025E-3</v>
      </c>
    </row>
    <row r="49" spans="1:36" x14ac:dyDescent="0.25">
      <c r="B49" s="16">
        <f>SUM(B17:B48)</f>
        <v>1.1594253131824477</v>
      </c>
      <c r="C49" s="18">
        <f>SUM(C17:C48)</f>
        <v>1.0000000000000002</v>
      </c>
      <c r="F49" s="3">
        <f t="shared" ref="F49:AJ49" si="31">F16-F17</f>
        <v>-4.7041418515618716E-2</v>
      </c>
      <c r="G49" s="3">
        <f t="shared" si="31"/>
        <v>2.5423388110539236E-2</v>
      </c>
      <c r="H49" s="3">
        <f t="shared" si="31"/>
        <v>-1.3418648417427903E-2</v>
      </c>
      <c r="I49" s="3">
        <f t="shared" si="31"/>
        <v>-2.3430231373822608E-2</v>
      </c>
      <c r="J49" s="3">
        <f t="shared" si="31"/>
        <v>-2.6258950251758506E-2</v>
      </c>
      <c r="K49" s="3">
        <f t="shared" si="31"/>
        <v>-2.7114015273582481E-2</v>
      </c>
      <c r="L49" s="3">
        <f t="shared" si="31"/>
        <v>-2.7228726178691431E-2</v>
      </c>
      <c r="M49" s="3">
        <f t="shared" si="31"/>
        <v>-2.5406152291907347E-2</v>
      </c>
      <c r="N49" s="3">
        <f t="shared" si="31"/>
        <v>-6.7446390703480574E-3</v>
      </c>
      <c r="O49" s="3">
        <f t="shared" si="31"/>
        <v>0.1544775307238524</v>
      </c>
      <c r="P49" s="3">
        <f t="shared" si="31"/>
        <v>0.10522391129234165</v>
      </c>
      <c r="Q49" s="3">
        <f t="shared" si="31"/>
        <v>-0.21649312754652783</v>
      </c>
      <c r="R49" s="3">
        <f t="shared" si="31"/>
        <v>0.27972345287071221</v>
      </c>
      <c r="S49" s="3">
        <f t="shared" si="31"/>
        <v>-0.29902976593621133</v>
      </c>
      <c r="T49" s="3">
        <f t="shared" si="31"/>
        <v>0.26681631987503351</v>
      </c>
      <c r="U49" s="3">
        <f t="shared" si="31"/>
        <v>-0.20084692638738488</v>
      </c>
      <c r="V49" s="3">
        <f t="shared" si="31"/>
        <v>0.13035635456435557</v>
      </c>
      <c r="W49" s="3">
        <f t="shared" si="31"/>
        <v>-7.5574269107164582E-2</v>
      </c>
      <c r="X49" s="3">
        <f t="shared" si="31"/>
        <v>4.0410674859231221E-2</v>
      </c>
      <c r="Y49" s="3">
        <f t="shared" si="31"/>
        <v>-2.0334977493803308E-2</v>
      </c>
      <c r="Z49" s="3">
        <f t="shared" si="31"/>
        <v>9.7588644939605729E-3</v>
      </c>
      <c r="AA49" s="3">
        <f t="shared" si="31"/>
        <v>-5.641844379624672E-3</v>
      </c>
      <c r="AB49" s="3">
        <f t="shared" si="31"/>
        <v>7.0927631345512054E-3</v>
      </c>
      <c r="AC49" s="3">
        <f t="shared" si="31"/>
        <v>-9.9770978852120606E-3</v>
      </c>
      <c r="AD49" s="3">
        <f t="shared" si="31"/>
        <v>1.0820714996498282E-2</v>
      </c>
      <c r="AE49" s="3">
        <f t="shared" si="31"/>
        <v>-1.1346195142778015E-2</v>
      </c>
      <c r="AF49" s="3">
        <f t="shared" si="31"/>
        <v>1.4066040818875081E-2</v>
      </c>
      <c r="AG49" s="3">
        <f t="shared" si="31"/>
        <v>-1.9477275393569471E-2</v>
      </c>
      <c r="AH49" s="3">
        <f t="shared" si="31"/>
        <v>2.6682013029841301E-2</v>
      </c>
      <c r="AI49" s="3">
        <f t="shared" si="31"/>
        <v>-3.5089990197462839E-2</v>
      </c>
      <c r="AJ49" s="3">
        <f t="shared" si="31"/>
        <v>2.0671148447448218E-2</v>
      </c>
    </row>
    <row r="50" spans="1:36" x14ac:dyDescent="0.25">
      <c r="F50" s="57">
        <f t="shared" ref="F50:AJ50" si="32">F49/F17</f>
        <v>-6.4552698864626995E-6</v>
      </c>
      <c r="G50" s="57">
        <f t="shared" si="32"/>
        <v>3.4887305030536616E-6</v>
      </c>
      <c r="H50" s="57">
        <f t="shared" si="32"/>
        <v>-1.8413772327124096E-6</v>
      </c>
      <c r="I50" s="57">
        <f t="shared" si="32"/>
        <v>-3.2152190951630742E-6</v>
      </c>
      <c r="J50" s="57">
        <f t="shared" si="32"/>
        <v>-3.6033907303929446E-6</v>
      </c>
      <c r="K50" s="57">
        <f t="shared" si="32"/>
        <v>-3.7207273537681833E-6</v>
      </c>
      <c r="L50" s="57">
        <f t="shared" si="32"/>
        <v>-3.736469802711667E-6</v>
      </c>
      <c r="M50" s="57">
        <f t="shared" si="32"/>
        <v>-3.4863779291935255E-6</v>
      </c>
      <c r="N50" s="57">
        <f t="shared" si="32"/>
        <v>-9.2556814435566039E-7</v>
      </c>
      <c r="O50" s="57">
        <f t="shared" si="32"/>
        <v>2.1205756862801054E-5</v>
      </c>
      <c r="P50" s="57">
        <f t="shared" si="32"/>
        <v>1.4484622236361754E-5</v>
      </c>
      <c r="Q50" s="57">
        <f t="shared" si="32"/>
        <v>-3.0262403120790793E-5</v>
      </c>
      <c r="R50" s="57">
        <f t="shared" si="32"/>
        <v>3.9893712947476337E-5</v>
      </c>
      <c r="S50" s="57">
        <f t="shared" si="32"/>
        <v>-4.3621694607390474E-5</v>
      </c>
      <c r="T50" s="57">
        <f t="shared" si="32"/>
        <v>4.002002684440513E-5</v>
      </c>
      <c r="U50" s="57">
        <f t="shared" si="32"/>
        <v>-3.1100126968137051E-5</v>
      </c>
      <c r="V50" s="57">
        <f t="shared" si="32"/>
        <v>2.103536583584723E-5</v>
      </c>
      <c r="W50" s="57">
        <f t="shared" si="32"/>
        <v>-1.3192079882844412E-5</v>
      </c>
      <c r="X50" s="57">
        <f t="shared" si="32"/>
        <v>8.231335712369133E-6</v>
      </c>
      <c r="Y50" s="57">
        <f t="shared" si="32"/>
        <v>-5.0151546972733885E-6</v>
      </c>
      <c r="Z50" s="57">
        <f t="shared" si="32"/>
        <v>2.8832050029601778E-6</v>
      </c>
      <c r="AA50" s="57">
        <f t="shared" si="32"/>
        <v>-1.9672946271879489E-6</v>
      </c>
      <c r="AB50" s="57">
        <f t="shared" si="32"/>
        <v>2.96283013790104E-6</v>
      </c>
      <c r="AC50" s="57">
        <f t="shared" si="32"/>
        <v>-5.188150983553555E-6</v>
      </c>
      <c r="AD50" s="57">
        <f t="shared" si="32"/>
        <v>7.5510110207267432E-6</v>
      </c>
      <c r="AE50" s="57">
        <f t="shared" si="32"/>
        <v>-1.222144830180863E-5</v>
      </c>
      <c r="AF50" s="57">
        <f t="shared" si="32"/>
        <v>2.6011446221475459E-5</v>
      </c>
      <c r="AG50" s="57">
        <f t="shared" si="32"/>
        <v>-6.446703499571526E-5</v>
      </c>
      <c r="AH50" s="57">
        <f t="shared" si="32"/>
        <v>1.5888828209767531E-4</v>
      </c>
      <c r="AI50" s="57">
        <f t="shared" si="32"/>
        <v>-3.0357033218400699E-4</v>
      </c>
      <c r="AJ50" s="57">
        <f t="shared" si="32"/>
        <v>2.0566079993314298E-4</v>
      </c>
    </row>
    <row r="51" spans="1:36" x14ac:dyDescent="0.25">
      <c r="A51" s="13" t="s">
        <v>21</v>
      </c>
      <c r="B51" s="3">
        <f>STUTT!D8</f>
        <v>7330.9827999999998</v>
      </c>
      <c r="E51" s="11" t="s">
        <v>24</v>
      </c>
      <c r="F51" s="20">
        <f t="shared" ref="F51:AJ51" si="33">(F16-F17)^2</f>
        <v>2.2128950559615955E-3</v>
      </c>
      <c r="G51" s="20">
        <f t="shared" si="33"/>
        <v>6.4634866301910775E-4</v>
      </c>
      <c r="H51" s="20">
        <f t="shared" si="33"/>
        <v>1.8006012535054037E-4</v>
      </c>
      <c r="I51" s="20">
        <f t="shared" si="33"/>
        <v>5.4897574223086124E-4</v>
      </c>
      <c r="J51" s="20">
        <f t="shared" si="33"/>
        <v>6.8953246832432807E-4</v>
      </c>
      <c r="K51" s="20">
        <f t="shared" si="33"/>
        <v>7.3516982425606405E-4</v>
      </c>
      <c r="L51" s="20">
        <f t="shared" si="33"/>
        <v>7.4140352931415605E-4</v>
      </c>
      <c r="M51" s="20">
        <f t="shared" si="33"/>
        <v>6.4547257427958896E-4</v>
      </c>
      <c r="N51" s="20">
        <f t="shared" si="33"/>
        <v>4.5490156189265507E-5</v>
      </c>
      <c r="O51" s="20">
        <f t="shared" si="33"/>
        <v>2.3863307498538763E-2</v>
      </c>
      <c r="P51" s="20">
        <f t="shared" si="33"/>
        <v>1.1072071507658586E-2</v>
      </c>
      <c r="Q51" s="20">
        <f t="shared" si="33"/>
        <v>4.6869274274877165E-2</v>
      </c>
      <c r="R51" s="20">
        <f t="shared" si="33"/>
        <v>7.824521008591355E-2</v>
      </c>
      <c r="S51" s="20">
        <f t="shared" si="33"/>
        <v>8.9418800915865335E-2</v>
      </c>
      <c r="T51" s="20">
        <f t="shared" si="33"/>
        <v>7.1190948551656211E-2</v>
      </c>
      <c r="U51" s="20">
        <f t="shared" si="33"/>
        <v>4.03394878392596E-2</v>
      </c>
      <c r="V51" s="20">
        <f t="shared" si="33"/>
        <v>1.6992779175307986E-2</v>
      </c>
      <c r="W51" s="20">
        <f t="shared" si="33"/>
        <v>5.7114701510821309E-3</v>
      </c>
      <c r="X51" s="20">
        <f t="shared" si="33"/>
        <v>1.6330226425785024E-3</v>
      </c>
      <c r="Y51" s="20">
        <f t="shared" si="33"/>
        <v>4.1351130967348708E-4</v>
      </c>
      <c r="Z51" s="20">
        <f t="shared" si="33"/>
        <v>9.5235436211484352E-5</v>
      </c>
      <c r="AA51" s="20">
        <f t="shared" si="33"/>
        <v>3.1830408003902499E-5</v>
      </c>
      <c r="AB51" s="20">
        <f t="shared" si="33"/>
        <v>5.0307288882848644E-5</v>
      </c>
      <c r="AC51" s="20">
        <f t="shared" si="33"/>
        <v>9.9542482211102974E-5</v>
      </c>
      <c r="AD51" s="20">
        <f t="shared" si="33"/>
        <v>1.1708787303544281E-4</v>
      </c>
      <c r="AE51" s="20">
        <f t="shared" si="33"/>
        <v>1.2873614421799942E-4</v>
      </c>
      <c r="AF51" s="20">
        <f t="shared" si="33"/>
        <v>1.9785350431825995E-4</v>
      </c>
      <c r="AG51" s="20">
        <f t="shared" si="33"/>
        <v>3.7936425675694679E-4</v>
      </c>
      <c r="AH51" s="20">
        <f t="shared" si="33"/>
        <v>7.1192981932462099E-4</v>
      </c>
      <c r="AI51" s="20">
        <f t="shared" si="33"/>
        <v>1.2313074120580381E-3</v>
      </c>
      <c r="AJ51" s="20">
        <f t="shared" si="33"/>
        <v>4.2729637813644086E-4</v>
      </c>
    </row>
    <row r="52" spans="1:36" x14ac:dyDescent="0.25">
      <c r="A52" s="13"/>
    </row>
    <row r="53" spans="1:36" x14ac:dyDescent="0.25">
      <c r="E53" s="118" t="s">
        <v>25</v>
      </c>
      <c r="F53" s="118"/>
      <c r="G53" s="104">
        <f>SUM(F51:AJ51)</f>
        <v>0.39566572309449394</v>
      </c>
      <c r="I53" s="3">
        <f>G53+C123</f>
        <v>0.39566572309449394</v>
      </c>
      <c r="K53" s="3">
        <f>SUM(Z51:AJ51)</f>
        <v>3.470491003157087E-3</v>
      </c>
    </row>
    <row r="55" spans="1:36" x14ac:dyDescent="0.25">
      <c r="E55" s="30" t="s">
        <v>30</v>
      </c>
      <c r="F55" s="31">
        <f t="shared" ref="F55:AJ55" si="34">ABS(F17-F16)/F16</f>
        <v>6.4553115572410022E-6</v>
      </c>
      <c r="G55" s="31">
        <f t="shared" si="34"/>
        <v>3.4887183318556005E-6</v>
      </c>
      <c r="H55" s="31">
        <f t="shared" si="34"/>
        <v>1.8413806233887663E-6</v>
      </c>
      <c r="I55" s="31">
        <f t="shared" si="34"/>
        <v>3.215229432830142E-6</v>
      </c>
      <c r="J55" s="31">
        <f t="shared" si="34"/>
        <v>3.6034037148644884E-6</v>
      </c>
      <c r="K55" s="31">
        <f t="shared" si="34"/>
        <v>3.7207411976317337E-6</v>
      </c>
      <c r="L55" s="31">
        <f t="shared" si="34"/>
        <v>3.7364837639704192E-6</v>
      </c>
      <c r="M55" s="31">
        <f t="shared" si="34"/>
        <v>3.4863900840669675E-6</v>
      </c>
      <c r="N55" s="31">
        <f t="shared" si="34"/>
        <v>9.2556900103284314E-7</v>
      </c>
      <c r="O55" s="31">
        <f t="shared" si="34"/>
        <v>2.1205307188212623E-5</v>
      </c>
      <c r="P55" s="31">
        <f t="shared" si="34"/>
        <v>1.4484412435119317E-5</v>
      </c>
      <c r="Q55" s="31">
        <f t="shared" si="34"/>
        <v>3.0263318961548981E-5</v>
      </c>
      <c r="R55" s="31">
        <f t="shared" si="34"/>
        <v>3.9892121502632246E-5</v>
      </c>
      <c r="S55" s="31">
        <f t="shared" si="34"/>
        <v>4.3623597542640157E-5</v>
      </c>
      <c r="T55" s="31">
        <f t="shared" si="34"/>
        <v>4.0018425305950115E-5</v>
      </c>
      <c r="U55" s="31">
        <f t="shared" si="34"/>
        <v>3.1101094216116021E-5</v>
      </c>
      <c r="V55" s="31">
        <f t="shared" si="34"/>
        <v>2.1034923358539052E-5</v>
      </c>
      <c r="W55" s="31">
        <f t="shared" si="34"/>
        <v>1.3192253916111908E-5</v>
      </c>
      <c r="X55" s="31">
        <f t="shared" si="34"/>
        <v>8.2312679580392323E-6</v>
      </c>
      <c r="Y55" s="31">
        <f t="shared" si="34"/>
        <v>5.0151798491761667E-6</v>
      </c>
      <c r="Z55" s="31">
        <f t="shared" si="34"/>
        <v>2.8831966901130563E-6</v>
      </c>
      <c r="AA55" s="31">
        <f t="shared" si="34"/>
        <v>1.9672984974437129E-6</v>
      </c>
      <c r="AB55" s="31">
        <f t="shared" si="34"/>
        <v>2.9628213595646227E-6</v>
      </c>
      <c r="AC55" s="31">
        <f t="shared" si="34"/>
        <v>5.1881779006038324E-6</v>
      </c>
      <c r="AD55" s="31">
        <f t="shared" si="34"/>
        <v>7.5509540033898464E-6</v>
      </c>
      <c r="AE55" s="31">
        <f t="shared" si="34"/>
        <v>1.2221597667432687E-5</v>
      </c>
      <c r="AF55" s="31">
        <f t="shared" si="34"/>
        <v>2.601076964373969E-5</v>
      </c>
      <c r="AG55" s="31">
        <f t="shared" si="34"/>
        <v>6.4471191262258581E-5</v>
      </c>
      <c r="AH55" s="31">
        <f t="shared" si="34"/>
        <v>1.5886304062206206E-4</v>
      </c>
      <c r="AI55" s="31">
        <f t="shared" si="34"/>
        <v>3.0366251511459216E-4</v>
      </c>
      <c r="AJ55" s="31">
        <f t="shared" si="34"/>
        <v>2.056185122654294E-4</v>
      </c>
    </row>
    <row r="56" spans="1:36" x14ac:dyDescent="0.25">
      <c r="E56" s="13" t="s">
        <v>31</v>
      </c>
      <c r="F56" s="32">
        <f>AVERAGE(F55:AJ55)</f>
        <v>3.5159200160245075E-5</v>
      </c>
    </row>
    <row r="57" spans="1:36" x14ac:dyDescent="0.25">
      <c r="A57" s="42"/>
      <c r="B57" s="15"/>
      <c r="C57" s="15"/>
      <c r="D57" s="15"/>
      <c r="F57" s="60">
        <f>AVERAGE(S55:X55)</f>
        <v>2.6200260382899415E-5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-11.767742998078067</v>
      </c>
    </row>
    <row r="119" spans="1:14" x14ac:dyDescent="0.25">
      <c r="L119" s="11">
        <f>L118+1</f>
        <v>2</v>
      </c>
      <c r="M119" s="11">
        <f t="shared" ref="M119:M124" si="35">INDEX($B$125:$K$126,1,L119)</f>
        <v>0</v>
      </c>
      <c r="N119" s="11">
        <f t="shared" ref="N119:N124" si="36">IF(L119=$B$3,0,INDEX($B$125:$K$126,2,L119))</f>
        <v>-7.8587380955255552</v>
      </c>
    </row>
    <row r="120" spans="1:14" x14ac:dyDescent="0.25">
      <c r="L120" s="11">
        <f t="shared" ref="L120:L124" si="37">L119+1</f>
        <v>3</v>
      </c>
      <c r="M120" s="11">
        <f t="shared" si="35"/>
        <v>25</v>
      </c>
      <c r="N120" s="11">
        <f t="shared" si="36"/>
        <v>-3.7354013348601445</v>
      </c>
    </row>
    <row r="121" spans="1:14" x14ac:dyDescent="0.25">
      <c r="A121" s="103">
        <f>(A165+A204+A243+A282+A321+A360+A399)*10^9</f>
        <v>4661694010754457</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8.2707313122809456</v>
      </c>
    </row>
    <row r="123" spans="1:14" x14ac:dyDescent="0.25">
      <c r="A123" s="118"/>
      <c r="B123" s="118"/>
      <c r="C123" s="3"/>
      <c r="D123" s="3"/>
      <c r="E123" s="3"/>
      <c r="F123" s="3"/>
      <c r="G123" s="3"/>
      <c r="H123" s="3"/>
      <c r="I123" s="3"/>
      <c r="J123" s="3"/>
      <c r="K123" s="3"/>
      <c r="L123" s="11">
        <f t="shared" si="37"/>
        <v>6</v>
      </c>
      <c r="M123" s="11">
        <f t="shared" si="35"/>
        <v>125</v>
      </c>
      <c r="N123" s="11">
        <f t="shared" si="36"/>
        <v>28.146332639018276</v>
      </c>
    </row>
    <row r="124" spans="1:14" x14ac:dyDescent="0.25">
      <c r="B124" s="3"/>
      <c r="C124" s="3"/>
      <c r="D124" s="3"/>
      <c r="E124" s="3"/>
      <c r="F124" s="3"/>
      <c r="G124" s="3"/>
      <c r="H124" s="3"/>
      <c r="I124" s="3"/>
      <c r="J124" s="3"/>
      <c r="K124" s="3"/>
      <c r="L124" s="11">
        <f t="shared" si="37"/>
        <v>7</v>
      </c>
      <c r="M124" s="11">
        <f t="shared" si="35"/>
        <v>160</v>
      </c>
      <c r="N124" s="11">
        <f t="shared" si="36"/>
        <v>33.046934955690347</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-11.767742998078067</v>
      </c>
      <c r="C126" s="107">
        <v>-7.8587380955255552</v>
      </c>
      <c r="D126" s="107">
        <v>-3.7354013348601445</v>
      </c>
      <c r="E126" s="107">
        <v>3.472041683558566E-5</v>
      </c>
      <c r="F126" s="107">
        <v>8.2707313122809456</v>
      </c>
      <c r="G126" s="107">
        <v>28.146332639018276</v>
      </c>
      <c r="H126" s="107">
        <v>33.046934955690347</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7287.2891982852598</v>
      </c>
      <c r="C131" s="27">
        <f t="shared" ref="C131:AF131" si="40">($C$17+SUM(C132:C162))*$B$51</f>
        <v>7287.2891982852598</v>
      </c>
      <c r="D131" s="27">
        <f t="shared" si="40"/>
        <v>7287.289198285258</v>
      </c>
      <c r="E131" s="27">
        <f t="shared" si="40"/>
        <v>7287.2891982852398</v>
      </c>
      <c r="F131" s="27">
        <f t="shared" si="40"/>
        <v>7287.289198285056</v>
      </c>
      <c r="G131" s="27">
        <f t="shared" si="40"/>
        <v>7287.2891982832152</v>
      </c>
      <c r="H131" s="27">
        <f t="shared" si="40"/>
        <v>7287.2891982648189</v>
      </c>
      <c r="I131" s="27">
        <f t="shared" si="40"/>
        <v>7287.2891980808481</v>
      </c>
      <c r="J131" s="27">
        <f t="shared" si="40"/>
        <v>7287.2891962411331</v>
      </c>
      <c r="K131" s="27">
        <f t="shared" si="40"/>
        <v>7287.2891778440098</v>
      </c>
      <c r="L131" s="27">
        <f t="shared" si="40"/>
        <v>7287.2889938730132</v>
      </c>
      <c r="M131" s="27">
        <f t="shared" si="40"/>
        <v>7287.2871541884506</v>
      </c>
      <c r="N131" s="27">
        <f t="shared" si="40"/>
        <v>7287.2687598802695</v>
      </c>
      <c r="O131" s="27">
        <f t="shared" si="40"/>
        <v>7287.0850699421007</v>
      </c>
      <c r="P131" s="27">
        <f t="shared" si="40"/>
        <v>7285.2728950028704</v>
      </c>
      <c r="Q131" s="27">
        <f t="shared" si="40"/>
        <v>7269.1408891441988</v>
      </c>
      <c r="R131" s="27">
        <f t="shared" si="40"/>
        <v>7173.3324241028331</v>
      </c>
      <c r="S131" s="27">
        <f t="shared" si="40"/>
        <v>7026.4594206203365</v>
      </c>
      <c r="T131" s="27">
        <f t="shared" si="40"/>
        <v>6876.1209653021751</v>
      </c>
      <c r="U131" s="27">
        <f t="shared" si="40"/>
        <v>6687.6358212316081</v>
      </c>
      <c r="V131" s="27">
        <f t="shared" si="40"/>
        <v>6482.7483420744393</v>
      </c>
      <c r="W131" s="27">
        <f t="shared" si="40"/>
        <v>6227.8538133271104</v>
      </c>
      <c r="X131" s="27">
        <f t="shared" si="40"/>
        <v>5801.3031964325774</v>
      </c>
      <c r="Y131" s="27">
        <f t="shared" si="40"/>
        <v>4995.3802632661282</v>
      </c>
      <c r="Z131" s="27">
        <f t="shared" si="40"/>
        <v>4125.4819038591531</v>
      </c>
      <c r="AA131" s="27">
        <f t="shared" si="40"/>
        <v>3441.3026565135769</v>
      </c>
      <c r="AB131" s="27">
        <f t="shared" si="40"/>
        <v>2910.1012990563186</v>
      </c>
      <c r="AC131" s="27">
        <f t="shared" si="40"/>
        <v>2454.8348838673942</v>
      </c>
      <c r="AD131" s="27">
        <f t="shared" si="40"/>
        <v>1978.7115676059273</v>
      </c>
      <c r="AE131" s="27">
        <f t="shared" si="40"/>
        <v>1491.179203856959</v>
      </c>
      <c r="AF131" s="27">
        <f t="shared" si="40"/>
        <v>986.26586961335408</v>
      </c>
    </row>
    <row r="132" spans="1:33" x14ac:dyDescent="0.25">
      <c r="B132" s="3">
        <f t="shared" ref="B132:Z133" si="41">$C18*EXP(-B$129/$A18/EXP(-$B$126))</f>
        <v>0</v>
      </c>
      <c r="C132" s="3">
        <f t="shared" ref="C132:AF132" si="42">$C18*EXP(-C$129/$A18/EXP(-$B$126))</f>
        <v>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8.2357212069048686E-4</v>
      </c>
      <c r="C141" s="3">
        <f t="shared" si="59"/>
        <v>8.2357212069048046E-4</v>
      </c>
      <c r="D141" s="3">
        <f t="shared" si="59"/>
        <v>8.2357212069041595E-4</v>
      </c>
      <c r="E141" s="3">
        <f t="shared" si="59"/>
        <v>8.2357212068977063E-4</v>
      </c>
      <c r="F141" s="3">
        <f t="shared" si="59"/>
        <v>8.2357212068331779E-4</v>
      </c>
      <c r="G141" s="3">
        <f t="shared" si="59"/>
        <v>8.23572120618789E-4</v>
      </c>
      <c r="H141" s="3">
        <f t="shared" si="59"/>
        <v>8.2357211997350212E-4</v>
      </c>
      <c r="I141" s="3">
        <f t="shared" si="59"/>
        <v>8.2357211352063176E-4</v>
      </c>
      <c r="J141" s="3">
        <f t="shared" si="59"/>
        <v>8.2357204899193188E-4</v>
      </c>
      <c r="K141" s="3">
        <f t="shared" si="59"/>
        <v>8.2357140370521167E-4</v>
      </c>
      <c r="L141" s="3">
        <f t="shared" si="59"/>
        <v>8.2356495086581701E-4</v>
      </c>
      <c r="M141" s="3">
        <f t="shared" si="59"/>
        <v>8.2350042525256267E-4</v>
      </c>
      <c r="N141" s="3">
        <f t="shared" si="59"/>
        <v>8.2285544710865343E-4</v>
      </c>
      <c r="O141" s="3">
        <f t="shared" si="59"/>
        <v>8.1643338411179617E-4</v>
      </c>
      <c r="P141" s="3">
        <f t="shared" si="59"/>
        <v>7.5490589813490439E-4</v>
      </c>
      <c r="Q141" s="3">
        <f t="shared" si="59"/>
        <v>3.448366808741985E-4</v>
      </c>
      <c r="R141" s="3">
        <f t="shared" si="59"/>
        <v>1.3640171579041288E-7</v>
      </c>
      <c r="S141" s="3">
        <f t="shared" si="59"/>
        <v>1.2790384606810396E-41</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2.4665844117639602E-2</v>
      </c>
      <c r="C142" s="3">
        <f t="shared" si="61"/>
        <v>2.4665844117639585E-2</v>
      </c>
      <c r="D142" s="3">
        <f t="shared" si="61"/>
        <v>2.4665844117639411E-2</v>
      </c>
      <c r="E142" s="3">
        <f t="shared" si="61"/>
        <v>2.466584411763767E-2</v>
      </c>
      <c r="F142" s="3">
        <f t="shared" si="61"/>
        <v>2.4665844117620232E-2</v>
      </c>
      <c r="G142" s="3">
        <f t="shared" si="61"/>
        <v>2.4665844117445896E-2</v>
      </c>
      <c r="H142" s="3">
        <f t="shared" si="61"/>
        <v>2.4665844115702506E-2</v>
      </c>
      <c r="I142" s="3">
        <f t="shared" si="61"/>
        <v>2.4665844098268636E-2</v>
      </c>
      <c r="J142" s="3">
        <f t="shared" si="61"/>
        <v>2.4665843923929908E-2</v>
      </c>
      <c r="K142" s="3">
        <f t="shared" si="61"/>
        <v>2.4665842180542706E-2</v>
      </c>
      <c r="L142" s="3">
        <f t="shared" si="61"/>
        <v>2.4665824746677459E-2</v>
      </c>
      <c r="M142" s="3">
        <f t="shared" si="61"/>
        <v>2.4665650408702722E-2</v>
      </c>
      <c r="N142" s="3">
        <f t="shared" si="61"/>
        <v>2.4663907096726043E-2</v>
      </c>
      <c r="O142" s="3">
        <f t="shared" si="61"/>
        <v>2.4646480752255062E-2</v>
      </c>
      <c r="P142" s="3">
        <f t="shared" si="61"/>
        <v>2.4472893068621163E-2</v>
      </c>
      <c r="Q142" s="3">
        <f t="shared" si="61"/>
        <v>2.2802858025941012E-2</v>
      </c>
      <c r="R142" s="3">
        <f t="shared" si="61"/>
        <v>1.1246800459652257E-2</v>
      </c>
      <c r="S142" s="3">
        <f t="shared" si="61"/>
        <v>9.5813357036990687E-6</v>
      </c>
      <c r="T142" s="3">
        <f t="shared" si="61"/>
        <v>1.9292865044908519E-36</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1.6291197925316764E-2</v>
      </c>
      <c r="C143" s="3">
        <f t="shared" si="63"/>
        <v>1.6291197925316761E-2</v>
      </c>
      <c r="D143" s="3">
        <f t="shared" si="63"/>
        <v>1.6291197925316754E-2</v>
      </c>
      <c r="E143" s="3">
        <f t="shared" si="63"/>
        <v>1.629119792531665E-2</v>
      </c>
      <c r="F143" s="3">
        <f t="shared" si="63"/>
        <v>1.6291197925315609E-2</v>
      </c>
      <c r="G143" s="3">
        <f t="shared" si="63"/>
        <v>1.6291197925305222E-2</v>
      </c>
      <c r="H143" s="3">
        <f t="shared" si="63"/>
        <v>1.6291197925201353E-2</v>
      </c>
      <c r="I143" s="3">
        <f t="shared" si="63"/>
        <v>1.6291197924162636E-2</v>
      </c>
      <c r="J143" s="3">
        <f t="shared" si="63"/>
        <v>1.6291197913775458E-2</v>
      </c>
      <c r="K143" s="3">
        <f t="shared" si="63"/>
        <v>1.6291197809903697E-2</v>
      </c>
      <c r="L143" s="3">
        <f t="shared" si="63"/>
        <v>1.6291196771186109E-2</v>
      </c>
      <c r="M143" s="3">
        <f t="shared" si="63"/>
        <v>1.6291186384013907E-2</v>
      </c>
      <c r="N143" s="3">
        <f t="shared" si="63"/>
        <v>1.6291082512656124E-2</v>
      </c>
      <c r="O143" s="3">
        <f t="shared" si="63"/>
        <v>1.6290043835502775E-2</v>
      </c>
      <c r="P143" s="3">
        <f t="shared" si="63"/>
        <v>1.6279660705557534E-2</v>
      </c>
      <c r="Q143" s="3">
        <f t="shared" si="63"/>
        <v>1.617619270730597E-2</v>
      </c>
      <c r="R143" s="3">
        <f t="shared" si="63"/>
        <v>1.5177000202288465E-2</v>
      </c>
      <c r="S143" s="3">
        <f t="shared" si="63"/>
        <v>8.0219918924412884E-3</v>
      </c>
      <c r="T143" s="3">
        <f t="shared" si="63"/>
        <v>1.3653531818115522E-5</v>
      </c>
      <c r="U143" s="3">
        <f t="shared" si="63"/>
        <v>2.7853058220673585E-33</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2.6847553865855696E-2</v>
      </c>
      <c r="C144" s="3">
        <f t="shared" si="65"/>
        <v>2.6847553865855696E-2</v>
      </c>
      <c r="D144" s="3">
        <f t="shared" si="65"/>
        <v>2.6847553865855692E-2</v>
      </c>
      <c r="E144" s="3">
        <f t="shared" si="65"/>
        <v>2.6847553865855679E-2</v>
      </c>
      <c r="F144" s="3">
        <f t="shared" si="65"/>
        <v>2.6847553865855522E-2</v>
      </c>
      <c r="G144" s="3">
        <f t="shared" si="65"/>
        <v>2.6847553865853978E-2</v>
      </c>
      <c r="H144" s="3">
        <f t="shared" si="65"/>
        <v>2.6847553865838539E-2</v>
      </c>
      <c r="I144" s="3">
        <f t="shared" si="65"/>
        <v>2.6847553865684121E-2</v>
      </c>
      <c r="J144" s="3">
        <f t="shared" si="65"/>
        <v>2.684755386413995E-2</v>
      </c>
      <c r="K144" s="3">
        <f t="shared" si="65"/>
        <v>2.6847553848698223E-2</v>
      </c>
      <c r="L144" s="3">
        <f t="shared" si="65"/>
        <v>2.684755369428098E-2</v>
      </c>
      <c r="M144" s="3">
        <f t="shared" si="65"/>
        <v>2.6847552150108606E-2</v>
      </c>
      <c r="N144" s="3">
        <f t="shared" si="65"/>
        <v>2.6847536708389737E-2</v>
      </c>
      <c r="O144" s="3">
        <f t="shared" si="65"/>
        <v>2.6847382291689523E-2</v>
      </c>
      <c r="P144" s="3">
        <f t="shared" si="65"/>
        <v>2.6845838173534513E-2</v>
      </c>
      <c r="Q144" s="3">
        <f t="shared" si="65"/>
        <v>2.6830401875660739E-2</v>
      </c>
      <c r="R144" s="3">
        <f t="shared" si="65"/>
        <v>2.6676526226850742E-2</v>
      </c>
      <c r="S144" s="3">
        <f t="shared" si="65"/>
        <v>2.5185481405143099E-2</v>
      </c>
      <c r="T144" s="3">
        <f t="shared" si="65"/>
        <v>1.4169680696853952E-2</v>
      </c>
      <c r="U144" s="3">
        <f t="shared" si="65"/>
        <v>4.5025457769803052E-5</v>
      </c>
      <c r="V144" s="3">
        <f t="shared" si="65"/>
        <v>4.7254031650932745E-30</v>
      </c>
      <c r="W144" s="3">
        <f t="shared" si="65"/>
        <v>7.6603070320495035E-280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2.5906186741603665E-2</v>
      </c>
      <c r="C145" s="3">
        <f t="shared" si="68"/>
        <v>2.5906186741603665E-2</v>
      </c>
      <c r="D145" s="3">
        <f t="shared" si="68"/>
        <v>2.5906186741603665E-2</v>
      </c>
      <c r="E145" s="3">
        <f t="shared" si="68"/>
        <v>2.5906186741603662E-2</v>
      </c>
      <c r="F145" s="3">
        <f t="shared" si="68"/>
        <v>2.5906186741603651E-2</v>
      </c>
      <c r="G145" s="3">
        <f t="shared" si="68"/>
        <v>2.5906186741603516E-2</v>
      </c>
      <c r="H145" s="3">
        <f t="shared" si="68"/>
        <v>2.5906186741602173E-2</v>
      </c>
      <c r="I145" s="3">
        <f t="shared" si="68"/>
        <v>2.5906186741588729E-2</v>
      </c>
      <c r="J145" s="3">
        <f t="shared" si="68"/>
        <v>2.5906186741454316E-2</v>
      </c>
      <c r="K145" s="3">
        <f t="shared" si="68"/>
        <v>2.590618674011019E-2</v>
      </c>
      <c r="L145" s="3">
        <f t="shared" si="68"/>
        <v>2.5906186726668889E-2</v>
      </c>
      <c r="M145" s="3">
        <f t="shared" si="68"/>
        <v>2.590618659225593E-2</v>
      </c>
      <c r="N145" s="3">
        <f t="shared" si="68"/>
        <v>2.5906185248126344E-2</v>
      </c>
      <c r="O145" s="3">
        <f t="shared" si="68"/>
        <v>2.5906171806834317E-2</v>
      </c>
      <c r="P145" s="3">
        <f t="shared" si="68"/>
        <v>2.5906037394297619E-2</v>
      </c>
      <c r="Q145" s="3">
        <f t="shared" si="68"/>
        <v>2.5904693307286546E-2</v>
      </c>
      <c r="R145" s="3">
        <f t="shared" si="68"/>
        <v>2.5891256272030167E-2</v>
      </c>
      <c r="S145" s="3">
        <f t="shared" si="68"/>
        <v>2.5757268669734826E-2</v>
      </c>
      <c r="T145" s="3">
        <f t="shared" si="68"/>
        <v>2.4454942983826014E-2</v>
      </c>
      <c r="U145" s="3">
        <f t="shared" si="68"/>
        <v>1.4555767845165846E-2</v>
      </c>
      <c r="V145" s="3">
        <f t="shared" si="68"/>
        <v>8.1230621632381482E-5</v>
      </c>
      <c r="W145" s="3">
        <f t="shared" si="68"/>
        <v>2.3799418275897844E-27</v>
      </c>
      <c r="X145" s="3">
        <f t="shared" si="68"/>
        <v>1.1092565257482844E-252</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3.2694648537282267E-2</v>
      </c>
      <c r="C146" s="3">
        <f t="shared" si="70"/>
        <v>3.2694648537282267E-2</v>
      </c>
      <c r="D146" s="3">
        <f t="shared" si="70"/>
        <v>3.2694648537282267E-2</v>
      </c>
      <c r="E146" s="3">
        <f t="shared" si="70"/>
        <v>3.2694648537282267E-2</v>
      </c>
      <c r="F146" s="3">
        <f t="shared" si="70"/>
        <v>3.2694648537282267E-2</v>
      </c>
      <c r="G146" s="3">
        <f t="shared" si="70"/>
        <v>3.2694648537282246E-2</v>
      </c>
      <c r="H146" s="3">
        <f t="shared" si="70"/>
        <v>3.2694648537282094E-2</v>
      </c>
      <c r="I146" s="3">
        <f t="shared" si="70"/>
        <v>3.2694648537280567E-2</v>
      </c>
      <c r="J146" s="3">
        <f t="shared" si="70"/>
        <v>3.2694648537265267E-2</v>
      </c>
      <c r="K146" s="3">
        <f t="shared" si="70"/>
        <v>3.2694648537112236E-2</v>
      </c>
      <c r="L146" s="3">
        <f t="shared" si="70"/>
        <v>3.2694648535581995E-2</v>
      </c>
      <c r="M146" s="3">
        <f t="shared" si="70"/>
        <v>3.2694648520279548E-2</v>
      </c>
      <c r="N146" s="3">
        <f t="shared" si="70"/>
        <v>3.2694648367255059E-2</v>
      </c>
      <c r="O146" s="3">
        <f t="shared" si="70"/>
        <v>3.2694646837010254E-2</v>
      </c>
      <c r="P146" s="3">
        <f t="shared" si="70"/>
        <v>3.2694631534566129E-2</v>
      </c>
      <c r="Q146" s="3">
        <f t="shared" si="70"/>
        <v>3.2694478510518772E-2</v>
      </c>
      <c r="R146" s="3">
        <f t="shared" si="70"/>
        <v>3.2692948309436407E-2</v>
      </c>
      <c r="S146" s="3">
        <f t="shared" si="70"/>
        <v>3.267765023705347E-2</v>
      </c>
      <c r="T146" s="3">
        <f t="shared" si="70"/>
        <v>3.2525062676103063E-2</v>
      </c>
      <c r="U146" s="3">
        <f t="shared" si="70"/>
        <v>3.1037830933416194E-2</v>
      </c>
      <c r="V146" s="3">
        <f t="shared" si="70"/>
        <v>1.9436746629184754E-2</v>
      </c>
      <c r="W146" s="3">
        <f t="shared" si="70"/>
        <v>1.8027922224194277E-4</v>
      </c>
      <c r="X146" s="3">
        <f t="shared" si="70"/>
        <v>8.4950648717684412E-25</v>
      </c>
      <c r="Y146" s="3">
        <f t="shared" si="70"/>
        <v>4.5853969585570384E-228</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3.3282078428276948E-2</v>
      </c>
      <c r="C147" s="3">
        <f t="shared" si="72"/>
        <v>3.3282078428276948E-2</v>
      </c>
      <c r="D147" s="3">
        <f t="shared" si="72"/>
        <v>3.3282078428276948E-2</v>
      </c>
      <c r="E147" s="3">
        <f t="shared" si="72"/>
        <v>3.3282078428276948E-2</v>
      </c>
      <c r="F147" s="3">
        <f t="shared" si="72"/>
        <v>3.3282078428276948E-2</v>
      </c>
      <c r="G147" s="3">
        <f t="shared" si="72"/>
        <v>3.3282078428276948E-2</v>
      </c>
      <c r="H147" s="3">
        <f t="shared" si="72"/>
        <v>3.3282078428276934E-2</v>
      </c>
      <c r="I147" s="3">
        <f t="shared" si="72"/>
        <v>3.3282078428276796E-2</v>
      </c>
      <c r="J147" s="3">
        <f t="shared" si="72"/>
        <v>3.3282078428275387E-2</v>
      </c>
      <c r="K147" s="3">
        <f t="shared" si="72"/>
        <v>3.3282078428261336E-2</v>
      </c>
      <c r="L147" s="3">
        <f t="shared" si="72"/>
        <v>3.3282078428120816E-2</v>
      </c>
      <c r="M147" s="3">
        <f t="shared" si="72"/>
        <v>3.3282078426715607E-2</v>
      </c>
      <c r="N147" s="3">
        <f t="shared" si="72"/>
        <v>3.32820784126635E-2</v>
      </c>
      <c r="O147" s="3">
        <f t="shared" si="72"/>
        <v>3.3282078272142482E-2</v>
      </c>
      <c r="P147" s="3">
        <f t="shared" si="72"/>
        <v>3.3282076866932353E-2</v>
      </c>
      <c r="Q147" s="3">
        <f t="shared" si="72"/>
        <v>3.3282062814834285E-2</v>
      </c>
      <c r="R147" s="3">
        <f t="shared" si="72"/>
        <v>3.328192229417988E-2</v>
      </c>
      <c r="S147" s="3">
        <f t="shared" si="72"/>
        <v>3.3280517120266674E-2</v>
      </c>
      <c r="T147" s="3">
        <f t="shared" si="72"/>
        <v>3.3266468643701565E-2</v>
      </c>
      <c r="U147" s="3">
        <f t="shared" si="72"/>
        <v>3.312630962565085E-2</v>
      </c>
      <c r="V147" s="3">
        <f t="shared" si="72"/>
        <v>3.1756791022973845E-2</v>
      </c>
      <c r="W147" s="3">
        <f t="shared" si="72"/>
        <v>2.0819589129261844E-2</v>
      </c>
      <c r="X147" s="3">
        <f t="shared" si="72"/>
        <v>3.0537085733821833E-4</v>
      </c>
      <c r="Y147" s="3">
        <f t="shared" si="72"/>
        <v>1.4072845728953094E-22</v>
      </c>
      <c r="Z147" s="3">
        <f t="shared" si="72"/>
        <v>6.0803042481497172E-206</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0.1075539898267141</v>
      </c>
      <c r="C148" s="3">
        <f t="shared" si="74"/>
        <v>0.1075539898267141</v>
      </c>
      <c r="D148" s="3">
        <f t="shared" si="74"/>
        <v>0.1075539898267141</v>
      </c>
      <c r="E148" s="3">
        <f t="shared" si="74"/>
        <v>0.1075539898267141</v>
      </c>
      <c r="F148" s="3">
        <f t="shared" si="74"/>
        <v>0.1075539898267141</v>
      </c>
      <c r="G148" s="3">
        <f t="shared" si="74"/>
        <v>0.1075539898267141</v>
      </c>
      <c r="H148" s="3">
        <f t="shared" si="74"/>
        <v>0.1075539898267141</v>
      </c>
      <c r="I148" s="3">
        <f t="shared" si="74"/>
        <v>0.10755398982671406</v>
      </c>
      <c r="J148" s="3">
        <f t="shared" si="74"/>
        <v>0.10755398982671364</v>
      </c>
      <c r="K148" s="3">
        <f t="shared" si="74"/>
        <v>0.10755398982670955</v>
      </c>
      <c r="L148" s="3">
        <f t="shared" si="74"/>
        <v>0.10755398982666858</v>
      </c>
      <c r="M148" s="3">
        <f t="shared" si="74"/>
        <v>0.10755398982625894</v>
      </c>
      <c r="N148" s="3">
        <f t="shared" si="74"/>
        <v>0.10755398982216254</v>
      </c>
      <c r="O148" s="3">
        <f t="shared" si="74"/>
        <v>0.10755398978119837</v>
      </c>
      <c r="P148" s="3">
        <f t="shared" si="74"/>
        <v>0.10755398937155687</v>
      </c>
      <c r="Q148" s="3">
        <f t="shared" si="74"/>
        <v>0.10755398527514183</v>
      </c>
      <c r="R148" s="3">
        <f t="shared" si="74"/>
        <v>0.10755394431100011</v>
      </c>
      <c r="S148" s="3">
        <f t="shared" si="74"/>
        <v>0.10755353467044101</v>
      </c>
      <c r="T148" s="3">
        <f t="shared" si="74"/>
        <v>0.10754943835065983</v>
      </c>
      <c r="U148" s="3">
        <f t="shared" si="74"/>
        <v>0.10750848373262684</v>
      </c>
      <c r="V148" s="3">
        <f t="shared" si="74"/>
        <v>0.10709979432231684</v>
      </c>
      <c r="W148" s="3">
        <f t="shared" si="74"/>
        <v>0.10309738204451881</v>
      </c>
      <c r="X148" s="3">
        <f t="shared" si="74"/>
        <v>7.0442967525502484E-2</v>
      </c>
      <c r="Y148" s="3">
        <f t="shared" si="74"/>
        <v>1.5622038358490413E-3</v>
      </c>
      <c r="Z148" s="3">
        <f t="shared" si="74"/>
        <v>4.4950887190977749E-20</v>
      </c>
      <c r="AA148" s="3">
        <f>$C34*EXP(-AA$129/$A34/EXP(-$B$126))</f>
        <v>1.7488153120123988E-185</v>
      </c>
      <c r="AB148" s="3">
        <f t="shared" si="67"/>
        <v>0</v>
      </c>
      <c r="AC148" s="3">
        <f t="shared" si="67"/>
        <v>0</v>
      </c>
      <c r="AD148" s="3">
        <f t="shared" si="67"/>
        <v>0</v>
      </c>
      <c r="AE148" s="3">
        <f t="shared" si="67"/>
        <v>0</v>
      </c>
      <c r="AF148" s="3">
        <f t="shared" si="67"/>
        <v>0</v>
      </c>
    </row>
    <row r="149" spans="1:32" x14ac:dyDescent="0.25">
      <c r="B149" s="3">
        <f t="shared" ref="B149:Z149" si="75">$C35*EXP(-B$129/$A35/EXP(-$B$126))</f>
        <v>0.13355176295714186</v>
      </c>
      <c r="C149" s="3">
        <f t="shared" si="75"/>
        <v>0.13355176295714186</v>
      </c>
      <c r="D149" s="3">
        <f t="shared" si="75"/>
        <v>0.13355176295714186</v>
      </c>
      <c r="E149" s="3">
        <f t="shared" si="75"/>
        <v>0.13355176295714186</v>
      </c>
      <c r="F149" s="3">
        <f t="shared" si="75"/>
        <v>0.13355176295714186</v>
      </c>
      <c r="G149" s="3">
        <f t="shared" si="75"/>
        <v>0.13355176295714186</v>
      </c>
      <c r="H149" s="3">
        <f t="shared" si="75"/>
        <v>0.13355176295714186</v>
      </c>
      <c r="I149" s="3">
        <f t="shared" si="75"/>
        <v>0.13355176295714186</v>
      </c>
      <c r="J149" s="3">
        <f t="shared" si="75"/>
        <v>0.1335517629571418</v>
      </c>
      <c r="K149" s="3">
        <f t="shared" si="75"/>
        <v>0.13355176295714136</v>
      </c>
      <c r="L149" s="3">
        <f t="shared" si="75"/>
        <v>0.13355176295713675</v>
      </c>
      <c r="M149" s="3">
        <f t="shared" si="75"/>
        <v>0.13355176295709087</v>
      </c>
      <c r="N149" s="3">
        <f t="shared" si="75"/>
        <v>0.13355176295663201</v>
      </c>
      <c r="O149" s="3">
        <f t="shared" si="75"/>
        <v>0.13355176295204349</v>
      </c>
      <c r="P149" s="3">
        <f t="shared" si="75"/>
        <v>0.13355176290615817</v>
      </c>
      <c r="Q149" s="3">
        <f t="shared" si="75"/>
        <v>0.1335517624473051</v>
      </c>
      <c r="R149" s="3">
        <f t="shared" si="75"/>
        <v>0.13355175785877438</v>
      </c>
      <c r="S149" s="3">
        <f t="shared" si="75"/>
        <v>0.13355171197347598</v>
      </c>
      <c r="T149" s="3">
        <f t="shared" si="75"/>
        <v>0.13355125312135888</v>
      </c>
      <c r="U149" s="3">
        <f t="shared" si="75"/>
        <v>0.13354666468689505</v>
      </c>
      <c r="V149" s="3">
        <f t="shared" si="75"/>
        <v>0.13350078901185594</v>
      </c>
      <c r="W149" s="3">
        <f t="shared" si="75"/>
        <v>0.13304289812029832</v>
      </c>
      <c r="X149" s="3">
        <f t="shared" si="75"/>
        <v>0.12854948442075853</v>
      </c>
      <c r="Y149" s="3">
        <f t="shared" si="75"/>
        <v>9.117100947479409E-2</v>
      </c>
      <c r="Z149" s="3">
        <f t="shared" si="75"/>
        <v>2.9357630957472011E-3</v>
      </c>
      <c r="AA149" s="3">
        <f t="shared" ref="AA149" si="76">$C35*EXP(-AA$129/$A35/EXP(-$B$126))</f>
        <v>3.5185476798445262E-18</v>
      </c>
      <c r="AB149" s="3">
        <f t="shared" si="67"/>
        <v>2.1517300120135084E-167</v>
      </c>
      <c r="AC149" s="3">
        <f t="shared" si="67"/>
        <v>0</v>
      </c>
      <c r="AD149" s="3">
        <f t="shared" si="67"/>
        <v>0</v>
      </c>
      <c r="AE149" s="3">
        <f t="shared" si="67"/>
        <v>0</v>
      </c>
      <c r="AF149" s="3">
        <f t="shared" si="67"/>
        <v>0</v>
      </c>
    </row>
    <row r="150" spans="1:32" x14ac:dyDescent="0.25">
      <c r="B150" s="3">
        <f t="shared" ref="B150:Z150" si="77">$C36*EXP(-B$129/$A36/EXP(-$B$126))</f>
        <v>0.10276653551975504</v>
      </c>
      <c r="C150" s="3">
        <f t="shared" si="77"/>
        <v>0.10276653551975504</v>
      </c>
      <c r="D150" s="3">
        <f t="shared" si="77"/>
        <v>0.10276653551975504</v>
      </c>
      <c r="E150" s="3">
        <f t="shared" si="77"/>
        <v>0.10276653551975504</v>
      </c>
      <c r="F150" s="3">
        <f t="shared" si="77"/>
        <v>0.10276653551975504</v>
      </c>
      <c r="G150" s="3">
        <f t="shared" si="77"/>
        <v>0.10276653551975504</v>
      </c>
      <c r="H150" s="3">
        <f t="shared" si="77"/>
        <v>0.10276653551975504</v>
      </c>
      <c r="I150" s="3">
        <f t="shared" si="77"/>
        <v>0.10276653551975504</v>
      </c>
      <c r="J150" s="3">
        <f t="shared" si="77"/>
        <v>0.10276653551975504</v>
      </c>
      <c r="K150" s="3">
        <f t="shared" si="77"/>
        <v>0.10276653551975501</v>
      </c>
      <c r="L150" s="3">
        <f t="shared" si="77"/>
        <v>0.10276653551975469</v>
      </c>
      <c r="M150" s="3">
        <f t="shared" si="77"/>
        <v>0.1027665355197515</v>
      </c>
      <c r="N150" s="3">
        <f t="shared" si="77"/>
        <v>0.10276653551971965</v>
      </c>
      <c r="O150" s="3">
        <f t="shared" si="77"/>
        <v>0.10276653551940114</v>
      </c>
      <c r="P150" s="3">
        <f t="shared" si="77"/>
        <v>0.10276653551621605</v>
      </c>
      <c r="Q150" s="3">
        <f t="shared" si="77"/>
        <v>0.1027665354843651</v>
      </c>
      <c r="R150" s="3">
        <f t="shared" si="77"/>
        <v>0.10276653516585564</v>
      </c>
      <c r="S150" s="3">
        <f t="shared" si="77"/>
        <v>0.10276653198076112</v>
      </c>
      <c r="T150" s="3">
        <f t="shared" si="77"/>
        <v>0.10276650012982134</v>
      </c>
      <c r="U150" s="3">
        <f t="shared" si="77"/>
        <v>0.10276618162096661</v>
      </c>
      <c r="V150" s="3">
        <f t="shared" si="77"/>
        <v>0.10276299658671297</v>
      </c>
      <c r="W150" s="3">
        <f t="shared" si="77"/>
        <v>0.10273115167293234</v>
      </c>
      <c r="X150" s="3">
        <f t="shared" si="77"/>
        <v>0.10241324478867156</v>
      </c>
      <c r="Y150" s="3">
        <f t="shared" si="77"/>
        <v>9.9287784587766881E-2</v>
      </c>
      <c r="Z150" s="3">
        <f t="shared" si="77"/>
        <v>7.28270572738135E-2</v>
      </c>
      <c r="AA150" s="3">
        <f t="shared" ref="AA150" si="78">$C36*EXP(-AA$129/$A36/EXP(-$B$126))</f>
        <v>3.2829341795973881E-3</v>
      </c>
      <c r="AB150" s="3">
        <f t="shared" si="67"/>
        <v>1.1375128551057241E-16</v>
      </c>
      <c r="AC150" s="3">
        <f t="shared" si="67"/>
        <v>2.8372505670312025E-151</v>
      </c>
      <c r="AD150" s="3">
        <f t="shared" si="67"/>
        <v>0</v>
      </c>
      <c r="AE150" s="3">
        <f t="shared" si="67"/>
        <v>0</v>
      </c>
      <c r="AF150" s="3">
        <f t="shared" si="67"/>
        <v>0</v>
      </c>
    </row>
    <row r="151" spans="1:32" x14ac:dyDescent="0.25">
      <c r="B151" s="3">
        <f t="shared" ref="B151:Z151" si="79">$C37*EXP(-B$129/$A37/EXP(-$B$126))</f>
        <v>8.2308697100650766E-2</v>
      </c>
      <c r="C151" s="3">
        <f t="shared" si="79"/>
        <v>8.2308697100650766E-2</v>
      </c>
      <c r="D151" s="3">
        <f t="shared" si="79"/>
        <v>8.2308697100650766E-2</v>
      </c>
      <c r="E151" s="3">
        <f t="shared" si="79"/>
        <v>8.2308697100650766E-2</v>
      </c>
      <c r="F151" s="3">
        <f t="shared" si="79"/>
        <v>8.2308697100650766E-2</v>
      </c>
      <c r="G151" s="3">
        <f t="shared" si="79"/>
        <v>8.2308697100650766E-2</v>
      </c>
      <c r="H151" s="3">
        <f t="shared" si="79"/>
        <v>8.2308697100650766E-2</v>
      </c>
      <c r="I151" s="3">
        <f t="shared" si="79"/>
        <v>8.2308697100650766E-2</v>
      </c>
      <c r="J151" s="3">
        <f t="shared" si="79"/>
        <v>8.2308697100650766E-2</v>
      </c>
      <c r="K151" s="3">
        <f t="shared" si="79"/>
        <v>8.2308697100650766E-2</v>
      </c>
      <c r="L151" s="3">
        <f t="shared" si="79"/>
        <v>8.2308697100650738E-2</v>
      </c>
      <c r="M151" s="3">
        <f t="shared" si="79"/>
        <v>8.2308697100650516E-2</v>
      </c>
      <c r="N151" s="3">
        <f t="shared" si="79"/>
        <v>8.2308697100648212E-2</v>
      </c>
      <c r="O151" s="3">
        <f t="shared" si="79"/>
        <v>8.2308697100625203E-2</v>
      </c>
      <c r="P151" s="3">
        <f t="shared" si="79"/>
        <v>8.2308697100395067E-2</v>
      </c>
      <c r="Q151" s="3">
        <f t="shared" si="79"/>
        <v>8.2308697098093825E-2</v>
      </c>
      <c r="R151" s="3">
        <f t="shared" si="79"/>
        <v>8.2308697075081372E-2</v>
      </c>
      <c r="S151" s="3">
        <f t="shared" si="79"/>
        <v>8.2308696844956827E-2</v>
      </c>
      <c r="T151" s="3">
        <f t="shared" si="79"/>
        <v>8.2308694543711466E-2</v>
      </c>
      <c r="U151" s="3">
        <f t="shared" si="79"/>
        <v>8.2308671531261299E-2</v>
      </c>
      <c r="V151" s="3">
        <f t="shared" si="79"/>
        <v>8.230844140711345E-2</v>
      </c>
      <c r="W151" s="3">
        <f t="shared" si="79"/>
        <v>8.2306140201021588E-2</v>
      </c>
      <c r="X151" s="3">
        <f t="shared" si="79"/>
        <v>8.2283131678388799E-2</v>
      </c>
      <c r="Y151" s="3">
        <f t="shared" si="79"/>
        <v>8.2053399914893563E-2</v>
      </c>
      <c r="Z151" s="3">
        <f t="shared" si="79"/>
        <v>7.9791065634061215E-2</v>
      </c>
      <c r="AA151" s="3">
        <f t="shared" ref="AA151" si="80">$C37*EXP(-AA$129/$A37/EXP(-$B$126))</f>
        <v>6.0329692048300437E-2</v>
      </c>
      <c r="AB151" s="3">
        <f t="shared" si="67"/>
        <v>3.683829664257511E-3</v>
      </c>
      <c r="AC151" s="3">
        <f t="shared" si="67"/>
        <v>2.6545069300361495E-15</v>
      </c>
      <c r="AD151" s="3">
        <f t="shared" si="67"/>
        <v>1.0019062614993973E-136</v>
      </c>
      <c r="AE151" s="3">
        <f t="shared" si="67"/>
        <v>0</v>
      </c>
      <c r="AF151" s="3">
        <f t="shared" si="67"/>
        <v>0</v>
      </c>
    </row>
    <row r="152" spans="1:32" x14ac:dyDescent="0.25">
      <c r="B152" s="3">
        <f t="shared" ref="B152:Z152" si="81">$C38*EXP(-B$129/$A38/EXP(-$B$126))</f>
        <v>3.7013792035783422E-2</v>
      </c>
      <c r="C152" s="3">
        <f t="shared" si="81"/>
        <v>3.7013792035783422E-2</v>
      </c>
      <c r="D152" s="3">
        <f t="shared" si="81"/>
        <v>3.7013792035783422E-2</v>
      </c>
      <c r="E152" s="3">
        <f t="shared" si="81"/>
        <v>3.7013792035783422E-2</v>
      </c>
      <c r="F152" s="3">
        <f t="shared" si="81"/>
        <v>3.7013792035783422E-2</v>
      </c>
      <c r="G152" s="3">
        <f t="shared" si="81"/>
        <v>3.7013792035783422E-2</v>
      </c>
      <c r="H152" s="3">
        <f t="shared" si="81"/>
        <v>3.7013792035783422E-2</v>
      </c>
      <c r="I152" s="3">
        <f t="shared" si="81"/>
        <v>3.7013792035783422E-2</v>
      </c>
      <c r="J152" s="3">
        <f t="shared" si="81"/>
        <v>3.7013792035783422E-2</v>
      </c>
      <c r="K152" s="3">
        <f t="shared" si="81"/>
        <v>3.7013792035783422E-2</v>
      </c>
      <c r="L152" s="3">
        <f t="shared" si="81"/>
        <v>3.7013792035783422E-2</v>
      </c>
      <c r="M152" s="3">
        <f t="shared" si="81"/>
        <v>3.7013792035783408E-2</v>
      </c>
      <c r="N152" s="3">
        <f t="shared" si="81"/>
        <v>3.7013792035783318E-2</v>
      </c>
      <c r="O152" s="3">
        <f t="shared" si="81"/>
        <v>3.7013792035782388E-2</v>
      </c>
      <c r="P152" s="3">
        <f t="shared" si="81"/>
        <v>3.7013792035773048E-2</v>
      </c>
      <c r="Q152" s="3">
        <f t="shared" si="81"/>
        <v>3.7013792035679699E-2</v>
      </c>
      <c r="R152" s="3">
        <f t="shared" si="81"/>
        <v>3.7013792034746168E-2</v>
      </c>
      <c r="S152" s="3">
        <f t="shared" si="81"/>
        <v>3.7013792025410885E-2</v>
      </c>
      <c r="T152" s="3">
        <f t="shared" si="81"/>
        <v>3.7013791932058081E-2</v>
      </c>
      <c r="U152" s="3">
        <f t="shared" si="81"/>
        <v>3.7013790998530027E-2</v>
      </c>
      <c r="V152" s="3">
        <f t="shared" si="81"/>
        <v>3.7013781663250797E-2</v>
      </c>
      <c r="W152" s="3">
        <f t="shared" si="81"/>
        <v>3.7013688310588003E-2</v>
      </c>
      <c r="X152" s="3">
        <f t="shared" si="81"/>
        <v>3.7012754796909436E-2</v>
      </c>
      <c r="Y152" s="3">
        <f t="shared" si="81"/>
        <v>3.7003420954942079E-2</v>
      </c>
      <c r="Z152" s="3">
        <f t="shared" si="81"/>
        <v>3.6910211896353032E-2</v>
      </c>
      <c r="AA152" s="3">
        <f t="shared" ref="AA152" si="82">$C38*EXP(-AA$129/$A38/EXP(-$B$126))</f>
        <v>3.5990937511778995E-2</v>
      </c>
      <c r="AB152" s="3">
        <f t="shared" si="67"/>
        <v>2.7967868610568377E-2</v>
      </c>
      <c r="AC152" s="3">
        <f t="shared" si="67"/>
        <v>2.2455435505199773E-3</v>
      </c>
      <c r="AD152" s="3">
        <f t="shared" si="67"/>
        <v>2.5000149055280894E-14</v>
      </c>
      <c r="AE152" s="3">
        <f t="shared" si="67"/>
        <v>7.3139797818106039E-124</v>
      </c>
      <c r="AF152" s="3">
        <f t="shared" si="67"/>
        <v>0</v>
      </c>
    </row>
    <row r="153" spans="1:32" x14ac:dyDescent="0.25">
      <c r="B153" s="3">
        <f t="shared" ref="B153:Z153" si="83">$C39*EXP(-B$129/$A39/EXP(-$B$126))</f>
        <v>5.9919400803358086E-2</v>
      </c>
      <c r="C153" s="3">
        <f t="shared" si="83"/>
        <v>5.9919400803358086E-2</v>
      </c>
      <c r="D153" s="3">
        <f t="shared" si="83"/>
        <v>5.9919400803358086E-2</v>
      </c>
      <c r="E153" s="3">
        <f t="shared" si="83"/>
        <v>5.9919400803358086E-2</v>
      </c>
      <c r="F153" s="3">
        <f t="shared" si="83"/>
        <v>5.9919400803358086E-2</v>
      </c>
      <c r="G153" s="3">
        <f t="shared" si="83"/>
        <v>5.9919400803358086E-2</v>
      </c>
      <c r="H153" s="3">
        <f t="shared" si="83"/>
        <v>5.9919400803358086E-2</v>
      </c>
      <c r="I153" s="3">
        <f t="shared" si="83"/>
        <v>5.9919400803358086E-2</v>
      </c>
      <c r="J153" s="3">
        <f t="shared" si="83"/>
        <v>5.9919400803358086E-2</v>
      </c>
      <c r="K153" s="3">
        <f t="shared" si="83"/>
        <v>5.9919400803358086E-2</v>
      </c>
      <c r="L153" s="3">
        <f t="shared" si="83"/>
        <v>5.9919400803358086E-2</v>
      </c>
      <c r="M153" s="3">
        <f t="shared" si="83"/>
        <v>5.9919400803358079E-2</v>
      </c>
      <c r="N153" s="3">
        <f t="shared" si="83"/>
        <v>5.9919400803358037E-2</v>
      </c>
      <c r="O153" s="3">
        <f t="shared" si="83"/>
        <v>5.9919400803357621E-2</v>
      </c>
      <c r="P153" s="3">
        <f t="shared" si="83"/>
        <v>5.9919400803353444E-2</v>
      </c>
      <c r="Q153" s="3">
        <f t="shared" si="83"/>
        <v>5.9919400803311644E-2</v>
      </c>
      <c r="R153" s="3">
        <f t="shared" si="83"/>
        <v>5.9919400802893673E-2</v>
      </c>
      <c r="S153" s="3">
        <f t="shared" si="83"/>
        <v>5.9919400798713988E-2</v>
      </c>
      <c r="T153" s="3">
        <f t="shared" si="83"/>
        <v>5.9919400756917082E-2</v>
      </c>
      <c r="U153" s="3">
        <f t="shared" si="83"/>
        <v>5.9919400338948034E-2</v>
      </c>
      <c r="V153" s="3">
        <f t="shared" si="83"/>
        <v>5.9919396159257725E-2</v>
      </c>
      <c r="W153" s="3">
        <f t="shared" si="83"/>
        <v>5.9919354362370683E-2</v>
      </c>
      <c r="X153" s="3">
        <f t="shared" si="83"/>
        <v>5.9918936395103768E-2</v>
      </c>
      <c r="Y153" s="3">
        <f t="shared" si="83"/>
        <v>5.9914756882785448E-2</v>
      </c>
      <c r="Z153" s="3">
        <f t="shared" si="83"/>
        <v>5.9872977790540259E-2</v>
      </c>
      <c r="AA153" s="3">
        <f t="shared" ref="AA153" si="84">$C39*EXP(-AA$129/$A39/EXP(-$B$126))</f>
        <v>5.9456785832110712E-2</v>
      </c>
      <c r="AB153" s="3">
        <f t="shared" si="67"/>
        <v>5.5450711687125523E-2</v>
      </c>
      <c r="AC153" s="3">
        <f t="shared" si="67"/>
        <v>2.7603496010482367E-2</v>
      </c>
      <c r="AD153" s="3">
        <f t="shared" si="67"/>
        <v>2.5794893436695138E-5</v>
      </c>
      <c r="AE153" s="3">
        <f t="shared" si="67"/>
        <v>1.3098761206092678E-35</v>
      </c>
      <c r="AF153" s="3">
        <f t="shared" si="67"/>
        <v>0</v>
      </c>
    </row>
    <row r="154" spans="1:32" x14ac:dyDescent="0.25">
      <c r="B154" s="3">
        <f t="shared" ref="B154:Z154" si="85">$C40*EXP(-B$129/$A40/EXP(-$B$126))</f>
        <v>6.4670451984415095E-2</v>
      </c>
      <c r="C154" s="3">
        <f t="shared" si="85"/>
        <v>6.4670451984415095E-2</v>
      </c>
      <c r="D154" s="3">
        <f t="shared" si="85"/>
        <v>6.4670451984415095E-2</v>
      </c>
      <c r="E154" s="3">
        <f t="shared" si="85"/>
        <v>6.4670451984415095E-2</v>
      </c>
      <c r="F154" s="3">
        <f t="shared" si="85"/>
        <v>6.4670451984415095E-2</v>
      </c>
      <c r="G154" s="3">
        <f t="shared" si="85"/>
        <v>6.4670451984415095E-2</v>
      </c>
      <c r="H154" s="3">
        <f t="shared" si="85"/>
        <v>6.4670451984415095E-2</v>
      </c>
      <c r="I154" s="3">
        <f t="shared" si="85"/>
        <v>6.4670451984415095E-2</v>
      </c>
      <c r="J154" s="3">
        <f t="shared" si="85"/>
        <v>6.4670451984415095E-2</v>
      </c>
      <c r="K154" s="3">
        <f t="shared" si="85"/>
        <v>6.4670451984415095E-2</v>
      </c>
      <c r="L154" s="3">
        <f t="shared" si="85"/>
        <v>6.4670451984415095E-2</v>
      </c>
      <c r="M154" s="3">
        <f t="shared" si="85"/>
        <v>6.4670451984415095E-2</v>
      </c>
      <c r="N154" s="3">
        <f t="shared" si="85"/>
        <v>6.4670451984415081E-2</v>
      </c>
      <c r="O154" s="3">
        <f t="shared" si="85"/>
        <v>6.4670451984415039E-2</v>
      </c>
      <c r="P154" s="3">
        <f t="shared" si="85"/>
        <v>6.4670451984414595E-2</v>
      </c>
      <c r="Q154" s="3">
        <f t="shared" si="85"/>
        <v>6.4670451984410085E-2</v>
      </c>
      <c r="R154" s="3">
        <f t="shared" si="85"/>
        <v>6.4670451984364968E-2</v>
      </c>
      <c r="S154" s="3">
        <f t="shared" si="85"/>
        <v>6.4670451983913857E-2</v>
      </c>
      <c r="T154" s="3">
        <f t="shared" si="85"/>
        <v>6.4670451979402757E-2</v>
      </c>
      <c r="U154" s="3">
        <f t="shared" si="85"/>
        <v>6.4670451934291745E-2</v>
      </c>
      <c r="V154" s="3">
        <f t="shared" si="85"/>
        <v>6.4670451483181637E-2</v>
      </c>
      <c r="W154" s="3">
        <f t="shared" si="85"/>
        <v>6.467044697208077E-2</v>
      </c>
      <c r="X154" s="3">
        <f t="shared" si="85"/>
        <v>6.4670401861089327E-2</v>
      </c>
      <c r="Y154" s="3">
        <f t="shared" si="85"/>
        <v>6.4669950752905617E-2</v>
      </c>
      <c r="Z154" s="3">
        <f t="shared" si="85"/>
        <v>6.466543984413356E-2</v>
      </c>
      <c r="AA154" s="3">
        <f t="shared" ref="AA154:AF154" si="86">$C40*EXP(-AA$129/$A40/EXP(-$B$126))</f>
        <v>6.462034805845529E-2</v>
      </c>
      <c r="AB154" s="3">
        <f t="shared" si="86"/>
        <v>6.4171155948670219E-2</v>
      </c>
      <c r="AC154" s="3">
        <f t="shared" si="86"/>
        <v>5.984743738396868E-2</v>
      </c>
      <c r="AD154" s="3">
        <f t="shared" si="86"/>
        <v>2.9792196507543327E-2</v>
      </c>
      <c r="AE154" s="3">
        <f t="shared" si="86"/>
        <v>2.7840188571234966E-5</v>
      </c>
      <c r="AF154" s="3">
        <f t="shared" si="86"/>
        <v>1.413737113984059E-35</v>
      </c>
    </row>
    <row r="155" spans="1:32" x14ac:dyDescent="0.25">
      <c r="B155" s="3">
        <f t="shared" ref="B155:Z155" si="87">$C41*EXP(-B$129/$A41/EXP(-$B$126))</f>
        <v>6.7576207998846588E-2</v>
      </c>
      <c r="C155" s="3">
        <f t="shared" si="87"/>
        <v>6.7576207998846588E-2</v>
      </c>
      <c r="D155" s="3">
        <f t="shared" si="87"/>
        <v>6.7576207998846588E-2</v>
      </c>
      <c r="E155" s="3">
        <f t="shared" si="87"/>
        <v>6.7576207998846588E-2</v>
      </c>
      <c r="F155" s="3">
        <f t="shared" si="87"/>
        <v>6.7576207998846588E-2</v>
      </c>
      <c r="G155" s="3">
        <f t="shared" si="87"/>
        <v>6.7576207998846588E-2</v>
      </c>
      <c r="H155" s="3">
        <f t="shared" si="87"/>
        <v>6.7576207998846588E-2</v>
      </c>
      <c r="I155" s="3">
        <f t="shared" si="87"/>
        <v>6.7576207998846588E-2</v>
      </c>
      <c r="J155" s="3">
        <f t="shared" si="87"/>
        <v>6.7576207998846588E-2</v>
      </c>
      <c r="K155" s="3">
        <f t="shared" si="87"/>
        <v>6.7576207998846588E-2</v>
      </c>
      <c r="L155" s="3">
        <f t="shared" si="87"/>
        <v>6.7576207998846588E-2</v>
      </c>
      <c r="M155" s="3">
        <f t="shared" si="87"/>
        <v>6.7576207998846588E-2</v>
      </c>
      <c r="N155" s="3">
        <f t="shared" si="87"/>
        <v>6.7576207998846588E-2</v>
      </c>
      <c r="O155" s="3">
        <f t="shared" si="87"/>
        <v>6.7576207998846574E-2</v>
      </c>
      <c r="P155" s="3">
        <f t="shared" si="87"/>
        <v>6.7576207998846533E-2</v>
      </c>
      <c r="Q155" s="3">
        <f t="shared" si="87"/>
        <v>6.7576207998846061E-2</v>
      </c>
      <c r="R155" s="3">
        <f t="shared" si="87"/>
        <v>6.7576207998841356E-2</v>
      </c>
      <c r="S155" s="3">
        <f t="shared" si="87"/>
        <v>6.7576207998794213E-2</v>
      </c>
      <c r="T155" s="3">
        <f t="shared" si="87"/>
        <v>6.7576207998322826E-2</v>
      </c>
      <c r="U155" s="3">
        <f t="shared" si="87"/>
        <v>6.7576207993609042E-2</v>
      </c>
      <c r="V155" s="3">
        <f t="shared" si="87"/>
        <v>6.7576207946471109E-2</v>
      </c>
      <c r="W155" s="3">
        <f t="shared" si="87"/>
        <v>6.757620747509184E-2</v>
      </c>
      <c r="X155" s="3">
        <f t="shared" si="87"/>
        <v>6.7576202761299345E-2</v>
      </c>
      <c r="Y155" s="3">
        <f t="shared" si="87"/>
        <v>6.7576155623392517E-2</v>
      </c>
      <c r="Z155" s="3">
        <f t="shared" si="87"/>
        <v>6.7575684246132625E-2</v>
      </c>
      <c r="AA155" s="3">
        <f t="shared" ref="AA155:AF155" si="88">$C41*EXP(-AA$129/$A41/EXP(-$B$126))</f>
        <v>6.7570970654374854E-2</v>
      </c>
      <c r="AB155" s="3">
        <f t="shared" si="88"/>
        <v>6.7523852816250451E-2</v>
      </c>
      <c r="AC155" s="3">
        <f t="shared" si="88"/>
        <v>6.7054477722821512E-2</v>
      </c>
      <c r="AD155" s="3">
        <f t="shared" si="88"/>
        <v>6.2536486954376636E-2</v>
      </c>
      <c r="AE155" s="3">
        <f t="shared" si="88"/>
        <v>3.113081177198869E-2</v>
      </c>
      <c r="AF155" s="3">
        <f t="shared" si="88"/>
        <v>2.9091096720187879E-5</v>
      </c>
    </row>
    <row r="156" spans="1:32" x14ac:dyDescent="0.25">
      <c r="B156" s="3">
        <f t="shared" ref="B156:Z156" si="89">$C42*EXP(-B$129/$A42/EXP(-$B$126))</f>
        <v>7.4650772379504848E-2</v>
      </c>
      <c r="C156" s="3">
        <f t="shared" si="89"/>
        <v>7.4650772379504848E-2</v>
      </c>
      <c r="D156" s="3">
        <f t="shared" si="89"/>
        <v>7.4650772379504848E-2</v>
      </c>
      <c r="E156" s="3">
        <f t="shared" si="89"/>
        <v>7.4650772379504848E-2</v>
      </c>
      <c r="F156" s="3">
        <f t="shared" si="89"/>
        <v>7.4650772379504848E-2</v>
      </c>
      <c r="G156" s="3">
        <f t="shared" si="89"/>
        <v>7.4650772379504848E-2</v>
      </c>
      <c r="H156" s="3">
        <f t="shared" si="89"/>
        <v>7.4650772379504848E-2</v>
      </c>
      <c r="I156" s="3">
        <f t="shared" si="89"/>
        <v>7.4650772379504848E-2</v>
      </c>
      <c r="J156" s="3">
        <f t="shared" si="89"/>
        <v>7.4650772379504848E-2</v>
      </c>
      <c r="K156" s="3">
        <f t="shared" si="89"/>
        <v>7.4650772379504848E-2</v>
      </c>
      <c r="L156" s="3">
        <f t="shared" si="89"/>
        <v>7.4650772379504848E-2</v>
      </c>
      <c r="M156" s="3">
        <f t="shared" si="89"/>
        <v>7.4650772379504848E-2</v>
      </c>
      <c r="N156" s="3">
        <f t="shared" si="89"/>
        <v>7.4650772379504848E-2</v>
      </c>
      <c r="O156" s="3">
        <f t="shared" si="89"/>
        <v>7.4650772379504848E-2</v>
      </c>
      <c r="P156" s="3">
        <f t="shared" si="89"/>
        <v>7.4650772379504834E-2</v>
      </c>
      <c r="Q156" s="3">
        <f t="shared" si="89"/>
        <v>7.4650772379504793E-2</v>
      </c>
      <c r="R156" s="3">
        <f t="shared" si="89"/>
        <v>7.4650772379504265E-2</v>
      </c>
      <c r="S156" s="3">
        <f t="shared" si="89"/>
        <v>7.4650772379499061E-2</v>
      </c>
      <c r="T156" s="3">
        <f t="shared" si="89"/>
        <v>7.4650772379446992E-2</v>
      </c>
      <c r="U156" s="3">
        <f t="shared" si="89"/>
        <v>7.4650772378926256E-2</v>
      </c>
      <c r="V156" s="3">
        <f t="shared" si="89"/>
        <v>7.4650772373718977E-2</v>
      </c>
      <c r="W156" s="3">
        <f t="shared" si="89"/>
        <v>7.4650772321646172E-2</v>
      </c>
      <c r="X156" s="3">
        <f t="shared" si="89"/>
        <v>7.4650771800918128E-2</v>
      </c>
      <c r="Y156" s="3">
        <f t="shared" si="89"/>
        <v>7.4650766593637924E-2</v>
      </c>
      <c r="Z156" s="3">
        <f t="shared" si="89"/>
        <v>7.4650714520855838E-2</v>
      </c>
      <c r="AA156" s="3">
        <f t="shared" ref="AA156:AF156" si="90">$C42*EXP(-AA$129/$A42/EXP(-$B$126))</f>
        <v>7.4650193795032724E-2</v>
      </c>
      <c r="AB156" s="3">
        <f t="shared" si="90"/>
        <v>7.4644986736575034E-2</v>
      </c>
      <c r="AC156" s="3">
        <f t="shared" si="90"/>
        <v>7.4592936124192349E-2</v>
      </c>
      <c r="AD156" s="3">
        <f t="shared" si="90"/>
        <v>7.4074422074679971E-2</v>
      </c>
      <c r="AE156" s="3">
        <f t="shared" si="90"/>
        <v>6.9083442106202902E-2</v>
      </c>
      <c r="AF156" s="3">
        <f t="shared" si="90"/>
        <v>3.4389901599977367E-2</v>
      </c>
    </row>
    <row r="157" spans="1:32" x14ac:dyDescent="0.25">
      <c r="B157" s="3">
        <f t="shared" ref="B157:Z157" si="91">$C43*EXP(-B$129/$A43/EXP(-$B$126))</f>
        <v>4.2437426023751848E-2</v>
      </c>
      <c r="C157" s="3">
        <f t="shared" si="91"/>
        <v>4.2437426023751848E-2</v>
      </c>
      <c r="D157" s="3">
        <f t="shared" si="91"/>
        <v>4.2437426023751848E-2</v>
      </c>
      <c r="E157" s="3">
        <f t="shared" si="91"/>
        <v>4.2437426023751848E-2</v>
      </c>
      <c r="F157" s="3">
        <f t="shared" si="91"/>
        <v>4.2437426023751848E-2</v>
      </c>
      <c r="G157" s="3">
        <f t="shared" si="91"/>
        <v>4.2437426023751848E-2</v>
      </c>
      <c r="H157" s="3">
        <f t="shared" si="91"/>
        <v>4.2437426023751848E-2</v>
      </c>
      <c r="I157" s="3">
        <f t="shared" si="91"/>
        <v>4.2437426023751848E-2</v>
      </c>
      <c r="J157" s="3">
        <f t="shared" si="91"/>
        <v>4.2437426023751848E-2</v>
      </c>
      <c r="K157" s="3">
        <f t="shared" si="91"/>
        <v>4.2437426023751848E-2</v>
      </c>
      <c r="L157" s="3">
        <f t="shared" si="91"/>
        <v>4.2437426023751848E-2</v>
      </c>
      <c r="M157" s="3">
        <f t="shared" si="91"/>
        <v>4.2437426023751848E-2</v>
      </c>
      <c r="N157" s="3">
        <f t="shared" si="91"/>
        <v>4.2437426023751848E-2</v>
      </c>
      <c r="O157" s="3">
        <f t="shared" si="91"/>
        <v>4.2437426023751848E-2</v>
      </c>
      <c r="P157" s="3">
        <f t="shared" si="91"/>
        <v>4.2437426023751848E-2</v>
      </c>
      <c r="Q157" s="3">
        <f t="shared" si="91"/>
        <v>4.2437426023751841E-2</v>
      </c>
      <c r="R157" s="3">
        <f t="shared" si="91"/>
        <v>4.2437426023751813E-2</v>
      </c>
      <c r="S157" s="3">
        <f t="shared" si="91"/>
        <v>4.2437426023751515E-2</v>
      </c>
      <c r="T157" s="3">
        <f t="shared" si="91"/>
        <v>4.2437426023748559E-2</v>
      </c>
      <c r="U157" s="3">
        <f t="shared" si="91"/>
        <v>4.2437426023718958E-2</v>
      </c>
      <c r="V157" s="3">
        <f t="shared" si="91"/>
        <v>4.2437426023422931E-2</v>
      </c>
      <c r="W157" s="3">
        <f t="shared" si="91"/>
        <v>4.2437426020462701E-2</v>
      </c>
      <c r="X157" s="3">
        <f t="shared" si="91"/>
        <v>4.2437425990860388E-2</v>
      </c>
      <c r="Y157" s="3">
        <f t="shared" si="91"/>
        <v>4.2437425694837223E-2</v>
      </c>
      <c r="Z157" s="3">
        <f t="shared" si="91"/>
        <v>4.2437422734605712E-2</v>
      </c>
      <c r="AA157" s="3">
        <f t="shared" ref="AA157:AF157" si="92">$C43*EXP(-AA$129/$A43/EXP(-$B$126))</f>
        <v>4.2437393132301986E-2</v>
      </c>
      <c r="AB157" s="3">
        <f t="shared" si="92"/>
        <v>4.2437097110400362E-2</v>
      </c>
      <c r="AC157" s="3">
        <f t="shared" si="92"/>
        <v>4.2434137004951272E-2</v>
      </c>
      <c r="AD157" s="3">
        <f t="shared" si="92"/>
        <v>4.2404547304241258E-2</v>
      </c>
      <c r="AE157" s="3">
        <f t="shared" si="92"/>
        <v>4.2109782750344979E-2</v>
      </c>
      <c r="AF157" s="3">
        <f t="shared" si="92"/>
        <v>3.9272513470376705E-2</v>
      </c>
    </row>
    <row r="158" spans="1:32" x14ac:dyDescent="0.25">
      <c r="B158" s="3">
        <f t="shared" ref="B158:Z158" si="93">$C44*EXP(-B$129/$A44/EXP(-$B$126))</f>
        <v>2.9362775672931045E-2</v>
      </c>
      <c r="C158" s="3">
        <f t="shared" si="93"/>
        <v>2.9362775672931045E-2</v>
      </c>
      <c r="D158" s="3">
        <f t="shared" si="93"/>
        <v>2.9362775672931045E-2</v>
      </c>
      <c r="E158" s="3">
        <f t="shared" si="93"/>
        <v>2.9362775672931045E-2</v>
      </c>
      <c r="F158" s="3">
        <f t="shared" si="93"/>
        <v>2.9362775672931045E-2</v>
      </c>
      <c r="G158" s="3">
        <f t="shared" si="93"/>
        <v>2.9362775672931045E-2</v>
      </c>
      <c r="H158" s="3">
        <f t="shared" si="93"/>
        <v>2.9362775672931045E-2</v>
      </c>
      <c r="I158" s="3">
        <f t="shared" si="93"/>
        <v>2.9362775672931045E-2</v>
      </c>
      <c r="J158" s="3">
        <f t="shared" si="93"/>
        <v>2.9362775672931045E-2</v>
      </c>
      <c r="K158" s="3">
        <f t="shared" si="93"/>
        <v>2.9362775672931045E-2</v>
      </c>
      <c r="L158" s="3">
        <f t="shared" si="93"/>
        <v>2.9362775672931045E-2</v>
      </c>
      <c r="M158" s="3">
        <f t="shared" si="93"/>
        <v>2.9362775672931045E-2</v>
      </c>
      <c r="N158" s="3">
        <f t="shared" si="93"/>
        <v>2.9362775672931045E-2</v>
      </c>
      <c r="O158" s="3">
        <f t="shared" si="93"/>
        <v>2.9362775672931045E-2</v>
      </c>
      <c r="P158" s="3">
        <f t="shared" si="93"/>
        <v>2.9362775672931045E-2</v>
      </c>
      <c r="Q158" s="3">
        <f t="shared" si="93"/>
        <v>2.9362775672931045E-2</v>
      </c>
      <c r="R158" s="3">
        <f t="shared" si="93"/>
        <v>2.9362775672931041E-2</v>
      </c>
      <c r="S158" s="3">
        <f t="shared" si="93"/>
        <v>2.9362775672931021E-2</v>
      </c>
      <c r="T158" s="3">
        <f t="shared" si="93"/>
        <v>2.9362775672930816E-2</v>
      </c>
      <c r="U158" s="3">
        <f t="shared" si="93"/>
        <v>2.9362775672928769E-2</v>
      </c>
      <c r="V158" s="3">
        <f t="shared" si="93"/>
        <v>2.9362775672908289E-2</v>
      </c>
      <c r="W158" s="3">
        <f t="shared" si="93"/>
        <v>2.9362775672703467E-2</v>
      </c>
      <c r="X158" s="3">
        <f t="shared" si="93"/>
        <v>2.9362775670655261E-2</v>
      </c>
      <c r="Y158" s="3">
        <f t="shared" si="93"/>
        <v>2.9362775650173194E-2</v>
      </c>
      <c r="Z158" s="3">
        <f t="shared" si="93"/>
        <v>2.936277544535253E-2</v>
      </c>
      <c r="AA158" s="3">
        <f t="shared" ref="AA158:AF158" si="94">$C44*EXP(-AA$129/$A44/EXP(-$B$126))</f>
        <v>2.9362773397145984E-2</v>
      </c>
      <c r="AB158" s="3">
        <f t="shared" si="94"/>
        <v>2.9362752915088393E-2</v>
      </c>
      <c r="AC158" s="3">
        <f t="shared" si="94"/>
        <v>2.9362548095298271E-2</v>
      </c>
      <c r="AD158" s="3">
        <f t="shared" si="94"/>
        <v>2.9360499975974983E-2</v>
      </c>
      <c r="AE158" s="3">
        <f t="shared" si="94"/>
        <v>2.9340026638508872E-2</v>
      </c>
      <c r="AF158" s="3">
        <f t="shared" si="94"/>
        <v>2.9136076816775013E-2</v>
      </c>
    </row>
    <row r="159" spans="1:32" x14ac:dyDescent="0.25">
      <c r="A159" s="11" t="s">
        <v>75</v>
      </c>
      <c r="B159" s="3">
        <f t="shared" ref="B159:Z159" si="95">$C45*EXP(-B$129/$A45/EXP(-$B$126))</f>
        <v>1.3317924951321973E-2</v>
      </c>
      <c r="C159" s="3">
        <f t="shared" si="95"/>
        <v>1.3317924951321973E-2</v>
      </c>
      <c r="D159" s="3">
        <f t="shared" si="95"/>
        <v>1.3317924951321973E-2</v>
      </c>
      <c r="E159" s="3">
        <f t="shared" si="95"/>
        <v>1.3317924951321973E-2</v>
      </c>
      <c r="F159" s="3">
        <f t="shared" si="95"/>
        <v>1.3317924951321973E-2</v>
      </c>
      <c r="G159" s="3">
        <f t="shared" si="95"/>
        <v>1.3317924951321973E-2</v>
      </c>
      <c r="H159" s="3">
        <f t="shared" si="95"/>
        <v>1.3317924951321973E-2</v>
      </c>
      <c r="I159" s="3">
        <f t="shared" si="95"/>
        <v>1.3317924951321973E-2</v>
      </c>
      <c r="J159" s="3">
        <f t="shared" si="95"/>
        <v>1.3317924951321973E-2</v>
      </c>
      <c r="K159" s="3">
        <f t="shared" si="95"/>
        <v>1.3317924951321973E-2</v>
      </c>
      <c r="L159" s="3">
        <f t="shared" si="95"/>
        <v>1.3317924951321973E-2</v>
      </c>
      <c r="M159" s="3">
        <f t="shared" si="95"/>
        <v>1.3317924951321973E-2</v>
      </c>
      <c r="N159" s="3">
        <f t="shared" si="95"/>
        <v>1.3317924951321973E-2</v>
      </c>
      <c r="O159" s="3">
        <f t="shared" si="95"/>
        <v>1.3317924951321973E-2</v>
      </c>
      <c r="P159" s="3">
        <f t="shared" si="95"/>
        <v>1.3317924951321973E-2</v>
      </c>
      <c r="Q159" s="3">
        <f t="shared" si="95"/>
        <v>1.3317924951321973E-2</v>
      </c>
      <c r="R159" s="3">
        <f t="shared" si="95"/>
        <v>1.3317924951321973E-2</v>
      </c>
      <c r="S159" s="3">
        <f t="shared" si="95"/>
        <v>1.3317924951321971E-2</v>
      </c>
      <c r="T159" s="3">
        <f t="shared" si="95"/>
        <v>1.3317924951321962E-2</v>
      </c>
      <c r="U159" s="3">
        <f t="shared" si="95"/>
        <v>1.3317924951321869E-2</v>
      </c>
      <c r="V159" s="3">
        <f t="shared" si="95"/>
        <v>1.3317924951320941E-2</v>
      </c>
      <c r="W159" s="3">
        <f t="shared" si="95"/>
        <v>1.3317924951311651E-2</v>
      </c>
      <c r="X159" s="3">
        <f t="shared" si="95"/>
        <v>1.3317924951218751E-2</v>
      </c>
      <c r="Y159" s="3">
        <f t="shared" si="95"/>
        <v>1.3317924950289757E-2</v>
      </c>
      <c r="Z159" s="3">
        <f t="shared" si="95"/>
        <v>1.3317924940999809E-2</v>
      </c>
      <c r="AA159" s="3">
        <f t="shared" ref="AA159:AF159" si="96">$C45*EXP(-AA$129/$A45/EXP(-$B$126))</f>
        <v>1.3317924848100342E-2</v>
      </c>
      <c r="AB159" s="3">
        <f t="shared" si="96"/>
        <v>1.3317923919105707E-2</v>
      </c>
      <c r="AC159" s="3">
        <f t="shared" si="96"/>
        <v>1.3317914629162928E-2</v>
      </c>
      <c r="AD159" s="3">
        <f t="shared" si="96"/>
        <v>1.331782173009154E-2</v>
      </c>
      <c r="AE159" s="3">
        <f t="shared" si="96"/>
        <v>1.3316892775017852E-2</v>
      </c>
      <c r="AF159" s="3">
        <f t="shared" si="96"/>
        <v>1.3307606787381196E-2</v>
      </c>
    </row>
    <row r="160" spans="1:32" x14ac:dyDescent="0.25">
      <c r="B160" s="3">
        <f t="shared" ref="B160:Z160" si="97">$C46*EXP(-B$129/$A46/EXP(-$B$126))</f>
        <v>4.0600750332731679E-3</v>
      </c>
      <c r="C160" s="3">
        <f t="shared" si="97"/>
        <v>4.0600750332731679E-3</v>
      </c>
      <c r="D160" s="3">
        <f t="shared" si="97"/>
        <v>4.0600750332731679E-3</v>
      </c>
      <c r="E160" s="3">
        <f t="shared" si="97"/>
        <v>4.0600750332731679E-3</v>
      </c>
      <c r="F160" s="3">
        <f t="shared" si="97"/>
        <v>4.0600750332731679E-3</v>
      </c>
      <c r="G160" s="3">
        <f t="shared" si="97"/>
        <v>4.0600750332731679E-3</v>
      </c>
      <c r="H160" s="3">
        <f t="shared" si="97"/>
        <v>4.0600750332731679E-3</v>
      </c>
      <c r="I160" s="3">
        <f t="shared" si="97"/>
        <v>4.0600750332731679E-3</v>
      </c>
      <c r="J160" s="3">
        <f t="shared" si="97"/>
        <v>4.0600750332731679E-3</v>
      </c>
      <c r="K160" s="3">
        <f t="shared" si="97"/>
        <v>4.0600750332731679E-3</v>
      </c>
      <c r="L160" s="3">
        <f t="shared" si="97"/>
        <v>4.0600750332731679E-3</v>
      </c>
      <c r="M160" s="3">
        <f t="shared" si="97"/>
        <v>4.0600750332731679E-3</v>
      </c>
      <c r="N160" s="3">
        <f t="shared" si="97"/>
        <v>4.0600750332731679E-3</v>
      </c>
      <c r="O160" s="3">
        <f t="shared" si="97"/>
        <v>4.0600750332731679E-3</v>
      </c>
      <c r="P160" s="3">
        <f t="shared" si="97"/>
        <v>4.0600750332731679E-3</v>
      </c>
      <c r="Q160" s="3">
        <f t="shared" si="97"/>
        <v>4.0600750332731679E-3</v>
      </c>
      <c r="R160" s="3">
        <f t="shared" si="97"/>
        <v>4.0600750332731679E-3</v>
      </c>
      <c r="S160" s="3">
        <f t="shared" si="97"/>
        <v>4.0600750332731679E-3</v>
      </c>
      <c r="T160" s="3">
        <f t="shared" si="97"/>
        <v>4.060075033273167E-3</v>
      </c>
      <c r="U160" s="3">
        <f t="shared" si="97"/>
        <v>4.0600750332731644E-3</v>
      </c>
      <c r="V160" s="3">
        <f t="shared" si="97"/>
        <v>4.0600750332731366E-3</v>
      </c>
      <c r="W160" s="3">
        <f t="shared" si="97"/>
        <v>4.060075033272853E-3</v>
      </c>
      <c r="X160" s="3">
        <f t="shared" si="97"/>
        <v>4.0600750332700211E-3</v>
      </c>
      <c r="Y160" s="3">
        <f t="shared" si="97"/>
        <v>4.0600750332417E-3</v>
      </c>
      <c r="Z160" s="3">
        <f t="shared" si="97"/>
        <v>4.0600750329584882E-3</v>
      </c>
      <c r="AA160" s="3">
        <f t="shared" ref="AA160:AF160" si="98">$C46*EXP(-AA$129/$A46/EXP(-$B$126))</f>
        <v>4.0600750301263743E-3</v>
      </c>
      <c r="AB160" s="3">
        <f t="shared" si="98"/>
        <v>4.0600750018052354E-3</v>
      </c>
      <c r="AC160" s="3">
        <f t="shared" si="98"/>
        <v>4.060074718593854E-3</v>
      </c>
      <c r="AD160" s="3">
        <f t="shared" si="98"/>
        <v>4.0600718864811283E-3</v>
      </c>
      <c r="AE160" s="3">
        <f t="shared" si="98"/>
        <v>4.0600435654625207E-3</v>
      </c>
      <c r="AF160" s="3">
        <f t="shared" si="98"/>
        <v>4.059760366141643E-3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6.6069827735831333E-3</v>
      </c>
      <c r="C162" s="3">
        <f t="shared" si="101"/>
        <v>6.6069827735831333E-3</v>
      </c>
      <c r="D162" s="3">
        <f t="shared" si="101"/>
        <v>6.6069827735831333E-3</v>
      </c>
      <c r="E162" s="3">
        <f t="shared" si="101"/>
        <v>6.6069827735831333E-3</v>
      </c>
      <c r="F162" s="3">
        <f t="shared" si="101"/>
        <v>6.6069827735831333E-3</v>
      </c>
      <c r="G162" s="3">
        <f t="shared" si="101"/>
        <v>6.6069827735831333E-3</v>
      </c>
      <c r="H162" s="3">
        <f t="shared" si="101"/>
        <v>6.6069827735831333E-3</v>
      </c>
      <c r="I162" s="3">
        <f t="shared" si="101"/>
        <v>6.6069827735831333E-3</v>
      </c>
      <c r="J162" s="3">
        <f t="shared" si="101"/>
        <v>6.6069827735831333E-3</v>
      </c>
      <c r="K162" s="3">
        <f t="shared" si="101"/>
        <v>6.6069827735831333E-3</v>
      </c>
      <c r="L162" s="3">
        <f t="shared" si="101"/>
        <v>6.6069827735831333E-3</v>
      </c>
      <c r="M162" s="3">
        <f t="shared" si="101"/>
        <v>6.6069827735831333E-3</v>
      </c>
      <c r="N162" s="3">
        <f t="shared" si="101"/>
        <v>6.6069827735831333E-3</v>
      </c>
      <c r="O162" s="3">
        <f t="shared" si="101"/>
        <v>6.6069827735831333E-3</v>
      </c>
      <c r="P162" s="3">
        <f t="shared" si="101"/>
        <v>6.6069827735831333E-3</v>
      </c>
      <c r="Q162" s="3">
        <f t="shared" si="101"/>
        <v>6.6069827735831333E-3</v>
      </c>
      <c r="R162" s="3">
        <f t="shared" si="101"/>
        <v>6.6069827735831333E-3</v>
      </c>
      <c r="S162" s="3">
        <f t="shared" si="101"/>
        <v>6.6069827735831333E-3</v>
      </c>
      <c r="T162" s="3">
        <f t="shared" si="101"/>
        <v>6.6069827735831333E-3</v>
      </c>
      <c r="U162" s="3">
        <f t="shared" si="101"/>
        <v>6.6069827735831333E-3</v>
      </c>
      <c r="V162" s="3">
        <f t="shared" si="101"/>
        <v>6.6069827735831324E-3</v>
      </c>
      <c r="W162" s="3">
        <f t="shared" si="101"/>
        <v>6.6069827735831281E-3</v>
      </c>
      <c r="X162" s="3">
        <f t="shared" si="101"/>
        <v>6.6069827735830821E-3</v>
      </c>
      <c r="Y162" s="3">
        <f t="shared" si="101"/>
        <v>6.6069827735826215E-3</v>
      </c>
      <c r="Z162" s="3">
        <f t="shared" si="101"/>
        <v>6.6069827735780124E-3</v>
      </c>
      <c r="AA162" s="3">
        <f t="shared" ref="AA162:AF162" si="102">$C48*EXP(-AA$129/$A48/EXP(-$B$126))</f>
        <v>6.6069827735319251E-3</v>
      </c>
      <c r="AB162" s="3">
        <f t="shared" si="102"/>
        <v>6.6069827730710542E-3</v>
      </c>
      <c r="AC162" s="3">
        <f t="shared" si="102"/>
        <v>6.6069827684623389E-3</v>
      </c>
      <c r="AD162" s="3">
        <f t="shared" si="102"/>
        <v>6.6069827223751909E-3</v>
      </c>
      <c r="AE162" s="3">
        <f t="shared" si="102"/>
        <v>6.6069822615037284E-3</v>
      </c>
      <c r="AF162" s="3">
        <f t="shared" si="102"/>
        <v>6.6069776527908743E-3</v>
      </c>
    </row>
    <row r="163" spans="1:34" x14ac:dyDescent="0.25">
      <c r="A163" s="79">
        <f>AVERAGE(B163:AF163)</f>
        <v>1.1329594973878832E-2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2.0490434716049732E-2</v>
      </c>
      <c r="M163" s="80">
        <f t="shared" si="103"/>
        <v>2.0490665337719885E-2</v>
      </c>
      <c r="N163" s="80">
        <f t="shared" si="103"/>
        <v>2.0493046168580404E-2</v>
      </c>
      <c r="O163" s="80">
        <f t="shared" si="103"/>
        <v>2.0516770508094334E-2</v>
      </c>
      <c r="P163" s="80">
        <f t="shared" si="103"/>
        <v>2.0750693248229913E-2</v>
      </c>
      <c r="Q163" s="80">
        <f t="shared" si="103"/>
        <v>2.2822939950962441E-2</v>
      </c>
      <c r="R163" s="80">
        <f t="shared" si="103"/>
        <v>3.4773957528591033E-2</v>
      </c>
      <c r="S163" s="80">
        <f t="shared" si="103"/>
        <v>4.715578649540577E-2</v>
      </c>
      <c r="T163" s="80">
        <f t="shared" si="103"/>
        <v>4.8829668151564538E-2</v>
      </c>
      <c r="U163" s="80">
        <f t="shared" si="103"/>
        <v>5.3413285196553917E-2</v>
      </c>
      <c r="V163" s="80">
        <f t="shared" si="103"/>
        <v>4.1480196888491888E-2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23232.105129553125</v>
      </c>
      <c r="C164" s="21">
        <f t="shared" ref="C164:AF164" si="104">(C131-C130)^2</f>
        <v>23255.521026676524</v>
      </c>
      <c r="D164" s="21">
        <f t="shared" si="104"/>
        <v>23243.387204573566</v>
      </c>
      <c r="E164" s="21">
        <f t="shared" si="104"/>
        <v>23240.243365531231</v>
      </c>
      <c r="F164" s="21">
        <f t="shared" si="104"/>
        <v>23239.317614681113</v>
      </c>
      <c r="G164" s="21">
        <f t="shared" si="104"/>
        <v>23239.028322020586</v>
      </c>
      <c r="H164" s="21">
        <f t="shared" si="104"/>
        <v>23238.951183086778</v>
      </c>
      <c r="I164" s="21">
        <f t="shared" si="104"/>
        <v>23238.931953062151</v>
      </c>
      <c r="J164" s="21">
        <f t="shared" si="104"/>
        <v>23238.913227859193</v>
      </c>
      <c r="K164" s="21">
        <f t="shared" si="104"/>
        <v>23238.918836890298</v>
      </c>
      <c r="L164" s="21">
        <f t="shared" si="104"/>
        <v>23238.97492716648</v>
      </c>
      <c r="M164" s="21">
        <f t="shared" si="104"/>
        <v>23239.497253200978</v>
      </c>
      <c r="N164" s="21">
        <f t="shared" si="104"/>
        <v>23244.893659611997</v>
      </c>
      <c r="O164" s="21">
        <f t="shared" si="104"/>
        <v>23298.699037138194</v>
      </c>
      <c r="P164" s="21">
        <f t="shared" si="104"/>
        <v>23832.539640980856</v>
      </c>
      <c r="Q164" s="21">
        <f t="shared" si="104"/>
        <v>28824.568973700756</v>
      </c>
      <c r="R164" s="21">
        <f t="shared" si="104"/>
        <v>66787.023895088525</v>
      </c>
      <c r="S164" s="21">
        <f t="shared" si="104"/>
        <v>120920.31462368561</v>
      </c>
      <c r="T164" s="21">
        <f t="shared" si="104"/>
        <v>124605.71764509489</v>
      </c>
      <c r="U164" s="21">
        <f t="shared" si="104"/>
        <v>142404.26650580575</v>
      </c>
      <c r="V164" s="21">
        <f t="shared" si="104"/>
        <v>78704.173765844243</v>
      </c>
      <c r="W164" s="21">
        <f t="shared" si="104"/>
        <v>22976.187535683021</v>
      </c>
      <c r="X164" s="21">
        <f t="shared" si="104"/>
        <v>420332.38231521199</v>
      </c>
      <c r="Y164" s="21">
        <f t="shared" si="104"/>
        <v>417215.76104359014</v>
      </c>
      <c r="Z164" s="21">
        <f t="shared" si="104"/>
        <v>133327.56334423512</v>
      </c>
      <c r="AA164" s="21">
        <f t="shared" si="104"/>
        <v>10997.607430099322</v>
      </c>
      <c r="AB164" s="21">
        <f t="shared" si="104"/>
        <v>7258.5392971276524</v>
      </c>
      <c r="AC164" s="21">
        <f t="shared" si="104"/>
        <v>60522.4523526212</v>
      </c>
      <c r="AD164" s="21">
        <f t="shared" si="104"/>
        <v>161756.9691498692</v>
      </c>
      <c r="AE164" s="21">
        <f t="shared" si="104"/>
        <v>271702.98160628427</v>
      </c>
      <c r="AF164" s="21">
        <f t="shared" si="104"/>
        <v>371887.95449196151</v>
      </c>
    </row>
    <row r="165" spans="1:34" x14ac:dyDescent="0.25">
      <c r="A165" s="71">
        <f>SUM(B165:AF165)</f>
        <v>679100.66992731823</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23238.97492716648</v>
      </c>
      <c r="M165" s="60">
        <f t="shared" si="105"/>
        <v>23239.497253200978</v>
      </c>
      <c r="N165" s="60">
        <f t="shared" si="105"/>
        <v>23244.893659611997</v>
      </c>
      <c r="O165" s="60">
        <f t="shared" si="105"/>
        <v>23298.699037138194</v>
      </c>
      <c r="P165" s="60">
        <f t="shared" si="105"/>
        <v>23832.539640980856</v>
      </c>
      <c r="Q165" s="60">
        <f t="shared" si="105"/>
        <v>28824.568973700756</v>
      </c>
      <c r="R165" s="60">
        <f t="shared" si="105"/>
        <v>66787.023895088525</v>
      </c>
      <c r="S165" s="60">
        <f t="shared" si="105"/>
        <v>120920.31462368561</v>
      </c>
      <c r="T165" s="60">
        <f t="shared" si="105"/>
        <v>124605.71764509489</v>
      </c>
      <c r="U165" s="60">
        <f t="shared" si="105"/>
        <v>142404.26650580575</v>
      </c>
      <c r="V165" s="60">
        <f t="shared" si="105"/>
        <v>78704.173765844243</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7287.289198285258</v>
      </c>
      <c r="C170" s="27">
        <f t="shared" ref="C170:AF170" si="106">($C$17+SUM(C171:C201))*$B$51</f>
        <v>7287.2891982852498</v>
      </c>
      <c r="D170" s="27">
        <f t="shared" si="106"/>
        <v>7287.289198285157</v>
      </c>
      <c r="E170" s="27">
        <f t="shared" si="106"/>
        <v>7287.2891982842402</v>
      </c>
      <c r="F170" s="27">
        <f t="shared" si="106"/>
        <v>7287.2891982750698</v>
      </c>
      <c r="G170" s="27">
        <f t="shared" si="106"/>
        <v>7287.2891981833618</v>
      </c>
      <c r="H170" s="27">
        <f t="shared" si="106"/>
        <v>7287.2891972662783</v>
      </c>
      <c r="I170" s="27">
        <f t="shared" si="106"/>
        <v>7287.289188095433</v>
      </c>
      <c r="J170" s="27">
        <f t="shared" si="106"/>
        <v>7287.2890963870695</v>
      </c>
      <c r="K170" s="27">
        <f t="shared" si="106"/>
        <v>7287.2881793097304</v>
      </c>
      <c r="L170" s="27">
        <f t="shared" si="106"/>
        <v>7287.2790091669749</v>
      </c>
      <c r="M170" s="27">
        <f t="shared" si="106"/>
        <v>7287.1873707278337</v>
      </c>
      <c r="N170" s="27">
        <f t="shared" si="106"/>
        <v>7286.2772112361909</v>
      </c>
      <c r="O170" s="27">
        <f t="shared" si="106"/>
        <v>7277.7314085478638</v>
      </c>
      <c r="P170" s="27">
        <f t="shared" si="106"/>
        <v>7217.9209063707322</v>
      </c>
      <c r="Q170" s="27">
        <f t="shared" si="106"/>
        <v>7061.712976403217</v>
      </c>
      <c r="R170" s="27">
        <f t="shared" si="106"/>
        <v>6924.7195916856263</v>
      </c>
      <c r="S170" s="27">
        <f t="shared" si="106"/>
        <v>6737.9892467383543</v>
      </c>
      <c r="T170" s="27">
        <f t="shared" si="106"/>
        <v>6542.7508185363931</v>
      </c>
      <c r="U170" s="27">
        <f t="shared" si="106"/>
        <v>6303.1759811588881</v>
      </c>
      <c r="V170" s="27">
        <f t="shared" si="106"/>
        <v>5964.3140633502289</v>
      </c>
      <c r="W170" s="27">
        <f t="shared" si="106"/>
        <v>5234.2678163554992</v>
      </c>
      <c r="X170" s="27">
        <f t="shared" si="106"/>
        <v>4360.3609658325704</v>
      </c>
      <c r="Y170" s="27">
        <f t="shared" si="106"/>
        <v>3632.788966071721</v>
      </c>
      <c r="Z170" s="27">
        <f t="shared" si="106"/>
        <v>3060.4455610755604</v>
      </c>
      <c r="AA170" s="27">
        <f t="shared" si="106"/>
        <v>2621.1533205742971</v>
      </c>
      <c r="AB170" s="27">
        <f t="shared" si="106"/>
        <v>2111.9145379019055</v>
      </c>
      <c r="AC170" s="27">
        <f t="shared" si="106"/>
        <v>1630.7076194404938</v>
      </c>
      <c r="AD170" s="27">
        <f t="shared" si="106"/>
        <v>1128.5017087473395</v>
      </c>
      <c r="AE170" s="27">
        <f t="shared" si="106"/>
        <v>662.1222321086434</v>
      </c>
      <c r="AF170" s="27">
        <f t="shared" si="106"/>
        <v>381.50374335546599</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8.2357212069045184E-4</v>
      </c>
      <c r="C180" s="3">
        <f t="shared" si="116"/>
        <v>8.2357212069013015E-4</v>
      </c>
      <c r="D180" s="3">
        <f t="shared" si="116"/>
        <v>8.2357212068691354E-4</v>
      </c>
      <c r="E180" s="3">
        <f t="shared" si="116"/>
        <v>8.2357212065474635E-4</v>
      </c>
      <c r="F180" s="3">
        <f t="shared" si="116"/>
        <v>8.2357212033307516E-4</v>
      </c>
      <c r="G180" s="3">
        <f t="shared" si="116"/>
        <v>8.2357211711636311E-4</v>
      </c>
      <c r="H180" s="3">
        <f t="shared" si="116"/>
        <v>8.2357208494924269E-4</v>
      </c>
      <c r="I180" s="3">
        <f t="shared" si="116"/>
        <v>8.2357176327810819E-4</v>
      </c>
      <c r="J180" s="3">
        <f t="shared" si="116"/>
        <v>8.2356854657367326E-4</v>
      </c>
      <c r="K180" s="3">
        <f t="shared" si="116"/>
        <v>8.2353638022032466E-4</v>
      </c>
      <c r="L180" s="3">
        <f t="shared" si="116"/>
        <v>8.2321478577692113E-4</v>
      </c>
      <c r="M180" s="3">
        <f t="shared" si="116"/>
        <v>8.2000574037697279E-4</v>
      </c>
      <c r="N180" s="3">
        <f t="shared" si="116"/>
        <v>7.8859532296727901E-4</v>
      </c>
      <c r="O180" s="3">
        <f t="shared" si="116"/>
        <v>5.3361403135397396E-4</v>
      </c>
      <c r="P180" s="3">
        <f t="shared" si="116"/>
        <v>1.073884759078268E-5</v>
      </c>
      <c r="Q180" s="3">
        <f t="shared" si="116"/>
        <v>1.1702052936860533E-22</v>
      </c>
      <c r="R180" s="3">
        <f t="shared" si="116"/>
        <v>2.7625226961079224E-192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2.4665844117639509E-2</v>
      </c>
      <c r="C181" s="3">
        <f t="shared" si="117"/>
        <v>2.4665844117638638E-2</v>
      </c>
      <c r="D181" s="3">
        <f t="shared" si="117"/>
        <v>2.466584411762995E-2</v>
      </c>
      <c r="E181" s="3">
        <f t="shared" si="117"/>
        <v>2.4665844117543041E-2</v>
      </c>
      <c r="F181" s="3">
        <f t="shared" si="117"/>
        <v>2.4665844116673975E-2</v>
      </c>
      <c r="G181" s="3">
        <f t="shared" si="117"/>
        <v>2.4665844107983309E-2</v>
      </c>
      <c r="H181" s="3">
        <f t="shared" si="117"/>
        <v>2.4665844021076636E-2</v>
      </c>
      <c r="I181" s="3">
        <f t="shared" si="117"/>
        <v>2.4665843152009908E-2</v>
      </c>
      <c r="J181" s="3">
        <f t="shared" si="117"/>
        <v>2.4665834461344342E-2</v>
      </c>
      <c r="K181" s="3">
        <f t="shared" si="117"/>
        <v>2.4665747554857079E-2</v>
      </c>
      <c r="L181" s="3">
        <f t="shared" si="117"/>
        <v>2.4664878506825423E-2</v>
      </c>
      <c r="M181" s="3">
        <f t="shared" si="117"/>
        <v>2.4656189710384673E-2</v>
      </c>
      <c r="N181" s="3">
        <f t="shared" si="117"/>
        <v>2.4569469914249856E-2</v>
      </c>
      <c r="O181" s="3">
        <f t="shared" si="117"/>
        <v>2.3718871599482032E-2</v>
      </c>
      <c r="P181" s="3">
        <f t="shared" si="117"/>
        <v>1.6675405285528865E-2</v>
      </c>
      <c r="Q181" s="3">
        <f t="shared" si="117"/>
        <v>4.9192640760066693E-4</v>
      </c>
      <c r="R181" s="3">
        <f t="shared" si="117"/>
        <v>2.4554863660584149E-19</v>
      </c>
      <c r="S181" s="3">
        <f t="shared" si="117"/>
        <v>2.3578242388081332E-172</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1.6291197925316758E-2</v>
      </c>
      <c r="C182" s="3">
        <f t="shared" si="118"/>
        <v>1.6291197925316706E-2</v>
      </c>
      <c r="D182" s="3">
        <f t="shared" si="118"/>
        <v>1.6291197925316189E-2</v>
      </c>
      <c r="E182" s="3">
        <f t="shared" si="118"/>
        <v>1.6291197925311012E-2</v>
      </c>
      <c r="F182" s="3">
        <f t="shared" si="118"/>
        <v>1.6291197925259231E-2</v>
      </c>
      <c r="G182" s="3">
        <f t="shared" si="118"/>
        <v>1.6291197924741437E-2</v>
      </c>
      <c r="H182" s="3">
        <f t="shared" si="118"/>
        <v>1.6291197919563502E-2</v>
      </c>
      <c r="I182" s="3">
        <f t="shared" si="118"/>
        <v>1.6291197867784133E-2</v>
      </c>
      <c r="J182" s="3">
        <f t="shared" si="118"/>
        <v>1.6291197349990447E-2</v>
      </c>
      <c r="K182" s="3">
        <f t="shared" si="118"/>
        <v>1.6291192172054478E-2</v>
      </c>
      <c r="L182" s="3">
        <f t="shared" si="118"/>
        <v>1.6291140392785328E-2</v>
      </c>
      <c r="M182" s="3">
        <f t="shared" si="118"/>
        <v>1.6290622609145246E-2</v>
      </c>
      <c r="N182" s="3">
        <f t="shared" si="118"/>
        <v>1.6285445677781677E-2</v>
      </c>
      <c r="O182" s="3">
        <f t="shared" si="118"/>
        <v>1.6233766761527036E-2</v>
      </c>
      <c r="P182" s="3">
        <f t="shared" si="118"/>
        <v>1.5725911927955364E-2</v>
      </c>
      <c r="Q182" s="3">
        <f t="shared" si="118"/>
        <v>1.1444088575381125E-2</v>
      </c>
      <c r="R182" s="3">
        <f t="shared" si="118"/>
        <v>4.7668877429379728E-4</v>
      </c>
      <c r="S182" s="3">
        <f t="shared" si="118"/>
        <v>7.4950074097711828E-18</v>
      </c>
      <c r="T182" s="3">
        <f t="shared" si="118"/>
        <v>6.9205958016330261E-156</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2.6847553865855696E-2</v>
      </c>
      <c r="C183" s="3">
        <f t="shared" si="119"/>
        <v>2.6847553865855685E-2</v>
      </c>
      <c r="D183" s="3">
        <f t="shared" si="119"/>
        <v>2.6847553865855609E-2</v>
      </c>
      <c r="E183" s="3">
        <f t="shared" si="119"/>
        <v>2.6847553865854839E-2</v>
      </c>
      <c r="F183" s="3">
        <f t="shared" si="119"/>
        <v>2.6847553865847144E-2</v>
      </c>
      <c r="G183" s="3">
        <f t="shared" si="119"/>
        <v>2.6847553865770167E-2</v>
      </c>
      <c r="H183" s="3">
        <f t="shared" si="119"/>
        <v>2.6847553865000408E-2</v>
      </c>
      <c r="I183" s="3">
        <f t="shared" si="119"/>
        <v>2.6847553857302812E-2</v>
      </c>
      <c r="J183" s="3">
        <f t="shared" si="119"/>
        <v>2.6847553780326865E-2</v>
      </c>
      <c r="K183" s="3">
        <f t="shared" si="119"/>
        <v>2.6847553010567387E-2</v>
      </c>
      <c r="L183" s="3">
        <f t="shared" si="119"/>
        <v>2.684754531297381E-2</v>
      </c>
      <c r="M183" s="3">
        <f t="shared" si="119"/>
        <v>2.684746833715947E-2</v>
      </c>
      <c r="N183" s="3">
        <f t="shared" si="119"/>
        <v>2.6846698591154489E-2</v>
      </c>
      <c r="O183" s="3">
        <f t="shared" si="119"/>
        <v>2.6839002344820118E-2</v>
      </c>
      <c r="P183" s="3">
        <f t="shared" si="119"/>
        <v>2.6762161124364494E-2</v>
      </c>
      <c r="Q183" s="3">
        <f t="shared" si="119"/>
        <v>2.6005745569125539E-2</v>
      </c>
      <c r="R183" s="3">
        <f t="shared" si="119"/>
        <v>1.9523181460322635E-2</v>
      </c>
      <c r="S183" s="3">
        <f t="shared" si="119"/>
        <v>1.1101033349172715E-3</v>
      </c>
      <c r="T183" s="3">
        <f t="shared" si="119"/>
        <v>3.9218553524512579E-16</v>
      </c>
      <c r="U183" s="3">
        <f t="shared" si="119"/>
        <v>1.1878817669389498E-140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2.5906186741603665E-2</v>
      </c>
      <c r="C184" s="3">
        <f t="shared" si="120"/>
        <v>2.5906186741603665E-2</v>
      </c>
      <c r="D184" s="3">
        <f t="shared" si="120"/>
        <v>2.5906186741603658E-2</v>
      </c>
      <c r="E184" s="3">
        <f t="shared" si="120"/>
        <v>2.5906186741603589E-2</v>
      </c>
      <c r="F184" s="3">
        <f t="shared" si="120"/>
        <v>2.5906186741602919E-2</v>
      </c>
      <c r="G184" s="3">
        <f t="shared" si="120"/>
        <v>2.5906186741596223E-2</v>
      </c>
      <c r="H184" s="3">
        <f t="shared" si="120"/>
        <v>2.5906186741529214E-2</v>
      </c>
      <c r="I184" s="3">
        <f t="shared" si="120"/>
        <v>2.5906186740859177E-2</v>
      </c>
      <c r="J184" s="3">
        <f t="shared" si="120"/>
        <v>2.5906186734158784E-2</v>
      </c>
      <c r="K184" s="3">
        <f t="shared" si="120"/>
        <v>2.5906186667154833E-2</v>
      </c>
      <c r="L184" s="3">
        <f t="shared" si="120"/>
        <v>2.590618599711533E-2</v>
      </c>
      <c r="M184" s="3">
        <f t="shared" si="120"/>
        <v>2.5906179296721274E-2</v>
      </c>
      <c r="N184" s="3">
        <f t="shared" si="120"/>
        <v>2.5906112292876031E-2</v>
      </c>
      <c r="O184" s="3">
        <f t="shared" si="120"/>
        <v>2.5905442263954963E-2</v>
      </c>
      <c r="P184" s="3">
        <f t="shared" si="120"/>
        <v>2.5898742927790271E-2</v>
      </c>
      <c r="Q184" s="3">
        <f t="shared" si="120"/>
        <v>2.5831844779599138E-2</v>
      </c>
      <c r="R184" s="3">
        <f t="shared" si="120"/>
        <v>2.5172294153715594E-2</v>
      </c>
      <c r="S184" s="3">
        <f t="shared" si="120"/>
        <v>1.9435537473652967E-2</v>
      </c>
      <c r="T184" s="3">
        <f t="shared" si="120"/>
        <v>1.4633025385831369E-3</v>
      </c>
      <c r="U184" s="3">
        <f t="shared" si="120"/>
        <v>8.5646542296149807E-15</v>
      </c>
      <c r="V184" s="3">
        <f t="shared" si="120"/>
        <v>4.0407959318996974E-127</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3.2694648537282267E-2</v>
      </c>
      <c r="C185" s="3">
        <f t="shared" si="121"/>
        <v>3.2694648537282267E-2</v>
      </c>
      <c r="D185" s="3">
        <f t="shared" si="121"/>
        <v>3.2694648537282267E-2</v>
      </c>
      <c r="E185" s="3">
        <f t="shared" si="121"/>
        <v>3.269464853728226E-2</v>
      </c>
      <c r="F185" s="3">
        <f t="shared" si="121"/>
        <v>3.2694648537282184E-2</v>
      </c>
      <c r="G185" s="3">
        <f t="shared" si="121"/>
        <v>3.2694648537281421E-2</v>
      </c>
      <c r="H185" s="3">
        <f t="shared" si="121"/>
        <v>3.2694648537273795E-2</v>
      </c>
      <c r="I185" s="3">
        <f t="shared" si="121"/>
        <v>3.2694648537197508E-2</v>
      </c>
      <c r="J185" s="3">
        <f t="shared" si="121"/>
        <v>3.2694648536434695E-2</v>
      </c>
      <c r="K185" s="3">
        <f t="shared" si="121"/>
        <v>3.2694648528806526E-2</v>
      </c>
      <c r="L185" s="3">
        <f t="shared" si="121"/>
        <v>3.2694648452524858E-2</v>
      </c>
      <c r="M185" s="3">
        <f t="shared" si="121"/>
        <v>3.269464768970818E-2</v>
      </c>
      <c r="N185" s="3">
        <f t="shared" si="121"/>
        <v>3.2694640061542386E-2</v>
      </c>
      <c r="O185" s="3">
        <f t="shared" si="121"/>
        <v>3.2694563779982325E-2</v>
      </c>
      <c r="P185" s="3">
        <f t="shared" si="121"/>
        <v>3.269380097417033E-2</v>
      </c>
      <c r="Q185" s="3">
        <f t="shared" si="121"/>
        <v>3.2686173894829577E-2</v>
      </c>
      <c r="R185" s="3">
        <f t="shared" si="121"/>
        <v>3.2610000894899932E-2</v>
      </c>
      <c r="S185" s="3">
        <f t="shared" si="121"/>
        <v>3.1857966345768048E-2</v>
      </c>
      <c r="T185" s="3">
        <f t="shared" si="121"/>
        <v>2.5228442128237057E-2</v>
      </c>
      <c r="U185" s="3">
        <f t="shared" si="121"/>
        <v>2.4468890409947192E-3</v>
      </c>
      <c r="V185" s="3">
        <f t="shared" si="121"/>
        <v>1.8024063156891603E-13</v>
      </c>
      <c r="W185" s="3">
        <f t="shared" si="121"/>
        <v>8.4768977942190902E-115</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3.3282078428276948E-2</v>
      </c>
      <c r="C186" s="3">
        <f t="shared" si="122"/>
        <v>3.3282078428276948E-2</v>
      </c>
      <c r="D186" s="3">
        <f t="shared" si="122"/>
        <v>3.3282078428276948E-2</v>
      </c>
      <c r="E186" s="3">
        <f t="shared" si="122"/>
        <v>3.3282078428276948E-2</v>
      </c>
      <c r="F186" s="3">
        <f t="shared" si="122"/>
        <v>3.3282078428276941E-2</v>
      </c>
      <c r="G186" s="3">
        <f t="shared" si="122"/>
        <v>3.3282078428276872E-2</v>
      </c>
      <c r="H186" s="3">
        <f t="shared" si="122"/>
        <v>3.3282078428276171E-2</v>
      </c>
      <c r="I186" s="3">
        <f t="shared" si="122"/>
        <v>3.328207842826917E-2</v>
      </c>
      <c r="J186" s="3">
        <f t="shared" si="122"/>
        <v>3.3282078428199115E-2</v>
      </c>
      <c r="K186" s="3">
        <f t="shared" si="122"/>
        <v>3.3282078427498626E-2</v>
      </c>
      <c r="L186" s="3">
        <f t="shared" si="122"/>
        <v>3.3282078420493751E-2</v>
      </c>
      <c r="M186" s="3">
        <f t="shared" si="122"/>
        <v>3.3282078350444978E-2</v>
      </c>
      <c r="N186" s="3">
        <f t="shared" si="122"/>
        <v>3.3282077649957234E-2</v>
      </c>
      <c r="O186" s="3">
        <f t="shared" si="122"/>
        <v>3.3282070645080666E-2</v>
      </c>
      <c r="P186" s="3">
        <f t="shared" si="122"/>
        <v>3.3282000596396043E-2</v>
      </c>
      <c r="Q186" s="3">
        <f t="shared" si="122"/>
        <v>3.3281300117658494E-2</v>
      </c>
      <c r="R186" s="3">
        <f t="shared" si="122"/>
        <v>3.3274296141086769E-2</v>
      </c>
      <c r="S186" s="3">
        <f t="shared" si="122"/>
        <v>3.3204337392641448E-2</v>
      </c>
      <c r="T186" s="3">
        <f t="shared" si="122"/>
        <v>3.2512788897706153E-2</v>
      </c>
      <c r="U186" s="3">
        <f t="shared" si="122"/>
        <v>2.6341972083318729E-2</v>
      </c>
      <c r="V186" s="3">
        <f t="shared" si="122"/>
        <v>3.2106199103900035E-3</v>
      </c>
      <c r="W186" s="3">
        <f t="shared" si="122"/>
        <v>2.3227099965764678E-12</v>
      </c>
      <c r="X186" s="3">
        <f t="shared" si="122"/>
        <v>9.1212830678862302E-104</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0.1075539898267141</v>
      </c>
      <c r="C187" s="3">
        <f t="shared" si="123"/>
        <v>0.1075539898267141</v>
      </c>
      <c r="D187" s="3">
        <f t="shared" si="123"/>
        <v>0.1075539898267141</v>
      </c>
      <c r="E187" s="3">
        <f t="shared" si="123"/>
        <v>0.1075539898267141</v>
      </c>
      <c r="F187" s="3">
        <f t="shared" si="123"/>
        <v>0.1075539898267141</v>
      </c>
      <c r="G187" s="3">
        <f t="shared" si="123"/>
        <v>0.10755398982671407</v>
      </c>
      <c r="H187" s="3">
        <f t="shared" si="123"/>
        <v>0.10755398982671388</v>
      </c>
      <c r="I187" s="3">
        <f t="shared" si="123"/>
        <v>0.10755398982671184</v>
      </c>
      <c r="J187" s="3">
        <f t="shared" si="123"/>
        <v>0.10755398982669141</v>
      </c>
      <c r="K187" s="3">
        <f t="shared" si="123"/>
        <v>0.10755398982648721</v>
      </c>
      <c r="L187" s="3">
        <f t="shared" si="123"/>
        <v>0.10755398982444518</v>
      </c>
      <c r="M187" s="3">
        <f t="shared" si="123"/>
        <v>0.10755398980402482</v>
      </c>
      <c r="N187" s="3">
        <f t="shared" si="123"/>
        <v>0.10755398959982131</v>
      </c>
      <c r="O187" s="3">
        <f t="shared" si="123"/>
        <v>0.10755398755778615</v>
      </c>
      <c r="P187" s="3">
        <f t="shared" si="123"/>
        <v>0.10755396713743672</v>
      </c>
      <c r="Q187" s="3">
        <f t="shared" si="123"/>
        <v>0.10755376293415556</v>
      </c>
      <c r="R187" s="3">
        <f t="shared" si="123"/>
        <v>0.10755172092266758</v>
      </c>
      <c r="S187" s="3">
        <f t="shared" si="123"/>
        <v>0.1075313029399917</v>
      </c>
      <c r="T187" s="3">
        <f t="shared" si="123"/>
        <v>0.10732733618390071</v>
      </c>
      <c r="U187" s="3">
        <f t="shared" si="123"/>
        <v>0.10530882676748406</v>
      </c>
      <c r="V187" s="3">
        <f t="shared" si="123"/>
        <v>8.709816656342971E-2</v>
      </c>
      <c r="W187" s="3">
        <f t="shared" si="123"/>
        <v>1.3045219783398388E-2</v>
      </c>
      <c r="X187" s="3">
        <f t="shared" si="123"/>
        <v>7.4109737240259494E-11</v>
      </c>
      <c r="Y187" s="3">
        <f t="shared" si="123"/>
        <v>2.5948604333379657E-93</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0.13355176295714186</v>
      </c>
      <c r="C188" s="3">
        <f t="shared" si="124"/>
        <v>0.13355176295714186</v>
      </c>
      <c r="D188" s="3">
        <f t="shared" si="124"/>
        <v>0.13355176295714186</v>
      </c>
      <c r="E188" s="3">
        <f t="shared" si="124"/>
        <v>0.13355176295714186</v>
      </c>
      <c r="F188" s="3">
        <f t="shared" si="124"/>
        <v>0.13355176295714186</v>
      </c>
      <c r="G188" s="3">
        <f t="shared" si="124"/>
        <v>0.13355176295714186</v>
      </c>
      <c r="H188" s="3">
        <f t="shared" si="124"/>
        <v>0.13355176295714183</v>
      </c>
      <c r="I188" s="3">
        <f t="shared" si="124"/>
        <v>0.13355176295714161</v>
      </c>
      <c r="J188" s="3">
        <f t="shared" si="124"/>
        <v>0.13355176295713933</v>
      </c>
      <c r="K188" s="3">
        <f t="shared" si="124"/>
        <v>0.13355176295711643</v>
      </c>
      <c r="L188" s="3">
        <f t="shared" si="124"/>
        <v>0.1335517629568877</v>
      </c>
      <c r="M188" s="3">
        <f t="shared" si="124"/>
        <v>0.13355176295460036</v>
      </c>
      <c r="N188" s="3">
        <f t="shared" si="124"/>
        <v>0.13355176293172683</v>
      </c>
      <c r="O188" s="3">
        <f t="shared" si="124"/>
        <v>0.13355176270299168</v>
      </c>
      <c r="P188" s="3">
        <f t="shared" si="124"/>
        <v>0.13355176041564021</v>
      </c>
      <c r="Q188" s="3">
        <f t="shared" si="124"/>
        <v>0.13355173754212746</v>
      </c>
      <c r="R188" s="3">
        <f t="shared" si="124"/>
        <v>0.13355150880721567</v>
      </c>
      <c r="S188" s="3">
        <f t="shared" si="124"/>
        <v>0.13354922147964399</v>
      </c>
      <c r="T188" s="3">
        <f t="shared" si="124"/>
        <v>0.13352635035843613</v>
      </c>
      <c r="U188" s="3">
        <f t="shared" si="124"/>
        <v>0.13329785446078557</v>
      </c>
      <c r="V188" s="3">
        <f t="shared" si="124"/>
        <v>0.13103429110474754</v>
      </c>
      <c r="W188" s="3">
        <f t="shared" si="124"/>
        <v>0.11040862648999723</v>
      </c>
      <c r="X188" s="3">
        <f t="shared" si="124"/>
        <v>1.9915143676634928E-2</v>
      </c>
      <c r="Y188" s="3">
        <f t="shared" si="124"/>
        <v>7.2608557965449201E-10</v>
      </c>
      <c r="Z188" s="3">
        <f t="shared" si="124"/>
        <v>3.013224486010096E-84</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0.10276653551975504</v>
      </c>
      <c r="C189" s="3">
        <f t="shared" si="125"/>
        <v>0.10276653551975504</v>
      </c>
      <c r="D189" s="3">
        <f t="shared" si="125"/>
        <v>0.10276653551975504</v>
      </c>
      <c r="E189" s="3">
        <f t="shared" si="125"/>
        <v>0.10276653551975504</v>
      </c>
      <c r="F189" s="3">
        <f t="shared" si="125"/>
        <v>0.10276653551975504</v>
      </c>
      <c r="G189" s="3">
        <f t="shared" si="125"/>
        <v>0.10276653551975504</v>
      </c>
      <c r="H189" s="3">
        <f t="shared" si="125"/>
        <v>0.10276653551975504</v>
      </c>
      <c r="I189" s="3">
        <f t="shared" si="125"/>
        <v>0.10276653551975501</v>
      </c>
      <c r="J189" s="3">
        <f t="shared" si="125"/>
        <v>0.10276653551975487</v>
      </c>
      <c r="K189" s="3">
        <f t="shared" si="125"/>
        <v>0.10276653551975327</v>
      </c>
      <c r="L189" s="3">
        <f t="shared" si="125"/>
        <v>0.1027665355197374</v>
      </c>
      <c r="M189" s="3">
        <f t="shared" si="125"/>
        <v>0.10276653551957862</v>
      </c>
      <c r="N189" s="3">
        <f t="shared" si="125"/>
        <v>0.10276653551799088</v>
      </c>
      <c r="O189" s="3">
        <f t="shared" si="125"/>
        <v>0.10276653550211338</v>
      </c>
      <c r="P189" s="3">
        <f t="shared" si="125"/>
        <v>0.10276653534333859</v>
      </c>
      <c r="Q189" s="3">
        <f t="shared" si="125"/>
        <v>0.10276653375559053</v>
      </c>
      <c r="R189" s="3">
        <f t="shared" si="125"/>
        <v>0.10276651787811139</v>
      </c>
      <c r="S189" s="3">
        <f t="shared" si="125"/>
        <v>0.10276635910345486</v>
      </c>
      <c r="T189" s="3">
        <f t="shared" si="125"/>
        <v>0.10276477137038137</v>
      </c>
      <c r="U189" s="3">
        <f t="shared" si="125"/>
        <v>0.10274889538875408</v>
      </c>
      <c r="V189" s="3">
        <f t="shared" si="125"/>
        <v>0.10259027040614611</v>
      </c>
      <c r="W189" s="3">
        <f t="shared" si="125"/>
        <v>0.10101742718615664</v>
      </c>
      <c r="X189" s="3">
        <f t="shared" si="125"/>
        <v>8.6556082200876822E-2</v>
      </c>
      <c r="Y189" s="3">
        <f t="shared" si="125"/>
        <v>1.8463348399536377E-2</v>
      </c>
      <c r="Z189" s="3">
        <f t="shared" si="125"/>
        <v>3.6011333711906602E-9</v>
      </c>
      <c r="AA189" s="3">
        <f t="shared" si="125"/>
        <v>2.8689740466543002E-76</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8.2308697100650766E-2</v>
      </c>
      <c r="C190" s="3">
        <f t="shared" si="126"/>
        <v>8.2308697100650766E-2</v>
      </c>
      <c r="D190" s="3">
        <f t="shared" si="126"/>
        <v>8.2308697100650766E-2</v>
      </c>
      <c r="E190" s="3">
        <f t="shared" si="126"/>
        <v>8.2308697100650766E-2</v>
      </c>
      <c r="F190" s="3">
        <f t="shared" si="126"/>
        <v>8.2308697100650766E-2</v>
      </c>
      <c r="G190" s="3">
        <f t="shared" si="126"/>
        <v>8.2308697100650766E-2</v>
      </c>
      <c r="H190" s="3">
        <f t="shared" si="126"/>
        <v>8.2308697100650766E-2</v>
      </c>
      <c r="I190" s="3">
        <f t="shared" si="126"/>
        <v>8.2308697100650766E-2</v>
      </c>
      <c r="J190" s="3">
        <f t="shared" si="126"/>
        <v>8.2308697100650752E-2</v>
      </c>
      <c r="K190" s="3">
        <f t="shared" si="126"/>
        <v>8.2308697100650641E-2</v>
      </c>
      <c r="L190" s="3">
        <f t="shared" si="126"/>
        <v>8.2308697100649489E-2</v>
      </c>
      <c r="M190" s="3">
        <f t="shared" si="126"/>
        <v>8.2308697100638012E-2</v>
      </c>
      <c r="N190" s="3">
        <f t="shared" si="126"/>
        <v>8.2308697100523312E-2</v>
      </c>
      <c r="O190" s="3">
        <f t="shared" si="126"/>
        <v>8.2308697099376146E-2</v>
      </c>
      <c r="P190" s="3">
        <f t="shared" si="126"/>
        <v>8.23086970879046E-2</v>
      </c>
      <c r="Q190" s="3">
        <f t="shared" si="126"/>
        <v>8.2308696973189072E-2</v>
      </c>
      <c r="R190" s="3">
        <f t="shared" si="126"/>
        <v>8.230869582603384E-2</v>
      </c>
      <c r="S190" s="3">
        <f t="shared" si="126"/>
        <v>8.2308684354482395E-2</v>
      </c>
      <c r="T190" s="3">
        <f t="shared" si="126"/>
        <v>8.2308569639055834E-2</v>
      </c>
      <c r="U190" s="3">
        <f t="shared" si="126"/>
        <v>8.2307422493583679E-2</v>
      </c>
      <c r="V190" s="3">
        <f t="shared" si="126"/>
        <v>8.2295951918160942E-2</v>
      </c>
      <c r="W190" s="3">
        <f t="shared" si="126"/>
        <v>8.2181334048484336E-2</v>
      </c>
      <c r="X190" s="3">
        <f t="shared" si="126"/>
        <v>8.1043898655167312E-2</v>
      </c>
      <c r="Y190" s="3">
        <f t="shared" si="126"/>
        <v>7.0500419951047749E-2</v>
      </c>
      <c r="Z190" s="3">
        <f t="shared" si="126"/>
        <v>1.7494659560170208E-2</v>
      </c>
      <c r="AA190" s="3">
        <f t="shared" si="126"/>
        <v>1.5489714491444231E-8</v>
      </c>
      <c r="AB190" s="3">
        <f t="shared" si="126"/>
        <v>4.5858789264803962E-69</v>
      </c>
      <c r="AC190" s="3">
        <f t="shared" si="126"/>
        <v>0</v>
      </c>
      <c r="AD190" s="3">
        <f t="shared" si="126"/>
        <v>0</v>
      </c>
      <c r="AE190" s="3">
        <f t="shared" si="126"/>
        <v>0</v>
      </c>
      <c r="AF190" s="3">
        <f t="shared" si="126"/>
        <v>0</v>
      </c>
      <c r="AG190" s="3"/>
      <c r="AH190" s="3"/>
    </row>
    <row r="191" spans="2:34" x14ac:dyDescent="0.25">
      <c r="B191" s="3">
        <f t="shared" ref="B191:AF191" si="127">$C38*EXP(-B$168/$A38/EXP(-$C$126))</f>
        <v>3.7013792035783422E-2</v>
      </c>
      <c r="C191" s="3">
        <f t="shared" si="127"/>
        <v>3.7013792035783422E-2</v>
      </c>
      <c r="D191" s="3">
        <f t="shared" si="127"/>
        <v>3.7013792035783422E-2</v>
      </c>
      <c r="E191" s="3">
        <f t="shared" si="127"/>
        <v>3.7013792035783422E-2</v>
      </c>
      <c r="F191" s="3">
        <f t="shared" si="127"/>
        <v>3.7013792035783422E-2</v>
      </c>
      <c r="G191" s="3">
        <f t="shared" si="127"/>
        <v>3.7013792035783422E-2</v>
      </c>
      <c r="H191" s="3">
        <f t="shared" si="127"/>
        <v>3.7013792035783422E-2</v>
      </c>
      <c r="I191" s="3">
        <f t="shared" si="127"/>
        <v>3.7013792035783422E-2</v>
      </c>
      <c r="J191" s="3">
        <f t="shared" si="127"/>
        <v>3.7013792035783422E-2</v>
      </c>
      <c r="K191" s="3">
        <f t="shared" si="127"/>
        <v>3.7013792035783415E-2</v>
      </c>
      <c r="L191" s="3">
        <f t="shared" si="127"/>
        <v>3.7013792035783366E-2</v>
      </c>
      <c r="M191" s="3">
        <f t="shared" si="127"/>
        <v>3.7013792035782901E-2</v>
      </c>
      <c r="N191" s="3">
        <f t="shared" si="127"/>
        <v>3.7013792035778252E-2</v>
      </c>
      <c r="O191" s="3">
        <f t="shared" si="127"/>
        <v>3.7013792035731713E-2</v>
      </c>
      <c r="P191" s="3">
        <f t="shared" si="127"/>
        <v>3.7013792035266356E-2</v>
      </c>
      <c r="Q191" s="3">
        <f t="shared" si="127"/>
        <v>3.701379203061278E-2</v>
      </c>
      <c r="R191" s="3">
        <f t="shared" si="127"/>
        <v>3.7013791984077039E-2</v>
      </c>
      <c r="S191" s="3">
        <f t="shared" si="127"/>
        <v>3.7013791518719634E-2</v>
      </c>
      <c r="T191" s="3">
        <f t="shared" si="127"/>
        <v>3.7013786865145837E-2</v>
      </c>
      <c r="U191" s="3">
        <f t="shared" si="127"/>
        <v>3.7013740329440062E-2</v>
      </c>
      <c r="V191" s="3">
        <f t="shared" si="127"/>
        <v>3.7013274975600238E-2</v>
      </c>
      <c r="W191" s="3">
        <f t="shared" si="127"/>
        <v>3.7008621758975221E-2</v>
      </c>
      <c r="X191" s="3">
        <f t="shared" si="127"/>
        <v>3.6962121755086869E-2</v>
      </c>
      <c r="Y191" s="3">
        <f t="shared" si="127"/>
        <v>3.6500323041149092E-2</v>
      </c>
      <c r="Z191" s="3">
        <f t="shared" si="127"/>
        <v>3.2188064035917917E-2</v>
      </c>
      <c r="AA191" s="3">
        <f t="shared" si="127"/>
        <v>9.1553793071690037E-3</v>
      </c>
      <c r="AB191" s="3">
        <f t="shared" si="127"/>
        <v>3.1731543188056785E-8</v>
      </c>
      <c r="AC191" s="3">
        <f t="shared" si="127"/>
        <v>7.9366953493375034E-63</v>
      </c>
      <c r="AD191" s="3">
        <f t="shared" si="127"/>
        <v>0</v>
      </c>
      <c r="AE191" s="3">
        <f t="shared" si="127"/>
        <v>0</v>
      </c>
      <c r="AF191" s="3">
        <f t="shared" si="127"/>
        <v>0</v>
      </c>
      <c r="AG191" s="3"/>
      <c r="AH191" s="3"/>
    </row>
    <row r="192" spans="2:34" x14ac:dyDescent="0.25">
      <c r="B192" s="3">
        <f t="shared" ref="B192:AF192" si="128">$C39*EXP(-B$168/$A39/EXP(-$C$126))</f>
        <v>5.9919400803358086E-2</v>
      </c>
      <c r="C192" s="3">
        <f t="shared" si="128"/>
        <v>5.9919400803358086E-2</v>
      </c>
      <c r="D192" s="3">
        <f t="shared" si="128"/>
        <v>5.9919400803358086E-2</v>
      </c>
      <c r="E192" s="3">
        <f t="shared" si="128"/>
        <v>5.9919400803358086E-2</v>
      </c>
      <c r="F192" s="3">
        <f t="shared" si="128"/>
        <v>5.9919400803358086E-2</v>
      </c>
      <c r="G192" s="3">
        <f t="shared" si="128"/>
        <v>5.9919400803358086E-2</v>
      </c>
      <c r="H192" s="3">
        <f t="shared" si="128"/>
        <v>5.9919400803358086E-2</v>
      </c>
      <c r="I192" s="3">
        <f t="shared" si="128"/>
        <v>5.9919400803358086E-2</v>
      </c>
      <c r="J192" s="3">
        <f t="shared" si="128"/>
        <v>5.9919400803358086E-2</v>
      </c>
      <c r="K192" s="3">
        <f t="shared" si="128"/>
        <v>5.9919400803358086E-2</v>
      </c>
      <c r="L192" s="3">
        <f t="shared" si="128"/>
        <v>5.9919400803358065E-2</v>
      </c>
      <c r="M192" s="3">
        <f t="shared" si="128"/>
        <v>5.991940080335785E-2</v>
      </c>
      <c r="N192" s="3">
        <f t="shared" si="128"/>
        <v>5.9919400803355768E-2</v>
      </c>
      <c r="O192" s="3">
        <f t="shared" si="128"/>
        <v>5.9919400803334938E-2</v>
      </c>
      <c r="P192" s="3">
        <f t="shared" si="128"/>
        <v>5.9919400803126584E-2</v>
      </c>
      <c r="Q192" s="3">
        <f t="shared" si="128"/>
        <v>5.9919400801043035E-2</v>
      </c>
      <c r="R192" s="3">
        <f t="shared" si="128"/>
        <v>5.9919400780207556E-2</v>
      </c>
      <c r="S192" s="3">
        <f t="shared" si="128"/>
        <v>5.9919400571852827E-2</v>
      </c>
      <c r="T192" s="3">
        <f t="shared" si="128"/>
        <v>5.9919398488305478E-2</v>
      </c>
      <c r="U192" s="3">
        <f t="shared" si="128"/>
        <v>5.9919377652836073E-2</v>
      </c>
      <c r="V192" s="3">
        <f t="shared" si="128"/>
        <v>5.9919169298540444E-2</v>
      </c>
      <c r="W192" s="3">
        <f t="shared" si="128"/>
        <v>5.9917085795431181E-2</v>
      </c>
      <c r="X192" s="3">
        <f t="shared" si="128"/>
        <v>5.9896254748527271E-2</v>
      </c>
      <c r="Y192" s="3">
        <f t="shared" si="128"/>
        <v>5.9688342186244352E-2</v>
      </c>
      <c r="Z192" s="3">
        <f t="shared" si="128"/>
        <v>5.7648500025892752E-2</v>
      </c>
      <c r="AA192" s="3">
        <f t="shared" si="128"/>
        <v>4.071673651534783E-2</v>
      </c>
      <c r="AB192" s="3">
        <f t="shared" si="128"/>
        <v>1.2578314819866206E-3</v>
      </c>
      <c r="AC192" s="3">
        <f t="shared" si="128"/>
        <v>9.9567464558115866E-19</v>
      </c>
      <c r="AD192" s="3">
        <f t="shared" si="128"/>
        <v>9.6176136223891408E-170</v>
      </c>
      <c r="AE192" s="3">
        <f t="shared" si="128"/>
        <v>0</v>
      </c>
      <c r="AF192" s="3">
        <f t="shared" si="128"/>
        <v>0</v>
      </c>
      <c r="AG192" s="3"/>
      <c r="AH192" s="3"/>
    </row>
    <row r="193" spans="1:34" x14ac:dyDescent="0.25">
      <c r="B193" s="3">
        <f t="shared" ref="B193:AF193" si="129">$C40*EXP(-B$168/$A40/EXP(-$C$126))</f>
        <v>6.4670451984415095E-2</v>
      </c>
      <c r="C193" s="3">
        <f t="shared" si="129"/>
        <v>6.4670451984415095E-2</v>
      </c>
      <c r="D193" s="3">
        <f t="shared" si="129"/>
        <v>6.4670451984415095E-2</v>
      </c>
      <c r="E193" s="3">
        <f t="shared" si="129"/>
        <v>6.4670451984415095E-2</v>
      </c>
      <c r="F193" s="3">
        <f t="shared" si="129"/>
        <v>6.4670451984415095E-2</v>
      </c>
      <c r="G193" s="3">
        <f t="shared" si="129"/>
        <v>6.4670451984415095E-2</v>
      </c>
      <c r="H193" s="3">
        <f t="shared" si="129"/>
        <v>6.4670451984415095E-2</v>
      </c>
      <c r="I193" s="3">
        <f t="shared" si="129"/>
        <v>6.4670451984415095E-2</v>
      </c>
      <c r="J193" s="3">
        <f t="shared" si="129"/>
        <v>6.4670451984415095E-2</v>
      </c>
      <c r="K193" s="3">
        <f t="shared" si="129"/>
        <v>6.4670451984415095E-2</v>
      </c>
      <c r="L193" s="3">
        <f t="shared" si="129"/>
        <v>6.4670451984415095E-2</v>
      </c>
      <c r="M193" s="3">
        <f t="shared" si="129"/>
        <v>6.4670451984415067E-2</v>
      </c>
      <c r="N193" s="3">
        <f t="shared" si="129"/>
        <v>6.4670451984414845E-2</v>
      </c>
      <c r="O193" s="3">
        <f t="shared" si="129"/>
        <v>6.4670451984412597E-2</v>
      </c>
      <c r="P193" s="3">
        <f t="shared" si="129"/>
        <v>6.4670451984390115E-2</v>
      </c>
      <c r="Q193" s="3">
        <f t="shared" si="129"/>
        <v>6.4670451984165239E-2</v>
      </c>
      <c r="R193" s="3">
        <f t="shared" si="129"/>
        <v>6.4670451981916482E-2</v>
      </c>
      <c r="S193" s="3">
        <f t="shared" si="129"/>
        <v>6.4670451959428943E-2</v>
      </c>
      <c r="T193" s="3">
        <f t="shared" si="129"/>
        <v>6.4670451734553616E-2</v>
      </c>
      <c r="U193" s="3">
        <f t="shared" si="129"/>
        <v>6.4670449485800349E-2</v>
      </c>
      <c r="V193" s="3">
        <f t="shared" si="129"/>
        <v>6.467042699827201E-2</v>
      </c>
      <c r="W193" s="3">
        <f t="shared" si="129"/>
        <v>6.4670202123418619E-2</v>
      </c>
      <c r="X193" s="3">
        <f t="shared" si="129"/>
        <v>6.466795341789118E-2</v>
      </c>
      <c r="Y193" s="3">
        <f t="shared" si="129"/>
        <v>6.4645470662714685E-2</v>
      </c>
      <c r="Z193" s="3">
        <f t="shared" si="129"/>
        <v>6.4421072568010759E-2</v>
      </c>
      <c r="AA193" s="3">
        <f t="shared" si="129"/>
        <v>6.2219489896653157E-2</v>
      </c>
      <c r="AB193" s="3">
        <f t="shared" si="129"/>
        <v>4.3945195019879285E-2</v>
      </c>
      <c r="AC193" s="3">
        <f t="shared" si="129"/>
        <v>1.3575658195791338E-3</v>
      </c>
      <c r="AD193" s="3">
        <f t="shared" si="129"/>
        <v>1.0746223843337759E-18</v>
      </c>
      <c r="AE193" s="3">
        <f t="shared" si="129"/>
        <v>1.038020093045583E-169</v>
      </c>
      <c r="AF193" s="3">
        <f t="shared" si="129"/>
        <v>0</v>
      </c>
      <c r="AG193" s="3"/>
      <c r="AH193" s="3"/>
    </row>
    <row r="194" spans="1:34" x14ac:dyDescent="0.25">
      <c r="B194" s="3">
        <f t="shared" ref="B194:AF194" si="130">$C41*EXP(-B$168/$A41/EXP(-$C$126))</f>
        <v>6.7576207998846588E-2</v>
      </c>
      <c r="C194" s="3">
        <f t="shared" si="130"/>
        <v>6.7576207998846588E-2</v>
      </c>
      <c r="D194" s="3">
        <f t="shared" si="130"/>
        <v>6.7576207998846588E-2</v>
      </c>
      <c r="E194" s="3">
        <f t="shared" si="130"/>
        <v>6.7576207998846588E-2</v>
      </c>
      <c r="F194" s="3">
        <f t="shared" si="130"/>
        <v>6.7576207998846588E-2</v>
      </c>
      <c r="G194" s="3">
        <f t="shared" si="130"/>
        <v>6.7576207998846588E-2</v>
      </c>
      <c r="H194" s="3">
        <f t="shared" si="130"/>
        <v>6.7576207998846588E-2</v>
      </c>
      <c r="I194" s="3">
        <f t="shared" si="130"/>
        <v>6.7576207998846588E-2</v>
      </c>
      <c r="J194" s="3">
        <f t="shared" si="130"/>
        <v>6.7576207998846588E-2</v>
      </c>
      <c r="K194" s="3">
        <f t="shared" si="130"/>
        <v>6.7576207998846588E-2</v>
      </c>
      <c r="L194" s="3">
        <f t="shared" si="130"/>
        <v>6.7576207998846588E-2</v>
      </c>
      <c r="M194" s="3">
        <f t="shared" si="130"/>
        <v>6.7576207998846588E-2</v>
      </c>
      <c r="N194" s="3">
        <f t="shared" si="130"/>
        <v>6.757620799884656E-2</v>
      </c>
      <c r="O194" s="3">
        <f t="shared" si="130"/>
        <v>6.7576207998846324E-2</v>
      </c>
      <c r="P194" s="3">
        <f t="shared" si="130"/>
        <v>6.7576207998843979E-2</v>
      </c>
      <c r="Q194" s="3">
        <f t="shared" si="130"/>
        <v>6.7576207998820484E-2</v>
      </c>
      <c r="R194" s="3">
        <f t="shared" si="130"/>
        <v>6.7576207998585505E-2</v>
      </c>
      <c r="S194" s="3">
        <f t="shared" si="130"/>
        <v>6.7576207996235704E-2</v>
      </c>
      <c r="T194" s="3">
        <f t="shared" si="130"/>
        <v>6.7576207972737765E-2</v>
      </c>
      <c r="U194" s="3">
        <f t="shared" si="130"/>
        <v>6.7576207737758395E-2</v>
      </c>
      <c r="V194" s="3">
        <f t="shared" si="130"/>
        <v>6.757620538796473E-2</v>
      </c>
      <c r="W194" s="3">
        <f t="shared" si="130"/>
        <v>6.7576181890032588E-2</v>
      </c>
      <c r="X194" s="3">
        <f t="shared" si="130"/>
        <v>6.7575946911160464E-2</v>
      </c>
      <c r="Y194" s="3">
        <f t="shared" si="130"/>
        <v>6.7573597167378138E-2</v>
      </c>
      <c r="Z194" s="3">
        <f t="shared" si="130"/>
        <v>6.7550104222863699E-2</v>
      </c>
      <c r="AA194" s="3">
        <f t="shared" si="130"/>
        <v>6.7315623531033805E-2</v>
      </c>
      <c r="AB194" s="3">
        <f t="shared" si="130"/>
        <v>6.5015119916768505E-2</v>
      </c>
      <c r="AC194" s="3">
        <f t="shared" si="130"/>
        <v>4.59197291512497E-2</v>
      </c>
      <c r="AD194" s="3">
        <f t="shared" si="130"/>
        <v>1.4185636157006041E-3</v>
      </c>
      <c r="AE194" s="3">
        <f t="shared" si="130"/>
        <v>1.1229070392372718E-18</v>
      </c>
      <c r="AF194" s="3">
        <f t="shared" si="130"/>
        <v>1.0846601432681301E-169</v>
      </c>
      <c r="AG194" s="3"/>
      <c r="AH194" s="3"/>
    </row>
    <row r="195" spans="1:34" x14ac:dyDescent="0.25">
      <c r="B195" s="3">
        <f t="shared" ref="B195:AF195" si="131">$C42*EXP(-B$168/$A42/EXP(-$C$126))</f>
        <v>7.4650772379504848E-2</v>
      </c>
      <c r="C195" s="3">
        <f t="shared" si="131"/>
        <v>7.4650772379504848E-2</v>
      </c>
      <c r="D195" s="3">
        <f t="shared" si="131"/>
        <v>7.4650772379504848E-2</v>
      </c>
      <c r="E195" s="3">
        <f t="shared" si="131"/>
        <v>7.4650772379504848E-2</v>
      </c>
      <c r="F195" s="3">
        <f t="shared" si="131"/>
        <v>7.4650772379504848E-2</v>
      </c>
      <c r="G195" s="3">
        <f t="shared" si="131"/>
        <v>7.4650772379504848E-2</v>
      </c>
      <c r="H195" s="3">
        <f t="shared" si="131"/>
        <v>7.4650772379504848E-2</v>
      </c>
      <c r="I195" s="3">
        <f t="shared" si="131"/>
        <v>7.4650772379504848E-2</v>
      </c>
      <c r="J195" s="3">
        <f t="shared" si="131"/>
        <v>7.4650772379504848E-2</v>
      </c>
      <c r="K195" s="3">
        <f t="shared" si="131"/>
        <v>7.4650772379504848E-2</v>
      </c>
      <c r="L195" s="3">
        <f t="shared" si="131"/>
        <v>7.4650772379504848E-2</v>
      </c>
      <c r="M195" s="3">
        <f t="shared" si="131"/>
        <v>7.4650772379504848E-2</v>
      </c>
      <c r="N195" s="3">
        <f t="shared" si="131"/>
        <v>7.4650772379504848E-2</v>
      </c>
      <c r="O195" s="3">
        <f t="shared" si="131"/>
        <v>7.4650772379504821E-2</v>
      </c>
      <c r="P195" s="3">
        <f t="shared" si="131"/>
        <v>7.4650772379504557E-2</v>
      </c>
      <c r="Q195" s="3">
        <f t="shared" si="131"/>
        <v>7.4650772379501962E-2</v>
      </c>
      <c r="R195" s="3">
        <f t="shared" si="131"/>
        <v>7.465077237947601E-2</v>
      </c>
      <c r="S195" s="3">
        <f t="shared" si="131"/>
        <v>7.4650772379216426E-2</v>
      </c>
      <c r="T195" s="3">
        <f t="shared" si="131"/>
        <v>7.4650772376620628E-2</v>
      </c>
      <c r="U195" s="3">
        <f t="shared" si="131"/>
        <v>7.4650772350662684E-2</v>
      </c>
      <c r="V195" s="3">
        <f t="shared" si="131"/>
        <v>7.4650772091083298E-2</v>
      </c>
      <c r="W195" s="3">
        <f t="shared" si="131"/>
        <v>7.4650769495289343E-2</v>
      </c>
      <c r="X195" s="3">
        <f t="shared" si="131"/>
        <v>7.4650743537354791E-2</v>
      </c>
      <c r="Y195" s="3">
        <f t="shared" si="131"/>
        <v>7.4650483958505723E-2</v>
      </c>
      <c r="Z195" s="3">
        <f t="shared" si="131"/>
        <v>7.4647888219658592E-2</v>
      </c>
      <c r="AA195" s="3">
        <f t="shared" si="131"/>
        <v>7.4621935794901326E-2</v>
      </c>
      <c r="AB195" s="3">
        <f t="shared" si="131"/>
        <v>7.4362907280701759E-2</v>
      </c>
      <c r="AC195" s="3">
        <f t="shared" si="131"/>
        <v>7.182156356295899E-2</v>
      </c>
      <c r="AD195" s="3">
        <f t="shared" si="131"/>
        <v>5.0727073183167722E-2</v>
      </c>
      <c r="AE195" s="3">
        <f t="shared" si="131"/>
        <v>1.5670732750100549E-3</v>
      </c>
      <c r="AF195" s="3">
        <f t="shared" si="131"/>
        <v>1.2404643627070058E-18</v>
      </c>
      <c r="AG195" s="3"/>
      <c r="AH195" s="3"/>
    </row>
    <row r="196" spans="1:34" x14ac:dyDescent="0.25">
      <c r="B196" s="3">
        <f t="shared" ref="B196:AF196" si="132">$C43*EXP(-B$168/$A43/EXP(-$C$126))</f>
        <v>4.2437426023751848E-2</v>
      </c>
      <c r="C196" s="3">
        <f t="shared" si="132"/>
        <v>4.2437426023751848E-2</v>
      </c>
      <c r="D196" s="3">
        <f t="shared" si="132"/>
        <v>4.2437426023751848E-2</v>
      </c>
      <c r="E196" s="3">
        <f t="shared" si="132"/>
        <v>4.2437426023751848E-2</v>
      </c>
      <c r="F196" s="3">
        <f t="shared" si="132"/>
        <v>4.2437426023751848E-2</v>
      </c>
      <c r="G196" s="3">
        <f t="shared" si="132"/>
        <v>4.2437426023751848E-2</v>
      </c>
      <c r="H196" s="3">
        <f t="shared" si="132"/>
        <v>4.2437426023751848E-2</v>
      </c>
      <c r="I196" s="3">
        <f t="shared" si="132"/>
        <v>4.2437426023751848E-2</v>
      </c>
      <c r="J196" s="3">
        <f t="shared" si="132"/>
        <v>4.2437426023751848E-2</v>
      </c>
      <c r="K196" s="3">
        <f t="shared" si="132"/>
        <v>4.2437426023751848E-2</v>
      </c>
      <c r="L196" s="3">
        <f t="shared" si="132"/>
        <v>4.2437426023751848E-2</v>
      </c>
      <c r="M196" s="3">
        <f t="shared" si="132"/>
        <v>4.2437426023751848E-2</v>
      </c>
      <c r="N196" s="3">
        <f t="shared" si="132"/>
        <v>4.2437426023751848E-2</v>
      </c>
      <c r="O196" s="3">
        <f t="shared" si="132"/>
        <v>4.2437426023751848E-2</v>
      </c>
      <c r="P196" s="3">
        <f t="shared" si="132"/>
        <v>4.2437426023751834E-2</v>
      </c>
      <c r="Q196" s="3">
        <f t="shared" si="132"/>
        <v>4.2437426023751681E-2</v>
      </c>
      <c r="R196" s="3">
        <f t="shared" si="132"/>
        <v>4.243742602375021E-2</v>
      </c>
      <c r="S196" s="3">
        <f t="shared" si="132"/>
        <v>4.2437426023735451E-2</v>
      </c>
      <c r="T196" s="3">
        <f t="shared" si="132"/>
        <v>4.2437426023587889E-2</v>
      </c>
      <c r="U196" s="3">
        <f t="shared" si="132"/>
        <v>4.2437426022112229E-2</v>
      </c>
      <c r="V196" s="3">
        <f t="shared" si="132"/>
        <v>4.2437426007355672E-2</v>
      </c>
      <c r="W196" s="3">
        <f t="shared" si="132"/>
        <v>4.2437425859790136E-2</v>
      </c>
      <c r="X196" s="3">
        <f t="shared" si="132"/>
        <v>4.2437424384134753E-2</v>
      </c>
      <c r="Y196" s="3">
        <f t="shared" si="132"/>
        <v>4.2437409627583793E-2</v>
      </c>
      <c r="Z196" s="3">
        <f t="shared" si="132"/>
        <v>4.243726206235636E-2</v>
      </c>
      <c r="AA196" s="3">
        <f t="shared" si="132"/>
        <v>4.2435786438303306E-2</v>
      </c>
      <c r="AB196" s="3">
        <f t="shared" si="132"/>
        <v>4.2421033019541941E-2</v>
      </c>
      <c r="AC196" s="3">
        <f t="shared" si="132"/>
        <v>4.2273780646137106E-2</v>
      </c>
      <c r="AD196" s="3">
        <f t="shared" si="132"/>
        <v>4.0829079103407398E-2</v>
      </c>
      <c r="AE196" s="3">
        <f t="shared" si="132"/>
        <v>2.8837295944752355E-2</v>
      </c>
      <c r="AF196" s="3">
        <f t="shared" si="132"/>
        <v>8.908488695060819E-4</v>
      </c>
      <c r="AG196" s="3"/>
      <c r="AH196" s="3"/>
    </row>
    <row r="197" spans="1:34" x14ac:dyDescent="0.25">
      <c r="B197" s="3">
        <f t="shared" ref="B197:AF197" si="133">$C44*EXP(-B$168/$A44/EXP(-$C$126))</f>
        <v>2.9362775672931045E-2</v>
      </c>
      <c r="C197" s="3">
        <f t="shared" si="133"/>
        <v>2.9362775672931045E-2</v>
      </c>
      <c r="D197" s="3">
        <f t="shared" si="133"/>
        <v>2.9362775672931045E-2</v>
      </c>
      <c r="E197" s="3">
        <f t="shared" si="133"/>
        <v>2.9362775672931045E-2</v>
      </c>
      <c r="F197" s="3">
        <f t="shared" si="133"/>
        <v>2.9362775672931045E-2</v>
      </c>
      <c r="G197" s="3">
        <f t="shared" si="133"/>
        <v>2.9362775672931045E-2</v>
      </c>
      <c r="H197" s="3">
        <f t="shared" si="133"/>
        <v>2.9362775672931045E-2</v>
      </c>
      <c r="I197" s="3">
        <f t="shared" si="133"/>
        <v>2.9362775672931045E-2</v>
      </c>
      <c r="J197" s="3">
        <f t="shared" si="133"/>
        <v>2.9362775672931045E-2</v>
      </c>
      <c r="K197" s="3">
        <f t="shared" si="133"/>
        <v>2.9362775672931045E-2</v>
      </c>
      <c r="L197" s="3">
        <f t="shared" si="133"/>
        <v>2.9362775672931045E-2</v>
      </c>
      <c r="M197" s="3">
        <f t="shared" si="133"/>
        <v>2.9362775672931045E-2</v>
      </c>
      <c r="N197" s="3">
        <f t="shared" si="133"/>
        <v>2.9362775672931045E-2</v>
      </c>
      <c r="O197" s="3">
        <f t="shared" si="133"/>
        <v>2.9362775672931045E-2</v>
      </c>
      <c r="P197" s="3">
        <f t="shared" si="133"/>
        <v>2.9362775672931045E-2</v>
      </c>
      <c r="Q197" s="3">
        <f t="shared" si="133"/>
        <v>2.9362775672931034E-2</v>
      </c>
      <c r="R197" s="3">
        <f t="shared" si="133"/>
        <v>2.936277567293093E-2</v>
      </c>
      <c r="S197" s="3">
        <f t="shared" si="133"/>
        <v>2.936277567292991E-2</v>
      </c>
      <c r="T197" s="3">
        <f t="shared" si="133"/>
        <v>2.93627756729197E-2</v>
      </c>
      <c r="U197" s="3">
        <f t="shared" si="133"/>
        <v>2.9362775672817601E-2</v>
      </c>
      <c r="V197" s="3">
        <f t="shared" si="133"/>
        <v>2.9362775671796581E-2</v>
      </c>
      <c r="W197" s="3">
        <f t="shared" si="133"/>
        <v>2.9362775661586408E-2</v>
      </c>
      <c r="X197" s="3">
        <f t="shared" si="133"/>
        <v>2.9362775559484699E-2</v>
      </c>
      <c r="Y197" s="3">
        <f t="shared" si="133"/>
        <v>2.9362774538467591E-2</v>
      </c>
      <c r="Z197" s="3">
        <f t="shared" si="133"/>
        <v>2.9362764328298496E-2</v>
      </c>
      <c r="AA197" s="3">
        <f t="shared" si="133"/>
        <v>2.9362662226802807E-2</v>
      </c>
      <c r="AB197" s="3">
        <f t="shared" si="133"/>
        <v>2.9361641231372426E-2</v>
      </c>
      <c r="AC197" s="3">
        <f t="shared" si="133"/>
        <v>2.9351433229472024E-2</v>
      </c>
      <c r="AD197" s="3">
        <f t="shared" si="133"/>
        <v>2.9249548199848104E-2</v>
      </c>
      <c r="AE197" s="3">
        <f t="shared" si="133"/>
        <v>2.8249948287973909E-2</v>
      </c>
      <c r="AF197" s="3">
        <f t="shared" si="133"/>
        <v>1.9952742924742254E-2</v>
      </c>
      <c r="AG197" s="3"/>
      <c r="AH197" s="3"/>
    </row>
    <row r="198" spans="1:34" x14ac:dyDescent="0.25">
      <c r="B198" s="3">
        <f t="shared" ref="B198:AF198" si="134">$C45*EXP(-B$168/$A45/EXP(-$C$126))</f>
        <v>1.3317924951321973E-2</v>
      </c>
      <c r="C198" s="3">
        <f t="shared" si="134"/>
        <v>1.3317924951321973E-2</v>
      </c>
      <c r="D198" s="3">
        <f t="shared" si="134"/>
        <v>1.3317924951321973E-2</v>
      </c>
      <c r="E198" s="3">
        <f t="shared" si="134"/>
        <v>1.3317924951321973E-2</v>
      </c>
      <c r="F198" s="3">
        <f t="shared" si="134"/>
        <v>1.3317924951321973E-2</v>
      </c>
      <c r="G198" s="3">
        <f t="shared" si="134"/>
        <v>1.3317924951321973E-2</v>
      </c>
      <c r="H198" s="3">
        <f t="shared" si="134"/>
        <v>1.3317924951321973E-2</v>
      </c>
      <c r="I198" s="3">
        <f t="shared" si="134"/>
        <v>1.3317924951321973E-2</v>
      </c>
      <c r="J198" s="3">
        <f t="shared" si="134"/>
        <v>1.3317924951321973E-2</v>
      </c>
      <c r="K198" s="3">
        <f t="shared" si="134"/>
        <v>1.3317924951321973E-2</v>
      </c>
      <c r="L198" s="3">
        <f t="shared" si="134"/>
        <v>1.3317924951321973E-2</v>
      </c>
      <c r="M198" s="3">
        <f t="shared" si="134"/>
        <v>1.3317924951321973E-2</v>
      </c>
      <c r="N198" s="3">
        <f t="shared" si="134"/>
        <v>1.3317924951321973E-2</v>
      </c>
      <c r="O198" s="3">
        <f t="shared" si="134"/>
        <v>1.3317924951321973E-2</v>
      </c>
      <c r="P198" s="3">
        <f t="shared" si="134"/>
        <v>1.3317924951321973E-2</v>
      </c>
      <c r="Q198" s="3">
        <f t="shared" si="134"/>
        <v>1.3317924951321973E-2</v>
      </c>
      <c r="R198" s="3">
        <f t="shared" si="134"/>
        <v>1.3317924951321967E-2</v>
      </c>
      <c r="S198" s="3">
        <f t="shared" si="134"/>
        <v>1.3317924951321921E-2</v>
      </c>
      <c r="T198" s="3">
        <f t="shared" si="134"/>
        <v>1.3317924951321457E-2</v>
      </c>
      <c r="U198" s="3">
        <f t="shared" si="134"/>
        <v>1.3317924951316827E-2</v>
      </c>
      <c r="V198" s="3">
        <f t="shared" si="134"/>
        <v>1.3317924951270517E-2</v>
      </c>
      <c r="W198" s="3">
        <f t="shared" si="134"/>
        <v>1.3317924950807421E-2</v>
      </c>
      <c r="X198" s="3">
        <f t="shared" si="134"/>
        <v>1.3317924946176443E-2</v>
      </c>
      <c r="Y198" s="3">
        <f t="shared" si="134"/>
        <v>1.331792489986669E-2</v>
      </c>
      <c r="Z198" s="3">
        <f t="shared" si="134"/>
        <v>1.3317924436769149E-2</v>
      </c>
      <c r="AA198" s="3">
        <f t="shared" si="134"/>
        <v>1.3317919805794637E-2</v>
      </c>
      <c r="AB198" s="3">
        <f t="shared" si="134"/>
        <v>1.3317873496138078E-2</v>
      </c>
      <c r="AC198" s="3">
        <f t="shared" si="134"/>
        <v>1.3317410408429037E-2</v>
      </c>
      <c r="AD198" s="3">
        <f t="shared" si="134"/>
        <v>1.3312780416880322E-2</v>
      </c>
      <c r="AE198" s="3">
        <f t="shared" si="134"/>
        <v>1.3266568941735434E-2</v>
      </c>
      <c r="AF198" s="3">
        <f t="shared" si="134"/>
        <v>1.281318548929973E-2</v>
      </c>
      <c r="AG198" s="3"/>
      <c r="AH198" s="3"/>
    </row>
    <row r="199" spans="1:34" x14ac:dyDescent="0.25">
      <c r="B199" s="3">
        <f t="shared" ref="B199:AF199" si="135">$C46*EXP(-B$168/$A46/EXP(-$C$126))</f>
        <v>4.0600750332731679E-3</v>
      </c>
      <c r="C199" s="3">
        <f t="shared" si="135"/>
        <v>4.0600750332731679E-3</v>
      </c>
      <c r="D199" s="3">
        <f t="shared" si="135"/>
        <v>4.0600750332731679E-3</v>
      </c>
      <c r="E199" s="3">
        <f t="shared" si="135"/>
        <v>4.0600750332731679E-3</v>
      </c>
      <c r="F199" s="3">
        <f t="shared" si="135"/>
        <v>4.0600750332731679E-3</v>
      </c>
      <c r="G199" s="3">
        <f t="shared" si="135"/>
        <v>4.0600750332731679E-3</v>
      </c>
      <c r="H199" s="3">
        <f t="shared" si="135"/>
        <v>4.0600750332731679E-3</v>
      </c>
      <c r="I199" s="3">
        <f t="shared" si="135"/>
        <v>4.0600750332731679E-3</v>
      </c>
      <c r="J199" s="3">
        <f t="shared" si="135"/>
        <v>4.0600750332731679E-3</v>
      </c>
      <c r="K199" s="3">
        <f t="shared" si="135"/>
        <v>4.0600750332731679E-3</v>
      </c>
      <c r="L199" s="3">
        <f t="shared" si="135"/>
        <v>4.0600750332731679E-3</v>
      </c>
      <c r="M199" s="3">
        <f t="shared" si="135"/>
        <v>4.0600750332731679E-3</v>
      </c>
      <c r="N199" s="3">
        <f t="shared" si="135"/>
        <v>4.0600750332731679E-3</v>
      </c>
      <c r="O199" s="3">
        <f t="shared" si="135"/>
        <v>4.0600750332731679E-3</v>
      </c>
      <c r="P199" s="3">
        <f t="shared" si="135"/>
        <v>4.0600750332731679E-3</v>
      </c>
      <c r="Q199" s="3">
        <f t="shared" si="135"/>
        <v>4.0600750332731679E-3</v>
      </c>
      <c r="R199" s="3">
        <f t="shared" si="135"/>
        <v>4.0600750332731679E-3</v>
      </c>
      <c r="S199" s="3">
        <f t="shared" si="135"/>
        <v>4.0600750332731661E-3</v>
      </c>
      <c r="T199" s="3">
        <f t="shared" si="135"/>
        <v>4.0600750332731523E-3</v>
      </c>
      <c r="U199" s="3">
        <f t="shared" si="135"/>
        <v>4.0600750332730109E-3</v>
      </c>
      <c r="V199" s="3">
        <f t="shared" si="135"/>
        <v>4.0600750332715988E-3</v>
      </c>
      <c r="W199" s="3">
        <f t="shared" si="135"/>
        <v>4.0600750332574816E-3</v>
      </c>
      <c r="X199" s="3">
        <f t="shared" si="135"/>
        <v>4.060075033116302E-3</v>
      </c>
      <c r="Y199" s="3">
        <f t="shared" si="135"/>
        <v>4.0600750317045129E-3</v>
      </c>
      <c r="Z199" s="3">
        <f t="shared" si="135"/>
        <v>4.0600750175866169E-3</v>
      </c>
      <c r="AA199" s="3">
        <f t="shared" si="135"/>
        <v>4.0600748764076594E-3</v>
      </c>
      <c r="AB199" s="3">
        <f t="shared" si="135"/>
        <v>4.0600734646183551E-3</v>
      </c>
      <c r="AC199" s="3">
        <f t="shared" si="135"/>
        <v>4.0600593467523156E-3</v>
      </c>
      <c r="AD199" s="3">
        <f t="shared" si="135"/>
        <v>4.0599181707919041E-3</v>
      </c>
      <c r="AE199" s="3">
        <f t="shared" si="135"/>
        <v>4.0585066811521953E-3</v>
      </c>
      <c r="AF199" s="3">
        <f t="shared" si="135"/>
        <v>4.0444187464947871E-3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6.6069827735831333E-3</v>
      </c>
      <c r="C201" s="3">
        <f t="shared" si="137"/>
        <v>6.6069827735831333E-3</v>
      </c>
      <c r="D201" s="3">
        <f t="shared" si="137"/>
        <v>6.6069827735831333E-3</v>
      </c>
      <c r="E201" s="3">
        <f t="shared" si="137"/>
        <v>6.6069827735831333E-3</v>
      </c>
      <c r="F201" s="3">
        <f t="shared" si="137"/>
        <v>6.6069827735831333E-3</v>
      </c>
      <c r="G201" s="3">
        <f t="shared" si="137"/>
        <v>6.6069827735831333E-3</v>
      </c>
      <c r="H201" s="3">
        <f t="shared" si="137"/>
        <v>6.6069827735831333E-3</v>
      </c>
      <c r="I201" s="3">
        <f t="shared" si="137"/>
        <v>6.6069827735831333E-3</v>
      </c>
      <c r="J201" s="3">
        <f t="shared" si="137"/>
        <v>6.6069827735831333E-3</v>
      </c>
      <c r="K201" s="3">
        <f t="shared" si="137"/>
        <v>6.6069827735831333E-3</v>
      </c>
      <c r="L201" s="3">
        <f t="shared" si="137"/>
        <v>6.6069827735831333E-3</v>
      </c>
      <c r="M201" s="3">
        <f t="shared" si="137"/>
        <v>6.6069827735831333E-3</v>
      </c>
      <c r="N201" s="3">
        <f t="shared" si="137"/>
        <v>6.6069827735831333E-3</v>
      </c>
      <c r="O201" s="3">
        <f t="shared" si="137"/>
        <v>6.6069827735831333E-3</v>
      </c>
      <c r="P201" s="3">
        <f t="shared" si="137"/>
        <v>6.6069827735831333E-3</v>
      </c>
      <c r="Q201" s="3">
        <f t="shared" si="137"/>
        <v>6.6069827735831333E-3</v>
      </c>
      <c r="R201" s="3">
        <f t="shared" si="137"/>
        <v>6.6069827735831333E-3</v>
      </c>
      <c r="S201" s="3">
        <f t="shared" si="137"/>
        <v>6.6069827735831333E-3</v>
      </c>
      <c r="T201" s="3">
        <f t="shared" si="137"/>
        <v>6.6069827735831333E-3</v>
      </c>
      <c r="U201" s="3">
        <f t="shared" si="137"/>
        <v>6.6069827735831307E-3</v>
      </c>
      <c r="V201" s="3">
        <f t="shared" si="137"/>
        <v>6.6069827735831073E-3</v>
      </c>
      <c r="W201" s="3">
        <f t="shared" si="137"/>
        <v>6.6069827735828783E-3</v>
      </c>
      <c r="X201" s="3">
        <f t="shared" si="137"/>
        <v>6.6069827735805806E-3</v>
      </c>
      <c r="Y201" s="3">
        <f t="shared" si="137"/>
        <v>6.6069827735576068E-3</v>
      </c>
      <c r="Z201" s="3">
        <f t="shared" si="137"/>
        <v>6.6069827733278652E-3</v>
      </c>
      <c r="AA201" s="3">
        <f t="shared" si="137"/>
        <v>6.6069827710304521E-3</v>
      </c>
      <c r="AB201" s="3">
        <f t="shared" si="137"/>
        <v>6.6069827480563217E-3</v>
      </c>
      <c r="AC201" s="3">
        <f t="shared" si="137"/>
        <v>6.606982518315015E-3</v>
      </c>
      <c r="AD201" s="3">
        <f t="shared" si="137"/>
        <v>6.6069802209023972E-3</v>
      </c>
      <c r="AE201" s="3">
        <f t="shared" si="137"/>
        <v>6.6069572468201547E-3</v>
      </c>
      <c r="AF201" s="3">
        <f t="shared" si="137"/>
        <v>6.6067275103914337E-3</v>
      </c>
      <c r="AG201" s="3"/>
      <c r="AH201" s="3"/>
    </row>
    <row r="202" spans="1:34" x14ac:dyDescent="0.25">
      <c r="A202" s="79">
        <f>AVERAGE(B202:AF202)</f>
        <v>1.122919765459989E-2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1.1711821523221422E-2</v>
      </c>
      <c r="M202" s="80">
        <f t="shared" si="138"/>
        <v>1.1723891256673955E-2</v>
      </c>
      <c r="N202" s="80">
        <f t="shared" si="138"/>
        <v>1.184377818175745E-2</v>
      </c>
      <c r="O202" s="80">
        <f t="shared" si="138"/>
        <v>1.2967392447450449E-2</v>
      </c>
      <c r="P202" s="80">
        <f t="shared" si="138"/>
        <v>2.0731216428113142E-2</v>
      </c>
      <c r="Q202" s="80">
        <f t="shared" si="138"/>
        <v>3.877625494197276E-2</v>
      </c>
      <c r="R202" s="80">
        <f t="shared" si="138"/>
        <v>4.1620573324959532E-2</v>
      </c>
      <c r="S202" s="80">
        <f t="shared" si="138"/>
        <v>4.7574993630997021E-2</v>
      </c>
      <c r="T202" s="80">
        <f t="shared" si="138"/>
        <v>4.3091676411457842E-2</v>
      </c>
      <c r="U202" s="80">
        <f t="shared" si="138"/>
        <v>2.1470350070148794E-3</v>
      </c>
      <c r="V202" s="80">
        <f t="shared" si="138"/>
        <v>0.10591649413897816</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7452.4759243983699</v>
      </c>
      <c r="C203" s="21">
        <f t="shared" ref="C203:AF203" si="139">(C170-C169)^2</f>
        <v>7465.4200749476568</v>
      </c>
      <c r="D203" s="21">
        <f t="shared" si="139"/>
        <v>7458.6138397351251</v>
      </c>
      <c r="E203" s="21">
        <f t="shared" si="139"/>
        <v>7456.8537536139138</v>
      </c>
      <c r="F203" s="21">
        <f t="shared" si="139"/>
        <v>7456.3493794146871</v>
      </c>
      <c r="G203" s="21">
        <f t="shared" si="139"/>
        <v>7456.1884279326914</v>
      </c>
      <c r="H203" s="21">
        <f t="shared" si="139"/>
        <v>7456.1456619930577</v>
      </c>
      <c r="I203" s="21">
        <f t="shared" si="139"/>
        <v>7456.1257836652221</v>
      </c>
      <c r="J203" s="21">
        <f t="shared" si="139"/>
        <v>7456.1416214990786</v>
      </c>
      <c r="K203" s="21">
        <f t="shared" si="139"/>
        <v>7456.2785373420711</v>
      </c>
      <c r="L203" s="21">
        <f t="shared" si="139"/>
        <v>7457.8301035590348</v>
      </c>
      <c r="M203" s="21">
        <f t="shared" si="139"/>
        <v>7473.2040892501982</v>
      </c>
      <c r="N203" s="21">
        <f t="shared" si="139"/>
        <v>7626.7707375996661</v>
      </c>
      <c r="O203" s="21">
        <f t="shared" si="139"/>
        <v>9141.855571356482</v>
      </c>
      <c r="P203" s="21">
        <f t="shared" si="139"/>
        <v>23349.091522269995</v>
      </c>
      <c r="Q203" s="21">
        <f t="shared" si="139"/>
        <v>81152.679933546562</v>
      </c>
      <c r="R203" s="21">
        <f t="shared" si="139"/>
        <v>90436.872667007046</v>
      </c>
      <c r="S203" s="21">
        <f t="shared" si="139"/>
        <v>113280.85695906282</v>
      </c>
      <c r="T203" s="21">
        <f t="shared" si="139"/>
        <v>86809.424329046029</v>
      </c>
      <c r="U203" s="21">
        <f t="shared" si="139"/>
        <v>182.36194875199877</v>
      </c>
      <c r="V203" s="21">
        <f t="shared" si="139"/>
        <v>326289.82541532035</v>
      </c>
      <c r="W203" s="21">
        <f t="shared" si="139"/>
        <v>456355.13668894279</v>
      </c>
      <c r="X203" s="21">
        <f t="shared" si="139"/>
        <v>187338.30544683553</v>
      </c>
      <c r="Y203" s="21">
        <f t="shared" si="139"/>
        <v>26231.458357445732</v>
      </c>
      <c r="Z203" s="21">
        <f t="shared" si="139"/>
        <v>3442.6326159755408</v>
      </c>
      <c r="AA203" s="21">
        <f t="shared" si="139"/>
        <v>39326.79068975136</v>
      </c>
      <c r="AB203" s="21">
        <f t="shared" si="139"/>
        <v>171397.02882047501</v>
      </c>
      <c r="AC203" s="21">
        <f t="shared" si="139"/>
        <v>304657.9883060939</v>
      </c>
      <c r="AD203" s="21">
        <f t="shared" si="139"/>
        <v>432172.25118721917</v>
      </c>
      <c r="AE203" s="21">
        <f t="shared" si="139"/>
        <v>456415.53609454981</v>
      </c>
      <c r="AF203" s="21">
        <f t="shared" si="139"/>
        <v>233305.39217941798</v>
      </c>
      <c r="AG203" s="3"/>
      <c r="AH203" s="3"/>
    </row>
    <row r="204" spans="1:34" x14ac:dyDescent="0.25">
      <c r="A204" s="71">
        <f>SUM(B204:AF204)</f>
        <v>753200.77327677025</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7457.8301035590348</v>
      </c>
      <c r="M204" s="60">
        <f t="shared" ref="M204" si="150">IF($A$64&lt;=M168,IF($B$64&gt;=M168,ABS(M203),0),0)</f>
        <v>7473.2040892501982</v>
      </c>
      <c r="N204" s="60">
        <f t="shared" ref="N204" si="151">IF($A$64&lt;=N168,IF($B$64&gt;=N168,ABS(N203),0),0)</f>
        <v>7626.7707375996661</v>
      </c>
      <c r="O204" s="60">
        <f t="shared" ref="O204" si="152">IF($A$64&lt;=O168,IF($B$64&gt;=O168,ABS(O203),0),0)</f>
        <v>9141.855571356482</v>
      </c>
      <c r="P204" s="60">
        <f t="shared" ref="P204" si="153">IF($A$64&lt;=P168,IF($B$64&gt;=P168,ABS(P203),0),0)</f>
        <v>23349.091522269995</v>
      </c>
      <c r="Q204" s="60">
        <f t="shared" ref="Q204" si="154">IF($A$64&lt;=Q168,IF($B$64&gt;=Q168,ABS(Q203),0),0)</f>
        <v>81152.679933546562</v>
      </c>
      <c r="R204" s="60">
        <f t="shared" ref="R204" si="155">IF($A$64&lt;=R168,IF($B$64&gt;=R168,ABS(R203),0),0)</f>
        <v>90436.872667007046</v>
      </c>
      <c r="S204" s="60">
        <f t="shared" ref="S204" si="156">IF($A$64&lt;=S168,IF($B$64&gt;=S168,ABS(S203),0),0)</f>
        <v>113280.85695906282</v>
      </c>
      <c r="T204" s="60">
        <f t="shared" ref="T204" si="157">IF($A$64&lt;=T168,IF($B$64&gt;=T168,ABS(T203),0),0)</f>
        <v>86809.424329046029</v>
      </c>
      <c r="U204" s="60">
        <f t="shared" ref="U204" si="158">IF($A$64&lt;=U168,IF($B$64&gt;=U168,ABS(U203),0),0)</f>
        <v>182.36194875199877</v>
      </c>
      <c r="V204" s="60">
        <f t="shared" ref="V204" si="159">IF($A$64&lt;=V168,IF($B$64&gt;=V168,ABS(V203),0),0)</f>
        <v>326289.82541532035</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7287.2891982851961</v>
      </c>
      <c r="C209" s="27">
        <f t="shared" ref="C209:AF209" si="170">($C$17+SUM(C210:C240))*$B$51</f>
        <v>7287.2891982846295</v>
      </c>
      <c r="D209" s="27">
        <f t="shared" si="170"/>
        <v>7287.2891982789661</v>
      </c>
      <c r="E209" s="27">
        <f t="shared" si="170"/>
        <v>7287.2891982223218</v>
      </c>
      <c r="F209" s="27">
        <f t="shared" si="170"/>
        <v>7287.2891976558849</v>
      </c>
      <c r="G209" s="27">
        <f t="shared" si="170"/>
        <v>7287.2891919915155</v>
      </c>
      <c r="H209" s="27">
        <f t="shared" si="170"/>
        <v>7287.2891353478308</v>
      </c>
      <c r="I209" s="27">
        <f t="shared" si="170"/>
        <v>7287.2885689134146</v>
      </c>
      <c r="J209" s="27">
        <f t="shared" si="170"/>
        <v>7287.2829048098447</v>
      </c>
      <c r="K209" s="27">
        <f t="shared" si="170"/>
        <v>7287.2262878157799</v>
      </c>
      <c r="L209" s="27">
        <f t="shared" si="170"/>
        <v>7286.6625045384999</v>
      </c>
      <c r="M209" s="27">
        <f t="shared" si="170"/>
        <v>7281.2469289940609</v>
      </c>
      <c r="N209" s="27">
        <f t="shared" si="170"/>
        <v>7239.8247476600673</v>
      </c>
      <c r="O209" s="27">
        <f t="shared" si="170"/>
        <v>7088.9180484706139</v>
      </c>
      <c r="P209" s="27">
        <f t="shared" si="170"/>
        <v>6955.5533270018404</v>
      </c>
      <c r="Q209" s="27">
        <f t="shared" si="170"/>
        <v>6776.5268688591732</v>
      </c>
      <c r="R209" s="27">
        <f t="shared" si="170"/>
        <v>6586.3352435798142</v>
      </c>
      <c r="S209" s="27">
        <f t="shared" si="170"/>
        <v>6358.6509253878194</v>
      </c>
      <c r="T209" s="27">
        <f t="shared" si="170"/>
        <v>6059.5140014288263</v>
      </c>
      <c r="U209" s="27">
        <f t="shared" si="170"/>
        <v>5419.2242647352978</v>
      </c>
      <c r="V209" s="27">
        <f t="shared" si="170"/>
        <v>4563.392697220027</v>
      </c>
      <c r="W209" s="27">
        <f t="shared" si="170"/>
        <v>3792.0601951936828</v>
      </c>
      <c r="X209" s="27">
        <f t="shared" si="170"/>
        <v>3184.0804270663266</v>
      </c>
      <c r="Y209" s="27">
        <f t="shared" si="170"/>
        <v>2723.6995955465209</v>
      </c>
      <c r="Z209" s="27">
        <f t="shared" si="170"/>
        <v>2202.3732137317393</v>
      </c>
      <c r="AA209" s="27">
        <f t="shared" si="170"/>
        <v>1726.2731049262898</v>
      </c>
      <c r="AB209" s="27">
        <f t="shared" si="170"/>
        <v>1227.6485807333984</v>
      </c>
      <c r="AC209" s="27">
        <f t="shared" si="170"/>
        <v>737.84746115049074</v>
      </c>
      <c r="AD209" s="27">
        <f t="shared" si="170"/>
        <v>428.31199469331381</v>
      </c>
      <c r="AE209" s="27">
        <f t="shared" si="170"/>
        <v>230.87171642133146</v>
      </c>
      <c r="AF209" s="27">
        <f t="shared" si="170"/>
        <v>137.42752223319926</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8.2357212068827996E-4</v>
      </c>
      <c r="C219" s="3">
        <f t="shared" si="180"/>
        <v>8.2357212066841207E-4</v>
      </c>
      <c r="D219" s="3">
        <f t="shared" si="180"/>
        <v>8.235721204697318E-4</v>
      </c>
      <c r="E219" s="3">
        <f t="shared" si="180"/>
        <v>8.235721184829298E-4</v>
      </c>
      <c r="F219" s="3">
        <f t="shared" si="180"/>
        <v>8.2357209861490981E-4</v>
      </c>
      <c r="G219" s="3">
        <f t="shared" si="180"/>
        <v>8.2357189993473529E-4</v>
      </c>
      <c r="H219" s="3">
        <f t="shared" si="180"/>
        <v>8.2356991313562724E-4</v>
      </c>
      <c r="I219" s="3">
        <f t="shared" si="180"/>
        <v>8.2355004540815861E-4</v>
      </c>
      <c r="J219" s="3">
        <f t="shared" si="180"/>
        <v>8.2335139449236602E-4</v>
      </c>
      <c r="K219" s="3">
        <f t="shared" si="180"/>
        <v>8.2136751887252094E-4</v>
      </c>
      <c r="L219" s="3">
        <f t="shared" si="180"/>
        <v>8.0178978088965753E-4</v>
      </c>
      <c r="M219" s="3">
        <f t="shared" si="180"/>
        <v>6.2992731067364812E-4</v>
      </c>
      <c r="N219" s="3">
        <f t="shared" si="180"/>
        <v>5.644034344738286E-5</v>
      </c>
      <c r="O219" s="3">
        <f t="shared" si="180"/>
        <v>1.8818358984464944E-15</v>
      </c>
      <c r="P219" s="3">
        <f t="shared" si="180"/>
        <v>3.1952346760448445E-120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2.4665844117633642E-2</v>
      </c>
      <c r="C220" s="3">
        <f t="shared" si="181"/>
        <v>2.4665844117579966E-2</v>
      </c>
      <c r="D220" s="3">
        <f t="shared" si="181"/>
        <v>2.4665844117043187E-2</v>
      </c>
      <c r="E220" s="3">
        <f t="shared" si="181"/>
        <v>2.4665844111675394E-2</v>
      </c>
      <c r="F220" s="3">
        <f t="shared" si="181"/>
        <v>2.4665844057997491E-2</v>
      </c>
      <c r="G220" s="3">
        <f t="shared" si="181"/>
        <v>2.4665843521218478E-2</v>
      </c>
      <c r="H220" s="3">
        <f t="shared" si="181"/>
        <v>2.4665838153428987E-2</v>
      </c>
      <c r="I220" s="3">
        <f t="shared" si="181"/>
        <v>2.4665784475598328E-2</v>
      </c>
      <c r="J220" s="3">
        <f t="shared" si="181"/>
        <v>2.4665247703716416E-2</v>
      </c>
      <c r="K220" s="3">
        <f t="shared" si="181"/>
        <v>2.4659880627317107E-2</v>
      </c>
      <c r="L220" s="3">
        <f t="shared" si="181"/>
        <v>2.4606274053607081E-2</v>
      </c>
      <c r="M220" s="3">
        <f t="shared" si="181"/>
        <v>2.4076575958580964E-2</v>
      </c>
      <c r="N220" s="3">
        <f t="shared" si="181"/>
        <v>1.936793846743616E-2</v>
      </c>
      <c r="O220" s="3">
        <f t="shared" si="181"/>
        <v>2.1977086821525936E-3</v>
      </c>
      <c r="P220" s="3">
        <f t="shared" si="181"/>
        <v>7.77745301333627E-13</v>
      </c>
      <c r="Q220" s="3">
        <f t="shared" si="181"/>
        <v>2.3961285710695131E-107</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1.6291197925316411E-2</v>
      </c>
      <c r="C221" s="3">
        <f t="shared" si="182"/>
        <v>1.6291197925313212E-2</v>
      </c>
      <c r="D221" s="3">
        <f t="shared" si="182"/>
        <v>1.629119792528123E-2</v>
      </c>
      <c r="E221" s="3">
        <f t="shared" si="182"/>
        <v>1.6291197924961413E-2</v>
      </c>
      <c r="F221" s="3">
        <f t="shared" si="182"/>
        <v>1.6291197921763263E-2</v>
      </c>
      <c r="G221" s="3">
        <f t="shared" si="182"/>
        <v>1.6291197889781738E-2</v>
      </c>
      <c r="H221" s="3">
        <f t="shared" si="182"/>
        <v>1.6291197569966494E-2</v>
      </c>
      <c r="I221" s="3">
        <f t="shared" si="182"/>
        <v>1.6291194371814428E-2</v>
      </c>
      <c r="J221" s="3">
        <f t="shared" si="182"/>
        <v>1.6291162390328295E-2</v>
      </c>
      <c r="K221" s="3">
        <f t="shared" si="182"/>
        <v>1.6290842578920019E-2</v>
      </c>
      <c r="L221" s="3">
        <f t="shared" si="182"/>
        <v>1.6287644810118445E-2</v>
      </c>
      <c r="M221" s="3">
        <f t="shared" si="182"/>
        <v>1.6255701625157194E-2</v>
      </c>
      <c r="N221" s="3">
        <f t="shared" si="182"/>
        <v>1.5939695150641552E-2</v>
      </c>
      <c r="O221" s="3">
        <f t="shared" si="182"/>
        <v>1.3098541228183627E-2</v>
      </c>
      <c r="P221" s="3">
        <f t="shared" si="182"/>
        <v>1.8392981477428107E-3</v>
      </c>
      <c r="Q221" s="3">
        <f t="shared" si="182"/>
        <v>5.48206467031375E-12</v>
      </c>
      <c r="R221" s="3">
        <f t="shared" si="182"/>
        <v>3.0329438095359021E-97</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2.6847553865855644E-2</v>
      </c>
      <c r="C222" s="3">
        <f t="shared" si="183"/>
        <v>2.6847553865855169E-2</v>
      </c>
      <c r="D222" s="3">
        <f t="shared" si="183"/>
        <v>2.6847553865850415E-2</v>
      </c>
      <c r="E222" s="3">
        <f t="shared" si="183"/>
        <v>2.684755386580287E-2</v>
      </c>
      <c r="F222" s="3">
        <f t="shared" si="183"/>
        <v>2.6847553865327427E-2</v>
      </c>
      <c r="G222" s="3">
        <f t="shared" si="183"/>
        <v>2.6847553860573008E-2</v>
      </c>
      <c r="H222" s="3">
        <f t="shared" si="183"/>
        <v>2.6847553813028818E-2</v>
      </c>
      <c r="I222" s="3">
        <f t="shared" si="183"/>
        <v>2.684755333758692E-2</v>
      </c>
      <c r="J222" s="3">
        <f t="shared" si="183"/>
        <v>2.6847548583168408E-2</v>
      </c>
      <c r="K222" s="3">
        <f t="shared" si="183"/>
        <v>2.6847501039029598E-2</v>
      </c>
      <c r="L222" s="3">
        <f t="shared" si="183"/>
        <v>2.6847025602272229E-2</v>
      </c>
      <c r="M222" s="3">
        <f t="shared" si="183"/>
        <v>2.6842271697741463E-2</v>
      </c>
      <c r="N222" s="3">
        <f t="shared" si="183"/>
        <v>2.6794778926401419E-2</v>
      </c>
      <c r="O222" s="3">
        <f t="shared" si="183"/>
        <v>2.6324448432710926E-2</v>
      </c>
      <c r="P222" s="3">
        <f t="shared" si="183"/>
        <v>2.2052117692532392E-2</v>
      </c>
      <c r="Q222" s="3">
        <f t="shared" si="183"/>
        <v>3.7528440264105512E-3</v>
      </c>
      <c r="R222" s="3">
        <f t="shared" si="183"/>
        <v>7.6464991966227663E-11</v>
      </c>
      <c r="S222" s="3">
        <f t="shared" si="183"/>
        <v>9.429398080893342E-88</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2.5906186741603658E-2</v>
      </c>
      <c r="C223" s="3">
        <f t="shared" si="184"/>
        <v>2.590618674160362E-2</v>
      </c>
      <c r="D223" s="3">
        <f t="shared" si="184"/>
        <v>2.5906186741603204E-2</v>
      </c>
      <c r="E223" s="3">
        <f t="shared" si="184"/>
        <v>2.5906186741599065E-2</v>
      </c>
      <c r="F223" s="3">
        <f t="shared" si="184"/>
        <v>2.5906186741557681E-2</v>
      </c>
      <c r="G223" s="3">
        <f t="shared" si="184"/>
        <v>2.5906186741143832E-2</v>
      </c>
      <c r="H223" s="3">
        <f t="shared" si="184"/>
        <v>2.5906186737005333E-2</v>
      </c>
      <c r="I223" s="3">
        <f t="shared" si="184"/>
        <v>2.5906186695620347E-2</v>
      </c>
      <c r="J223" s="3">
        <f t="shared" si="184"/>
        <v>2.590618628177049E-2</v>
      </c>
      <c r="K223" s="3">
        <f t="shared" si="184"/>
        <v>2.5906182143272265E-2</v>
      </c>
      <c r="L223" s="3">
        <f t="shared" si="184"/>
        <v>2.5906140758326392E-2</v>
      </c>
      <c r="M223" s="3">
        <f t="shared" si="184"/>
        <v>2.5905726912503809E-2</v>
      </c>
      <c r="N223" s="3">
        <f t="shared" si="184"/>
        <v>2.5901588817871659E-2</v>
      </c>
      <c r="O223" s="3">
        <f t="shared" si="184"/>
        <v>2.5860244209434717E-2</v>
      </c>
      <c r="P223" s="3">
        <f t="shared" si="184"/>
        <v>2.5450410526654754E-2</v>
      </c>
      <c r="Q223" s="3">
        <f t="shared" si="184"/>
        <v>2.16928440999666E-2</v>
      </c>
      <c r="R223" s="3">
        <f t="shared" si="184"/>
        <v>4.3906975831040137E-3</v>
      </c>
      <c r="S223" s="3">
        <f t="shared" si="184"/>
        <v>5.0664507773842245E-10</v>
      </c>
      <c r="T223" s="3">
        <f t="shared" si="184"/>
        <v>2.120346563865361E-79</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3.2694648537282267E-2</v>
      </c>
      <c r="C224" s="3">
        <f t="shared" si="185"/>
        <v>3.269464853728226E-2</v>
      </c>
      <c r="D224" s="3">
        <f t="shared" si="185"/>
        <v>3.2694648537282218E-2</v>
      </c>
      <c r="E224" s="3">
        <f t="shared" si="185"/>
        <v>3.2694648537281747E-2</v>
      </c>
      <c r="F224" s="3">
        <f t="shared" si="185"/>
        <v>3.2694648537277035E-2</v>
      </c>
      <c r="G224" s="3">
        <f t="shared" si="185"/>
        <v>3.269464853722992E-2</v>
      </c>
      <c r="H224" s="3">
        <f t="shared" si="185"/>
        <v>3.2694648536758762E-2</v>
      </c>
      <c r="I224" s="3">
        <f t="shared" si="185"/>
        <v>3.2694648532047225E-2</v>
      </c>
      <c r="J224" s="3">
        <f t="shared" si="185"/>
        <v>3.2694648484931858E-2</v>
      </c>
      <c r="K224" s="3">
        <f t="shared" si="185"/>
        <v>3.269464801377818E-2</v>
      </c>
      <c r="L224" s="3">
        <f t="shared" si="185"/>
        <v>3.2694643302241796E-2</v>
      </c>
      <c r="M224" s="3">
        <f t="shared" si="185"/>
        <v>3.269459618691526E-2</v>
      </c>
      <c r="N224" s="3">
        <f t="shared" si="185"/>
        <v>3.2694125037384246E-2</v>
      </c>
      <c r="O224" s="3">
        <f t="shared" si="185"/>
        <v>3.2689413915483606E-2</v>
      </c>
      <c r="P224" s="3">
        <f t="shared" si="185"/>
        <v>3.264234001753346E-2</v>
      </c>
      <c r="Q224" s="3">
        <f t="shared" si="185"/>
        <v>3.2175313320653494E-2</v>
      </c>
      <c r="R224" s="3">
        <f t="shared" si="185"/>
        <v>2.7857220970017523E-2</v>
      </c>
      <c r="S224" s="3">
        <f t="shared" si="185"/>
        <v>6.5930722233160889E-3</v>
      </c>
      <c r="T224" s="3">
        <f t="shared" si="185"/>
        <v>3.6357019578941245E-9</v>
      </c>
      <c r="U224" s="3">
        <f t="shared" si="185"/>
        <v>9.4535011768384767E-72</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3.3282078428276948E-2</v>
      </c>
      <c r="C225" s="3">
        <f t="shared" si="186"/>
        <v>3.3282078428276948E-2</v>
      </c>
      <c r="D225" s="3">
        <f t="shared" si="186"/>
        <v>3.3282078428276941E-2</v>
      </c>
      <c r="E225" s="3">
        <f t="shared" si="186"/>
        <v>3.32820784282769E-2</v>
      </c>
      <c r="F225" s="3">
        <f t="shared" si="186"/>
        <v>3.328207842827647E-2</v>
      </c>
      <c r="G225" s="3">
        <f t="shared" si="186"/>
        <v>3.328207842827214E-2</v>
      </c>
      <c r="H225" s="3">
        <f t="shared" si="186"/>
        <v>3.3282078428228876E-2</v>
      </c>
      <c r="I225" s="3">
        <f t="shared" si="186"/>
        <v>3.3282078427796215E-2</v>
      </c>
      <c r="J225" s="3">
        <f t="shared" si="186"/>
        <v>3.3282078423469662E-2</v>
      </c>
      <c r="K225" s="3">
        <f t="shared" si="186"/>
        <v>3.3282078380204035E-2</v>
      </c>
      <c r="L225" s="3">
        <f t="shared" si="186"/>
        <v>3.3282077947547825E-2</v>
      </c>
      <c r="M225" s="3">
        <f t="shared" si="186"/>
        <v>3.3282073620986029E-2</v>
      </c>
      <c r="N225" s="3">
        <f t="shared" si="186"/>
        <v>3.3282030355399041E-2</v>
      </c>
      <c r="O225" s="3">
        <f t="shared" si="186"/>
        <v>3.3281597702622505E-2</v>
      </c>
      <c r="P225" s="3">
        <f t="shared" si="186"/>
        <v>3.3277271484182094E-2</v>
      </c>
      <c r="Q225" s="3">
        <f t="shared" si="186"/>
        <v>3.3234040217398467E-2</v>
      </c>
      <c r="R225" s="3">
        <f t="shared" si="186"/>
        <v>3.2804804492180532E-2</v>
      </c>
      <c r="S225" s="3">
        <f t="shared" si="186"/>
        <v>2.8805842462588955E-2</v>
      </c>
      <c r="T225" s="3">
        <f t="shared" si="186"/>
        <v>7.8507627881749375E-3</v>
      </c>
      <c r="U225" s="3">
        <f t="shared" si="186"/>
        <v>1.7751072424899656E-8</v>
      </c>
      <c r="V225" s="3">
        <f t="shared" si="186"/>
        <v>6.1994334510468598E-65</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0.1075539898267141</v>
      </c>
      <c r="C226" s="3">
        <f t="shared" si="187"/>
        <v>0.1075539898267141</v>
      </c>
      <c r="D226" s="3">
        <f t="shared" si="187"/>
        <v>0.1075539898267141</v>
      </c>
      <c r="E226" s="3">
        <f t="shared" si="187"/>
        <v>0.10755398982671409</v>
      </c>
      <c r="F226" s="3">
        <f t="shared" si="187"/>
        <v>0.10755398982671396</v>
      </c>
      <c r="G226" s="3">
        <f t="shared" si="187"/>
        <v>0.1075539898267127</v>
      </c>
      <c r="H226" s="3">
        <f t="shared" si="187"/>
        <v>0.10755398982670009</v>
      </c>
      <c r="I226" s="3">
        <f t="shared" si="187"/>
        <v>0.10755398982657396</v>
      </c>
      <c r="J226" s="3">
        <f t="shared" si="187"/>
        <v>0.1075539898253127</v>
      </c>
      <c r="K226" s="3">
        <f t="shared" si="187"/>
        <v>0.10755398981270006</v>
      </c>
      <c r="L226" s="3">
        <f t="shared" si="187"/>
        <v>0.10755398968657379</v>
      </c>
      <c r="M226" s="3">
        <f t="shared" si="187"/>
        <v>0.10755398842531089</v>
      </c>
      <c r="N226" s="3">
        <f t="shared" si="187"/>
        <v>0.10755397581268275</v>
      </c>
      <c r="O226" s="3">
        <f t="shared" si="187"/>
        <v>0.10755384968648286</v>
      </c>
      <c r="P226" s="3">
        <f t="shared" si="187"/>
        <v>0.1075525884326186</v>
      </c>
      <c r="Q226" s="3">
        <f t="shared" si="187"/>
        <v>0.1075399767074179</v>
      </c>
      <c r="R226" s="3">
        <f t="shared" si="187"/>
        <v>0.10741394076430456</v>
      </c>
      <c r="S226" s="3">
        <f t="shared" si="187"/>
        <v>0.10616167705373254</v>
      </c>
      <c r="T226" s="3">
        <f t="shared" si="187"/>
        <v>9.4414560251794857E-2</v>
      </c>
      <c r="U226" s="3">
        <f t="shared" si="187"/>
        <v>2.9224764237909692E-2</v>
      </c>
      <c r="V226" s="3">
        <f t="shared" si="187"/>
        <v>2.3597795458878209E-7</v>
      </c>
      <c r="W226" s="3">
        <f t="shared" si="187"/>
        <v>2.7801971490602023E-58</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0.13355176295714186</v>
      </c>
      <c r="C227" s="3">
        <f t="shared" si="188"/>
        <v>0.13355176295714186</v>
      </c>
      <c r="D227" s="3">
        <f t="shared" si="188"/>
        <v>0.13355176295714186</v>
      </c>
      <c r="E227" s="3">
        <f t="shared" si="188"/>
        <v>0.13355176295714186</v>
      </c>
      <c r="F227" s="3">
        <f t="shared" si="188"/>
        <v>0.13355176295714183</v>
      </c>
      <c r="G227" s="3">
        <f t="shared" si="188"/>
        <v>0.13355176295714169</v>
      </c>
      <c r="H227" s="3">
        <f t="shared" si="188"/>
        <v>0.13355176295714027</v>
      </c>
      <c r="I227" s="3">
        <f t="shared" si="188"/>
        <v>0.13355176295712615</v>
      </c>
      <c r="J227" s="3">
        <f t="shared" si="188"/>
        <v>0.13355176295698487</v>
      </c>
      <c r="K227" s="3">
        <f t="shared" si="188"/>
        <v>0.13355176295557208</v>
      </c>
      <c r="L227" s="3">
        <f t="shared" si="188"/>
        <v>0.13355176294144427</v>
      </c>
      <c r="M227" s="3">
        <f t="shared" si="188"/>
        <v>0.13355176280016601</v>
      </c>
      <c r="N227" s="3">
        <f t="shared" si="188"/>
        <v>0.13355176138738351</v>
      </c>
      <c r="O227" s="3">
        <f t="shared" si="188"/>
        <v>0.13355174725955923</v>
      </c>
      <c r="P227" s="3">
        <f t="shared" si="188"/>
        <v>0.13355160598139859</v>
      </c>
      <c r="Q227" s="3">
        <f t="shared" si="188"/>
        <v>0.13355019320801192</v>
      </c>
      <c r="R227" s="3">
        <f t="shared" si="188"/>
        <v>0.1335360662960943</v>
      </c>
      <c r="S227" s="3">
        <f t="shared" si="188"/>
        <v>0.13339487933964247</v>
      </c>
      <c r="T227" s="3">
        <f t="shared" si="188"/>
        <v>0.13199119397939402</v>
      </c>
      <c r="U227" s="3">
        <f t="shared" si="188"/>
        <v>0.11874161371468124</v>
      </c>
      <c r="V227" s="3">
        <f t="shared" si="188"/>
        <v>4.1227105022740851E-2</v>
      </c>
      <c r="W227" s="3">
        <f t="shared" si="188"/>
        <v>1.0494983694632307E-6</v>
      </c>
      <c r="X227" s="3">
        <f t="shared" si="188"/>
        <v>1.1994193582589122E-52</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0.10276653551975504</v>
      </c>
      <c r="C228" s="3">
        <f t="shared" si="189"/>
        <v>0.10276653551975504</v>
      </c>
      <c r="D228" s="3">
        <f t="shared" si="189"/>
        <v>0.10276653551975504</v>
      </c>
      <c r="E228" s="3">
        <f t="shared" si="189"/>
        <v>0.10276653551975504</v>
      </c>
      <c r="F228" s="3">
        <f t="shared" si="189"/>
        <v>0.10276653551975504</v>
      </c>
      <c r="G228" s="3">
        <f t="shared" si="189"/>
        <v>0.10276653551975502</v>
      </c>
      <c r="H228" s="3">
        <f t="shared" si="189"/>
        <v>0.10276653551975493</v>
      </c>
      <c r="I228" s="3">
        <f t="shared" si="189"/>
        <v>0.10276653551975394</v>
      </c>
      <c r="J228" s="3">
        <f t="shared" si="189"/>
        <v>0.10276653551974414</v>
      </c>
      <c r="K228" s="3">
        <f t="shared" si="189"/>
        <v>0.10276653551964608</v>
      </c>
      <c r="L228" s="3">
        <f t="shared" si="189"/>
        <v>0.10276653551866539</v>
      </c>
      <c r="M228" s="3">
        <f t="shared" si="189"/>
        <v>0.10276653550885867</v>
      </c>
      <c r="N228" s="3">
        <f t="shared" si="189"/>
        <v>0.10276653541079142</v>
      </c>
      <c r="O228" s="3">
        <f t="shared" si="189"/>
        <v>0.10276653443011893</v>
      </c>
      <c r="P228" s="3">
        <f t="shared" si="189"/>
        <v>0.10276652462339457</v>
      </c>
      <c r="Q228" s="3">
        <f t="shared" si="189"/>
        <v>0.1027664265562024</v>
      </c>
      <c r="R228" s="3">
        <f t="shared" si="189"/>
        <v>0.10276544588942772</v>
      </c>
      <c r="S228" s="3">
        <f t="shared" si="189"/>
        <v>0.10275563973636639</v>
      </c>
      <c r="T228" s="3">
        <f t="shared" si="189"/>
        <v>0.10265762965613415</v>
      </c>
      <c r="U228" s="3">
        <f t="shared" si="189"/>
        <v>0.10168265577205458</v>
      </c>
      <c r="V228" s="3">
        <f t="shared" si="189"/>
        <v>9.2427959426921044E-2</v>
      </c>
      <c r="W228" s="3">
        <f t="shared" si="189"/>
        <v>3.5593296167190792E-2</v>
      </c>
      <c r="X228" s="3">
        <f t="shared" si="189"/>
        <v>2.5527991182632777E-6</v>
      </c>
      <c r="Y228" s="3">
        <f t="shared" si="189"/>
        <v>9.1939252787869354E-48</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8.2308697100650766E-2</v>
      </c>
      <c r="C229" s="3">
        <f t="shared" si="190"/>
        <v>8.2308697100650766E-2</v>
      </c>
      <c r="D229" s="3">
        <f t="shared" si="190"/>
        <v>8.2308697100650766E-2</v>
      </c>
      <c r="E229" s="3">
        <f t="shared" si="190"/>
        <v>8.2308697100650766E-2</v>
      </c>
      <c r="F229" s="3">
        <f t="shared" si="190"/>
        <v>8.2308697100650766E-2</v>
      </c>
      <c r="G229" s="3">
        <f t="shared" si="190"/>
        <v>8.2308697100650766E-2</v>
      </c>
      <c r="H229" s="3">
        <f t="shared" si="190"/>
        <v>8.2308697100650752E-2</v>
      </c>
      <c r="I229" s="3">
        <f t="shared" si="190"/>
        <v>8.2308697100650682E-2</v>
      </c>
      <c r="J229" s="3">
        <f t="shared" si="190"/>
        <v>8.2308697100649975E-2</v>
      </c>
      <c r="K229" s="3">
        <f t="shared" si="190"/>
        <v>8.2308697100642883E-2</v>
      </c>
      <c r="L229" s="3">
        <f t="shared" si="190"/>
        <v>8.2308697100572037E-2</v>
      </c>
      <c r="M229" s="3">
        <f t="shared" si="190"/>
        <v>8.2308697099863506E-2</v>
      </c>
      <c r="N229" s="3">
        <f t="shared" si="190"/>
        <v>8.2308697092778091E-2</v>
      </c>
      <c r="O229" s="3">
        <f t="shared" si="190"/>
        <v>8.230869702192406E-2</v>
      </c>
      <c r="P229" s="3">
        <f t="shared" si="190"/>
        <v>8.2308696313383695E-2</v>
      </c>
      <c r="Q229" s="3">
        <f t="shared" si="190"/>
        <v>8.2308689227980417E-2</v>
      </c>
      <c r="R229" s="3">
        <f t="shared" si="190"/>
        <v>8.2308618373981249E-2</v>
      </c>
      <c r="S229" s="3">
        <f t="shared" si="190"/>
        <v>8.2307909837344082E-2</v>
      </c>
      <c r="T229" s="3">
        <f t="shared" si="190"/>
        <v>8.2300824806424699E-2</v>
      </c>
      <c r="U229" s="3">
        <f t="shared" si="190"/>
        <v>8.2230008031779794E-2</v>
      </c>
      <c r="V229" s="3">
        <f t="shared" si="190"/>
        <v>8.1525183083747149E-2</v>
      </c>
      <c r="W229" s="3">
        <f t="shared" si="190"/>
        <v>7.4800807093326094E-2</v>
      </c>
      <c r="X229" s="3">
        <f t="shared" si="190"/>
        <v>3.1626511811969064E-2</v>
      </c>
      <c r="Y229" s="3">
        <f t="shared" si="190"/>
        <v>5.7743274005057034E-6</v>
      </c>
      <c r="Z229" s="3">
        <f t="shared" si="190"/>
        <v>2.3768539715892153E-43</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3.7013792035783422E-2</v>
      </c>
      <c r="C230" s="3">
        <f t="shared" si="191"/>
        <v>3.7013792035783422E-2</v>
      </c>
      <c r="D230" s="3">
        <f t="shared" si="191"/>
        <v>3.7013792035783422E-2</v>
      </c>
      <c r="E230" s="3">
        <f t="shared" si="191"/>
        <v>3.7013792035783422E-2</v>
      </c>
      <c r="F230" s="3">
        <f t="shared" si="191"/>
        <v>3.7013792035783422E-2</v>
      </c>
      <c r="G230" s="3">
        <f t="shared" si="191"/>
        <v>3.7013792035783422E-2</v>
      </c>
      <c r="H230" s="3">
        <f t="shared" si="191"/>
        <v>3.7013792035783422E-2</v>
      </c>
      <c r="I230" s="3">
        <f t="shared" si="191"/>
        <v>3.7013792035783415E-2</v>
      </c>
      <c r="J230" s="3">
        <f t="shared" si="191"/>
        <v>3.7013792035783387E-2</v>
      </c>
      <c r="K230" s="3">
        <f t="shared" si="191"/>
        <v>3.7013792035783102E-2</v>
      </c>
      <c r="L230" s="3">
        <f t="shared" si="191"/>
        <v>3.701379203578023E-2</v>
      </c>
      <c r="M230" s="3">
        <f t="shared" si="191"/>
        <v>3.7013792035751482E-2</v>
      </c>
      <c r="N230" s="3">
        <f t="shared" si="191"/>
        <v>3.7013792035464059E-2</v>
      </c>
      <c r="O230" s="3">
        <f t="shared" si="191"/>
        <v>3.7013792032589775E-2</v>
      </c>
      <c r="P230" s="3">
        <f t="shared" si="191"/>
        <v>3.7013792003846982E-2</v>
      </c>
      <c r="Q230" s="3">
        <f t="shared" si="191"/>
        <v>3.7013791716419005E-2</v>
      </c>
      <c r="R230" s="3">
        <f t="shared" si="191"/>
        <v>3.701378884213935E-2</v>
      </c>
      <c r="S230" s="3">
        <f t="shared" si="191"/>
        <v>3.7013760099355121E-2</v>
      </c>
      <c r="T230" s="3">
        <f t="shared" si="191"/>
        <v>3.7013472672740425E-2</v>
      </c>
      <c r="U230" s="3">
        <f t="shared" si="191"/>
        <v>3.7010598529349611E-2</v>
      </c>
      <c r="V230" s="3">
        <f t="shared" si="191"/>
        <v>3.6981869367532047E-2</v>
      </c>
      <c r="W230" s="3">
        <f t="shared" si="191"/>
        <v>3.6695801439698743E-2</v>
      </c>
      <c r="X230" s="3">
        <f t="shared" si="191"/>
        <v>3.3954047117701565E-2</v>
      </c>
      <c r="Y230" s="3">
        <f t="shared" si="191"/>
        <v>1.5618641090758504E-2</v>
      </c>
      <c r="Z230" s="3">
        <f t="shared" si="191"/>
        <v>6.6246086388284171E-6</v>
      </c>
      <c r="AA230" s="3">
        <f t="shared" si="191"/>
        <v>1.2483318214682105E-39</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5.9919400803358086E-2</v>
      </c>
      <c r="C231" s="3">
        <f t="shared" si="192"/>
        <v>5.9919400803358086E-2</v>
      </c>
      <c r="D231" s="3">
        <f t="shared" si="192"/>
        <v>5.9919400803358086E-2</v>
      </c>
      <c r="E231" s="3">
        <f t="shared" si="192"/>
        <v>5.9919400803358086E-2</v>
      </c>
      <c r="F231" s="3">
        <f t="shared" si="192"/>
        <v>5.9919400803358086E-2</v>
      </c>
      <c r="G231" s="3">
        <f t="shared" si="192"/>
        <v>5.9919400803358086E-2</v>
      </c>
      <c r="H231" s="3">
        <f t="shared" si="192"/>
        <v>5.9919400803358086E-2</v>
      </c>
      <c r="I231" s="3">
        <f t="shared" si="192"/>
        <v>5.9919400803358086E-2</v>
      </c>
      <c r="J231" s="3">
        <f t="shared" si="192"/>
        <v>5.9919400803358072E-2</v>
      </c>
      <c r="K231" s="3">
        <f t="shared" si="192"/>
        <v>5.9919400803357947E-2</v>
      </c>
      <c r="L231" s="3">
        <f t="shared" si="192"/>
        <v>5.9919400803356657E-2</v>
      </c>
      <c r="M231" s="3">
        <f t="shared" si="192"/>
        <v>5.9919400803343792E-2</v>
      </c>
      <c r="N231" s="3">
        <f t="shared" si="192"/>
        <v>5.9919400803215096E-2</v>
      </c>
      <c r="O231" s="3">
        <f t="shared" si="192"/>
        <v>5.9919400801928195E-2</v>
      </c>
      <c r="P231" s="3">
        <f t="shared" si="192"/>
        <v>5.991940078905917E-2</v>
      </c>
      <c r="Q231" s="3">
        <f t="shared" si="192"/>
        <v>5.9919400660368868E-2</v>
      </c>
      <c r="R231" s="3">
        <f t="shared" si="192"/>
        <v>5.9919399373465979E-2</v>
      </c>
      <c r="S231" s="3">
        <f t="shared" si="192"/>
        <v>5.9919386504438545E-2</v>
      </c>
      <c r="T231" s="3">
        <f t="shared" si="192"/>
        <v>5.9919257814316194E-2</v>
      </c>
      <c r="U231" s="3">
        <f t="shared" si="192"/>
        <v>5.9917970928294144E-2</v>
      </c>
      <c r="V231" s="3">
        <f t="shared" si="192"/>
        <v>5.9905103588090605E-2</v>
      </c>
      <c r="W231" s="3">
        <f t="shared" si="192"/>
        <v>5.9776582067036885E-2</v>
      </c>
      <c r="X231" s="3">
        <f t="shared" si="192"/>
        <v>5.8506434951522322E-2</v>
      </c>
      <c r="Y231" s="3">
        <f t="shared" si="192"/>
        <v>4.7198608945407387E-2</v>
      </c>
      <c r="Z231" s="3">
        <f t="shared" si="192"/>
        <v>5.5104216992805845E-3</v>
      </c>
      <c r="AA231" s="3">
        <f t="shared" si="192"/>
        <v>2.5926339312321866E-12</v>
      </c>
      <c r="AB231" s="3">
        <f t="shared" si="192"/>
        <v>1.3781765312042205E-105</v>
      </c>
      <c r="AC231" s="3">
        <f t="shared" si="192"/>
        <v>0</v>
      </c>
      <c r="AD231" s="3">
        <f t="shared" si="192"/>
        <v>0</v>
      </c>
      <c r="AE231" s="3">
        <f t="shared" si="192"/>
        <v>0</v>
      </c>
      <c r="AF231" s="3">
        <f t="shared" si="192"/>
        <v>0</v>
      </c>
      <c r="AG231" s="3"/>
      <c r="AH231" s="3"/>
    </row>
    <row r="232" spans="2:34" x14ac:dyDescent="0.25">
      <c r="B232" s="3">
        <f t="shared" ref="B232:AF232" si="193">$C40*EXP(-B$207/$A40/EXP(-$D$126))</f>
        <v>6.4670451984415095E-2</v>
      </c>
      <c r="C232" s="3">
        <f t="shared" si="193"/>
        <v>6.4670451984415095E-2</v>
      </c>
      <c r="D232" s="3">
        <f t="shared" si="193"/>
        <v>6.4670451984415095E-2</v>
      </c>
      <c r="E232" s="3">
        <f t="shared" si="193"/>
        <v>6.4670451984415095E-2</v>
      </c>
      <c r="F232" s="3">
        <f t="shared" si="193"/>
        <v>6.4670451984415095E-2</v>
      </c>
      <c r="G232" s="3">
        <f t="shared" si="193"/>
        <v>6.4670451984415095E-2</v>
      </c>
      <c r="H232" s="3">
        <f t="shared" si="193"/>
        <v>6.4670451984415095E-2</v>
      </c>
      <c r="I232" s="3">
        <f t="shared" si="193"/>
        <v>6.4670451984415095E-2</v>
      </c>
      <c r="J232" s="3">
        <f t="shared" si="193"/>
        <v>6.4670451984415095E-2</v>
      </c>
      <c r="K232" s="3">
        <f t="shared" si="193"/>
        <v>6.4670451984415081E-2</v>
      </c>
      <c r="L232" s="3">
        <f t="shared" si="193"/>
        <v>6.4670451984414942E-2</v>
      </c>
      <c r="M232" s="3">
        <f t="shared" si="193"/>
        <v>6.4670451984413554E-2</v>
      </c>
      <c r="N232" s="3">
        <f t="shared" si="193"/>
        <v>6.4670451984399663E-2</v>
      </c>
      <c r="O232" s="3">
        <f t="shared" si="193"/>
        <v>6.4670451984260774E-2</v>
      </c>
      <c r="P232" s="3">
        <f t="shared" si="193"/>
        <v>6.4670451982871829E-2</v>
      </c>
      <c r="Q232" s="3">
        <f t="shared" si="193"/>
        <v>6.4670451968982398E-2</v>
      </c>
      <c r="R232" s="3">
        <f t="shared" si="193"/>
        <v>6.4670451830088169E-2</v>
      </c>
      <c r="S232" s="3">
        <f t="shared" si="193"/>
        <v>6.4670450441145846E-2</v>
      </c>
      <c r="T232" s="3">
        <f t="shared" si="193"/>
        <v>6.467043655172422E-2</v>
      </c>
      <c r="U232" s="3">
        <f t="shared" si="193"/>
        <v>6.4670297657672113E-2</v>
      </c>
      <c r="V232" s="3">
        <f t="shared" si="193"/>
        <v>6.466890873355767E-2</v>
      </c>
      <c r="W232" s="3">
        <f t="shared" si="193"/>
        <v>6.4655021132953475E-2</v>
      </c>
      <c r="X232" s="3">
        <f t="shared" si="193"/>
        <v>6.4516309050642345E-2</v>
      </c>
      <c r="Y232" s="3">
        <f t="shared" si="193"/>
        <v>6.3145451082342624E-2</v>
      </c>
      <c r="Z232" s="3">
        <f t="shared" si="193"/>
        <v>5.0941019646579794E-2</v>
      </c>
      <c r="AA232" s="3">
        <f t="shared" si="193"/>
        <v>5.9473468883092092E-3</v>
      </c>
      <c r="AB232" s="3">
        <f t="shared" si="193"/>
        <v>2.7982056882237693E-12</v>
      </c>
      <c r="AC232" s="3">
        <f t="shared" si="193"/>
        <v>1.4874531118858467E-105</v>
      </c>
      <c r="AD232" s="3">
        <f t="shared" si="193"/>
        <v>0</v>
      </c>
      <c r="AE232" s="3">
        <f t="shared" si="193"/>
        <v>0</v>
      </c>
      <c r="AF232" s="3">
        <f t="shared" si="193"/>
        <v>0</v>
      </c>
      <c r="AG232" s="3"/>
      <c r="AH232" s="3"/>
    </row>
    <row r="233" spans="2:34" x14ac:dyDescent="0.25">
      <c r="B233" s="3">
        <f t="shared" ref="B233:AF233" si="194">$C41*EXP(-B$207/$A41/EXP(-$D$126))</f>
        <v>6.7576207998846588E-2</v>
      </c>
      <c r="C233" s="3">
        <f t="shared" si="194"/>
        <v>6.7576207998846588E-2</v>
      </c>
      <c r="D233" s="3">
        <f t="shared" si="194"/>
        <v>6.7576207998846588E-2</v>
      </c>
      <c r="E233" s="3">
        <f t="shared" si="194"/>
        <v>6.7576207998846588E-2</v>
      </c>
      <c r="F233" s="3">
        <f t="shared" si="194"/>
        <v>6.7576207998846588E-2</v>
      </c>
      <c r="G233" s="3">
        <f t="shared" si="194"/>
        <v>6.7576207998846588E-2</v>
      </c>
      <c r="H233" s="3">
        <f t="shared" si="194"/>
        <v>6.7576207998846588E-2</v>
      </c>
      <c r="I233" s="3">
        <f t="shared" si="194"/>
        <v>6.7576207998846588E-2</v>
      </c>
      <c r="J233" s="3">
        <f t="shared" si="194"/>
        <v>6.7576207998846588E-2</v>
      </c>
      <c r="K233" s="3">
        <f t="shared" si="194"/>
        <v>6.7576207998846588E-2</v>
      </c>
      <c r="L233" s="3">
        <f t="shared" si="194"/>
        <v>6.7576207998846574E-2</v>
      </c>
      <c r="M233" s="3">
        <f t="shared" si="194"/>
        <v>6.7576207998846435E-2</v>
      </c>
      <c r="N233" s="3">
        <f t="shared" si="194"/>
        <v>6.7576207998844978E-2</v>
      </c>
      <c r="O233" s="3">
        <f t="shared" si="194"/>
        <v>6.7576207998830462E-2</v>
      </c>
      <c r="P233" s="3">
        <f t="shared" si="194"/>
        <v>6.7576207998685328E-2</v>
      </c>
      <c r="Q233" s="3">
        <f t="shared" si="194"/>
        <v>6.7576207997233975E-2</v>
      </c>
      <c r="R233" s="3">
        <f t="shared" si="194"/>
        <v>6.7576207982720474E-2</v>
      </c>
      <c r="S233" s="3">
        <f t="shared" si="194"/>
        <v>6.7576207837585486E-2</v>
      </c>
      <c r="T233" s="3">
        <f t="shared" si="194"/>
        <v>6.7576206386235557E-2</v>
      </c>
      <c r="U233" s="3">
        <f t="shared" si="194"/>
        <v>6.7576191872738042E-2</v>
      </c>
      <c r="V233" s="3">
        <f t="shared" si="194"/>
        <v>6.7576046737934312E-2</v>
      </c>
      <c r="W233" s="3">
        <f t="shared" si="194"/>
        <v>6.7574595407040958E-2</v>
      </c>
      <c r="X233" s="3">
        <f t="shared" si="194"/>
        <v>6.7560083812359978E-2</v>
      </c>
      <c r="Y233" s="3">
        <f t="shared" si="194"/>
        <v>6.741513915465959E-2</v>
      </c>
      <c r="Z233" s="3">
        <f t="shared" si="194"/>
        <v>6.598268615085158E-2</v>
      </c>
      <c r="AA233" s="3">
        <f t="shared" si="194"/>
        <v>5.3229888359836872E-2</v>
      </c>
      <c r="AB233" s="3">
        <f t="shared" si="194"/>
        <v>6.2145715397586782E-3</v>
      </c>
      <c r="AC233" s="3">
        <f t="shared" si="194"/>
        <v>2.9239339421430721E-12</v>
      </c>
      <c r="AD233" s="3">
        <f t="shared" si="194"/>
        <v>1.5542869702155943E-105</v>
      </c>
      <c r="AE233" s="3">
        <f t="shared" si="194"/>
        <v>0</v>
      </c>
      <c r="AF233" s="3">
        <f t="shared" si="194"/>
        <v>0</v>
      </c>
      <c r="AG233" s="3"/>
      <c r="AH233" s="3"/>
    </row>
    <row r="234" spans="2:34" x14ac:dyDescent="0.25">
      <c r="B234" s="3">
        <f t="shared" ref="B234:AF234" si="195">$C42*EXP(-B$207/$A42/EXP(-$D$126))</f>
        <v>7.4650772379504848E-2</v>
      </c>
      <c r="C234" s="3">
        <f t="shared" si="195"/>
        <v>7.4650772379504848E-2</v>
      </c>
      <c r="D234" s="3">
        <f t="shared" si="195"/>
        <v>7.4650772379504848E-2</v>
      </c>
      <c r="E234" s="3">
        <f t="shared" si="195"/>
        <v>7.4650772379504848E-2</v>
      </c>
      <c r="F234" s="3">
        <f t="shared" si="195"/>
        <v>7.4650772379504848E-2</v>
      </c>
      <c r="G234" s="3">
        <f t="shared" si="195"/>
        <v>7.4650772379504848E-2</v>
      </c>
      <c r="H234" s="3">
        <f t="shared" si="195"/>
        <v>7.4650772379504848E-2</v>
      </c>
      <c r="I234" s="3">
        <f t="shared" si="195"/>
        <v>7.4650772379504848E-2</v>
      </c>
      <c r="J234" s="3">
        <f t="shared" si="195"/>
        <v>7.4650772379504848E-2</v>
      </c>
      <c r="K234" s="3">
        <f t="shared" si="195"/>
        <v>7.4650772379504848E-2</v>
      </c>
      <c r="L234" s="3">
        <f t="shared" si="195"/>
        <v>7.4650772379504848E-2</v>
      </c>
      <c r="M234" s="3">
        <f t="shared" si="195"/>
        <v>7.4650772379504834E-2</v>
      </c>
      <c r="N234" s="3">
        <f t="shared" si="195"/>
        <v>7.4650772379504668E-2</v>
      </c>
      <c r="O234" s="3">
        <f t="shared" si="195"/>
        <v>7.4650772379503072E-2</v>
      </c>
      <c r="P234" s="3">
        <f t="shared" si="195"/>
        <v>7.4650772379487043E-2</v>
      </c>
      <c r="Q234" s="3">
        <f t="shared" si="195"/>
        <v>7.4650772379326713E-2</v>
      </c>
      <c r="R234" s="3">
        <f t="shared" si="195"/>
        <v>7.4650772377723412E-2</v>
      </c>
      <c r="S234" s="3">
        <f t="shared" si="195"/>
        <v>7.4650772361690501E-2</v>
      </c>
      <c r="T234" s="3">
        <f t="shared" si="195"/>
        <v>7.4650772201361293E-2</v>
      </c>
      <c r="U234" s="3">
        <f t="shared" si="195"/>
        <v>7.4650770598069308E-2</v>
      </c>
      <c r="V234" s="3">
        <f t="shared" si="195"/>
        <v>7.4650754565151342E-2</v>
      </c>
      <c r="W234" s="3">
        <f t="shared" si="195"/>
        <v>7.4650594236161022E-2</v>
      </c>
      <c r="X234" s="3">
        <f t="shared" si="195"/>
        <v>7.4648990965196657E-2</v>
      </c>
      <c r="Y234" s="3">
        <f t="shared" si="195"/>
        <v>7.4632960149270844E-2</v>
      </c>
      <c r="Z234" s="3">
        <f t="shared" si="195"/>
        <v>7.4472841211407362E-2</v>
      </c>
      <c r="AA234" s="3">
        <f t="shared" si="195"/>
        <v>7.2890424465954062E-2</v>
      </c>
      <c r="AB234" s="3">
        <f t="shared" si="195"/>
        <v>5.8802534167120779E-2</v>
      </c>
      <c r="AC234" s="3">
        <f t="shared" si="195"/>
        <v>6.8651760610567618E-3</v>
      </c>
      <c r="AD234" s="3">
        <f t="shared" si="195"/>
        <v>3.2300410696521526E-12</v>
      </c>
      <c r="AE234" s="3">
        <f t="shared" si="195"/>
        <v>1.7170055299340705E-105</v>
      </c>
      <c r="AF234" s="3">
        <f t="shared" si="195"/>
        <v>0</v>
      </c>
      <c r="AG234" s="3"/>
      <c r="AH234" s="3"/>
    </row>
    <row r="235" spans="2:34" x14ac:dyDescent="0.25">
      <c r="B235" s="3">
        <f t="shared" ref="B235:AF235" si="196">$C43*EXP(-B$207/$A43/EXP(-$D$126))</f>
        <v>4.2437426023751848E-2</v>
      </c>
      <c r="C235" s="3">
        <f t="shared" si="196"/>
        <v>4.2437426023751848E-2</v>
      </c>
      <c r="D235" s="3">
        <f t="shared" si="196"/>
        <v>4.2437426023751848E-2</v>
      </c>
      <c r="E235" s="3">
        <f t="shared" si="196"/>
        <v>4.2437426023751848E-2</v>
      </c>
      <c r="F235" s="3">
        <f t="shared" si="196"/>
        <v>4.2437426023751848E-2</v>
      </c>
      <c r="G235" s="3">
        <f t="shared" si="196"/>
        <v>4.2437426023751848E-2</v>
      </c>
      <c r="H235" s="3">
        <f t="shared" si="196"/>
        <v>4.2437426023751848E-2</v>
      </c>
      <c r="I235" s="3">
        <f t="shared" si="196"/>
        <v>4.2437426023751848E-2</v>
      </c>
      <c r="J235" s="3">
        <f t="shared" si="196"/>
        <v>4.2437426023751848E-2</v>
      </c>
      <c r="K235" s="3">
        <f t="shared" si="196"/>
        <v>4.2437426023751848E-2</v>
      </c>
      <c r="L235" s="3">
        <f t="shared" si="196"/>
        <v>4.2437426023751848E-2</v>
      </c>
      <c r="M235" s="3">
        <f t="shared" si="196"/>
        <v>4.2437426023751848E-2</v>
      </c>
      <c r="N235" s="3">
        <f t="shared" si="196"/>
        <v>4.2437426023751841E-2</v>
      </c>
      <c r="O235" s="3">
        <f t="shared" si="196"/>
        <v>4.2437426023751751E-2</v>
      </c>
      <c r="P235" s="3">
        <f t="shared" si="196"/>
        <v>4.2437426023750835E-2</v>
      </c>
      <c r="Q235" s="3">
        <f t="shared" si="196"/>
        <v>4.2437426023741724E-2</v>
      </c>
      <c r="R235" s="3">
        <f t="shared" si="196"/>
        <v>4.2437426023650582E-2</v>
      </c>
      <c r="S235" s="3">
        <f t="shared" si="196"/>
        <v>4.2437426022739137E-2</v>
      </c>
      <c r="T235" s="3">
        <f t="shared" si="196"/>
        <v>4.2437426013624754E-2</v>
      </c>
      <c r="U235" s="3">
        <f t="shared" si="196"/>
        <v>4.2437425922480905E-2</v>
      </c>
      <c r="V235" s="3">
        <f t="shared" si="196"/>
        <v>4.2437425011042446E-2</v>
      </c>
      <c r="W235" s="3">
        <f t="shared" si="196"/>
        <v>4.243741589665892E-2</v>
      </c>
      <c r="X235" s="3">
        <f t="shared" si="196"/>
        <v>4.2437324752931278E-2</v>
      </c>
      <c r="Y235" s="3">
        <f t="shared" si="196"/>
        <v>4.2436413326421174E-2</v>
      </c>
      <c r="Z235" s="3">
        <f t="shared" si="196"/>
        <v>4.2427300137859725E-2</v>
      </c>
      <c r="AA235" s="3">
        <f t="shared" si="196"/>
        <v>4.2336275820709479E-2</v>
      </c>
      <c r="AB235" s="3">
        <f t="shared" si="196"/>
        <v>4.1436704504387002E-2</v>
      </c>
      <c r="AC235" s="3">
        <f t="shared" si="196"/>
        <v>3.3428029130632829E-2</v>
      </c>
      <c r="AD235" s="3">
        <f t="shared" si="196"/>
        <v>3.9027111434297105E-3</v>
      </c>
      <c r="AE235" s="3">
        <f t="shared" si="196"/>
        <v>1.8362117976514995E-12</v>
      </c>
      <c r="AF235" s="3">
        <f t="shared" si="196"/>
        <v>9.7608226728749721E-106</v>
      </c>
      <c r="AG235" s="3"/>
      <c r="AH235" s="3"/>
    </row>
    <row r="236" spans="2:34" x14ac:dyDescent="0.25">
      <c r="B236" s="3">
        <f t="shared" ref="B236:AF236" si="197">$C44*EXP(-B$207/$A44/EXP(-$D$126))</f>
        <v>2.9362775672931045E-2</v>
      </c>
      <c r="C236" s="3">
        <f t="shared" si="197"/>
        <v>2.9362775672931045E-2</v>
      </c>
      <c r="D236" s="3">
        <f t="shared" si="197"/>
        <v>2.9362775672931045E-2</v>
      </c>
      <c r="E236" s="3">
        <f t="shared" si="197"/>
        <v>2.9362775672931045E-2</v>
      </c>
      <c r="F236" s="3">
        <f t="shared" si="197"/>
        <v>2.9362775672931045E-2</v>
      </c>
      <c r="G236" s="3">
        <f t="shared" si="197"/>
        <v>2.9362775672931045E-2</v>
      </c>
      <c r="H236" s="3">
        <f t="shared" si="197"/>
        <v>2.9362775672931045E-2</v>
      </c>
      <c r="I236" s="3">
        <f t="shared" si="197"/>
        <v>2.9362775672931045E-2</v>
      </c>
      <c r="J236" s="3">
        <f t="shared" si="197"/>
        <v>2.9362775672931045E-2</v>
      </c>
      <c r="K236" s="3">
        <f t="shared" si="197"/>
        <v>2.9362775672931045E-2</v>
      </c>
      <c r="L236" s="3">
        <f t="shared" si="197"/>
        <v>2.9362775672931045E-2</v>
      </c>
      <c r="M236" s="3">
        <f t="shared" si="197"/>
        <v>2.9362775672931045E-2</v>
      </c>
      <c r="N236" s="3">
        <f t="shared" si="197"/>
        <v>2.9362775672931045E-2</v>
      </c>
      <c r="O236" s="3">
        <f t="shared" si="197"/>
        <v>2.9362775672931038E-2</v>
      </c>
      <c r="P236" s="3">
        <f t="shared" si="197"/>
        <v>2.9362775672930976E-2</v>
      </c>
      <c r="Q236" s="3">
        <f t="shared" si="197"/>
        <v>2.9362775672930344E-2</v>
      </c>
      <c r="R236" s="3">
        <f t="shared" si="197"/>
        <v>2.936277567292404E-2</v>
      </c>
      <c r="S236" s="3">
        <f t="shared" si="197"/>
        <v>2.9362775672860976E-2</v>
      </c>
      <c r="T236" s="3">
        <f t="shared" si="197"/>
        <v>2.9362775672230345E-2</v>
      </c>
      <c r="U236" s="3">
        <f t="shared" si="197"/>
        <v>2.9362775665924032E-2</v>
      </c>
      <c r="V236" s="3">
        <f t="shared" si="197"/>
        <v>2.9362775602860915E-2</v>
      </c>
      <c r="W236" s="3">
        <f t="shared" si="197"/>
        <v>2.936277497222976E-2</v>
      </c>
      <c r="X236" s="3">
        <f t="shared" si="197"/>
        <v>2.9362768665918939E-2</v>
      </c>
      <c r="Y236" s="3">
        <f t="shared" si="197"/>
        <v>2.936270560288521E-2</v>
      </c>
      <c r="Z236" s="3">
        <f t="shared" si="197"/>
        <v>2.9362074979997203E-2</v>
      </c>
      <c r="AA236" s="3">
        <f t="shared" si="197"/>
        <v>2.9355769495983043E-2</v>
      </c>
      <c r="AB236" s="3">
        <f t="shared" si="197"/>
        <v>2.9292789083274495E-2</v>
      </c>
      <c r="AC236" s="3">
        <f t="shared" si="197"/>
        <v>2.8670368893411978E-2</v>
      </c>
      <c r="AD236" s="3">
        <f t="shared" si="197"/>
        <v>2.3129105898213924E-2</v>
      </c>
      <c r="AE236" s="3">
        <f t="shared" si="197"/>
        <v>2.7003153244175866E-3</v>
      </c>
      <c r="AF236" s="3">
        <f t="shared" si="197"/>
        <v>1.2704888150439185E-12</v>
      </c>
      <c r="AG236" s="3"/>
      <c r="AH236" s="3"/>
    </row>
    <row r="237" spans="2:34" x14ac:dyDescent="0.25">
      <c r="B237" s="3">
        <f t="shared" ref="B237:AF237" si="198">$C45*EXP(-B$207/$A45/EXP(-$D$126))</f>
        <v>1.3317924951321973E-2</v>
      </c>
      <c r="C237" s="3">
        <f t="shared" si="198"/>
        <v>1.3317924951321973E-2</v>
      </c>
      <c r="D237" s="3">
        <f t="shared" si="198"/>
        <v>1.3317924951321973E-2</v>
      </c>
      <c r="E237" s="3">
        <f t="shared" si="198"/>
        <v>1.3317924951321973E-2</v>
      </c>
      <c r="F237" s="3">
        <f t="shared" si="198"/>
        <v>1.3317924951321973E-2</v>
      </c>
      <c r="G237" s="3">
        <f t="shared" si="198"/>
        <v>1.3317924951321973E-2</v>
      </c>
      <c r="H237" s="3">
        <f t="shared" si="198"/>
        <v>1.3317924951321973E-2</v>
      </c>
      <c r="I237" s="3">
        <f t="shared" si="198"/>
        <v>1.3317924951321973E-2</v>
      </c>
      <c r="J237" s="3">
        <f t="shared" si="198"/>
        <v>1.3317924951321973E-2</v>
      </c>
      <c r="K237" s="3">
        <f t="shared" si="198"/>
        <v>1.3317924951321973E-2</v>
      </c>
      <c r="L237" s="3">
        <f t="shared" si="198"/>
        <v>1.3317924951321973E-2</v>
      </c>
      <c r="M237" s="3">
        <f t="shared" si="198"/>
        <v>1.3317924951321973E-2</v>
      </c>
      <c r="N237" s="3">
        <f t="shared" si="198"/>
        <v>1.3317924951321973E-2</v>
      </c>
      <c r="O237" s="3">
        <f t="shared" si="198"/>
        <v>1.3317924951321973E-2</v>
      </c>
      <c r="P237" s="3">
        <f t="shared" si="198"/>
        <v>1.3317924951321969E-2</v>
      </c>
      <c r="Q237" s="3">
        <f t="shared" si="198"/>
        <v>1.3317924951321941E-2</v>
      </c>
      <c r="R237" s="3">
        <f t="shared" si="198"/>
        <v>1.3317924951321655E-2</v>
      </c>
      <c r="S237" s="3">
        <f t="shared" si="198"/>
        <v>1.3317924951318795E-2</v>
      </c>
      <c r="T237" s="3">
        <f t="shared" si="198"/>
        <v>1.3317924951290193E-2</v>
      </c>
      <c r="U237" s="3">
        <f t="shared" si="198"/>
        <v>1.3317924951004159E-2</v>
      </c>
      <c r="V237" s="3">
        <f t="shared" si="198"/>
        <v>1.3317924948143838E-2</v>
      </c>
      <c r="W237" s="3">
        <f t="shared" si="198"/>
        <v>1.3317924919540619E-2</v>
      </c>
      <c r="X237" s="3">
        <f t="shared" si="198"/>
        <v>1.3317924633508451E-2</v>
      </c>
      <c r="Y237" s="3">
        <f t="shared" si="198"/>
        <v>1.3317921773187098E-2</v>
      </c>
      <c r="Z237" s="3">
        <f t="shared" si="198"/>
        <v>1.3317893170007353E-2</v>
      </c>
      <c r="AA237" s="3">
        <f t="shared" si="198"/>
        <v>1.331760714158863E-2</v>
      </c>
      <c r="AB237" s="3">
        <f t="shared" si="198"/>
        <v>1.3314747195246441E-2</v>
      </c>
      <c r="AC237" s="3">
        <f t="shared" si="198"/>
        <v>1.3286181489497137E-2</v>
      </c>
      <c r="AD237" s="3">
        <f t="shared" si="198"/>
        <v>1.3003873526887923E-2</v>
      </c>
      <c r="AE237" s="3">
        <f t="shared" si="198"/>
        <v>1.0490551028783006E-2</v>
      </c>
      <c r="AF237" s="3">
        <f t="shared" si="198"/>
        <v>1.2247682997030577E-3</v>
      </c>
      <c r="AG237" s="3"/>
      <c r="AH237" s="3"/>
    </row>
    <row r="238" spans="2:34" x14ac:dyDescent="0.25">
      <c r="B238" s="3">
        <f t="shared" ref="B238:AF238" si="199">$C46*EXP(-B$207/$A46/EXP(-$D$126))</f>
        <v>4.0600750332731679E-3</v>
      </c>
      <c r="C238" s="3">
        <f t="shared" si="199"/>
        <v>4.0600750332731679E-3</v>
      </c>
      <c r="D238" s="3">
        <f t="shared" si="199"/>
        <v>4.0600750332731679E-3</v>
      </c>
      <c r="E238" s="3">
        <f t="shared" si="199"/>
        <v>4.0600750332731679E-3</v>
      </c>
      <c r="F238" s="3">
        <f t="shared" si="199"/>
        <v>4.0600750332731679E-3</v>
      </c>
      <c r="G238" s="3">
        <f t="shared" si="199"/>
        <v>4.0600750332731679E-3</v>
      </c>
      <c r="H238" s="3">
        <f t="shared" si="199"/>
        <v>4.0600750332731679E-3</v>
      </c>
      <c r="I238" s="3">
        <f t="shared" si="199"/>
        <v>4.0600750332731679E-3</v>
      </c>
      <c r="J238" s="3">
        <f t="shared" si="199"/>
        <v>4.0600750332731679E-3</v>
      </c>
      <c r="K238" s="3">
        <f t="shared" si="199"/>
        <v>4.0600750332731679E-3</v>
      </c>
      <c r="L238" s="3">
        <f t="shared" si="199"/>
        <v>4.0600750332731679E-3</v>
      </c>
      <c r="M238" s="3">
        <f t="shared" si="199"/>
        <v>4.0600750332731679E-3</v>
      </c>
      <c r="N238" s="3">
        <f t="shared" si="199"/>
        <v>4.0600750332731679E-3</v>
      </c>
      <c r="O238" s="3">
        <f t="shared" si="199"/>
        <v>4.0600750332731679E-3</v>
      </c>
      <c r="P238" s="3">
        <f t="shared" si="199"/>
        <v>4.0600750332731679E-3</v>
      </c>
      <c r="Q238" s="3">
        <f t="shared" si="199"/>
        <v>4.060075033273167E-3</v>
      </c>
      <c r="R238" s="3">
        <f t="shared" si="199"/>
        <v>4.0600750332731583E-3</v>
      </c>
      <c r="S238" s="3">
        <f t="shared" si="199"/>
        <v>4.0600750332730707E-3</v>
      </c>
      <c r="T238" s="3">
        <f t="shared" si="199"/>
        <v>4.060075033272199E-3</v>
      </c>
      <c r="U238" s="3">
        <f t="shared" si="199"/>
        <v>4.0600750332634794E-3</v>
      </c>
      <c r="V238" s="3">
        <f t="shared" si="199"/>
        <v>4.0600750331762801E-3</v>
      </c>
      <c r="W238" s="3">
        <f t="shared" si="199"/>
        <v>4.0600750323042884E-3</v>
      </c>
      <c r="X238" s="3">
        <f t="shared" si="199"/>
        <v>4.0600750235843704E-3</v>
      </c>
      <c r="Y238" s="3">
        <f t="shared" si="199"/>
        <v>4.0600749363851954E-3</v>
      </c>
      <c r="Z238" s="3">
        <f t="shared" si="199"/>
        <v>4.060074064393549E-3</v>
      </c>
      <c r="AA238" s="3">
        <f t="shared" si="199"/>
        <v>4.0600653444873786E-3</v>
      </c>
      <c r="AB238" s="3">
        <f t="shared" si="199"/>
        <v>4.0599781464557101E-3</v>
      </c>
      <c r="AC238" s="3">
        <f t="shared" si="199"/>
        <v>4.0591062691337646E-3</v>
      </c>
      <c r="AD238" s="3">
        <f t="shared" si="199"/>
        <v>4.0503977872085031E-3</v>
      </c>
      <c r="AE238" s="3">
        <f t="shared" si="199"/>
        <v>3.9643339660897252E-3</v>
      </c>
      <c r="AF238" s="3">
        <f t="shared" si="199"/>
        <v>3.1981276717595705E-3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6.6069827735831333E-3</v>
      </c>
      <c r="C240" s="3">
        <f t="shared" si="201"/>
        <v>6.6069827735831333E-3</v>
      </c>
      <c r="D240" s="3">
        <f t="shared" si="201"/>
        <v>6.6069827735831333E-3</v>
      </c>
      <c r="E240" s="3">
        <f t="shared" si="201"/>
        <v>6.6069827735831333E-3</v>
      </c>
      <c r="F240" s="3">
        <f t="shared" si="201"/>
        <v>6.6069827735831333E-3</v>
      </c>
      <c r="G240" s="3">
        <f t="shared" si="201"/>
        <v>6.6069827735831333E-3</v>
      </c>
      <c r="H240" s="3">
        <f t="shared" si="201"/>
        <v>6.6069827735831333E-3</v>
      </c>
      <c r="I240" s="3">
        <f t="shared" si="201"/>
        <v>6.6069827735831333E-3</v>
      </c>
      <c r="J240" s="3">
        <f t="shared" si="201"/>
        <v>6.6069827735831333E-3</v>
      </c>
      <c r="K240" s="3">
        <f t="shared" si="201"/>
        <v>6.6069827735831333E-3</v>
      </c>
      <c r="L240" s="3">
        <f t="shared" si="201"/>
        <v>6.6069827735831333E-3</v>
      </c>
      <c r="M240" s="3">
        <f t="shared" si="201"/>
        <v>6.6069827735831333E-3</v>
      </c>
      <c r="N240" s="3">
        <f t="shared" si="201"/>
        <v>6.6069827735831333E-3</v>
      </c>
      <c r="O240" s="3">
        <f t="shared" si="201"/>
        <v>6.6069827735831333E-3</v>
      </c>
      <c r="P240" s="3">
        <f t="shared" si="201"/>
        <v>6.6069827735831333E-3</v>
      </c>
      <c r="Q240" s="3">
        <f t="shared" si="201"/>
        <v>6.6069827735831333E-3</v>
      </c>
      <c r="R240" s="3">
        <f t="shared" si="201"/>
        <v>6.6069827735831333E-3</v>
      </c>
      <c r="S240" s="3">
        <f t="shared" si="201"/>
        <v>6.6069827735831315E-3</v>
      </c>
      <c r="T240" s="3">
        <f t="shared" si="201"/>
        <v>6.6069827735831177E-3</v>
      </c>
      <c r="U240" s="3">
        <f t="shared" si="201"/>
        <v>6.6069827735829754E-3</v>
      </c>
      <c r="V240" s="3">
        <f t="shared" si="201"/>
        <v>6.6069827735815573E-3</v>
      </c>
      <c r="W240" s="3">
        <f t="shared" si="201"/>
        <v>6.6069827735673672E-3</v>
      </c>
      <c r="X240" s="3">
        <f t="shared" si="201"/>
        <v>6.6069827734254669E-3</v>
      </c>
      <c r="Y240" s="3">
        <f t="shared" si="201"/>
        <v>6.60698277200647E-3</v>
      </c>
      <c r="Z240" s="3">
        <f t="shared" si="201"/>
        <v>6.6069827578164987E-3</v>
      </c>
      <c r="AA240" s="3">
        <f t="shared" si="201"/>
        <v>6.606982615916795E-3</v>
      </c>
      <c r="AB240" s="3">
        <f t="shared" si="201"/>
        <v>6.6069811969199184E-3</v>
      </c>
      <c r="AC240" s="3">
        <f t="shared" si="201"/>
        <v>6.606967006967915E-3</v>
      </c>
      <c r="AD240" s="3">
        <f t="shared" si="201"/>
        <v>6.6068251091240563E-3</v>
      </c>
      <c r="AE240" s="3">
        <f t="shared" si="201"/>
        <v>6.6054062982893891E-3</v>
      </c>
      <c r="AF240" s="3">
        <f t="shared" si="201"/>
        <v>6.5912349370232217E-3</v>
      </c>
      <c r="AG240" s="3"/>
      <c r="AH240" s="3"/>
    </row>
    <row r="241" spans="1:34" x14ac:dyDescent="0.25">
      <c r="A241" s="79">
        <f>AVERAGE(B241:AF241)</f>
        <v>9.3494844733399522E-3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6.0429147254991685E-3</v>
      </c>
      <c r="M241" s="80">
        <f t="shared" si="202"/>
        <v>6.748455244371546E-3</v>
      </c>
      <c r="N241" s="80">
        <f t="shared" si="202"/>
        <v>1.2071461425596012E-2</v>
      </c>
      <c r="O241" s="80">
        <f t="shared" si="202"/>
        <v>2.9684169080223713E-2</v>
      </c>
      <c r="P241" s="80">
        <f t="shared" si="202"/>
        <v>3.2470616357544113E-2</v>
      </c>
      <c r="Q241" s="80">
        <f t="shared" si="202"/>
        <v>3.815308146059835E-2</v>
      </c>
      <c r="R241" s="80">
        <f t="shared" si="202"/>
        <v>4.2854214159978275E-2</v>
      </c>
      <c r="S241" s="80">
        <f t="shared" si="202"/>
        <v>4.140118005652979E-2</v>
      </c>
      <c r="T241" s="80">
        <f t="shared" si="202"/>
        <v>1.3437201421728414E-2</v>
      </c>
      <c r="U241" s="80">
        <f t="shared" si="202"/>
        <v>2.963157751616026E-2</v>
      </c>
      <c r="V241" s="80">
        <f t="shared" si="202"/>
        <v>3.7339147225308927E-2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1908.002835784632</v>
      </c>
      <c r="C242" s="21">
        <f t="shared" ref="C242:AF242" si="203">(C209-C208)^2</f>
        <v>1914.441915771032</v>
      </c>
      <c r="D242" s="21">
        <f t="shared" si="203"/>
        <v>1911.0249906503791</v>
      </c>
      <c r="E242" s="21">
        <f t="shared" si="203"/>
        <v>1910.1444024436021</v>
      </c>
      <c r="F242" s="21">
        <f t="shared" si="203"/>
        <v>1909.8867562169612</v>
      </c>
      <c r="G242" s="21">
        <f t="shared" si="203"/>
        <v>1909.8120933550797</v>
      </c>
      <c r="H242" s="21">
        <f t="shared" si="203"/>
        <v>1909.790202376166</v>
      </c>
      <c r="I242" s="21">
        <f t="shared" si="203"/>
        <v>1909.8289735587684</v>
      </c>
      <c r="J242" s="21">
        <f t="shared" si="203"/>
        <v>1910.2972209473205</v>
      </c>
      <c r="K242" s="21">
        <f t="shared" si="203"/>
        <v>1915.0345041652622</v>
      </c>
      <c r="L242" s="21">
        <f t="shared" si="203"/>
        <v>1962.5239861105749</v>
      </c>
      <c r="M242" s="21">
        <f t="shared" si="203"/>
        <v>2447.3820178633969</v>
      </c>
      <c r="N242" s="21">
        <f t="shared" si="203"/>
        <v>7825.7279537884006</v>
      </c>
      <c r="O242" s="21">
        <f t="shared" si="203"/>
        <v>47030.919600533263</v>
      </c>
      <c r="P242" s="21">
        <f t="shared" si="203"/>
        <v>54489.91213341002</v>
      </c>
      <c r="Q242" s="21">
        <f t="shared" si="203"/>
        <v>72253.959769676221</v>
      </c>
      <c r="R242" s="21">
        <f t="shared" si="203"/>
        <v>86959.80417442949</v>
      </c>
      <c r="S242" s="21">
        <f t="shared" si="203"/>
        <v>75419.149007742846</v>
      </c>
      <c r="T242" s="21">
        <f t="shared" si="203"/>
        <v>6811.5158425539339</v>
      </c>
      <c r="U242" s="21">
        <f t="shared" si="203"/>
        <v>24323.165051733606</v>
      </c>
      <c r="V242" s="21">
        <f t="shared" si="203"/>
        <v>26981.304353801068</v>
      </c>
      <c r="W242" s="21">
        <f t="shared" si="203"/>
        <v>1211.9196540016853</v>
      </c>
      <c r="X242" s="21">
        <f t="shared" si="203"/>
        <v>11464.578549722401</v>
      </c>
      <c r="Y242" s="21">
        <f t="shared" si="203"/>
        <v>39876.54465837415</v>
      </c>
      <c r="Z242" s="21">
        <f t="shared" si="203"/>
        <v>151697.29425030295</v>
      </c>
      <c r="AA242" s="21">
        <f t="shared" si="203"/>
        <v>250866.48435492042</v>
      </c>
      <c r="AB242" s="21">
        <f t="shared" si="203"/>
        <v>348638.2640939423</v>
      </c>
      <c r="AC242" s="21">
        <f t="shared" si="203"/>
        <v>390466.84788876795</v>
      </c>
      <c r="AD242" s="21">
        <f t="shared" si="203"/>
        <v>206382.40278449084</v>
      </c>
      <c r="AE242" s="21">
        <f t="shared" si="203"/>
        <v>80149.0731043134</v>
      </c>
      <c r="AF242" s="21">
        <f t="shared" si="203"/>
        <v>22657.516123212921</v>
      </c>
      <c r="AG242" s="3"/>
      <c r="AH242" s="3"/>
    </row>
    <row r="243" spans="1:34" x14ac:dyDescent="0.25">
      <c r="A243" s="71">
        <f>SUM(B243:AF243)</f>
        <v>406505.36389164277</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1962.5239861105749</v>
      </c>
      <c r="M243" s="60">
        <f t="shared" ref="M243" si="214">IF($A$64&lt;=M207,IF($B$64&gt;=M207,ABS(M242),0),0)</f>
        <v>2447.3820178633969</v>
      </c>
      <c r="N243" s="60">
        <f t="shared" ref="N243" si="215">IF($A$64&lt;=N207,IF($B$64&gt;=N207,ABS(N242),0),0)</f>
        <v>7825.7279537884006</v>
      </c>
      <c r="O243" s="60">
        <f t="shared" ref="O243" si="216">IF($A$64&lt;=O207,IF($B$64&gt;=O207,ABS(O242),0),0)</f>
        <v>47030.919600533263</v>
      </c>
      <c r="P243" s="60">
        <f t="shared" ref="P243" si="217">IF($A$64&lt;=P207,IF($B$64&gt;=P207,ABS(P242),0),0)</f>
        <v>54489.91213341002</v>
      </c>
      <c r="Q243" s="60">
        <f t="shared" ref="Q243" si="218">IF($A$64&lt;=Q207,IF($B$64&gt;=Q207,ABS(Q242),0),0)</f>
        <v>72253.959769676221</v>
      </c>
      <c r="R243" s="60">
        <f t="shared" ref="R243" si="219">IF($A$64&lt;=R207,IF($B$64&gt;=R207,ABS(R242),0),0)</f>
        <v>86959.80417442949</v>
      </c>
      <c r="S243" s="60">
        <f t="shared" ref="S243" si="220">IF($A$64&lt;=S207,IF($B$64&gt;=S207,ABS(S242),0),0)</f>
        <v>75419.149007742846</v>
      </c>
      <c r="T243" s="60">
        <f t="shared" ref="T243" si="221">IF($A$64&lt;=T207,IF($B$64&gt;=T207,ABS(T242),0),0)</f>
        <v>6811.5158425539339</v>
      </c>
      <c r="U243" s="60">
        <f t="shared" ref="U243" si="222">IF($A$64&lt;=U207,IF($B$64&gt;=U207,ABS(U242),0),0)</f>
        <v>24323.165051733606</v>
      </c>
      <c r="V243" s="60">
        <f t="shared" ref="V243" si="223">IF($A$64&lt;=V207,IF($B$64&gt;=V207,ABS(V242),0),0)</f>
        <v>26981.304353801068</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7287.2891982826222</v>
      </c>
      <c r="C248" s="27">
        <f t="shared" ref="C248:AF248" si="234">($C$17+SUM(C249:C279))*$B$51</f>
        <v>7287.2891982588853</v>
      </c>
      <c r="D248" s="27">
        <f t="shared" si="234"/>
        <v>7287.2891980215127</v>
      </c>
      <c r="E248" s="27">
        <f t="shared" si="234"/>
        <v>7287.2891956477833</v>
      </c>
      <c r="F248" s="27">
        <f t="shared" si="234"/>
        <v>7287.28917191051</v>
      </c>
      <c r="G248" s="27">
        <f t="shared" si="234"/>
        <v>7287.28893453818</v>
      </c>
      <c r="H248" s="27">
        <f t="shared" si="234"/>
        <v>7287.2865608571474</v>
      </c>
      <c r="I248" s="27">
        <f t="shared" si="234"/>
        <v>7287.262828270862</v>
      </c>
      <c r="J248" s="27">
        <f t="shared" si="234"/>
        <v>7287.0259235186213</v>
      </c>
      <c r="K248" s="27">
        <f t="shared" si="234"/>
        <v>7284.697728459535</v>
      </c>
      <c r="L248" s="27">
        <f t="shared" si="234"/>
        <v>7264.5250601503794</v>
      </c>
      <c r="M248" s="27">
        <f t="shared" si="234"/>
        <v>7153.8616568123043</v>
      </c>
      <c r="N248" s="27">
        <f t="shared" si="234"/>
        <v>7011.7155960726213</v>
      </c>
      <c r="O248" s="27">
        <f t="shared" si="234"/>
        <v>6855.06691356596</v>
      </c>
      <c r="P248" s="27">
        <f t="shared" si="234"/>
        <v>6667.0670516858527</v>
      </c>
      <c r="Q248" s="27">
        <f t="shared" si="234"/>
        <v>6458.0706286687064</v>
      </c>
      <c r="R248" s="27">
        <f t="shared" si="234"/>
        <v>6197.0046884611938</v>
      </c>
      <c r="S248" s="27">
        <f t="shared" si="234"/>
        <v>5728.7502268018716</v>
      </c>
      <c r="T248" s="27">
        <f t="shared" si="234"/>
        <v>4909.3582060619392</v>
      </c>
      <c r="U248" s="27">
        <f t="shared" si="234"/>
        <v>4054.6964044262272</v>
      </c>
      <c r="V248" s="27">
        <f t="shared" si="234"/>
        <v>3384.7204386752915</v>
      </c>
      <c r="W248" s="27">
        <f t="shared" si="234"/>
        <v>2867.8132695955283</v>
      </c>
      <c r="X248" s="27">
        <f t="shared" si="234"/>
        <v>2393.9066665226433</v>
      </c>
      <c r="Y248" s="27">
        <f t="shared" si="234"/>
        <v>1923.0468335650166</v>
      </c>
      <c r="Z248" s="27">
        <f t="shared" si="234"/>
        <v>1433.0072199008389</v>
      </c>
      <c r="AA248" s="27">
        <f t="shared" si="234"/>
        <v>928.37579025246896</v>
      </c>
      <c r="AB248" s="27">
        <f t="shared" si="234"/>
        <v>540.75881134757356</v>
      </c>
      <c r="AC248" s="27">
        <f t="shared" si="234"/>
        <v>302.12460342929035</v>
      </c>
      <c r="AD248" s="27">
        <f t="shared" si="234"/>
        <v>167.9280490031627</v>
      </c>
      <c r="AE248" s="27">
        <f t="shared" si="234"/>
        <v>115.59057504976886</v>
      </c>
      <c r="AF248" s="27">
        <f t="shared" si="234"/>
        <v>100.51072962075757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8.2357212059797698E-4</v>
      </c>
      <c r="C258" s="3">
        <f t="shared" si="244"/>
        <v>8.2357211976538192E-4</v>
      </c>
      <c r="D258" s="3">
        <f t="shared" si="244"/>
        <v>8.2357211143943077E-4</v>
      </c>
      <c r="E258" s="3">
        <f t="shared" si="244"/>
        <v>8.2357202817992352E-4</v>
      </c>
      <c r="F258" s="3">
        <f t="shared" si="244"/>
        <v>8.2357119558531438E-4</v>
      </c>
      <c r="G258" s="3">
        <f t="shared" si="244"/>
        <v>8.2356286968551676E-4</v>
      </c>
      <c r="H258" s="3">
        <f t="shared" si="244"/>
        <v>8.2347961531679178E-4</v>
      </c>
      <c r="I258" s="3">
        <f t="shared" si="244"/>
        <v>8.2264753438152994E-4</v>
      </c>
      <c r="J258" s="3">
        <f t="shared" si="244"/>
        <v>8.1437282760069875E-4</v>
      </c>
      <c r="K258" s="3">
        <f t="shared" si="244"/>
        <v>7.3606813323791808E-4</v>
      </c>
      <c r="L258" s="3">
        <f t="shared" si="244"/>
        <v>2.6783383015416143E-4</v>
      </c>
      <c r="M258" s="3">
        <f t="shared" si="244"/>
        <v>1.0897818998919736E-8</v>
      </c>
      <c r="N258" s="3">
        <f t="shared" si="244"/>
        <v>1.3554427385895853E-52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2.4665844117389667E-2</v>
      </c>
      <c r="C259" s="3">
        <f t="shared" si="245"/>
        <v>2.4665844115140226E-2</v>
      </c>
      <c r="D259" s="3">
        <f t="shared" si="245"/>
        <v>2.4665844092645803E-2</v>
      </c>
      <c r="E259" s="3">
        <f t="shared" si="245"/>
        <v>2.4665843867701608E-2</v>
      </c>
      <c r="F259" s="3">
        <f t="shared" si="245"/>
        <v>2.4665841618259732E-2</v>
      </c>
      <c r="G259" s="3">
        <f t="shared" si="245"/>
        <v>2.4665819123852264E-2</v>
      </c>
      <c r="H259" s="3">
        <f t="shared" si="245"/>
        <v>2.4665594180905859E-2</v>
      </c>
      <c r="I259" s="3">
        <f t="shared" si="245"/>
        <v>2.4663344864265437E-2</v>
      </c>
      <c r="J259" s="3">
        <f t="shared" si="245"/>
        <v>2.4640862976416995E-2</v>
      </c>
      <c r="K259" s="3">
        <f t="shared" si="245"/>
        <v>2.4417168157082322E-2</v>
      </c>
      <c r="L259" s="3">
        <f t="shared" si="245"/>
        <v>2.2288923748184471E-2</v>
      </c>
      <c r="M259" s="3">
        <f t="shared" si="245"/>
        <v>8.9542072451282567E-3</v>
      </c>
      <c r="N259" s="3">
        <f t="shared" si="245"/>
        <v>9.8040964776921023E-7</v>
      </c>
      <c r="O259" s="3">
        <f t="shared" si="245"/>
        <v>2.4277944829591509E-46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1.6291197925301874E-2</v>
      </c>
      <c r="C260" s="3">
        <f t="shared" si="246"/>
        <v>1.6291197925167849E-2</v>
      </c>
      <c r="D260" s="3">
        <f t="shared" si="246"/>
        <v>1.6291197923827622E-2</v>
      </c>
      <c r="E260" s="3">
        <f t="shared" si="246"/>
        <v>1.629119791042535E-2</v>
      </c>
      <c r="F260" s="3">
        <f t="shared" si="246"/>
        <v>1.629119777640263E-2</v>
      </c>
      <c r="G260" s="3">
        <f t="shared" si="246"/>
        <v>1.6291196436175499E-2</v>
      </c>
      <c r="H260" s="3">
        <f t="shared" si="246"/>
        <v>1.6291183033910219E-2</v>
      </c>
      <c r="I260" s="3">
        <f t="shared" si="246"/>
        <v>1.6291049011863845E-2</v>
      </c>
      <c r="J260" s="3">
        <f t="shared" si="246"/>
        <v>1.6289708852039068E-2</v>
      </c>
      <c r="K260" s="3">
        <f t="shared" si="246"/>
        <v>1.6276313315843248E-2</v>
      </c>
      <c r="L260" s="3">
        <f t="shared" si="246"/>
        <v>1.6142962317918085E-2</v>
      </c>
      <c r="M260" s="3">
        <f t="shared" si="246"/>
        <v>1.4868088914358181E-2</v>
      </c>
      <c r="N260" s="3">
        <f t="shared" si="246"/>
        <v>6.530919273211787E-3</v>
      </c>
      <c r="O260" s="3">
        <f t="shared" si="246"/>
        <v>1.746489486485613E-6</v>
      </c>
      <c r="P260" s="3">
        <f t="shared" si="246"/>
        <v>3.2664993470603286E-42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2.6847553865853482E-2</v>
      </c>
      <c r="C261" s="3">
        <f t="shared" si="247"/>
        <v>2.6847553865833557E-2</v>
      </c>
      <c r="D261" s="3">
        <f t="shared" si="247"/>
        <v>2.6847553865634317E-2</v>
      </c>
      <c r="E261" s="3">
        <f t="shared" si="247"/>
        <v>2.6847553863641918E-2</v>
      </c>
      <c r="F261" s="3">
        <f t="shared" si="247"/>
        <v>2.6847553843717908E-2</v>
      </c>
      <c r="G261" s="3">
        <f t="shared" si="247"/>
        <v>2.6847553644477821E-2</v>
      </c>
      <c r="H261" s="3">
        <f t="shared" si="247"/>
        <v>2.6847551652077049E-2</v>
      </c>
      <c r="I261" s="3">
        <f t="shared" si="247"/>
        <v>2.6847531728077439E-2</v>
      </c>
      <c r="J261" s="3">
        <f t="shared" si="247"/>
        <v>2.6847332488894555E-2</v>
      </c>
      <c r="K261" s="3">
        <f t="shared" si="247"/>
        <v>2.6845340178385888E-2</v>
      </c>
      <c r="L261" s="3">
        <f t="shared" si="247"/>
        <v>2.6825425203081552E-2</v>
      </c>
      <c r="M261" s="3">
        <f t="shared" si="247"/>
        <v>2.6627086200394917E-2</v>
      </c>
      <c r="N261" s="3">
        <f t="shared" si="247"/>
        <v>2.472258852828399E-2</v>
      </c>
      <c r="O261" s="3">
        <f t="shared" si="247"/>
        <v>1.1770554039481306E-2</v>
      </c>
      <c r="P261" s="3">
        <f t="shared" si="247"/>
        <v>7.0441168871078883E-6</v>
      </c>
      <c r="Q261" s="3">
        <f t="shared" si="247"/>
        <v>4.1507161701072667E-38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2.5906186741603471E-2</v>
      </c>
      <c r="C262" s="3">
        <f t="shared" si="248"/>
        <v>2.590618674160174E-2</v>
      </c>
      <c r="D262" s="3">
        <f t="shared" si="248"/>
        <v>2.5906186741584396E-2</v>
      </c>
      <c r="E262" s="3">
        <f t="shared" si="248"/>
        <v>2.5906186741410965E-2</v>
      </c>
      <c r="F262" s="3">
        <f t="shared" si="248"/>
        <v>2.5906186739676675E-2</v>
      </c>
      <c r="G262" s="3">
        <f t="shared" si="248"/>
        <v>2.590618672233376E-2</v>
      </c>
      <c r="H262" s="3">
        <f t="shared" si="248"/>
        <v>2.5906186548904614E-2</v>
      </c>
      <c r="I262" s="3">
        <f t="shared" si="248"/>
        <v>2.590618481461324E-2</v>
      </c>
      <c r="J262" s="3">
        <f t="shared" si="248"/>
        <v>2.5906167471705887E-2</v>
      </c>
      <c r="K262" s="3">
        <f t="shared" si="248"/>
        <v>2.5905994043270889E-2</v>
      </c>
      <c r="L262" s="3">
        <f t="shared" si="248"/>
        <v>2.5904259822775388E-2</v>
      </c>
      <c r="M262" s="3">
        <f t="shared" si="248"/>
        <v>2.5886924001687572E-2</v>
      </c>
      <c r="N262" s="3">
        <f t="shared" si="248"/>
        <v>2.5714202599090061E-2</v>
      </c>
      <c r="O262" s="3">
        <f t="shared" si="248"/>
        <v>2.4049119895640556E-2</v>
      </c>
      <c r="P262" s="3">
        <f t="shared" si="248"/>
        <v>1.2312902747852407E-2</v>
      </c>
      <c r="Q262" s="3">
        <f t="shared" si="248"/>
        <v>1.5239582408329747E-5</v>
      </c>
      <c r="R262" s="3">
        <f t="shared" si="248"/>
        <v>1.2855803966612478E-34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3.2694648537282246E-2</v>
      </c>
      <c r="C263" s="3">
        <f t="shared" si="249"/>
        <v>3.2694648537282052E-2</v>
      </c>
      <c r="D263" s="3">
        <f t="shared" si="249"/>
        <v>3.2694648537280074E-2</v>
      </c>
      <c r="E263" s="3">
        <f t="shared" si="249"/>
        <v>3.2694648537260326E-2</v>
      </c>
      <c r="F263" s="3">
        <f t="shared" si="249"/>
        <v>3.2694648537062887E-2</v>
      </c>
      <c r="G263" s="3">
        <f t="shared" si="249"/>
        <v>3.2694648535088459E-2</v>
      </c>
      <c r="H263" s="3">
        <f t="shared" si="249"/>
        <v>3.2694648515344149E-2</v>
      </c>
      <c r="I263" s="3">
        <f t="shared" si="249"/>
        <v>3.2694648317901101E-2</v>
      </c>
      <c r="J263" s="3">
        <f t="shared" si="249"/>
        <v>3.2694646343470662E-2</v>
      </c>
      <c r="K263" s="3">
        <f t="shared" si="249"/>
        <v>3.2694626599172813E-2</v>
      </c>
      <c r="L263" s="3">
        <f t="shared" si="249"/>
        <v>3.2694429156850141E-2</v>
      </c>
      <c r="M263" s="3">
        <f t="shared" si="249"/>
        <v>3.2692454799201513E-2</v>
      </c>
      <c r="N263" s="3">
        <f t="shared" si="249"/>
        <v>3.2672717779061874E-2</v>
      </c>
      <c r="O263" s="3">
        <f t="shared" si="249"/>
        <v>3.2476001749722899E-2</v>
      </c>
      <c r="P263" s="3">
        <f t="shared" si="249"/>
        <v>3.0572820271449828E-2</v>
      </c>
      <c r="Q263" s="3">
        <f t="shared" si="249"/>
        <v>1.6713406425463737E-2</v>
      </c>
      <c r="R263" s="3">
        <f t="shared" si="249"/>
        <v>3.9843702051764492E-5</v>
      </c>
      <c r="S263" s="3">
        <f t="shared" si="249"/>
        <v>2.3621462339216276E-31</v>
      </c>
      <c r="T263" s="3">
        <f t="shared" si="249"/>
        <v>1.2670032901910207E-293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3.3282078428276941E-2</v>
      </c>
      <c r="C264" s="3">
        <f t="shared" si="250"/>
        <v>3.3282078428276927E-2</v>
      </c>
      <c r="D264" s="3">
        <f t="shared" si="250"/>
        <v>3.3282078428276747E-2</v>
      </c>
      <c r="E264" s="3">
        <f t="shared" si="250"/>
        <v>3.3282078428274936E-2</v>
      </c>
      <c r="F264" s="3">
        <f t="shared" si="250"/>
        <v>3.3282078428256805E-2</v>
      </c>
      <c r="G264" s="3">
        <f t="shared" si="250"/>
        <v>3.3282078428075491E-2</v>
      </c>
      <c r="H264" s="3">
        <f t="shared" si="250"/>
        <v>3.3282078426262393E-2</v>
      </c>
      <c r="I264" s="3">
        <f t="shared" si="250"/>
        <v>3.3282078408131369E-2</v>
      </c>
      <c r="J264" s="3">
        <f t="shared" si="250"/>
        <v>3.328207822682118E-2</v>
      </c>
      <c r="K264" s="3">
        <f t="shared" si="250"/>
        <v>3.3282076413719351E-2</v>
      </c>
      <c r="L264" s="3">
        <f t="shared" si="250"/>
        <v>3.3282058282706445E-2</v>
      </c>
      <c r="M264" s="3">
        <f t="shared" si="250"/>
        <v>3.3281876973120648E-2</v>
      </c>
      <c r="N264" s="3">
        <f t="shared" si="250"/>
        <v>3.3280063931586085E-2</v>
      </c>
      <c r="O264" s="3">
        <f t="shared" si="250"/>
        <v>3.3261938947485671E-2</v>
      </c>
      <c r="P264" s="3">
        <f t="shared" si="250"/>
        <v>3.3081231137852982E-2</v>
      </c>
      <c r="Q264" s="3">
        <f t="shared" si="250"/>
        <v>3.1327279374917388E-2</v>
      </c>
      <c r="R264" s="3">
        <f t="shared" si="250"/>
        <v>1.8169076107416672E-2</v>
      </c>
      <c r="S264" s="3">
        <f t="shared" si="250"/>
        <v>7.8241016500728747E-5</v>
      </c>
      <c r="T264" s="3">
        <f t="shared" si="250"/>
        <v>1.7157376612517094E-28</v>
      </c>
      <c r="U264" s="3">
        <f t="shared" si="250"/>
        <v>4.4117905530330206E-265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0.1075539898267141</v>
      </c>
      <c r="C265" s="3">
        <f t="shared" si="251"/>
        <v>0.1075539898267141</v>
      </c>
      <c r="D265" s="3">
        <f t="shared" si="251"/>
        <v>0.10755398982671405</v>
      </c>
      <c r="E265" s="3">
        <f t="shared" si="251"/>
        <v>0.10755398982671352</v>
      </c>
      <c r="F265" s="3">
        <f t="shared" si="251"/>
        <v>0.10755398982670823</v>
      </c>
      <c r="G265" s="3">
        <f t="shared" si="251"/>
        <v>0.10755398982665537</v>
      </c>
      <c r="H265" s="3">
        <f t="shared" si="251"/>
        <v>0.10755398982612682</v>
      </c>
      <c r="I265" s="3">
        <f t="shared" si="251"/>
        <v>0.10755398982084134</v>
      </c>
      <c r="J265" s="3">
        <f t="shared" si="251"/>
        <v>0.10755398976798648</v>
      </c>
      <c r="K265" s="3">
        <f t="shared" si="251"/>
        <v>0.10755398923943793</v>
      </c>
      <c r="L265" s="3">
        <f t="shared" si="251"/>
        <v>0.10755398395395256</v>
      </c>
      <c r="M265" s="3">
        <f t="shared" si="251"/>
        <v>0.1075539310991131</v>
      </c>
      <c r="N265" s="3">
        <f t="shared" si="251"/>
        <v>0.1075534025521471</v>
      </c>
      <c r="O265" s="3">
        <f t="shared" si="251"/>
        <v>0.10754811722534258</v>
      </c>
      <c r="P265" s="3">
        <f t="shared" si="251"/>
        <v>0.1074952782402568</v>
      </c>
      <c r="Q265" s="3">
        <f t="shared" si="251"/>
        <v>0.10696831409171642</v>
      </c>
      <c r="R265" s="3">
        <f t="shared" si="251"/>
        <v>0.10183868423932591</v>
      </c>
      <c r="S265" s="3">
        <f t="shared" si="251"/>
        <v>6.2300146100577922E-2</v>
      </c>
      <c r="T265" s="3">
        <f t="shared" si="251"/>
        <v>4.5735340909006621E-4</v>
      </c>
      <c r="U265" s="3">
        <f t="shared" si="251"/>
        <v>2.079124402856518E-25</v>
      </c>
      <c r="V265" s="3">
        <f t="shared" si="251"/>
        <v>7.8372919892184995E-239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0.13355176295714186</v>
      </c>
      <c r="C266" s="3">
        <f t="shared" si="252"/>
        <v>0.13355176295714186</v>
      </c>
      <c r="D266" s="3">
        <f t="shared" si="252"/>
        <v>0.13355176295714186</v>
      </c>
      <c r="E266" s="3">
        <f t="shared" si="252"/>
        <v>0.1335517629571418</v>
      </c>
      <c r="F266" s="3">
        <f t="shared" si="252"/>
        <v>0.13355176295714119</v>
      </c>
      <c r="G266" s="3">
        <f t="shared" si="252"/>
        <v>0.13355176295713528</v>
      </c>
      <c r="H266" s="3">
        <f t="shared" si="252"/>
        <v>0.13355176295707608</v>
      </c>
      <c r="I266" s="3">
        <f t="shared" si="252"/>
        <v>0.13355176295648402</v>
      </c>
      <c r="J266" s="3">
        <f t="shared" si="252"/>
        <v>0.13355176295056359</v>
      </c>
      <c r="K266" s="3">
        <f t="shared" si="252"/>
        <v>0.13355176289135909</v>
      </c>
      <c r="L266" s="3">
        <f t="shared" si="252"/>
        <v>0.13355176229931429</v>
      </c>
      <c r="M266" s="3">
        <f t="shared" si="252"/>
        <v>0.13355175637886632</v>
      </c>
      <c r="N266" s="3">
        <f t="shared" si="252"/>
        <v>0.13355169717440127</v>
      </c>
      <c r="O266" s="3">
        <f t="shared" si="252"/>
        <v>0.13355110513119417</v>
      </c>
      <c r="P266" s="3">
        <f t="shared" si="252"/>
        <v>0.13354518484347219</v>
      </c>
      <c r="Q266" s="3">
        <f t="shared" si="252"/>
        <v>0.13348599639880271</v>
      </c>
      <c r="R266" s="3">
        <f t="shared" si="252"/>
        <v>0.13289555284264723</v>
      </c>
      <c r="S266" s="3">
        <f t="shared" si="252"/>
        <v>0.12713287069577833</v>
      </c>
      <c r="T266" s="3">
        <f t="shared" si="252"/>
        <v>8.1607844685465961E-2</v>
      </c>
      <c r="U266" s="3">
        <f t="shared" si="252"/>
        <v>9.6933178166152515E-4</v>
      </c>
      <c r="V266" s="3">
        <f t="shared" si="252"/>
        <v>5.4184852407545354E-23</v>
      </c>
      <c r="W266" s="3">
        <f t="shared" si="252"/>
        <v>1.6141069947479996E-215</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0.10276653551975504</v>
      </c>
      <c r="C267" s="3">
        <f t="shared" si="253"/>
        <v>0.10276653551975504</v>
      </c>
      <c r="D267" s="3">
        <f t="shared" si="253"/>
        <v>0.10276653551975504</v>
      </c>
      <c r="E267" s="3">
        <f t="shared" si="253"/>
        <v>0.10276653551975504</v>
      </c>
      <c r="F267" s="3">
        <f t="shared" si="253"/>
        <v>0.102766535519755</v>
      </c>
      <c r="G267" s="3">
        <f t="shared" si="253"/>
        <v>0.10276653551975458</v>
      </c>
      <c r="H267" s="3">
        <f t="shared" si="253"/>
        <v>0.10276653551975047</v>
      </c>
      <c r="I267" s="3">
        <f t="shared" si="253"/>
        <v>0.10276653551970938</v>
      </c>
      <c r="J267" s="3">
        <f t="shared" si="253"/>
        <v>0.10276653551929842</v>
      </c>
      <c r="K267" s="3">
        <f t="shared" si="253"/>
        <v>0.10276653551518877</v>
      </c>
      <c r="L267" s="3">
        <f t="shared" si="253"/>
        <v>0.10276653547409242</v>
      </c>
      <c r="M267" s="3">
        <f t="shared" si="253"/>
        <v>0.10276653506312891</v>
      </c>
      <c r="N267" s="3">
        <f t="shared" si="253"/>
        <v>0.10276653095349393</v>
      </c>
      <c r="O267" s="3">
        <f t="shared" si="253"/>
        <v>0.10276648985715311</v>
      </c>
      <c r="P267" s="3">
        <f t="shared" si="253"/>
        <v>0.10276607889464888</v>
      </c>
      <c r="Q267" s="3">
        <f t="shared" si="253"/>
        <v>0.10276196935999449</v>
      </c>
      <c r="R267" s="3">
        <f t="shared" si="253"/>
        <v>0.10272088305090447</v>
      </c>
      <c r="S267" s="3">
        <f t="shared" si="253"/>
        <v>0.10231092236961915</v>
      </c>
      <c r="T267" s="3">
        <f t="shared" si="253"/>
        <v>9.8300235447797979E-2</v>
      </c>
      <c r="U267" s="3">
        <f t="shared" si="253"/>
        <v>6.5899199412539772E-2</v>
      </c>
      <c r="V267" s="3">
        <f t="shared" si="253"/>
        <v>1.2081919653450159E-3</v>
      </c>
      <c r="W267" s="3">
        <f t="shared" si="253"/>
        <v>5.1843461485911666E-21</v>
      </c>
      <c r="X267" s="3">
        <f t="shared" si="253"/>
        <v>1.0971713693959995E-194</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8.2308697100650766E-2</v>
      </c>
      <c r="C268" s="3">
        <f t="shared" si="254"/>
        <v>8.2308697100650766E-2</v>
      </c>
      <c r="D268" s="3">
        <f t="shared" si="254"/>
        <v>8.2308697100650766E-2</v>
      </c>
      <c r="E268" s="3">
        <f t="shared" si="254"/>
        <v>8.2308697100650766E-2</v>
      </c>
      <c r="F268" s="3">
        <f t="shared" si="254"/>
        <v>8.2308697100650766E-2</v>
      </c>
      <c r="G268" s="3">
        <f t="shared" si="254"/>
        <v>8.2308697100650724E-2</v>
      </c>
      <c r="H268" s="3">
        <f t="shared" si="254"/>
        <v>8.2308697100650433E-2</v>
      </c>
      <c r="I268" s="3">
        <f t="shared" si="254"/>
        <v>8.2308697100647463E-2</v>
      </c>
      <c r="J268" s="3">
        <f t="shared" si="254"/>
        <v>8.2308697100617778E-2</v>
      </c>
      <c r="K268" s="3">
        <f t="shared" si="254"/>
        <v>8.2308697100320849E-2</v>
      </c>
      <c r="L268" s="3">
        <f t="shared" si="254"/>
        <v>8.2308697097351613E-2</v>
      </c>
      <c r="M268" s="3">
        <f t="shared" si="254"/>
        <v>8.2308697067659323E-2</v>
      </c>
      <c r="N268" s="3">
        <f t="shared" si="254"/>
        <v>8.2308696770736309E-2</v>
      </c>
      <c r="O268" s="3">
        <f t="shared" si="254"/>
        <v>8.2308693801506211E-2</v>
      </c>
      <c r="P268" s="3">
        <f t="shared" si="254"/>
        <v>8.2308664109211185E-2</v>
      </c>
      <c r="Q268" s="3">
        <f t="shared" si="254"/>
        <v>8.2308367186850126E-2</v>
      </c>
      <c r="R268" s="3">
        <f t="shared" si="254"/>
        <v>8.2305398022150714E-2</v>
      </c>
      <c r="S268" s="3">
        <f t="shared" si="254"/>
        <v>8.2275712265495432E-2</v>
      </c>
      <c r="T268" s="3">
        <f t="shared" si="254"/>
        <v>8.1979442947376135E-2</v>
      </c>
      <c r="U268" s="3">
        <f t="shared" si="254"/>
        <v>7.9074796963815502E-2</v>
      </c>
      <c r="V268" s="3">
        <f t="shared" si="254"/>
        <v>5.512762856308704E-2</v>
      </c>
      <c r="W268" s="3">
        <f t="shared" si="254"/>
        <v>1.495138977379154E-3</v>
      </c>
      <c r="X268" s="3">
        <f t="shared" si="254"/>
        <v>3.2196160990068791E-19</v>
      </c>
      <c r="Y268" s="3">
        <f t="shared" si="254"/>
        <v>6.9028646708736569E-176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3.7013792035783422E-2</v>
      </c>
      <c r="C269" s="3">
        <f t="shared" si="255"/>
        <v>3.7013792035783422E-2</v>
      </c>
      <c r="D269" s="3">
        <f t="shared" si="255"/>
        <v>3.7013792035783422E-2</v>
      </c>
      <c r="E269" s="3">
        <f t="shared" si="255"/>
        <v>3.7013792035783422E-2</v>
      </c>
      <c r="F269" s="3">
        <f t="shared" si="255"/>
        <v>3.7013792035783422E-2</v>
      </c>
      <c r="G269" s="3">
        <f t="shared" si="255"/>
        <v>3.7013792035783422E-2</v>
      </c>
      <c r="H269" s="3">
        <f t="shared" si="255"/>
        <v>3.7013792035783408E-2</v>
      </c>
      <c r="I269" s="3">
        <f t="shared" si="255"/>
        <v>3.7013792035783283E-2</v>
      </c>
      <c r="J269" s="3">
        <f t="shared" si="255"/>
        <v>3.7013792035782082E-2</v>
      </c>
      <c r="K269" s="3">
        <f t="shared" si="255"/>
        <v>3.7013792035770036E-2</v>
      </c>
      <c r="L269" s="3">
        <f t="shared" si="255"/>
        <v>3.7013792035649591E-2</v>
      </c>
      <c r="M269" s="3">
        <f t="shared" si="255"/>
        <v>3.7013792034445082E-2</v>
      </c>
      <c r="N269" s="3">
        <f t="shared" si="255"/>
        <v>3.7013792022400044E-2</v>
      </c>
      <c r="O269" s="3">
        <f t="shared" si="255"/>
        <v>3.7013791901949623E-2</v>
      </c>
      <c r="P269" s="3">
        <f t="shared" si="255"/>
        <v>3.7013790697445481E-2</v>
      </c>
      <c r="Q269" s="3">
        <f t="shared" si="255"/>
        <v>3.7013778652406196E-2</v>
      </c>
      <c r="R269" s="3">
        <f t="shared" si="255"/>
        <v>3.7013658202228954E-2</v>
      </c>
      <c r="S269" s="3">
        <f t="shared" si="255"/>
        <v>3.7012453722014581E-2</v>
      </c>
      <c r="T269" s="3">
        <f t="shared" si="255"/>
        <v>3.7000411075418488E-2</v>
      </c>
      <c r="U269" s="3">
        <f t="shared" si="255"/>
        <v>3.6880199904906076E-2</v>
      </c>
      <c r="V269" s="3">
        <f t="shared" si="255"/>
        <v>3.5699360757984244E-2</v>
      </c>
      <c r="W269" s="3">
        <f t="shared" si="255"/>
        <v>2.5782924163146797E-2</v>
      </c>
      <c r="X269" s="3">
        <f t="shared" si="255"/>
        <v>9.955188488912311E-4</v>
      </c>
      <c r="Y269" s="3">
        <f t="shared" si="255"/>
        <v>7.3320032342020908E-18</v>
      </c>
      <c r="Z269" s="3">
        <f t="shared" si="255"/>
        <v>3.4431366080671775E-159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5.9919400803358086E-2</v>
      </c>
      <c r="C270" s="3">
        <f t="shared" si="256"/>
        <v>5.9919400803358086E-2</v>
      </c>
      <c r="D270" s="3">
        <f t="shared" si="256"/>
        <v>5.9919400803358086E-2</v>
      </c>
      <c r="E270" s="3">
        <f t="shared" si="256"/>
        <v>5.9919400803358086E-2</v>
      </c>
      <c r="F270" s="3">
        <f t="shared" si="256"/>
        <v>5.9919400803358086E-2</v>
      </c>
      <c r="G270" s="3">
        <f t="shared" si="256"/>
        <v>5.9919400803358086E-2</v>
      </c>
      <c r="H270" s="3">
        <f t="shared" si="256"/>
        <v>5.9919400803358079E-2</v>
      </c>
      <c r="I270" s="3">
        <f t="shared" si="256"/>
        <v>5.9919400803358024E-2</v>
      </c>
      <c r="J270" s="3">
        <f t="shared" si="256"/>
        <v>5.9919400803357489E-2</v>
      </c>
      <c r="K270" s="3">
        <f t="shared" si="256"/>
        <v>5.9919400803352091E-2</v>
      </c>
      <c r="L270" s="3">
        <f t="shared" si="256"/>
        <v>5.9919400803298162E-2</v>
      </c>
      <c r="M270" s="3">
        <f t="shared" si="256"/>
        <v>5.9919400802758871E-2</v>
      </c>
      <c r="N270" s="3">
        <f t="shared" si="256"/>
        <v>5.9919400797365942E-2</v>
      </c>
      <c r="O270" s="3">
        <f t="shared" si="256"/>
        <v>5.9919400743436602E-2</v>
      </c>
      <c r="P270" s="3">
        <f t="shared" si="256"/>
        <v>5.9919400204143276E-2</v>
      </c>
      <c r="Q270" s="3">
        <f t="shared" si="256"/>
        <v>5.991939481121026E-2</v>
      </c>
      <c r="R270" s="3">
        <f t="shared" si="256"/>
        <v>5.9919340881906778E-2</v>
      </c>
      <c r="S270" s="3">
        <f t="shared" si="256"/>
        <v>5.9918801591541594E-2</v>
      </c>
      <c r="T270" s="3">
        <f t="shared" si="256"/>
        <v>5.9913408954839299E-2</v>
      </c>
      <c r="U270" s="3">
        <f t="shared" si="256"/>
        <v>5.9859509273887827E-2</v>
      </c>
      <c r="V270" s="3">
        <f t="shared" si="256"/>
        <v>5.9323172206100616E-2</v>
      </c>
      <c r="W270" s="3">
        <f t="shared" si="256"/>
        <v>5.421712766545031E-2</v>
      </c>
      <c r="X270" s="3">
        <f t="shared" si="256"/>
        <v>2.2042350336702338E-2</v>
      </c>
      <c r="Y270" s="3">
        <f t="shared" si="256"/>
        <v>2.719392223238879E-6</v>
      </c>
      <c r="Z270" s="3">
        <f t="shared" si="256"/>
        <v>2.2213211755847246E-45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6.4670451984415095E-2</v>
      </c>
      <c r="C271" s="3">
        <f t="shared" si="257"/>
        <v>6.4670451984415095E-2</v>
      </c>
      <c r="D271" s="3">
        <f t="shared" si="257"/>
        <v>6.4670451984415095E-2</v>
      </c>
      <c r="E271" s="3">
        <f t="shared" si="257"/>
        <v>6.4670451984415095E-2</v>
      </c>
      <c r="F271" s="3">
        <f t="shared" si="257"/>
        <v>6.4670451984415095E-2</v>
      </c>
      <c r="G271" s="3">
        <f t="shared" si="257"/>
        <v>6.4670451984415095E-2</v>
      </c>
      <c r="H271" s="3">
        <f t="shared" si="257"/>
        <v>6.4670451984415095E-2</v>
      </c>
      <c r="I271" s="3">
        <f t="shared" si="257"/>
        <v>6.4670451984415081E-2</v>
      </c>
      <c r="J271" s="3">
        <f t="shared" si="257"/>
        <v>6.4670451984415026E-2</v>
      </c>
      <c r="K271" s="3">
        <f t="shared" si="257"/>
        <v>6.4670451984414443E-2</v>
      </c>
      <c r="L271" s="3">
        <f t="shared" si="257"/>
        <v>6.4670451984408628E-2</v>
      </c>
      <c r="M271" s="3">
        <f t="shared" si="257"/>
        <v>6.4670451984350424E-2</v>
      </c>
      <c r="N271" s="3">
        <f t="shared" si="257"/>
        <v>6.4670451983768362E-2</v>
      </c>
      <c r="O271" s="3">
        <f t="shared" si="257"/>
        <v>6.4670451977947824E-2</v>
      </c>
      <c r="P271" s="3">
        <f t="shared" si="257"/>
        <v>6.4670451919742397E-2</v>
      </c>
      <c r="Q271" s="3">
        <f t="shared" si="257"/>
        <v>6.4670451337688131E-2</v>
      </c>
      <c r="R271" s="3">
        <f t="shared" si="257"/>
        <v>6.467044551714568E-2</v>
      </c>
      <c r="S271" s="3">
        <f t="shared" si="257"/>
        <v>6.4670387311750024E-2</v>
      </c>
      <c r="T271" s="3">
        <f t="shared" si="257"/>
        <v>6.4669805260674743E-2</v>
      </c>
      <c r="U271" s="3">
        <f t="shared" si="257"/>
        <v>6.4663985038038191E-2</v>
      </c>
      <c r="V271" s="3">
        <f t="shared" si="257"/>
        <v>6.4605811613701269E-2</v>
      </c>
      <c r="W271" s="3">
        <f t="shared" si="257"/>
        <v>6.4026948004840697E-2</v>
      </c>
      <c r="X271" s="3">
        <f t="shared" si="257"/>
        <v>5.8516041622781137E-2</v>
      </c>
      <c r="Y271" s="3">
        <f t="shared" si="257"/>
        <v>2.3790103705334038E-2</v>
      </c>
      <c r="Z271" s="3">
        <f t="shared" si="257"/>
        <v>2.9350147338240024E-6</v>
      </c>
      <c r="AA271" s="3">
        <f t="shared" si="257"/>
        <v>2.3974512845857024E-45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6.7576207998846588E-2</v>
      </c>
      <c r="C272" s="3">
        <f t="shared" si="258"/>
        <v>6.7576207998846588E-2</v>
      </c>
      <c r="D272" s="3">
        <f t="shared" si="258"/>
        <v>6.7576207998846588E-2</v>
      </c>
      <c r="E272" s="3">
        <f t="shared" si="258"/>
        <v>6.7576207998846588E-2</v>
      </c>
      <c r="F272" s="3">
        <f t="shared" si="258"/>
        <v>6.7576207998846588E-2</v>
      </c>
      <c r="G272" s="3">
        <f t="shared" si="258"/>
        <v>6.7576207998846588E-2</v>
      </c>
      <c r="H272" s="3">
        <f t="shared" si="258"/>
        <v>6.7576207998846588E-2</v>
      </c>
      <c r="I272" s="3">
        <f t="shared" si="258"/>
        <v>6.7576207998846588E-2</v>
      </c>
      <c r="J272" s="3">
        <f t="shared" si="258"/>
        <v>6.7576207998846574E-2</v>
      </c>
      <c r="K272" s="3">
        <f t="shared" si="258"/>
        <v>6.7576207998846519E-2</v>
      </c>
      <c r="L272" s="3">
        <f t="shared" si="258"/>
        <v>6.7576207998845908E-2</v>
      </c>
      <c r="M272" s="3">
        <f t="shared" si="258"/>
        <v>6.757620799883983E-2</v>
      </c>
      <c r="N272" s="3">
        <f t="shared" si="258"/>
        <v>6.7576207998779003E-2</v>
      </c>
      <c r="O272" s="3">
        <f t="shared" si="258"/>
        <v>6.7576207998170809E-2</v>
      </c>
      <c r="P272" s="3">
        <f t="shared" si="258"/>
        <v>6.757620799208873E-2</v>
      </c>
      <c r="Q272" s="3">
        <f t="shared" si="258"/>
        <v>6.7576207931268034E-2</v>
      </c>
      <c r="R272" s="3">
        <f t="shared" si="258"/>
        <v>6.7576207323061049E-2</v>
      </c>
      <c r="S272" s="3">
        <f t="shared" si="258"/>
        <v>6.7576201240991493E-2</v>
      </c>
      <c r="T272" s="3">
        <f t="shared" si="258"/>
        <v>6.7576140420326058E-2</v>
      </c>
      <c r="U272" s="3">
        <f t="shared" si="258"/>
        <v>6.7575532216682485E-2</v>
      </c>
      <c r="V272" s="3">
        <f t="shared" si="258"/>
        <v>6.7569450481308455E-2</v>
      </c>
      <c r="W272" s="3">
        <f t="shared" si="258"/>
        <v>6.750866322372219E-2</v>
      </c>
      <c r="X272" s="3">
        <f t="shared" si="258"/>
        <v>6.6903790264975102E-2</v>
      </c>
      <c r="Y272" s="3">
        <f t="shared" si="258"/>
        <v>6.1145269263359503E-2</v>
      </c>
      <c r="Z272" s="3">
        <f t="shared" si="258"/>
        <v>2.485903448909263E-2</v>
      </c>
      <c r="AA272" s="3">
        <f t="shared" si="258"/>
        <v>3.0668900563794934E-6</v>
      </c>
      <c r="AB272" s="3">
        <f t="shared" si="258"/>
        <v>2.505172945339987E-45</v>
      </c>
      <c r="AC272" s="3">
        <f t="shared" si="258"/>
        <v>0</v>
      </c>
      <c r="AD272" s="3">
        <f t="shared" si="258"/>
        <v>0</v>
      </c>
      <c r="AE272" s="3">
        <f t="shared" si="258"/>
        <v>0</v>
      </c>
      <c r="AF272" s="3">
        <f t="shared" si="258"/>
        <v>0</v>
      </c>
      <c r="AG272" s="3"/>
      <c r="AH272" s="3"/>
    </row>
    <row r="273" spans="1:34" x14ac:dyDescent="0.25">
      <c r="B273" s="3">
        <f t="shared" ref="B273:AF273" si="259">$C42*EXP(-B$246/$A42/EXP(-$E$126))</f>
        <v>7.4650772379504848E-2</v>
      </c>
      <c r="C273" s="3">
        <f t="shared" si="259"/>
        <v>7.4650772379504848E-2</v>
      </c>
      <c r="D273" s="3">
        <f t="shared" si="259"/>
        <v>7.4650772379504848E-2</v>
      </c>
      <c r="E273" s="3">
        <f t="shared" si="259"/>
        <v>7.4650772379504848E-2</v>
      </c>
      <c r="F273" s="3">
        <f t="shared" si="259"/>
        <v>7.4650772379504848E-2</v>
      </c>
      <c r="G273" s="3">
        <f t="shared" si="259"/>
        <v>7.4650772379504848E-2</v>
      </c>
      <c r="H273" s="3">
        <f t="shared" si="259"/>
        <v>7.4650772379504848E-2</v>
      </c>
      <c r="I273" s="3">
        <f t="shared" si="259"/>
        <v>7.4650772379504848E-2</v>
      </c>
      <c r="J273" s="3">
        <f t="shared" si="259"/>
        <v>7.4650772379504848E-2</v>
      </c>
      <c r="K273" s="3">
        <f t="shared" si="259"/>
        <v>7.4650772379504834E-2</v>
      </c>
      <c r="L273" s="3">
        <f t="shared" si="259"/>
        <v>7.4650772379504779E-2</v>
      </c>
      <c r="M273" s="3">
        <f t="shared" si="259"/>
        <v>7.4650772379504099E-2</v>
      </c>
      <c r="N273" s="3">
        <f t="shared" si="259"/>
        <v>7.4650772379497382E-2</v>
      </c>
      <c r="O273" s="3">
        <f t="shared" si="259"/>
        <v>7.4650772379430186E-2</v>
      </c>
      <c r="P273" s="3">
        <f t="shared" si="259"/>
        <v>7.4650772378758321E-2</v>
      </c>
      <c r="Q273" s="3">
        <f t="shared" si="259"/>
        <v>7.4650772372039514E-2</v>
      </c>
      <c r="R273" s="3">
        <f t="shared" si="259"/>
        <v>7.4650772304851482E-2</v>
      </c>
      <c r="S273" s="3">
        <f t="shared" si="259"/>
        <v>7.4650771632971208E-2</v>
      </c>
      <c r="T273" s="3">
        <f t="shared" si="259"/>
        <v>7.4650764914168791E-2</v>
      </c>
      <c r="U273" s="3">
        <f t="shared" si="259"/>
        <v>7.4650697726177842E-2</v>
      </c>
      <c r="V273" s="3">
        <f t="shared" si="259"/>
        <v>7.4650025849594334E-2</v>
      </c>
      <c r="W273" s="3">
        <f t="shared" si="259"/>
        <v>7.464330741633915E-2</v>
      </c>
      <c r="X273" s="3">
        <f t="shared" si="259"/>
        <v>7.4576156330712615E-2</v>
      </c>
      <c r="Y273" s="3">
        <f t="shared" si="259"/>
        <v>7.3907959121974329E-2</v>
      </c>
      <c r="Z273" s="3">
        <f t="shared" si="259"/>
        <v>6.7546577605249666E-2</v>
      </c>
      <c r="AA273" s="3">
        <f t="shared" si="259"/>
        <v>2.746153091708237E-2</v>
      </c>
      <c r="AB273" s="3">
        <f t="shared" si="259"/>
        <v>3.3879632831078666E-6</v>
      </c>
      <c r="AC273" s="3">
        <f t="shared" si="259"/>
        <v>2.7674399149040904E-45</v>
      </c>
      <c r="AD273" s="3">
        <f t="shared" si="259"/>
        <v>0</v>
      </c>
      <c r="AE273" s="3">
        <f t="shared" si="259"/>
        <v>0</v>
      </c>
      <c r="AF273" s="3">
        <f t="shared" si="259"/>
        <v>0</v>
      </c>
      <c r="AG273" s="3"/>
      <c r="AH273" s="3"/>
    </row>
    <row r="274" spans="1:34" x14ac:dyDescent="0.25">
      <c r="B274" s="3">
        <f t="shared" ref="B274:AF274" si="260">$C43*EXP(-B$246/$A43/EXP(-$E$126))</f>
        <v>4.2437426023751848E-2</v>
      </c>
      <c r="C274" s="3">
        <f t="shared" si="260"/>
        <v>4.2437426023751848E-2</v>
      </c>
      <c r="D274" s="3">
        <f t="shared" si="260"/>
        <v>4.2437426023751848E-2</v>
      </c>
      <c r="E274" s="3">
        <f t="shared" si="260"/>
        <v>4.2437426023751848E-2</v>
      </c>
      <c r="F274" s="3">
        <f t="shared" si="260"/>
        <v>4.2437426023751848E-2</v>
      </c>
      <c r="G274" s="3">
        <f t="shared" si="260"/>
        <v>4.2437426023751848E-2</v>
      </c>
      <c r="H274" s="3">
        <f t="shared" si="260"/>
        <v>4.2437426023751848E-2</v>
      </c>
      <c r="I274" s="3">
        <f t="shared" si="260"/>
        <v>4.2437426023751848E-2</v>
      </c>
      <c r="J274" s="3">
        <f t="shared" si="260"/>
        <v>4.2437426023751848E-2</v>
      </c>
      <c r="K274" s="3">
        <f t="shared" si="260"/>
        <v>4.2437426023751848E-2</v>
      </c>
      <c r="L274" s="3">
        <f t="shared" si="260"/>
        <v>4.2437426023751841E-2</v>
      </c>
      <c r="M274" s="3">
        <f t="shared" si="260"/>
        <v>4.2437426023751806E-2</v>
      </c>
      <c r="N274" s="3">
        <f t="shared" si="260"/>
        <v>4.2437426023751425E-2</v>
      </c>
      <c r="O274" s="3">
        <f t="shared" si="260"/>
        <v>4.2437426023747601E-2</v>
      </c>
      <c r="P274" s="3">
        <f t="shared" si="260"/>
        <v>4.243742602370941E-2</v>
      </c>
      <c r="Q274" s="3">
        <f t="shared" si="260"/>
        <v>4.2437426023327458E-2</v>
      </c>
      <c r="R274" s="3">
        <f t="shared" si="260"/>
        <v>4.2437426019507958E-2</v>
      </c>
      <c r="S274" s="3">
        <f t="shared" si="260"/>
        <v>4.2437425981312948E-2</v>
      </c>
      <c r="T274" s="3">
        <f t="shared" si="260"/>
        <v>4.2437425599362859E-2</v>
      </c>
      <c r="U274" s="3">
        <f t="shared" si="260"/>
        <v>4.2437421779862115E-2</v>
      </c>
      <c r="V274" s="3">
        <f t="shared" si="260"/>
        <v>4.2437383584873575E-2</v>
      </c>
      <c r="W274" s="3">
        <f t="shared" si="260"/>
        <v>4.2437001636878913E-2</v>
      </c>
      <c r="X274" s="3">
        <f t="shared" si="260"/>
        <v>4.2433182345997196E-2</v>
      </c>
      <c r="Y274" s="3">
        <f t="shared" si="260"/>
        <v>4.2395008337372031E-2</v>
      </c>
      <c r="Z274" s="3">
        <f t="shared" si="260"/>
        <v>4.2015151991466444E-2</v>
      </c>
      <c r="AA274" s="3">
        <f t="shared" si="260"/>
        <v>3.839883766651269E-2</v>
      </c>
      <c r="AB274" s="3">
        <f t="shared" si="260"/>
        <v>1.5611314520204665E-2</v>
      </c>
      <c r="AC274" s="3">
        <f t="shared" si="260"/>
        <v>1.9259873222363462E-6</v>
      </c>
      <c r="AD274" s="3">
        <f t="shared" si="260"/>
        <v>1.5732325724223062E-45</v>
      </c>
      <c r="AE274" s="3">
        <f t="shared" si="260"/>
        <v>0</v>
      </c>
      <c r="AF274" s="3">
        <f t="shared" si="260"/>
        <v>0</v>
      </c>
      <c r="AG274" s="3"/>
      <c r="AH274" s="3"/>
    </row>
    <row r="275" spans="1:34" x14ac:dyDescent="0.25">
      <c r="B275" s="3">
        <f t="shared" ref="B275:AF275" si="261">$C44*EXP(-B$246/$A44/EXP(-$E$126))</f>
        <v>2.9362775672931045E-2</v>
      </c>
      <c r="C275" s="3">
        <f t="shared" si="261"/>
        <v>2.9362775672931045E-2</v>
      </c>
      <c r="D275" s="3">
        <f t="shared" si="261"/>
        <v>2.9362775672931045E-2</v>
      </c>
      <c r="E275" s="3">
        <f t="shared" si="261"/>
        <v>2.9362775672931045E-2</v>
      </c>
      <c r="F275" s="3">
        <f t="shared" si="261"/>
        <v>2.9362775672931045E-2</v>
      </c>
      <c r="G275" s="3">
        <f t="shared" si="261"/>
        <v>2.9362775672931045E-2</v>
      </c>
      <c r="H275" s="3">
        <f t="shared" si="261"/>
        <v>2.9362775672931045E-2</v>
      </c>
      <c r="I275" s="3">
        <f t="shared" si="261"/>
        <v>2.9362775672931045E-2</v>
      </c>
      <c r="J275" s="3">
        <f t="shared" si="261"/>
        <v>2.9362775672931045E-2</v>
      </c>
      <c r="K275" s="3">
        <f t="shared" si="261"/>
        <v>2.9362775672931045E-2</v>
      </c>
      <c r="L275" s="3">
        <f t="shared" si="261"/>
        <v>2.9362775672931045E-2</v>
      </c>
      <c r="M275" s="3">
        <f t="shared" si="261"/>
        <v>2.9362775672931041E-2</v>
      </c>
      <c r="N275" s="3">
        <f t="shared" si="261"/>
        <v>2.9362775672931017E-2</v>
      </c>
      <c r="O275" s="3">
        <f t="shared" si="261"/>
        <v>2.936277567293075E-2</v>
      </c>
      <c r="P275" s="3">
        <f t="shared" si="261"/>
        <v>2.9362775672928106E-2</v>
      </c>
      <c r="Q275" s="3">
        <f t="shared" si="261"/>
        <v>2.936277567290168E-2</v>
      </c>
      <c r="R275" s="3">
        <f t="shared" si="261"/>
        <v>2.9362775672637408E-2</v>
      </c>
      <c r="S275" s="3">
        <f t="shared" si="261"/>
        <v>2.9362775669994665E-2</v>
      </c>
      <c r="T275" s="3">
        <f t="shared" si="261"/>
        <v>2.9362775643567249E-2</v>
      </c>
      <c r="U275" s="3">
        <f t="shared" si="261"/>
        <v>2.9362775379293098E-2</v>
      </c>
      <c r="V275" s="3">
        <f t="shared" si="261"/>
        <v>2.9362772736551676E-2</v>
      </c>
      <c r="W275" s="3">
        <f t="shared" si="261"/>
        <v>2.9362746309150548E-2</v>
      </c>
      <c r="X275" s="3">
        <f t="shared" si="261"/>
        <v>2.9362482036447497E-2</v>
      </c>
      <c r="Y275" s="3">
        <f t="shared" si="261"/>
        <v>2.935983944023238E-2</v>
      </c>
      <c r="Z275" s="3">
        <f t="shared" si="261"/>
        <v>2.933342655526688E-2</v>
      </c>
      <c r="AA275" s="3">
        <f t="shared" si="261"/>
        <v>2.9070601079788646E-2</v>
      </c>
      <c r="AB275" s="3">
        <f t="shared" si="261"/>
        <v>2.6568445877750865E-2</v>
      </c>
      <c r="AC275" s="3">
        <f t="shared" si="261"/>
        <v>1.0801586457194248E-2</v>
      </c>
      <c r="AD275" s="3">
        <f t="shared" si="261"/>
        <v>1.3326051787420649E-6</v>
      </c>
      <c r="AE275" s="3">
        <f t="shared" si="261"/>
        <v>1.088531502347239E-45</v>
      </c>
      <c r="AF275" s="3">
        <f t="shared" si="261"/>
        <v>0</v>
      </c>
      <c r="AG275" s="3"/>
      <c r="AH275" s="3"/>
    </row>
    <row r="276" spans="1:34" x14ac:dyDescent="0.25">
      <c r="B276" s="3">
        <f t="shared" ref="B276:AF276" si="262">$C45*EXP(-B$246/$A45/EXP(-$E$126))</f>
        <v>1.3317924951321973E-2</v>
      </c>
      <c r="C276" s="3">
        <f t="shared" si="262"/>
        <v>1.3317924951321973E-2</v>
      </c>
      <c r="D276" s="3">
        <f t="shared" si="262"/>
        <v>1.3317924951321973E-2</v>
      </c>
      <c r="E276" s="3">
        <f t="shared" si="262"/>
        <v>1.3317924951321973E-2</v>
      </c>
      <c r="F276" s="3">
        <f t="shared" si="262"/>
        <v>1.3317924951321973E-2</v>
      </c>
      <c r="G276" s="3">
        <f t="shared" si="262"/>
        <v>1.3317924951321973E-2</v>
      </c>
      <c r="H276" s="3">
        <f t="shared" si="262"/>
        <v>1.3317924951321973E-2</v>
      </c>
      <c r="I276" s="3">
        <f t="shared" si="262"/>
        <v>1.3317924951321973E-2</v>
      </c>
      <c r="J276" s="3">
        <f t="shared" si="262"/>
        <v>1.3317924951321973E-2</v>
      </c>
      <c r="K276" s="3">
        <f t="shared" si="262"/>
        <v>1.3317924951321973E-2</v>
      </c>
      <c r="L276" s="3">
        <f t="shared" si="262"/>
        <v>1.3317924951321973E-2</v>
      </c>
      <c r="M276" s="3">
        <f t="shared" si="262"/>
        <v>1.3317924951321973E-2</v>
      </c>
      <c r="N276" s="3">
        <f t="shared" si="262"/>
        <v>1.3317924951321971E-2</v>
      </c>
      <c r="O276" s="3">
        <f t="shared" si="262"/>
        <v>1.3317924951321959E-2</v>
      </c>
      <c r="P276" s="3">
        <f t="shared" si="262"/>
        <v>1.3317924951321839E-2</v>
      </c>
      <c r="Q276" s="3">
        <f t="shared" si="262"/>
        <v>1.331792495132064E-2</v>
      </c>
      <c r="R276" s="3">
        <f t="shared" si="262"/>
        <v>1.3317924951308653E-2</v>
      </c>
      <c r="S276" s="3">
        <f t="shared" si="262"/>
        <v>1.3317924951188789E-2</v>
      </c>
      <c r="T276" s="3">
        <f t="shared" si="262"/>
        <v>1.3317924949990134E-2</v>
      </c>
      <c r="U276" s="3">
        <f t="shared" si="262"/>
        <v>1.3317924938003585E-2</v>
      </c>
      <c r="V276" s="3">
        <f t="shared" si="262"/>
        <v>1.3317924818138101E-2</v>
      </c>
      <c r="W276" s="3">
        <f t="shared" si="262"/>
        <v>1.3317923619483304E-2</v>
      </c>
      <c r="X276" s="3">
        <f t="shared" si="262"/>
        <v>1.3317911632941269E-2</v>
      </c>
      <c r="Y276" s="3">
        <f t="shared" si="262"/>
        <v>1.3317791768114281E-2</v>
      </c>
      <c r="Z276" s="3">
        <f t="shared" si="262"/>
        <v>1.3316593179177676E-2</v>
      </c>
      <c r="AA276" s="3">
        <f t="shared" si="262"/>
        <v>1.3304613221164283E-2</v>
      </c>
      <c r="AB276" s="3">
        <f t="shared" si="262"/>
        <v>1.3185404805832435E-2</v>
      </c>
      <c r="AC276" s="3">
        <f t="shared" si="262"/>
        <v>1.2050514985861521E-2</v>
      </c>
      <c r="AD276" s="3">
        <f t="shared" si="262"/>
        <v>4.899220679765148E-3</v>
      </c>
      <c r="AE276" s="3">
        <f t="shared" si="262"/>
        <v>6.0442295912068424E-7</v>
      </c>
      <c r="AF276" s="3">
        <f t="shared" si="262"/>
        <v>4.9371970200946513E-46</v>
      </c>
      <c r="AG276" s="3"/>
      <c r="AH276" s="3"/>
    </row>
    <row r="277" spans="1:34" x14ac:dyDescent="0.25">
      <c r="B277" s="3">
        <f t="shared" ref="B277:AF277" si="263">$C46*EXP(-B$246/$A46/EXP(-$E$126))</f>
        <v>4.0600750332731679E-3</v>
      </c>
      <c r="C277" s="3">
        <f t="shared" si="263"/>
        <v>4.0600750332731679E-3</v>
      </c>
      <c r="D277" s="3">
        <f t="shared" si="263"/>
        <v>4.0600750332731679E-3</v>
      </c>
      <c r="E277" s="3">
        <f t="shared" si="263"/>
        <v>4.0600750332731679E-3</v>
      </c>
      <c r="F277" s="3">
        <f t="shared" si="263"/>
        <v>4.0600750332731679E-3</v>
      </c>
      <c r="G277" s="3">
        <f t="shared" si="263"/>
        <v>4.0600750332731679E-3</v>
      </c>
      <c r="H277" s="3">
        <f t="shared" si="263"/>
        <v>4.0600750332731679E-3</v>
      </c>
      <c r="I277" s="3">
        <f t="shared" si="263"/>
        <v>4.0600750332731679E-3</v>
      </c>
      <c r="J277" s="3">
        <f t="shared" si="263"/>
        <v>4.0600750332731679E-3</v>
      </c>
      <c r="K277" s="3">
        <f t="shared" si="263"/>
        <v>4.0600750332731679E-3</v>
      </c>
      <c r="L277" s="3">
        <f t="shared" si="263"/>
        <v>4.0600750332731679E-3</v>
      </c>
      <c r="M277" s="3">
        <f t="shared" si="263"/>
        <v>4.0600750332731679E-3</v>
      </c>
      <c r="N277" s="3">
        <f t="shared" si="263"/>
        <v>4.0600750332731679E-3</v>
      </c>
      <c r="O277" s="3">
        <f t="shared" si="263"/>
        <v>4.060075033273167E-3</v>
      </c>
      <c r="P277" s="3">
        <f t="shared" si="263"/>
        <v>4.0600750332731635E-3</v>
      </c>
      <c r="Q277" s="3">
        <f t="shared" si="263"/>
        <v>4.0600750332731271E-3</v>
      </c>
      <c r="R277" s="3">
        <f t="shared" si="263"/>
        <v>4.0600750332727619E-3</v>
      </c>
      <c r="S277" s="3">
        <f t="shared" si="263"/>
        <v>4.0600750332691077E-3</v>
      </c>
      <c r="T277" s="3">
        <f t="shared" si="263"/>
        <v>4.0600750332325658E-3</v>
      </c>
      <c r="U277" s="3">
        <f t="shared" si="263"/>
        <v>4.0600750328671463E-3</v>
      </c>
      <c r="V277" s="3">
        <f t="shared" si="263"/>
        <v>4.0600750292129522E-3</v>
      </c>
      <c r="W277" s="3">
        <f t="shared" si="263"/>
        <v>4.0600749926710082E-3</v>
      </c>
      <c r="X277" s="3">
        <f t="shared" si="263"/>
        <v>4.0600746272515878E-3</v>
      </c>
      <c r="Y277" s="3">
        <f t="shared" si="263"/>
        <v>4.0600709730591947E-3</v>
      </c>
      <c r="Z277" s="3">
        <f t="shared" si="263"/>
        <v>4.0600344313161526E-3</v>
      </c>
      <c r="AA277" s="3">
        <f t="shared" si="263"/>
        <v>4.059669031973954E-3</v>
      </c>
      <c r="AB277" s="3">
        <f t="shared" si="263"/>
        <v>4.0560168467718583E-3</v>
      </c>
      <c r="AC277" s="3">
        <f t="shared" si="263"/>
        <v>4.0196752160287863E-3</v>
      </c>
      <c r="AD277" s="3">
        <f t="shared" si="263"/>
        <v>3.6736950546732133E-3</v>
      </c>
      <c r="AE277" s="3">
        <f t="shared" si="263"/>
        <v>1.4935662753104509E-3</v>
      </c>
      <c r="AF277" s="3">
        <f t="shared" si="263"/>
        <v>1.842631321945832E-7</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6.6069827735831333E-3</v>
      </c>
      <c r="C279" s="3">
        <f t="shared" si="265"/>
        <v>6.6069827735831333E-3</v>
      </c>
      <c r="D279" s="3">
        <f t="shared" si="265"/>
        <v>6.6069827735831333E-3</v>
      </c>
      <c r="E279" s="3">
        <f t="shared" si="265"/>
        <v>6.6069827735831333E-3</v>
      </c>
      <c r="F279" s="3">
        <f t="shared" si="265"/>
        <v>6.6069827735831333E-3</v>
      </c>
      <c r="G279" s="3">
        <f t="shared" si="265"/>
        <v>6.6069827735831333E-3</v>
      </c>
      <c r="H279" s="3">
        <f t="shared" si="265"/>
        <v>6.6069827735831333E-3</v>
      </c>
      <c r="I279" s="3">
        <f t="shared" si="265"/>
        <v>6.6069827735831333E-3</v>
      </c>
      <c r="J279" s="3">
        <f t="shared" si="265"/>
        <v>6.6069827735831333E-3</v>
      </c>
      <c r="K279" s="3">
        <f t="shared" si="265"/>
        <v>6.6069827735831333E-3</v>
      </c>
      <c r="L279" s="3">
        <f t="shared" si="265"/>
        <v>6.6069827735831333E-3</v>
      </c>
      <c r="M279" s="3">
        <f t="shared" si="265"/>
        <v>6.6069827735831333E-3</v>
      </c>
      <c r="N279" s="3">
        <f t="shared" si="265"/>
        <v>6.6069827735831333E-3</v>
      </c>
      <c r="O279" s="3">
        <f t="shared" si="265"/>
        <v>6.6069827735831333E-3</v>
      </c>
      <c r="P279" s="3">
        <f t="shared" si="265"/>
        <v>6.6069827735831333E-3</v>
      </c>
      <c r="Q279" s="3">
        <f t="shared" si="265"/>
        <v>6.6069827735831324E-3</v>
      </c>
      <c r="R279" s="3">
        <f t="shared" si="265"/>
        <v>6.6069827735831263E-3</v>
      </c>
      <c r="S279" s="3">
        <f t="shared" si="265"/>
        <v>6.6069827735830674E-3</v>
      </c>
      <c r="T279" s="3">
        <f t="shared" si="265"/>
        <v>6.6069827735824723E-3</v>
      </c>
      <c r="U279" s="3">
        <f t="shared" si="265"/>
        <v>6.6069827735765257E-3</v>
      </c>
      <c r="V279" s="3">
        <f t="shared" si="265"/>
        <v>6.6069827735170611E-3</v>
      </c>
      <c r="W279" s="3">
        <f t="shared" si="265"/>
        <v>6.6069827729224118E-3</v>
      </c>
      <c r="X279" s="3">
        <f t="shared" si="265"/>
        <v>6.6069827669759211E-3</v>
      </c>
      <c r="Y279" s="3">
        <f t="shared" si="265"/>
        <v>6.6069827075110124E-3</v>
      </c>
      <c r="Z279" s="3">
        <f t="shared" si="265"/>
        <v>6.6069821128619489E-3</v>
      </c>
      <c r="AA279" s="3">
        <f t="shared" si="265"/>
        <v>6.6069761663742621E-3</v>
      </c>
      <c r="AB279" s="3">
        <f t="shared" si="265"/>
        <v>6.6069167017917567E-3</v>
      </c>
      <c r="AC279" s="3">
        <f t="shared" si="265"/>
        <v>6.6063220854017633E-3</v>
      </c>
      <c r="AD279" s="3">
        <f t="shared" si="265"/>
        <v>6.6003788640281603E-3</v>
      </c>
      <c r="AE279" s="3">
        <f t="shared" si="265"/>
        <v>6.5412399253840072E-3</v>
      </c>
      <c r="AF279" s="3">
        <f t="shared" si="265"/>
        <v>5.9782244768160683E-3</v>
      </c>
      <c r="AG279" s="3"/>
      <c r="AH279" s="3"/>
    </row>
    <row r="280" spans="1:34" x14ac:dyDescent="0.25">
      <c r="A280" s="79">
        <f>AVERAGE(B280:AF280)</f>
        <v>9.989871340991112E-6</v>
      </c>
      <c r="B280" s="80">
        <f>IF($D$61&lt;=B246,IF($E$61&gt;=B246,ABS((B248-B247)/B247),0),0)</f>
        <v>6.4553115572410022E-6</v>
      </c>
      <c r="C280" s="80">
        <f t="shared" ref="C280:AF280" si="266">IF($D$61&lt;=C246,IF($E$61&gt;=C246,ABS((C248-C247)/C247),0),0)</f>
        <v>3.4887183318556005E-6</v>
      </c>
      <c r="D280" s="80">
        <f t="shared" si="266"/>
        <v>1.8413806222655136E-6</v>
      </c>
      <c r="E280" s="80">
        <f t="shared" si="266"/>
        <v>3.2152294202247328E-6</v>
      </c>
      <c r="F280" s="80">
        <f t="shared" si="266"/>
        <v>3.6034035893095743E-6</v>
      </c>
      <c r="G280" s="80">
        <f t="shared" si="266"/>
        <v>3.7207399409591486E-6</v>
      </c>
      <c r="H280" s="80">
        <f t="shared" si="266"/>
        <v>3.7364711983635301E-6</v>
      </c>
      <c r="I280" s="80">
        <f t="shared" si="266"/>
        <v>3.4862644674335652E-6</v>
      </c>
      <c r="J280" s="80">
        <f t="shared" si="266"/>
        <v>9.2431684467504682E-7</v>
      </c>
      <c r="K280" s="80">
        <f t="shared" si="266"/>
        <v>2.1217445526890459E-5</v>
      </c>
      <c r="L280" s="80">
        <f t="shared" si="266"/>
        <v>1.4580106790893387E-5</v>
      </c>
      <c r="M280" s="80">
        <f t="shared" si="266"/>
        <v>2.9883536957937605E-5</v>
      </c>
      <c r="N280" s="80">
        <f t="shared" si="266"/>
        <v>4.0191017829802273E-5</v>
      </c>
      <c r="O280" s="80">
        <f t="shared" si="266"/>
        <v>4.318710218723705E-5</v>
      </c>
      <c r="P280" s="80">
        <f t="shared" si="266"/>
        <v>4.0458759746073804E-5</v>
      </c>
      <c r="Q280" s="80">
        <f t="shared" si="266"/>
        <v>3.0554060659856023E-5</v>
      </c>
      <c r="R280" s="80">
        <f t="shared" si="266"/>
        <v>2.1754904673814325E-5</v>
      </c>
      <c r="S280" s="80">
        <f t="shared" si="266"/>
        <v>1.1359776277517321E-5</v>
      </c>
      <c r="T280" s="80">
        <f t="shared" si="266"/>
        <v>1.0689332413211698E-5</v>
      </c>
      <c r="U280" s="80">
        <f t="shared" si="266"/>
        <v>2.6657616011380303E-6</v>
      </c>
      <c r="V280" s="80">
        <f t="shared" si="266"/>
        <v>5.095696737217256E-6</v>
      </c>
      <c r="W280" s="80">
        <f t="shared" si="266"/>
        <v>6.3206236853287054E-8</v>
      </c>
      <c r="X280" s="80">
        <f t="shared" si="266"/>
        <v>6.391045762237586E-6</v>
      </c>
      <c r="Y280" s="80">
        <f t="shared" si="266"/>
        <v>1.1224221977165916E-6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2.2128950559615955E-3</v>
      </c>
      <c r="C281" s="21">
        <f t="shared" ref="C281:AF281" si="267">(C248-C247)^2</f>
        <v>6.4634866301910775E-4</v>
      </c>
      <c r="D281" s="21">
        <f t="shared" si="267"/>
        <v>1.8006012513086496E-4</v>
      </c>
      <c r="E281" s="21">
        <f t="shared" si="267"/>
        <v>5.4897573792630767E-4</v>
      </c>
      <c r="F281" s="21">
        <f t="shared" si="267"/>
        <v>6.8953242027298815E-4</v>
      </c>
      <c r="G281" s="21">
        <f t="shared" si="267"/>
        <v>7.3516932765199585E-4</v>
      </c>
      <c r="H281" s="21">
        <f t="shared" si="267"/>
        <v>7.4139854271701325E-4</v>
      </c>
      <c r="I281" s="21">
        <f t="shared" si="267"/>
        <v>6.4542606162376896E-4</v>
      </c>
      <c r="J281" s="21">
        <f t="shared" si="267"/>
        <v>4.5367156697029926E-5</v>
      </c>
      <c r="K281" s="21">
        <f t="shared" si="267"/>
        <v>2.3890634979309992E-2</v>
      </c>
      <c r="L281" s="21">
        <f t="shared" si="267"/>
        <v>1.1218854785995783E-2</v>
      </c>
      <c r="M281" s="21">
        <f t="shared" si="267"/>
        <v>4.5700306792854736E-2</v>
      </c>
      <c r="N281" s="21">
        <f t="shared" si="267"/>
        <v>7.9422125261123189E-2</v>
      </c>
      <c r="O281" s="21">
        <f t="shared" si="267"/>
        <v>8.7638314070188877E-2</v>
      </c>
      <c r="P281" s="21">
        <f t="shared" si="267"/>
        <v>7.2766237478382984E-2</v>
      </c>
      <c r="Q281" s="21">
        <f t="shared" si="267"/>
        <v>3.8932914429972369E-2</v>
      </c>
      <c r="R281" s="21">
        <f t="shared" si="267"/>
        <v>1.8175941447465566E-2</v>
      </c>
      <c r="S281" s="21">
        <f t="shared" si="267"/>
        <v>4.2349614819611426E-3</v>
      </c>
      <c r="T281" s="21">
        <f t="shared" si="267"/>
        <v>2.7539743595307283E-3</v>
      </c>
      <c r="U281" s="21">
        <f t="shared" si="267"/>
        <v>1.1683070145706621E-4</v>
      </c>
      <c r="V281" s="21">
        <f t="shared" si="267"/>
        <v>2.9747959483286088E-4</v>
      </c>
      <c r="W281" s="21">
        <f t="shared" si="267"/>
        <v>3.2856519262581157E-8</v>
      </c>
      <c r="X281" s="21">
        <f t="shared" si="267"/>
        <v>2.3407974412851114E-4</v>
      </c>
      <c r="Y281" s="21">
        <f t="shared" si="267"/>
        <v>4.6589842388181046E-6</v>
      </c>
      <c r="Z281" s="21">
        <f t="shared" si="267"/>
        <v>3.6061952138679432E-4</v>
      </c>
      <c r="AA281" s="21">
        <f t="shared" si="267"/>
        <v>1.084608624036778E-5</v>
      </c>
      <c r="AB281" s="21">
        <f t="shared" si="267"/>
        <v>3.5191171134580333E-4</v>
      </c>
      <c r="AC281" s="21">
        <f t="shared" si="267"/>
        <v>2.6914909531690204E-4</v>
      </c>
      <c r="AD281" s="21">
        <f t="shared" si="267"/>
        <v>7.855497882769348E-4</v>
      </c>
      <c r="AE281" s="21">
        <f t="shared" si="267"/>
        <v>1.203508751708253E-3</v>
      </c>
      <c r="AF281" s="21">
        <f t="shared" si="267"/>
        <v>4.3363010756266489E-4</v>
      </c>
      <c r="AG281" s="3"/>
      <c r="AH281" s="3"/>
    </row>
    <row r="282" spans="1:34" s="3" customFormat="1" x14ac:dyDescent="0.25">
      <c r="A282" s="71">
        <f>SUM(B282:AF282)</f>
        <v>0.39183252005896252</v>
      </c>
      <c r="B282" s="21">
        <f>IF($D$61&lt;=B246,IF($E$61&gt;=B246,ABS(B281),0),0)</f>
        <v>2.2128950559615955E-3</v>
      </c>
      <c r="C282" s="21">
        <f t="shared" ref="C282:AF282" si="268">IF($D$61&lt;=C246,IF($E$61&gt;=C246,ABS(C281),0),0)</f>
        <v>6.4634866301910775E-4</v>
      </c>
      <c r="D282" s="21">
        <f t="shared" si="268"/>
        <v>1.8006012513086496E-4</v>
      </c>
      <c r="E282" s="21">
        <f t="shared" si="268"/>
        <v>5.4897573792630767E-4</v>
      </c>
      <c r="F282" s="21">
        <f t="shared" si="268"/>
        <v>6.8953242027298815E-4</v>
      </c>
      <c r="G282" s="21">
        <f t="shared" si="268"/>
        <v>7.3516932765199585E-4</v>
      </c>
      <c r="H282" s="21">
        <f t="shared" si="268"/>
        <v>7.4139854271701325E-4</v>
      </c>
      <c r="I282" s="21">
        <f t="shared" si="268"/>
        <v>6.4542606162376896E-4</v>
      </c>
      <c r="J282" s="21">
        <f t="shared" si="268"/>
        <v>4.5367156697029926E-5</v>
      </c>
      <c r="K282" s="21">
        <f t="shared" si="268"/>
        <v>2.3890634979309992E-2</v>
      </c>
      <c r="L282" s="21">
        <f t="shared" si="268"/>
        <v>1.1218854785995783E-2</v>
      </c>
      <c r="M282" s="21">
        <f t="shared" si="268"/>
        <v>4.5700306792854736E-2</v>
      </c>
      <c r="N282" s="21">
        <f t="shared" si="268"/>
        <v>7.9422125261123189E-2</v>
      </c>
      <c r="O282" s="21">
        <f t="shared" si="268"/>
        <v>8.7638314070188877E-2</v>
      </c>
      <c r="P282" s="21">
        <f t="shared" si="268"/>
        <v>7.2766237478382984E-2</v>
      </c>
      <c r="Q282" s="21">
        <f t="shared" si="268"/>
        <v>3.8932914429972369E-2</v>
      </c>
      <c r="R282" s="21">
        <f t="shared" si="268"/>
        <v>1.8175941447465566E-2</v>
      </c>
      <c r="S282" s="21">
        <f t="shared" si="268"/>
        <v>4.2349614819611426E-3</v>
      </c>
      <c r="T282" s="21">
        <f t="shared" si="268"/>
        <v>2.7539743595307283E-3</v>
      </c>
      <c r="U282" s="21">
        <f t="shared" si="268"/>
        <v>1.1683070145706621E-4</v>
      </c>
      <c r="V282" s="21">
        <f t="shared" si="268"/>
        <v>2.9747959483286088E-4</v>
      </c>
      <c r="W282" s="21">
        <f t="shared" si="268"/>
        <v>3.2856519262581157E-8</v>
      </c>
      <c r="X282" s="21">
        <f t="shared" si="268"/>
        <v>2.3407974412851114E-4</v>
      </c>
      <c r="Y282" s="21">
        <f t="shared" si="268"/>
        <v>4.6589842388181046E-6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7287.2891879788758</v>
      </c>
      <c r="C287" s="27">
        <f t="shared" ref="C287:AF287" si="269">($C$17+SUM(C288:C318))*$B$51</f>
        <v>7287.2890952214893</v>
      </c>
      <c r="D287" s="27">
        <f t="shared" si="269"/>
        <v>7287.2881676540737</v>
      </c>
      <c r="E287" s="27">
        <f t="shared" si="269"/>
        <v>7287.2788926250596</v>
      </c>
      <c r="F287" s="27">
        <f t="shared" si="269"/>
        <v>7287.1862067716102</v>
      </c>
      <c r="G287" s="27">
        <f t="shared" si="269"/>
        <v>7286.265715408651</v>
      </c>
      <c r="H287" s="27">
        <f t="shared" si="269"/>
        <v>7277.6285941828646</v>
      </c>
      <c r="I287" s="27">
        <f t="shared" si="269"/>
        <v>7217.3164720464483</v>
      </c>
      <c r="J287" s="27">
        <f t="shared" si="269"/>
        <v>7061.1403402221076</v>
      </c>
      <c r="K287" s="27">
        <f t="shared" si="269"/>
        <v>6923.9920293047962</v>
      </c>
      <c r="L287" s="27">
        <f t="shared" si="269"/>
        <v>6737.1525375470383</v>
      </c>
      <c r="M287" s="27">
        <f t="shared" si="269"/>
        <v>6541.771260507644</v>
      </c>
      <c r="N287" s="27">
        <f t="shared" si="269"/>
        <v>6301.9268413370828</v>
      </c>
      <c r="O287" s="27">
        <f t="shared" si="269"/>
        <v>5961.9288858566997</v>
      </c>
      <c r="P287" s="27">
        <f t="shared" si="269"/>
        <v>5230.0709984847799</v>
      </c>
      <c r="Q287" s="27">
        <f t="shared" si="269"/>
        <v>4355.8607129552529</v>
      </c>
      <c r="R287" s="27">
        <f t="shared" si="269"/>
        <v>3629.1778735536755</v>
      </c>
      <c r="S287" s="27">
        <f t="shared" si="269"/>
        <v>3057.6069073153349</v>
      </c>
      <c r="T287" s="27">
        <f t="shared" si="269"/>
        <v>2618.5471451819026</v>
      </c>
      <c r="U287" s="27">
        <f t="shared" si="269"/>
        <v>2109.8590513548511</v>
      </c>
      <c r="V287" s="27">
        <f t="shared" si="269"/>
        <v>1628.5455536883267</v>
      </c>
      <c r="W287" s="27">
        <f t="shared" si="269"/>
        <v>1126.270061919063</v>
      </c>
      <c r="X287" s="27">
        <f t="shared" si="269"/>
        <v>660.59739490780248</v>
      </c>
      <c r="Y287" s="27">
        <f t="shared" si="269"/>
        <v>380.53354348252174</v>
      </c>
      <c r="Z287" s="27">
        <f t="shared" si="269"/>
        <v>204.09870550337681</v>
      </c>
      <c r="AA287" s="27">
        <f t="shared" si="269"/>
        <v>127.02723599876941</v>
      </c>
      <c r="AB287" s="27">
        <f t="shared" si="269"/>
        <v>103.86033129257746</v>
      </c>
      <c r="AC287" s="27">
        <f t="shared" si="269"/>
        <v>89.451238071407118</v>
      </c>
      <c r="AD287" s="27">
        <f t="shared" si="269"/>
        <v>57.655925434120256</v>
      </c>
      <c r="AE287" s="27">
        <f t="shared" si="269"/>
        <v>56.683117976827191</v>
      </c>
      <c r="AF287" s="27">
        <f t="shared" si="269"/>
        <v>56.683117976827191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8.2357175918978183E-4</v>
      </c>
      <c r="C297" s="3">
        <f t="shared" si="279"/>
        <v>8.2356850569057036E-4</v>
      </c>
      <c r="D297" s="3">
        <f t="shared" si="279"/>
        <v>8.2353597140535505E-4</v>
      </c>
      <c r="E297" s="3">
        <f t="shared" si="279"/>
        <v>8.2321069923279276E-4</v>
      </c>
      <c r="F297" s="3">
        <f t="shared" si="279"/>
        <v>8.1996503514613749E-4</v>
      </c>
      <c r="G297" s="3">
        <f t="shared" si="279"/>
        <v>7.8820395027910911E-4</v>
      </c>
      <c r="H297" s="3">
        <f t="shared" si="279"/>
        <v>5.309716600398756E-4</v>
      </c>
      <c r="I297" s="3">
        <f t="shared" si="279"/>
        <v>1.0218771505737057E-5</v>
      </c>
      <c r="J297" s="3">
        <f t="shared" si="279"/>
        <v>7.1231510513068109E-23</v>
      </c>
      <c r="K297" s="3">
        <f t="shared" si="279"/>
        <v>1.9293313008809168E-194</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2.4665843140964375E-2</v>
      </c>
      <c r="C298" s="3">
        <f t="shared" si="280"/>
        <v>2.4665834350889055E-2</v>
      </c>
      <c r="D298" s="3">
        <f t="shared" si="280"/>
        <v>2.4665746450308116E-2</v>
      </c>
      <c r="E298" s="3">
        <f t="shared" si="280"/>
        <v>2.4664867461727184E-2</v>
      </c>
      <c r="F298" s="3">
        <f t="shared" si="280"/>
        <v>2.4656079298533792E-2</v>
      </c>
      <c r="G298" s="3">
        <f t="shared" si="280"/>
        <v>2.456836970127475E-2</v>
      </c>
      <c r="H298" s="3">
        <f t="shared" si="280"/>
        <v>2.3708252504939704E-2</v>
      </c>
      <c r="I298" s="3">
        <f t="shared" si="280"/>
        <v>1.6600898631501396E-2</v>
      </c>
      <c r="J298" s="3">
        <f t="shared" si="280"/>
        <v>4.7038355936872815E-4</v>
      </c>
      <c r="K298" s="3">
        <f t="shared" si="280"/>
        <v>1.5691248413094893E-19</v>
      </c>
      <c r="L298" s="3">
        <f t="shared" si="280"/>
        <v>2.6773869134763824E-174</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1.6291197867126034E-2</v>
      </c>
      <c r="C299" s="3">
        <f t="shared" si="281"/>
        <v>1.6291197343409468E-2</v>
      </c>
      <c r="D299" s="3">
        <f t="shared" si="281"/>
        <v>1.6291192106244742E-2</v>
      </c>
      <c r="E299" s="3">
        <f t="shared" si="281"/>
        <v>1.6291139734690058E-2</v>
      </c>
      <c r="F299" s="3">
        <f t="shared" si="281"/>
        <v>1.6290616028402923E-2</v>
      </c>
      <c r="G299" s="3">
        <f t="shared" si="281"/>
        <v>1.6285379891390717E-2</v>
      </c>
      <c r="H299" s="3">
        <f t="shared" si="281"/>
        <v>1.6233110997150229E-2</v>
      </c>
      <c r="I299" s="3">
        <f t="shared" si="281"/>
        <v>1.5719560587194183E-2</v>
      </c>
      <c r="J299" s="3">
        <f t="shared" si="281"/>
        <v>1.1397952397742316E-2</v>
      </c>
      <c r="K299" s="3">
        <f t="shared" si="281"/>
        <v>4.5781625467338237E-4</v>
      </c>
      <c r="L299" s="3">
        <f t="shared" si="281"/>
        <v>5.0042027940277744E-18</v>
      </c>
      <c r="M299" s="3">
        <f t="shared" si="281"/>
        <v>1.2183493334914098E-157</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2.6847553857204977E-2</v>
      </c>
      <c r="C300" s="3">
        <f t="shared" si="282"/>
        <v>2.6847553779348526E-2</v>
      </c>
      <c r="D300" s="3">
        <f t="shared" si="282"/>
        <v>2.6847553000784015E-2</v>
      </c>
      <c r="E300" s="3">
        <f t="shared" si="282"/>
        <v>2.6847545215140114E-2</v>
      </c>
      <c r="F300" s="3">
        <f t="shared" si="282"/>
        <v>2.684746735882532E-2</v>
      </c>
      <c r="G300" s="3">
        <f t="shared" si="282"/>
        <v>2.6846688808095109E-2</v>
      </c>
      <c r="H300" s="3">
        <f t="shared" si="282"/>
        <v>2.6838904542432207E-2</v>
      </c>
      <c r="I300" s="3">
        <f t="shared" si="282"/>
        <v>2.6761185916601652E-2</v>
      </c>
      <c r="J300" s="3">
        <f t="shared" si="282"/>
        <v>2.5996270681589651E-2</v>
      </c>
      <c r="K300" s="3">
        <f t="shared" si="282"/>
        <v>1.9452167551512523E-2</v>
      </c>
      <c r="L300" s="3">
        <f t="shared" si="282"/>
        <v>1.0703788411012783E-3</v>
      </c>
      <c r="M300" s="3">
        <f t="shared" si="282"/>
        <v>2.724160262455185E-16</v>
      </c>
      <c r="N300" s="3">
        <f t="shared" si="282"/>
        <v>3.1058754356885047E-142</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2.5906186740850663E-2</v>
      </c>
      <c r="C301" s="3">
        <f t="shared" si="283"/>
        <v>2.5906186734073623E-2</v>
      </c>
      <c r="D301" s="3">
        <f t="shared" si="283"/>
        <v>2.5906186666303233E-2</v>
      </c>
      <c r="E301" s="3">
        <f t="shared" si="283"/>
        <v>2.5906185988599364E-2</v>
      </c>
      <c r="F301" s="3">
        <f t="shared" si="283"/>
        <v>2.5906179211561627E-2</v>
      </c>
      <c r="G301" s="3">
        <f t="shared" si="283"/>
        <v>2.5906111441281802E-2</v>
      </c>
      <c r="H301" s="3">
        <f t="shared" si="283"/>
        <v>2.5905433748234202E-2</v>
      </c>
      <c r="I301" s="3">
        <f t="shared" si="283"/>
        <v>2.5898657792730855E-2</v>
      </c>
      <c r="J301" s="3">
        <f t="shared" si="283"/>
        <v>2.5830995640660263E-2</v>
      </c>
      <c r="K301" s="3">
        <f t="shared" si="283"/>
        <v>2.5164020794308094E-2</v>
      </c>
      <c r="L301" s="3">
        <f t="shared" si="283"/>
        <v>1.9371753230064941E-2</v>
      </c>
      <c r="M301" s="3">
        <f t="shared" si="283"/>
        <v>1.4159823990321822E-3</v>
      </c>
      <c r="N301" s="3">
        <f t="shared" si="283"/>
        <v>6.1651993547892615E-15</v>
      </c>
      <c r="O301" s="3">
        <f t="shared" si="283"/>
        <v>1.5095232865701661E-128</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3.2694648537196544E-2</v>
      </c>
      <c r="C302" s="3">
        <f t="shared" si="284"/>
        <v>3.2694648536425001E-2</v>
      </c>
      <c r="D302" s="3">
        <f t="shared" si="284"/>
        <v>3.2694648528709576E-2</v>
      </c>
      <c r="E302" s="3">
        <f t="shared" si="284"/>
        <v>3.2694648451555341E-2</v>
      </c>
      <c r="F302" s="3">
        <f t="shared" si="284"/>
        <v>3.2694647680013046E-2</v>
      </c>
      <c r="G302" s="3">
        <f t="shared" si="284"/>
        <v>3.2694639964591092E-2</v>
      </c>
      <c r="H302" s="3">
        <f t="shared" si="284"/>
        <v>3.2694562810471631E-2</v>
      </c>
      <c r="I302" s="3">
        <f t="shared" si="284"/>
        <v>3.2693791279290875E-2</v>
      </c>
      <c r="J302" s="3">
        <f t="shared" si="284"/>
        <v>3.2686076968781376E-2</v>
      </c>
      <c r="K302" s="3">
        <f t="shared" si="284"/>
        <v>3.2609033906120043E-2</v>
      </c>
      <c r="L302" s="3">
        <f t="shared" si="284"/>
        <v>3.1848520720278432E-2</v>
      </c>
      <c r="M302" s="3">
        <f t="shared" si="284"/>
        <v>2.5153741589026155E-2</v>
      </c>
      <c r="N302" s="3">
        <f t="shared" si="284"/>
        <v>2.3753952939880789E-3</v>
      </c>
      <c r="O302" s="3">
        <f t="shared" si="284"/>
        <v>1.3398891157554337E-13</v>
      </c>
      <c r="P302" s="3">
        <f t="shared" si="284"/>
        <v>4.3691658898501875E-116</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3.328207842826908E-2</v>
      </c>
      <c r="C303" s="3">
        <f t="shared" si="285"/>
        <v>3.3282078428198227E-2</v>
      </c>
      <c r="D303" s="3">
        <f t="shared" si="285"/>
        <v>3.3282078427489724E-2</v>
      </c>
      <c r="E303" s="3">
        <f t="shared" si="285"/>
        <v>3.3282078420404725E-2</v>
      </c>
      <c r="F303" s="3">
        <f t="shared" si="285"/>
        <v>3.3282078349554677E-2</v>
      </c>
      <c r="G303" s="3">
        <f t="shared" si="285"/>
        <v>3.3282077641054286E-2</v>
      </c>
      <c r="H303" s="3">
        <f t="shared" si="285"/>
        <v>3.3282070556051153E-2</v>
      </c>
      <c r="I303" s="3">
        <f t="shared" si="285"/>
        <v>3.3281999706102815E-2</v>
      </c>
      <c r="J303" s="3">
        <f t="shared" si="285"/>
        <v>3.3281291214914611E-2</v>
      </c>
      <c r="K303" s="3">
        <f t="shared" si="285"/>
        <v>3.3274207132490699E-2</v>
      </c>
      <c r="L303" s="3">
        <f t="shared" si="285"/>
        <v>3.3203449188766027E-2</v>
      </c>
      <c r="M303" s="3">
        <f t="shared" si="285"/>
        <v>3.2504092892462533E-2</v>
      </c>
      <c r="N303" s="3">
        <f t="shared" si="285"/>
        <v>2.6271601492019517E-2</v>
      </c>
      <c r="O303" s="3">
        <f t="shared" si="285"/>
        <v>3.125874378375978E-3</v>
      </c>
      <c r="P303" s="3">
        <f t="shared" si="285"/>
        <v>1.7775476457915475E-12</v>
      </c>
      <c r="Q303" s="3">
        <f t="shared" si="285"/>
        <v>6.2851919828182611E-105</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0.10755398982671181</v>
      </c>
      <c r="C304" s="3">
        <f t="shared" si="286"/>
        <v>0.10755398982669115</v>
      </c>
      <c r="D304" s="3">
        <f t="shared" si="286"/>
        <v>0.10755398982648461</v>
      </c>
      <c r="E304" s="3">
        <f t="shared" si="286"/>
        <v>0.10755398982441922</v>
      </c>
      <c r="F304" s="3">
        <f t="shared" si="286"/>
        <v>0.10755398980376528</v>
      </c>
      <c r="G304" s="3">
        <f t="shared" si="286"/>
        <v>0.10755398959722595</v>
      </c>
      <c r="H304" s="3">
        <f t="shared" si="286"/>
        <v>0.1075539875318326</v>
      </c>
      <c r="I304" s="3">
        <f t="shared" si="286"/>
        <v>0.10755396687790127</v>
      </c>
      <c r="J304" s="3">
        <f t="shared" si="286"/>
        <v>0.10755376033880605</v>
      </c>
      <c r="K304" s="3">
        <f t="shared" si="286"/>
        <v>0.10755169496966818</v>
      </c>
      <c r="L304" s="3">
        <f t="shared" si="286"/>
        <v>0.10753104345954952</v>
      </c>
      <c r="M304" s="3">
        <f t="shared" si="286"/>
        <v>0.10732474632945996</v>
      </c>
      <c r="N304" s="3">
        <f t="shared" si="286"/>
        <v>0.10528341805719166</v>
      </c>
      <c r="O304" s="3">
        <f t="shared" si="286"/>
        <v>8.6888245812223874E-2</v>
      </c>
      <c r="P304" s="3">
        <f t="shared" si="286"/>
        <v>1.2734196957002444E-2</v>
      </c>
      <c r="Q304" s="3">
        <f t="shared" si="286"/>
        <v>5.8220629455575359E-11</v>
      </c>
      <c r="R304" s="3">
        <f t="shared" si="286"/>
        <v>2.3234334345921748E-94</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0.13355176295714161</v>
      </c>
      <c r="C305" s="3">
        <f t="shared" si="287"/>
        <v>0.1335517629571393</v>
      </c>
      <c r="D305" s="3">
        <f t="shared" si="287"/>
        <v>0.13355176295711615</v>
      </c>
      <c r="E305" s="3">
        <f t="shared" si="287"/>
        <v>0.13355176295688478</v>
      </c>
      <c r="F305" s="3">
        <f t="shared" si="287"/>
        <v>0.1335517629545713</v>
      </c>
      <c r="G305" s="3">
        <f t="shared" si="287"/>
        <v>0.13355176293143611</v>
      </c>
      <c r="H305" s="3">
        <f t="shared" si="287"/>
        <v>0.13355176270008454</v>
      </c>
      <c r="I305" s="3">
        <f t="shared" si="287"/>
        <v>0.13355176038656877</v>
      </c>
      <c r="J305" s="3">
        <f t="shared" si="287"/>
        <v>0.13355173725141317</v>
      </c>
      <c r="K305" s="3">
        <f t="shared" si="287"/>
        <v>0.13355150590007778</v>
      </c>
      <c r="L305" s="3">
        <f t="shared" si="287"/>
        <v>0.13354919240876592</v>
      </c>
      <c r="M305" s="3">
        <f t="shared" si="287"/>
        <v>0.13352605969972584</v>
      </c>
      <c r="N305" s="3">
        <f t="shared" si="287"/>
        <v>0.13329495287597917</v>
      </c>
      <c r="O305" s="3">
        <f t="shared" si="287"/>
        <v>0.13100577077567932</v>
      </c>
      <c r="P305" s="3">
        <f t="shared" si="287"/>
        <v>0.11016855132012845</v>
      </c>
      <c r="Q305" s="3">
        <f t="shared" si="287"/>
        <v>1.9486316785217291E-2</v>
      </c>
      <c r="R305" s="3">
        <f t="shared" si="287"/>
        <v>5.8405124926311044E-10</v>
      </c>
      <c r="S305" s="3">
        <f t="shared" si="287"/>
        <v>3.4171413532892658E-85</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0.10276653551975501</v>
      </c>
      <c r="C306" s="3">
        <f t="shared" si="288"/>
        <v>0.10276653551975486</v>
      </c>
      <c r="D306" s="3">
        <f t="shared" si="288"/>
        <v>0.10276653551975326</v>
      </c>
      <c r="E306" s="3">
        <f t="shared" si="288"/>
        <v>0.10276653551973719</v>
      </c>
      <c r="F306" s="3">
        <f t="shared" si="288"/>
        <v>0.10276653551957661</v>
      </c>
      <c r="G306" s="3">
        <f t="shared" si="288"/>
        <v>0.10276653551797069</v>
      </c>
      <c r="H306" s="3">
        <f t="shared" si="288"/>
        <v>0.10276653550191159</v>
      </c>
      <c r="I306" s="3">
        <f t="shared" si="288"/>
        <v>0.10276653534132062</v>
      </c>
      <c r="J306" s="3">
        <f t="shared" si="288"/>
        <v>0.10276653373541081</v>
      </c>
      <c r="K306" s="3">
        <f t="shared" si="288"/>
        <v>0.10276651767631423</v>
      </c>
      <c r="L306" s="3">
        <f t="shared" si="288"/>
        <v>0.1027663570854863</v>
      </c>
      <c r="M306" s="3">
        <f t="shared" si="288"/>
        <v>0.10276475119100945</v>
      </c>
      <c r="N306" s="3">
        <f t="shared" si="288"/>
        <v>0.10274869362638796</v>
      </c>
      <c r="O306" s="3">
        <f t="shared" si="288"/>
        <v>0.10258825591511753</v>
      </c>
      <c r="P306" s="3">
        <f t="shared" si="288"/>
        <v>0.10099759287641878</v>
      </c>
      <c r="Q306" s="3">
        <f t="shared" si="288"/>
        <v>8.638628337337631E-2</v>
      </c>
      <c r="R306" s="3">
        <f t="shared" si="288"/>
        <v>1.8104329869822959E-2</v>
      </c>
      <c r="S306" s="3">
        <f t="shared" si="288"/>
        <v>2.9590962989719091E-9</v>
      </c>
      <c r="T306" s="3">
        <f t="shared" si="288"/>
        <v>4.0264799976433589E-77</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8.2308697100650766E-2</v>
      </c>
      <c r="C307" s="3">
        <f t="shared" si="289"/>
        <v>8.2308697100650752E-2</v>
      </c>
      <c r="D307" s="3">
        <f t="shared" si="289"/>
        <v>8.2308697100650641E-2</v>
      </c>
      <c r="E307" s="3">
        <f t="shared" si="289"/>
        <v>8.2308697100649475E-2</v>
      </c>
      <c r="F307" s="3">
        <f t="shared" si="289"/>
        <v>8.2308697100637873E-2</v>
      </c>
      <c r="G307" s="3">
        <f t="shared" si="289"/>
        <v>8.2308697100521841E-2</v>
      </c>
      <c r="H307" s="3">
        <f t="shared" si="289"/>
        <v>8.2308697099361575E-2</v>
      </c>
      <c r="I307" s="3">
        <f t="shared" si="289"/>
        <v>8.23086970877588E-2</v>
      </c>
      <c r="J307" s="3">
        <f t="shared" si="289"/>
        <v>8.2308696971731071E-2</v>
      </c>
      <c r="K307" s="3">
        <f t="shared" si="289"/>
        <v>8.2308695811453905E-2</v>
      </c>
      <c r="L307" s="3">
        <f t="shared" si="289"/>
        <v>8.2308684208683008E-2</v>
      </c>
      <c r="M307" s="3">
        <f t="shared" si="289"/>
        <v>8.2308568181064065E-2</v>
      </c>
      <c r="N307" s="3">
        <f t="shared" si="289"/>
        <v>8.2307407913870478E-2</v>
      </c>
      <c r="O307" s="3">
        <f t="shared" si="289"/>
        <v>8.2295806141463715E-2</v>
      </c>
      <c r="P307" s="3">
        <f t="shared" si="289"/>
        <v>8.2179878323424119E-2</v>
      </c>
      <c r="Q307" s="3">
        <f t="shared" si="289"/>
        <v>8.1029544029273676E-2</v>
      </c>
      <c r="R307" s="3">
        <f t="shared" si="289"/>
        <v>7.0375647952924614E-2</v>
      </c>
      <c r="S307" s="3">
        <f t="shared" si="289"/>
        <v>1.7187492455515558E-2</v>
      </c>
      <c r="T307" s="3">
        <f t="shared" si="289"/>
        <v>1.297518806747048E-8</v>
      </c>
      <c r="U307" s="3">
        <f t="shared" si="289"/>
        <v>7.8005472172416321E-70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3.7013792035783422E-2</v>
      </c>
      <c r="C308" s="3">
        <f t="shared" si="290"/>
        <v>3.7013792035783422E-2</v>
      </c>
      <c r="D308" s="3">
        <f t="shared" si="290"/>
        <v>3.7013792035783415E-2</v>
      </c>
      <c r="E308" s="3">
        <f t="shared" si="290"/>
        <v>3.7013792035783366E-2</v>
      </c>
      <c r="F308" s="3">
        <f t="shared" si="290"/>
        <v>3.7013792035782901E-2</v>
      </c>
      <c r="G308" s="3">
        <f t="shared" si="290"/>
        <v>3.701379203577819E-2</v>
      </c>
      <c r="H308" s="3">
        <f t="shared" si="290"/>
        <v>3.7013792035731123E-2</v>
      </c>
      <c r="I308" s="3">
        <f t="shared" si="290"/>
        <v>3.7013792035260444E-2</v>
      </c>
      <c r="J308" s="3">
        <f t="shared" si="290"/>
        <v>3.701379203055364E-2</v>
      </c>
      <c r="K308" s="3">
        <f t="shared" si="290"/>
        <v>3.7013791983485589E-2</v>
      </c>
      <c r="L308" s="3">
        <f t="shared" si="290"/>
        <v>3.7013791512805101E-2</v>
      </c>
      <c r="M308" s="3">
        <f t="shared" si="290"/>
        <v>3.7013786806000551E-2</v>
      </c>
      <c r="N308" s="3">
        <f t="shared" si="290"/>
        <v>3.7013739737987966E-2</v>
      </c>
      <c r="O308" s="3">
        <f t="shared" si="290"/>
        <v>3.7013269061154007E-2</v>
      </c>
      <c r="P308" s="3">
        <f t="shared" si="290"/>
        <v>3.7008562621990933E-2</v>
      </c>
      <c r="Q308" s="3">
        <f t="shared" si="290"/>
        <v>3.6961531132525906E-2</v>
      </c>
      <c r="R308" s="3">
        <f t="shared" si="290"/>
        <v>3.6494491026327486E-2</v>
      </c>
      <c r="S308" s="3">
        <f t="shared" si="290"/>
        <v>3.21366709700244E-2</v>
      </c>
      <c r="T308" s="3">
        <f t="shared" si="290"/>
        <v>9.0102457902145189E-3</v>
      </c>
      <c r="U308" s="3">
        <f t="shared" si="290"/>
        <v>2.7045446626227742E-8</v>
      </c>
      <c r="V308" s="3">
        <f t="shared" si="290"/>
        <v>1.6057182841793847E-63</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5.9919400803358086E-2</v>
      </c>
      <c r="C309" s="3">
        <f t="shared" si="291"/>
        <v>5.9919400803358086E-2</v>
      </c>
      <c r="D309" s="3">
        <f t="shared" si="291"/>
        <v>5.9919400803358086E-2</v>
      </c>
      <c r="E309" s="3">
        <f t="shared" si="291"/>
        <v>5.9919400803358058E-2</v>
      </c>
      <c r="F309" s="3">
        <f t="shared" si="291"/>
        <v>5.991940080335785E-2</v>
      </c>
      <c r="G309" s="3">
        <f t="shared" si="291"/>
        <v>5.9919400803355748E-2</v>
      </c>
      <c r="H309" s="3">
        <f t="shared" si="291"/>
        <v>5.9919400803334667E-2</v>
      </c>
      <c r="I309" s="3">
        <f t="shared" si="291"/>
        <v>5.9919400803123933E-2</v>
      </c>
      <c r="J309" s="3">
        <f t="shared" si="291"/>
        <v>5.9919400801016549E-2</v>
      </c>
      <c r="K309" s="3">
        <f t="shared" si="291"/>
        <v>5.9919400779942747E-2</v>
      </c>
      <c r="L309" s="3">
        <f t="shared" si="291"/>
        <v>5.9919400569204709E-2</v>
      </c>
      <c r="M309" s="3">
        <f t="shared" si="291"/>
        <v>5.9919398461824327E-2</v>
      </c>
      <c r="N309" s="3">
        <f t="shared" si="291"/>
        <v>5.9919377388024615E-2</v>
      </c>
      <c r="O309" s="3">
        <f t="shared" si="291"/>
        <v>5.9919166650435181E-2</v>
      </c>
      <c r="P309" s="3">
        <f t="shared" si="291"/>
        <v>5.9917059315304576E-2</v>
      </c>
      <c r="Q309" s="3">
        <f t="shared" si="291"/>
        <v>5.9895990039849765E-2</v>
      </c>
      <c r="R309" s="3">
        <f t="shared" si="291"/>
        <v>5.9685704340527709E-2</v>
      </c>
      <c r="S309" s="3">
        <f t="shared" si="291"/>
        <v>5.7623028115481222E-2</v>
      </c>
      <c r="T309" s="3">
        <f t="shared" si="291"/>
        <v>4.053718746532857E-2</v>
      </c>
      <c r="U309" s="3">
        <f t="shared" si="291"/>
        <v>1.203452567621699E-3</v>
      </c>
      <c r="V309" s="3">
        <f t="shared" si="291"/>
        <v>6.4000390333706296E-19</v>
      </c>
      <c r="W309" s="3">
        <f t="shared" si="291"/>
        <v>1.1580280297041615E-171</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6.4670451984415095E-2</v>
      </c>
      <c r="C310" s="3">
        <f t="shared" si="292"/>
        <v>6.4670451984415095E-2</v>
      </c>
      <c r="D310" s="3">
        <f t="shared" si="292"/>
        <v>6.4670451984415095E-2</v>
      </c>
      <c r="E310" s="3">
        <f t="shared" si="292"/>
        <v>6.4670451984415095E-2</v>
      </c>
      <c r="F310" s="3">
        <f t="shared" si="292"/>
        <v>6.4670451984415067E-2</v>
      </c>
      <c r="G310" s="3">
        <f t="shared" si="292"/>
        <v>6.4670451984414845E-2</v>
      </c>
      <c r="H310" s="3">
        <f t="shared" si="292"/>
        <v>6.4670451984412569E-2</v>
      </c>
      <c r="I310" s="3">
        <f t="shared" si="292"/>
        <v>6.4670451984389823E-2</v>
      </c>
      <c r="J310" s="3">
        <f t="shared" si="292"/>
        <v>6.467045198416238E-2</v>
      </c>
      <c r="K310" s="3">
        <f t="shared" si="292"/>
        <v>6.4670451981887894E-2</v>
      </c>
      <c r="L310" s="3">
        <f t="shared" si="292"/>
        <v>6.467045195914313E-2</v>
      </c>
      <c r="M310" s="3">
        <f t="shared" si="292"/>
        <v>6.4670451731695527E-2</v>
      </c>
      <c r="N310" s="3">
        <f t="shared" si="292"/>
        <v>6.4670449457219489E-2</v>
      </c>
      <c r="O310" s="3">
        <f t="shared" si="292"/>
        <v>6.4670426712463466E-2</v>
      </c>
      <c r="P310" s="3">
        <f t="shared" si="292"/>
        <v>6.4670199265343231E-2</v>
      </c>
      <c r="Q310" s="3">
        <f t="shared" si="292"/>
        <v>6.4667924838136825E-2</v>
      </c>
      <c r="R310" s="3">
        <f t="shared" si="292"/>
        <v>6.4645184965101063E-2</v>
      </c>
      <c r="S310" s="3">
        <f t="shared" si="292"/>
        <v>6.4418225565663054E-2</v>
      </c>
      <c r="T310" s="3">
        <f t="shared" si="292"/>
        <v>6.2191998300656963E-2</v>
      </c>
      <c r="U310" s="3">
        <f t="shared" si="292"/>
        <v>4.3751409400156149E-2</v>
      </c>
      <c r="V310" s="3">
        <f t="shared" si="292"/>
        <v>1.2988751630763707E-3</v>
      </c>
      <c r="W310" s="3">
        <f t="shared" si="292"/>
        <v>6.9075026027760568E-19</v>
      </c>
      <c r="X310" s="3">
        <f t="shared" si="292"/>
        <v>1.249848881789764E-171</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6.7576207998846588E-2</v>
      </c>
      <c r="C311" s="3">
        <f t="shared" si="293"/>
        <v>6.7576207998846588E-2</v>
      </c>
      <c r="D311" s="3">
        <f t="shared" si="293"/>
        <v>6.7576207998846588E-2</v>
      </c>
      <c r="E311" s="3">
        <f t="shared" si="293"/>
        <v>6.7576207998846588E-2</v>
      </c>
      <c r="F311" s="3">
        <f t="shared" si="293"/>
        <v>6.7576207998846588E-2</v>
      </c>
      <c r="G311" s="3">
        <f t="shared" si="293"/>
        <v>6.757620799884656E-2</v>
      </c>
      <c r="H311" s="3">
        <f t="shared" si="293"/>
        <v>6.7576207998846324E-2</v>
      </c>
      <c r="I311" s="3">
        <f t="shared" si="293"/>
        <v>6.7576207998843951E-2</v>
      </c>
      <c r="J311" s="3">
        <f t="shared" si="293"/>
        <v>6.7576207998820179E-2</v>
      </c>
      <c r="K311" s="3">
        <f t="shared" si="293"/>
        <v>6.7576207998582521E-2</v>
      </c>
      <c r="L311" s="3">
        <f t="shared" si="293"/>
        <v>6.7576207996205839E-2</v>
      </c>
      <c r="M311" s="3">
        <f t="shared" si="293"/>
        <v>6.7576207972439115E-2</v>
      </c>
      <c r="N311" s="3">
        <f t="shared" si="293"/>
        <v>6.7576207734771895E-2</v>
      </c>
      <c r="O311" s="3">
        <f t="shared" si="293"/>
        <v>6.7576205358099675E-2</v>
      </c>
      <c r="P311" s="3">
        <f t="shared" si="293"/>
        <v>6.7576181591382165E-2</v>
      </c>
      <c r="Q311" s="3">
        <f t="shared" si="293"/>
        <v>6.7575943924666773E-2</v>
      </c>
      <c r="R311" s="3">
        <f t="shared" si="293"/>
        <v>6.7573567303485668E-2</v>
      </c>
      <c r="S311" s="3">
        <f t="shared" si="293"/>
        <v>6.7549805688358833E-2</v>
      </c>
      <c r="T311" s="3">
        <f t="shared" si="293"/>
        <v>6.7312648607913306E-2</v>
      </c>
      <c r="U311" s="3">
        <f t="shared" si="293"/>
        <v>6.4986393075494739E-2</v>
      </c>
      <c r="V311" s="3">
        <f t="shared" si="293"/>
        <v>4.5717236406205147E-2</v>
      </c>
      <c r="W311" s="3">
        <f t="shared" si="293"/>
        <v>1.3572358858066585E-3</v>
      </c>
      <c r="X311" s="3">
        <f t="shared" si="293"/>
        <v>7.2178687223379658E-19</v>
      </c>
      <c r="Y311" s="3">
        <f t="shared" si="293"/>
        <v>1.3060067683353275E-171</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7.4650772379504848E-2</v>
      </c>
      <c r="C312" s="3">
        <f t="shared" si="294"/>
        <v>7.4650772379504848E-2</v>
      </c>
      <c r="D312" s="3">
        <f t="shared" si="294"/>
        <v>7.4650772379504848E-2</v>
      </c>
      <c r="E312" s="3">
        <f t="shared" si="294"/>
        <v>7.4650772379504848E-2</v>
      </c>
      <c r="F312" s="3">
        <f t="shared" si="294"/>
        <v>7.4650772379504848E-2</v>
      </c>
      <c r="G312" s="3">
        <f t="shared" si="294"/>
        <v>7.4650772379504848E-2</v>
      </c>
      <c r="H312" s="3">
        <f t="shared" si="294"/>
        <v>7.4650772379504821E-2</v>
      </c>
      <c r="I312" s="3">
        <f t="shared" si="294"/>
        <v>7.4650772379504557E-2</v>
      </c>
      <c r="J312" s="3">
        <f t="shared" si="294"/>
        <v>7.4650772379501934E-2</v>
      </c>
      <c r="K312" s="3">
        <f t="shared" si="294"/>
        <v>7.4650772379475677E-2</v>
      </c>
      <c r="L312" s="3">
        <f t="shared" si="294"/>
        <v>7.4650772379213137E-2</v>
      </c>
      <c r="M312" s="3">
        <f t="shared" si="294"/>
        <v>7.465077237658764E-2</v>
      </c>
      <c r="N312" s="3">
        <f t="shared" si="294"/>
        <v>7.4650772350332767E-2</v>
      </c>
      <c r="O312" s="3">
        <f t="shared" si="294"/>
        <v>7.4650772087784131E-2</v>
      </c>
      <c r="P312" s="3">
        <f t="shared" si="294"/>
        <v>7.4650769462297706E-2</v>
      </c>
      <c r="Q312" s="3">
        <f t="shared" si="294"/>
        <v>7.4650743207438613E-2</v>
      </c>
      <c r="R312" s="3">
        <f t="shared" si="294"/>
        <v>7.465048065935552E-2</v>
      </c>
      <c r="S312" s="3">
        <f t="shared" si="294"/>
        <v>7.4647855229310278E-2</v>
      </c>
      <c r="T312" s="3">
        <f t="shared" si="294"/>
        <v>7.4621606006769828E-2</v>
      </c>
      <c r="U312" s="3">
        <f t="shared" si="294"/>
        <v>7.4359620912388236E-2</v>
      </c>
      <c r="V312" s="3">
        <f t="shared" si="294"/>
        <v>7.1789829303925884E-2</v>
      </c>
      <c r="W312" s="3">
        <f t="shared" si="294"/>
        <v>5.0503381439187651E-2</v>
      </c>
      <c r="X312" s="3">
        <f t="shared" si="294"/>
        <v>1.4993251349406562E-3</v>
      </c>
      <c r="Y312" s="3">
        <f t="shared" si="294"/>
        <v>7.9735085914497557E-19</v>
      </c>
      <c r="Z312" s="3">
        <f t="shared" si="294"/>
        <v>1.4427328326969356E-171</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4.2437426023751848E-2</v>
      </c>
      <c r="C313" s="3">
        <f t="shared" si="295"/>
        <v>4.2437426023751848E-2</v>
      </c>
      <c r="D313" s="3">
        <f t="shared" si="295"/>
        <v>4.2437426023751848E-2</v>
      </c>
      <c r="E313" s="3">
        <f t="shared" si="295"/>
        <v>4.2437426023751848E-2</v>
      </c>
      <c r="F313" s="3">
        <f t="shared" si="295"/>
        <v>4.2437426023751848E-2</v>
      </c>
      <c r="G313" s="3">
        <f t="shared" si="295"/>
        <v>4.2437426023751848E-2</v>
      </c>
      <c r="H313" s="3">
        <f t="shared" si="295"/>
        <v>4.2437426023751848E-2</v>
      </c>
      <c r="I313" s="3">
        <f t="shared" si="295"/>
        <v>4.2437426023751827E-2</v>
      </c>
      <c r="J313" s="3">
        <f t="shared" si="295"/>
        <v>4.2437426023751681E-2</v>
      </c>
      <c r="K313" s="3">
        <f t="shared" si="295"/>
        <v>4.243742602375019E-2</v>
      </c>
      <c r="L313" s="3">
        <f t="shared" si="295"/>
        <v>4.2437426023735264E-2</v>
      </c>
      <c r="M313" s="3">
        <f t="shared" si="295"/>
        <v>4.2437426023586015E-2</v>
      </c>
      <c r="N313" s="3">
        <f t="shared" si="295"/>
        <v>4.2437426022093473E-2</v>
      </c>
      <c r="O313" s="3">
        <f t="shared" si="295"/>
        <v>4.2437426007168121E-2</v>
      </c>
      <c r="P313" s="3">
        <f t="shared" si="295"/>
        <v>4.2437425857914629E-2</v>
      </c>
      <c r="Q313" s="3">
        <f t="shared" si="295"/>
        <v>4.2437424365379693E-2</v>
      </c>
      <c r="R313" s="3">
        <f t="shared" si="295"/>
        <v>4.2437409440033241E-2</v>
      </c>
      <c r="S313" s="3">
        <f t="shared" si="295"/>
        <v>4.2437260186857437E-2</v>
      </c>
      <c r="T313" s="3">
        <f t="shared" si="295"/>
        <v>4.2435767683970005E-2</v>
      </c>
      <c r="U313" s="3">
        <f t="shared" si="295"/>
        <v>4.2420845541784005E-2</v>
      </c>
      <c r="V313" s="3">
        <f t="shared" si="295"/>
        <v>4.2271912413461857E-2</v>
      </c>
      <c r="W313" s="3">
        <f t="shared" si="295"/>
        <v>4.081103883098678E-2</v>
      </c>
      <c r="X313" s="3">
        <f t="shared" si="295"/>
        <v>2.8710131797152934E-2</v>
      </c>
      <c r="Y313" s="3">
        <f t="shared" si="295"/>
        <v>8.5233544773161108E-4</v>
      </c>
      <c r="Z313" s="3">
        <f t="shared" si="295"/>
        <v>4.5327753513277614E-19</v>
      </c>
      <c r="AA313" s="3">
        <f t="shared" si="295"/>
        <v>8.2016388991071628E-172</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2.9362775672931045E-2</v>
      </c>
      <c r="C314" s="3">
        <f t="shared" si="296"/>
        <v>2.9362775672931045E-2</v>
      </c>
      <c r="D314" s="3">
        <f t="shared" si="296"/>
        <v>2.9362775672931045E-2</v>
      </c>
      <c r="E314" s="3">
        <f t="shared" si="296"/>
        <v>2.9362775672931045E-2</v>
      </c>
      <c r="F314" s="3">
        <f t="shared" si="296"/>
        <v>2.9362775672931045E-2</v>
      </c>
      <c r="G314" s="3">
        <f t="shared" si="296"/>
        <v>2.9362775672931045E-2</v>
      </c>
      <c r="H314" s="3">
        <f t="shared" si="296"/>
        <v>2.9362775672931045E-2</v>
      </c>
      <c r="I314" s="3">
        <f t="shared" si="296"/>
        <v>2.9362775672931045E-2</v>
      </c>
      <c r="J314" s="3">
        <f t="shared" si="296"/>
        <v>2.9362775672931031E-2</v>
      </c>
      <c r="K314" s="3">
        <f t="shared" si="296"/>
        <v>2.936277567293093E-2</v>
      </c>
      <c r="L314" s="3">
        <f t="shared" si="296"/>
        <v>2.9362775672929897E-2</v>
      </c>
      <c r="M314" s="3">
        <f t="shared" si="296"/>
        <v>2.9362775672919571E-2</v>
      </c>
      <c r="N314" s="3">
        <f t="shared" si="296"/>
        <v>2.9362775672816303E-2</v>
      </c>
      <c r="O314" s="3">
        <f t="shared" si="296"/>
        <v>2.9362775671783605E-2</v>
      </c>
      <c r="P314" s="3">
        <f t="shared" si="296"/>
        <v>2.936277566145664E-2</v>
      </c>
      <c r="Q314" s="3">
        <f t="shared" si="296"/>
        <v>2.9362775558187022E-2</v>
      </c>
      <c r="R314" s="3">
        <f t="shared" si="296"/>
        <v>2.9362774525490822E-2</v>
      </c>
      <c r="S314" s="3">
        <f t="shared" si="296"/>
        <v>2.9362764198530854E-2</v>
      </c>
      <c r="T314" s="3">
        <f t="shared" si="296"/>
        <v>2.9362660929130934E-2</v>
      </c>
      <c r="U314" s="3">
        <f t="shared" si="296"/>
        <v>2.936162825510753E-2</v>
      </c>
      <c r="V314" s="3">
        <f t="shared" si="296"/>
        <v>2.9351303512194945E-2</v>
      </c>
      <c r="W314" s="3">
        <f t="shared" si="296"/>
        <v>2.9248255555545936E-2</v>
      </c>
      <c r="X314" s="3">
        <f t="shared" si="296"/>
        <v>2.823746608719508E-2</v>
      </c>
      <c r="Y314" s="3">
        <f t="shared" si="296"/>
        <v>1.9864757090316022E-2</v>
      </c>
      <c r="Z314" s="3">
        <f t="shared" si="296"/>
        <v>5.8973733552603286E-4</v>
      </c>
      <c r="AA314" s="3">
        <f t="shared" si="296"/>
        <v>3.1362615098836637E-19</v>
      </c>
      <c r="AB314" s="3">
        <f t="shared" si="296"/>
        <v>5.6747759161944072E-172</v>
      </c>
      <c r="AC314" s="3">
        <f t="shared" si="296"/>
        <v>0</v>
      </c>
      <c r="AD314" s="3">
        <f t="shared" si="296"/>
        <v>0</v>
      </c>
      <c r="AE314" s="3">
        <f t="shared" si="296"/>
        <v>0</v>
      </c>
      <c r="AF314" s="3">
        <f t="shared" si="296"/>
        <v>0</v>
      </c>
      <c r="AG314" s="3"/>
      <c r="AH314" s="3"/>
    </row>
    <row r="315" spans="1:34" x14ac:dyDescent="0.25">
      <c r="B315" s="3">
        <f t="shared" ref="B315:AF315" si="297">$C45*EXP(-B$285/$A45/EXP(-$F$126))</f>
        <v>1.3317924951321973E-2</v>
      </c>
      <c r="C315" s="3">
        <f t="shared" si="297"/>
        <v>1.3317924951321973E-2</v>
      </c>
      <c r="D315" s="3">
        <f t="shared" si="297"/>
        <v>1.3317924951321973E-2</v>
      </c>
      <c r="E315" s="3">
        <f t="shared" si="297"/>
        <v>1.3317924951321973E-2</v>
      </c>
      <c r="F315" s="3">
        <f t="shared" si="297"/>
        <v>1.3317924951321973E-2</v>
      </c>
      <c r="G315" s="3">
        <f t="shared" si="297"/>
        <v>1.3317924951321973E-2</v>
      </c>
      <c r="H315" s="3">
        <f t="shared" si="297"/>
        <v>1.3317924951321973E-2</v>
      </c>
      <c r="I315" s="3">
        <f t="shared" si="297"/>
        <v>1.3317924951321973E-2</v>
      </c>
      <c r="J315" s="3">
        <f t="shared" si="297"/>
        <v>1.3317924951321973E-2</v>
      </c>
      <c r="K315" s="3">
        <f t="shared" si="297"/>
        <v>1.3317924951321967E-2</v>
      </c>
      <c r="L315" s="3">
        <f t="shared" si="297"/>
        <v>1.3317924951321921E-2</v>
      </c>
      <c r="M315" s="3">
        <f t="shared" si="297"/>
        <v>1.3317924951321452E-2</v>
      </c>
      <c r="N315" s="3">
        <f t="shared" si="297"/>
        <v>1.3317924951316768E-2</v>
      </c>
      <c r="O315" s="3">
        <f t="shared" si="297"/>
        <v>1.3317924951269929E-2</v>
      </c>
      <c r="P315" s="3">
        <f t="shared" si="297"/>
        <v>1.3317924950801533E-2</v>
      </c>
      <c r="Q315" s="3">
        <f t="shared" si="297"/>
        <v>1.3317924946117585E-2</v>
      </c>
      <c r="R315" s="3">
        <f t="shared" si="297"/>
        <v>1.3317924899278109E-2</v>
      </c>
      <c r="S315" s="3">
        <f t="shared" si="297"/>
        <v>1.3317924430883343E-2</v>
      </c>
      <c r="T315" s="3">
        <f t="shared" si="297"/>
        <v>1.3317919746936586E-2</v>
      </c>
      <c r="U315" s="3">
        <f t="shared" si="297"/>
        <v>1.3317872907559642E-2</v>
      </c>
      <c r="V315" s="3">
        <f t="shared" si="297"/>
        <v>1.3317404522850509E-2</v>
      </c>
      <c r="W315" s="3">
        <f t="shared" si="297"/>
        <v>1.3312721581674132E-2</v>
      </c>
      <c r="X315" s="3">
        <f t="shared" si="297"/>
        <v>1.3265982643628035E-2</v>
      </c>
      <c r="Y315" s="3">
        <f t="shared" si="297"/>
        <v>1.2807524000922355E-2</v>
      </c>
      <c r="Z315" s="3">
        <f t="shared" si="297"/>
        <v>9.0099569281850943E-3</v>
      </c>
      <c r="AA315" s="3">
        <f t="shared" si="297"/>
        <v>2.6748416644986351E-4</v>
      </c>
      <c r="AB315" s="3">
        <f t="shared" si="297"/>
        <v>1.4224981957293605E-19</v>
      </c>
      <c r="AC315" s="3">
        <f t="shared" si="297"/>
        <v>2.5738792752184772E-172</v>
      </c>
      <c r="AD315" s="3">
        <f t="shared" si="297"/>
        <v>0</v>
      </c>
      <c r="AE315" s="3">
        <f t="shared" si="297"/>
        <v>0</v>
      </c>
      <c r="AF315" s="3">
        <f t="shared" si="297"/>
        <v>0</v>
      </c>
      <c r="AG315" s="3"/>
      <c r="AH315" s="3"/>
    </row>
    <row r="316" spans="1:34" x14ac:dyDescent="0.25">
      <c r="B316" s="3">
        <f t="shared" ref="B316:AF316" si="298">$C46*EXP(-B$285/$A46/EXP(-$F$126))</f>
        <v>4.0600750332731679E-3</v>
      </c>
      <c r="C316" s="3">
        <f t="shared" si="298"/>
        <v>4.0600750332731679E-3</v>
      </c>
      <c r="D316" s="3">
        <f t="shared" si="298"/>
        <v>4.0600750332731679E-3</v>
      </c>
      <c r="E316" s="3">
        <f t="shared" si="298"/>
        <v>4.0600750332731679E-3</v>
      </c>
      <c r="F316" s="3">
        <f t="shared" si="298"/>
        <v>4.0600750332731679E-3</v>
      </c>
      <c r="G316" s="3">
        <f t="shared" si="298"/>
        <v>4.0600750332731679E-3</v>
      </c>
      <c r="H316" s="3">
        <f t="shared" si="298"/>
        <v>4.0600750332731679E-3</v>
      </c>
      <c r="I316" s="3">
        <f t="shared" si="298"/>
        <v>4.0600750332731679E-3</v>
      </c>
      <c r="J316" s="3">
        <f t="shared" si="298"/>
        <v>4.0600750332731679E-3</v>
      </c>
      <c r="K316" s="3">
        <f t="shared" si="298"/>
        <v>4.0600750332731679E-3</v>
      </c>
      <c r="L316" s="3">
        <f t="shared" si="298"/>
        <v>4.0600750332731661E-3</v>
      </c>
      <c r="M316" s="3">
        <f t="shared" si="298"/>
        <v>4.0600750332731523E-3</v>
      </c>
      <c r="N316" s="3">
        <f t="shared" si="298"/>
        <v>4.0600750332730091E-3</v>
      </c>
      <c r="O316" s="3">
        <f t="shared" si="298"/>
        <v>4.0600750332715815E-3</v>
      </c>
      <c r="P316" s="3">
        <f t="shared" si="298"/>
        <v>4.0600750332573021E-3</v>
      </c>
      <c r="Q316" s="3">
        <f t="shared" si="298"/>
        <v>4.0600750331145083E-3</v>
      </c>
      <c r="R316" s="3">
        <f t="shared" si="298"/>
        <v>4.060075031686569E-3</v>
      </c>
      <c r="S316" s="3">
        <f t="shared" si="298"/>
        <v>4.0600750174071831E-3</v>
      </c>
      <c r="T316" s="3">
        <f t="shared" si="298"/>
        <v>4.0600748746133239E-3</v>
      </c>
      <c r="U316" s="3">
        <f t="shared" si="298"/>
        <v>4.0600734466750121E-3</v>
      </c>
      <c r="V316" s="3">
        <f t="shared" si="298"/>
        <v>4.0600591673195111E-3</v>
      </c>
      <c r="W316" s="3">
        <f t="shared" si="298"/>
        <v>4.0599163765266165E-3</v>
      </c>
      <c r="X316" s="3">
        <f t="shared" si="298"/>
        <v>4.0584887447730218E-3</v>
      </c>
      <c r="Y316" s="3">
        <f t="shared" si="298"/>
        <v>4.0442400088673714E-3</v>
      </c>
      <c r="Z316" s="3">
        <f t="shared" si="298"/>
        <v>3.9044752560367982E-3</v>
      </c>
      <c r="AA316" s="3">
        <f t="shared" si="298"/>
        <v>2.7467568190012791E-3</v>
      </c>
      <c r="AB316" s="3">
        <f t="shared" si="298"/>
        <v>8.1544669306097514E-5</v>
      </c>
      <c r="AC316" s="3">
        <f t="shared" si="298"/>
        <v>4.3365985545545653E-20</v>
      </c>
      <c r="AD316" s="3">
        <f t="shared" si="298"/>
        <v>7.8466750805173043E-173</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6.6069827735831333E-3</v>
      </c>
      <c r="C318" s="3">
        <f t="shared" si="300"/>
        <v>6.6069827735831333E-3</v>
      </c>
      <c r="D318" s="3">
        <f t="shared" si="300"/>
        <v>6.6069827735831333E-3</v>
      </c>
      <c r="E318" s="3">
        <f t="shared" si="300"/>
        <v>6.6069827735831333E-3</v>
      </c>
      <c r="F318" s="3">
        <f t="shared" si="300"/>
        <v>6.6069827735831333E-3</v>
      </c>
      <c r="G318" s="3">
        <f t="shared" si="300"/>
        <v>6.6069827735831333E-3</v>
      </c>
      <c r="H318" s="3">
        <f t="shared" si="300"/>
        <v>6.6069827735831333E-3</v>
      </c>
      <c r="I318" s="3">
        <f t="shared" si="300"/>
        <v>6.6069827735831333E-3</v>
      </c>
      <c r="J318" s="3">
        <f t="shared" si="300"/>
        <v>6.6069827735831333E-3</v>
      </c>
      <c r="K318" s="3">
        <f t="shared" si="300"/>
        <v>6.6069827735831333E-3</v>
      </c>
      <c r="L318" s="3">
        <f t="shared" si="300"/>
        <v>6.6069827735831333E-3</v>
      </c>
      <c r="M318" s="3">
        <f t="shared" si="300"/>
        <v>6.6069827735831333E-3</v>
      </c>
      <c r="N318" s="3">
        <f t="shared" si="300"/>
        <v>6.6069827735831307E-3</v>
      </c>
      <c r="O318" s="3">
        <f t="shared" si="300"/>
        <v>6.6069827735831073E-3</v>
      </c>
      <c r="P318" s="3">
        <f t="shared" si="300"/>
        <v>6.6069827735828748E-3</v>
      </c>
      <c r="Q318" s="3">
        <f t="shared" si="300"/>
        <v>6.6069827735805511E-3</v>
      </c>
      <c r="R318" s="3">
        <f t="shared" si="300"/>
        <v>6.6069827735573145E-3</v>
      </c>
      <c r="S318" s="3">
        <f t="shared" si="300"/>
        <v>6.6069827733249448E-3</v>
      </c>
      <c r="T318" s="3">
        <f t="shared" si="300"/>
        <v>6.6069827710012524E-3</v>
      </c>
      <c r="U318" s="3">
        <f t="shared" si="300"/>
        <v>6.6069827477643278E-3</v>
      </c>
      <c r="V318" s="3">
        <f t="shared" si="300"/>
        <v>6.6069825153950833E-3</v>
      </c>
      <c r="W318" s="3">
        <f t="shared" si="300"/>
        <v>6.6069801917030945E-3</v>
      </c>
      <c r="X318" s="3">
        <f t="shared" si="300"/>
        <v>6.6069569548281512E-3</v>
      </c>
      <c r="Y318" s="3">
        <f t="shared" si="300"/>
        <v>6.6067245905735124E-3</v>
      </c>
      <c r="Z318" s="3">
        <f t="shared" si="300"/>
        <v>6.604401397448824E-3</v>
      </c>
      <c r="AA318" s="3">
        <f t="shared" si="300"/>
        <v>6.5812143499429376E-3</v>
      </c>
      <c r="AB318" s="3">
        <f t="shared" si="300"/>
        <v>6.3537743871988862E-3</v>
      </c>
      <c r="AC318" s="3">
        <f t="shared" si="300"/>
        <v>4.4698127097747278E-3</v>
      </c>
      <c r="AD318" s="3">
        <f t="shared" si="300"/>
        <v>1.3269809571686078E-4</v>
      </c>
      <c r="AE318" s="3">
        <f t="shared" si="300"/>
        <v>7.0569710439042983E-20</v>
      </c>
      <c r="AF318" s="3">
        <f t="shared" si="300"/>
        <v>1.2768938175284657E-172</v>
      </c>
      <c r="AG318" s="3"/>
      <c r="AH318" s="3"/>
    </row>
    <row r="319" spans="1:34" x14ac:dyDescent="0.25">
      <c r="A319" s="79">
        <f>AVERAGE(B319:AF319)</f>
        <v>5.7964690241052268E-2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6.5370169112242388E-2</v>
      </c>
      <c r="M319" s="80">
        <f t="shared" si="301"/>
        <v>7.9347788891809712E-2</v>
      </c>
      <c r="N319" s="80">
        <f t="shared" si="301"/>
        <v>9.0912626444992636E-2</v>
      </c>
      <c r="O319" s="80">
        <f t="shared" si="301"/>
        <v>8.4821882666655704E-2</v>
      </c>
      <c r="P319" s="80">
        <f t="shared" si="301"/>
        <v>7.9927730055473992E-3</v>
      </c>
      <c r="Q319" s="80">
        <f t="shared" si="301"/>
        <v>0.10117570365588117</v>
      </c>
      <c r="R319" s="80">
        <f t="shared" si="301"/>
        <v>0.15748070343229512</v>
      </c>
      <c r="S319" s="80">
        <f t="shared" si="301"/>
        <v>0.10707015590012688</v>
      </c>
      <c r="T319" s="80">
        <f t="shared" si="301"/>
        <v>6.5476269407176324E-2</v>
      </c>
      <c r="U319" s="80">
        <f t="shared" si="301"/>
        <v>0.30970783407155644</v>
      </c>
      <c r="V319" s="80">
        <f t="shared" si="301"/>
        <v>0.7275494908843364</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2917.1547003906826</v>
      </c>
      <c r="C320" s="21">
        <f t="shared" ref="C320:AF320" si="302">(C287-C286)^2</f>
        <v>2910.1084576606645</v>
      </c>
      <c r="D320" s="21">
        <f t="shared" si="302"/>
        <v>2920.3653300031183</v>
      </c>
      <c r="E320" s="21">
        <f t="shared" si="302"/>
        <v>2982.7625407706864</v>
      </c>
      <c r="F320" s="21">
        <f t="shared" si="302"/>
        <v>3618.7001007005629</v>
      </c>
      <c r="G320" s="21">
        <f t="shared" si="302"/>
        <v>11301.453921086752</v>
      </c>
      <c r="H320" s="21">
        <f t="shared" si="302"/>
        <v>55206.252473288165</v>
      </c>
      <c r="I320" s="21">
        <f t="shared" si="302"/>
        <v>102814.01602694123</v>
      </c>
      <c r="J320" s="21">
        <f t="shared" si="302"/>
        <v>110774.80772524638</v>
      </c>
      <c r="K320" s="21">
        <f t="shared" si="302"/>
        <v>160996.49057838289</v>
      </c>
      <c r="L320" s="21">
        <f t="shared" si="302"/>
        <v>170887.74285995282</v>
      </c>
      <c r="M320" s="21">
        <f t="shared" si="302"/>
        <v>231279.72115979099</v>
      </c>
      <c r="N320" s="21">
        <f t="shared" si="302"/>
        <v>275813.28876478999</v>
      </c>
      <c r="O320" s="21">
        <f t="shared" si="302"/>
        <v>217306.4034514474</v>
      </c>
      <c r="P320" s="21">
        <f t="shared" si="302"/>
        <v>1719.868691322449</v>
      </c>
      <c r="Q320" s="21">
        <f t="shared" si="302"/>
        <v>240409.0586663617</v>
      </c>
      <c r="R320" s="21">
        <f t="shared" si="302"/>
        <v>460162.77976456791</v>
      </c>
      <c r="S320" s="21">
        <f t="shared" si="302"/>
        <v>134420.49634968364</v>
      </c>
      <c r="T320" s="21">
        <f t="shared" si="302"/>
        <v>25894.115812118729</v>
      </c>
      <c r="U320" s="21">
        <f t="shared" si="302"/>
        <v>248921.50499201159</v>
      </c>
      <c r="V320" s="21">
        <f t="shared" si="302"/>
        <v>470396.3127288635</v>
      </c>
      <c r="W320" s="21">
        <f t="shared" si="302"/>
        <v>379388.68547812925</v>
      </c>
      <c r="X320" s="21">
        <f t="shared" si="302"/>
        <v>151499.77857114506</v>
      </c>
      <c r="Y320" s="21">
        <f t="shared" si="302"/>
        <v>52019.149373901033</v>
      </c>
      <c r="Z320" s="21">
        <f t="shared" si="302"/>
        <v>8030.565597937144</v>
      </c>
      <c r="AA320" s="21">
        <f t="shared" si="302"/>
        <v>674.02849175102324</v>
      </c>
      <c r="AB320" s="21">
        <f t="shared" si="302"/>
        <v>116.64978601163283</v>
      </c>
      <c r="AC320" s="21">
        <f t="shared" si="302"/>
        <v>10.117046256338751</v>
      </c>
      <c r="AD320" s="21">
        <f t="shared" si="302"/>
        <v>1127.3044328793162</v>
      </c>
      <c r="AE320" s="21">
        <f t="shared" si="302"/>
        <v>1192.0994465622562</v>
      </c>
      <c r="AF320" s="21">
        <f t="shared" si="302"/>
        <v>1130.1996959841663</v>
      </c>
      <c r="AG320" s="3"/>
      <c r="AH320" s="3"/>
    </row>
    <row r="321" spans="1:34" x14ac:dyDescent="0.25">
      <c r="A321" s="71">
        <f>SUM(B321:AF321)</f>
        <v>2477211.2932409109</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170887.74285995282</v>
      </c>
      <c r="M321" s="60">
        <f t="shared" ref="M321" si="313">IF($A$64&lt;=M285,IF($B$64&gt;=M285,ABS(M320),0),0)</f>
        <v>231279.72115979099</v>
      </c>
      <c r="N321" s="60">
        <f t="shared" ref="N321" si="314">IF($A$64&lt;=N285,IF($B$64&gt;=N285,ABS(N320),0),0)</f>
        <v>275813.28876478999</v>
      </c>
      <c r="O321" s="60">
        <f t="shared" ref="O321" si="315">IF($A$64&lt;=O285,IF($B$64&gt;=O285,ABS(O320),0),0)</f>
        <v>217306.4034514474</v>
      </c>
      <c r="P321" s="60">
        <f t="shared" ref="P321" si="316">IF($A$64&lt;=P285,IF($B$64&gt;=P285,ABS(P320),0),0)</f>
        <v>1719.868691322449</v>
      </c>
      <c r="Q321" s="60">
        <f t="shared" ref="Q321" si="317">IF($A$64&lt;=Q285,IF($B$64&gt;=Q285,ABS(Q320),0),0)</f>
        <v>240409.0586663617</v>
      </c>
      <c r="R321" s="60">
        <f t="shared" ref="R321" si="318">IF($A$64&lt;=R285,IF($B$64&gt;=R285,ABS(R320),0),0)</f>
        <v>460162.77976456791</v>
      </c>
      <c r="S321" s="60">
        <f t="shared" ref="S321" si="319">IF($A$64&lt;=S285,IF($B$64&gt;=S285,ABS(S320),0),0)</f>
        <v>134420.49634968364</v>
      </c>
      <c r="T321" s="60">
        <f t="shared" ref="T321" si="320">IF($A$64&lt;=T285,IF($B$64&gt;=T285,ABS(T320),0),0)</f>
        <v>25894.115812118729</v>
      </c>
      <c r="U321" s="60">
        <f t="shared" ref="U321" si="321">IF($A$64&lt;=U285,IF($B$64&gt;=U285,ABS(U320),0),0)</f>
        <v>248921.50499201159</v>
      </c>
      <c r="V321" s="60">
        <f t="shared" ref="V321" si="322">IF($A$64&lt;=V285,IF($B$64&gt;=V285,ABS(V320),0),0)</f>
        <v>470396.3127288635</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6978.8209093157493</v>
      </c>
      <c r="C326" s="27">
        <f t="shared" ref="C326:AF326" si="333">($C$17+SUM(C327:C357))*$B$51</f>
        <v>6808.4303303258457</v>
      </c>
      <c r="D326" s="27">
        <f t="shared" si="333"/>
        <v>6620.1966774150005</v>
      </c>
      <c r="E326" s="27">
        <f t="shared" si="333"/>
        <v>6400.9660178041713</v>
      </c>
      <c r="F326" s="27">
        <f t="shared" si="333"/>
        <v>6121.6362795953373</v>
      </c>
      <c r="G326" s="27">
        <f t="shared" si="333"/>
        <v>5554.6904336627122</v>
      </c>
      <c r="H326" s="27">
        <f t="shared" si="333"/>
        <v>4714.0699929084376</v>
      </c>
      <c r="I326" s="27">
        <f t="shared" si="333"/>
        <v>3906.3613657082547</v>
      </c>
      <c r="J326" s="27">
        <f t="shared" si="333"/>
        <v>3271.0374210452983</v>
      </c>
      <c r="K326" s="27">
        <f t="shared" si="333"/>
        <v>2787.2649764234388</v>
      </c>
      <c r="L326" s="27">
        <f t="shared" si="333"/>
        <v>2276.3502447199953</v>
      </c>
      <c r="M326" s="27">
        <f t="shared" si="333"/>
        <v>1804.412289311033</v>
      </c>
      <c r="N326" s="27">
        <f t="shared" si="333"/>
        <v>1309.112705592009</v>
      </c>
      <c r="O326" s="27">
        <f t="shared" si="333"/>
        <v>809.77559034163573</v>
      </c>
      <c r="P326" s="27">
        <f t="shared" si="333"/>
        <v>471.24264300243357</v>
      </c>
      <c r="Q326" s="27">
        <f t="shared" si="333"/>
        <v>257.31740851641138</v>
      </c>
      <c r="R326" s="27">
        <f t="shared" si="333"/>
        <v>148.51680104951654</v>
      </c>
      <c r="S326" s="27">
        <f t="shared" si="333"/>
        <v>109.89444931498839</v>
      </c>
      <c r="T326" s="27">
        <f t="shared" si="333"/>
        <v>97.652324115598191</v>
      </c>
      <c r="U326" s="27">
        <f t="shared" si="333"/>
        <v>65.763140850441204</v>
      </c>
      <c r="V326" s="27">
        <f t="shared" si="333"/>
        <v>56.683120573283688</v>
      </c>
      <c r="W326" s="27">
        <f t="shared" si="333"/>
        <v>56.683117976827191</v>
      </c>
      <c r="X326" s="27">
        <f t="shared" si="333"/>
        <v>56.683117976827191</v>
      </c>
      <c r="Y326" s="27">
        <f t="shared" si="333"/>
        <v>56.683117976827191</v>
      </c>
      <c r="Z326" s="27">
        <f t="shared" si="333"/>
        <v>56.683117976827191</v>
      </c>
      <c r="AA326" s="27">
        <f t="shared" si="333"/>
        <v>56.683117976827191</v>
      </c>
      <c r="AB326" s="27">
        <f t="shared" si="333"/>
        <v>56.683117976827191</v>
      </c>
      <c r="AC326" s="27">
        <f t="shared" si="333"/>
        <v>56.683117976827191</v>
      </c>
      <c r="AD326" s="27">
        <f t="shared" si="333"/>
        <v>56.683117976827191</v>
      </c>
      <c r="AE326" s="27">
        <f t="shared" si="333"/>
        <v>56.683117976827191</v>
      </c>
      <c r="AF326" s="27">
        <f t="shared" si="333"/>
        <v>56.683117976827191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1.765847423623217E-85</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1.0589987630963747E-9</v>
      </c>
      <c r="C337" s="3">
        <f t="shared" si="344"/>
        <v>5.2491705760421953E-76</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3.5267140099309469E-3</v>
      </c>
      <c r="C338" s="3">
        <f t="shared" si="345"/>
        <v>3.6823515710133355E-9</v>
      </c>
      <c r="D338" s="3">
        <f t="shared" si="345"/>
        <v>5.671204682312048E-69</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2.3385885937659806E-2</v>
      </c>
      <c r="C339" s="3">
        <f t="shared" si="346"/>
        <v>6.7514300066390739E-3</v>
      </c>
      <c r="D339" s="3">
        <f t="shared" si="346"/>
        <v>2.7152835867776081E-8</v>
      </c>
      <c r="E339" s="3">
        <f t="shared" si="346"/>
        <v>3.0061416623984424E-62</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2.5585589179404542E-2</v>
      </c>
      <c r="C340" s="3">
        <f t="shared" si="347"/>
        <v>2.2872982451748194E-2</v>
      </c>
      <c r="D340" s="3">
        <f t="shared" si="347"/>
        <v>7.4575563221647365E-3</v>
      </c>
      <c r="E340" s="3">
        <f t="shared" si="347"/>
        <v>1.0123577085269009E-7</v>
      </c>
      <c r="F340" s="3">
        <f t="shared" si="347"/>
        <v>2.151337340604873E-56</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3.2657942515911469E-2</v>
      </c>
      <c r="C341" s="3">
        <f t="shared" si="348"/>
        <v>3.2329437212686205E-2</v>
      </c>
      <c r="D341" s="3">
        <f t="shared" si="348"/>
        <v>2.9220751919455487E-2</v>
      </c>
      <c r="E341" s="3">
        <f t="shared" si="348"/>
        <v>1.0632216554409263E-2</v>
      </c>
      <c r="F341" s="3">
        <f t="shared" si="348"/>
        <v>4.324621252131871E-7</v>
      </c>
      <c r="G341" s="3">
        <f t="shared" si="348"/>
        <v>5.3603200862437081E-51</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3.3278706024475427E-2</v>
      </c>
      <c r="C342" s="3">
        <f t="shared" si="349"/>
        <v>3.3248369763447277E-2</v>
      </c>
      <c r="D342" s="3">
        <f t="shared" si="349"/>
        <v>3.2946523970279848E-2</v>
      </c>
      <c r="E342" s="3">
        <f t="shared" si="349"/>
        <v>3.007475189009538E-2</v>
      </c>
      <c r="F342" s="3">
        <f t="shared" si="349"/>
        <v>1.2081659032778304E-2</v>
      </c>
      <c r="G342" s="3">
        <f t="shared" si="349"/>
        <v>1.3224272585810083E-6</v>
      </c>
      <c r="H342" s="3">
        <f t="shared" si="349"/>
        <v>3.2645548409263182E-46</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0.10755300667109408</v>
      </c>
      <c r="C343" s="3">
        <f t="shared" si="350"/>
        <v>0.10754415867492205</v>
      </c>
      <c r="D343" s="3">
        <f t="shared" si="350"/>
        <v>0.10745571873741523</v>
      </c>
      <c r="E343" s="3">
        <f t="shared" si="350"/>
        <v>0.10657530962716982</v>
      </c>
      <c r="F343" s="3">
        <f t="shared" si="350"/>
        <v>9.8158361393337265E-2</v>
      </c>
      <c r="G343" s="3">
        <f t="shared" si="350"/>
        <v>4.3115583525227284E-2</v>
      </c>
      <c r="H343" s="3">
        <f t="shared" si="350"/>
        <v>1.1526672431845782E-5</v>
      </c>
      <c r="I343" s="3">
        <f t="shared" si="350"/>
        <v>2.1498134898710507E-41</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0.13355165283015352</v>
      </c>
      <c r="C344" s="3">
        <f t="shared" si="351"/>
        <v>0.133550661691345</v>
      </c>
      <c r="D344" s="3">
        <f t="shared" si="351"/>
        <v>0.13354075070781013</v>
      </c>
      <c r="E344" s="3">
        <f t="shared" si="351"/>
        <v>0.13344168131640283</v>
      </c>
      <c r="F344" s="3">
        <f t="shared" si="351"/>
        <v>0.13245502071285398</v>
      </c>
      <c r="G344" s="3">
        <f t="shared" si="351"/>
        <v>0.12298088699316148</v>
      </c>
      <c r="H344" s="3">
        <f t="shared" si="351"/>
        <v>5.8550361733334291E-2</v>
      </c>
      <c r="I344" s="3">
        <f t="shared" si="351"/>
        <v>3.5030730810701351E-5</v>
      </c>
      <c r="J344" s="3">
        <f t="shared" si="351"/>
        <v>2.0589478592011662E-37</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0.10276652787536907</v>
      </c>
      <c r="C345" s="3">
        <f t="shared" si="352"/>
        <v>0.1027664590759209</v>
      </c>
      <c r="D345" s="3">
        <f t="shared" si="352"/>
        <v>0.10276577108397245</v>
      </c>
      <c r="E345" s="3">
        <f t="shared" si="352"/>
        <v>0.10275889141780781</v>
      </c>
      <c r="F345" s="3">
        <f t="shared" si="352"/>
        <v>0.10269012008187643</v>
      </c>
      <c r="G345" s="3">
        <f t="shared" si="352"/>
        <v>0.10200493303196655</v>
      </c>
      <c r="H345" s="3">
        <f t="shared" si="352"/>
        <v>9.5399546157327403E-2</v>
      </c>
      <c r="I345" s="3">
        <f t="shared" si="352"/>
        <v>4.884247293088332E-2</v>
      </c>
      <c r="J345" s="3">
        <f t="shared" si="352"/>
        <v>6.0438127823733064E-5</v>
      </c>
      <c r="K345" s="3">
        <f t="shared" si="352"/>
        <v>5.0867991083145325E-34</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8.230869654834036E-2</v>
      </c>
      <c r="C346" s="3">
        <f t="shared" si="353"/>
        <v>8.2308691577546902E-2</v>
      </c>
      <c r="D346" s="3">
        <f t="shared" si="353"/>
        <v>8.2308641869628746E-2</v>
      </c>
      <c r="E346" s="3">
        <f t="shared" si="353"/>
        <v>8.2308144792098373E-2</v>
      </c>
      <c r="F346" s="3">
        <f t="shared" si="353"/>
        <v>8.23031741818986E-2</v>
      </c>
      <c r="G346" s="3">
        <f t="shared" si="353"/>
        <v>8.225348458661437E-2</v>
      </c>
      <c r="H346" s="3">
        <f t="shared" si="353"/>
        <v>8.1758235622626116E-2</v>
      </c>
      <c r="I346" s="3">
        <f t="shared" si="353"/>
        <v>7.6966823354703368E-2</v>
      </c>
      <c r="J346" s="3">
        <f t="shared" si="353"/>
        <v>4.2074995606153451E-2</v>
      </c>
      <c r="K346" s="3">
        <f t="shared" si="353"/>
        <v>1.0028344598166886E-4</v>
      </c>
      <c r="L346" s="3">
        <f t="shared" si="353"/>
        <v>5.9330901262470128E-31</v>
      </c>
      <c r="M346" s="3">
        <f t="shared" si="353"/>
        <v>3.1174386186488962E-293</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3.7013792013378281E-2</v>
      </c>
      <c r="C347" s="3">
        <f t="shared" si="354"/>
        <v>3.7013791811732019E-2</v>
      </c>
      <c r="D347" s="3">
        <f t="shared" si="354"/>
        <v>3.7013789795269446E-2</v>
      </c>
      <c r="E347" s="3">
        <f t="shared" si="354"/>
        <v>3.7013769630649805E-2</v>
      </c>
      <c r="F347" s="3">
        <f t="shared" si="354"/>
        <v>3.7013567985057547E-2</v>
      </c>
      <c r="G347" s="3">
        <f t="shared" si="354"/>
        <v>3.7011551589553493E-2</v>
      </c>
      <c r="H347" s="3">
        <f t="shared" si="354"/>
        <v>3.6991393675142439E-2</v>
      </c>
      <c r="I347" s="3">
        <f t="shared" si="354"/>
        <v>3.6790417378143238E-2</v>
      </c>
      <c r="J347" s="3">
        <f t="shared" si="354"/>
        <v>3.4839741458210276E-2</v>
      </c>
      <c r="K347" s="3">
        <f t="shared" si="354"/>
        <v>2.0205844677893634E-2</v>
      </c>
      <c r="L347" s="3">
        <f t="shared" si="354"/>
        <v>8.6995718190466763E-5</v>
      </c>
      <c r="M347" s="3">
        <f t="shared" si="354"/>
        <v>1.9041736582000806E-28</v>
      </c>
      <c r="N347" s="3">
        <f t="shared" si="354"/>
        <v>4.8061055548216841E-265</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5.9919400793326624E-2</v>
      </c>
      <c r="C348" s="3">
        <f t="shared" si="355"/>
        <v>5.9919400703043427E-2</v>
      </c>
      <c r="D348" s="3">
        <f t="shared" si="355"/>
        <v>5.9919399800211479E-2</v>
      </c>
      <c r="E348" s="3">
        <f t="shared" si="355"/>
        <v>5.9919390771892761E-2</v>
      </c>
      <c r="F348" s="3">
        <f t="shared" si="355"/>
        <v>5.99193004887804E-2</v>
      </c>
      <c r="G348" s="3">
        <f t="shared" si="355"/>
        <v>5.9918397665138623E-2</v>
      </c>
      <c r="H348" s="3">
        <f t="shared" si="355"/>
        <v>5.9909370176859635E-2</v>
      </c>
      <c r="I348" s="3">
        <f t="shared" si="355"/>
        <v>5.9819170066256762E-2</v>
      </c>
      <c r="J348" s="3">
        <f t="shared" si="355"/>
        <v>5.8924604661261072E-2</v>
      </c>
      <c r="K348" s="3">
        <f t="shared" si="355"/>
        <v>5.0682685490658318E-2</v>
      </c>
      <c r="L348" s="3">
        <f t="shared" si="355"/>
        <v>1.1232825940419E-2</v>
      </c>
      <c r="M348" s="3">
        <f t="shared" si="355"/>
        <v>3.2120562122858909E-9</v>
      </c>
      <c r="N348" s="3">
        <f t="shared" si="355"/>
        <v>1.1741517082395414E-74</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6.4670451983332405E-2</v>
      </c>
      <c r="C349" s="3">
        <f t="shared" si="356"/>
        <v>6.4670451973588228E-2</v>
      </c>
      <c r="D349" s="3">
        <f t="shared" si="356"/>
        <v>6.4670451876146409E-2</v>
      </c>
      <c r="E349" s="3">
        <f t="shared" si="356"/>
        <v>6.4670450901728294E-2</v>
      </c>
      <c r="F349" s="3">
        <f t="shared" si="356"/>
        <v>6.4670441157547873E-2</v>
      </c>
      <c r="G349" s="3">
        <f t="shared" si="356"/>
        <v>6.4670343715824419E-2</v>
      </c>
      <c r="H349" s="3">
        <f t="shared" si="356"/>
        <v>6.4669369306664892E-2</v>
      </c>
      <c r="I349" s="3">
        <f t="shared" si="356"/>
        <v>6.4659626022528879E-2</v>
      </c>
      <c r="J349" s="3">
        <f t="shared" si="356"/>
        <v>6.4562273882094845E-2</v>
      </c>
      <c r="K349" s="3">
        <f t="shared" si="356"/>
        <v>6.359677776072091E-2</v>
      </c>
      <c r="L349" s="3">
        <f t="shared" si="356"/>
        <v>5.4701351056920755E-2</v>
      </c>
      <c r="M349" s="3">
        <f t="shared" si="356"/>
        <v>1.2123484562423188E-2</v>
      </c>
      <c r="N349" s="3">
        <f t="shared" si="356"/>
        <v>3.4667423949979705E-9</v>
      </c>
      <c r="O349" s="3">
        <f t="shared" si="356"/>
        <v>1.2672510180687368E-74</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6.7576207998733456E-2</v>
      </c>
      <c r="C350" s="3">
        <f t="shared" si="357"/>
        <v>6.7576207997715257E-2</v>
      </c>
      <c r="D350" s="3">
        <f t="shared" si="357"/>
        <v>6.7576207987533249E-2</v>
      </c>
      <c r="E350" s="3">
        <f t="shared" si="357"/>
        <v>6.757620788571321E-2</v>
      </c>
      <c r="F350" s="3">
        <f t="shared" si="357"/>
        <v>6.7576206867512784E-2</v>
      </c>
      <c r="G350" s="3">
        <f t="shared" si="357"/>
        <v>6.7576196685509363E-2</v>
      </c>
      <c r="H350" s="3">
        <f t="shared" si="357"/>
        <v>6.7576094865559599E-2</v>
      </c>
      <c r="I350" s="3">
        <f t="shared" si="357"/>
        <v>6.757507667449987E-2</v>
      </c>
      <c r="J350" s="3">
        <f t="shared" si="357"/>
        <v>6.7564895607642228E-2</v>
      </c>
      <c r="K350" s="3">
        <f t="shared" si="357"/>
        <v>6.7463169266025066E-2</v>
      </c>
      <c r="L350" s="3">
        <f t="shared" si="357"/>
        <v>6.6454291722757422E-2</v>
      </c>
      <c r="M350" s="3">
        <f t="shared" si="357"/>
        <v>5.7159178008083573E-2</v>
      </c>
      <c r="N350" s="3">
        <f t="shared" si="357"/>
        <v>1.2668213833707979E-2</v>
      </c>
      <c r="O350" s="3">
        <f t="shared" si="357"/>
        <v>3.6225091672354304E-9</v>
      </c>
      <c r="P350" s="3">
        <f t="shared" si="357"/>
        <v>1.3241908128986084E-74</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7.4650772379492344E-2</v>
      </c>
      <c r="C351" s="3">
        <f t="shared" si="358"/>
        <v>7.4650772379379879E-2</v>
      </c>
      <c r="D351" s="3">
        <f t="shared" si="358"/>
        <v>7.465077237825507E-2</v>
      </c>
      <c r="E351" s="3">
        <f t="shared" si="358"/>
        <v>7.4650772367007123E-2</v>
      </c>
      <c r="F351" s="3">
        <f t="shared" si="358"/>
        <v>7.4650772254527514E-2</v>
      </c>
      <c r="G351" s="3">
        <f t="shared" si="358"/>
        <v>7.4650771129731522E-2</v>
      </c>
      <c r="H351" s="3">
        <f t="shared" si="358"/>
        <v>7.4650759881772485E-2</v>
      </c>
      <c r="I351" s="3">
        <f t="shared" si="358"/>
        <v>7.4650647402275352E-2</v>
      </c>
      <c r="J351" s="3">
        <f t="shared" si="358"/>
        <v>7.4649522616625344E-2</v>
      </c>
      <c r="K351" s="3">
        <f t="shared" si="358"/>
        <v>7.4638275692196221E-2</v>
      </c>
      <c r="L351" s="3">
        <f t="shared" si="358"/>
        <v>7.452589960306745E-2</v>
      </c>
      <c r="M351" s="3">
        <f t="shared" si="358"/>
        <v>7.3411402503103615E-2</v>
      </c>
      <c r="N351" s="3">
        <f t="shared" si="358"/>
        <v>6.3143181797858147E-2</v>
      </c>
      <c r="O351" s="3">
        <f t="shared" si="358"/>
        <v>1.3994451233060758E-2</v>
      </c>
      <c r="P351" s="3">
        <f t="shared" si="358"/>
        <v>4.0017502504813156E-9</v>
      </c>
      <c r="Q351" s="3">
        <f t="shared" si="358"/>
        <v>1.4628205678899998E-74</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4.2437426023751133E-2</v>
      </c>
      <c r="C352" s="3">
        <f t="shared" si="359"/>
        <v>4.2437426023744743E-2</v>
      </c>
      <c r="D352" s="3">
        <f t="shared" si="359"/>
        <v>4.2437426023680801E-2</v>
      </c>
      <c r="E352" s="3">
        <f t="shared" si="359"/>
        <v>4.2437426023041375E-2</v>
      </c>
      <c r="F352" s="3">
        <f t="shared" si="359"/>
        <v>4.2437426016647142E-2</v>
      </c>
      <c r="G352" s="3">
        <f t="shared" si="359"/>
        <v>4.2437425952704812E-2</v>
      </c>
      <c r="H352" s="3">
        <f t="shared" si="359"/>
        <v>4.2437425313281457E-2</v>
      </c>
      <c r="I352" s="3">
        <f t="shared" si="359"/>
        <v>4.2437418919048502E-2</v>
      </c>
      <c r="J352" s="3">
        <f t="shared" si="359"/>
        <v>4.2437354976771861E-2</v>
      </c>
      <c r="K352" s="3">
        <f t="shared" si="359"/>
        <v>4.2436715559304457E-2</v>
      </c>
      <c r="L352" s="3">
        <f t="shared" si="359"/>
        <v>4.243032191449353E-2</v>
      </c>
      <c r="M352" s="3">
        <f t="shared" si="359"/>
        <v>4.2366438423174821E-2</v>
      </c>
      <c r="N352" s="3">
        <f t="shared" si="359"/>
        <v>4.1732869784488022E-2</v>
      </c>
      <c r="O352" s="3">
        <f t="shared" si="359"/>
        <v>3.5895597875777709E-2</v>
      </c>
      <c r="P352" s="3">
        <f t="shared" si="359"/>
        <v>7.9555571900428064E-3</v>
      </c>
      <c r="Q352" s="3">
        <f t="shared" si="359"/>
        <v>2.2749125669724019E-9</v>
      </c>
      <c r="R352" s="3">
        <f t="shared" si="359"/>
        <v>8.3158335348848937E-75</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2.9362775672930996E-2</v>
      </c>
      <c r="C353" s="3">
        <f t="shared" si="360"/>
        <v>2.9362775672930552E-2</v>
      </c>
      <c r="D353" s="3">
        <f t="shared" si="360"/>
        <v>2.9362775672926129E-2</v>
      </c>
      <c r="E353" s="3">
        <f t="shared" si="360"/>
        <v>2.936277567288189E-2</v>
      </c>
      <c r="F353" s="3">
        <f t="shared" si="360"/>
        <v>2.9362775672439466E-2</v>
      </c>
      <c r="G353" s="3">
        <f t="shared" si="360"/>
        <v>2.9362775668015248E-2</v>
      </c>
      <c r="H353" s="3">
        <f t="shared" si="360"/>
        <v>2.9362775623773062E-2</v>
      </c>
      <c r="I353" s="3">
        <f t="shared" si="360"/>
        <v>2.9362775181351216E-2</v>
      </c>
      <c r="J353" s="3">
        <f t="shared" si="360"/>
        <v>2.9362770757133123E-2</v>
      </c>
      <c r="K353" s="3">
        <f t="shared" si="360"/>
        <v>2.9362726514988845E-2</v>
      </c>
      <c r="L353" s="3">
        <f t="shared" si="360"/>
        <v>2.9362284097212463E-2</v>
      </c>
      <c r="M353" s="3">
        <f t="shared" si="360"/>
        <v>2.9357860286064952E-2</v>
      </c>
      <c r="N353" s="3">
        <f t="shared" si="360"/>
        <v>2.9313658815793286E-2</v>
      </c>
      <c r="O353" s="3">
        <f t="shared" si="360"/>
        <v>2.8875287888189133E-2</v>
      </c>
      <c r="P353" s="3">
        <f t="shared" si="360"/>
        <v>2.483643535501634E-2</v>
      </c>
      <c r="Q353" s="3">
        <f t="shared" si="360"/>
        <v>5.5045101225898643E-3</v>
      </c>
      <c r="R353" s="3">
        <f t="shared" si="360"/>
        <v>1.5740291916422136E-9</v>
      </c>
      <c r="S353" s="3">
        <f t="shared" si="360"/>
        <v>5.7537880474088887E-75</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1.3317924951321969E-2</v>
      </c>
      <c r="C354" s="3">
        <f t="shared" si="361"/>
        <v>1.331792495132195E-2</v>
      </c>
      <c r="D354" s="3">
        <f t="shared" si="361"/>
        <v>1.3317924951321749E-2</v>
      </c>
      <c r="E354" s="3">
        <f t="shared" si="361"/>
        <v>1.3317924951319744E-2</v>
      </c>
      <c r="F354" s="3">
        <f t="shared" si="361"/>
        <v>1.3317924951299676E-2</v>
      </c>
      <c r="G354" s="3">
        <f t="shared" si="361"/>
        <v>1.3317924951099009E-2</v>
      </c>
      <c r="H354" s="3">
        <f t="shared" si="361"/>
        <v>1.331792494909234E-2</v>
      </c>
      <c r="I354" s="3">
        <f t="shared" si="361"/>
        <v>1.3317924929025636E-2</v>
      </c>
      <c r="J354" s="3">
        <f t="shared" si="361"/>
        <v>1.3317924728358608E-2</v>
      </c>
      <c r="K354" s="3">
        <f t="shared" si="361"/>
        <v>1.331792272168849E-2</v>
      </c>
      <c r="L354" s="3">
        <f t="shared" si="361"/>
        <v>1.3317902655003931E-2</v>
      </c>
      <c r="M354" s="3">
        <f t="shared" si="361"/>
        <v>1.3317701989821299E-2</v>
      </c>
      <c r="N354" s="3">
        <f t="shared" si="361"/>
        <v>1.3315695504279277E-2</v>
      </c>
      <c r="O354" s="3">
        <f t="shared" si="361"/>
        <v>1.3295647268023507E-2</v>
      </c>
      <c r="P354" s="3">
        <f t="shared" si="361"/>
        <v>1.3096817594027269E-2</v>
      </c>
      <c r="Q354" s="3">
        <f t="shared" si="361"/>
        <v>1.1264935774494826E-2</v>
      </c>
      <c r="R354" s="3">
        <f t="shared" si="361"/>
        <v>2.4966526844403779E-3</v>
      </c>
      <c r="S354" s="3">
        <f t="shared" si="361"/>
        <v>7.1392442182522199E-10</v>
      </c>
      <c r="T354" s="3">
        <f t="shared" si="361"/>
        <v>2.609716406063316E-75</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4.0600750332731679E-3</v>
      </c>
      <c r="C355" s="3">
        <f t="shared" si="362"/>
        <v>4.060075033273167E-3</v>
      </c>
      <c r="D355" s="3">
        <f t="shared" si="362"/>
        <v>4.0600750332731609E-3</v>
      </c>
      <c r="E355" s="3">
        <f t="shared" si="362"/>
        <v>4.0600750332731002E-3</v>
      </c>
      <c r="F355" s="3">
        <f t="shared" si="362"/>
        <v>4.0600750332724879E-3</v>
      </c>
      <c r="G355" s="3">
        <f t="shared" si="362"/>
        <v>4.0600750332663712E-3</v>
      </c>
      <c r="H355" s="3">
        <f t="shared" si="362"/>
        <v>4.0600750332051953E-3</v>
      </c>
      <c r="I355" s="3">
        <f t="shared" si="362"/>
        <v>4.0600750325934468E-3</v>
      </c>
      <c r="J355" s="3">
        <f t="shared" si="362"/>
        <v>4.0600750264759532E-3</v>
      </c>
      <c r="K355" s="3">
        <f t="shared" si="362"/>
        <v>4.0600749653010183E-3</v>
      </c>
      <c r="L355" s="3">
        <f t="shared" si="362"/>
        <v>4.0600743535517195E-3</v>
      </c>
      <c r="M355" s="3">
        <f t="shared" si="362"/>
        <v>4.0600682360638022E-3</v>
      </c>
      <c r="N355" s="3">
        <f t="shared" si="362"/>
        <v>4.0600070616915911E-3</v>
      </c>
      <c r="O355" s="3">
        <f t="shared" si="362"/>
        <v>4.059395368662567E-3</v>
      </c>
      <c r="P355" s="3">
        <f t="shared" si="362"/>
        <v>4.053283504856401E-3</v>
      </c>
      <c r="Q355" s="3">
        <f t="shared" si="362"/>
        <v>3.9926687020086166E-3</v>
      </c>
      <c r="R355" s="3">
        <f t="shared" si="362"/>
        <v>3.4342050024025895E-3</v>
      </c>
      <c r="S355" s="3">
        <f t="shared" si="362"/>
        <v>7.6112436944199974E-4</v>
      </c>
      <c r="T355" s="3">
        <f t="shared" si="362"/>
        <v>2.1764552145256262E-10</v>
      </c>
      <c r="U355" s="3">
        <f t="shared" si="362"/>
        <v>7.9559274158015879E-76</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6.6069827735831333E-3</v>
      </c>
      <c r="C357" s="3">
        <f t="shared" si="364"/>
        <v>6.6069827735831333E-3</v>
      </c>
      <c r="D357" s="3">
        <f t="shared" si="364"/>
        <v>6.6069827735831333E-3</v>
      </c>
      <c r="E357" s="3">
        <f t="shared" si="364"/>
        <v>6.6069827735831315E-3</v>
      </c>
      <c r="F357" s="3">
        <f t="shared" si="364"/>
        <v>6.606982773583122E-3</v>
      </c>
      <c r="G357" s="3">
        <f t="shared" si="364"/>
        <v>6.6069827735830223E-3</v>
      </c>
      <c r="H357" s="3">
        <f t="shared" si="364"/>
        <v>6.6069827735820274E-3</v>
      </c>
      <c r="I357" s="3">
        <f t="shared" si="364"/>
        <v>6.6069827735720727E-3</v>
      </c>
      <c r="J357" s="3">
        <f t="shared" si="364"/>
        <v>6.6069827734725221E-3</v>
      </c>
      <c r="K357" s="3">
        <f t="shared" si="364"/>
        <v>6.6069827724770189E-3</v>
      </c>
      <c r="L357" s="3">
        <f t="shared" si="364"/>
        <v>6.6069827625219874E-3</v>
      </c>
      <c r="M357" s="3">
        <f t="shared" si="364"/>
        <v>6.606982662971674E-3</v>
      </c>
      <c r="N357" s="3">
        <f t="shared" si="364"/>
        <v>6.6069816674686243E-3</v>
      </c>
      <c r="O357" s="3">
        <f t="shared" si="364"/>
        <v>6.6069717124463759E-3</v>
      </c>
      <c r="P357" s="3">
        <f t="shared" si="364"/>
        <v>6.6068721630488719E-3</v>
      </c>
      <c r="Q357" s="3">
        <f t="shared" si="364"/>
        <v>6.6058767515669754E-3</v>
      </c>
      <c r="R357" s="3">
        <f t="shared" si="364"/>
        <v>6.5959308814658333E-3</v>
      </c>
      <c r="S357" s="3">
        <f t="shared" si="364"/>
        <v>6.4972920743114277E-3</v>
      </c>
      <c r="T357" s="3">
        <f t="shared" si="364"/>
        <v>5.5885009774153923E-3</v>
      </c>
      <c r="U357" s="3">
        <f t="shared" si="364"/>
        <v>1.2385819366011891E-3</v>
      </c>
      <c r="V357" s="3">
        <f t="shared" si="364"/>
        <v>3.5417577241800944E-10</v>
      </c>
      <c r="W357" s="3">
        <f t="shared" si="364"/>
        <v>1.2946725110570694E-75</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0.10063307256249948</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0.15781641060298293</v>
      </c>
      <c r="M358" s="80">
        <f t="shared" si="365"/>
        <v>1.5140430473933777E-2</v>
      </c>
      <c r="N358" s="80">
        <f t="shared" si="365"/>
        <v>0.18456746310400116</v>
      </c>
      <c r="O358" s="80">
        <f t="shared" si="365"/>
        <v>0.28348644430004372</v>
      </c>
      <c r="P358" s="80">
        <f t="shared" si="365"/>
        <v>0.33011408123628055</v>
      </c>
      <c r="Q358" s="80">
        <f t="shared" si="365"/>
        <v>3.663591098272663E-2</v>
      </c>
      <c r="R358" s="80">
        <f t="shared" si="365"/>
        <v>0.30785523677815668</v>
      </c>
      <c r="S358" s="80">
        <f t="shared" si="365"/>
        <v>0.40829770283277872</v>
      </c>
      <c r="T358" s="80">
        <f t="shared" si="365"/>
        <v>0.38232488799378872</v>
      </c>
      <c r="U358" s="80">
        <f t="shared" si="365"/>
        <v>0.50353979227108303</v>
      </c>
      <c r="V358" s="80">
        <f t="shared" si="365"/>
        <v>0.50984688886170804</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154511.08953953505</v>
      </c>
      <c r="C359" s="21">
        <f t="shared" ref="C359:AF359" si="366">(C326-C325)^2</f>
        <v>224721.36362565027</v>
      </c>
      <c r="D359" s="21">
        <f t="shared" si="366"/>
        <v>272990.77631784638</v>
      </c>
      <c r="E359" s="21">
        <f t="shared" si="366"/>
        <v>331343.08460201131</v>
      </c>
      <c r="F359" s="21">
        <f t="shared" si="366"/>
        <v>330283.6801239085</v>
      </c>
      <c r="G359" s="21">
        <f t="shared" si="366"/>
        <v>88421.730409760814</v>
      </c>
      <c r="H359" s="21">
        <f t="shared" si="366"/>
        <v>52593.029396249272</v>
      </c>
      <c r="I359" s="21">
        <f t="shared" si="366"/>
        <v>444762.12792005262</v>
      </c>
      <c r="J359" s="21">
        <f t="shared" si="366"/>
        <v>653246.38322897733</v>
      </c>
      <c r="K359" s="21">
        <f t="shared" si="366"/>
        <v>451563.56918260286</v>
      </c>
      <c r="L359" s="21">
        <f t="shared" si="366"/>
        <v>181957.07327989634</v>
      </c>
      <c r="M359" s="21">
        <f t="shared" si="366"/>
        <v>769.48362230979126</v>
      </c>
      <c r="N359" s="21">
        <f t="shared" si="366"/>
        <v>41604.926816254163</v>
      </c>
      <c r="O359" s="21">
        <f t="shared" si="366"/>
        <v>31989.789609443487</v>
      </c>
      <c r="P359" s="21">
        <f t="shared" si="366"/>
        <v>13678.531774820191</v>
      </c>
      <c r="Q359" s="21">
        <f t="shared" si="366"/>
        <v>82.698918288165359</v>
      </c>
      <c r="R359" s="21">
        <f t="shared" si="366"/>
        <v>4363.6548179709544</v>
      </c>
      <c r="S359" s="21">
        <f t="shared" si="366"/>
        <v>5750.4108716439141</v>
      </c>
      <c r="T359" s="21">
        <f t="shared" si="366"/>
        <v>3653.5083348676544</v>
      </c>
      <c r="U359" s="21">
        <f t="shared" si="366"/>
        <v>4449.0142561755747</v>
      </c>
      <c r="V359" s="21">
        <f t="shared" si="366"/>
        <v>3476.350223388285</v>
      </c>
      <c r="W359" s="21">
        <f t="shared" si="366"/>
        <v>2402.9923373034644</v>
      </c>
      <c r="X359" s="21">
        <f t="shared" si="366"/>
        <v>1856.3982281270758</v>
      </c>
      <c r="Y359" s="21">
        <f t="shared" si="366"/>
        <v>1558.5310468373325</v>
      </c>
      <c r="Z359" s="21">
        <f t="shared" si="366"/>
        <v>1382.3297003717485</v>
      </c>
      <c r="AA359" s="21">
        <f t="shared" si="366"/>
        <v>1274.3498545656828</v>
      </c>
      <c r="AB359" s="21">
        <f t="shared" si="366"/>
        <v>1256.2360633293861</v>
      </c>
      <c r="AC359" s="21">
        <f t="shared" si="366"/>
        <v>1183.5767732518384</v>
      </c>
      <c r="AD359" s="21">
        <f t="shared" si="366"/>
        <v>1169.8832288982476</v>
      </c>
      <c r="AE359" s="21">
        <f t="shared" si="366"/>
        <v>1129.4427969664443</v>
      </c>
      <c r="AF359" s="21">
        <f t="shared" si="366"/>
        <v>1113.7712173494581</v>
      </c>
      <c r="AG359" s="3"/>
      <c r="AH359" s="3"/>
    </row>
    <row r="360" spans="1:34" x14ac:dyDescent="0.25">
      <c r="A360" s="71">
        <f>SUM(B360:AF360)</f>
        <v>291775.44252505846</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181957.07327989634</v>
      </c>
      <c r="M360" s="60">
        <f t="shared" si="367"/>
        <v>769.48362230979126</v>
      </c>
      <c r="N360" s="60">
        <f t="shared" si="367"/>
        <v>41604.926816254163</v>
      </c>
      <c r="O360" s="60">
        <f t="shared" si="367"/>
        <v>31989.789609443487</v>
      </c>
      <c r="P360" s="60">
        <f t="shared" si="367"/>
        <v>13678.531774820191</v>
      </c>
      <c r="Q360" s="60">
        <f t="shared" si="367"/>
        <v>82.698918288165359</v>
      </c>
      <c r="R360" s="60">
        <f t="shared" si="367"/>
        <v>4363.6548179709544</v>
      </c>
      <c r="S360" s="60">
        <f t="shared" si="367"/>
        <v>5750.4108716439141</v>
      </c>
      <c r="T360" s="60">
        <f t="shared" si="367"/>
        <v>3653.5083348676544</v>
      </c>
      <c r="U360" s="60">
        <f t="shared" si="367"/>
        <v>4449.0142561755747</v>
      </c>
      <c r="V360" s="60">
        <f t="shared" si="367"/>
        <v>3476.350223388285</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6591.9303105008976</v>
      </c>
      <c r="C365" s="27">
        <f t="shared" ref="C365:AF365" si="368">($C$17+SUM(C366:C396))*$B$51</f>
        <v>6365.7045254218119</v>
      </c>
      <c r="D365" s="27">
        <f t="shared" si="368"/>
        <v>6070.3715468818236</v>
      </c>
      <c r="E365" s="27">
        <f t="shared" si="368"/>
        <v>5442.2100874946382</v>
      </c>
      <c r="F365" s="27">
        <f t="shared" si="368"/>
        <v>4588.9360941363202</v>
      </c>
      <c r="G365" s="27">
        <f t="shared" si="368"/>
        <v>3811.6319760446668</v>
      </c>
      <c r="H365" s="27">
        <f t="shared" si="368"/>
        <v>3199.0551403920731</v>
      </c>
      <c r="I365" s="27">
        <f t="shared" si="368"/>
        <v>2735.0097904564427</v>
      </c>
      <c r="J365" s="27">
        <f t="shared" si="368"/>
        <v>2214.2098207699137</v>
      </c>
      <c r="K365" s="27">
        <f t="shared" si="368"/>
        <v>1738.8148268719301</v>
      </c>
      <c r="L365" s="27">
        <f t="shared" si="368"/>
        <v>1240.7096722189503</v>
      </c>
      <c r="M365" s="27">
        <f t="shared" si="368"/>
        <v>748.9006953382659</v>
      </c>
      <c r="N365" s="27">
        <f t="shared" si="368"/>
        <v>434.97535288317448</v>
      </c>
      <c r="O365" s="27">
        <f t="shared" si="368"/>
        <v>234.87288298652996</v>
      </c>
      <c r="P365" s="27">
        <f t="shared" si="368"/>
        <v>139.07307667331571</v>
      </c>
      <c r="Q365" s="27">
        <f t="shared" si="368"/>
        <v>107.17981534689321</v>
      </c>
      <c r="R365" s="27">
        <f t="shared" si="368"/>
        <v>95.361415087240658</v>
      </c>
      <c r="S365" s="27">
        <f t="shared" si="368"/>
        <v>61.790343968930209</v>
      </c>
      <c r="T365" s="27">
        <f t="shared" si="368"/>
        <v>56.683117985056484</v>
      </c>
      <c r="U365" s="27">
        <f t="shared" si="368"/>
        <v>56.683117976827191</v>
      </c>
      <c r="V365" s="27">
        <f t="shared" si="368"/>
        <v>56.683117976827191</v>
      </c>
      <c r="W365" s="27">
        <f t="shared" si="368"/>
        <v>56.683117976827191</v>
      </c>
      <c r="X365" s="27">
        <f t="shared" si="368"/>
        <v>56.683117976827191</v>
      </c>
      <c r="Y365" s="27">
        <f t="shared" si="368"/>
        <v>56.683117976827191</v>
      </c>
      <c r="Z365" s="27">
        <f t="shared" si="368"/>
        <v>56.683117976827191</v>
      </c>
      <c r="AA365" s="27">
        <f t="shared" si="368"/>
        <v>56.683117976827191</v>
      </c>
      <c r="AB365" s="27">
        <f t="shared" si="368"/>
        <v>56.683117976827191</v>
      </c>
      <c r="AC365" s="27">
        <f t="shared" si="368"/>
        <v>56.683117976827191</v>
      </c>
      <c r="AD365" s="27">
        <f t="shared" si="368"/>
        <v>56.683117976827191</v>
      </c>
      <c r="AE365" s="27">
        <f t="shared" si="368"/>
        <v>56.683117976827191</v>
      </c>
      <c r="AF365" s="27">
        <f t="shared" si="368"/>
        <v>56.683117976827191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8.1565661892860016E-92</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2.36190059818449E-10</v>
      </c>
      <c r="C378" s="3">
        <f t="shared" si="381"/>
        <v>7.4554465314848331E-83</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4.860908734304969E-3</v>
      </c>
      <c r="C379" s="3">
        <f t="shared" si="382"/>
        <v>1.4013391166618087E-9</v>
      </c>
      <c r="D379" s="3">
        <f t="shared" si="382"/>
        <v>5.556496228446723E-75</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2.8114058763349572E-2</v>
      </c>
      <c r="C380" s="3">
        <f t="shared" si="383"/>
        <v>7.2267898248083561E-3</v>
      </c>
      <c r="D380" s="3">
        <f t="shared" si="383"/>
        <v>9.10257332378159E-9</v>
      </c>
      <c r="E380" s="3">
        <f t="shared" si="383"/>
        <v>9.1485402205910707E-68</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3.2831974550372407E-2</v>
      </c>
      <c r="C381" s="3">
        <f t="shared" si="384"/>
        <v>2.9045313443254804E-2</v>
      </c>
      <c r="D381" s="3">
        <f t="shared" si="384"/>
        <v>8.5283834435556614E-3</v>
      </c>
      <c r="E381" s="3">
        <f t="shared" si="384"/>
        <v>4.0623115425393273E-8</v>
      </c>
      <c r="F381" s="3">
        <f t="shared" si="384"/>
        <v>2.4425210264668423E-61</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0.10742196302528431</v>
      </c>
      <c r="C382" s="3">
        <f t="shared" si="385"/>
        <v>0.10624099105702142</v>
      </c>
      <c r="D382" s="3">
        <f t="shared" si="385"/>
        <v>9.5122313085420129E-2</v>
      </c>
      <c r="E382" s="3">
        <f t="shared" si="385"/>
        <v>3.1490916035981933E-2</v>
      </c>
      <c r="F382" s="3">
        <f t="shared" si="385"/>
        <v>4.9798264665406643E-7</v>
      </c>
      <c r="G382" s="3">
        <f t="shared" si="385"/>
        <v>4.8697129240228074E-55</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0.13353696593152575</v>
      </c>
      <c r="C383" s="3">
        <f t="shared" si="386"/>
        <v>0.13340386645461594</v>
      </c>
      <c r="D383" s="3">
        <f t="shared" si="386"/>
        <v>0.1320801463993633</v>
      </c>
      <c r="E383" s="3">
        <f t="shared" si="386"/>
        <v>0.1195442766311943</v>
      </c>
      <c r="F383" s="3">
        <f t="shared" si="386"/>
        <v>4.4100270804770525E-2</v>
      </c>
      <c r="G383" s="3">
        <f t="shared" si="386"/>
        <v>2.0585714029976281E-6</v>
      </c>
      <c r="H383" s="3">
        <f t="shared" si="386"/>
        <v>1.0111433410770957E-49</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0.10276550834343992</v>
      </c>
      <c r="C384" s="3">
        <f t="shared" si="387"/>
        <v>0.1027562642186009</v>
      </c>
      <c r="D384" s="3">
        <f t="shared" si="387"/>
        <v>0.10266386869268507</v>
      </c>
      <c r="E384" s="3">
        <f t="shared" si="387"/>
        <v>0.10174447049909416</v>
      </c>
      <c r="F384" s="3">
        <f t="shared" si="387"/>
        <v>9.2991385331325088E-2</v>
      </c>
      <c r="G384" s="3">
        <f t="shared" si="387"/>
        <v>3.7823501779249216E-2</v>
      </c>
      <c r="H384" s="3">
        <f t="shared" si="387"/>
        <v>4.6876146262655475E-6</v>
      </c>
      <c r="I384" s="3">
        <f t="shared" si="387"/>
        <v>4.0073157629679643E-45</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8.2308622886354488E-2</v>
      </c>
      <c r="C385" s="3">
        <f t="shared" si="388"/>
        <v>8.2307954960699203E-2</v>
      </c>
      <c r="D385" s="3">
        <f t="shared" si="388"/>
        <v>8.2301276002247084E-2</v>
      </c>
      <c r="E385" s="3">
        <f t="shared" si="388"/>
        <v>8.2234516218849724E-2</v>
      </c>
      <c r="F385" s="3">
        <f t="shared" si="388"/>
        <v>8.1569889568797405E-2</v>
      </c>
      <c r="G385" s="3">
        <f t="shared" si="388"/>
        <v>7.5212010758795383E-2</v>
      </c>
      <c r="H385" s="3">
        <f t="shared" si="388"/>
        <v>3.3408767255978362E-2</v>
      </c>
      <c r="I385" s="3">
        <f t="shared" si="388"/>
        <v>9.9906320820278647E-6</v>
      </c>
      <c r="J385" s="3">
        <f t="shared" si="388"/>
        <v>5.7137089494641892E-41</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3.7013789025189391E-2</v>
      </c>
      <c r="C386" s="3">
        <f t="shared" si="389"/>
        <v>3.7013761929854137E-2</v>
      </c>
      <c r="D386" s="3">
        <f t="shared" si="389"/>
        <v>3.7013490977592489E-2</v>
      </c>
      <c r="E386" s="3">
        <f t="shared" si="389"/>
        <v>3.7010781564063649E-2</v>
      </c>
      <c r="F386" s="3">
        <f t="shared" si="389"/>
        <v>3.698369833458362E-2</v>
      </c>
      <c r="G386" s="3">
        <f t="shared" si="389"/>
        <v>3.6713953672531677E-2</v>
      </c>
      <c r="H386" s="3">
        <f t="shared" si="389"/>
        <v>3.412238124206015E-2</v>
      </c>
      <c r="I386" s="3">
        <f t="shared" si="389"/>
        <v>1.6410472462312531E-2</v>
      </c>
      <c r="J386" s="3">
        <f t="shared" si="389"/>
        <v>1.0862720926873588E-5</v>
      </c>
      <c r="K386" s="3">
        <f t="shared" si="389"/>
        <v>1.7543409381087025E-37</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5.9919399455423086E-2</v>
      </c>
      <c r="C387" s="3">
        <f t="shared" si="390"/>
        <v>5.9919387324009393E-2</v>
      </c>
      <c r="D387" s="3">
        <f t="shared" si="390"/>
        <v>5.9919266010007646E-2</v>
      </c>
      <c r="E387" s="3">
        <f t="shared" si="390"/>
        <v>5.991805288349885E-2</v>
      </c>
      <c r="F387" s="3">
        <f t="shared" si="390"/>
        <v>5.9905922969182755E-2</v>
      </c>
      <c r="G387" s="3">
        <f t="shared" si="390"/>
        <v>5.9784758802077391E-2</v>
      </c>
      <c r="H387" s="3">
        <f t="shared" si="390"/>
        <v>5.8586514169883586E-2</v>
      </c>
      <c r="I387" s="3">
        <f t="shared" si="390"/>
        <v>4.7848621650372125E-2</v>
      </c>
      <c r="J387" s="3">
        <f t="shared" si="390"/>
        <v>6.3181097015059867E-3</v>
      </c>
      <c r="K387" s="3">
        <f t="shared" si="390"/>
        <v>1.0180391209239509E-11</v>
      </c>
      <c r="L387" s="3">
        <f t="shared" si="390"/>
        <v>1.2009848167597693E-99</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6.4670451838933718E-2</v>
      </c>
      <c r="C388" s="3">
        <f t="shared" si="391"/>
        <v>6.4670450529601381E-2</v>
      </c>
      <c r="D388" s="3">
        <f t="shared" si="391"/>
        <v>6.4670437436279427E-2</v>
      </c>
      <c r="E388" s="3">
        <f t="shared" si="391"/>
        <v>6.4670306503205655E-2</v>
      </c>
      <c r="F388" s="3">
        <f t="shared" si="391"/>
        <v>6.4668997187047841E-2</v>
      </c>
      <c r="G388" s="3">
        <f t="shared" si="391"/>
        <v>6.4655905483345266E-2</v>
      </c>
      <c r="H388" s="3">
        <f t="shared" si="391"/>
        <v>6.4525134124720801E-2</v>
      </c>
      <c r="I388" s="3">
        <f t="shared" si="391"/>
        <v>6.3231879837913424E-2</v>
      </c>
      <c r="J388" s="3">
        <f t="shared" si="391"/>
        <v>5.1642572313363569E-2</v>
      </c>
      <c r="K388" s="3">
        <f t="shared" si="391"/>
        <v>6.819077036908738E-3</v>
      </c>
      <c r="L388" s="3">
        <f t="shared" si="391"/>
        <v>1.0987601545621356E-11</v>
      </c>
      <c r="M388" s="3">
        <f t="shared" si="391"/>
        <v>1.2962117425233973E-99</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6.7576207983644776E-2</v>
      </c>
      <c r="C389" s="3">
        <f t="shared" si="392"/>
        <v>6.7576207846828482E-2</v>
      </c>
      <c r="D389" s="3">
        <f t="shared" si="392"/>
        <v>6.7576206478665565E-2</v>
      </c>
      <c r="E389" s="3">
        <f t="shared" si="392"/>
        <v>6.7576192797037846E-2</v>
      </c>
      <c r="F389" s="3">
        <f t="shared" si="392"/>
        <v>6.7576055980913097E-2</v>
      </c>
      <c r="G389" s="3">
        <f t="shared" si="392"/>
        <v>6.7574687834900476E-2</v>
      </c>
      <c r="H389" s="3">
        <f t="shared" si="392"/>
        <v>6.7561007898154737E-2</v>
      </c>
      <c r="I389" s="3">
        <f t="shared" si="392"/>
        <v>6.7424360754682972E-2</v>
      </c>
      <c r="J389" s="3">
        <f t="shared" si="392"/>
        <v>6.6072998300903366E-2</v>
      </c>
      <c r="K389" s="3">
        <f t="shared" si="392"/>
        <v>5.3962963009510742E-2</v>
      </c>
      <c r="L389" s="3">
        <f t="shared" si="392"/>
        <v>7.1254700418261017E-3</v>
      </c>
      <c r="M389" s="3">
        <f t="shared" si="392"/>
        <v>1.1481293615116403E-11</v>
      </c>
      <c r="N389" s="3">
        <f t="shared" si="392"/>
        <v>1.3544527931305858E-99</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7.4650772377825525E-2</v>
      </c>
      <c r="C390" s="3">
        <f t="shared" si="393"/>
        <v>7.4650772362711559E-2</v>
      </c>
      <c r="D390" s="3">
        <f t="shared" si="393"/>
        <v>7.4650772211571945E-2</v>
      </c>
      <c r="E390" s="3">
        <f t="shared" si="393"/>
        <v>7.4650770700175825E-2</v>
      </c>
      <c r="F390" s="3">
        <f t="shared" si="393"/>
        <v>7.4650755586216241E-2</v>
      </c>
      <c r="G390" s="3">
        <f t="shared" si="393"/>
        <v>7.4650604446788782E-2</v>
      </c>
      <c r="H390" s="3">
        <f t="shared" si="393"/>
        <v>7.4649093069344058E-2</v>
      </c>
      <c r="I390" s="3">
        <f t="shared" si="393"/>
        <v>7.4633980977760139E-2</v>
      </c>
      <c r="J390" s="3">
        <f t="shared" si="393"/>
        <v>7.4483028222260828E-2</v>
      </c>
      <c r="K390" s="3">
        <f t="shared" si="393"/>
        <v>7.2990191409916569E-2</v>
      </c>
      <c r="L390" s="3">
        <f t="shared" si="393"/>
        <v>5.9612354522991053E-2</v>
      </c>
      <c r="M390" s="3">
        <f t="shared" si="393"/>
        <v>7.8714366778085635E-3</v>
      </c>
      <c r="N390" s="3">
        <f t="shared" si="393"/>
        <v>1.2683272140676287E-11</v>
      </c>
      <c r="O390" s="3">
        <f t="shared" si="393"/>
        <v>1.4962506798324896E-99</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4.2437426023656383E-2</v>
      </c>
      <c r="C391" s="3">
        <f t="shared" si="394"/>
        <v>4.2437426022797188E-2</v>
      </c>
      <c r="D391" s="3">
        <f t="shared" si="394"/>
        <v>4.2437426014205207E-2</v>
      </c>
      <c r="E391" s="3">
        <f t="shared" si="394"/>
        <v>4.2437425928285449E-2</v>
      </c>
      <c r="F391" s="3">
        <f t="shared" si="394"/>
        <v>4.2437425069087896E-2</v>
      </c>
      <c r="G391" s="3">
        <f t="shared" si="394"/>
        <v>4.2437416477113278E-2</v>
      </c>
      <c r="H391" s="3">
        <f t="shared" si="394"/>
        <v>4.243733055746278E-2</v>
      </c>
      <c r="I391" s="3">
        <f t="shared" si="394"/>
        <v>4.2436471370525253E-2</v>
      </c>
      <c r="J391" s="3">
        <f t="shared" si="394"/>
        <v>4.2427880457823156E-2</v>
      </c>
      <c r="K391" s="3">
        <f t="shared" si="394"/>
        <v>4.234206692649066E-2</v>
      </c>
      <c r="L391" s="3">
        <f t="shared" si="394"/>
        <v>4.1493419956472356E-2</v>
      </c>
      <c r="M391" s="3">
        <f t="shared" si="394"/>
        <v>3.3888395317737519E-2</v>
      </c>
      <c r="N391" s="3">
        <f t="shared" si="394"/>
        <v>4.4747495714707241E-3</v>
      </c>
      <c r="O391" s="3">
        <f t="shared" si="394"/>
        <v>7.2101788910202404E-12</v>
      </c>
      <c r="P391" s="3">
        <f t="shared" si="394"/>
        <v>8.5058768334743462E-100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2.9362775672924439E-2</v>
      </c>
      <c r="C392" s="3">
        <f t="shared" si="395"/>
        <v>2.9362775672864994E-2</v>
      </c>
      <c r="D392" s="3">
        <f t="shared" si="395"/>
        <v>2.9362775672270507E-2</v>
      </c>
      <c r="E392" s="3">
        <f t="shared" si="395"/>
        <v>2.9362775666325652E-2</v>
      </c>
      <c r="F392" s="3">
        <f t="shared" si="395"/>
        <v>2.9362775606877122E-2</v>
      </c>
      <c r="G392" s="3">
        <f t="shared" si="395"/>
        <v>2.9362775012391845E-2</v>
      </c>
      <c r="H392" s="3">
        <f t="shared" si="395"/>
        <v>2.9362769067539693E-2</v>
      </c>
      <c r="I392" s="3">
        <f t="shared" si="395"/>
        <v>2.9362709619084409E-2</v>
      </c>
      <c r="J392" s="3">
        <f t="shared" si="395"/>
        <v>2.9362115141151331E-2</v>
      </c>
      <c r="K392" s="3">
        <f t="shared" si="395"/>
        <v>2.9356171023749957E-2</v>
      </c>
      <c r="L392" s="3">
        <f t="shared" si="395"/>
        <v>2.9296795993115257E-2</v>
      </c>
      <c r="M392" s="3">
        <f t="shared" si="395"/>
        <v>2.8709610743184844E-2</v>
      </c>
      <c r="N392" s="3">
        <f t="shared" si="395"/>
        <v>2.3447636741055145E-2</v>
      </c>
      <c r="O392" s="3">
        <f t="shared" si="395"/>
        <v>3.0961130344262823E-3</v>
      </c>
      <c r="P392" s="3">
        <f t="shared" si="395"/>
        <v>4.9887772462975813E-12</v>
      </c>
      <c r="Q392" s="3">
        <f t="shared" si="395"/>
        <v>5.8852804414457653E-100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1.3317924951321673E-2</v>
      </c>
      <c r="C393" s="3">
        <f t="shared" si="396"/>
        <v>1.3317924951318977E-2</v>
      </c>
      <c r="D393" s="3">
        <f t="shared" si="396"/>
        <v>1.3317924951292014E-2</v>
      </c>
      <c r="E393" s="3">
        <f t="shared" si="396"/>
        <v>1.3317924951022376E-2</v>
      </c>
      <c r="F393" s="3">
        <f t="shared" si="396"/>
        <v>1.3317924948325998E-2</v>
      </c>
      <c r="G393" s="3">
        <f t="shared" si="396"/>
        <v>1.3317924921362231E-2</v>
      </c>
      <c r="H393" s="3">
        <f t="shared" si="396"/>
        <v>1.3317924651724563E-2</v>
      </c>
      <c r="I393" s="3">
        <f t="shared" si="396"/>
        <v>1.3317921955348182E-2</v>
      </c>
      <c r="J393" s="3">
        <f t="shared" si="396"/>
        <v>1.3317894991614416E-2</v>
      </c>
      <c r="K393" s="3">
        <f t="shared" si="396"/>
        <v>1.3317625357279225E-2</v>
      </c>
      <c r="L393" s="3">
        <f t="shared" si="396"/>
        <v>1.3314929314155264E-2</v>
      </c>
      <c r="M393" s="3">
        <f t="shared" si="396"/>
        <v>1.3287998883231993E-2</v>
      </c>
      <c r="N393" s="3">
        <f t="shared" si="396"/>
        <v>1.3021672253276989E-2</v>
      </c>
      <c r="O393" s="3">
        <f t="shared" si="396"/>
        <v>1.0635025444515831E-2</v>
      </c>
      <c r="P393" s="3">
        <f t="shared" si="396"/>
        <v>1.4042882557356996E-3</v>
      </c>
      <c r="Q393" s="3">
        <f t="shared" si="396"/>
        <v>2.2627343445021696E-12</v>
      </c>
      <c r="R393" s="3">
        <f t="shared" si="396"/>
        <v>2.6693567430314313E-100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4.0600750332731592E-3</v>
      </c>
      <c r="C394" s="3">
        <f t="shared" si="397"/>
        <v>4.0600750332730768E-3</v>
      </c>
      <c r="D394" s="3">
        <f t="shared" si="397"/>
        <v>4.0600750332722545E-3</v>
      </c>
      <c r="E394" s="3">
        <f t="shared" si="397"/>
        <v>4.0600750332640346E-3</v>
      </c>
      <c r="F394" s="3">
        <f t="shared" si="397"/>
        <v>4.0600750331818329E-3</v>
      </c>
      <c r="G394" s="3">
        <f t="shared" si="397"/>
        <v>4.0600750323598212E-3</v>
      </c>
      <c r="H394" s="3">
        <f t="shared" si="397"/>
        <v>4.0600750241397031E-3</v>
      </c>
      <c r="I394" s="3">
        <f t="shared" si="397"/>
        <v>4.0600749419385223E-3</v>
      </c>
      <c r="J394" s="3">
        <f t="shared" si="397"/>
        <v>4.0600741199267997E-3</v>
      </c>
      <c r="K394" s="3">
        <f t="shared" si="397"/>
        <v>4.0600658998187367E-3</v>
      </c>
      <c r="L394" s="3">
        <f t="shared" si="397"/>
        <v>4.059983699653439E-3</v>
      </c>
      <c r="M394" s="3">
        <f t="shared" si="397"/>
        <v>4.0591617895273328E-3</v>
      </c>
      <c r="N394" s="3">
        <f t="shared" si="397"/>
        <v>4.0509518341006042E-3</v>
      </c>
      <c r="O394" s="3">
        <f t="shared" si="397"/>
        <v>3.9697600489742918E-3</v>
      </c>
      <c r="P394" s="3">
        <f t="shared" si="397"/>
        <v>3.2421718430856259E-3</v>
      </c>
      <c r="Q394" s="3">
        <f t="shared" si="397"/>
        <v>4.2810841084258338E-4</v>
      </c>
      <c r="R394" s="3">
        <f t="shared" si="397"/>
        <v>6.8981250852679363E-13</v>
      </c>
      <c r="S394" s="3">
        <f t="shared" si="397"/>
        <v>8.1377457125597519E-101</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6.6069827735831333E-3</v>
      </c>
      <c r="C396" s="3">
        <f t="shared" si="399"/>
        <v>6.6069827735831315E-3</v>
      </c>
      <c r="D396" s="3">
        <f t="shared" si="399"/>
        <v>6.6069827735831185E-3</v>
      </c>
      <c r="E396" s="3">
        <f t="shared" si="399"/>
        <v>6.6069827735829841E-3</v>
      </c>
      <c r="F396" s="3">
        <f t="shared" si="399"/>
        <v>6.6069827735816475E-3</v>
      </c>
      <c r="G396" s="3">
        <f t="shared" si="399"/>
        <v>6.606982773568271E-3</v>
      </c>
      <c r="H396" s="3">
        <f t="shared" si="399"/>
        <v>6.6069827734345039E-3</v>
      </c>
      <c r="I396" s="3">
        <f t="shared" si="399"/>
        <v>6.6069827720968395E-3</v>
      </c>
      <c r="J396" s="3">
        <f t="shared" si="399"/>
        <v>6.6069827587201951E-3</v>
      </c>
      <c r="K396" s="3">
        <f t="shared" si="399"/>
        <v>6.6069826249537536E-3</v>
      </c>
      <c r="L396" s="3">
        <f t="shared" si="399"/>
        <v>6.6069812872894887E-3</v>
      </c>
      <c r="M396" s="3">
        <f t="shared" si="399"/>
        <v>6.6069679106617353E-3</v>
      </c>
      <c r="N396" s="3">
        <f t="shared" si="399"/>
        <v>6.6068341458737313E-3</v>
      </c>
      <c r="O396" s="3">
        <f t="shared" si="399"/>
        <v>6.6054966469358744E-3</v>
      </c>
      <c r="P396" s="3">
        <f t="shared" si="399"/>
        <v>6.5921365406246017E-3</v>
      </c>
      <c r="Q396" s="3">
        <f t="shared" si="399"/>
        <v>6.4600126953040515E-3</v>
      </c>
      <c r="R396" s="3">
        <f t="shared" si="399"/>
        <v>5.2760043449230935E-3</v>
      </c>
      <c r="S396" s="3">
        <f t="shared" si="399"/>
        <v>6.9666320757198015E-4</v>
      </c>
      <c r="T396" s="3">
        <f t="shared" si="399"/>
        <v>1.1225357471200343E-12</v>
      </c>
      <c r="U396" s="3">
        <f t="shared" si="399"/>
        <v>1.3242599040180062E-100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0.12365208784011109</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4.6664155053728913E-3</v>
      </c>
      <c r="M397" s="80">
        <f t="shared" si="400"/>
        <v>3.7799494791760521E-2</v>
      </c>
      <c r="N397" s="80">
        <f t="shared" si="400"/>
        <v>7.4739438342785861E-2</v>
      </c>
      <c r="O397" s="80">
        <f t="shared" si="400"/>
        <v>0.11392731233757161</v>
      </c>
      <c r="P397" s="80">
        <f t="shared" si="400"/>
        <v>0.38024680470905803</v>
      </c>
      <c r="Q397" s="80">
        <f t="shared" si="400"/>
        <v>0.47069600965643305</v>
      </c>
      <c r="R397" s="80">
        <f t="shared" si="400"/>
        <v>0.49766877156117922</v>
      </c>
      <c r="S397" s="80">
        <f t="shared" si="400"/>
        <v>0.63623398834122125</v>
      </c>
      <c r="T397" s="80">
        <f t="shared" si="400"/>
        <v>0.60164691807405879</v>
      </c>
      <c r="U397" s="80">
        <f t="shared" si="400"/>
        <v>0.53430095420743107</v>
      </c>
      <c r="V397" s="80">
        <f t="shared" si="400"/>
        <v>0.48128861551657115</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183195.15014991743</v>
      </c>
      <c r="C398" s="21">
        <f t="shared" ref="C398:AF398" si="401">(C365-C364)^2</f>
        <v>274250.88660363265</v>
      </c>
      <c r="D398" s="21">
        <f t="shared" si="401"/>
        <v>262955.71697463794</v>
      </c>
      <c r="E398" s="21">
        <f t="shared" si="401"/>
        <v>27798.491211636829</v>
      </c>
      <c r="F398" s="21">
        <f t="shared" si="401"/>
        <v>142480.60021757416</v>
      </c>
      <c r="G398" s="21">
        <f t="shared" si="401"/>
        <v>655101.95632337534</v>
      </c>
      <c r="H398" s="21">
        <f t="shared" si="401"/>
        <v>914743.4078040506</v>
      </c>
      <c r="I398" s="21">
        <f t="shared" si="401"/>
        <v>691829.19177748787</v>
      </c>
      <c r="J398" s="21">
        <f t="shared" si="401"/>
        <v>405431.41697964404</v>
      </c>
      <c r="K398" s="21">
        <f t="shared" si="401"/>
        <v>69562.473425644726</v>
      </c>
      <c r="L398" s="21">
        <f t="shared" si="401"/>
        <v>33.835284472595973</v>
      </c>
      <c r="M398" s="21">
        <f t="shared" si="401"/>
        <v>744.03531320602031</v>
      </c>
      <c r="N398" s="21">
        <f t="shared" si="401"/>
        <v>915.00314353651481</v>
      </c>
      <c r="O398" s="21">
        <f t="shared" si="401"/>
        <v>911.97463902380241</v>
      </c>
      <c r="P398" s="21">
        <f t="shared" si="401"/>
        <v>7280.8104131464406</v>
      </c>
      <c r="Q398" s="21">
        <f t="shared" si="401"/>
        <v>9084.4095665057102</v>
      </c>
      <c r="R398" s="21">
        <f t="shared" si="401"/>
        <v>8925.7721883195391</v>
      </c>
      <c r="S398" s="21">
        <f t="shared" si="401"/>
        <v>11679.67398446213</v>
      </c>
      <c r="T398" s="21">
        <f t="shared" si="401"/>
        <v>7329.164897874798</v>
      </c>
      <c r="U398" s="21">
        <f t="shared" si="401"/>
        <v>4229.3016958012058</v>
      </c>
      <c r="V398" s="21">
        <f t="shared" si="401"/>
        <v>2766.0949338872474</v>
      </c>
      <c r="W398" s="21">
        <f t="shared" si="401"/>
        <v>2046.7324764925618</v>
      </c>
      <c r="X398" s="21">
        <f t="shared" si="401"/>
        <v>1666.1231125510631</v>
      </c>
      <c r="Y398" s="21">
        <f t="shared" si="401"/>
        <v>1446.263986742202</v>
      </c>
      <c r="Z398" s="21">
        <f t="shared" si="401"/>
        <v>1313.797268345292</v>
      </c>
      <c r="AA398" s="21">
        <f t="shared" si="401"/>
        <v>1247.7192750996549</v>
      </c>
      <c r="AB398" s="21">
        <f t="shared" si="401"/>
        <v>1230.6168734774556</v>
      </c>
      <c r="AC398" s="21">
        <f t="shared" si="401"/>
        <v>1164.6146786852921</v>
      </c>
      <c r="AD398" s="21">
        <f t="shared" si="401"/>
        <v>1163.5820929293011</v>
      </c>
      <c r="AE398" s="21">
        <f t="shared" si="401"/>
        <v>1120.5357790494872</v>
      </c>
      <c r="AF398" s="21">
        <f t="shared" si="401"/>
        <v>1104.2539587415629</v>
      </c>
      <c r="AG398" s="3"/>
      <c r="AH398" s="3"/>
    </row>
    <row r="399" spans="1:34" x14ac:dyDescent="0.25">
      <c r="A399" s="71">
        <f>SUM(B399:AF399)</f>
        <v>53900.076060236002</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33.835284472595973</v>
      </c>
      <c r="M399" s="60">
        <f t="shared" ref="M399" si="412">IF($A$64&lt;=M363,IF($B$64&gt;=M363,ABS(M398),0),0)</f>
        <v>744.03531320602031</v>
      </c>
      <c r="N399" s="60">
        <f t="shared" ref="N399" si="413">IF($A$64&lt;=N363,IF($B$64&gt;=N363,ABS(N398),0),0)</f>
        <v>915.00314353651481</v>
      </c>
      <c r="O399" s="60">
        <f t="shared" ref="O399" si="414">IF($A$64&lt;=O363,IF($B$64&gt;=O363,ABS(O398),0),0)</f>
        <v>911.97463902380241</v>
      </c>
      <c r="P399" s="60">
        <f t="shared" ref="P399" si="415">IF($A$64&lt;=P363,IF($B$64&gt;=P363,ABS(P398),0),0)</f>
        <v>7280.8104131464406</v>
      </c>
      <c r="Q399" s="60">
        <f t="shared" ref="Q399" si="416">IF($A$64&lt;=Q363,IF($B$64&gt;=Q363,ABS(Q398),0),0)</f>
        <v>9084.4095665057102</v>
      </c>
      <c r="R399" s="60">
        <f t="shared" ref="R399" si="417">IF($A$64&lt;=R363,IF($B$64&gt;=R363,ABS(R398),0),0)</f>
        <v>8925.7721883195391</v>
      </c>
      <c r="S399" s="60">
        <f t="shared" ref="S399" si="418">IF($A$64&lt;=S363,IF($B$64&gt;=S363,ABS(S398),0),0)</f>
        <v>11679.67398446213</v>
      </c>
      <c r="T399" s="60">
        <f t="shared" ref="T399" si="419">IF($A$64&lt;=T363,IF($B$64&gt;=T363,ABS(T398),0),0)</f>
        <v>7329.164897874798</v>
      </c>
      <c r="U399" s="60">
        <f t="shared" ref="U399" si="420">IF($A$64&lt;=U363,IF($B$64&gt;=U363,ABS(U398),0),0)</f>
        <v>4229.3016958012058</v>
      </c>
      <c r="V399" s="60">
        <f t="shared" ref="V399" si="421">IF($A$64&lt;=V363,IF($B$64&gt;=V363,ABS(V398),0),0)</f>
        <v>2766.0949338872474</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-11.767742998078067</v>
      </c>
      <c r="C403" s="107">
        <f t="shared" ref="C403:H403" si="432">IF(C125=$B$2,0,C126)</f>
        <v>-7.8587380955255552</v>
      </c>
      <c r="D403" s="107">
        <f t="shared" si="432"/>
        <v>-3.7354013348601445</v>
      </c>
      <c r="E403" s="107">
        <f t="shared" si="432"/>
        <v>0</v>
      </c>
      <c r="F403" s="107">
        <f t="shared" si="432"/>
        <v>8.2707313122809456</v>
      </c>
      <c r="G403" s="107">
        <f t="shared" si="432"/>
        <v>28.146332639018276</v>
      </c>
      <c r="H403" s="107">
        <f t="shared" si="432"/>
        <v>33.046934955690347</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7.7505790746703311E-21</v>
      </c>
      <c r="C404" s="3">
        <f t="shared" ref="C404:H419" si="433">$A404/EXP(-C$403)</f>
        <v>3.8636111469951679E-19</v>
      </c>
      <c r="D404" s="3">
        <f t="shared" si="433"/>
        <v>2.3863591855339665E-17</v>
      </c>
      <c r="E404" s="3">
        <f t="shared" si="433"/>
        <v>1.0000000000000001E-15</v>
      </c>
      <c r="F404" s="3">
        <f t="shared" si="433"/>
        <v>3.9078057737808554E-12</v>
      </c>
      <c r="G404" s="3">
        <f t="shared" si="433"/>
        <v>1.6741599600536229E-3</v>
      </c>
      <c r="H404" s="3">
        <f t="shared" si="433"/>
        <v>0.22495802736579049</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7.7505790746703311E-20</v>
      </c>
      <c r="C405" s="3">
        <f t="shared" si="433"/>
        <v>3.8636111469951678E-18</v>
      </c>
      <c r="D405" s="3">
        <f t="shared" si="433"/>
        <v>2.3863591855339665E-16</v>
      </c>
      <c r="E405" s="3">
        <f t="shared" si="433"/>
        <v>1E-14</v>
      </c>
      <c r="F405" s="3">
        <f t="shared" si="433"/>
        <v>3.9078057737808548E-11</v>
      </c>
      <c r="G405" s="3">
        <f t="shared" si="433"/>
        <v>1.6741599600536228E-2</v>
      </c>
      <c r="H405" s="3">
        <f t="shared" si="433"/>
        <v>2.2495802736579047</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7.7505790746703308E-19</v>
      </c>
      <c r="C406" s="3">
        <f t="shared" si="433"/>
        <v>3.8636111469951678E-17</v>
      </c>
      <c r="D406" s="3">
        <f t="shared" si="433"/>
        <v>2.3863591855339663E-15</v>
      </c>
      <c r="E406" s="3">
        <f t="shared" si="433"/>
        <v>1E-13</v>
      </c>
      <c r="F406" s="3">
        <f t="shared" si="433"/>
        <v>3.9078057737808548E-10</v>
      </c>
      <c r="G406" s="3">
        <f t="shared" si="433"/>
        <v>0.16741599600536228</v>
      </c>
      <c r="H406" s="3">
        <f t="shared" si="433"/>
        <v>22.495802736579048</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7.7505790746703304E-18</v>
      </c>
      <c r="C407" s="3">
        <f t="shared" si="433"/>
        <v>3.8636111469951675E-16</v>
      </c>
      <c r="D407" s="3">
        <f t="shared" si="433"/>
        <v>2.3863591855339664E-14</v>
      </c>
      <c r="E407" s="3">
        <f t="shared" si="433"/>
        <v>9.9999999999999998E-13</v>
      </c>
      <c r="F407" s="3">
        <f t="shared" si="433"/>
        <v>3.9078057737808548E-9</v>
      </c>
      <c r="G407" s="3">
        <f t="shared" si="433"/>
        <v>1.6741599600536228</v>
      </c>
      <c r="H407" s="3">
        <f t="shared" si="433"/>
        <v>224.95802736579046</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7.7505790746703298E-17</v>
      </c>
      <c r="C408" s="3">
        <f t="shared" si="433"/>
        <v>3.8636111469951675E-15</v>
      </c>
      <c r="D408" s="3">
        <f t="shared" si="433"/>
        <v>2.3863591855339662E-13</v>
      </c>
      <c r="E408" s="3">
        <f t="shared" si="433"/>
        <v>9.9999999999999994E-12</v>
      </c>
      <c r="F408" s="3">
        <f t="shared" si="433"/>
        <v>3.9078057737808548E-8</v>
      </c>
      <c r="G408" s="3">
        <f t="shared" si="433"/>
        <v>16.741599600536226</v>
      </c>
      <c r="H408" s="3">
        <f t="shared" si="433"/>
        <v>2249.5802736579044</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7.7505790746703311E-16</v>
      </c>
      <c r="C409" s="3">
        <f t="shared" si="433"/>
        <v>3.8636111469951679E-14</v>
      </c>
      <c r="D409" s="3">
        <f t="shared" si="433"/>
        <v>2.3863591855339664E-12</v>
      </c>
      <c r="E409" s="3">
        <f t="shared" si="433"/>
        <v>1E-10</v>
      </c>
      <c r="F409" s="3">
        <f t="shared" si="433"/>
        <v>3.9078057737808548E-7</v>
      </c>
      <c r="G409" s="3">
        <f t="shared" si="433"/>
        <v>167.41599600536227</v>
      </c>
      <c r="H409" s="3">
        <f t="shared" si="433"/>
        <v>22495.802736579048</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7.7505790746703311E-15</v>
      </c>
      <c r="C410" s="3">
        <f t="shared" si="433"/>
        <v>3.8636111469951679E-13</v>
      </c>
      <c r="D410" s="3">
        <f t="shared" si="433"/>
        <v>2.3863591855339664E-11</v>
      </c>
      <c r="E410" s="3">
        <f t="shared" si="433"/>
        <v>1.0000000000000001E-9</v>
      </c>
      <c r="F410" s="3">
        <f t="shared" si="433"/>
        <v>3.9078057737808549E-6</v>
      </c>
      <c r="G410" s="3">
        <f t="shared" si="433"/>
        <v>1674.1599600536229</v>
      </c>
      <c r="H410" s="3">
        <f t="shared" si="433"/>
        <v>224958.02736579048</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7.7505790746703311E-14</v>
      </c>
      <c r="C411" s="3">
        <f t="shared" si="433"/>
        <v>3.8636111469951677E-12</v>
      </c>
      <c r="D411" s="3">
        <f t="shared" si="433"/>
        <v>2.3863591855339665E-10</v>
      </c>
      <c r="E411" s="3">
        <f t="shared" si="433"/>
        <v>1E-8</v>
      </c>
      <c r="F411" s="3">
        <f t="shared" si="433"/>
        <v>3.9078057737808547E-5</v>
      </c>
      <c r="G411" s="3">
        <f t="shared" si="433"/>
        <v>16741.599600536229</v>
      </c>
      <c r="H411" s="3">
        <f t="shared" si="433"/>
        <v>2249580.2736579045</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7.7505790746703303E-13</v>
      </c>
      <c r="C412" s="3">
        <f t="shared" si="433"/>
        <v>3.8636111469951672E-11</v>
      </c>
      <c r="D412" s="3">
        <f t="shared" si="433"/>
        <v>2.3863591855339662E-9</v>
      </c>
      <c r="E412" s="3">
        <f t="shared" si="433"/>
        <v>9.9999999999999995E-8</v>
      </c>
      <c r="F412" s="3">
        <f t="shared" si="433"/>
        <v>3.9078057737808547E-4</v>
      </c>
      <c r="G412" s="3">
        <f t="shared" si="433"/>
        <v>167415.99600536228</v>
      </c>
      <c r="H412" s="3">
        <f t="shared" si="433"/>
        <v>22495802.736579046</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7.7505790746703311E-12</v>
      </c>
      <c r="C413" s="3">
        <f t="shared" si="433"/>
        <v>3.8636111469951672E-10</v>
      </c>
      <c r="D413" s="3">
        <f t="shared" si="433"/>
        <v>2.3863591855339664E-8</v>
      </c>
      <c r="E413" s="3">
        <f t="shared" si="433"/>
        <v>9.9999999999999995E-7</v>
      </c>
      <c r="F413" s="3">
        <f t="shared" si="433"/>
        <v>3.9078057737808548E-3</v>
      </c>
      <c r="G413" s="3">
        <f t="shared" si="433"/>
        <v>1674159.9600536227</v>
      </c>
      <c r="H413" s="3">
        <f t="shared" si="433"/>
        <v>224958027.36579046</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7.7505790746703318E-11</v>
      </c>
      <c r="C414" s="3">
        <f t="shared" si="433"/>
        <v>3.863611146995168E-9</v>
      </c>
      <c r="D414" s="3">
        <f t="shared" si="433"/>
        <v>2.3863591855339663E-7</v>
      </c>
      <c r="E414" s="3">
        <f t="shared" si="433"/>
        <v>1.0000000000000001E-5</v>
      </c>
      <c r="F414" s="3">
        <f t="shared" si="433"/>
        <v>3.907805773780855E-2</v>
      </c>
      <c r="G414" s="3">
        <f t="shared" si="433"/>
        <v>16741599.600536229</v>
      </c>
      <c r="H414" s="3">
        <f t="shared" si="433"/>
        <v>2249580273.6579046</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7.7505790746703307E-10</v>
      </c>
      <c r="C415" s="3">
        <f t="shared" si="433"/>
        <v>3.8636111469951675E-8</v>
      </c>
      <c r="D415" s="3">
        <f t="shared" si="433"/>
        <v>2.3863591855339664E-6</v>
      </c>
      <c r="E415" s="3">
        <f t="shared" si="433"/>
        <v>1E-4</v>
      </c>
      <c r="F415" s="3">
        <f t="shared" si="433"/>
        <v>0.39078057737808553</v>
      </c>
      <c r="G415" s="3">
        <f t="shared" si="433"/>
        <v>167415996.0053623</v>
      </c>
      <c r="H415" s="3">
        <f t="shared" si="433"/>
        <v>22495802736.579048</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7.7505790746703309E-9</v>
      </c>
      <c r="C416" s="3">
        <f t="shared" si="433"/>
        <v>3.8636111469951675E-7</v>
      </c>
      <c r="D416" s="3">
        <f t="shared" si="433"/>
        <v>2.3863591855339662E-5</v>
      </c>
      <c r="E416" s="3">
        <f t="shared" si="433"/>
        <v>1E-3</v>
      </c>
      <c r="F416" s="3">
        <f t="shared" si="433"/>
        <v>3.9078057737808547</v>
      </c>
      <c r="G416" s="3">
        <f t="shared" si="433"/>
        <v>1674159960.0536227</v>
      </c>
      <c r="H416" s="3">
        <f t="shared" si="433"/>
        <v>224958027365.79047</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7.7505790746703309E-8</v>
      </c>
      <c r="C417" s="3">
        <f t="shared" si="433"/>
        <v>3.8636111469951673E-6</v>
      </c>
      <c r="D417" s="3">
        <f t="shared" si="433"/>
        <v>2.3863591855339663E-4</v>
      </c>
      <c r="E417" s="3">
        <f t="shared" si="433"/>
        <v>0.01</v>
      </c>
      <c r="F417" s="3">
        <f t="shared" si="433"/>
        <v>39.07805773780855</v>
      </c>
      <c r="G417" s="3">
        <f t="shared" si="433"/>
        <v>16741599600.536228</v>
      </c>
      <c r="H417" s="3">
        <f t="shared" si="433"/>
        <v>2249580273657.9048</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7.7505790746703309E-7</v>
      </c>
      <c r="C418" s="3">
        <f t="shared" si="433"/>
        <v>3.8636111469951678E-5</v>
      </c>
      <c r="D418" s="3">
        <f t="shared" si="433"/>
        <v>2.3863591855339665E-3</v>
      </c>
      <c r="E418" s="3">
        <f t="shared" si="433"/>
        <v>0.1</v>
      </c>
      <c r="F418" s="3">
        <f t="shared" si="433"/>
        <v>390.78057737808552</v>
      </c>
      <c r="G418" s="3">
        <f t="shared" si="433"/>
        <v>167415996005.36227</v>
      </c>
      <c r="H418" s="3">
        <f t="shared" si="433"/>
        <v>22495802736579.047</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7.7505790746703309E-6</v>
      </c>
      <c r="C419" s="3">
        <f t="shared" si="433"/>
        <v>3.8636111469951675E-4</v>
      </c>
      <c r="D419" s="3">
        <f t="shared" si="433"/>
        <v>2.3863591855339664E-2</v>
      </c>
      <c r="E419" s="3">
        <f t="shared" si="433"/>
        <v>1</v>
      </c>
      <c r="F419" s="3">
        <f t="shared" si="433"/>
        <v>3907.8057737808549</v>
      </c>
      <c r="G419" s="3">
        <f t="shared" si="433"/>
        <v>1674159960053.6228</v>
      </c>
      <c r="H419" s="3">
        <f t="shared" si="433"/>
        <v>224958027365790.47</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7.7505790746703303E-5</v>
      </c>
      <c r="C420" s="3">
        <f t="shared" si="434"/>
        <v>3.8636111469951676E-3</v>
      </c>
      <c r="D420" s="3">
        <f t="shared" si="434"/>
        <v>0.23863591855339664</v>
      </c>
      <c r="E420" s="3">
        <f t="shared" si="434"/>
        <v>10</v>
      </c>
      <c r="F420" s="3">
        <f t="shared" si="434"/>
        <v>39078.057737808551</v>
      </c>
      <c r="G420" s="3">
        <f t="shared" si="434"/>
        <v>16741599600536.229</v>
      </c>
      <c r="H420" s="3">
        <f t="shared" si="434"/>
        <v>2249580273657904.5</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7.7505790746703305E-4</v>
      </c>
      <c r="C421" s="3">
        <f t="shared" si="434"/>
        <v>3.8636111469951676E-2</v>
      </c>
      <c r="D421" s="3">
        <f t="shared" si="434"/>
        <v>2.3863591855339665</v>
      </c>
      <c r="E421" s="3">
        <f t="shared" si="434"/>
        <v>100</v>
      </c>
      <c r="F421" s="3">
        <f t="shared" si="434"/>
        <v>390780.57737808547</v>
      </c>
      <c r="G421" s="3">
        <f t="shared" si="434"/>
        <v>167415996005362.28</v>
      </c>
      <c r="H421" s="3">
        <f t="shared" si="434"/>
        <v>2.2495802736579048E+16</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7.7505790746703303E-3</v>
      </c>
      <c r="C422" s="3">
        <f t="shared" si="434"/>
        <v>0.38636111469951673</v>
      </c>
      <c r="D422" s="3">
        <f t="shared" si="434"/>
        <v>23.863591855339664</v>
      </c>
      <c r="E422" s="3">
        <f t="shared" si="434"/>
        <v>1000</v>
      </c>
      <c r="F422" s="3">
        <f t="shared" si="434"/>
        <v>3907805.7737808549</v>
      </c>
      <c r="G422" s="3">
        <f t="shared" si="434"/>
        <v>1674159960053622.7</v>
      </c>
      <c r="H422" s="3">
        <f t="shared" si="434"/>
        <v>2.2495802736579046E+17</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7.7505790746703301E-2</v>
      </c>
      <c r="C423" s="3">
        <f t="shared" si="434"/>
        <v>3.8636111469951673</v>
      </c>
      <c r="D423" s="3">
        <f t="shared" si="434"/>
        <v>238.63591855339664</v>
      </c>
      <c r="E423" s="3">
        <f t="shared" si="434"/>
        <v>10000</v>
      </c>
      <c r="F423" s="3">
        <f t="shared" si="434"/>
        <v>39078057.737808548</v>
      </c>
      <c r="G423" s="3">
        <f t="shared" si="434"/>
        <v>1.6741599600536228E+16</v>
      </c>
      <c r="H423" s="3">
        <f t="shared" si="434"/>
        <v>2.2495802736579046E+18</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0.77505790746703307</v>
      </c>
      <c r="C424" s="3">
        <f t="shared" si="434"/>
        <v>38.636111469951672</v>
      </c>
      <c r="D424" s="3">
        <f t="shared" si="434"/>
        <v>2386.3591855339664</v>
      </c>
      <c r="E424" s="3">
        <f t="shared" si="434"/>
        <v>100000</v>
      </c>
      <c r="F424" s="3">
        <f t="shared" si="434"/>
        <v>390780577.37808549</v>
      </c>
      <c r="G424" s="3">
        <f t="shared" si="434"/>
        <v>1.6741599600536227E+17</v>
      </c>
      <c r="H424" s="3">
        <f t="shared" si="434"/>
        <v>2.2495802736579047E+19</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7.7505790746703305</v>
      </c>
      <c r="C425" s="3">
        <f t="shared" si="434"/>
        <v>386.36111469951675</v>
      </c>
      <c r="D425" s="3">
        <f t="shared" si="434"/>
        <v>23863.591855339662</v>
      </c>
      <c r="E425" s="3">
        <f t="shared" si="434"/>
        <v>1000000</v>
      </c>
      <c r="F425" s="3">
        <f t="shared" si="434"/>
        <v>3907805773.7808547</v>
      </c>
      <c r="G425" s="3">
        <f t="shared" si="434"/>
        <v>1.6741599600536228E+18</v>
      </c>
      <c r="H425" s="3">
        <f t="shared" si="434"/>
        <v>2.2495802736579045E+20</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77.505790746703312</v>
      </c>
      <c r="C426" s="3">
        <f t="shared" si="434"/>
        <v>3863.6111469951675</v>
      </c>
      <c r="D426" s="3">
        <f t="shared" si="434"/>
        <v>238635.91855339662</v>
      </c>
      <c r="E426" s="3">
        <f t="shared" si="434"/>
        <v>10000000</v>
      </c>
      <c r="F426" s="3">
        <f t="shared" si="434"/>
        <v>39078057737.808548</v>
      </c>
      <c r="G426" s="3">
        <f t="shared" si="434"/>
        <v>1.6741599600536228E+19</v>
      </c>
      <c r="H426" s="3">
        <f t="shared" si="434"/>
        <v>2.2495802736579046E+21</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775.05790746703303</v>
      </c>
      <c r="C427" s="3">
        <f t="shared" si="434"/>
        <v>38636.111469951677</v>
      </c>
      <c r="D427" s="3">
        <f t="shared" si="434"/>
        <v>2386359.1855339664</v>
      </c>
      <c r="E427" s="3">
        <f t="shared" si="434"/>
        <v>100000000</v>
      </c>
      <c r="F427" s="3">
        <f t="shared" si="434"/>
        <v>390780577378.08551</v>
      </c>
      <c r="G427" s="3">
        <f t="shared" si="434"/>
        <v>1.6741599600536227E+20</v>
      </c>
      <c r="H427" s="3">
        <f t="shared" si="434"/>
        <v>2.2495802736579044E+22</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7750.5790746703306</v>
      </c>
      <c r="C428" s="3">
        <f t="shared" si="434"/>
        <v>386361.11469951674</v>
      </c>
      <c r="D428" s="3">
        <f t="shared" si="434"/>
        <v>23863591.855339665</v>
      </c>
      <c r="E428" s="3">
        <f t="shared" si="434"/>
        <v>1000000000</v>
      </c>
      <c r="F428" s="3">
        <f t="shared" si="434"/>
        <v>3907805773780.855</v>
      </c>
      <c r="G428" s="3">
        <f t="shared" si="434"/>
        <v>1.6741599600536228E+21</v>
      </c>
      <c r="H428" s="3">
        <f t="shared" si="434"/>
        <v>2.2495802736579047E+23</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77505.790746703307</v>
      </c>
      <c r="C429" s="3">
        <f t="shared" si="434"/>
        <v>3863611.1469951672</v>
      </c>
      <c r="D429" s="3">
        <f t="shared" si="434"/>
        <v>238635918.55339664</v>
      </c>
      <c r="E429" s="3">
        <f t="shared" si="434"/>
        <v>10000000000</v>
      </c>
      <c r="F429" s="3">
        <f t="shared" si="434"/>
        <v>39078057737808.547</v>
      </c>
      <c r="G429" s="3">
        <f t="shared" si="434"/>
        <v>1.6741599600536229E+22</v>
      </c>
      <c r="H429" s="3">
        <f t="shared" si="434"/>
        <v>2.2495802736579047E+24</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775057.90746703302</v>
      </c>
      <c r="C430" s="3">
        <f t="shared" si="434"/>
        <v>38636111.469951674</v>
      </c>
      <c r="D430" s="3">
        <f t="shared" si="434"/>
        <v>2386359185.5339665</v>
      </c>
      <c r="E430" s="3">
        <f t="shared" si="434"/>
        <v>100000000000</v>
      </c>
      <c r="F430" s="3">
        <f t="shared" si="434"/>
        <v>390780577378085.5</v>
      </c>
      <c r="G430" s="3">
        <f t="shared" si="434"/>
        <v>1.6741599600536227E+23</v>
      </c>
      <c r="H430" s="3">
        <f t="shared" si="434"/>
        <v>2.2495802736579046E+25</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7750579.0746703306</v>
      </c>
      <c r="C431" s="3">
        <f t="shared" si="434"/>
        <v>386361114.69951677</v>
      </c>
      <c r="D431" s="3">
        <f t="shared" si="434"/>
        <v>23863591855.339664</v>
      </c>
      <c r="E431" s="3">
        <f t="shared" si="434"/>
        <v>1000000000000</v>
      </c>
      <c r="F431" s="3">
        <f t="shared" si="434"/>
        <v>3907805773780855</v>
      </c>
      <c r="G431" s="3">
        <f t="shared" si="434"/>
        <v>1.6741599600536229E+24</v>
      </c>
      <c r="H431" s="3">
        <f t="shared" si="434"/>
        <v>2.2495802736579045E+26</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77505790.746703312</v>
      </c>
      <c r="C432" s="3">
        <f t="shared" si="434"/>
        <v>3863611146.9951673</v>
      </c>
      <c r="D432" s="3">
        <f t="shared" si="434"/>
        <v>238635918553.39664</v>
      </c>
      <c r="E432" s="3">
        <f t="shared" si="434"/>
        <v>10000000000000</v>
      </c>
      <c r="F432" s="3">
        <f t="shared" si="434"/>
        <v>3.9078057737808552E+16</v>
      </c>
      <c r="G432" s="3">
        <f t="shared" si="434"/>
        <v>1.6741599600536227E+25</v>
      </c>
      <c r="H432" s="3">
        <f t="shared" si="434"/>
        <v>2.2495802736579046E+27</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775057907.46703303</v>
      </c>
      <c r="C433" s="3">
        <f t="shared" si="434"/>
        <v>38636111469.951675</v>
      </c>
      <c r="D433" s="3">
        <f t="shared" si="434"/>
        <v>2386359185533.9663</v>
      </c>
      <c r="E433" s="3">
        <f t="shared" si="434"/>
        <v>100000000000000</v>
      </c>
      <c r="F433" s="3">
        <f t="shared" si="434"/>
        <v>3.907805773780855E+17</v>
      </c>
      <c r="G433" s="3">
        <f t="shared" si="434"/>
        <v>1.6741599600536229E+26</v>
      </c>
      <c r="H433" s="3">
        <f t="shared" si="434"/>
        <v>2.2495802736579048E+28</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7750579074.670331</v>
      </c>
      <c r="C434" s="3">
        <f t="shared" si="434"/>
        <v>386361114699.51672</v>
      </c>
      <c r="D434" s="3">
        <f t="shared" si="434"/>
        <v>23863591855339.664</v>
      </c>
      <c r="E434" s="3">
        <f t="shared" si="434"/>
        <v>1000000000000000</v>
      </c>
      <c r="F434" s="3">
        <f t="shared" si="434"/>
        <v>3.9078057737808548E+18</v>
      </c>
      <c r="G434" s="3">
        <f t="shared" si="434"/>
        <v>1.6741599600536227E+27</v>
      </c>
      <c r="H434" s="3">
        <f t="shared" si="434"/>
        <v>2.2495802736579048E+29</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-11.767742998078067</v>
      </c>
      <c r="M1" s="54">
        <v>1</v>
      </c>
      <c r="N1" s="56">
        <f>INDEX($H$217:$P$217,1,Q1)</f>
        <v>0.17681445085985728</v>
      </c>
      <c r="O1" s="11"/>
      <c r="P1" s="55">
        <v>1</v>
      </c>
      <c r="Q1" s="11">
        <v>2</v>
      </c>
    </row>
    <row r="2" spans="1:17" x14ac:dyDescent="0.25">
      <c r="A2" s="11">
        <f>'Mastercurve bestimmen'!M119</f>
        <v>0</v>
      </c>
      <c r="B2" s="11">
        <f>'Mastercurve bestimmen'!N119</f>
        <v>-7.8587380955255552</v>
      </c>
      <c r="M2" s="54">
        <v>2</v>
      </c>
      <c r="N2" s="56">
        <f t="shared" ref="N2:N9" si="0">INDEX($H$217:$P$217,1,Q2)</f>
        <v>2.2759959410408102E-3</v>
      </c>
      <c r="O2" s="11"/>
      <c r="P2" s="55">
        <v>2</v>
      </c>
      <c r="Q2" s="11">
        <f>Q1+1</f>
        <v>3</v>
      </c>
    </row>
    <row r="3" spans="1:17" x14ac:dyDescent="0.25">
      <c r="A3" s="11">
        <f>'Mastercurve bestimmen'!M120</f>
        <v>25</v>
      </c>
      <c r="B3" s="11">
        <f>'Mastercurve bestimmen'!N120</f>
        <v>-3.7354013348601445</v>
      </c>
      <c r="M3" s="54">
        <v>3</v>
      </c>
      <c r="N3" s="56">
        <f t="shared" si="0"/>
        <v>4.9751162006110606E-5</v>
      </c>
      <c r="O3" s="11"/>
      <c r="P3" s="55">
        <v>3</v>
      </c>
      <c r="Q3" s="11">
        <f t="shared" ref="Q3:Q8" si="1">Q2+1</f>
        <v>4</v>
      </c>
    </row>
    <row r="4" spans="1:17" x14ac:dyDescent="0.25">
      <c r="A4" s="11">
        <f>'Mastercurve bestimmen'!M121</f>
        <v>50</v>
      </c>
      <c r="B4" s="11">
        <f>'Mastercurve bestimmen'!N121</f>
        <v>0</v>
      </c>
      <c r="M4" s="54">
        <v>4</v>
      </c>
      <c r="N4" s="56">
        <f t="shared" si="0"/>
        <v>-1.7930933156983167E-7</v>
      </c>
      <c r="O4" s="11"/>
      <c r="P4" s="55">
        <v>4</v>
      </c>
      <c r="Q4" s="11">
        <f t="shared" si="1"/>
        <v>5</v>
      </c>
    </row>
    <row r="5" spans="1:17" x14ac:dyDescent="0.25">
      <c r="A5" s="11">
        <f>'Mastercurve bestimmen'!M122</f>
        <v>80</v>
      </c>
      <c r="B5" s="11">
        <f>'Mastercurve bestimmen'!N122</f>
        <v>8.2707313122809456</v>
      </c>
      <c r="M5" s="54">
        <v>5</v>
      </c>
      <c r="N5" s="56">
        <f t="shared" si="0"/>
        <v>-8.5978514336081242E-9</v>
      </c>
      <c r="O5" s="11"/>
      <c r="P5" s="55">
        <v>5</v>
      </c>
      <c r="Q5" s="11">
        <f t="shared" si="1"/>
        <v>6</v>
      </c>
    </row>
    <row r="6" spans="1:17" x14ac:dyDescent="0.25">
      <c r="A6" s="11">
        <f>'Mastercurve bestimmen'!M123</f>
        <v>125</v>
      </c>
      <c r="B6" s="11">
        <f>'Mastercurve bestimmen'!N123</f>
        <v>28.146332639018276</v>
      </c>
      <c r="M6" s="54">
        <v>6</v>
      </c>
      <c r="N6" s="56">
        <f t="shared" si="0"/>
        <v>1.4931183928185842E-11</v>
      </c>
      <c r="O6" s="11"/>
      <c r="P6" s="55">
        <v>6</v>
      </c>
      <c r="Q6" s="11">
        <f t="shared" si="1"/>
        <v>7</v>
      </c>
    </row>
    <row r="7" spans="1:17" x14ac:dyDescent="0.25">
      <c r="A7" s="11">
        <f>'Mastercurve bestimmen'!M124</f>
        <v>160</v>
      </c>
      <c r="B7" s="11">
        <f>'Mastercurve bestimmen'!N124</f>
        <v>33.046934955690347</v>
      </c>
      <c r="M7" s="54">
        <v>7</v>
      </c>
      <c r="N7" s="56">
        <f t="shared" si="0"/>
        <v>4.2428826946100552E-13</v>
      </c>
      <c r="O7" s="11"/>
      <c r="P7" s="55">
        <v>7</v>
      </c>
      <c r="Q7" s="11">
        <f t="shared" si="1"/>
        <v>8</v>
      </c>
    </row>
    <row r="8" spans="1:17" x14ac:dyDescent="0.25">
      <c r="A8" s="11"/>
      <c r="B8" s="11"/>
      <c r="M8" s="54">
        <v>8</v>
      </c>
      <c r="N8" s="56">
        <f t="shared" si="0"/>
        <v>-1.1354563677137034E-15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-11.767742998078067</v>
      </c>
      <c r="E15" s="11">
        <f>A15-'Mastercurve bestimmen'!$B$2</f>
        <v>-90</v>
      </c>
      <c r="F15" s="11">
        <f>B15</f>
        <v>-11.767742998078067</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-11.714626737219531</v>
      </c>
      <c r="E16" s="11">
        <f>A16-'Mastercurve bestimmen'!$B$2</f>
        <v>-89</v>
      </c>
      <c r="F16" s="11">
        <f t="shared" ref="F16:F79" si="4">B16</f>
        <v>-11.714626737219531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-11.661343088512195</v>
      </c>
      <c r="E17" s="11">
        <f>A17-'Mastercurve bestimmen'!$B$2</f>
        <v>-88</v>
      </c>
      <c r="F17" s="11">
        <f t="shared" si="4"/>
        <v>-11.661343088512195</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-11.607724664107259</v>
      </c>
      <c r="E18" s="11">
        <f>A18-'Mastercurve bestimmen'!$B$2</f>
        <v>-87</v>
      </c>
      <c r="F18" s="11">
        <f t="shared" si="4"/>
        <v>-11.607724664107259</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-11.553604076155922</v>
      </c>
      <c r="E19" s="11">
        <f>A19-'Mastercurve bestimmen'!$B$2</f>
        <v>-86</v>
      </c>
      <c r="F19" s="11">
        <f t="shared" si="4"/>
        <v>-11.553604076155922</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-11.498813936809382</v>
      </c>
      <c r="E20" s="11">
        <f>A20-'Mastercurve bestimmen'!$B$2</f>
        <v>-85</v>
      </c>
      <c r="F20" s="11">
        <f t="shared" si="4"/>
        <v>-11.498813936809382</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-11.443186858218844</v>
      </c>
      <c r="E21" s="11">
        <f>A21-'Mastercurve bestimmen'!$B$2</f>
        <v>-84</v>
      </c>
      <c r="F21" s="11">
        <f t="shared" si="4"/>
        <v>-11.443186858218844</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-11.386555452535502</v>
      </c>
      <c r="E22" s="11">
        <f>A22-'Mastercurve bestimmen'!$B$2</f>
        <v>-83</v>
      </c>
      <c r="F22" s="11">
        <f t="shared" si="4"/>
        <v>-11.386555452535502</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-11.328752331910559</v>
      </c>
      <c r="E23" s="11">
        <f>A23-'Mastercurve bestimmen'!$B$2</f>
        <v>-82</v>
      </c>
      <c r="F23" s="11">
        <f t="shared" si="4"/>
        <v>-11.328752331910559</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-11.269610108495215</v>
      </c>
      <c r="E24" s="11">
        <f>A24-'Mastercurve bestimmen'!$B$2</f>
        <v>-81</v>
      </c>
      <c r="F24" s="11">
        <f t="shared" si="4"/>
        <v>-11.269610108495215</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-11.208961394440665</v>
      </c>
      <c r="E25" s="11">
        <f>A25-'Mastercurve bestimmen'!$B$2</f>
        <v>-80</v>
      </c>
      <c r="F25" s="11">
        <f t="shared" si="4"/>
        <v>-11.208961394440665</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-11.146638801898115</v>
      </c>
      <c r="E26" s="11">
        <f>A26-'Mastercurve bestimmen'!$B$2</f>
        <v>-79</v>
      </c>
      <c r="F26" s="11">
        <f t="shared" si="4"/>
        <v>-11.146638801898115</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-11.082474943018759</v>
      </c>
      <c r="E27" s="11">
        <f>A27-'Mastercurve bestimmen'!$B$2</f>
        <v>-78</v>
      </c>
      <c r="F27" s="11">
        <f t="shared" si="4"/>
        <v>-11.082474943018759</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-11.0163024299538</v>
      </c>
      <c r="E28" s="11">
        <f>A28-'Mastercurve bestimmen'!$B$2</f>
        <v>-77</v>
      </c>
      <c r="F28" s="11">
        <f t="shared" si="4"/>
        <v>-11.0163024299538</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-10.94795387485444</v>
      </c>
      <c r="E29" s="11">
        <f>A29-'Mastercurve bestimmen'!$B$2</f>
        <v>-76</v>
      </c>
      <c r="F29" s="11">
        <f t="shared" si="4"/>
        <v>-10.94795387485444</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-10.877261889871875</v>
      </c>
      <c r="E30" s="11">
        <f>A30-'Mastercurve bestimmen'!$B$2</f>
        <v>-75</v>
      </c>
      <c r="F30" s="11">
        <f t="shared" si="4"/>
        <v>-10.877261889871875</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-10.804059087157302</v>
      </c>
      <c r="E31" s="11">
        <f>A31-'Mastercurve bestimmen'!$B$2</f>
        <v>-74</v>
      </c>
      <c r="F31" s="11">
        <f t="shared" si="4"/>
        <v>-10.804059087157302</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-10.728178078861928</v>
      </c>
      <c r="E32" s="11">
        <f>A32-'Mastercurve bestimmen'!$B$2</f>
        <v>-73</v>
      </c>
      <c r="F32" s="11">
        <f t="shared" si="4"/>
        <v>-10.728178078861928</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-10.64945147713695</v>
      </c>
      <c r="E33" s="11">
        <f>A33-'Mastercurve bestimmen'!$B$2</f>
        <v>-72</v>
      </c>
      <c r="F33" s="11">
        <f t="shared" si="4"/>
        <v>-10.64945147713695</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-10.567711894133563</v>
      </c>
      <c r="E34" s="11">
        <f>A34-'Mastercurve bestimmen'!$B$2</f>
        <v>-71</v>
      </c>
      <c r="F34" s="11">
        <f t="shared" si="4"/>
        <v>-10.567711894133563</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-10.482791942002974</v>
      </c>
      <c r="E35" s="11">
        <f>A35-'Mastercurve bestimmen'!$B$2</f>
        <v>-70</v>
      </c>
      <c r="F35" s="11">
        <f t="shared" si="4"/>
        <v>-10.482791942002974</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-10.394524232896377</v>
      </c>
      <c r="E36" s="11">
        <f>A36-'Mastercurve bestimmen'!$B$2</f>
        <v>-69</v>
      </c>
      <c r="F36" s="11">
        <f t="shared" si="4"/>
        <v>-10.394524232896377</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-10.302741378964974</v>
      </c>
      <c r="E37" s="11">
        <f>A37-'Mastercurve bestimmen'!$B$2</f>
        <v>-68</v>
      </c>
      <c r="F37" s="11">
        <f t="shared" si="4"/>
        <v>-10.302741378964974</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-10.207275992359966</v>
      </c>
      <c r="E38" s="11">
        <f>A38-'Mastercurve bestimmen'!$B$2</f>
        <v>-67</v>
      </c>
      <c r="F38" s="11">
        <f t="shared" si="4"/>
        <v>-10.207275992359966</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-10.107960685232548</v>
      </c>
      <c r="E39" s="11">
        <f>A39-'Mastercurve bestimmen'!$B$2</f>
        <v>-66</v>
      </c>
      <c r="F39" s="11">
        <f t="shared" si="4"/>
        <v>-10.107960685232548</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-10.004628069733927</v>
      </c>
      <c r="E40" s="11">
        <f>A40-'Mastercurve bestimmen'!$B$2</f>
        <v>-65</v>
      </c>
      <c r="F40" s="11">
        <f t="shared" si="4"/>
        <v>-10.004628069733927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-9.8971107580152982</v>
      </c>
      <c r="E41" s="11">
        <f>A41-'Mastercurve bestimmen'!$B$2</f>
        <v>-64</v>
      </c>
      <c r="F41" s="11">
        <f t="shared" si="4"/>
        <v>-9.8971107580152982</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-9.7852413622278611</v>
      </c>
      <c r="E42" s="11">
        <f>A42-'Mastercurve bestimmen'!$B$2</f>
        <v>-63</v>
      </c>
      <c r="F42" s="11">
        <f t="shared" si="4"/>
        <v>-9.7852413622278611</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-9.6688524945228149</v>
      </c>
      <c r="E43" s="11">
        <f>A43-'Mastercurve bestimmen'!$B$2</f>
        <v>-62</v>
      </c>
      <c r="F43" s="11">
        <f t="shared" si="4"/>
        <v>-9.6688524945228149</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-9.5477767670513618</v>
      </c>
      <c r="E44" s="11">
        <f>A44-'Mastercurve bestimmen'!$B$2</f>
        <v>-61</v>
      </c>
      <c r="F44" s="11">
        <f t="shared" si="4"/>
        <v>-9.5477767670513618</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-9.4218467919647004</v>
      </c>
      <c r="E45" s="11">
        <f>A45-'Mastercurve bestimmen'!$B$2</f>
        <v>-60</v>
      </c>
      <c r="F45" s="11">
        <f t="shared" si="4"/>
        <v>-9.4218467919647004</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-9.2908951814140295</v>
      </c>
      <c r="E46" s="11">
        <f>A46-'Mastercurve bestimmen'!$B$2</f>
        <v>-59</v>
      </c>
      <c r="F46" s="11">
        <f t="shared" si="4"/>
        <v>-9.2908951814140295</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-9.1547545475505494</v>
      </c>
      <c r="E47" s="11">
        <f>A47-'Mastercurve bestimmen'!$B$2</f>
        <v>-58</v>
      </c>
      <c r="F47" s="11">
        <f t="shared" si="4"/>
        <v>-9.1547545475505494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-9.0132575025254607</v>
      </c>
      <c r="E48" s="11">
        <f>A48-'Mastercurve bestimmen'!$B$2</f>
        <v>-57</v>
      </c>
      <c r="F48" s="11">
        <f t="shared" si="4"/>
        <v>-9.0132575025254607</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-8.8662366584899637</v>
      </c>
      <c r="E49" s="11">
        <f>A49-'Mastercurve bestimmen'!$B$2</f>
        <v>-56</v>
      </c>
      <c r="F49" s="11">
        <f t="shared" si="4"/>
        <v>-8.8662366584899637</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-8.7135246275952554</v>
      </c>
      <c r="E50" s="11">
        <f>A50-'Mastercurve bestimmen'!$B$2</f>
        <v>-55</v>
      </c>
      <c r="F50" s="11">
        <f t="shared" si="4"/>
        <v>-8.7135246275952554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-8.5549540219925362</v>
      </c>
      <c r="E51" s="11">
        <f>A51-'Mastercurve bestimmen'!$B$2</f>
        <v>-54</v>
      </c>
      <c r="F51" s="11">
        <f t="shared" si="4"/>
        <v>-8.5549540219925362</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-8.3903574538330083</v>
      </c>
      <c r="E52" s="11">
        <f>A52-'Mastercurve bestimmen'!$B$2</f>
        <v>-53</v>
      </c>
      <c r="F52" s="11">
        <f t="shared" si="4"/>
        <v>-8.3903574538330083</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-8.2195675352678688</v>
      </c>
      <c r="E53" s="11">
        <f>A53-'Mastercurve bestimmen'!$B$2</f>
        <v>-52</v>
      </c>
      <c r="F53" s="11">
        <f t="shared" si="4"/>
        <v>-8.2195675352678688</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-8.0424168784483179</v>
      </c>
      <c r="E54" s="11">
        <f>A54-'Mastercurve bestimmen'!$B$2</f>
        <v>-51</v>
      </c>
      <c r="F54" s="11">
        <f t="shared" si="4"/>
        <v>-8.0424168784483179</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-7.8587380955255561</v>
      </c>
      <c r="E55" s="11">
        <f>A55-'Mastercurve bestimmen'!$B$2</f>
        <v>-50</v>
      </c>
      <c r="F55" s="11">
        <f t="shared" si="4"/>
        <v>-7.8587380955255561</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-7.7301748113043622</v>
      </c>
      <c r="E56" s="11">
        <f>A56-'Mastercurve bestimmen'!$B$2</f>
        <v>-49</v>
      </c>
      <c r="F56" s="11">
        <f t="shared" si="4"/>
        <v>-7.7301748113043622</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-7.5953388591044133</v>
      </c>
      <c r="E57" s="11">
        <f>A57-'Mastercurve bestimmen'!$B$2</f>
        <v>-48</v>
      </c>
      <c r="F57" s="11">
        <f t="shared" si="4"/>
        <v>-7.5953388591044133</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-7.4546530848989656</v>
      </c>
      <c r="E58" s="11">
        <f>A58-'Mastercurve bestimmen'!$B$2</f>
        <v>-47</v>
      </c>
      <c r="F58" s="11">
        <f t="shared" si="4"/>
        <v>-7.4546530848989656</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-7.3085403346612789</v>
      </c>
      <c r="E59" s="11">
        <f>A59-'Mastercurve bestimmen'!$B$2</f>
        <v>-46</v>
      </c>
      <c r="F59" s="11">
        <f t="shared" si="4"/>
        <v>-7.3085403346612789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-7.157423454364606</v>
      </c>
      <c r="E60" s="11">
        <f>A60-'Mastercurve bestimmen'!$B$2</f>
        <v>-45</v>
      </c>
      <c r="F60" s="11">
        <f t="shared" si="4"/>
        <v>-7.157423454364606</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-7.0017252899822084</v>
      </c>
      <c r="E61" s="11">
        <f>A61-'Mastercurve bestimmen'!$B$2</f>
        <v>-44</v>
      </c>
      <c r="F61" s="11">
        <f t="shared" si="4"/>
        <v>-7.0017252899822084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-6.8418686874873389</v>
      </c>
      <c r="E62" s="11">
        <f>A62-'Mastercurve bestimmen'!$B$2</f>
        <v>-43</v>
      </c>
      <c r="F62" s="11">
        <f t="shared" si="4"/>
        <v>-6.8418686874873389</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-6.6782764928532572</v>
      </c>
      <c r="E63" s="11">
        <f>A63-'Mastercurve bestimmen'!$B$2</f>
        <v>-42</v>
      </c>
      <c r="F63" s="11">
        <f t="shared" si="4"/>
        <v>-6.6782764928532572</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-6.5113715520532178</v>
      </c>
      <c r="E64" s="11">
        <f>A64-'Mastercurve bestimmen'!$B$2</f>
        <v>-41</v>
      </c>
      <c r="F64" s="11">
        <f t="shared" si="4"/>
        <v>-6.5113715520532178</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-6.3415767110604788</v>
      </c>
      <c r="E65" s="11">
        <f>A65-'Mastercurve bestimmen'!$B$2</f>
        <v>-40</v>
      </c>
      <c r="F65" s="11">
        <f t="shared" si="4"/>
        <v>-6.3415767110604788</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-6.1693148158482991</v>
      </c>
      <c r="E66" s="11">
        <f>A66-'Mastercurve bestimmen'!$B$2</f>
        <v>-39</v>
      </c>
      <c r="F66" s="11">
        <f t="shared" si="4"/>
        <v>-6.1693148158482991</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-5.9950087123899314</v>
      </c>
      <c r="E67" s="11">
        <f>A67-'Mastercurve bestimmen'!$B$2</f>
        <v>-38</v>
      </c>
      <c r="F67" s="11">
        <f t="shared" si="4"/>
        <v>-5.9950087123899314</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-5.8190812466586355</v>
      </c>
      <c r="E68" s="11">
        <f>A68-'Mastercurve bestimmen'!$B$2</f>
        <v>-37</v>
      </c>
      <c r="F68" s="11">
        <f t="shared" si="4"/>
        <v>-5.8190812466586355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-5.6419552646276676</v>
      </c>
      <c r="E69" s="11">
        <f>A69-'Mastercurve bestimmen'!$B$2</f>
        <v>-36</v>
      </c>
      <c r="F69" s="11">
        <f t="shared" si="4"/>
        <v>-5.6419552646276676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-5.464053612270285</v>
      </c>
      <c r="E70" s="11">
        <f>A70-'Mastercurve bestimmen'!$B$2</f>
        <v>-35</v>
      </c>
      <c r="F70" s="11">
        <f t="shared" si="4"/>
        <v>-5.464053612270285</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-5.2857991355597438</v>
      </c>
      <c r="E71" s="11">
        <f>A71-'Mastercurve bestimmen'!$B$2</f>
        <v>-34</v>
      </c>
      <c r="F71" s="11">
        <f t="shared" si="4"/>
        <v>-5.2857991355597438</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-5.1076146804693021</v>
      </c>
      <c r="E72" s="11">
        <f>A72-'Mastercurve bestimmen'!$B$2</f>
        <v>-33</v>
      </c>
      <c r="F72" s="11">
        <f t="shared" si="4"/>
        <v>-5.1076146804693021</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-4.9299230929722153</v>
      </c>
      <c r="E73" s="11">
        <f>A73-'Mastercurve bestimmen'!$B$2</f>
        <v>-32</v>
      </c>
      <c r="F73" s="11">
        <f t="shared" si="4"/>
        <v>-4.9299230929722153</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-4.7531472190417414</v>
      </c>
      <c r="E74" s="11">
        <f>A74-'Mastercurve bestimmen'!$B$2</f>
        <v>-31</v>
      </c>
      <c r="F74" s="11">
        <f t="shared" si="4"/>
        <v>-4.7531472190417414</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-4.5777099046511358</v>
      </c>
      <c r="E75" s="11">
        <f>A75-'Mastercurve bestimmen'!$B$2</f>
        <v>-30</v>
      </c>
      <c r="F75" s="11">
        <f t="shared" si="4"/>
        <v>-4.5777099046511358</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-4.4040339957736574</v>
      </c>
      <c r="E76" s="11">
        <f>A76-'Mastercurve bestimmen'!$B$2</f>
        <v>-29</v>
      </c>
      <c r="F76" s="11">
        <f t="shared" si="4"/>
        <v>-4.4040339957736574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-4.2325423383825624</v>
      </c>
      <c r="E77" s="11">
        <f>A77-'Mastercurve bestimmen'!$B$2</f>
        <v>-28</v>
      </c>
      <c r="F77" s="11">
        <f t="shared" si="4"/>
        <v>-4.2325423383825624</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-4.0636577784511072</v>
      </c>
      <c r="E78" s="11">
        <f>A78-'Mastercurve bestimmen'!$B$2</f>
        <v>-27</v>
      </c>
      <c r="F78" s="11">
        <f t="shared" si="4"/>
        <v>-4.0636577784511072</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-3.8978031619525488</v>
      </c>
      <c r="E79" s="11">
        <f>A79-'Mastercurve bestimmen'!$B$2</f>
        <v>-26</v>
      </c>
      <c r="F79" s="11">
        <f t="shared" si="4"/>
        <v>-3.8978031619525488</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-3.7354013348601445</v>
      </c>
      <c r="E80" s="11">
        <f>A80-'Mastercurve bestimmen'!$B$2</f>
        <v>-25</v>
      </c>
      <c r="F80" s="11">
        <f t="shared" ref="F80:F143" si="10">B80</f>
        <v>-3.7354013348601445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-3.5767449455992257</v>
      </c>
      <c r="E81" s="11">
        <f>A81-'Mastercurve bestimmen'!$B$2</f>
        <v>-24</v>
      </c>
      <c r="F81" s="11">
        <f t="shared" si="10"/>
        <v>-3.5767449455992257</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-3.4216058524034256</v>
      </c>
      <c r="E82" s="11">
        <f>A82-'Mastercurve bestimmen'!$B$2</f>
        <v>-23</v>
      </c>
      <c r="F82" s="11">
        <f t="shared" si="10"/>
        <v>-3.4216058524034256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-3.2696257159584512</v>
      </c>
      <c r="E83" s="11">
        <f>A83-'Mastercurve bestimmen'!$B$2</f>
        <v>-22</v>
      </c>
      <c r="F83" s="11">
        <f t="shared" si="10"/>
        <v>-3.2696257159584512</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-3.1204461969500099</v>
      </c>
      <c r="E84" s="11">
        <f>A84-'Mastercurve bestimmen'!$B$2</f>
        <v>-21</v>
      </c>
      <c r="F84" s="11">
        <f t="shared" si="10"/>
        <v>-3.1204461969500099</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-2.9737089560638101</v>
      </c>
      <c r="E85" s="11">
        <f>A85-'Mastercurve bestimmen'!$B$2</f>
        <v>-20</v>
      </c>
      <c r="F85" s="11">
        <f t="shared" si="10"/>
        <v>-2.9737089560638101</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-2.8290556539855585</v>
      </c>
      <c r="E86" s="11">
        <f>A86-'Mastercurve bestimmen'!$B$2</f>
        <v>-19</v>
      </c>
      <c r="F86" s="11">
        <f t="shared" si="10"/>
        <v>-2.8290556539855585</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-2.6861279514009624</v>
      </c>
      <c r="E87" s="11">
        <f>A87-'Mastercurve bestimmen'!$B$2</f>
        <v>-18</v>
      </c>
      <c r="F87" s="11">
        <f t="shared" si="10"/>
        <v>-2.6861279514009624</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-2.5445675089957311</v>
      </c>
      <c r="E88" s="11">
        <f>A88-'Mastercurve bestimmen'!$B$2</f>
        <v>-17</v>
      </c>
      <c r="F88" s="11">
        <f t="shared" si="10"/>
        <v>-2.5445675089957311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-2.4040159874555695</v>
      </c>
      <c r="E89" s="11">
        <f>A89-'Mastercurve bestimmen'!$B$2</f>
        <v>-16</v>
      </c>
      <c r="F89" s="11">
        <f t="shared" si="10"/>
        <v>-2.4040159874555695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-2.2641150474661869</v>
      </c>
      <c r="E90" s="11">
        <f>A90-'Mastercurve bestimmen'!$B$2</f>
        <v>-15</v>
      </c>
      <c r="F90" s="11">
        <f t="shared" si="10"/>
        <v>-2.2641150474661869</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-2.1245063497132906</v>
      </c>
      <c r="E91" s="11">
        <f>A91-'Mastercurve bestimmen'!$B$2</f>
        <v>-14</v>
      </c>
      <c r="F91" s="11">
        <f t="shared" si="10"/>
        <v>-2.1245063497132906</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-1.9848315548825877</v>
      </c>
      <c r="E92" s="11">
        <f>A92-'Mastercurve bestimmen'!$B$2</f>
        <v>-13</v>
      </c>
      <c r="F92" s="11">
        <f t="shared" si="10"/>
        <v>-1.9848315548825877</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-1.8447323236597861</v>
      </c>
      <c r="E93" s="11">
        <f>A93-'Mastercurve bestimmen'!$B$2</f>
        <v>-12</v>
      </c>
      <c r="F93" s="11">
        <f t="shared" si="10"/>
        <v>-1.8447323236597861</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-1.7038503167305934</v>
      </c>
      <c r="E94" s="11">
        <f>A94-'Mastercurve bestimmen'!$B$2</f>
        <v>-11</v>
      </c>
      <c r="F94" s="11">
        <f t="shared" si="10"/>
        <v>-1.7038503167305934</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-1.5618271947807165</v>
      </c>
      <c r="E95" s="11">
        <f>A95-'Mastercurve bestimmen'!$B$2</f>
        <v>-10</v>
      </c>
      <c r="F95" s="11">
        <f t="shared" si="10"/>
        <v>-1.5618271947807165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-1.4183046184958634</v>
      </c>
      <c r="E96" s="11">
        <f>A96-'Mastercurve bestimmen'!$B$2</f>
        <v>-9</v>
      </c>
      <c r="F96" s="11">
        <f t="shared" si="10"/>
        <v>-1.4183046184958634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-1.272924248561742</v>
      </c>
      <c r="E97" s="11">
        <f>A97-'Mastercurve bestimmen'!$B$2</f>
        <v>-8</v>
      </c>
      <c r="F97" s="11">
        <f t="shared" si="10"/>
        <v>-1.272924248561742</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-1.1253277456640591</v>
      </c>
      <c r="E98" s="11">
        <f>A98-'Mastercurve bestimmen'!$B$2</f>
        <v>-7</v>
      </c>
      <c r="F98" s="11">
        <f t="shared" si="10"/>
        <v>-1.1253277456640591</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-0.97515677048852267</v>
      </c>
      <c r="E99" s="11">
        <f>A99-'Mastercurve bestimmen'!$B$2</f>
        <v>-6</v>
      </c>
      <c r="F99" s="11">
        <f t="shared" si="10"/>
        <v>-0.97515677048852267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-0.82205298372084012</v>
      </c>
      <c r="E100" s="11">
        <f>A100-'Mastercurve bestimmen'!$B$2</f>
        <v>-5</v>
      </c>
      <c r="F100" s="11">
        <f t="shared" si="10"/>
        <v>-0.82205298372084012</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-0.66565804604671919</v>
      </c>
      <c r="E101" s="11">
        <f>A101-'Mastercurve bestimmen'!$B$2</f>
        <v>-4</v>
      </c>
      <c r="F101" s="11">
        <f t="shared" si="10"/>
        <v>-0.66565804604671919</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-0.50561361815186712</v>
      </c>
      <c r="E102" s="11">
        <f>A102-'Mastercurve bestimmen'!$B$2</f>
        <v>-3</v>
      </c>
      <c r="F102" s="11">
        <f t="shared" si="10"/>
        <v>-0.50561361815186712</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-0.3415613607219915</v>
      </c>
      <c r="E103" s="11">
        <f>A103-'Mastercurve bestimmen'!$B$2</f>
        <v>-2</v>
      </c>
      <c r="F103" s="11">
        <f t="shared" si="10"/>
        <v>-0.3415613607219915</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-0.17314293444279988</v>
      </c>
      <c r="E104" s="11">
        <f>A104-'Mastercurve bestimmen'!$B$2</f>
        <v>-1</v>
      </c>
      <c r="F104" s="11">
        <f t="shared" si="10"/>
        <v>-0.17314293444279988</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1.1102230246251565E-16</v>
      </c>
      <c r="E105" s="11">
        <f>A105-'Mastercurve bestimmen'!$B$2</f>
        <v>0</v>
      </c>
      <c r="F105" s="11">
        <f t="shared" si="10"/>
        <v>1.1102230246251565E-16</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0.17819252947566477</v>
      </c>
      <c r="E106" s="11">
        <f>A106-'Mastercurve bestimmen'!$B$2</f>
        <v>1</v>
      </c>
      <c r="F106" s="11">
        <f t="shared" si="10"/>
        <v>0.17819252947566477</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0.36162673107330701</v>
      </c>
      <c r="E107" s="11">
        <f>A107-'Mastercurve bestimmen'!$B$2</f>
        <v>2</v>
      </c>
      <c r="F107" s="11">
        <f t="shared" si="10"/>
        <v>0.36162673107330701</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0.55046142943700338</v>
      </c>
      <c r="E108" s="11">
        <f>A108-'Mastercurve bestimmen'!$B$2</f>
        <v>3</v>
      </c>
      <c r="F108" s="11">
        <f t="shared" si="10"/>
        <v>0.55046142943700338</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0.74485544921083036</v>
      </c>
      <c r="E109" s="11">
        <f>A109-'Mastercurve bestimmen'!$B$2</f>
        <v>4</v>
      </c>
      <c r="F109" s="11">
        <f t="shared" si="10"/>
        <v>0.74485544921083036</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0.94496761503886428</v>
      </c>
      <c r="E110" s="11">
        <f>A110-'Mastercurve bestimmen'!$B$2</f>
        <v>5</v>
      </c>
      <c r="F110" s="11">
        <f t="shared" si="10"/>
        <v>0.94496761503886428</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1.150956751565182</v>
      </c>
      <c r="E111" s="11">
        <f>A111-'Mastercurve bestimmen'!$B$2</f>
        <v>6</v>
      </c>
      <c r="F111" s="11">
        <f t="shared" si="10"/>
        <v>1.150956751565182</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1.3629816834338599</v>
      </c>
      <c r="E112" s="11">
        <f>A112-'Mastercurve bestimmen'!$B$2</f>
        <v>7</v>
      </c>
      <c r="F112" s="11">
        <f t="shared" si="10"/>
        <v>1.3629816834338599</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1.5812012352889746</v>
      </c>
      <c r="E113" s="11">
        <f>A113-'Mastercurve bestimmen'!$B$2</f>
        <v>8</v>
      </c>
      <c r="F113" s="11">
        <f t="shared" si="10"/>
        <v>1.5812012352889746</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1.8057742317746026</v>
      </c>
      <c r="E114" s="11">
        <f>A114-'Mastercurve bestimmen'!$B$2</f>
        <v>9</v>
      </c>
      <c r="F114" s="11">
        <f t="shared" si="10"/>
        <v>1.8057742317746026</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2.0368594975348202</v>
      </c>
      <c r="E115" s="11">
        <f>A115-'Mastercurve bestimmen'!$B$2</f>
        <v>10</v>
      </c>
      <c r="F115" s="11">
        <f t="shared" si="10"/>
        <v>2.0368594975348202</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2.2746158572137047</v>
      </c>
      <c r="E116" s="11">
        <f>A116-'Mastercurve bestimmen'!$B$2</f>
        <v>11</v>
      </c>
      <c r="F116" s="11">
        <f t="shared" si="10"/>
        <v>2.2746158572137047</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2.5192021354553322</v>
      </c>
      <c r="E117" s="11">
        <f>A117-'Mastercurve bestimmen'!$B$2</f>
        <v>12</v>
      </c>
      <c r="F117" s="11">
        <f t="shared" si="10"/>
        <v>2.5192021354553322</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2.7707771569037787</v>
      </c>
      <c r="E118" s="11">
        <f>A118-'Mastercurve bestimmen'!$B$2</f>
        <v>13</v>
      </c>
      <c r="F118" s="11">
        <f t="shared" si="10"/>
        <v>2.7707771569037787</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3.0294997462031219</v>
      </c>
      <c r="E119" s="11">
        <f>A119-'Mastercurve bestimmen'!$B$2</f>
        <v>14</v>
      </c>
      <c r="F119" s="11">
        <f t="shared" si="10"/>
        <v>3.0294997462031219</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3.2955287279974375</v>
      </c>
      <c r="E120" s="11">
        <f>A120-'Mastercurve bestimmen'!$B$2</f>
        <v>15</v>
      </c>
      <c r="F120" s="11">
        <f t="shared" si="10"/>
        <v>3.2955287279974375</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3.5690229269308023</v>
      </c>
      <c r="E121" s="11">
        <f>A121-'Mastercurve bestimmen'!$B$2</f>
        <v>16</v>
      </c>
      <c r="F121" s="11">
        <f t="shared" si="10"/>
        <v>3.5690229269308023</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3.8501411676472928</v>
      </c>
      <c r="E122" s="11">
        <f>A122-'Mastercurve bestimmen'!$B$2</f>
        <v>17</v>
      </c>
      <c r="F122" s="11">
        <f t="shared" si="10"/>
        <v>3.8501411676472928</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4.1390422747909854</v>
      </c>
      <c r="E123" s="11">
        <f>A123-'Mastercurve bestimmen'!$B$2</f>
        <v>18</v>
      </c>
      <c r="F123" s="11">
        <f t="shared" si="10"/>
        <v>4.1390422747909854</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4.4358850730059576</v>
      </c>
      <c r="E124" s="11">
        <f>A124-'Mastercurve bestimmen'!$B$2</f>
        <v>19</v>
      </c>
      <c r="F124" s="11">
        <f t="shared" si="10"/>
        <v>4.4358850730059576</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4.7408283869362844</v>
      </c>
      <c r="E125" s="11">
        <f>A125-'Mastercurve bestimmen'!$B$2</f>
        <v>20</v>
      </c>
      <c r="F125" s="11">
        <f t="shared" si="10"/>
        <v>4.7408283869362844</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5.0540310412260432</v>
      </c>
      <c r="E126" s="11">
        <f>A126-'Mastercurve bestimmen'!$B$2</f>
        <v>21</v>
      </c>
      <c r="F126" s="11">
        <f t="shared" si="10"/>
        <v>5.0540310412260432</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5.3756518605193113</v>
      </c>
      <c r="E127" s="11">
        <f>A127-'Mastercurve bestimmen'!$B$2</f>
        <v>22</v>
      </c>
      <c r="F127" s="11">
        <f t="shared" si="10"/>
        <v>5.3756518605193113</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5.7058496694601644</v>
      </c>
      <c r="E128" s="11">
        <f>A128-'Mastercurve bestimmen'!$B$2</f>
        <v>23</v>
      </c>
      <c r="F128" s="11">
        <f t="shared" si="10"/>
        <v>5.7058496694601644</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6.0447832926926779</v>
      </c>
      <c r="E129" s="11">
        <f>A129-'Mastercurve bestimmen'!$B$2</f>
        <v>24</v>
      </c>
      <c r="F129" s="11">
        <f t="shared" si="10"/>
        <v>6.0447832926926779</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6.3926115548609301</v>
      </c>
      <c r="E130" s="11">
        <f>A130-'Mastercurve bestimmen'!$B$2</f>
        <v>25</v>
      </c>
      <c r="F130" s="11">
        <f t="shared" si="10"/>
        <v>6.3926115548609301</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6.7494932806089984</v>
      </c>
      <c r="E131" s="11">
        <f>A131-'Mastercurve bestimmen'!$B$2</f>
        <v>26</v>
      </c>
      <c r="F131" s="11">
        <f t="shared" si="10"/>
        <v>6.7494932806089984</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7.1155872945809566</v>
      </c>
      <c r="E132" s="11">
        <f>A132-'Mastercurve bestimmen'!$B$2</f>
        <v>27</v>
      </c>
      <c r="F132" s="11">
        <f t="shared" si="10"/>
        <v>7.1155872945809566</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7.4910524214208829</v>
      </c>
      <c r="E133" s="11">
        <f>A133-'Mastercurve bestimmen'!$B$2</f>
        <v>28</v>
      </c>
      <c r="F133" s="11">
        <f t="shared" si="10"/>
        <v>7.4910524214208829</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7.8760474857728537</v>
      </c>
      <c r="E134" s="11">
        <f>A134-'Mastercurve bestimmen'!$B$2</f>
        <v>29</v>
      </c>
      <c r="F134" s="11">
        <f t="shared" si="10"/>
        <v>7.8760474857728537</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8.2707313122809456</v>
      </c>
      <c r="E135" s="11">
        <f>A135-'Mastercurve bestimmen'!$B$2</f>
        <v>30</v>
      </c>
      <c r="F135" s="11">
        <f t="shared" si="10"/>
        <v>8.2707313122809456</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8.6751476267546508</v>
      </c>
      <c r="E136" s="11">
        <f>A136-'Mastercurve bestimmen'!$B$2</f>
        <v>31</v>
      </c>
      <c r="F136" s="11">
        <f t="shared" si="10"/>
        <v>8.6751476267546508</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9.0888797596651312</v>
      </c>
      <c r="E137" s="11">
        <f>A137-'Mastercurve bestimmen'!$B$2</f>
        <v>32</v>
      </c>
      <c r="F137" s="11">
        <f t="shared" si="10"/>
        <v>9.0888797596651312</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9.51139594264896</v>
      </c>
      <c r="E138" s="11">
        <f>A138-'Mastercurve bestimmen'!$B$2</f>
        <v>33</v>
      </c>
      <c r="F138" s="11">
        <f t="shared" si="10"/>
        <v>9.51139594264896</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9.942164407342716</v>
      </c>
      <c r="E139" s="11">
        <f>A139-'Mastercurve bestimmen'!$B$2</f>
        <v>34</v>
      </c>
      <c r="F139" s="11">
        <f t="shared" si="10"/>
        <v>9.942164407342716</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10.380653385382972</v>
      </c>
      <c r="E140" s="11">
        <f>A140-'Mastercurve bestimmen'!$B$2</f>
        <v>35</v>
      </c>
      <c r="F140" s="11">
        <f t="shared" si="10"/>
        <v>10.380653385382972</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10.826331108406308</v>
      </c>
      <c r="E141" s="11">
        <f>A141-'Mastercurve bestimmen'!$B$2</f>
        <v>36</v>
      </c>
      <c r="F141" s="11">
        <f t="shared" si="10"/>
        <v>10.826331108406308</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11.278665808049297</v>
      </c>
      <c r="E142" s="11">
        <f>A142-'Mastercurve bestimmen'!$B$2</f>
        <v>37</v>
      </c>
      <c r="F142" s="11">
        <f t="shared" si="10"/>
        <v>11.278665808049297</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11.737125715948515</v>
      </c>
      <c r="E143" s="11">
        <f>A143-'Mastercurve bestimmen'!$B$2</f>
        <v>38</v>
      </c>
      <c r="F143" s="11">
        <f t="shared" si="10"/>
        <v>11.737125715948515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12.20117906374054</v>
      </c>
      <c r="E144" s="11">
        <f>A144-'Mastercurve bestimmen'!$B$2</f>
        <v>39</v>
      </c>
      <c r="F144" s="11">
        <f t="shared" ref="F144:F207" si="15">B144</f>
        <v>12.20117906374054</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12.670294083061947</v>
      </c>
      <c r="E145" s="11">
        <f>A145-'Mastercurve bestimmen'!$B$2</f>
        <v>40</v>
      </c>
      <c r="F145" s="11">
        <f t="shared" si="15"/>
        <v>12.670294083061947</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13.143939005549313</v>
      </c>
      <c r="E146" s="11">
        <f>A146-'Mastercurve bestimmen'!$B$2</f>
        <v>41</v>
      </c>
      <c r="F146" s="11">
        <f t="shared" si="15"/>
        <v>13.143939005549313</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13.621582062839213</v>
      </c>
      <c r="E147" s="11">
        <f>A147-'Mastercurve bestimmen'!$B$2</f>
        <v>42</v>
      </c>
      <c r="F147" s="11">
        <f t="shared" si="15"/>
        <v>13.621582062839213</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14.102691486568226</v>
      </c>
      <c r="E148" s="11">
        <f>A148-'Mastercurve bestimmen'!$B$2</f>
        <v>43</v>
      </c>
      <c r="F148" s="11">
        <f t="shared" si="15"/>
        <v>14.102691486568226</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14.586735508372922</v>
      </c>
      <c r="E149" s="11">
        <f>A149-'Mastercurve bestimmen'!$B$2</f>
        <v>44</v>
      </c>
      <c r="F149" s="11">
        <f t="shared" si="15"/>
        <v>14.586735508372922</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15.073182359889884</v>
      </c>
      <c r="E150" s="11">
        <f>A150-'Mastercurve bestimmen'!$B$2</f>
        <v>45</v>
      </c>
      <c r="F150" s="11">
        <f t="shared" si="15"/>
        <v>15.073182359889884</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15.561500272755683</v>
      </c>
      <c r="E151" s="11">
        <f>A151-'Mastercurve bestimmen'!$B$2</f>
        <v>46</v>
      </c>
      <c r="F151" s="11">
        <f t="shared" si="15"/>
        <v>15.561500272755683</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16.051157478606896</v>
      </c>
      <c r="E152" s="11">
        <f>A152-'Mastercurve bestimmen'!$B$2</f>
        <v>47</v>
      </c>
      <c r="F152" s="11">
        <f t="shared" si="15"/>
        <v>16.051157478606896</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16.541622209080103</v>
      </c>
      <c r="E153" s="11">
        <f>A153-'Mastercurve bestimmen'!$B$2</f>
        <v>48</v>
      </c>
      <c r="F153" s="11">
        <f t="shared" si="15"/>
        <v>16.541622209080103</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17.032362695811873</v>
      </c>
      <c r="E154" s="11">
        <f>A154-'Mastercurve bestimmen'!$B$2</f>
        <v>49</v>
      </c>
      <c r="F154" s="11">
        <f t="shared" si="15"/>
        <v>17.032362695811873</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17.522847170438791</v>
      </c>
      <c r="E155" s="11">
        <f>A155-'Mastercurve bestimmen'!$B$2</f>
        <v>50</v>
      </c>
      <c r="F155" s="11">
        <f t="shared" si="15"/>
        <v>17.522847170438791</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18.012543864597426</v>
      </c>
      <c r="E156" s="11">
        <f>A156-'Mastercurve bestimmen'!$B$2</f>
        <v>51</v>
      </c>
      <c r="F156" s="11">
        <f t="shared" si="15"/>
        <v>18.012543864597426</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18.500921009924355</v>
      </c>
      <c r="E157" s="11">
        <f>A157-'Mastercurve bestimmen'!$B$2</f>
        <v>52</v>
      </c>
      <c r="F157" s="11">
        <f t="shared" si="15"/>
        <v>18.500921009924355</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18.987446838056155</v>
      </c>
      <c r="E158" s="11">
        <f>A158-'Mastercurve bestimmen'!$B$2</f>
        <v>53</v>
      </c>
      <c r="F158" s="11">
        <f t="shared" si="15"/>
        <v>18.987446838056155</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19.471589580629406</v>
      </c>
      <c r="E159" s="11">
        <f>A159-'Mastercurve bestimmen'!$B$2</f>
        <v>54</v>
      </c>
      <c r="F159" s="11">
        <f t="shared" si="15"/>
        <v>19.471589580629406</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19.952817469280681</v>
      </c>
      <c r="E160" s="11">
        <f>A160-'Mastercurve bestimmen'!$B$2</f>
        <v>55</v>
      </c>
      <c r="F160" s="11">
        <f t="shared" si="15"/>
        <v>19.952817469280681</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20.430598735646551</v>
      </c>
      <c r="E161" s="11">
        <f>A161-'Mastercurve bestimmen'!$B$2</f>
        <v>56</v>
      </c>
      <c r="F161" s="11">
        <f t="shared" si="15"/>
        <v>20.430598735646551</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20.9044016113636</v>
      </c>
      <c r="E162" s="11">
        <f>A162-'Mastercurve bestimmen'!$B$2</f>
        <v>57</v>
      </c>
      <c r="F162" s="11">
        <f t="shared" si="15"/>
        <v>20.9044016113636</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21.3736943280684</v>
      </c>
      <c r="E163" s="11">
        <f>A163-'Mastercurve bestimmen'!$B$2</f>
        <v>58</v>
      </c>
      <c r="F163" s="11">
        <f t="shared" si="15"/>
        <v>21.3736943280684</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21.837945117397528</v>
      </c>
      <c r="E164" s="11">
        <f>A164-'Mastercurve bestimmen'!$B$2</f>
        <v>59</v>
      </c>
      <c r="F164" s="11">
        <f t="shared" si="15"/>
        <v>21.837945117397528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22.296622210987561</v>
      </c>
      <c r="E165" s="11">
        <f>A165-'Mastercurve bestimmen'!$B$2</f>
        <v>60</v>
      </c>
      <c r="F165" s="11">
        <f t="shared" si="15"/>
        <v>22.296622210987561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22.749193840475073</v>
      </c>
      <c r="E166" s="11">
        <f>A166-'Mastercurve bestimmen'!$B$2</f>
        <v>61</v>
      </c>
      <c r="F166" s="11">
        <f t="shared" si="15"/>
        <v>22.749193840475073</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23.195128237496643</v>
      </c>
      <c r="E167" s="11">
        <f>A167-'Mastercurve bestimmen'!$B$2</f>
        <v>62</v>
      </c>
      <c r="F167" s="11">
        <f t="shared" si="15"/>
        <v>23.195128237496643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23.633893633688842</v>
      </c>
      <c r="E168" s="11">
        <f>A168-'Mastercurve bestimmen'!$B$2</f>
        <v>63</v>
      </c>
      <c r="F168" s="11">
        <f t="shared" si="15"/>
        <v>23.633893633688842</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24.064958260688254</v>
      </c>
      <c r="E169" s="11">
        <f>A169-'Mastercurve bestimmen'!$B$2</f>
        <v>64</v>
      </c>
      <c r="F169" s="11">
        <f t="shared" si="15"/>
        <v>24.064958260688254</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24.487790350131448</v>
      </c>
      <c r="E170" s="11">
        <f>A170-'Mastercurve bestimmen'!$B$2</f>
        <v>65</v>
      </c>
      <c r="F170" s="11">
        <f t="shared" si="15"/>
        <v>24.487790350131448</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24.901858133655004</v>
      </c>
      <c r="E171" s="11">
        <f>A171-'Mastercurve bestimmen'!$B$2</f>
        <v>66</v>
      </c>
      <c r="F171" s="11">
        <f t="shared" si="15"/>
        <v>24.901858133655004</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25.306629842895493</v>
      </c>
      <c r="E172" s="11">
        <f>A172-'Mastercurve bestimmen'!$B$2</f>
        <v>67</v>
      </c>
      <c r="F172" s="11">
        <f t="shared" si="15"/>
        <v>25.306629842895493</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25.701573709489498</v>
      </c>
      <c r="E173" s="11">
        <f>A173-'Mastercurve bestimmen'!$B$2</f>
        <v>68</v>
      </c>
      <c r="F173" s="11">
        <f t="shared" si="15"/>
        <v>25.701573709489498</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26.086157965073589</v>
      </c>
      <c r="E174" s="11">
        <f>A174-'Mastercurve bestimmen'!$B$2</f>
        <v>69</v>
      </c>
      <c r="F174" s="11">
        <f t="shared" si="15"/>
        <v>26.086157965073589</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26.45985084128435</v>
      </c>
      <c r="E175" s="11">
        <f>A175-'Mastercurve bestimmen'!$B$2</f>
        <v>70</v>
      </c>
      <c r="F175" s="11">
        <f t="shared" si="15"/>
        <v>26.45985084128435</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26.822120569758351</v>
      </c>
      <c r="E176" s="11">
        <f>A176-'Mastercurve bestimmen'!$B$2</f>
        <v>71</v>
      </c>
      <c r="F176" s="11">
        <f t="shared" si="15"/>
        <v>26.822120569758351</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27.172435382132164</v>
      </c>
      <c r="E177" s="11">
        <f>A177-'Mastercurve bestimmen'!$B$2</f>
        <v>72</v>
      </c>
      <c r="F177" s="11">
        <f t="shared" si="15"/>
        <v>27.172435382132164</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27.510263510042375</v>
      </c>
      <c r="E178" s="11">
        <f>A178-'Mastercurve bestimmen'!$B$2</f>
        <v>73</v>
      </c>
      <c r="F178" s="11">
        <f t="shared" si="15"/>
        <v>27.510263510042375</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27.835073185125552</v>
      </c>
      <c r="E179" s="11">
        <f>A179-'Mastercurve bestimmen'!$B$2</f>
        <v>74</v>
      </c>
      <c r="F179" s="11">
        <f t="shared" si="15"/>
        <v>27.835073185125552</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28.146332639018283</v>
      </c>
      <c r="E180" s="11">
        <f>A180-'Mastercurve bestimmen'!$B$2</f>
        <v>75</v>
      </c>
      <c r="F180" s="11">
        <f t="shared" si="15"/>
        <v>28.146332639018283</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28.443665788510806</v>
      </c>
      <c r="E181" s="11">
        <f>A181-'Mastercurve bestimmen'!$B$2</f>
        <v>76</v>
      </c>
      <c r="F181" s="11">
        <f t="shared" si="15"/>
        <v>28.443665788510806</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28.72731929100814</v>
      </c>
      <c r="E182" s="11">
        <f>A182-'Mastercurve bestimmen'!$B$2</f>
        <v>77</v>
      </c>
      <c r="F182" s="11">
        <f t="shared" si="15"/>
        <v>28.72731929100814</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28.99769548906896</v>
      </c>
      <c r="E183" s="11">
        <f>A183-'Mastercurve bestimmen'!$B$2</f>
        <v>78</v>
      </c>
      <c r="F183" s="11">
        <f t="shared" si="15"/>
        <v>28.99769548906896</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29.255196725251949</v>
      </c>
      <c r="E184" s="11">
        <f>A184-'Mastercurve bestimmen'!$B$2</f>
        <v>79</v>
      </c>
      <c r="F184" s="11">
        <f t="shared" si="15"/>
        <v>29.255196725251949</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29.500225342115787</v>
      </c>
      <c r="E185" s="11">
        <f>A185-'Mastercurve bestimmen'!$B$2</f>
        <v>80</v>
      </c>
      <c r="F185" s="11">
        <f t="shared" si="15"/>
        <v>29.500225342115787</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29.733183682219156</v>
      </c>
      <c r="E186" s="11">
        <f>A186-'Mastercurve bestimmen'!$B$2</f>
        <v>81</v>
      </c>
      <c r="F186" s="11">
        <f t="shared" si="15"/>
        <v>29.733183682219156</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29.954474088120744</v>
      </c>
      <c r="E187" s="11">
        <f>A187-'Mastercurve bestimmen'!$B$2</f>
        <v>82</v>
      </c>
      <c r="F187" s="11">
        <f t="shared" si="15"/>
        <v>29.954474088120744</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30.164498902379226</v>
      </c>
      <c r="E188" s="11">
        <f>A188-'Mastercurve bestimmen'!$B$2</f>
        <v>83</v>
      </c>
      <c r="F188" s="11">
        <f t="shared" si="15"/>
        <v>30.164498902379226</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30.363660467553288</v>
      </c>
      <c r="E189" s="11">
        <f>A189-'Mastercurve bestimmen'!$B$2</f>
        <v>84</v>
      </c>
      <c r="F189" s="11">
        <f t="shared" si="15"/>
        <v>30.363660467553288</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30.552361126201614</v>
      </c>
      <c r="E190" s="11">
        <f>A190-'Mastercurve bestimmen'!$B$2</f>
        <v>85</v>
      </c>
      <c r="F190" s="11">
        <f t="shared" si="15"/>
        <v>30.552361126201614</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30.731003220882883</v>
      </c>
      <c r="E191" s="11">
        <f>A191-'Mastercurve bestimmen'!$B$2</f>
        <v>86</v>
      </c>
      <c r="F191" s="11">
        <f t="shared" si="15"/>
        <v>30.731003220882883</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30.899989094155782</v>
      </c>
      <c r="E192" s="11">
        <f>A192-'Mastercurve bestimmen'!$B$2</f>
        <v>87</v>
      </c>
      <c r="F192" s="11">
        <f t="shared" si="15"/>
        <v>30.899989094155782</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31.059721088578989</v>
      </c>
      <c r="E193" s="11">
        <f>A193-'Mastercurve bestimmen'!$B$2</f>
        <v>88</v>
      </c>
      <c r="F193" s="11">
        <f t="shared" si="15"/>
        <v>31.059721088578989</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31.210601546711182</v>
      </c>
      <c r="E194" s="11">
        <f>A194-'Mastercurve bestimmen'!$B$2</f>
        <v>89</v>
      </c>
      <c r="F194" s="11">
        <f t="shared" si="15"/>
        <v>31.210601546711182</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31.353032811111046</v>
      </c>
      <c r="E195" s="11">
        <f>A195-'Mastercurve bestimmen'!$B$2</f>
        <v>90</v>
      </c>
      <c r="F195" s="11">
        <f t="shared" si="15"/>
        <v>31.353032811111046</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31.487417224337271</v>
      </c>
      <c r="E196" s="11">
        <f>A196-'Mastercurve bestimmen'!$B$2</f>
        <v>91</v>
      </c>
      <c r="F196" s="11">
        <f t="shared" si="15"/>
        <v>31.487417224337271</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31.614157128948527</v>
      </c>
      <c r="E197" s="11">
        <f>A197-'Mastercurve bestimmen'!$B$2</f>
        <v>92</v>
      </c>
      <c r="F197" s="11">
        <f t="shared" si="15"/>
        <v>31.614157128948527</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31.733654867503503</v>
      </c>
      <c r="E198" s="11">
        <f>A198-'Mastercurve bestimmen'!$B$2</f>
        <v>93</v>
      </c>
      <c r="F198" s="11">
        <f t="shared" si="15"/>
        <v>31.733654867503503</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31.846312782560886</v>
      </c>
      <c r="E199" s="11">
        <f>A199-'Mastercurve bestimmen'!$B$2</f>
        <v>94</v>
      </c>
      <c r="F199" s="11">
        <f t="shared" si="15"/>
        <v>31.846312782560886</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31.952533216679349</v>
      </c>
      <c r="E200" s="11">
        <f>A200-'Mastercurve bestimmen'!$B$2</f>
        <v>95</v>
      </c>
      <c r="F200" s="11">
        <f t="shared" si="15"/>
        <v>31.952533216679349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32.052718512417584</v>
      </c>
      <c r="E201" s="11">
        <f>A201-'Mastercurve bestimmen'!$B$2</f>
        <v>96</v>
      </c>
      <c r="F201" s="11">
        <f t="shared" si="15"/>
        <v>32.052718512417584</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32.147271012334265</v>
      </c>
      <c r="E202" s="11">
        <f>A202-'Mastercurve bestimmen'!$B$2</f>
        <v>97</v>
      </c>
      <c r="F202" s="11">
        <f t="shared" si="15"/>
        <v>32.147271012334265</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32.23659305898807</v>
      </c>
      <c r="E203" s="11">
        <f>A203-'Mastercurve bestimmen'!$B$2</f>
        <v>98</v>
      </c>
      <c r="F203" s="11">
        <f t="shared" si="15"/>
        <v>32.23659305898807</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32.321086994937701</v>
      </c>
      <c r="E204" s="11">
        <f>A204-'Mastercurve bestimmen'!$B$2</f>
        <v>99</v>
      </c>
      <c r="F204" s="11">
        <f t="shared" si="15"/>
        <v>32.321086994937701</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32.401155162741816</v>
      </c>
      <c r="E205" s="11">
        <f>A205-'Mastercurve bestimmen'!$B$2</f>
        <v>100</v>
      </c>
      <c r="F205" s="11">
        <f t="shared" si="15"/>
        <v>32.401155162741816</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32.477199904959114</v>
      </c>
      <c r="E206" s="11">
        <f>A206-'Mastercurve bestimmen'!$B$2</f>
        <v>101</v>
      </c>
      <c r="F206" s="11">
        <f t="shared" si="15"/>
        <v>32.477199904959114</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32.54962356414827</v>
      </c>
      <c r="E207" s="11">
        <f>A207-'Mastercurve bestimmen'!$B$2</f>
        <v>102</v>
      </c>
      <c r="F207" s="11">
        <f t="shared" si="15"/>
        <v>32.54962356414827</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32.618828482867968</v>
      </c>
      <c r="E208" s="11">
        <f>A208-'Mastercurve bestimmen'!$B$2</f>
        <v>103</v>
      </c>
      <c r="F208" s="11">
        <f t="shared" ref="F208:F215" si="21">B208</f>
        <v>32.618828482867968</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32.685217003676897</v>
      </c>
      <c r="E209" s="11">
        <f>A209-'Mastercurve bestimmen'!$B$2</f>
        <v>104</v>
      </c>
      <c r="F209" s="11">
        <f t="shared" si="21"/>
        <v>32.685217003676897</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32.74919146913372</v>
      </c>
      <c r="E210" s="11">
        <f>A210-'Mastercurve bestimmen'!$B$2</f>
        <v>105</v>
      </c>
      <c r="F210" s="11">
        <f t="shared" si="21"/>
        <v>32.74919146913372</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32.811154221797139</v>
      </c>
      <c r="E211" s="11">
        <f>A211-'Mastercurve bestimmen'!$B$2</f>
        <v>106</v>
      </c>
      <c r="F211" s="11">
        <f t="shared" si="21"/>
        <v>32.811154221797139</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32.871507604225833</v>
      </c>
      <c r="E212" s="11">
        <f>A212-'Mastercurve bestimmen'!$B$2</f>
        <v>107</v>
      </c>
      <c r="F212" s="11">
        <f t="shared" si="21"/>
        <v>32.871507604225833</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32.930653958978475</v>
      </c>
      <c r="E213" s="11">
        <f>A213-'Mastercurve bestimmen'!$B$2</f>
        <v>108</v>
      </c>
      <c r="F213" s="11">
        <f t="shared" si="21"/>
        <v>32.930653958978475</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32.98899562861375</v>
      </c>
      <c r="E214" s="11">
        <f>A214-'Mastercurve bestimmen'!$B$2</f>
        <v>109</v>
      </c>
      <c r="F214" s="11">
        <f t="shared" si="21"/>
        <v>32.98899562861375</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33.046934955690347</v>
      </c>
      <c r="E215" s="11">
        <f>A215-'Mastercurve bestimmen'!$B$2</f>
        <v>110</v>
      </c>
      <c r="F215" s="11">
        <f t="shared" si="21"/>
        <v>33.046934955690347</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0.17681445085985728</v>
      </c>
      <c r="J217" s="98">
        <v>2.2759959410408102E-3</v>
      </c>
      <c r="K217" s="98">
        <v>4.9751162006110606E-5</v>
      </c>
      <c r="L217" s="98">
        <v>-1.7930933156983167E-7</v>
      </c>
      <c r="M217" s="98">
        <v>-8.5978514336081242E-9</v>
      </c>
      <c r="N217" s="98">
        <v>1.4931183928185842E-11</v>
      </c>
      <c r="O217" s="98">
        <v>4.2428826946100552E-13</v>
      </c>
      <c r="P217" s="98">
        <v>-1.1354563677137034E-15</v>
      </c>
    </row>
    <row r="218" spans="1:16" x14ac:dyDescent="0.25">
      <c r="G218" s="11"/>
      <c r="H218" s="11">
        <v>0</v>
      </c>
      <c r="I218" s="11">
        <v>6.1629056265040752E-4</v>
      </c>
      <c r="J218" s="11">
        <v>1.38419379492338E-5</v>
      </c>
      <c r="K218" s="3">
        <v>5.1765069529568746E-7</v>
      </c>
      <c r="L218" s="3">
        <v>7.7713426398135352E-9</v>
      </c>
      <c r="M218" s="3">
        <v>1.2638925803049325E-10</v>
      </c>
      <c r="N218" s="3">
        <v>1.4612662594807639E-12</v>
      </c>
      <c r="O218" s="11">
        <v>9.1528866926439037E-15</v>
      </c>
      <c r="P218" s="11">
        <v>9.2386712593470991E-17</v>
      </c>
    </row>
    <row r="219" spans="1:16" x14ac:dyDescent="0.25">
      <c r="G219" s="11"/>
      <c r="H219" s="11">
        <v>0.9999841950734123</v>
      </c>
      <c r="I219" s="11">
        <v>6.9067530287348106E-2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-11.987663299237143</v>
      </c>
      <c r="G222">
        <f>F15</f>
        <v>-11.767742998078067</v>
      </c>
    </row>
    <row r="223" spans="1:16" x14ac:dyDescent="0.25">
      <c r="E223" s="11">
        <f t="shared" ref="E223:E286" si="25">E16</f>
        <v>-89</v>
      </c>
      <c r="F223" s="11">
        <f t="shared" ref="F223:F286" si="26">$H$217*0+E223*$I$217+E223^2*$J$217+E223^3*$K$217+E223^4*$L$217+E223^5*$M$217+E223^6*$N$217+E223^7*$O$217+E223^8*$P$217</f>
        <v>-11.836847262867625</v>
      </c>
      <c r="G223" s="11">
        <f t="shared" ref="G223:G286" si="27">F16</f>
        <v>-11.714626737219531</v>
      </c>
    </row>
    <row r="224" spans="1:16" x14ac:dyDescent="0.25">
      <c r="E224" s="11">
        <f t="shared" si="25"/>
        <v>-88</v>
      </c>
      <c r="F224" s="11">
        <f t="shared" si="26"/>
        <v>-11.706890654494131</v>
      </c>
      <c r="G224" s="11">
        <f t="shared" si="27"/>
        <v>-11.661343088512195</v>
      </c>
    </row>
    <row r="225" spans="5:7" x14ac:dyDescent="0.25">
      <c r="E225" s="11">
        <f t="shared" si="25"/>
        <v>-87</v>
      </c>
      <c r="F225" s="11">
        <f t="shared" si="26"/>
        <v>-11.594858023712103</v>
      </c>
      <c r="G225" s="11">
        <f t="shared" si="27"/>
        <v>-11.607724664107259</v>
      </c>
    </row>
    <row r="226" spans="5:7" x14ac:dyDescent="0.25">
      <c r="E226" s="11">
        <f t="shared" si="25"/>
        <v>-86</v>
      </c>
      <c r="F226" s="11">
        <f t="shared" si="26"/>
        <v>-11.498043137567878</v>
      </c>
      <c r="G226" s="11">
        <f t="shared" si="27"/>
        <v>-11.553604076155922</v>
      </c>
    </row>
    <row r="227" spans="5:7" x14ac:dyDescent="0.25">
      <c r="E227" s="11">
        <f t="shared" si="25"/>
        <v>-85</v>
      </c>
      <c r="F227" s="11">
        <f t="shared" si="26"/>
        <v>-11.413957653890895</v>
      </c>
      <c r="G227" s="11">
        <f t="shared" si="27"/>
        <v>-11.498813936809382</v>
      </c>
    </row>
    <row r="228" spans="5:7" x14ac:dyDescent="0.25">
      <c r="E228" s="11">
        <f t="shared" si="25"/>
        <v>-84</v>
      </c>
      <c r="F228" s="11">
        <f t="shared" si="26"/>
        <v>-11.340320143189381</v>
      </c>
      <c r="G228" s="11">
        <f t="shared" si="27"/>
        <v>-11.443186858218844</v>
      </c>
    </row>
    <row r="229" spans="5:7" x14ac:dyDescent="0.25">
      <c r="E229" s="11">
        <f t="shared" si="25"/>
        <v>-83</v>
      </c>
      <c r="F229" s="11">
        <f t="shared" si="26"/>
        <v>-11.275045453010812</v>
      </c>
      <c r="G229" s="11">
        <f t="shared" si="27"/>
        <v>-11.386555452535502</v>
      </c>
    </row>
    <row r="230" spans="5:7" x14ac:dyDescent="0.25">
      <c r="E230" s="11">
        <f t="shared" si="25"/>
        <v>-82</v>
      </c>
      <c r="F230" s="11">
        <f t="shared" si="26"/>
        <v>-11.216234408714536</v>
      </c>
      <c r="G230" s="11">
        <f t="shared" si="27"/>
        <v>-11.328752331910559</v>
      </c>
    </row>
    <row r="231" spans="5:7" x14ac:dyDescent="0.25">
      <c r="E231" s="11">
        <f t="shared" si="25"/>
        <v>-81</v>
      </c>
      <c r="F231" s="11">
        <f t="shared" si="26"/>
        <v>-11.162163844649633</v>
      </c>
      <c r="G231" s="11">
        <f t="shared" si="27"/>
        <v>-11.269610108495215</v>
      </c>
    </row>
    <row r="232" spans="5:7" x14ac:dyDescent="0.25">
      <c r="E232" s="11">
        <f t="shared" si="25"/>
        <v>-80</v>
      </c>
      <c r="F232" s="11">
        <f t="shared" si="26"/>
        <v>-11.111276959776573</v>
      </c>
      <c r="G232" s="11">
        <f t="shared" si="27"/>
        <v>-11.208961394440665</v>
      </c>
    </row>
    <row r="233" spans="5:7" x14ac:dyDescent="0.25">
      <c r="E233" s="11">
        <f t="shared" si="25"/>
        <v>-79</v>
      </c>
      <c r="F233" s="11">
        <f t="shared" si="26"/>
        <v>-11.062173991817668</v>
      </c>
      <c r="G233" s="11">
        <f t="shared" si="27"/>
        <v>-11.146638801898115</v>
      </c>
    </row>
    <row r="234" spans="5:7" x14ac:dyDescent="0.25">
      <c r="E234" s="11">
        <f t="shared" si="25"/>
        <v>-78</v>
      </c>
      <c r="F234" s="11">
        <f t="shared" si="26"/>
        <v>-11.013603204066371</v>
      </c>
      <c r="G234" s="11">
        <f t="shared" si="27"/>
        <v>-11.082474943018759</v>
      </c>
    </row>
    <row r="235" spans="5:7" x14ac:dyDescent="0.25">
      <c r="E235" s="11">
        <f t="shared" si="25"/>
        <v>-77</v>
      </c>
      <c r="F235" s="11">
        <f t="shared" si="26"/>
        <v>-10.964452179031774</v>
      </c>
      <c r="G235" s="11">
        <f t="shared" si="27"/>
        <v>-11.0163024299538</v>
      </c>
    </row>
    <row r="236" spans="5:7" x14ac:dyDescent="0.25">
      <c r="E236" s="11">
        <f t="shared" si="25"/>
        <v>-76</v>
      </c>
      <c r="F236" s="11">
        <f t="shared" si="26"/>
        <v>-10.913739413140187</v>
      </c>
      <c r="G236" s="11">
        <f t="shared" si="27"/>
        <v>-10.94795387485444</v>
      </c>
    </row>
    <row r="237" spans="5:7" x14ac:dyDescent="0.25">
      <c r="E237" s="11">
        <f t="shared" si="25"/>
        <v>-75</v>
      </c>
      <c r="F237" s="11">
        <f t="shared" si="26"/>
        <v>-10.860606206761535</v>
      </c>
      <c r="G237" s="11">
        <f t="shared" si="27"/>
        <v>-10.877261889871875</v>
      </c>
    </row>
    <row r="238" spans="5:7" x14ac:dyDescent="0.25">
      <c r="E238" s="11">
        <f t="shared" si="25"/>
        <v>-74</v>
      </c>
      <c r="F238" s="11">
        <f t="shared" si="26"/>
        <v>-10.804308843874111</v>
      </c>
      <c r="G238" s="11">
        <f t="shared" si="27"/>
        <v>-10.804059087157302</v>
      </c>
    </row>
    <row r="239" spans="5:7" x14ac:dyDescent="0.25">
      <c r="E239" s="11">
        <f t="shared" si="25"/>
        <v>-73</v>
      </c>
      <c r="F239" s="11">
        <f t="shared" si="26"/>
        <v>-10.744211055726991</v>
      </c>
      <c r="G239" s="11">
        <f t="shared" si="27"/>
        <v>-10.728178078861928</v>
      </c>
    </row>
    <row r="240" spans="5:7" x14ac:dyDescent="0.25">
      <c r="E240" s="11">
        <f t="shared" si="25"/>
        <v>-72</v>
      </c>
      <c r="F240" s="11">
        <f t="shared" si="26"/>
        <v>-10.679776762905066</v>
      </c>
      <c r="G240" s="11">
        <f t="shared" si="27"/>
        <v>-10.64945147713695</v>
      </c>
    </row>
    <row r="241" spans="5:7" x14ac:dyDescent="0.25">
      <c r="E241" s="11">
        <f t="shared" si="25"/>
        <v>-71</v>
      </c>
      <c r="F241" s="11">
        <f t="shared" si="26"/>
        <v>-10.610563090247739</v>
      </c>
      <c r="G241" s="11">
        <f t="shared" si="27"/>
        <v>-10.567711894133563</v>
      </c>
    </row>
    <row r="242" spans="5:7" x14ac:dyDescent="0.25">
      <c r="E242" s="11">
        <f t="shared" si="25"/>
        <v>-70</v>
      </c>
      <c r="F242" s="11">
        <f t="shared" si="26"/>
        <v>-10.536213649117803</v>
      </c>
      <c r="G242" s="11">
        <f t="shared" si="27"/>
        <v>-10.482791942002974</v>
      </c>
    </row>
    <row r="243" spans="5:7" x14ac:dyDescent="0.25">
      <c r="E243" s="11">
        <f t="shared" si="25"/>
        <v>-69</v>
      </c>
      <c r="F243" s="11">
        <f t="shared" si="26"/>
        <v>-10.456452081562944</v>
      </c>
      <c r="G243" s="11">
        <f t="shared" si="27"/>
        <v>-10.394524232896377</v>
      </c>
    </row>
    <row r="244" spans="5:7" x14ac:dyDescent="0.25">
      <c r="E244" s="11">
        <f t="shared" si="25"/>
        <v>-68</v>
      </c>
      <c r="F244" s="11">
        <f t="shared" si="26"/>
        <v>-10.371075860958021</v>
      </c>
      <c r="G244" s="11">
        <f t="shared" si="27"/>
        <v>-10.302741378964974</v>
      </c>
    </row>
    <row r="245" spans="5:7" x14ac:dyDescent="0.25">
      <c r="E245" s="11">
        <f t="shared" si="25"/>
        <v>-67</v>
      </c>
      <c r="F245" s="11">
        <f t="shared" si="26"/>
        <v>-10.279950343762277</v>
      </c>
      <c r="G245" s="11">
        <f t="shared" si="27"/>
        <v>-10.207275992359966</v>
      </c>
    </row>
    <row r="246" spans="5:7" x14ac:dyDescent="0.25">
      <c r="E246" s="11">
        <f t="shared" si="25"/>
        <v>-66</v>
      </c>
      <c r="F246" s="11">
        <f t="shared" si="26"/>
        <v>-10.18300306707104</v>
      </c>
      <c r="G246" s="11">
        <f t="shared" si="27"/>
        <v>-10.107960685232548</v>
      </c>
    </row>
    <row r="247" spans="5:7" x14ac:dyDescent="0.25">
      <c r="E247" s="11">
        <f t="shared" si="25"/>
        <v>-65</v>
      </c>
      <c r="F247" s="11">
        <f t="shared" si="26"/>
        <v>-10.080218286687586</v>
      </c>
      <c r="G247" s="11">
        <f t="shared" si="27"/>
        <v>-10.004628069733927</v>
      </c>
    </row>
    <row r="248" spans="5:7" x14ac:dyDescent="0.25">
      <c r="E248" s="11">
        <f t="shared" si="25"/>
        <v>-64</v>
      </c>
      <c r="F248" s="11">
        <f t="shared" si="26"/>
        <v>-9.971631750486452</v>
      </c>
      <c r="G248" s="11">
        <f t="shared" si="27"/>
        <v>-9.8971107580152982</v>
      </c>
    </row>
    <row r="249" spans="5:7" x14ac:dyDescent="0.25">
      <c r="E249" s="11">
        <f t="shared" si="25"/>
        <v>-63</v>
      </c>
      <c r="F249" s="11">
        <f t="shared" si="26"/>
        <v>-9.8573257018853369</v>
      </c>
      <c r="G249" s="11">
        <f t="shared" si="27"/>
        <v>-9.7852413622278611</v>
      </c>
    </row>
    <row r="250" spans="5:7" x14ac:dyDescent="0.25">
      <c r="E250" s="11">
        <f t="shared" si="25"/>
        <v>-62</v>
      </c>
      <c r="F250" s="11">
        <f t="shared" si="26"/>
        <v>-9.7374241082884296</v>
      </c>
      <c r="G250" s="11">
        <f t="shared" si="27"/>
        <v>-9.6688524945228149</v>
      </c>
    </row>
    <row r="251" spans="5:7" x14ac:dyDescent="0.25">
      <c r="E251" s="11">
        <f t="shared" si="25"/>
        <v>-61</v>
      </c>
      <c r="F251" s="11">
        <f t="shared" si="26"/>
        <v>-9.6120881094099193</v>
      </c>
      <c r="G251" s="11">
        <f t="shared" si="27"/>
        <v>-9.5477767670513618</v>
      </c>
    </row>
    <row r="252" spans="5:7" x14ac:dyDescent="0.25">
      <c r="E252" s="11">
        <f t="shared" si="25"/>
        <v>-60</v>
      </c>
      <c r="F252" s="11">
        <f t="shared" si="26"/>
        <v>-9.4815116804320567</v>
      </c>
      <c r="G252" s="11">
        <f t="shared" si="27"/>
        <v>-9.4218467919647004</v>
      </c>
    </row>
    <row r="253" spans="5:7" x14ac:dyDescent="0.25">
      <c r="E253" s="11">
        <f t="shared" si="25"/>
        <v>-59</v>
      </c>
      <c r="F253" s="11">
        <f t="shared" si="26"/>
        <v>-9.3459175049980541</v>
      </c>
      <c r="G253" s="11">
        <f t="shared" si="27"/>
        <v>-9.2908951814140295</v>
      </c>
    </row>
    <row r="254" spans="5:7" x14ac:dyDescent="0.25">
      <c r="E254" s="11">
        <f t="shared" si="25"/>
        <v>-58</v>
      </c>
      <c r="F254" s="11">
        <f t="shared" si="26"/>
        <v>-9.2055530530858469</v>
      </c>
      <c r="G254" s="11">
        <f t="shared" si="27"/>
        <v>-9.1547545475505494</v>
      </c>
    </row>
    <row r="255" spans="5:7" x14ac:dyDescent="0.25">
      <c r="E255" s="11">
        <f t="shared" si="25"/>
        <v>-57</v>
      </c>
      <c r="F255" s="11">
        <f t="shared" si="26"/>
        <v>-9.0606868588544831</v>
      </c>
      <c r="G255" s="11">
        <f t="shared" si="27"/>
        <v>-9.0132575025254607</v>
      </c>
    </row>
    <row r="256" spans="5:7" x14ac:dyDescent="0.25">
      <c r="E256" s="11">
        <f t="shared" si="25"/>
        <v>-56</v>
      </c>
      <c r="F256" s="11">
        <f t="shared" si="26"/>
        <v>-8.9116049936007578</v>
      </c>
      <c r="G256" s="11">
        <f t="shared" si="27"/>
        <v>-8.8662366584899637</v>
      </c>
    </row>
    <row r="257" spans="5:7" x14ac:dyDescent="0.25">
      <c r="E257" s="11">
        <f t="shared" si="25"/>
        <v>-55</v>
      </c>
      <c r="F257" s="11">
        <f t="shared" si="26"/>
        <v>-8.758607729009416</v>
      </c>
      <c r="G257" s="11">
        <f t="shared" si="27"/>
        <v>-8.7135246275952554</v>
      </c>
    </row>
    <row r="258" spans="5:7" x14ac:dyDescent="0.25">
      <c r="E258" s="11">
        <f t="shared" si="25"/>
        <v>-54</v>
      </c>
      <c r="F258" s="11">
        <f t="shared" si="26"/>
        <v>-8.6020063859261366</v>
      </c>
      <c r="G258" s="11">
        <f t="shared" si="27"/>
        <v>-8.5549540219925362</v>
      </c>
    </row>
    <row r="259" spans="5:7" x14ac:dyDescent="0.25">
      <c r="E259" s="11">
        <f t="shared" si="25"/>
        <v>-53</v>
      </c>
      <c r="F259" s="11">
        <f t="shared" si="26"/>
        <v>-8.4421203639281188</v>
      </c>
      <c r="G259" s="11">
        <f t="shared" si="27"/>
        <v>-8.3903574538330083</v>
      </c>
    </row>
    <row r="260" spans="5:7" x14ac:dyDescent="0.25">
      <c r="E260" s="11">
        <f t="shared" si="25"/>
        <v>-52</v>
      </c>
      <c r="F260" s="11">
        <f t="shared" si="26"/>
        <v>-8.2792743470130947</v>
      </c>
      <c r="G260" s="11">
        <f t="shared" si="27"/>
        <v>-8.2195675352678688</v>
      </c>
    </row>
    <row r="261" spans="5:7" x14ac:dyDescent="0.25">
      <c r="E261" s="11">
        <f t="shared" si="25"/>
        <v>-51</v>
      </c>
      <c r="F261" s="11">
        <f t="shared" si="26"/>
        <v>-8.1137956807731904</v>
      </c>
      <c r="G261" s="11">
        <f t="shared" si="27"/>
        <v>-8.0424168784483179</v>
      </c>
    </row>
    <row r="262" spans="5:7" x14ac:dyDescent="0.25">
      <c r="E262" s="11">
        <f t="shared" si="25"/>
        <v>-50</v>
      </c>
      <c r="F262" s="11">
        <f t="shared" si="26"/>
        <v>-7.9460119164658982</v>
      </c>
      <c r="G262" s="11">
        <f t="shared" si="27"/>
        <v>-7.8587380955255561</v>
      </c>
    </row>
    <row r="263" spans="5:7" x14ac:dyDescent="0.25">
      <c r="E263" s="11">
        <f t="shared" si="25"/>
        <v>-49</v>
      </c>
      <c r="F263" s="11">
        <f t="shared" si="26"/>
        <v>-7.7762485174402558</v>
      </c>
      <c r="G263" s="11">
        <f t="shared" si="27"/>
        <v>-7.7301748113043622</v>
      </c>
    </row>
    <row r="264" spans="5:7" x14ac:dyDescent="0.25">
      <c r="E264" s="11">
        <f t="shared" si="25"/>
        <v>-48</v>
      </c>
      <c r="F264" s="11">
        <f t="shared" si="26"/>
        <v>-7.6048267234220557</v>
      </c>
      <c r="G264" s="11">
        <f t="shared" si="27"/>
        <v>-7.5953388591044133</v>
      </c>
    </row>
    <row r="265" spans="5:7" x14ac:dyDescent="0.25">
      <c r="E265" s="11">
        <f t="shared" si="25"/>
        <v>-47</v>
      </c>
      <c r="F265" s="11">
        <f t="shared" si="26"/>
        <v>-7.4320615682076712</v>
      </c>
      <c r="G265" s="11">
        <f t="shared" si="27"/>
        <v>-7.4546530848989656</v>
      </c>
    </row>
    <row r="266" spans="5:7" x14ac:dyDescent="0.25">
      <c r="E266" s="11">
        <f t="shared" si="25"/>
        <v>-46</v>
      </c>
      <c r="F266" s="11">
        <f t="shared" si="26"/>
        <v>-7.2582600463619134</v>
      </c>
      <c r="G266" s="11">
        <f t="shared" si="27"/>
        <v>-7.3085403346612789</v>
      </c>
    </row>
    <row r="267" spans="5:7" x14ac:dyDescent="0.25">
      <c r="E267" s="11">
        <f t="shared" si="25"/>
        <v>-45</v>
      </c>
      <c r="F267" s="11">
        <f t="shared" si="26"/>
        <v>-7.0837194245611519</v>
      </c>
      <c r="G267" s="11">
        <f t="shared" si="27"/>
        <v>-7.157423454364606</v>
      </c>
    </row>
    <row r="268" spans="5:7" x14ac:dyDescent="0.25">
      <c r="E268" s="11">
        <f t="shared" si="25"/>
        <v>-44</v>
      </c>
      <c r="F268" s="11">
        <f t="shared" si="26"/>
        <v>-6.9087256932685355</v>
      </c>
      <c r="G268" s="11">
        <f t="shared" si="27"/>
        <v>-7.0017252899822084</v>
      </c>
    </row>
    <row r="269" spans="5:7" x14ac:dyDescent="0.25">
      <c r="E269" s="11">
        <f t="shared" si="25"/>
        <v>-43</v>
      </c>
      <c r="F269" s="11">
        <f t="shared" si="26"/>
        <v>-6.7335521544742054</v>
      </c>
      <c r="G269" s="11">
        <f t="shared" si="27"/>
        <v>-6.8418686874873389</v>
      </c>
    </row>
    <row r="270" spans="5:7" x14ac:dyDescent="0.25">
      <c r="E270" s="11">
        <f t="shared" si="25"/>
        <v>-42</v>
      </c>
      <c r="F270" s="11">
        <f t="shared" si="26"/>
        <v>-6.5584581412789067</v>
      </c>
      <c r="G270" s="11">
        <f t="shared" si="27"/>
        <v>-6.6782764928532572</v>
      </c>
    </row>
    <row r="271" spans="5:7" x14ac:dyDescent="0.25">
      <c r="E271" s="11">
        <f t="shared" si="25"/>
        <v>-41</v>
      </c>
      <c r="F271" s="11">
        <f t="shared" si="26"/>
        <v>-6.3836878651453555</v>
      </c>
      <c r="G271" s="11">
        <f t="shared" si="27"/>
        <v>-6.5113715520532178</v>
      </c>
    </row>
    <row r="272" spans="5:7" x14ac:dyDescent="0.25">
      <c r="E272" s="11">
        <f t="shared" si="25"/>
        <v>-40</v>
      </c>
      <c r="F272" s="11">
        <f t="shared" si="26"/>
        <v>-6.2094693866874611</v>
      </c>
      <c r="G272" s="11">
        <f t="shared" si="27"/>
        <v>-6.3415767110604788</v>
      </c>
    </row>
    <row r="273" spans="5:7" x14ac:dyDescent="0.25">
      <c r="E273" s="11">
        <f t="shared" si="25"/>
        <v>-39</v>
      </c>
      <c r="F273" s="11">
        <f t="shared" si="26"/>
        <v>-6.0360137059132377</v>
      </c>
      <c r="G273" s="11">
        <f t="shared" si="27"/>
        <v>-6.1693148158482991</v>
      </c>
    </row>
    <row r="274" spans="5:7" x14ac:dyDescent="0.25">
      <c r="E274" s="11">
        <f t="shared" si="25"/>
        <v>-38</v>
      </c>
      <c r="F274" s="11">
        <f t="shared" si="26"/>
        <v>-5.8635139678830726</v>
      </c>
      <c r="G274" s="11">
        <f t="shared" si="27"/>
        <v>-5.9950087123899314</v>
      </c>
    </row>
    <row r="275" spans="5:7" x14ac:dyDescent="0.25">
      <c r="E275" s="11">
        <f t="shared" si="25"/>
        <v>-37</v>
      </c>
      <c r="F275" s="11">
        <f t="shared" si="26"/>
        <v>-5.6921447797907874</v>
      </c>
      <c r="G275" s="11">
        <f t="shared" si="27"/>
        <v>-5.8190812466586355</v>
      </c>
    </row>
    <row r="276" spans="5:7" x14ac:dyDescent="0.25">
      <c r="E276" s="11">
        <f t="shared" si="25"/>
        <v>-36</v>
      </c>
      <c r="F276" s="11">
        <f t="shared" si="26"/>
        <v>-5.5220616355207115</v>
      </c>
      <c r="G276" s="11">
        <f t="shared" si="27"/>
        <v>-5.6419552646276676</v>
      </c>
    </row>
    <row r="277" spans="5:7" x14ac:dyDescent="0.25">
      <c r="E277" s="11">
        <f t="shared" si="25"/>
        <v>-35</v>
      </c>
      <c r="F277" s="11">
        <f t="shared" si="26"/>
        <v>-5.3534004437797247</v>
      </c>
      <c r="G277" s="11">
        <f t="shared" si="27"/>
        <v>-5.464053612270285</v>
      </c>
    </row>
    <row r="278" spans="5:7" x14ac:dyDescent="0.25">
      <c r="E278" s="11">
        <f t="shared" si="25"/>
        <v>-34</v>
      </c>
      <c r="F278" s="11">
        <f t="shared" si="26"/>
        <v>-5.1862771559491128</v>
      </c>
      <c r="G278" s="11">
        <f t="shared" si="27"/>
        <v>-5.2857991355597438</v>
      </c>
    </row>
    <row r="279" spans="5:7" x14ac:dyDescent="0.25">
      <c r="E279" s="11">
        <f t="shared" si="25"/>
        <v>-33</v>
      </c>
      <c r="F279" s="11">
        <f t="shared" si="26"/>
        <v>-5.0207874898467262</v>
      </c>
      <c r="G279" s="11">
        <f t="shared" si="27"/>
        <v>-5.1076146804693021</v>
      </c>
    </row>
    <row r="280" spans="5:7" x14ac:dyDescent="0.25">
      <c r="E280" s="11">
        <f t="shared" si="25"/>
        <v>-32</v>
      </c>
      <c r="F280" s="11">
        <f t="shared" si="26"/>
        <v>-4.8570067456358323</v>
      </c>
      <c r="G280" s="11">
        <f t="shared" si="27"/>
        <v>-4.9299230929722153</v>
      </c>
    </row>
    <row r="281" spans="5:7" x14ac:dyDescent="0.25">
      <c r="E281" s="11">
        <f t="shared" si="25"/>
        <v>-31</v>
      </c>
      <c r="F281" s="11">
        <f t="shared" si="26"/>
        <v>-4.6949897101627478</v>
      </c>
      <c r="G281" s="11">
        <f t="shared" si="27"/>
        <v>-4.7531472190417414</v>
      </c>
    </row>
    <row r="282" spans="5:7" x14ac:dyDescent="0.25">
      <c r="E282" s="11">
        <f t="shared" si="25"/>
        <v>-30</v>
      </c>
      <c r="F282" s="11">
        <f t="shared" si="26"/>
        <v>-4.5347706460511841</v>
      </c>
      <c r="G282" s="11">
        <f t="shared" si="27"/>
        <v>-4.5777099046511358</v>
      </c>
    </row>
    <row r="283" spans="5:7" x14ac:dyDescent="0.25">
      <c r="E283" s="11">
        <f t="shared" si="25"/>
        <v>-29</v>
      </c>
      <c r="F283" s="11">
        <f t="shared" si="26"/>
        <v>-4.3763633619269733</v>
      </c>
      <c r="G283" s="11">
        <f t="shared" si="27"/>
        <v>-4.4040339957736574</v>
      </c>
    </row>
    <row r="284" spans="5:7" x14ac:dyDescent="0.25">
      <c r="E284" s="11">
        <f t="shared" si="25"/>
        <v>-28</v>
      </c>
      <c r="F284" s="11">
        <f t="shared" si="26"/>
        <v>-4.219761360192642</v>
      </c>
      <c r="G284" s="11">
        <f t="shared" si="27"/>
        <v>-4.2325423383825624</v>
      </c>
    </row>
    <row r="285" spans="5:7" x14ac:dyDescent="0.25">
      <c r="E285" s="11">
        <f t="shared" si="25"/>
        <v>-27</v>
      </c>
      <c r="F285" s="11">
        <f t="shared" si="26"/>
        <v>-4.0649380588170869</v>
      </c>
      <c r="G285" s="11">
        <f t="shared" si="27"/>
        <v>-4.0636577784511072</v>
      </c>
    </row>
    <row r="286" spans="5:7" x14ac:dyDescent="0.25">
      <c r="E286" s="11">
        <f t="shared" si="25"/>
        <v>-26</v>
      </c>
      <c r="F286" s="11">
        <f t="shared" si="26"/>
        <v>-3.9118470836513843</v>
      </c>
      <c r="G286" s="11">
        <f t="shared" si="27"/>
        <v>-3.8978031619525488</v>
      </c>
    </row>
    <row r="287" spans="5:7" x14ac:dyDescent="0.25">
      <c r="E287" s="11">
        <f t="shared" ref="E287:E350" si="28">E80</f>
        <v>-25</v>
      </c>
      <c r="F287" s="11">
        <f t="shared" ref="F287:F350" si="29">$H$217*0+E287*$I$217+E287^2*$J$217+E287^3*$K$217+E287^4*$L$217+E287^5*$M$217+E287^6*$N$217+E287^7*$O$217+E287^8*$P$217</f>
        <v>-3.7604226278275288</v>
      </c>
      <c r="G287" s="11">
        <f t="shared" ref="G287:G350" si="30">F80</f>
        <v>-3.7354013348601445</v>
      </c>
    </row>
    <row r="288" spans="5:7" x14ac:dyDescent="0.25">
      <c r="E288" s="11">
        <f t="shared" si="28"/>
        <v>-24</v>
      </c>
      <c r="F288" s="11">
        <f t="shared" si="29"/>
        <v>-3.6105798748427222</v>
      </c>
      <c r="G288" s="11">
        <f t="shared" si="30"/>
        <v>-3.5767449455992257</v>
      </c>
    </row>
    <row r="289" spans="5:7" x14ac:dyDescent="0.25">
      <c r="E289" s="11">
        <f t="shared" si="28"/>
        <v>-23</v>
      </c>
      <c r="F289" s="11">
        <f t="shared" si="29"/>
        <v>-3.4622154819775588</v>
      </c>
      <c r="G289" s="11">
        <f t="shared" si="30"/>
        <v>-3.4216058524034256</v>
      </c>
    </row>
    <row r="290" spans="5:7" x14ac:dyDescent="0.25">
      <c r="E290" s="11">
        <f t="shared" si="28"/>
        <v>-22</v>
      </c>
      <c r="F290" s="11">
        <f t="shared" si="29"/>
        <v>-3.3152081207422799</v>
      </c>
      <c r="G290" s="11">
        <f t="shared" si="30"/>
        <v>-3.2696257159584512</v>
      </c>
    </row>
    <row r="291" spans="5:7" x14ac:dyDescent="0.25">
      <c r="E291" s="11">
        <f t="shared" si="28"/>
        <v>-21</v>
      </c>
      <c r="F291" s="11">
        <f t="shared" si="29"/>
        <v>-3.1694190710910335</v>
      </c>
      <c r="G291" s="11">
        <f t="shared" si="30"/>
        <v>-3.1204461969500099</v>
      </c>
    </row>
    <row r="292" spans="5:7" x14ac:dyDescent="0.25">
      <c r="E292" s="11">
        <f t="shared" si="28"/>
        <v>-20</v>
      </c>
      <c r="F292" s="11">
        <f t="shared" si="29"/>
        <v>-3.0246928661898531</v>
      </c>
      <c r="G292" s="11">
        <f t="shared" si="30"/>
        <v>-2.9737089560638101</v>
      </c>
    </row>
    <row r="293" spans="5:7" x14ac:dyDescent="0.25">
      <c r="E293" s="11">
        <f t="shared" si="28"/>
        <v>-19</v>
      </c>
      <c r="F293" s="11">
        <f t="shared" si="29"/>
        <v>-2.8808579845698619</v>
      </c>
      <c r="G293" s="11">
        <f t="shared" si="30"/>
        <v>-2.8290556539855585</v>
      </c>
    </row>
    <row r="294" spans="5:7" x14ac:dyDescent="0.25">
      <c r="E294" s="11">
        <f t="shared" si="28"/>
        <v>-18</v>
      </c>
      <c r="F294" s="11">
        <f t="shared" si="29"/>
        <v>-2.7377275865429835</v>
      </c>
      <c r="G294" s="11">
        <f t="shared" si="30"/>
        <v>-2.6861279514009624</v>
      </c>
    </row>
    <row r="295" spans="5:7" x14ac:dyDescent="0.25">
      <c r="E295" s="11">
        <f t="shared" si="28"/>
        <v>-17</v>
      </c>
      <c r="F295" s="11">
        <f t="shared" si="29"/>
        <v>-2.5951002918032247</v>
      </c>
      <c r="G295" s="11">
        <f t="shared" si="30"/>
        <v>-2.5445675089957311</v>
      </c>
    </row>
    <row r="296" spans="5:7" x14ac:dyDescent="0.25">
      <c r="E296" s="11">
        <f t="shared" si="28"/>
        <v>-16</v>
      </c>
      <c r="F296" s="11">
        <f t="shared" si="29"/>
        <v>-2.4527609951823663</v>
      </c>
      <c r="G296" s="11">
        <f t="shared" si="30"/>
        <v>-2.4040159874555695</v>
      </c>
    </row>
    <row r="297" spans="5:7" x14ac:dyDescent="0.25">
      <c r="E297" s="11">
        <f t="shared" si="28"/>
        <v>-15</v>
      </c>
      <c r="F297" s="11">
        <f t="shared" si="29"/>
        <v>-2.310481717574715</v>
      </c>
      <c r="G297" s="11">
        <f t="shared" si="30"/>
        <v>-2.2641150474661869</v>
      </c>
    </row>
    <row r="298" spans="5:7" x14ac:dyDescent="0.25">
      <c r="E298" s="11">
        <f t="shared" si="28"/>
        <v>-14</v>
      </c>
      <c r="F298" s="11">
        <f t="shared" si="29"/>
        <v>-2.1680224890912894</v>
      </c>
      <c r="G298" s="11">
        <f t="shared" si="30"/>
        <v>-2.1245063497132906</v>
      </c>
    </row>
    <row r="299" spans="5:7" x14ac:dyDescent="0.25">
      <c r="E299" s="11">
        <f t="shared" si="28"/>
        <v>-13</v>
      </c>
      <c r="F299" s="11">
        <f t="shared" si="29"/>
        <v>-2.0251322615496656</v>
      </c>
      <c r="G299" s="11">
        <f t="shared" si="30"/>
        <v>-1.9848315548825877</v>
      </c>
    </row>
    <row r="300" spans="5:7" x14ac:dyDescent="0.25">
      <c r="E300" s="11">
        <f t="shared" si="28"/>
        <v>-12</v>
      </c>
      <c r="F300" s="11">
        <f t="shared" si="29"/>
        <v>-1.8815498474514267</v>
      </c>
      <c r="G300" s="11">
        <f t="shared" si="30"/>
        <v>-1.8447323236597861</v>
      </c>
    </row>
    <row r="301" spans="5:7" x14ac:dyDescent="0.25">
      <c r="E301" s="11">
        <f t="shared" si="28"/>
        <v>-11</v>
      </c>
      <c r="F301" s="11">
        <f t="shared" si="29"/>
        <v>-1.7370048826449909</v>
      </c>
      <c r="G301" s="11">
        <f t="shared" si="30"/>
        <v>-1.7038503167305934</v>
      </c>
    </row>
    <row r="302" spans="5:7" x14ac:dyDescent="0.25">
      <c r="E302" s="11">
        <f t="shared" si="28"/>
        <v>-10</v>
      </c>
      <c r="F302" s="11">
        <f t="shared" si="29"/>
        <v>-1.591218809917343</v>
      </c>
      <c r="G302" s="11">
        <f t="shared" si="30"/>
        <v>-1.5618271947807165</v>
      </c>
    </row>
    <row r="303" spans="5:7" x14ac:dyDescent="0.25">
      <c r="E303" s="11">
        <f t="shared" si="28"/>
        <v>-9</v>
      </c>
      <c r="F303" s="11">
        <f t="shared" si="29"/>
        <v>-1.4439058808039862</v>
      </c>
      <c r="G303" s="11">
        <f t="shared" si="30"/>
        <v>-1.4183046184958634</v>
      </c>
    </row>
    <row r="304" spans="5:7" x14ac:dyDescent="0.25">
      <c r="E304" s="11">
        <f t="shared" si="28"/>
        <v>-8</v>
      </c>
      <c r="F304" s="11">
        <f t="shared" si="29"/>
        <v>-1.2947741729522186</v>
      </c>
      <c r="G304" s="11">
        <f t="shared" si="30"/>
        <v>-1.272924248561742</v>
      </c>
    </row>
    <row r="305" spans="5:7" x14ac:dyDescent="0.25">
      <c r="E305" s="11">
        <f t="shared" si="28"/>
        <v>-7</v>
      </c>
      <c r="F305" s="11">
        <f t="shared" si="29"/>
        <v>-1.1435266204186081</v>
      </c>
      <c r="G305" s="11">
        <f t="shared" si="30"/>
        <v>-1.1253277456640591</v>
      </c>
    </row>
    <row r="306" spans="5:7" x14ac:dyDescent="0.25">
      <c r="E306" s="11">
        <f t="shared" si="28"/>
        <v>-6</v>
      </c>
      <c r="F306" s="11">
        <f t="shared" si="29"/>
        <v>-0.98986205432733554</v>
      </c>
      <c r="G306" s="11">
        <f t="shared" si="30"/>
        <v>-0.97515677048852267</v>
      </c>
    </row>
    <row r="307" spans="5:7" x14ac:dyDescent="0.25">
      <c r="E307" s="11">
        <f t="shared" si="28"/>
        <v>-5</v>
      </c>
      <c r="F307" s="11">
        <f t="shared" si="29"/>
        <v>-0.83347625136184078</v>
      </c>
      <c r="G307" s="11">
        <f t="shared" si="30"/>
        <v>-0.82205298372084012</v>
      </c>
    </row>
    <row r="308" spans="5:7" x14ac:dyDescent="0.25">
      <c r="E308" s="11">
        <f t="shared" si="28"/>
        <v>-4</v>
      </c>
      <c r="F308" s="11">
        <f t="shared" si="29"/>
        <v>-0.67406298760800398</v>
      </c>
      <c r="G308" s="11">
        <f t="shared" si="30"/>
        <v>-0.66565804604671919</v>
      </c>
    </row>
    <row r="309" spans="5:7" x14ac:dyDescent="0.25">
      <c r="E309" s="11">
        <f t="shared" si="28"/>
        <v>-3</v>
      </c>
      <c r="F309" s="11">
        <f t="shared" si="29"/>
        <v>-0.51131509531286334</v>
      </c>
      <c r="G309" s="11">
        <f t="shared" si="30"/>
        <v>-0.50561361815186712</v>
      </c>
    </row>
    <row r="310" spans="5:7" x14ac:dyDescent="0.25">
      <c r="E310" s="11">
        <f t="shared" si="28"/>
        <v>-2</v>
      </c>
      <c r="F310" s="11">
        <f t="shared" si="29"/>
        <v>-0.34492552016866324</v>
      </c>
      <c r="G310" s="11">
        <f t="shared" si="30"/>
        <v>-0.3415613607219915</v>
      </c>
    </row>
    <row r="311" spans="5:7" x14ac:dyDescent="0.25">
      <c r="E311" s="11">
        <f t="shared" si="28"/>
        <v>-1</v>
      </c>
      <c r="F311" s="11">
        <f t="shared" si="29"/>
        <v>-0.17458837677779698</v>
      </c>
      <c r="G311" s="11">
        <f t="shared" si="30"/>
        <v>-0.17314293444279988</v>
      </c>
    </row>
    <row r="312" spans="5:7" x14ac:dyDescent="0.25">
      <c r="E312" s="11">
        <f t="shared" si="28"/>
        <v>0</v>
      </c>
      <c r="F312" s="11">
        <f t="shared" si="29"/>
        <v>0</v>
      </c>
      <c r="G312" s="11">
        <f t="shared" si="30"/>
        <v>1.1102230246251565E-16</v>
      </c>
    </row>
    <row r="313" spans="5:7" x14ac:dyDescent="0.25">
      <c r="E313" s="11">
        <f t="shared" si="28"/>
        <v>1</v>
      </c>
      <c r="F313" s="11">
        <f t="shared" si="29"/>
        <v>0.17914001007107555</v>
      </c>
      <c r="G313" s="11">
        <f t="shared" si="30"/>
        <v>0.17819252947566477</v>
      </c>
    </row>
    <row r="314" spans="5:7" x14ac:dyDescent="0.25">
      <c r="E314" s="11">
        <f t="shared" si="28"/>
        <v>2</v>
      </c>
      <c r="F314" s="11">
        <f t="shared" si="29"/>
        <v>0.36312775170898964</v>
      </c>
      <c r="G314" s="11">
        <f t="shared" si="30"/>
        <v>0.36162673107330701</v>
      </c>
    </row>
    <row r="315" spans="5:7" x14ac:dyDescent="0.25">
      <c r="E315" s="11">
        <f t="shared" si="28"/>
        <v>3</v>
      </c>
      <c r="F315" s="11">
        <f t="shared" si="29"/>
        <v>0.55225399589465041</v>
      </c>
      <c r="G315" s="11">
        <f t="shared" si="30"/>
        <v>0.55046142943700338</v>
      </c>
    </row>
    <row r="316" spans="5:7" x14ac:dyDescent="0.25">
      <c r="E316" s="11">
        <f t="shared" si="28"/>
        <v>4</v>
      </c>
      <c r="F316" s="11">
        <f t="shared" si="29"/>
        <v>0.74680317351097836</v>
      </c>
      <c r="G316" s="11">
        <f t="shared" si="30"/>
        <v>0.74485544921083036</v>
      </c>
    </row>
    <row r="317" spans="5:7" x14ac:dyDescent="0.25">
      <c r="E317" s="11">
        <f t="shared" si="28"/>
        <v>5</v>
      </c>
      <c r="F317" s="11">
        <f t="shared" si="29"/>
        <v>0.94705237746184157</v>
      </c>
      <c r="G317" s="11">
        <f t="shared" si="30"/>
        <v>0.94496761503886428</v>
      </c>
    </row>
    <row r="318" spans="5:7" x14ac:dyDescent="0.25">
      <c r="E318" s="11">
        <f t="shared" si="28"/>
        <v>6</v>
      </c>
      <c r="F318" s="11">
        <f t="shared" si="29"/>
        <v>1.1532703817392183</v>
      </c>
      <c r="G318" s="11">
        <f t="shared" si="30"/>
        <v>1.150956751565182</v>
      </c>
    </row>
    <row r="319" spans="5:7" x14ac:dyDescent="0.25">
      <c r="E319" s="11">
        <f t="shared" si="28"/>
        <v>7</v>
      </c>
      <c r="F319" s="11">
        <f t="shared" si="29"/>
        <v>1.365716679416765</v>
      </c>
      <c r="G319" s="11">
        <f t="shared" si="30"/>
        <v>1.3629816834338599</v>
      </c>
    </row>
    <row r="320" spans="5:7" x14ac:dyDescent="0.25">
      <c r="E320" s="11">
        <f t="shared" si="28"/>
        <v>8</v>
      </c>
      <c r="F320" s="11">
        <f t="shared" si="29"/>
        <v>1.5846405415021882</v>
      </c>
      <c r="G320" s="11">
        <f t="shared" si="30"/>
        <v>1.5812012352889746</v>
      </c>
    </row>
    <row r="321" spans="5:7" x14ac:dyDescent="0.25">
      <c r="E321" s="11">
        <f t="shared" si="28"/>
        <v>9</v>
      </c>
      <c r="F321" s="11">
        <f t="shared" si="29"/>
        <v>1.8102800985350274</v>
      </c>
      <c r="G321" s="11">
        <f t="shared" si="30"/>
        <v>1.8057742317746026</v>
      </c>
    </row>
    <row r="322" spans="5:7" x14ac:dyDescent="0.25">
      <c r="E322" s="11">
        <f t="shared" si="28"/>
        <v>10</v>
      </c>
      <c r="F322" s="11">
        <f t="shared" si="29"/>
        <v>2.0428614467706909</v>
      </c>
      <c r="G322" s="11">
        <f t="shared" si="30"/>
        <v>2.0368594975348202</v>
      </c>
    </row>
    <row r="323" spans="5:7" x14ac:dyDescent="0.25">
      <c r="E323" s="11">
        <f t="shared" si="28"/>
        <v>11</v>
      </c>
      <c r="F323" s="11">
        <f t="shared" si="29"/>
        <v>2.2825977807457885</v>
      </c>
      <c r="G323" s="11">
        <f t="shared" si="30"/>
        <v>2.2746158572137047</v>
      </c>
    </row>
    <row r="324" spans="5:7" x14ac:dyDescent="0.25">
      <c r="E324" s="11">
        <f t="shared" si="28"/>
        <v>12</v>
      </c>
      <c r="F324" s="11">
        <f t="shared" si="29"/>
        <v>2.5296885539740277</v>
      </c>
      <c r="G324" s="11">
        <f t="shared" si="30"/>
        <v>2.5192021354553322</v>
      </c>
    </row>
    <row r="325" spans="5:7" x14ac:dyDescent="0.25">
      <c r="E325" s="11">
        <f t="shared" si="28"/>
        <v>13</v>
      </c>
      <c r="F325" s="11">
        <f t="shared" si="29"/>
        <v>2.7843186694761748</v>
      </c>
      <c r="G325" s="11">
        <f t="shared" si="30"/>
        <v>2.7707771569037787</v>
      </c>
    </row>
    <row r="326" spans="5:7" x14ac:dyDescent="0.25">
      <c r="E326" s="11">
        <f t="shared" si="28"/>
        <v>14</v>
      </c>
      <c r="F326" s="11">
        <f t="shared" si="29"/>
        <v>3.0466577018017715</v>
      </c>
      <c r="G326" s="11">
        <f t="shared" si="30"/>
        <v>3.0294997462031219</v>
      </c>
    </row>
    <row r="327" spans="5:7" x14ac:dyDescent="0.25">
      <c r="E327" s="11">
        <f t="shared" si="28"/>
        <v>15</v>
      </c>
      <c r="F327" s="11">
        <f t="shared" si="29"/>
        <v>3.3168591521545383</v>
      </c>
      <c r="G327" s="11">
        <f t="shared" si="30"/>
        <v>3.2955287279974375</v>
      </c>
    </row>
    <row r="328" spans="5:7" x14ac:dyDescent="0.25">
      <c r="E328" s="11">
        <f t="shared" si="28"/>
        <v>16</v>
      </c>
      <c r="F328" s="11">
        <f t="shared" si="29"/>
        <v>3.595059738187607</v>
      </c>
      <c r="G328" s="11">
        <f t="shared" si="30"/>
        <v>3.5690229269308023</v>
      </c>
    </row>
    <row r="329" spans="5:7" x14ac:dyDescent="0.25">
      <c r="E329" s="11">
        <f t="shared" si="28"/>
        <v>17</v>
      </c>
      <c r="F329" s="11">
        <f t="shared" si="29"/>
        <v>3.8813787199889491</v>
      </c>
      <c r="G329" s="11">
        <f t="shared" si="30"/>
        <v>3.8501411676472928</v>
      </c>
    </row>
    <row r="330" spans="5:7" x14ac:dyDescent="0.25">
      <c r="E330" s="11">
        <f t="shared" si="28"/>
        <v>18</v>
      </c>
      <c r="F330" s="11">
        <f t="shared" si="29"/>
        <v>4.1759172637315656</v>
      </c>
      <c r="G330" s="11">
        <f t="shared" si="30"/>
        <v>4.1390422747909854</v>
      </c>
    </row>
    <row r="331" spans="5:7" x14ac:dyDescent="0.25">
      <c r="E331" s="11">
        <f t="shared" si="28"/>
        <v>19</v>
      </c>
      <c r="F331" s="11">
        <f t="shared" si="29"/>
        <v>4.4787578444172498</v>
      </c>
      <c r="G331" s="11">
        <f t="shared" si="30"/>
        <v>4.4358850730059576</v>
      </c>
    </row>
    <row r="332" spans="5:7" x14ac:dyDescent="0.25">
      <c r="E332" s="11">
        <f t="shared" si="28"/>
        <v>20</v>
      </c>
      <c r="F332" s="11">
        <f t="shared" si="29"/>
        <v>4.7899636890969362</v>
      </c>
      <c r="G332" s="11">
        <f t="shared" si="30"/>
        <v>4.7408283869362844</v>
      </c>
    </row>
    <row r="333" spans="5:7" x14ac:dyDescent="0.25">
      <c r="E333" s="11">
        <f t="shared" si="28"/>
        <v>21</v>
      </c>
      <c r="F333" s="11">
        <f t="shared" si="29"/>
        <v>5.1095782619048657</v>
      </c>
      <c r="G333" s="11">
        <f t="shared" si="30"/>
        <v>5.0540310412260432</v>
      </c>
    </row>
    <row r="334" spans="5:7" x14ac:dyDescent="0.25">
      <c r="E334" s="11">
        <f t="shared" si="28"/>
        <v>22</v>
      </c>
      <c r="F334" s="11">
        <f t="shared" si="29"/>
        <v>5.4376247921980259</v>
      </c>
      <c r="G334" s="11">
        <f t="shared" si="30"/>
        <v>5.3756518605193113</v>
      </c>
    </row>
    <row r="335" spans="5:7" x14ac:dyDescent="0.25">
      <c r="E335" s="11">
        <f t="shared" si="28"/>
        <v>23</v>
      </c>
      <c r="F335" s="11">
        <f t="shared" si="29"/>
        <v>5.7741058470465338</v>
      </c>
      <c r="G335" s="11">
        <f t="shared" si="30"/>
        <v>5.7058496694601644</v>
      </c>
    </row>
    <row r="336" spans="5:7" x14ac:dyDescent="0.25">
      <c r="E336" s="11">
        <f t="shared" si="28"/>
        <v>24</v>
      </c>
      <c r="F336" s="11">
        <f t="shared" si="29"/>
        <v>6.1190029492748517</v>
      </c>
      <c r="G336" s="11">
        <f t="shared" si="30"/>
        <v>6.0447832926926779</v>
      </c>
    </row>
    <row r="337" spans="5:7" x14ac:dyDescent="0.25">
      <c r="E337" s="11">
        <f t="shared" si="28"/>
        <v>25</v>
      </c>
      <c r="F337" s="11">
        <f t="shared" si="29"/>
        <v>6.4722762422079514</v>
      </c>
      <c r="G337" s="11">
        <f t="shared" si="30"/>
        <v>6.3926115548609301</v>
      </c>
    </row>
    <row r="338" spans="5:7" x14ac:dyDescent="0.25">
      <c r="E338" s="11">
        <f t="shared" si="28"/>
        <v>26</v>
      </c>
      <c r="F338" s="11">
        <f t="shared" si="29"/>
        <v>6.8338642022307488</v>
      </c>
      <c r="G338" s="11">
        <f t="shared" si="30"/>
        <v>6.7494932806089984</v>
      </c>
    </row>
    <row r="339" spans="5:7" x14ac:dyDescent="0.25">
      <c r="E339" s="11">
        <f t="shared" si="28"/>
        <v>27</v>
      </c>
      <c r="F339" s="11">
        <f t="shared" si="29"/>
        <v>7.2036834002233396</v>
      </c>
      <c r="G339" s="11">
        <f t="shared" si="30"/>
        <v>7.1155872945809566</v>
      </c>
    </row>
    <row r="340" spans="5:7" x14ac:dyDescent="0.25">
      <c r="E340" s="11">
        <f t="shared" si="28"/>
        <v>28</v>
      </c>
      <c r="F340" s="11">
        <f t="shared" si="29"/>
        <v>7.5816283128888333</v>
      </c>
      <c r="G340" s="11">
        <f t="shared" si="30"/>
        <v>7.4910524214208829</v>
      </c>
    </row>
    <row r="341" spans="5:7" x14ac:dyDescent="0.25">
      <c r="E341" s="11">
        <f t="shared" si="28"/>
        <v>29</v>
      </c>
      <c r="F341" s="11">
        <f t="shared" si="29"/>
        <v>7.9675711849447373</v>
      </c>
      <c r="G341" s="11">
        <f t="shared" si="30"/>
        <v>7.8760474857728537</v>
      </c>
    </row>
    <row r="342" spans="5:7" x14ac:dyDescent="0.25">
      <c r="E342" s="11">
        <f t="shared" si="28"/>
        <v>30</v>
      </c>
      <c r="F342" s="11">
        <f t="shared" si="29"/>
        <v>8.3613619431030966</v>
      </c>
      <c r="G342" s="11">
        <f t="shared" si="30"/>
        <v>8.2707313122809456</v>
      </c>
    </row>
    <row r="343" spans="5:7" x14ac:dyDescent="0.25">
      <c r="E343" s="11">
        <f t="shared" si="28"/>
        <v>31</v>
      </c>
      <c r="F343" s="11">
        <f t="shared" si="29"/>
        <v>8.7628281627188311</v>
      </c>
      <c r="G343" s="11">
        <f t="shared" si="30"/>
        <v>8.6751476267546508</v>
      </c>
    </row>
    <row r="344" spans="5:7" x14ac:dyDescent="0.25">
      <c r="E344" s="11">
        <f t="shared" si="28"/>
        <v>32</v>
      </c>
      <c r="F344" s="11">
        <f t="shared" si="29"/>
        <v>9.1717750879398672</v>
      </c>
      <c r="G344" s="11">
        <f t="shared" si="30"/>
        <v>9.0888797596651312</v>
      </c>
    </row>
    <row r="345" spans="5:7" x14ac:dyDescent="0.25">
      <c r="E345" s="11">
        <f t="shared" si="28"/>
        <v>33</v>
      </c>
      <c r="F345" s="11">
        <f t="shared" si="29"/>
        <v>9.5879857061469806</v>
      </c>
      <c r="G345" s="11">
        <f t="shared" si="30"/>
        <v>9.51139594264896</v>
      </c>
    </row>
    <row r="346" spans="5:7" x14ac:dyDescent="0.25">
      <c r="E346" s="11">
        <f t="shared" si="28"/>
        <v>34</v>
      </c>
      <c r="F346" s="11">
        <f t="shared" si="29"/>
        <v>10.011220877425323</v>
      </c>
      <c r="G346" s="11">
        <f t="shared" si="30"/>
        <v>9.942164407342716</v>
      </c>
    </row>
    <row r="347" spans="5:7" x14ac:dyDescent="0.25">
      <c r="E347" s="11">
        <f t="shared" si="28"/>
        <v>35</v>
      </c>
      <c r="F347" s="11">
        <f t="shared" si="29"/>
        <v>10.44121951976406</v>
      </c>
      <c r="G347" s="11">
        <f t="shared" si="30"/>
        <v>10.380653385382972</v>
      </c>
    </row>
    <row r="348" spans="5:7" x14ac:dyDescent="0.25">
      <c r="E348" s="11">
        <f t="shared" si="28"/>
        <v>36</v>
      </c>
      <c r="F348" s="11">
        <f t="shared" si="29"/>
        <v>10.877698850634506</v>
      </c>
      <c r="G348" s="11">
        <f t="shared" si="30"/>
        <v>10.826331108406308</v>
      </c>
    </row>
    <row r="349" spans="5:7" x14ac:dyDescent="0.25">
      <c r="E349" s="11">
        <f t="shared" si="28"/>
        <v>37</v>
      </c>
      <c r="F349" s="11">
        <f t="shared" si="29"/>
        <v>11.32035468555156</v>
      </c>
      <c r="G349" s="11">
        <f t="shared" si="30"/>
        <v>11.278665808049297</v>
      </c>
    </row>
    <row r="350" spans="5:7" x14ac:dyDescent="0.25">
      <c r="E350" s="11">
        <f t="shared" si="28"/>
        <v>38</v>
      </c>
      <c r="F350" s="11">
        <f t="shared" si="29"/>
        <v>11.768861794177386</v>
      </c>
      <c r="G350" s="11">
        <f t="shared" si="30"/>
        <v>11.737125715948515</v>
      </c>
    </row>
    <row r="351" spans="5:7" x14ac:dyDescent="0.25">
      <c r="E351" s="11">
        <f t="shared" ref="E351:E414" si="31">E144</f>
        <v>39</v>
      </c>
      <c r="F351" s="11">
        <f t="shared" ref="F351:F414" si="32">$H$217*0+E351*$I$217+E351^2*$J$217+E351^3*$K$217+E351^4*$L$217+E351^5*$M$217+E351^6*$N$217+E351^7*$O$217+E351^8*$P$217</f>
        <v>12.222874314480441</v>
      </c>
      <c r="G351" s="11">
        <f t="shared" ref="G351:G414" si="33">F144</f>
        <v>12.20117906374054</v>
      </c>
    </row>
    <row r="352" spans="5:7" x14ac:dyDescent="0.25">
      <c r="E352" s="11">
        <f t="shared" si="31"/>
        <v>40</v>
      </c>
      <c r="F352" s="11">
        <f t="shared" si="32"/>
        <v>12.682026225417314</v>
      </c>
      <c r="G352" s="11">
        <f t="shared" si="33"/>
        <v>12.670294083061947</v>
      </c>
    </row>
    <row r="353" spans="5:7" x14ac:dyDescent="0.25">
      <c r="E353" s="11">
        <f t="shared" si="31"/>
        <v>41</v>
      </c>
      <c r="F353" s="11">
        <f t="shared" si="32"/>
        <v>13.145931878558967</v>
      </c>
      <c r="G353" s="11">
        <f t="shared" si="33"/>
        <v>13.143939005549313</v>
      </c>
    </row>
    <row r="354" spans="5:7" x14ac:dyDescent="0.25">
      <c r="E354" s="11">
        <f t="shared" si="31"/>
        <v>42</v>
      </c>
      <c r="F354" s="11">
        <f t="shared" si="32"/>
        <v>13.614186589037105</v>
      </c>
      <c r="G354" s="11">
        <f t="shared" si="33"/>
        <v>13.621582062839213</v>
      </c>
    </row>
    <row r="355" spans="5:7" x14ac:dyDescent="0.25">
      <c r="E355" s="11">
        <f t="shared" si="31"/>
        <v>43</v>
      </c>
      <c r="F355" s="11">
        <f t="shared" si="32"/>
        <v>14.08636728614086</v>
      </c>
      <c r="G355" s="11">
        <f t="shared" si="33"/>
        <v>14.102691486568226</v>
      </c>
    </row>
    <row r="356" spans="5:7" x14ac:dyDescent="0.25">
      <c r="E356" s="11">
        <f t="shared" si="31"/>
        <v>44</v>
      </c>
      <c r="F356" s="11">
        <f t="shared" si="32"/>
        <v>14.562033223847955</v>
      </c>
      <c r="G356" s="11">
        <f t="shared" si="33"/>
        <v>14.586735508372922</v>
      </c>
    </row>
    <row r="357" spans="5:7" x14ac:dyDescent="0.25">
      <c r="E357" s="11">
        <f t="shared" si="31"/>
        <v>45</v>
      </c>
      <c r="F357" s="11">
        <f t="shared" si="32"/>
        <v>15.040726751528814</v>
      </c>
      <c r="G357" s="11">
        <f t="shared" si="33"/>
        <v>15.073182359889884</v>
      </c>
    </row>
    <row r="358" spans="5:7" x14ac:dyDescent="0.25">
      <c r="E358" s="11">
        <f t="shared" si="31"/>
        <v>46</v>
      </c>
      <c r="F358" s="11">
        <f t="shared" si="32"/>
        <v>15.52197414501638</v>
      </c>
      <c r="G358" s="11">
        <f t="shared" si="33"/>
        <v>15.561500272755683</v>
      </c>
    </row>
    <row r="359" spans="5:7" x14ac:dyDescent="0.25">
      <c r="E359" s="11">
        <f t="shared" si="31"/>
        <v>47</v>
      </c>
      <c r="F359" s="11">
        <f t="shared" si="32"/>
        <v>16.005286498188486</v>
      </c>
      <c r="G359" s="11">
        <f t="shared" si="33"/>
        <v>16.051157478606896</v>
      </c>
    </row>
    <row r="360" spans="5:7" x14ac:dyDescent="0.25">
      <c r="E360" s="11">
        <f t="shared" si="31"/>
        <v>48</v>
      </c>
      <c r="F360" s="11">
        <f t="shared" si="32"/>
        <v>16.490160675163988</v>
      </c>
      <c r="G360" s="11">
        <f t="shared" si="33"/>
        <v>16.541622209080103</v>
      </c>
    </row>
    <row r="361" spans="5:7" x14ac:dyDescent="0.25">
      <c r="E361" s="11">
        <f t="shared" si="31"/>
        <v>49</v>
      </c>
      <c r="F361" s="11">
        <f t="shared" si="32"/>
        <v>16.976080323167903</v>
      </c>
      <c r="G361" s="11">
        <f t="shared" si="33"/>
        <v>17.032362695811873</v>
      </c>
    </row>
    <row r="362" spans="5:7" x14ac:dyDescent="0.25">
      <c r="E362" s="11">
        <f t="shared" si="31"/>
        <v>50</v>
      </c>
      <c r="F362" s="11">
        <f t="shared" si="32"/>
        <v>17.462516946075226</v>
      </c>
      <c r="G362" s="11">
        <f t="shared" si="33"/>
        <v>17.522847170438791</v>
      </c>
    </row>
    <row r="363" spans="5:7" x14ac:dyDescent="0.25">
      <c r="E363" s="11">
        <f t="shared" si="31"/>
        <v>51</v>
      </c>
      <c r="F363" s="11">
        <f t="shared" si="32"/>
        <v>17.948931038597163</v>
      </c>
      <c r="G363" s="11">
        <f t="shared" si="33"/>
        <v>18.012543864597426</v>
      </c>
    </row>
    <row r="364" spans="5:7" x14ac:dyDescent="0.25">
      <c r="E364" s="11">
        <f t="shared" si="31"/>
        <v>52</v>
      </c>
      <c r="F364" s="11">
        <f t="shared" si="32"/>
        <v>18.434773281027752</v>
      </c>
      <c r="G364" s="11">
        <f t="shared" si="33"/>
        <v>18.500921009924355</v>
      </c>
    </row>
    <row r="365" spans="5:7" x14ac:dyDescent="0.25">
      <c r="E365" s="11">
        <f t="shared" si="31"/>
        <v>53</v>
      </c>
      <c r="F365" s="11">
        <f t="shared" si="32"/>
        <v>18.919485794423213</v>
      </c>
      <c r="G365" s="11">
        <f t="shared" si="33"/>
        <v>18.987446838056155</v>
      </c>
    </row>
    <row r="366" spans="5:7" x14ac:dyDescent="0.25">
      <c r="E366" s="11">
        <f t="shared" si="31"/>
        <v>54</v>
      </c>
      <c r="F366" s="11">
        <f t="shared" si="32"/>
        <v>19.402503456040279</v>
      </c>
      <c r="G366" s="11">
        <f t="shared" si="33"/>
        <v>19.471589580629406</v>
      </c>
    </row>
    <row r="367" spans="5:7" x14ac:dyDescent="0.25">
      <c r="E367" s="11">
        <f t="shared" si="31"/>
        <v>55</v>
      </c>
      <c r="F367" s="11">
        <f t="shared" si="32"/>
        <v>19.883255274814413</v>
      </c>
      <c r="G367" s="11">
        <f t="shared" si="33"/>
        <v>19.952817469280681</v>
      </c>
    </row>
    <row r="368" spans="5:7" x14ac:dyDescent="0.25">
      <c r="E368" s="11">
        <f t="shared" si="31"/>
        <v>56</v>
      </c>
      <c r="F368" s="11">
        <f t="shared" si="32"/>
        <v>20.361165826612492</v>
      </c>
      <c r="G368" s="11">
        <f t="shared" si="33"/>
        <v>20.430598735646551</v>
      </c>
    </row>
    <row r="369" spans="5:7" x14ac:dyDescent="0.25">
      <c r="E369" s="11">
        <f t="shared" si="31"/>
        <v>57</v>
      </c>
      <c r="F369" s="11">
        <f t="shared" si="32"/>
        <v>20.835656748949418</v>
      </c>
      <c r="G369" s="11">
        <f t="shared" si="33"/>
        <v>20.9044016113636</v>
      </c>
    </row>
    <row r="370" spans="5:7" x14ac:dyDescent="0.25">
      <c r="E370" s="11">
        <f t="shared" si="31"/>
        <v>58</v>
      </c>
      <c r="F370" s="11">
        <f t="shared" si="32"/>
        <v>21.306148294811589</v>
      </c>
      <c r="G370" s="11">
        <f t="shared" si="33"/>
        <v>21.3736943280684</v>
      </c>
    </row>
    <row r="371" spans="5:7" x14ac:dyDescent="0.25">
      <c r="E371" s="11">
        <f t="shared" si="31"/>
        <v>59</v>
      </c>
      <c r="F371" s="11">
        <f t="shared" si="32"/>
        <v>21.77206094518505</v>
      </c>
      <c r="G371" s="11">
        <f t="shared" si="33"/>
        <v>21.837945117397528</v>
      </c>
    </row>
    <row r="372" spans="5:7" x14ac:dyDescent="0.25">
      <c r="E372" s="11">
        <f t="shared" si="31"/>
        <v>60</v>
      </c>
      <c r="F372" s="11">
        <f t="shared" si="32"/>
        <v>22.232817079839965</v>
      </c>
      <c r="G372" s="11">
        <f t="shared" si="33"/>
        <v>22.296622210987561</v>
      </c>
    </row>
    <row r="373" spans="5:7" x14ac:dyDescent="0.25">
      <c r="E373" s="11">
        <f t="shared" si="31"/>
        <v>61</v>
      </c>
      <c r="F373" s="11">
        <f t="shared" si="32"/>
        <v>22.687842705877362</v>
      </c>
      <c r="G373" s="11">
        <f t="shared" si="33"/>
        <v>22.749193840475073</v>
      </c>
    </row>
    <row r="374" spans="5:7" x14ac:dyDescent="0.25">
      <c r="E374" s="11">
        <f t="shared" si="31"/>
        <v>62</v>
      </c>
      <c r="F374" s="11">
        <f t="shared" si="32"/>
        <v>23.136569243498375</v>
      </c>
      <c r="G374" s="11">
        <f t="shared" si="33"/>
        <v>23.195128237496643</v>
      </c>
    </row>
    <row r="375" spans="5:7" x14ac:dyDescent="0.25">
      <c r="E375" s="11">
        <f t="shared" si="31"/>
        <v>63</v>
      </c>
      <c r="F375" s="11">
        <f t="shared" si="32"/>
        <v>23.578435368410421</v>
      </c>
      <c r="G375" s="11">
        <f t="shared" si="33"/>
        <v>23.633893633688842</v>
      </c>
    </row>
    <row r="376" spans="5:7" x14ac:dyDescent="0.25">
      <c r="E376" s="11">
        <f t="shared" si="31"/>
        <v>64</v>
      </c>
      <c r="F376" s="11">
        <f t="shared" si="32"/>
        <v>24.012888910238846</v>
      </c>
      <c r="G376" s="11">
        <f t="shared" si="33"/>
        <v>24.064958260688254</v>
      </c>
    </row>
    <row r="377" spans="5:7" x14ac:dyDescent="0.25">
      <c r="E377" s="11">
        <f t="shared" si="31"/>
        <v>65</v>
      </c>
      <c r="F377" s="11">
        <f t="shared" si="32"/>
        <v>24.439388806266987</v>
      </c>
      <c r="G377" s="11">
        <f t="shared" si="33"/>
        <v>24.487790350131448</v>
      </c>
    </row>
    <row r="378" spans="5:7" x14ac:dyDescent="0.25">
      <c r="E378" s="11">
        <f t="shared" si="31"/>
        <v>66</v>
      </c>
      <c r="F378" s="11">
        <f t="shared" si="32"/>
        <v>24.857407109781636</v>
      </c>
      <c r="G378" s="11">
        <f t="shared" si="33"/>
        <v>24.901858133655004</v>
      </c>
    </row>
    <row r="379" spans="5:7" x14ac:dyDescent="0.25">
      <c r="E379" s="11">
        <f t="shared" si="31"/>
        <v>67</v>
      </c>
      <c r="F379" s="11">
        <f t="shared" si="32"/>
        <v>25.2664310522552</v>
      </c>
      <c r="G379" s="11">
        <f t="shared" si="33"/>
        <v>25.306629842895493</v>
      </c>
    </row>
    <row r="380" spans="5:7" x14ac:dyDescent="0.25">
      <c r="E380" s="11">
        <f t="shared" si="31"/>
        <v>68</v>
      </c>
      <c r="F380" s="11">
        <f t="shared" si="32"/>
        <v>25.665965158550165</v>
      </c>
      <c r="G380" s="11">
        <f t="shared" si="33"/>
        <v>25.701573709489498</v>
      </c>
    </row>
    <row r="381" spans="5:7" x14ac:dyDescent="0.25">
      <c r="E381" s="11">
        <f t="shared" si="31"/>
        <v>69</v>
      </c>
      <c r="F381" s="11">
        <f t="shared" si="32"/>
        <v>26.055533414285385</v>
      </c>
      <c r="G381" s="11">
        <f t="shared" si="33"/>
        <v>26.086157965073589</v>
      </c>
    </row>
    <row r="382" spans="5:7" x14ac:dyDescent="0.25">
      <c r="E382" s="11">
        <f t="shared" si="31"/>
        <v>70</v>
      </c>
      <c r="F382" s="11">
        <f t="shared" si="32"/>
        <v>26.434681484458238</v>
      </c>
      <c r="G382" s="11">
        <f t="shared" si="33"/>
        <v>26.45985084128435</v>
      </c>
    </row>
    <row r="383" spans="5:7" x14ac:dyDescent="0.25">
      <c r="E383" s="11">
        <f t="shared" si="31"/>
        <v>71</v>
      </c>
      <c r="F383" s="11">
        <f t="shared" si="32"/>
        <v>26.802978982370941</v>
      </c>
      <c r="G383" s="11">
        <f t="shared" si="33"/>
        <v>26.822120569758351</v>
      </c>
    </row>
    <row r="384" spans="5:7" x14ac:dyDescent="0.25">
      <c r="E384" s="11">
        <f t="shared" si="31"/>
        <v>72</v>
      </c>
      <c r="F384" s="11">
        <f t="shared" si="32"/>
        <v>27.160021787863084</v>
      </c>
      <c r="G384" s="11">
        <f t="shared" si="33"/>
        <v>27.172435382132164</v>
      </c>
    </row>
    <row r="385" spans="5:7" x14ac:dyDescent="0.25">
      <c r="E385" s="11">
        <f t="shared" si="31"/>
        <v>73</v>
      </c>
      <c r="F385" s="11">
        <f t="shared" si="32"/>
        <v>27.505434413807262</v>
      </c>
      <c r="G385" s="11">
        <f t="shared" si="33"/>
        <v>27.510263510042375</v>
      </c>
    </row>
    <row r="386" spans="5:7" x14ac:dyDescent="0.25">
      <c r="E386" s="11">
        <f t="shared" si="31"/>
        <v>74</v>
      </c>
      <c r="F386" s="11">
        <f t="shared" si="32"/>
        <v>27.838872419778454</v>
      </c>
      <c r="G386" s="11">
        <f t="shared" si="33"/>
        <v>27.835073185125552</v>
      </c>
    </row>
    <row r="387" spans="5:7" x14ac:dyDescent="0.25">
      <c r="E387" s="11">
        <f t="shared" si="31"/>
        <v>75</v>
      </c>
      <c r="F387" s="11">
        <f t="shared" si="32"/>
        <v>28.160024871762289</v>
      </c>
      <c r="G387" s="11">
        <f t="shared" si="33"/>
        <v>28.146332639018283</v>
      </c>
    </row>
    <row r="388" spans="5:7" x14ac:dyDescent="0.25">
      <c r="E388" s="11">
        <f t="shared" si="31"/>
        <v>76</v>
      </c>
      <c r="F388" s="11">
        <f t="shared" si="32"/>
        <v>28.468616846721282</v>
      </c>
      <c r="G388" s="11">
        <f t="shared" si="33"/>
        <v>28.443665788510806</v>
      </c>
    </row>
    <row r="389" spans="5:7" x14ac:dyDescent="0.25">
      <c r="E389" s="11">
        <f t="shared" si="31"/>
        <v>77</v>
      </c>
      <c r="F389" s="11">
        <f t="shared" si="32"/>
        <v>28.764411980792698</v>
      </c>
      <c r="G389" s="11">
        <f t="shared" si="33"/>
        <v>28.72731929100814</v>
      </c>
    </row>
    <row r="390" spans="5:7" x14ac:dyDescent="0.25">
      <c r="E390" s="11">
        <f t="shared" si="31"/>
        <v>78</v>
      </c>
      <c r="F390" s="11">
        <f t="shared" si="32"/>
        <v>29.047215059845605</v>
      </c>
      <c r="G390" s="11">
        <f t="shared" si="33"/>
        <v>28.99769548906896</v>
      </c>
    </row>
    <row r="391" spans="5:7" x14ac:dyDescent="0.25">
      <c r="E391" s="11">
        <f t="shared" si="31"/>
        <v>79</v>
      </c>
      <c r="F391" s="11">
        <f t="shared" si="32"/>
        <v>29.316874651079026</v>
      </c>
      <c r="G391" s="11">
        <f t="shared" si="33"/>
        <v>29.255196725251949</v>
      </c>
    </row>
    <row r="392" spans="5:7" x14ac:dyDescent="0.25">
      <c r="E392" s="11">
        <f t="shared" si="31"/>
        <v>80</v>
      </c>
      <c r="F392" s="11">
        <f t="shared" si="32"/>
        <v>29.573285774297386</v>
      </c>
      <c r="G392" s="11">
        <f t="shared" si="33"/>
        <v>29.500225342115787</v>
      </c>
    </row>
    <row r="393" spans="5:7" x14ac:dyDescent="0.25">
      <c r="E393" s="11">
        <f t="shared" si="31"/>
        <v>81</v>
      </c>
      <c r="F393" s="11">
        <f t="shared" si="32"/>
        <v>29.816392611453495</v>
      </c>
      <c r="G393" s="11">
        <f t="shared" si="33"/>
        <v>29.733183682219156</v>
      </c>
    </row>
    <row r="394" spans="5:7" x14ac:dyDescent="0.25">
      <c r="E394" s="11">
        <f t="shared" si="31"/>
        <v>82</v>
      </c>
      <c r="F394" s="11">
        <f t="shared" si="32"/>
        <v>30.046191253003688</v>
      </c>
      <c r="G394" s="11">
        <f t="shared" si="33"/>
        <v>29.954474088120744</v>
      </c>
    </row>
    <row r="395" spans="5:7" x14ac:dyDescent="0.25">
      <c r="E395" s="11">
        <f t="shared" si="31"/>
        <v>83</v>
      </c>
      <c r="F395" s="11">
        <f t="shared" si="32"/>
        <v>30.262732479573891</v>
      </c>
      <c r="G395" s="11">
        <f t="shared" si="33"/>
        <v>30.164498902379226</v>
      </c>
    </row>
    <row r="396" spans="5:7" x14ac:dyDescent="0.25">
      <c r="E396" s="11">
        <f t="shared" si="31"/>
        <v>84</v>
      </c>
      <c r="F396" s="11">
        <f t="shared" si="32"/>
        <v>30.466124577389557</v>
      </c>
      <c r="G396" s="11">
        <f t="shared" si="33"/>
        <v>30.363660467553288</v>
      </c>
    </row>
    <row r="397" spans="5:7" x14ac:dyDescent="0.25">
      <c r="E397" s="11">
        <f t="shared" si="31"/>
        <v>85</v>
      </c>
      <c r="F397" s="11">
        <f t="shared" si="32"/>
        <v>30.656536185876792</v>
      </c>
      <c r="G397" s="11">
        <f t="shared" si="33"/>
        <v>30.552361126201614</v>
      </c>
    </row>
    <row r="398" spans="5:7" x14ac:dyDescent="0.25">
      <c r="E398" s="11">
        <f t="shared" si="31"/>
        <v>86</v>
      </c>
      <c r="F398" s="11">
        <f t="shared" si="32"/>
        <v>30.834199175795934</v>
      </c>
      <c r="G398" s="11">
        <f t="shared" si="33"/>
        <v>30.731003220882883</v>
      </c>
    </row>
    <row r="399" spans="5:7" x14ac:dyDescent="0.25">
      <c r="E399" s="11">
        <f t="shared" si="31"/>
        <v>87</v>
      </c>
      <c r="F399" s="11">
        <f t="shared" si="32"/>
        <v>30.99941155622346</v>
      </c>
      <c r="G399" s="11">
        <f t="shared" si="33"/>
        <v>30.899989094155782</v>
      </c>
    </row>
    <row r="400" spans="5:7" x14ac:dyDescent="0.25">
      <c r="E400" s="11">
        <f t="shared" si="31"/>
        <v>88</v>
      </c>
      <c r="F400" s="11">
        <f t="shared" si="32"/>
        <v>31.152540408651848</v>
      </c>
      <c r="G400" s="11">
        <f t="shared" si="33"/>
        <v>31.059721088578989</v>
      </c>
    </row>
    <row r="401" spans="5:7" x14ac:dyDescent="0.25">
      <c r="E401" s="11">
        <f t="shared" si="31"/>
        <v>89</v>
      </c>
      <c r="F401" s="11">
        <f t="shared" si="32"/>
        <v>31.294024846431604</v>
      </c>
      <c r="G401" s="11">
        <f t="shared" si="33"/>
        <v>31.210601546711182</v>
      </c>
    </row>
    <row r="402" spans="5:7" x14ac:dyDescent="0.25">
      <c r="E402" s="11">
        <f t="shared" si="31"/>
        <v>90</v>
      </c>
      <c r="F402" s="11">
        <f t="shared" si="32"/>
        <v>31.424378997733939</v>
      </c>
      <c r="G402" s="11">
        <f t="shared" si="33"/>
        <v>31.353032811111046</v>
      </c>
    </row>
    <row r="403" spans="5:7" x14ac:dyDescent="0.25">
      <c r="E403" s="11">
        <f t="shared" si="31"/>
        <v>91</v>
      </c>
      <c r="F403" s="11">
        <f t="shared" si="32"/>
        <v>31.544195010166003</v>
      </c>
      <c r="G403" s="11">
        <f t="shared" si="33"/>
        <v>31.487417224337271</v>
      </c>
    </row>
    <row r="404" spans="5:7" x14ac:dyDescent="0.25">
      <c r="E404" s="11">
        <f t="shared" si="31"/>
        <v>92</v>
      </c>
      <c r="F404" s="11">
        <f t="shared" si="32"/>
        <v>31.654146075126413</v>
      </c>
      <c r="G404" s="11">
        <f t="shared" si="33"/>
        <v>31.614157128948527</v>
      </c>
    </row>
    <row r="405" spans="5:7" x14ac:dyDescent="0.25">
      <c r="E405" s="11">
        <f t="shared" si="31"/>
        <v>93</v>
      </c>
      <c r="F405" s="11">
        <f t="shared" si="32"/>
        <v>31.754989469940945</v>
      </c>
      <c r="G405" s="11">
        <f t="shared" si="33"/>
        <v>31.733654867503503</v>
      </c>
    </row>
    <row r="406" spans="5:7" x14ac:dyDescent="0.25">
      <c r="E406" s="11">
        <f t="shared" si="31"/>
        <v>94</v>
      </c>
      <c r="F406" s="11">
        <f t="shared" si="32"/>
        <v>31.847569615774383</v>
      </c>
      <c r="G406" s="11">
        <f t="shared" si="33"/>
        <v>31.846312782560886</v>
      </c>
    </row>
    <row r="407" spans="5:7" x14ac:dyDescent="0.25">
      <c r="E407" s="11">
        <f t="shared" si="31"/>
        <v>95</v>
      </c>
      <c r="F407" s="11">
        <f t="shared" si="32"/>
        <v>31.932821149267546</v>
      </c>
      <c r="G407" s="11">
        <f t="shared" si="33"/>
        <v>31.952533216679349</v>
      </c>
    </row>
    <row r="408" spans="5:7" x14ac:dyDescent="0.25">
      <c r="E408" s="11">
        <f t="shared" si="31"/>
        <v>96</v>
      </c>
      <c r="F408" s="11">
        <f t="shared" si="32"/>
        <v>32.011772005803216</v>
      </c>
      <c r="G408" s="11">
        <f t="shared" si="33"/>
        <v>32.052718512417584</v>
      </c>
    </row>
    <row r="409" spans="5:7" x14ac:dyDescent="0.25">
      <c r="E409" s="11">
        <f t="shared" si="31"/>
        <v>97</v>
      </c>
      <c r="F409" s="11">
        <f t="shared" si="32"/>
        <v>32.085546512258716</v>
      </c>
      <c r="G409" s="11">
        <f t="shared" si="33"/>
        <v>32.147271012334265</v>
      </c>
    </row>
    <row r="410" spans="5:7" x14ac:dyDescent="0.25">
      <c r="E410" s="11">
        <f t="shared" si="31"/>
        <v>98</v>
      </c>
      <c r="F410" s="11">
        <f t="shared" si="32"/>
        <v>32.155368487057181</v>
      </c>
      <c r="G410" s="11">
        <f t="shared" si="33"/>
        <v>32.23659305898807</v>
      </c>
    </row>
    <row r="411" spans="5:7" x14ac:dyDescent="0.25">
      <c r="E411" s="11">
        <f t="shared" si="31"/>
        <v>99</v>
      </c>
      <c r="F411" s="11">
        <f t="shared" si="32"/>
        <v>32.222564345284205</v>
      </c>
      <c r="G411" s="11">
        <f t="shared" si="33"/>
        <v>32.321086994937701</v>
      </c>
    </row>
    <row r="412" spans="5:7" x14ac:dyDescent="0.25">
      <c r="E412" s="11">
        <f t="shared" si="31"/>
        <v>100</v>
      </c>
      <c r="F412" s="11">
        <f t="shared" si="32"/>
        <v>32.288566206589365</v>
      </c>
      <c r="G412" s="11">
        <f t="shared" si="33"/>
        <v>32.401155162741816</v>
      </c>
    </row>
    <row r="413" spans="5:7" x14ac:dyDescent="0.25">
      <c r="E413" s="11">
        <f t="shared" si="31"/>
        <v>101</v>
      </c>
      <c r="F413" s="11">
        <f t="shared" si="32"/>
        <v>32.35491500354879</v>
      </c>
      <c r="G413" s="11">
        <f t="shared" si="33"/>
        <v>32.477199904959114</v>
      </c>
    </row>
    <row r="414" spans="5:7" x14ac:dyDescent="0.25">
      <c r="E414" s="11">
        <f t="shared" si="31"/>
        <v>102</v>
      </c>
      <c r="F414" s="11">
        <f t="shared" si="32"/>
        <v>32.423263588116065</v>
      </c>
      <c r="G414" s="11">
        <f t="shared" si="33"/>
        <v>32.54962356414827</v>
      </c>
    </row>
    <row r="415" spans="5:7" x14ac:dyDescent="0.25">
      <c r="E415" s="11">
        <f t="shared" ref="E415:E422" si="34">E208</f>
        <v>103</v>
      </c>
      <c r="F415" s="11">
        <f t="shared" ref="F415:F422" si="35">$H$217*0+E415*$I$217+E415^2*$J$217+E415^3*$K$217+E415^4*$L$217+E415^5*$M$217+E415^6*$N$217+E415^7*$O$217+E415^8*$P$217</f>
        <v>32.495379833745979</v>
      </c>
      <c r="G415" s="11">
        <f t="shared" ref="G415:G422" si="36">F208</f>
        <v>32.618828482867968</v>
      </c>
    </row>
    <row r="416" spans="5:7" x14ac:dyDescent="0.25">
      <c r="E416" s="11">
        <f t="shared" si="34"/>
        <v>104</v>
      </c>
      <c r="F416" s="11">
        <f t="shared" si="35"/>
        <v>32.573149730727692</v>
      </c>
      <c r="G416" s="11">
        <f t="shared" si="36"/>
        <v>32.685217003676897</v>
      </c>
    </row>
    <row r="417" spans="5:7" x14ac:dyDescent="0.25">
      <c r="E417" s="11">
        <f t="shared" si="34"/>
        <v>105</v>
      </c>
      <c r="F417" s="11">
        <f t="shared" si="35"/>
        <v>32.658580472219285</v>
      </c>
      <c r="G417" s="11">
        <f t="shared" si="36"/>
        <v>32.74919146913372</v>
      </c>
    </row>
    <row r="418" spans="5:7" x14ac:dyDescent="0.25">
      <c r="E418" s="11">
        <f t="shared" si="34"/>
        <v>106</v>
      </c>
      <c r="F418" s="11">
        <f t="shared" si="35"/>
        <v>32.753803528429032</v>
      </c>
      <c r="G418" s="11">
        <f t="shared" si="36"/>
        <v>32.811154221797139</v>
      </c>
    </row>
    <row r="419" spans="5:7" x14ac:dyDescent="0.25">
      <c r="E419" s="11">
        <f t="shared" si="34"/>
        <v>107</v>
      </c>
      <c r="F419" s="11">
        <f t="shared" si="35"/>
        <v>32.861077706344233</v>
      </c>
      <c r="G419" s="11">
        <f t="shared" si="36"/>
        <v>32.871507604225833</v>
      </c>
    </row>
    <row r="420" spans="5:7" x14ac:dyDescent="0.25">
      <c r="E420" s="11">
        <f t="shared" si="34"/>
        <v>108</v>
      </c>
      <c r="F420" s="11">
        <f t="shared" si="35"/>
        <v>32.982792192360719</v>
      </c>
      <c r="G420" s="11">
        <f t="shared" si="36"/>
        <v>32.930653958978475</v>
      </c>
    </row>
    <row r="421" spans="5:7" x14ac:dyDescent="0.25">
      <c r="E421" s="11">
        <f t="shared" si="34"/>
        <v>109</v>
      </c>
      <c r="F421" s="11">
        <f t="shared" si="35"/>
        <v>33.121469575122674</v>
      </c>
      <c r="G421" s="11">
        <f t="shared" si="36"/>
        <v>32.98899562861375</v>
      </c>
    </row>
    <row r="422" spans="5:7" x14ac:dyDescent="0.25">
      <c r="E422" s="11">
        <f t="shared" si="34"/>
        <v>110</v>
      </c>
      <c r="F422" s="11">
        <f t="shared" si="35"/>
        <v>33.279768845834411</v>
      </c>
      <c r="G422" s="11">
        <f t="shared" si="36"/>
        <v>33.046934955690347</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2022-01-11T18:55:04Z</dcterms:modified>
</cp:coreProperties>
</file>