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A67" i="43"/>
  <c r="G431" i="43" l="1"/>
  <c r="G416" i="43"/>
  <c r="F404" i="43"/>
  <c r="F410" i="43"/>
  <c r="F416" i="43"/>
  <c r="F430" i="43"/>
  <c r="F424" i="43"/>
  <c r="F423" i="43"/>
  <c r="F419" i="43"/>
  <c r="E410" i="43"/>
  <c r="E418" i="43"/>
  <c r="E422" i="43"/>
  <c r="E429" i="43"/>
  <c r="E427" i="43"/>
  <c r="E425" i="43"/>
  <c r="E434" i="43"/>
  <c r="D424" i="43"/>
  <c r="D431" i="43"/>
  <c r="D433" i="43"/>
  <c r="C433" i="43"/>
  <c r="C426" i="43"/>
  <c r="D422" i="43"/>
  <c r="D415" i="43"/>
  <c r="D420" i="43"/>
  <c r="D413" i="43"/>
  <c r="C431" i="43"/>
  <c r="C420" i="43"/>
  <c r="C412" i="43"/>
  <c r="C430" i="43"/>
  <c r="C422" i="43"/>
  <c r="C419" i="43"/>
  <c r="C415" i="43"/>
  <c r="G434" i="43"/>
  <c r="F431" i="43"/>
  <c r="F420" i="43"/>
  <c r="G413" i="43"/>
  <c r="C408" i="43"/>
  <c r="F434" i="43"/>
  <c r="E431" i="43"/>
  <c r="F427" i="43"/>
  <c r="C424" i="43"/>
  <c r="E420" i="43"/>
  <c r="C417" i="43"/>
  <c r="C405" i="43"/>
  <c r="C410" i="43"/>
  <c r="D408" i="43"/>
  <c r="D405" i="43"/>
  <c r="D412" i="43"/>
  <c r="D410" i="43"/>
  <c r="D425" i="43"/>
  <c r="D429" i="43"/>
  <c r="D427" i="43"/>
  <c r="D407" i="43"/>
  <c r="D432" i="43"/>
  <c r="D418" i="43"/>
  <c r="D414" i="43"/>
  <c r="E404" i="43"/>
  <c r="D434" i="43"/>
  <c r="C432" i="43"/>
  <c r="C429" i="43"/>
  <c r="C427" i="43"/>
  <c r="C425" i="43"/>
  <c r="E423" i="43"/>
  <c r="D421" i="43"/>
  <c r="C418" i="43"/>
  <c r="E416" i="43"/>
  <c r="C414" i="43"/>
  <c r="E411" i="43"/>
  <c r="D409" i="43"/>
  <c r="C407" i="43"/>
  <c r="D404" i="43"/>
  <c r="C434" i="43"/>
  <c r="E430" i="43"/>
  <c r="D428" i="43"/>
  <c r="E426" i="43"/>
  <c r="D423" i="43"/>
  <c r="C421" i="43"/>
  <c r="E419" i="43"/>
  <c r="E417" i="43"/>
  <c r="D416" i="43"/>
  <c r="D411" i="43"/>
  <c r="C409" i="43"/>
  <c r="E406" i="43"/>
  <c r="C404" i="43"/>
  <c r="E433" i="43"/>
  <c r="D430" i="43"/>
  <c r="C428" i="43"/>
  <c r="D426" i="43"/>
  <c r="E424" i="43"/>
  <c r="C423"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P398" i="43" l="1"/>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<sst xmlns="http://schemas.openxmlformats.org/spreadsheetml/2006/main" count="311" uniqueCount="164">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</sst>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9907192"/>
        <c:axId val="4399056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907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5624"/>
        <c:crossesAt val="-8.0000000000000019E-3"/>
        <c:crossBetween val="midCat"/>
      </c:valAx>
      <c:valAx>
        <c:axId val="439905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71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39908368"/>
        <c:axId val="4399107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9083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10720"/>
        <c:crosses val="autoZero"/>
        <c:crossBetween val="midCat"/>
      </c:valAx>
      <c:valAx>
        <c:axId val="4399107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83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39911504"/>
        <c:axId val="439906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39911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6016"/>
        <c:crosses val="autoZero"/>
        <c:crossBetween val="midCat"/>
        <c:majorUnit val="10000"/>
      </c:valAx>
      <c:valAx>
        <c:axId val="4399060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11504"/>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4359248"/>
        <c:axId val="4443545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3592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354544"/>
        <c:crosses val="autoZero"/>
        <c:crossBetween val="midCat"/>
        <c:majorUnit val="10000"/>
      </c:valAx>
      <c:valAx>
        <c:axId val="44435454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35924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4359640"/>
        <c:axId val="444352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3596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2584"/>
        <c:crosses val="autoZero"/>
        <c:crossBetween val="midCat"/>
        <c:majorUnit val="10000"/>
      </c:valAx>
      <c:valAx>
        <c:axId val="444352584"/>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9640"/>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5.5221207601096741E-3</c:v>
                </c:pt>
                <c:pt idx="1">
                  <c:v>7.2884914913218576E-3</c:v>
                </c:pt>
                <c:pt idx="2">
                  <c:v>1.966556382027002E-3</c:v>
                </c:pt>
                <c:pt idx="3">
                  <c:v>3.272412533526238E-4</c:v>
                </c:pt>
                <c:pt idx="4">
                  <c:v>4.5458146816980493E-5</c:v>
                </c:pt>
                <c:pt idx="5">
                  <c:v>3.6104947728719743E-6</c:v>
                </c:pt>
                <c:pt idx="6">
                  <c:v>5.5078997483869108E-6</c:v>
                </c:pt>
                <c:pt idx="7">
                  <c:v>1.4326247244507645E-5</c:v>
                </c:pt>
                <c:pt idx="8">
                  <c:v>3.138548523753916E-5</c:v>
                </c:pt>
                <c:pt idx="9">
                  <c:v>6.4133416504381322E-5</c:v>
                </c:pt>
                <c:pt idx="10">
                  <c:v>1.1328840646643725E-4</c:v>
                </c:pt>
                <c:pt idx="11">
                  <c:v>1.6812670780776999E-4</c:v>
                </c:pt>
                <c:pt idx="12">
                  <c:v>2.1253386736290708E-4</c:v>
                </c:pt>
                <c:pt idx="13">
                  <c:v>2.3107741891979102E-4</c:v>
                </c:pt>
                <c:pt idx="14">
                  <c:v>2.1569814801209749E-4</c:v>
                </c:pt>
                <c:pt idx="15">
                  <c:v>1.7277256160819665E-4</c:v>
                </c:pt>
                <c:pt idx="16">
                  <c:v>1.2153745817099794E-4</c:v>
                </c:pt>
                <c:pt idx="17">
                  <c:v>7.8573587628883874E-5</c:v>
                </c:pt>
                <c:pt idx="18">
                  <c:v>4.960520293903033E-5</c:v>
                </c:pt>
                <c:pt idx="19">
                  <c:v>3.2190311254597056E-5</c:v>
                </c:pt>
                <c:pt idx="20">
                  <c:v>2.3187887797330392E-5</c:v>
                </c:pt>
                <c:pt idx="21">
                  <c:v>1.6558423594752726E-5</c:v>
                </c:pt>
                <c:pt idx="22">
                  <c:v>1.8175201828365975E-5</c:v>
                </c:pt>
                <c:pt idx="23">
                  <c:v>3.6293676918163774E-5</c:v>
                </c:pt>
                <c:pt idx="24">
                  <c:v>5.5822411970537886E-5</c:v>
                </c:pt>
                <c:pt idx="25">
                  <c:v>8.0255216316588431E-5</c:v>
                </c:pt>
                <c:pt idx="26">
                  <c:v>1.35044979902216E-4</c:v>
                </c:pt>
                <c:pt idx="27">
                  <c:v>2.1450705234553409E-4</c:v>
                </c:pt>
                <c:pt idx="28">
                  <c:v>2.8399003934073181E-4</c:v>
                </c:pt>
                <c:pt idx="29">
                  <c:v>3.5714816847385363E-4</c:v>
                </c:pt>
                <c:pt idx="30">
                  <c:v>2.1230431670608501E-4</c:v>
                </c:pt>
              </c:numCache>
            </c:numRef>
          </c:yVal>
          <c:smooth val="1"/>
        </c:ser>
        <c:dLbls>
          <c:showLegendKey val="0"/>
          <c:showVal val="0"/>
          <c:showCatName val="0"/>
          <c:showSerName val="0"/>
          <c:showPercent val="0"/>
          <c:showBubbleSize val="0"/>
        </c:dLbls>
        <c:axId val="444354936"/>
        <c:axId val="444355328"/>
      </c:scatterChart>
      <c:valAx>
        <c:axId val="4443549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5328"/>
        <c:crossesAt val="-1.5000000000000005E-3"/>
        <c:crossBetween val="midCat"/>
      </c:valAx>
      <c:valAx>
        <c:axId val="4443553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493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10702.373384730843</c:v>
                </c:pt>
                <c:pt idx="1">
                  <c:v>10623.988728096943</c:v>
                </c:pt>
                <c:pt idx="2">
                  <c:v>10329.540917068865</c:v>
                </c:pt>
                <c:pt idx="3">
                  <c:v>10136.582020156831</c:v>
                </c:pt>
                <c:pt idx="4">
                  <c:v>9898.0494619026958</c:v>
                </c:pt>
                <c:pt idx="5">
                  <c:v>9623.2167810140036</c:v>
                </c:pt>
                <c:pt idx="6">
                  <c:v>9373.9853457270656</c:v>
                </c:pt>
                <c:pt idx="7">
                  <c:v>9114.005504726334</c:v>
                </c:pt>
                <c:pt idx="8">
                  <c:v>8824.0342843772232</c:v>
                </c:pt>
                <c:pt idx="9">
                  <c:v>8477.3903889891135</c:v>
                </c:pt>
                <c:pt idx="10">
                  <c:v>8119.5025640911599</c:v>
                </c:pt>
                <c:pt idx="11">
                  <c:v>7810.5821663001343</c:v>
                </c:pt>
                <c:pt idx="12">
                  <c:v>7536.1080438784738</c:v>
                </c:pt>
                <c:pt idx="13">
                  <c:v>7255.1859159606447</c:v>
                </c:pt>
                <c:pt idx="14">
                  <c:v>6972.8732449299187</c:v>
                </c:pt>
                <c:pt idx="15">
                  <c:v>6687.3703477678255</c:v>
                </c:pt>
                <c:pt idx="16">
                  <c:v>6333.6296335629158</c:v>
                </c:pt>
                <c:pt idx="17">
                  <c:v>5707.364338243191</c:v>
                </c:pt>
                <c:pt idx="18">
                  <c:v>4703.6357351925508</c:v>
                </c:pt>
                <c:pt idx="19">
                  <c:v>3716.5499302281391</c:v>
                </c:pt>
                <c:pt idx="20">
                  <c:v>2925.710367661693</c:v>
                </c:pt>
                <c:pt idx="21">
                  <c:v>2271.2216048908504</c:v>
                </c:pt>
                <c:pt idx="22">
                  <c:v>1690.9424647313006</c:v>
                </c:pt>
                <c:pt idx="23">
                  <c:v>1194.4109083087446</c:v>
                </c:pt>
                <c:pt idx="24">
                  <c:v>834.85093090888802</c:v>
                </c:pt>
                <c:pt idx="25">
                  <c:v>607.35539249245767</c:v>
                </c:pt>
                <c:pt idx="26">
                  <c:v>493.07759532925223</c:v>
                </c:pt>
                <c:pt idx="27">
                  <c:v>433.63547373456254</c:v>
                </c:pt>
                <c:pt idx="28">
                  <c:v>403.87939519108511</c:v>
                </c:pt>
                <c:pt idx="29">
                  <c:v>387.50504583464982</c:v>
                </c:pt>
                <c:pt idx="30">
                  <c:v>374.55431667180528</c:v>
                </c:pt>
              </c:numCache>
            </c:numRef>
          </c:yVal>
          <c:smooth val="1"/>
        </c:ser>
        <c:dLbls>
          <c:showLegendKey val="0"/>
          <c:showVal val="0"/>
          <c:showCatName val="0"/>
          <c:showSerName val="0"/>
          <c:showPercent val="0"/>
          <c:showBubbleSize val="0"/>
        </c:dLbls>
        <c:axId val="444358856"/>
        <c:axId val="444360032"/>
      </c:scatterChart>
      <c:valAx>
        <c:axId val="4443588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60032"/>
        <c:crosses val="autoZero"/>
        <c:crossBetween val="midCat"/>
      </c:valAx>
      <c:valAx>
        <c:axId val="4443600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885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7.6958926662425375E-2</c:v>
                </c:pt>
                <c:pt idx="1">
                  <c:v>7.0552894945249744E-2</c:v>
                </c:pt>
                <c:pt idx="2">
                  <c:v>4.8924974970683321E-2</c:v>
                </c:pt>
                <c:pt idx="3">
                  <c:v>3.2770034681202556E-2</c:v>
                </c:pt>
                <c:pt idx="4">
                  <c:v>1.8886534336022439E-2</c:v>
                </c:pt>
                <c:pt idx="5">
                  <c:v>1.6076500558689928E-2</c:v>
                </c:pt>
                <c:pt idx="6">
                  <c:v>2.2608417527543306E-2</c:v>
                </c:pt>
                <c:pt idx="7">
                  <c:v>1.9159440729235106E-2</c:v>
                </c:pt>
                <c:pt idx="8">
                  <c:v>1.9048819062705384E-2</c:v>
                </c:pt>
                <c:pt idx="9">
                  <c:v>2.0085182295779911E-2</c:v>
                </c:pt>
                <c:pt idx="10">
                  <c:v>1.9051544931632133E-2</c:v>
                </c:pt>
                <c:pt idx="11">
                  <c:v>2.095767688329906E-2</c:v>
                </c:pt>
                <c:pt idx="12">
                  <c:v>1.8148685041833493E-2</c:v>
                </c:pt>
                <c:pt idx="13">
                  <c:v>1.8310697382584513E-2</c:v>
                </c:pt>
                <c:pt idx="14">
                  <c:v>1.879714604182792E-2</c:v>
                </c:pt>
                <c:pt idx="15">
                  <c:v>1.9970208342937387E-2</c:v>
                </c:pt>
                <c:pt idx="16">
                  <c:v>1.8315486413731999E-2</c:v>
                </c:pt>
                <c:pt idx="17">
                  <c:v>1.9693614711335013E-2</c:v>
                </c:pt>
                <c:pt idx="18">
                  <c:v>1.6693973961358216E-2</c:v>
                </c:pt>
                <c:pt idx="19">
                  <c:v>1.6568842291439619E-2</c:v>
                </c:pt>
                <c:pt idx="20">
                  <c:v>1.2809447574191027E-3</c:v>
                </c:pt>
                <c:pt idx="21">
                  <c:v>2.2549084498618581E-2</c:v>
                </c:pt>
                <c:pt idx="22">
                  <c:v>4.1267791744393371E-2</c:v>
                </c:pt>
                <c:pt idx="23">
                  <c:v>4.6160914211929679E-2</c:v>
                </c:pt>
                <c:pt idx="24">
                  <c:v>4.2814410863147419E-2</c:v>
                </c:pt>
                <c:pt idx="25">
                  <c:v>7.5767051646847244E-2</c:v>
                </c:pt>
                <c:pt idx="26">
                  <c:v>2.9821079378652394E-2</c:v>
                </c:pt>
                <c:pt idx="27">
                  <c:v>5.101140159854866E-2</c:v>
                </c:pt>
                <c:pt idx="28">
                  <c:v>2.6668540960440398E-2</c:v>
                </c:pt>
                <c:pt idx="29">
                  <c:v>2.547855851734904E-2</c:v>
                </c:pt>
                <c:pt idx="30">
                  <c:v>1.3809058237932527E-2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5.5253962923731345E-3</c:v>
                </c:pt>
                <c:pt idx="1">
                  <c:v>7.2616724993697862E-3</c:v>
                </c:pt>
                <c:pt idx="2">
                  <c:v>2.0050192687605765E-3</c:v>
                </c:pt>
                <c:pt idx="3">
                  <c:v>2.9615747063149142E-4</c:v>
                </c:pt>
                <c:pt idx="4">
                  <c:v>8.8110777348044626E-5</c:v>
                </c:pt>
                <c:pt idx="5">
                  <c:v>4.4288594156831598E-5</c:v>
                </c:pt>
                <c:pt idx="6">
                  <c:v>4.003701951605969E-5</c:v>
                </c:pt>
                <c:pt idx="7">
                  <c:v>6.6734721016184625E-5</c:v>
                </c:pt>
                <c:pt idx="8">
                  <c:v>3.0927583887426849E-5</c:v>
                </c:pt>
                <c:pt idx="9">
                  <c:v>1.4170979387555057E-4</c:v>
                </c:pt>
                <c:pt idx="10">
                  <c:v>3.7438683912728489E-5</c:v>
                </c:pt>
                <c:pt idx="11">
                  <c:v>2.3083556201859988E-4</c:v>
                </c:pt>
                <c:pt idx="12">
                  <c:v>1.5077078308388029E-4</c:v>
                </c:pt>
                <c:pt idx="13">
                  <c:v>2.9779302005569731E-4</c:v>
                </c:pt>
                <c:pt idx="14">
                  <c:v>1.5243793347340326E-4</c:v>
                </c:pt>
                <c:pt idx="15">
                  <c:v>2.4405823181409368E-4</c:v>
                </c:pt>
                <c:pt idx="16">
                  <c:v>1.6329363070329571E-5</c:v>
                </c:pt>
                <c:pt idx="17">
                  <c:v>3.2133457287865299E-4</c:v>
                </c:pt>
                <c:pt idx="18">
                  <c:v>2.6205624891275893E-4</c:v>
                </c:pt>
                <c:pt idx="19">
                  <c:v>3.4065310615545563E-4</c:v>
                </c:pt>
                <c:pt idx="20">
                  <c:v>3.150378020967832E-4</c:v>
                </c:pt>
                <c:pt idx="21">
                  <c:v>3.1430081548708812E-4</c:v>
                </c:pt>
                <c:pt idx="22">
                  <c:v>6.4485084840944847E-4</c:v>
                </c:pt>
                <c:pt idx="23">
                  <c:v>5.8512860344058632E-4</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1.3519330471329956E-2</c:v>
                </c:pt>
                <c:pt idx="1">
                  <c:v>8.0487621614877113E-3</c:v>
                </c:pt>
                <c:pt idx="2">
                  <c:v>1.189832758940304E-2</c:v>
                </c:pt>
                <c:pt idx="3">
                  <c:v>1.2540870651140509E-2</c:v>
                </c:pt>
                <c:pt idx="4">
                  <c:v>1.0487831913255042E-2</c:v>
                </c:pt>
                <c:pt idx="5">
                  <c:v>1.2347858611166961E-2</c:v>
                </c:pt>
                <c:pt idx="6">
                  <c:v>1.0009027640396054E-2</c:v>
                </c:pt>
                <c:pt idx="7">
                  <c:v>1.2265137232307523E-2</c:v>
                </c:pt>
                <c:pt idx="8">
                  <c:v>1.2284782169416825E-2</c:v>
                </c:pt>
                <c:pt idx="9">
                  <c:v>1.2258961141705717E-2</c:v>
                </c:pt>
                <c:pt idx="10">
                  <c:v>1.1077748001424555E-2</c:v>
                </c:pt>
                <c:pt idx="11">
                  <c:v>1.2252169990532727E-2</c:v>
                </c:pt>
                <c:pt idx="12">
                  <c:v>1.1147637042142108E-2</c:v>
                </c:pt>
                <c:pt idx="13">
                  <c:v>1.2872181812818635E-2</c:v>
                </c:pt>
                <c:pt idx="14">
                  <c:v>1.0794506266586179E-2</c:v>
                </c:pt>
                <c:pt idx="15">
                  <c:v>8.412565183789595E-3</c:v>
                </c:pt>
                <c:pt idx="16">
                  <c:v>1.9643209583366995E-2</c:v>
                </c:pt>
                <c:pt idx="17">
                  <c:v>4.0561562224051599E-2</c:v>
                </c:pt>
                <c:pt idx="18">
                  <c:v>3.5605568755447251E-2</c:v>
                </c:pt>
                <c:pt idx="19">
                  <c:v>2.103503238441063E-2</c:v>
                </c:pt>
                <c:pt idx="20">
                  <c:v>2.921926090983388E-3</c:v>
                </c:pt>
                <c:pt idx="21">
                  <c:v>5.109942067155232E-3</c:v>
                </c:pt>
                <c:pt idx="22">
                  <c:v>1.1881458761128562E-2</c:v>
                </c:pt>
                <c:pt idx="23">
                  <c:v>8.0190788311019726E-3</c:v>
                </c:pt>
                <c:pt idx="24">
                  <c:v>8.0877785668009346E-3</c:v>
                </c:pt>
                <c:pt idx="25">
                  <c:v>5.4330473551770725E-3</c:v>
                </c:pt>
                <c:pt idx="26">
                  <c:v>8.1852062144925522E-4</c:v>
                </c:pt>
                <c:pt idx="27">
                  <c:v>3.7457129856568244E-3</c:v>
                </c:pt>
                <c:pt idx="28">
                  <c:v>2.4211372697111604E-3</c:v>
                </c:pt>
                <c:pt idx="29">
                  <c:v>5.9668415275820324E-3</c:v>
                </c:pt>
                <c:pt idx="30">
                  <c:v>0.16586933578136689</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5.3417803404621933E-2</c:v>
                </c:pt>
                <c:pt idx="1">
                  <c:v>6.314289334237716E-2</c:v>
                </c:pt>
                <c:pt idx="2">
                  <c:v>6.9921063618923224E-2</c:v>
                </c:pt>
                <c:pt idx="3">
                  <c:v>7.7395114502744083E-2</c:v>
                </c:pt>
                <c:pt idx="4">
                  <c:v>7.6545864165316585E-2</c:v>
                </c:pt>
                <c:pt idx="5">
                  <c:v>6.879503928436681E-2</c:v>
                </c:pt>
                <c:pt idx="6">
                  <c:v>6.9521101140240238E-2</c:v>
                </c:pt>
                <c:pt idx="7">
                  <c:v>7.0587063812557818E-2</c:v>
                </c:pt>
                <c:pt idx="8">
                  <c:v>7.2483039202977398E-2</c:v>
                </c:pt>
                <c:pt idx="9">
                  <c:v>7.311301694997599E-2</c:v>
                </c:pt>
                <c:pt idx="10">
                  <c:v>8.2145235547671044E-2</c:v>
                </c:pt>
                <c:pt idx="11">
                  <c:v>7.4261087176065249E-2</c:v>
                </c:pt>
                <c:pt idx="12">
                  <c:v>5.8825820354254223E-4</c:v>
                </c:pt>
                <c:pt idx="13">
                  <c:v>0.11323008404832062</c:v>
                </c:pt>
                <c:pt idx="14">
                  <c:v>0.19093973054191668</c:v>
                </c:pt>
                <c:pt idx="15">
                  <c:v>0.19567718147982816</c:v>
                </c:pt>
                <c:pt idx="16">
                  <c:v>7.17097435516965E-2</c:v>
                </c:pt>
                <c:pt idx="17">
                  <c:v>1.6263692511858822E-2</c:v>
                </c:pt>
                <c:pt idx="18">
                  <c:v>9.3026484867113013E-2</c:v>
                </c:pt>
                <c:pt idx="19">
                  <c:v>5.4357253325425632E-2</c:v>
                </c:pt>
                <c:pt idx="20">
                  <c:v>4.6352120290094487E-2</c:v>
                </c:pt>
                <c:pt idx="21">
                  <c:v>9.5074172842438197E-4</c:v>
                </c:pt>
                <c:pt idx="22">
                  <c:v>7.7219088396010193E-3</c:v>
                </c:pt>
                <c:pt idx="23">
                  <c:v>1.6386842987410495E-3</c:v>
                </c:pt>
                <c:pt idx="24">
                  <c:v>1.058896479134146E-2</c:v>
                </c:pt>
                <c:pt idx="25">
                  <c:v>4.499768416052723E-3</c:v>
                </c:pt>
                <c:pt idx="26">
                  <c:v>0.21118873299662369</c:v>
                </c:pt>
                <c:pt idx="27">
                  <c:v>0.22592748358102069</c:v>
                </c:pt>
                <c:pt idx="28">
                  <c:v>0.22529115245173503</c:v>
                </c:pt>
                <c:pt idx="29">
                  <c:v>0.22103658883629007</c:v>
                </c:pt>
                <c:pt idx="30">
                  <c:v>0.21841561101497833</c:v>
                </c:pt>
              </c:numCache>
            </c:numRef>
          </c:yVal>
          <c:smooth val="1"/>
        </c:ser>
        <c:dLbls>
          <c:showLegendKey val="0"/>
          <c:showVal val="0"/>
          <c:showCatName val="0"/>
          <c:showSerName val="0"/>
          <c:showPercent val="0"/>
          <c:showBubbleSize val="0"/>
        </c:dLbls>
        <c:axId val="444353368"/>
        <c:axId val="444356112"/>
      </c:scatterChart>
      <c:valAx>
        <c:axId val="444353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6112"/>
        <c:crossesAt val="1.0000000000000005E-9"/>
        <c:crossBetween val="midCat"/>
      </c:valAx>
      <c:valAx>
        <c:axId val="444356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33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-8.2939414517803574</c:v>
                </c:pt>
                <c:pt idx="1">
                  <c:v>-4.6253003761591289</c:v>
                </c:pt>
                <c:pt idx="2">
                  <c:v>-2.1527595029960929</c:v>
                </c:pt>
                <c:pt idx="3">
                  <c:v>0</c:v>
                </c:pt>
                <c:pt idx="4">
                  <c:v>2.6169066889985411</c:v>
                </c:pt>
                <c:pt idx="5">
                  <c:v>7.588289368654304</c:v>
                </c:pt>
                <c:pt idx="6">
                  <c:v>12.461571927651612</c:v>
                </c:pt>
              </c:numCache>
            </c:numRef>
          </c:yVal>
          <c:smooth val="0"/>
        </c:ser>
        <c:dLbls>
          <c:showLegendKey val="0"/>
          <c:showVal val="0"/>
          <c:showCatName val="0"/>
          <c:showSerName val="0"/>
          <c:showPercent val="0"/>
          <c:showBubbleSize val="0"/>
        </c:dLbls>
        <c:axId val="444353760"/>
        <c:axId val="444358072"/>
      </c:scatterChart>
      <c:valAx>
        <c:axId val="444353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8072"/>
        <c:crossesAt val="-100"/>
        <c:crossBetween val="midCat"/>
      </c:valAx>
      <c:valAx>
        <c:axId val="444358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37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4354152"/>
        <c:axId val="439907976"/>
      </c:scatterChart>
      <c:valAx>
        <c:axId val="4443541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7976"/>
        <c:crosses val="autoZero"/>
        <c:crossBetween val="midCat"/>
      </c:valAx>
      <c:valAx>
        <c:axId val="43990797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415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2.5002704854355948E-19</c:v>
                </c:pt>
                <c:pt idx="1">
                  <c:v>2.5002704854355945E-18</c:v>
                </c:pt>
                <c:pt idx="2">
                  <c:v>2.5002704854355948E-17</c:v>
                </c:pt>
                <c:pt idx="3">
                  <c:v>2.5002704854355947E-16</c:v>
                </c:pt>
                <c:pt idx="4">
                  <c:v>2.5002704854355946E-15</c:v>
                </c:pt>
                <c:pt idx="5">
                  <c:v>2.5002704854355946E-14</c:v>
                </c:pt>
                <c:pt idx="6">
                  <c:v>2.5002704854355947E-13</c:v>
                </c:pt>
                <c:pt idx="7">
                  <c:v>2.5002704854355948E-12</c:v>
                </c:pt>
                <c:pt idx="8">
                  <c:v>2.5002704854355946E-11</c:v>
                </c:pt>
                <c:pt idx="9">
                  <c:v>2.5002704854355942E-10</c:v>
                </c:pt>
                <c:pt idx="10">
                  <c:v>2.5002704854355946E-9</c:v>
                </c:pt>
                <c:pt idx="11">
                  <c:v>2.5002704854355948E-8</c:v>
                </c:pt>
                <c:pt idx="12">
                  <c:v>2.5002704854355947E-7</c:v>
                </c:pt>
                <c:pt idx="13">
                  <c:v>2.5002704854355947E-6</c:v>
                </c:pt>
                <c:pt idx="14">
                  <c:v>2.5002704854355948E-5</c:v>
                </c:pt>
                <c:pt idx="15">
                  <c:v>2.5002704854355947E-4</c:v>
                </c:pt>
                <c:pt idx="16">
                  <c:v>2.5002704854355947E-3</c:v>
                </c:pt>
                <c:pt idx="17">
                  <c:v>2.5002704854355944E-2</c:v>
                </c:pt>
                <c:pt idx="18">
                  <c:v>0.25002704854355945</c:v>
                </c:pt>
                <c:pt idx="19">
                  <c:v>2.5002704854355944</c:v>
                </c:pt>
                <c:pt idx="20">
                  <c:v>25.002704854355947</c:v>
                </c:pt>
                <c:pt idx="21">
                  <c:v>250.02704854355946</c:v>
                </c:pt>
                <c:pt idx="22">
                  <c:v>2500.2704854355948</c:v>
                </c:pt>
                <c:pt idx="23">
                  <c:v>25002.704854355947</c:v>
                </c:pt>
                <c:pt idx="24">
                  <c:v>250027.04854355945</c:v>
                </c:pt>
                <c:pt idx="25">
                  <c:v>2500270.4854355948</c:v>
                </c:pt>
                <c:pt idx="26">
                  <c:v>25002704.854355946</c:v>
                </c:pt>
                <c:pt idx="27">
                  <c:v>250027048.54355946</c:v>
                </c:pt>
                <c:pt idx="28">
                  <c:v>2500270485.4355946</c:v>
                </c:pt>
                <c:pt idx="29">
                  <c:v>25002704854.355946</c:v>
                </c:pt>
                <c:pt idx="30">
                  <c:v>250027048543.55945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9.8007106938039553E-18</c:v>
                </c:pt>
                <c:pt idx="1">
                  <c:v>9.8007106938039544E-17</c:v>
                </c:pt>
                <c:pt idx="2">
                  <c:v>9.8007106938039549E-16</c:v>
                </c:pt>
                <c:pt idx="3">
                  <c:v>9.8007106938039549E-15</c:v>
                </c:pt>
                <c:pt idx="4">
                  <c:v>9.8007106938039533E-14</c:v>
                </c:pt>
                <c:pt idx="5">
                  <c:v>9.8007106938039553E-13</c:v>
                </c:pt>
                <c:pt idx="6">
                  <c:v>9.8007106938039545E-12</c:v>
                </c:pt>
                <c:pt idx="7">
                  <c:v>9.8007106938039542E-11</c:v>
                </c:pt>
                <c:pt idx="8">
                  <c:v>9.8007106938039531E-10</c:v>
                </c:pt>
                <c:pt idx="9">
                  <c:v>9.800710693803954E-9</c:v>
                </c:pt>
                <c:pt idx="10">
                  <c:v>9.8007106938039556E-8</c:v>
                </c:pt>
                <c:pt idx="11">
                  <c:v>9.8007106938039543E-7</c:v>
                </c:pt>
                <c:pt idx="12">
                  <c:v>9.8007106938039551E-6</c:v>
                </c:pt>
                <c:pt idx="13">
                  <c:v>9.8007106938039545E-5</c:v>
                </c:pt>
                <c:pt idx="14">
                  <c:v>9.8007106938039542E-4</c:v>
                </c:pt>
                <c:pt idx="15">
                  <c:v>9.8007106938039542E-3</c:v>
                </c:pt>
                <c:pt idx="16">
                  <c:v>9.8007106938039545E-2</c:v>
                </c:pt>
                <c:pt idx="17">
                  <c:v>0.98007106938039545</c:v>
                </c:pt>
                <c:pt idx="18">
                  <c:v>9.8007106938039552</c:v>
                </c:pt>
                <c:pt idx="19">
                  <c:v>98.007106938039541</c:v>
                </c:pt>
                <c:pt idx="20">
                  <c:v>980.07106938039544</c:v>
                </c:pt>
                <c:pt idx="21">
                  <c:v>9800.7106938039542</c:v>
                </c:pt>
                <c:pt idx="22">
                  <c:v>98007.106938039549</c:v>
                </c:pt>
                <c:pt idx="23">
                  <c:v>980071.06938039546</c:v>
                </c:pt>
                <c:pt idx="24">
                  <c:v>9800710.6938039549</c:v>
                </c:pt>
                <c:pt idx="25">
                  <c:v>98007106.938039541</c:v>
                </c:pt>
                <c:pt idx="26">
                  <c:v>980071069.38039541</c:v>
                </c:pt>
                <c:pt idx="27">
                  <c:v>9800710693.8039551</c:v>
                </c:pt>
                <c:pt idx="28">
                  <c:v>98007106938.039551</c:v>
                </c:pt>
                <c:pt idx="29">
                  <c:v>980071069380.39539</c:v>
                </c:pt>
                <c:pt idx="30">
                  <c:v>9800710693803.9551</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1.1616316248854334E-16</c:v>
                </c:pt>
                <c:pt idx="1">
                  <c:v>1.1616316248854331E-15</c:v>
                </c:pt>
                <c:pt idx="2">
                  <c:v>1.1616316248854333E-14</c:v>
                </c:pt>
                <c:pt idx="3">
                  <c:v>1.1616316248854333E-13</c:v>
                </c:pt>
                <c:pt idx="4">
                  <c:v>1.1616316248854332E-12</c:v>
                </c:pt>
                <c:pt idx="5">
                  <c:v>1.1616316248854333E-11</c:v>
                </c:pt>
                <c:pt idx="6">
                  <c:v>1.1616316248854333E-10</c:v>
                </c:pt>
                <c:pt idx="7">
                  <c:v>1.1616316248854332E-9</c:v>
                </c:pt>
                <c:pt idx="8">
                  <c:v>1.1616316248854332E-8</c:v>
                </c:pt>
                <c:pt idx="9">
                  <c:v>1.1616316248854332E-7</c:v>
                </c:pt>
                <c:pt idx="10">
                  <c:v>1.1616316248854334E-6</c:v>
                </c:pt>
                <c:pt idx="11">
                  <c:v>1.1616316248854332E-5</c:v>
                </c:pt>
                <c:pt idx="12">
                  <c:v>1.1616316248854332E-4</c:v>
                </c:pt>
                <c:pt idx="13">
                  <c:v>1.1616316248854333E-3</c:v>
                </c:pt>
                <c:pt idx="14">
                  <c:v>1.1616316248854333E-2</c:v>
                </c:pt>
                <c:pt idx="15">
                  <c:v>0.11616316248854332</c:v>
                </c:pt>
                <c:pt idx="16">
                  <c:v>1.1616316248854333</c:v>
                </c:pt>
                <c:pt idx="17">
                  <c:v>11.616316248854332</c:v>
                </c:pt>
                <c:pt idx="18">
                  <c:v>116.16316248854332</c:v>
                </c:pt>
                <c:pt idx="19">
                  <c:v>1161.6316248854332</c:v>
                </c:pt>
                <c:pt idx="20">
                  <c:v>11616.316248854333</c:v>
                </c:pt>
                <c:pt idx="21">
                  <c:v>116163.16248854333</c:v>
                </c:pt>
                <c:pt idx="22">
                  <c:v>1161631.6248854331</c:v>
                </c:pt>
                <c:pt idx="23">
                  <c:v>11616316.248854332</c:v>
                </c:pt>
                <c:pt idx="24">
                  <c:v>116163162.48854332</c:v>
                </c:pt>
                <c:pt idx="25">
                  <c:v>1161631624.8854332</c:v>
                </c:pt>
                <c:pt idx="26">
                  <c:v>11616316248.854332</c:v>
                </c:pt>
                <c:pt idx="27">
                  <c:v>116163162488.54332</c:v>
                </c:pt>
                <c:pt idx="28">
                  <c:v>1161631624885.4333</c:v>
                </c:pt>
                <c:pt idx="29">
                  <c:v>11616316248854.332</c:v>
                </c:pt>
                <c:pt idx="30">
                  <c:v>116163162488543.33</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1.3693300368128524E-14</c:v>
                </c:pt>
                <c:pt idx="1">
                  <c:v>1.3693300368128522E-13</c:v>
                </c:pt>
                <c:pt idx="2">
                  <c:v>1.3693300368128522E-12</c:v>
                </c:pt>
                <c:pt idx="3">
                  <c:v>1.3693300368128523E-11</c:v>
                </c:pt>
                <c:pt idx="4">
                  <c:v>1.3693300368128523E-10</c:v>
                </c:pt>
                <c:pt idx="5">
                  <c:v>1.3693300368128523E-9</c:v>
                </c:pt>
                <c:pt idx="6">
                  <c:v>1.3693300368128523E-8</c:v>
                </c:pt>
                <c:pt idx="7">
                  <c:v>1.3693300368128523E-7</c:v>
                </c:pt>
                <c:pt idx="8">
                  <c:v>1.3693300368128523E-6</c:v>
                </c:pt>
                <c:pt idx="9">
                  <c:v>1.3693300368128521E-5</c:v>
                </c:pt>
                <c:pt idx="10">
                  <c:v>1.3693300368128523E-4</c:v>
                </c:pt>
                <c:pt idx="11">
                  <c:v>1.3693300368128522E-3</c:v>
                </c:pt>
                <c:pt idx="12">
                  <c:v>1.3693300368128523E-2</c:v>
                </c:pt>
                <c:pt idx="13">
                  <c:v>0.13693300368128522</c:v>
                </c:pt>
                <c:pt idx="14">
                  <c:v>1.3693300368128523</c:v>
                </c:pt>
                <c:pt idx="15">
                  <c:v>13.693300368128522</c:v>
                </c:pt>
                <c:pt idx="16">
                  <c:v>136.93300368128521</c:v>
                </c:pt>
                <c:pt idx="17">
                  <c:v>1369.3300368128523</c:v>
                </c:pt>
                <c:pt idx="18">
                  <c:v>13693.300368128523</c:v>
                </c:pt>
                <c:pt idx="19">
                  <c:v>136933.00368128522</c:v>
                </c:pt>
                <c:pt idx="20">
                  <c:v>1369330.0368128524</c:v>
                </c:pt>
                <c:pt idx="21">
                  <c:v>13693300.368128523</c:v>
                </c:pt>
                <c:pt idx="22">
                  <c:v>136933003.68128523</c:v>
                </c:pt>
                <c:pt idx="23">
                  <c:v>1369330036.8128524</c:v>
                </c:pt>
                <c:pt idx="24">
                  <c:v>13693300368.128523</c:v>
                </c:pt>
                <c:pt idx="25">
                  <c:v>136933003681.28523</c:v>
                </c:pt>
                <c:pt idx="26">
                  <c:v>1369330036812.8523</c:v>
                </c:pt>
                <c:pt idx="27">
                  <c:v>13693300368128.523</c:v>
                </c:pt>
                <c:pt idx="28">
                  <c:v>136933003681285.22</c:v>
                </c:pt>
                <c:pt idx="29">
                  <c:v>1369330036812852.2</c:v>
                </c:pt>
                <c:pt idx="30">
                  <c:v>1.3693300368128522E+16</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1.9749322415175452E-12</c:v>
                </c:pt>
                <c:pt idx="1">
                  <c:v>1.9749322415175452E-11</c:v>
                </c:pt>
                <c:pt idx="2">
                  <c:v>1.9749322415175451E-10</c:v>
                </c:pt>
                <c:pt idx="3">
                  <c:v>1.9749322415175451E-9</c:v>
                </c:pt>
                <c:pt idx="4">
                  <c:v>1.9749322415175449E-8</c:v>
                </c:pt>
                <c:pt idx="5">
                  <c:v>1.9749322415175453E-7</c:v>
                </c:pt>
                <c:pt idx="6">
                  <c:v>1.9749322415175451E-6</c:v>
                </c:pt>
                <c:pt idx="7">
                  <c:v>1.9749322415175453E-5</c:v>
                </c:pt>
                <c:pt idx="8">
                  <c:v>1.974932241517545E-4</c:v>
                </c:pt>
                <c:pt idx="9">
                  <c:v>1.9749322415175451E-3</c:v>
                </c:pt>
                <c:pt idx="10">
                  <c:v>1.9749322415175453E-2</c:v>
                </c:pt>
                <c:pt idx="11">
                  <c:v>0.19749322415175452</c:v>
                </c:pt>
                <c:pt idx="12">
                  <c:v>1.9749322415175452</c:v>
                </c:pt>
                <c:pt idx="13">
                  <c:v>19.749322415175453</c:v>
                </c:pt>
                <c:pt idx="14">
                  <c:v>197.49322415175453</c:v>
                </c:pt>
                <c:pt idx="15">
                  <c:v>1974.9322415175452</c:v>
                </c:pt>
                <c:pt idx="16">
                  <c:v>19749.322415175451</c:v>
                </c:pt>
                <c:pt idx="17">
                  <c:v>197493.22415175452</c:v>
                </c:pt>
                <c:pt idx="18">
                  <c:v>1974932.2415175452</c:v>
                </c:pt>
                <c:pt idx="19">
                  <c:v>19749322.415175453</c:v>
                </c:pt>
                <c:pt idx="20">
                  <c:v>197493224.1517545</c:v>
                </c:pt>
                <c:pt idx="21">
                  <c:v>1974932241.5175452</c:v>
                </c:pt>
                <c:pt idx="22">
                  <c:v>19749322415.175449</c:v>
                </c:pt>
                <c:pt idx="23">
                  <c:v>197493224151.75452</c:v>
                </c:pt>
                <c:pt idx="24">
                  <c:v>1974932241517.5452</c:v>
                </c:pt>
                <c:pt idx="25">
                  <c:v>19749322415175.453</c:v>
                </c:pt>
                <c:pt idx="26">
                  <c:v>197493224151754.5</c:v>
                </c:pt>
                <c:pt idx="27">
                  <c:v>1974932241517545</c:v>
                </c:pt>
                <c:pt idx="28">
                  <c:v>1.9749322415175452E+16</c:v>
                </c:pt>
                <c:pt idx="29">
                  <c:v>1.974932241517545E+17</c:v>
                </c:pt>
                <c:pt idx="30">
                  <c:v>1.9749322415175452E+18</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2.5822121723204074E-10</c:v>
                </c:pt>
                <c:pt idx="1">
                  <c:v>2.5822121723204073E-9</c:v>
                </c:pt>
                <c:pt idx="2">
                  <c:v>2.5822121723204072E-8</c:v>
                </c:pt>
                <c:pt idx="3">
                  <c:v>2.5822121723204072E-7</c:v>
                </c:pt>
                <c:pt idx="4">
                  <c:v>2.5822121723204073E-6</c:v>
                </c:pt>
                <c:pt idx="5">
                  <c:v>2.5822121723204075E-5</c:v>
                </c:pt>
                <c:pt idx="6">
                  <c:v>2.5822121723204073E-4</c:v>
                </c:pt>
                <c:pt idx="7">
                  <c:v>2.5822121723204075E-3</c:v>
                </c:pt>
                <c:pt idx="8">
                  <c:v>2.5822121723204073E-2</c:v>
                </c:pt>
                <c:pt idx="9">
                  <c:v>0.25822121723204072</c:v>
                </c:pt>
                <c:pt idx="10">
                  <c:v>2.5822121723204075</c:v>
                </c:pt>
                <c:pt idx="11">
                  <c:v>25.822121723204074</c:v>
                </c:pt>
                <c:pt idx="12">
                  <c:v>258.22121723204071</c:v>
                </c:pt>
                <c:pt idx="13">
                  <c:v>2582.2121723204073</c:v>
                </c:pt>
                <c:pt idx="14">
                  <c:v>25822.121723204076</c:v>
                </c:pt>
                <c:pt idx="15">
                  <c:v>258221.21723204074</c:v>
                </c:pt>
                <c:pt idx="16">
                  <c:v>2582212.1723204073</c:v>
                </c:pt>
                <c:pt idx="17">
                  <c:v>25822121.723204073</c:v>
                </c:pt>
                <c:pt idx="18">
                  <c:v>258221217.23204073</c:v>
                </c:pt>
                <c:pt idx="19">
                  <c:v>2582212172.3204074</c:v>
                </c:pt>
                <c:pt idx="20">
                  <c:v>25822121723.204075</c:v>
                </c:pt>
                <c:pt idx="21">
                  <c:v>258221217232.04074</c:v>
                </c:pt>
                <c:pt idx="22">
                  <c:v>2582212172320.4072</c:v>
                </c:pt>
                <c:pt idx="23">
                  <c:v>25822121723204.074</c:v>
                </c:pt>
                <c:pt idx="24">
                  <c:v>258221217232040.72</c:v>
                </c:pt>
                <c:pt idx="25">
                  <c:v>2582212172320407.5</c:v>
                </c:pt>
                <c:pt idx="26">
                  <c:v>2.5822121723204072E+16</c:v>
                </c:pt>
                <c:pt idx="27">
                  <c:v>2.5822121723204074E+17</c:v>
                </c:pt>
                <c:pt idx="28">
                  <c:v>2.5822121723204076E+18</c:v>
                </c:pt>
                <c:pt idx="29">
                  <c:v>2.5822121723204071E+19</c:v>
                </c:pt>
                <c:pt idx="30">
                  <c:v>2.5822121723204072E+20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816392"/>
        <c:axId val="445815216"/>
      </c:scatterChart>
      <c:valAx>
        <c:axId val="4458163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5216"/>
        <c:crosses val="autoZero"/>
        <c:crossBetween val="midCat"/>
      </c:valAx>
      <c:valAx>
        <c:axId val="44581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39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2.5002704854355948E-19</c:v>
                </c:pt>
                <c:pt idx="1">
                  <c:v>2.5002704854355945E-18</c:v>
                </c:pt>
                <c:pt idx="2">
                  <c:v>2.5002704854355948E-17</c:v>
                </c:pt>
                <c:pt idx="3">
                  <c:v>2.5002704854355947E-16</c:v>
                </c:pt>
                <c:pt idx="4">
                  <c:v>2.5002704854355946E-15</c:v>
                </c:pt>
                <c:pt idx="5">
                  <c:v>2.5002704854355946E-14</c:v>
                </c:pt>
                <c:pt idx="6">
                  <c:v>2.5002704854355947E-13</c:v>
                </c:pt>
                <c:pt idx="7">
                  <c:v>2.5002704854355948E-12</c:v>
                </c:pt>
                <c:pt idx="8">
                  <c:v>2.5002704854355946E-11</c:v>
                </c:pt>
                <c:pt idx="9">
                  <c:v>2.5002704854355942E-10</c:v>
                </c:pt>
                <c:pt idx="10">
                  <c:v>2.5002704854355946E-9</c:v>
                </c:pt>
                <c:pt idx="11">
                  <c:v>2.5002704854355948E-8</c:v>
                </c:pt>
                <c:pt idx="12">
                  <c:v>2.5002704854355947E-7</c:v>
                </c:pt>
                <c:pt idx="13">
                  <c:v>2.5002704854355947E-6</c:v>
                </c:pt>
                <c:pt idx="14">
                  <c:v>2.5002704854355948E-5</c:v>
                </c:pt>
                <c:pt idx="15">
                  <c:v>2.5002704854355947E-4</c:v>
                </c:pt>
                <c:pt idx="16">
                  <c:v>2.5002704854355947E-3</c:v>
                </c:pt>
                <c:pt idx="17">
                  <c:v>2.5002704854355944E-2</c:v>
                </c:pt>
                <c:pt idx="18">
                  <c:v>0.25002704854355945</c:v>
                </c:pt>
                <c:pt idx="19">
                  <c:v>2.5002704854355944</c:v>
                </c:pt>
                <c:pt idx="20">
                  <c:v>25.002704854355947</c:v>
                </c:pt>
                <c:pt idx="21">
                  <c:v>250.02704854355946</c:v>
                </c:pt>
                <c:pt idx="22">
                  <c:v>2500.2704854355948</c:v>
                </c:pt>
                <c:pt idx="23">
                  <c:v>25002.704854355947</c:v>
                </c:pt>
                <c:pt idx="24">
                  <c:v>250027.04854355945</c:v>
                </c:pt>
                <c:pt idx="25">
                  <c:v>2500270.4854355948</c:v>
                </c:pt>
                <c:pt idx="26">
                  <c:v>25002704.854355946</c:v>
                </c:pt>
                <c:pt idx="27">
                  <c:v>250027048.54355946</c:v>
                </c:pt>
                <c:pt idx="28">
                  <c:v>2500270485.4355946</c:v>
                </c:pt>
                <c:pt idx="29">
                  <c:v>25002704854.355946</c:v>
                </c:pt>
                <c:pt idx="30">
                  <c:v>250027048543.55945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9.8007106938039553E-18</c:v>
                </c:pt>
                <c:pt idx="1">
                  <c:v>9.8007106938039544E-17</c:v>
                </c:pt>
                <c:pt idx="2">
                  <c:v>9.8007106938039549E-16</c:v>
                </c:pt>
                <c:pt idx="3">
                  <c:v>9.8007106938039549E-15</c:v>
                </c:pt>
                <c:pt idx="4">
                  <c:v>9.8007106938039533E-14</c:v>
                </c:pt>
                <c:pt idx="5">
                  <c:v>9.8007106938039553E-13</c:v>
                </c:pt>
                <c:pt idx="6">
                  <c:v>9.8007106938039545E-12</c:v>
                </c:pt>
                <c:pt idx="7">
                  <c:v>9.8007106938039542E-11</c:v>
                </c:pt>
                <c:pt idx="8">
                  <c:v>9.8007106938039531E-10</c:v>
                </c:pt>
                <c:pt idx="9">
                  <c:v>9.800710693803954E-9</c:v>
                </c:pt>
                <c:pt idx="10">
                  <c:v>9.8007106938039556E-8</c:v>
                </c:pt>
                <c:pt idx="11">
                  <c:v>9.8007106938039543E-7</c:v>
                </c:pt>
                <c:pt idx="12">
                  <c:v>9.8007106938039551E-6</c:v>
                </c:pt>
                <c:pt idx="13">
                  <c:v>9.8007106938039545E-5</c:v>
                </c:pt>
                <c:pt idx="14">
                  <c:v>9.8007106938039542E-4</c:v>
                </c:pt>
                <c:pt idx="15">
                  <c:v>9.8007106938039542E-3</c:v>
                </c:pt>
                <c:pt idx="16">
                  <c:v>9.8007106938039545E-2</c:v>
                </c:pt>
                <c:pt idx="17">
                  <c:v>0.98007106938039545</c:v>
                </c:pt>
                <c:pt idx="18">
                  <c:v>9.8007106938039552</c:v>
                </c:pt>
                <c:pt idx="19">
                  <c:v>98.007106938039541</c:v>
                </c:pt>
                <c:pt idx="20">
                  <c:v>980.07106938039544</c:v>
                </c:pt>
                <c:pt idx="21">
                  <c:v>9800.7106938039542</c:v>
                </c:pt>
                <c:pt idx="22">
                  <c:v>98007.106938039549</c:v>
                </c:pt>
                <c:pt idx="23">
                  <c:v>980071.06938039546</c:v>
                </c:pt>
                <c:pt idx="24">
                  <c:v>9800710.6938039549</c:v>
                </c:pt>
                <c:pt idx="25">
                  <c:v>98007106.938039541</c:v>
                </c:pt>
                <c:pt idx="26">
                  <c:v>980071069.38039541</c:v>
                </c:pt>
                <c:pt idx="27">
                  <c:v>9800710693.8039551</c:v>
                </c:pt>
                <c:pt idx="28">
                  <c:v>98007106938.039551</c:v>
                </c:pt>
                <c:pt idx="29">
                  <c:v>980071069380.39539</c:v>
                </c:pt>
                <c:pt idx="30">
                  <c:v>9800710693803.9551</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1.1616316248854334E-16</c:v>
                </c:pt>
                <c:pt idx="1">
                  <c:v>1.1616316248854331E-15</c:v>
                </c:pt>
                <c:pt idx="2">
                  <c:v>1.1616316248854333E-14</c:v>
                </c:pt>
                <c:pt idx="3">
                  <c:v>1.1616316248854333E-13</c:v>
                </c:pt>
                <c:pt idx="4">
                  <c:v>1.1616316248854332E-12</c:v>
                </c:pt>
                <c:pt idx="5">
                  <c:v>1.1616316248854333E-11</c:v>
                </c:pt>
                <c:pt idx="6">
                  <c:v>1.1616316248854333E-10</c:v>
                </c:pt>
                <c:pt idx="7">
                  <c:v>1.1616316248854332E-9</c:v>
                </c:pt>
                <c:pt idx="8">
                  <c:v>1.1616316248854332E-8</c:v>
                </c:pt>
                <c:pt idx="9">
                  <c:v>1.1616316248854332E-7</c:v>
                </c:pt>
                <c:pt idx="10">
                  <c:v>1.1616316248854334E-6</c:v>
                </c:pt>
                <c:pt idx="11">
                  <c:v>1.1616316248854332E-5</c:v>
                </c:pt>
                <c:pt idx="12">
                  <c:v>1.1616316248854332E-4</c:v>
                </c:pt>
                <c:pt idx="13">
                  <c:v>1.1616316248854333E-3</c:v>
                </c:pt>
                <c:pt idx="14">
                  <c:v>1.1616316248854333E-2</c:v>
                </c:pt>
                <c:pt idx="15">
                  <c:v>0.11616316248854332</c:v>
                </c:pt>
                <c:pt idx="16">
                  <c:v>1.1616316248854333</c:v>
                </c:pt>
                <c:pt idx="17">
                  <c:v>11.616316248854332</c:v>
                </c:pt>
                <c:pt idx="18">
                  <c:v>116.16316248854332</c:v>
                </c:pt>
                <c:pt idx="19">
                  <c:v>1161.6316248854332</c:v>
                </c:pt>
                <c:pt idx="20">
                  <c:v>11616.316248854333</c:v>
                </c:pt>
                <c:pt idx="21">
                  <c:v>116163.16248854333</c:v>
                </c:pt>
                <c:pt idx="22">
                  <c:v>1161631.6248854331</c:v>
                </c:pt>
                <c:pt idx="23">
                  <c:v>11616316.248854332</c:v>
                </c:pt>
                <c:pt idx="24">
                  <c:v>116163162.48854332</c:v>
                </c:pt>
                <c:pt idx="25">
                  <c:v>1161631624.8854332</c:v>
                </c:pt>
                <c:pt idx="26">
                  <c:v>11616316248.854332</c:v>
                </c:pt>
                <c:pt idx="27">
                  <c:v>116163162488.54332</c:v>
                </c:pt>
                <c:pt idx="28">
                  <c:v>1161631624885.4333</c:v>
                </c:pt>
                <c:pt idx="29">
                  <c:v>11616316248854.332</c:v>
                </c:pt>
                <c:pt idx="30">
                  <c:v>116163162488543.33</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1.3693300368128524E-14</c:v>
                </c:pt>
                <c:pt idx="1">
                  <c:v>1.3693300368128522E-13</c:v>
                </c:pt>
                <c:pt idx="2">
                  <c:v>1.3693300368128522E-12</c:v>
                </c:pt>
                <c:pt idx="3">
                  <c:v>1.3693300368128523E-11</c:v>
                </c:pt>
                <c:pt idx="4">
                  <c:v>1.3693300368128523E-10</c:v>
                </c:pt>
                <c:pt idx="5">
                  <c:v>1.3693300368128523E-9</c:v>
                </c:pt>
                <c:pt idx="6">
                  <c:v>1.3693300368128523E-8</c:v>
                </c:pt>
                <c:pt idx="7">
                  <c:v>1.3693300368128523E-7</c:v>
                </c:pt>
                <c:pt idx="8">
                  <c:v>1.3693300368128523E-6</c:v>
                </c:pt>
                <c:pt idx="9">
                  <c:v>1.3693300368128521E-5</c:v>
                </c:pt>
                <c:pt idx="10">
                  <c:v>1.3693300368128523E-4</c:v>
                </c:pt>
                <c:pt idx="11">
                  <c:v>1.3693300368128522E-3</c:v>
                </c:pt>
                <c:pt idx="12">
                  <c:v>1.3693300368128523E-2</c:v>
                </c:pt>
                <c:pt idx="13">
                  <c:v>0.13693300368128522</c:v>
                </c:pt>
                <c:pt idx="14">
                  <c:v>1.3693300368128523</c:v>
                </c:pt>
                <c:pt idx="15">
                  <c:v>13.693300368128522</c:v>
                </c:pt>
                <c:pt idx="16">
                  <c:v>136.93300368128521</c:v>
                </c:pt>
                <c:pt idx="17">
                  <c:v>1369.3300368128523</c:v>
                </c:pt>
                <c:pt idx="18">
                  <c:v>13693.300368128523</c:v>
                </c:pt>
                <c:pt idx="19">
                  <c:v>136933.00368128522</c:v>
                </c:pt>
                <c:pt idx="20">
                  <c:v>1369330.0368128524</c:v>
                </c:pt>
                <c:pt idx="21">
                  <c:v>13693300.368128523</c:v>
                </c:pt>
                <c:pt idx="22">
                  <c:v>136933003.68128523</c:v>
                </c:pt>
                <c:pt idx="23">
                  <c:v>1369330036.8128524</c:v>
                </c:pt>
                <c:pt idx="24">
                  <c:v>13693300368.128523</c:v>
                </c:pt>
                <c:pt idx="25">
                  <c:v>136933003681.28523</c:v>
                </c:pt>
                <c:pt idx="26">
                  <c:v>1369330036812.8523</c:v>
                </c:pt>
                <c:pt idx="27">
                  <c:v>13693300368128.523</c:v>
                </c:pt>
                <c:pt idx="28">
                  <c:v>136933003681285.22</c:v>
                </c:pt>
                <c:pt idx="29">
                  <c:v>1369330036812852.2</c:v>
                </c:pt>
                <c:pt idx="30">
                  <c:v>1.3693300368128522E+16</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1.9749322415175452E-12</c:v>
                </c:pt>
                <c:pt idx="1">
                  <c:v>1.9749322415175452E-11</c:v>
                </c:pt>
                <c:pt idx="2">
                  <c:v>1.9749322415175451E-10</c:v>
                </c:pt>
                <c:pt idx="3">
                  <c:v>1.9749322415175451E-9</c:v>
                </c:pt>
                <c:pt idx="4">
                  <c:v>1.9749322415175449E-8</c:v>
                </c:pt>
                <c:pt idx="5">
                  <c:v>1.9749322415175453E-7</c:v>
                </c:pt>
                <c:pt idx="6">
                  <c:v>1.9749322415175451E-6</c:v>
                </c:pt>
                <c:pt idx="7">
                  <c:v>1.9749322415175453E-5</c:v>
                </c:pt>
                <c:pt idx="8">
                  <c:v>1.974932241517545E-4</c:v>
                </c:pt>
                <c:pt idx="9">
                  <c:v>1.9749322415175451E-3</c:v>
                </c:pt>
                <c:pt idx="10">
                  <c:v>1.9749322415175453E-2</c:v>
                </c:pt>
                <c:pt idx="11">
                  <c:v>0.19749322415175452</c:v>
                </c:pt>
                <c:pt idx="12">
                  <c:v>1.9749322415175452</c:v>
                </c:pt>
                <c:pt idx="13">
                  <c:v>19.749322415175453</c:v>
                </c:pt>
                <c:pt idx="14">
                  <c:v>197.49322415175453</c:v>
                </c:pt>
                <c:pt idx="15">
                  <c:v>1974.9322415175452</c:v>
                </c:pt>
                <c:pt idx="16">
                  <c:v>19749.322415175451</c:v>
                </c:pt>
                <c:pt idx="17">
                  <c:v>197493.22415175452</c:v>
                </c:pt>
                <c:pt idx="18">
                  <c:v>1974932.2415175452</c:v>
                </c:pt>
                <c:pt idx="19">
                  <c:v>19749322.415175453</c:v>
                </c:pt>
                <c:pt idx="20">
                  <c:v>197493224.1517545</c:v>
                </c:pt>
                <c:pt idx="21">
                  <c:v>1974932241.5175452</c:v>
                </c:pt>
                <c:pt idx="22">
                  <c:v>19749322415.175449</c:v>
                </c:pt>
                <c:pt idx="23">
                  <c:v>197493224151.75452</c:v>
                </c:pt>
                <c:pt idx="24">
                  <c:v>1974932241517.5452</c:v>
                </c:pt>
                <c:pt idx="25">
                  <c:v>19749322415175.453</c:v>
                </c:pt>
                <c:pt idx="26">
                  <c:v>197493224151754.5</c:v>
                </c:pt>
                <c:pt idx="27">
                  <c:v>1974932241517545</c:v>
                </c:pt>
                <c:pt idx="28">
                  <c:v>1.9749322415175452E+16</c:v>
                </c:pt>
                <c:pt idx="29">
                  <c:v>1.974932241517545E+17</c:v>
                </c:pt>
                <c:pt idx="30">
                  <c:v>1.9749322415175452E+18</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2.5822121723204074E-10</c:v>
                </c:pt>
                <c:pt idx="1">
                  <c:v>2.5822121723204073E-9</c:v>
                </c:pt>
                <c:pt idx="2">
                  <c:v>2.5822121723204072E-8</c:v>
                </c:pt>
                <c:pt idx="3">
                  <c:v>2.5822121723204072E-7</c:v>
                </c:pt>
                <c:pt idx="4">
                  <c:v>2.5822121723204073E-6</c:v>
                </c:pt>
                <c:pt idx="5">
                  <c:v>2.5822121723204075E-5</c:v>
                </c:pt>
                <c:pt idx="6">
                  <c:v>2.5822121723204073E-4</c:v>
                </c:pt>
                <c:pt idx="7">
                  <c:v>2.5822121723204075E-3</c:v>
                </c:pt>
                <c:pt idx="8">
                  <c:v>2.5822121723204073E-2</c:v>
                </c:pt>
                <c:pt idx="9">
                  <c:v>0.25822121723204072</c:v>
                </c:pt>
                <c:pt idx="10">
                  <c:v>2.5822121723204075</c:v>
                </c:pt>
                <c:pt idx="11">
                  <c:v>25.822121723204074</c:v>
                </c:pt>
                <c:pt idx="12">
                  <c:v>258.22121723204071</c:v>
                </c:pt>
                <c:pt idx="13">
                  <c:v>2582.2121723204073</c:v>
                </c:pt>
                <c:pt idx="14">
                  <c:v>25822.121723204076</c:v>
                </c:pt>
                <c:pt idx="15">
                  <c:v>258221.21723204074</c:v>
                </c:pt>
                <c:pt idx="16">
                  <c:v>2582212.1723204073</c:v>
                </c:pt>
                <c:pt idx="17">
                  <c:v>25822121.723204073</c:v>
                </c:pt>
                <c:pt idx="18">
                  <c:v>258221217.23204073</c:v>
                </c:pt>
                <c:pt idx="19">
                  <c:v>2582212172.3204074</c:v>
                </c:pt>
                <c:pt idx="20">
                  <c:v>25822121723.204075</c:v>
                </c:pt>
                <c:pt idx="21">
                  <c:v>258221217232.04074</c:v>
                </c:pt>
                <c:pt idx="22">
                  <c:v>2582212172320.4072</c:v>
                </c:pt>
                <c:pt idx="23">
                  <c:v>25822121723204.074</c:v>
                </c:pt>
                <c:pt idx="24">
                  <c:v>258221217232040.72</c:v>
                </c:pt>
                <c:pt idx="25">
                  <c:v>2582212172320407.5</c:v>
                </c:pt>
                <c:pt idx="26">
                  <c:v>2.5822121723204072E+16</c:v>
                </c:pt>
                <c:pt idx="27">
                  <c:v>2.5822121723204074E+17</c:v>
                </c:pt>
                <c:pt idx="28">
                  <c:v>2.5822121723204076E+18</c:v>
                </c:pt>
                <c:pt idx="29">
                  <c:v>2.5822121723204071E+19</c:v>
                </c:pt>
                <c:pt idx="30">
                  <c:v>2.5822121723204072E+20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816000"/>
        <c:axId val="445817176"/>
      </c:scatterChart>
      <c:valAx>
        <c:axId val="4458160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7176"/>
        <c:crosses val="autoZero"/>
        <c:crossBetween val="midCat"/>
      </c:valAx>
      <c:valAx>
        <c:axId val="445817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00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-8.2939414517803574</c:v>
                </c:pt>
                <c:pt idx="1">
                  <c:v>-8.2271585633235365</c:v>
                </c:pt>
                <c:pt idx="2">
                  <c:v>-8.1602821171240016</c:v>
                </c:pt>
                <c:pt idx="3">
                  <c:v>-8.0932185554390337</c:v>
                </c:pt>
                <c:pt idx="4">
                  <c:v>-8.0258743205259204</c:v>
                </c:pt>
                <c:pt idx="5">
                  <c:v>-7.9581558546419453</c:v>
                </c:pt>
                <c:pt idx="6">
                  <c:v>-7.8899696000443909</c:v>
                </c:pt>
                <c:pt idx="7">
                  <c:v>-7.8212219989905432</c:v>
                </c:pt>
                <c:pt idx="8">
                  <c:v>-7.7518194937376848</c:v>
                </c:pt>
                <c:pt idx="9">
                  <c:v>-7.6816685265431026</c:v>
                </c:pt>
                <c:pt idx="10">
                  <c:v>-7.6106755396640811</c:v>
                </c:pt>
                <c:pt idx="11">
                  <c:v>-7.5387469753579017</c:v>
                </c:pt>
                <c:pt idx="12">
                  <c:v>-7.4657892758818516</c:v>
                </c:pt>
                <c:pt idx="13">
                  <c:v>-7.3917088834932141</c:v>
                </c:pt>
                <c:pt idx="14">
                  <c:v>-7.3164122404492726</c:v>
                </c:pt>
                <c:pt idx="15">
                  <c:v>-7.2398057890073133</c:v>
                </c:pt>
                <c:pt idx="16">
                  <c:v>-7.1617959714246204</c:v>
                </c:pt>
                <c:pt idx="17">
                  <c:v>-7.0822892299584765</c:v>
                </c:pt>
                <c:pt idx="18">
                  <c:v>-7.0011920068661677</c:v>
                </c:pt>
                <c:pt idx="19">
                  <c:v>-6.9184107444049783</c:v>
                </c:pt>
                <c:pt idx="20">
                  <c:v>-6.8338518848321916</c:v>
                </c:pt>
                <c:pt idx="21">
                  <c:v>-6.747421870405093</c:v>
                </c:pt>
                <c:pt idx="22">
                  <c:v>-6.6590271433809658</c:v>
                </c:pt>
                <c:pt idx="23">
                  <c:v>-6.568574146017097</c:v>
                </c:pt>
                <c:pt idx="24">
                  <c:v>-6.4759693205707674</c:v>
                </c:pt>
                <c:pt idx="25">
                  <c:v>-6.3811191092992638</c:v>
                </c:pt>
                <c:pt idx="26">
                  <c:v>-6.2839299544598699</c:v>
                </c:pt>
                <c:pt idx="27">
                  <c:v>-6.1843082983098707</c:v>
                </c:pt>
                <c:pt idx="28">
                  <c:v>-6.0821605831065479</c:v>
                </c:pt>
                <c:pt idx="29">
                  <c:v>-5.9773932511071894</c:v>
                </c:pt>
                <c:pt idx="30">
                  <c:v>-5.8699127445690777</c:v>
                </c:pt>
                <c:pt idx="31">
                  <c:v>-5.7596255057494989</c:v>
                </c:pt>
                <c:pt idx="32">
                  <c:v>-5.6464379769057356</c:v>
                </c:pt>
                <c:pt idx="33">
                  <c:v>-5.5302566002950719</c:v>
                </c:pt>
                <c:pt idx="34">
                  <c:v>-5.4109878181747932</c:v>
                </c:pt>
                <c:pt idx="35">
                  <c:v>-5.2885380728021838</c:v>
                </c:pt>
                <c:pt idx="36">
                  <c:v>-5.1628138064345288</c:v>
                </c:pt>
                <c:pt idx="37">
                  <c:v>-5.0337214613291108</c:v>
                </c:pt>
                <c:pt idx="38">
                  <c:v>-4.9011674797432159</c:v>
                </c:pt>
                <c:pt idx="39">
                  <c:v>-4.7650583039341274</c:v>
                </c:pt>
                <c:pt idx="40">
                  <c:v>-4.6253003761591298</c:v>
                </c:pt>
                <c:pt idx="41">
                  <c:v>-4.5483388249548335</c:v>
                </c:pt>
                <c:pt idx="42">
                  <c:v>-4.4678558066648089</c:v>
                </c:pt>
                <c:pt idx="43">
                  <c:v>-4.3840721639119549</c:v>
                </c:pt>
                <c:pt idx="44">
                  <c:v>-4.2972087393191662</c:v>
                </c:pt>
                <c:pt idx="45">
                  <c:v>-4.2074863755093403</c:v>
                </c:pt>
                <c:pt idx="46">
                  <c:v>-4.1151259151053736</c:v>
                </c:pt>
                <c:pt idx="47">
                  <c:v>-4.0203482007301634</c:v>
                </c:pt>
                <c:pt idx="48">
                  <c:v>-3.9233740750066075</c:v>
                </c:pt>
                <c:pt idx="49">
                  <c:v>-3.8244243805576006</c:v>
                </c:pt>
                <c:pt idx="50">
                  <c:v>-3.7237199600060404</c:v>
                </c:pt>
                <c:pt idx="51">
                  <c:v>-3.6214816559748249</c:v>
                </c:pt>
                <c:pt idx="52">
                  <c:v>-3.5179303110868485</c:v>
                </c:pt>
                <c:pt idx="53">
                  <c:v>-3.4132867679650101</c:v>
                </c:pt>
                <c:pt idx="54">
                  <c:v>-3.307771869232206</c:v>
                </c:pt>
                <c:pt idx="55">
                  <c:v>-3.2016064575113319</c:v>
                </c:pt>
                <c:pt idx="56">
                  <c:v>-3.0950113754252859</c:v>
                </c:pt>
                <c:pt idx="57">
                  <c:v>-2.9882074655969646</c:v>
                </c:pt>
                <c:pt idx="58">
                  <c:v>-2.8814155706492648</c:v>
                </c:pt>
                <c:pt idx="59">
                  <c:v>-2.7748565332050825</c:v>
                </c:pt>
                <c:pt idx="60">
                  <c:v>-2.6687511958873156</c:v>
                </c:pt>
                <c:pt idx="61">
                  <c:v>-2.5633204013188604</c:v>
                </c:pt>
                <c:pt idx="62">
                  <c:v>-2.4587849921226139</c:v>
                </c:pt>
                <c:pt idx="63">
                  <c:v>-2.3553658109214721</c:v>
                </c:pt>
                <c:pt idx="64">
                  <c:v>-2.2532837003383333</c:v>
                </c:pt>
                <c:pt idx="65">
                  <c:v>-2.1527595029960929</c:v>
                </c:pt>
                <c:pt idx="66">
                  <c:v>-2.0539633772907875</c:v>
                </c:pt>
                <c:pt idx="67">
                  <c:v>-1.9568627447110076</c:v>
                </c:pt>
                <c:pt idx="68">
                  <c:v>-1.8613743425184834</c:v>
                </c:pt>
                <c:pt idx="69">
                  <c:v>-1.7674149079749448</c:v>
                </c:pt>
                <c:pt idx="70">
                  <c:v>-1.6749011783421217</c:v>
                </c:pt>
                <c:pt idx="71">
                  <c:v>-1.583749890881744</c:v>
                </c:pt>
                <c:pt idx="72">
                  <c:v>-1.4938777828555418</c:v>
                </c:pt>
                <c:pt idx="73">
                  <c:v>-1.4052015915252447</c:v>
                </c:pt>
                <c:pt idx="74">
                  <c:v>-1.3176380541525829</c:v>
                </c:pt>
                <c:pt idx="75">
                  <c:v>-1.2311039079992865</c:v>
                </c:pt>
                <c:pt idx="76">
                  <c:v>-1.1455158903270848</c:v>
                </c:pt>
                <c:pt idx="77">
                  <c:v>-1.0607907383977082</c:v>
                </c:pt>
                <c:pt idx="78">
                  <c:v>-0.97684518947288634</c:v>
                </c:pt>
                <c:pt idx="79">
                  <c:v>-0.89359598081434932</c:v>
                </c:pt>
                <c:pt idx="80">
                  <c:v>-0.81095984968382706</c:v>
                </c:pt>
                <c:pt idx="81">
                  <c:v>-0.72885353334304981</c:v>
                </c:pt>
                <c:pt idx="82">
                  <c:v>-0.64719376905374681</c:v>
                </c:pt>
                <c:pt idx="83">
                  <c:v>-0.56589729407764833</c:v>
                </c:pt>
                <c:pt idx="84">
                  <c:v>-0.48488084567648448</c:v>
                </c:pt>
                <c:pt idx="85">
                  <c:v>-0.40406116111198487</c:v>
                </c:pt>
                <c:pt idx="86">
                  <c:v>-0.32335497764587962</c:v>
                </c:pt>
                <c:pt idx="87">
                  <c:v>-0.24267903253989859</c:v>
                </c:pt>
                <c:pt idx="88">
                  <c:v>-0.16195006305577167</c:v>
                </c:pt>
                <c:pt idx="89">
                  <c:v>-8.1084806455228836E-2</c:v>
                </c:pt>
                <c:pt idx="90">
                  <c:v>0</c:v>
                </c:pt>
                <c:pt idx="91">
                  <c:v>8.1375370478966147E-2</c:v>
                </c:pt>
                <c:pt idx="92">
                  <c:v>0.16306332487384578</c:v>
                </c:pt>
                <c:pt idx="93">
                  <c:v>0.24507363450759639</c:v>
                </c:pt>
                <c:pt idx="94">
                  <c:v>0.32741607070317535</c:v>
                </c:pt>
                <c:pt idx="95">
                  <c:v>0.4101004047835401</c:v>
                </c:pt>
                <c:pt idx="96">
                  <c:v>0.49313640807164816</c:v>
                </c:pt>
                <c:pt idx="97">
                  <c:v>0.57653385189045681</c:v>
                </c:pt>
                <c:pt idx="98">
                  <c:v>0.66030250756292364</c:v>
                </c:pt>
                <c:pt idx="99">
                  <c:v>0.74445214641200608</c:v>
                </c:pt>
                <c:pt idx="100">
                  <c:v>0.82899253976066134</c:v>
                </c:pt>
                <c:pt idx="101">
                  <c:v>0.91393345893184719</c:v>
                </c:pt>
                <c:pt idx="102">
                  <c:v>0.99928467524852083</c:v>
                </c:pt>
                <c:pt idx="103">
                  <c:v>1.0850559600336398</c:v>
                </c:pt>
                <c:pt idx="104">
                  <c:v>1.1712570846101611</c:v>
                </c:pt>
                <c:pt idx="105">
                  <c:v>1.2578978203010429</c:v>
                </c:pt>
                <c:pt idx="106">
                  <c:v>1.3449879384292422</c:v>
                </c:pt>
                <c:pt idx="107">
                  <c:v>1.4325372103177165</c:v>
                </c:pt>
                <c:pt idx="108">
                  <c:v>1.5205554072894234</c:v>
                </c:pt>
                <c:pt idx="109">
                  <c:v>1.6090523006673199</c:v>
                </c:pt>
                <c:pt idx="110">
                  <c:v>1.6980376617743638</c:v>
                </c:pt>
                <c:pt idx="111">
                  <c:v>1.7875212619335126</c:v>
                </c:pt>
                <c:pt idx="112">
                  <c:v>1.8775128724677235</c:v>
                </c:pt>
                <c:pt idx="113">
                  <c:v>1.9680222646999541</c:v>
                </c:pt>
                <c:pt idx="114">
                  <c:v>2.0590592099531615</c:v>
                </c:pt>
                <c:pt idx="115">
                  <c:v>2.1506334795503035</c:v>
                </c:pt>
                <c:pt idx="116">
                  <c:v>2.2427548448143377</c:v>
                </c:pt>
                <c:pt idx="117">
                  <c:v>2.3354330770682203</c:v>
                </c:pt>
                <c:pt idx="118">
                  <c:v>2.4286779476349105</c:v>
                </c:pt>
                <c:pt idx="119">
                  <c:v>2.5224992278373648</c:v>
                </c:pt>
                <c:pt idx="120">
                  <c:v>2.6169066889985406</c:v>
                </c:pt>
                <c:pt idx="121">
                  <c:v>2.7119096405224208</c:v>
                </c:pt>
                <c:pt idx="122">
                  <c:v>2.8075155441370847</c:v>
                </c:pt>
                <c:pt idx="123">
                  <c:v>2.9037313996516385</c:v>
                </c:pt>
                <c:pt idx="124">
                  <c:v>3.000564206875187</c:v>
                </c:pt>
                <c:pt idx="125">
                  <c:v>3.0980209656168363</c:v>
                </c:pt>
                <c:pt idx="126">
                  <c:v>3.1961086756856916</c:v>
                </c:pt>
                <c:pt idx="127">
                  <c:v>3.2948343368908573</c:v>
                </c:pt>
                <c:pt idx="128">
                  <c:v>3.3942049490414394</c:v>
                </c:pt>
                <c:pt idx="129">
                  <c:v>3.4942275119465442</c:v>
                </c:pt>
                <c:pt idx="130">
                  <c:v>3.5949090254152747</c:v>
                </c:pt>
                <c:pt idx="131">
                  <c:v>3.6962564892567382</c:v>
                </c:pt>
                <c:pt idx="132">
                  <c:v>3.7982769032800396</c:v>
                </c:pt>
                <c:pt idx="133">
                  <c:v>3.9009772672942837</c:v>
                </c:pt>
                <c:pt idx="134">
                  <c:v>4.0043645811085762</c:v>
                </c:pt>
                <c:pt idx="135">
                  <c:v>4.1084458445320227</c:v>
                </c:pt>
                <c:pt idx="136">
                  <c:v>4.213228057373728</c:v>
                </c:pt>
                <c:pt idx="137">
                  <c:v>4.3187182194427969</c:v>
                </c:pt>
                <c:pt idx="138">
                  <c:v>4.4249233305483369</c:v>
                </c:pt>
                <c:pt idx="139">
                  <c:v>4.5318503904994509</c:v>
                </c:pt>
                <c:pt idx="140">
                  <c:v>4.6395063991052456</c:v>
                </c:pt>
                <c:pt idx="141">
                  <c:v>4.7478983561748258</c:v>
                </c:pt>
                <c:pt idx="142">
                  <c:v>4.8570332615172971</c:v>
                </c:pt>
                <c:pt idx="143">
                  <c:v>4.9669181149417643</c:v>
                </c:pt>
                <c:pt idx="144">
                  <c:v>5.0775599162573339</c:v>
                </c:pt>
                <c:pt idx="145">
                  <c:v>5.1889656652731091</c:v>
                </c:pt>
                <c:pt idx="146">
                  <c:v>5.3011423617981981</c:v>
                </c:pt>
                <c:pt idx="147">
                  <c:v>5.4140970056417039</c:v>
                </c:pt>
                <c:pt idx="148">
                  <c:v>5.5278365966127332</c:v>
                </c:pt>
                <c:pt idx="149">
                  <c:v>5.6423681345203907</c:v>
                </c:pt>
                <c:pt idx="150">
                  <c:v>5.7576986191737811</c:v>
                </c:pt>
                <c:pt idx="151">
                  <c:v>5.8738350503820111</c:v>
                </c:pt>
                <c:pt idx="152">
                  <c:v>5.9907844279541855</c:v>
                </c:pt>
                <c:pt idx="153">
                  <c:v>6.1085537516994091</c:v>
                </c:pt>
                <c:pt idx="154">
                  <c:v>6.2271500214267883</c:v>
                </c:pt>
                <c:pt idx="155">
                  <c:v>6.3465802369454263</c:v>
                </c:pt>
                <c:pt idx="156">
                  <c:v>6.4668513980644313</c:v>
                </c:pt>
                <c:pt idx="157">
                  <c:v>6.5879705045929065</c:v>
                </c:pt>
                <c:pt idx="158">
                  <c:v>6.7099445563399582</c:v>
                </c:pt>
                <c:pt idx="159">
                  <c:v>6.8327805531146923</c:v>
                </c:pt>
                <c:pt idx="160">
                  <c:v>6.9564854947262118</c:v>
                </c:pt>
                <c:pt idx="161">
                  <c:v>7.081066380983625</c:v>
                </c:pt>
                <c:pt idx="162">
                  <c:v>7.2065302116960348</c:v>
                </c:pt>
                <c:pt idx="163">
                  <c:v>7.332883986672547</c:v>
                </c:pt>
                <c:pt idx="164">
                  <c:v>7.4601347057222691</c:v>
                </c:pt>
                <c:pt idx="165">
                  <c:v>7.5882893686543031</c:v>
                </c:pt>
                <c:pt idx="166">
                  <c:v>7.7173494708158037</c:v>
                </c:pt>
                <c:pt idx="167">
                  <c:v>7.8472944897061119</c:v>
                </c:pt>
                <c:pt idx="168">
                  <c:v>7.9780983983626141</c:v>
                </c:pt>
                <c:pt idx="169">
                  <c:v>8.1097351698226987</c:v>
                </c:pt>
                <c:pt idx="170">
                  <c:v>8.2421787771237565</c:v>
                </c:pt>
                <c:pt idx="171">
                  <c:v>8.3754031933031712</c:v>
                </c:pt>
                <c:pt idx="172">
                  <c:v>8.5093823913983346</c:v>
                </c:pt>
                <c:pt idx="173">
                  <c:v>8.6440903444466333</c:v>
                </c:pt>
                <c:pt idx="174">
                  <c:v>8.7795010254854535</c:v>
                </c:pt>
                <c:pt idx="175">
                  <c:v>8.9155884075521854</c:v>
                </c:pt>
                <c:pt idx="176">
                  <c:v>9.0523264636842171</c:v>
                </c:pt>
                <c:pt idx="177">
                  <c:v>9.1896891669189351</c:v>
                </c:pt>
                <c:pt idx="178">
                  <c:v>9.3276504902937294</c:v>
                </c:pt>
                <c:pt idx="179">
                  <c:v>9.4661844068459864</c:v>
                </c:pt>
                <c:pt idx="180">
                  <c:v>9.6052648896130961</c:v>
                </c:pt>
                <c:pt idx="181">
                  <c:v>9.7448659116324432</c:v>
                </c:pt>
                <c:pt idx="182">
                  <c:v>9.8849614459414177</c:v>
                </c:pt>
                <c:pt idx="183">
                  <c:v>10.025525465577408</c:v>
                </c:pt>
                <c:pt idx="184">
                  <c:v>10.166531943577802</c:v>
                </c:pt>
                <c:pt idx="185">
                  <c:v>10.307954852979989</c:v>
                </c:pt>
                <c:pt idx="186">
                  <c:v>10.449768166821354</c:v>
                </c:pt>
                <c:pt idx="187">
                  <c:v>10.591945858139287</c:v>
                </c:pt>
                <c:pt idx="188">
                  <c:v>10.734461899971173</c:v>
                </c:pt>
                <c:pt idx="189">
                  <c:v>10.877290265354405</c:v>
                </c:pt>
                <c:pt idx="190">
                  <c:v>11.02040492732637</c:v>
                </c:pt>
                <c:pt idx="191">
                  <c:v>11.163779858924453</c:v>
                </c:pt>
                <c:pt idx="192">
                  <c:v>11.307389033186045</c:v>
                </c:pt>
                <c:pt idx="193">
                  <c:v>11.45120642314853</c:v>
                </c:pt>
                <c:pt idx="194">
                  <c:v>11.5952060018493</c:v>
                </c:pt>
                <c:pt idx="195">
                  <c:v>11.739361742325743</c:v>
                </c:pt>
                <c:pt idx="196">
                  <c:v>11.883647617615246</c:v>
                </c:pt>
                <c:pt idx="197">
                  <c:v>12.028037600755194</c:v>
                </c:pt>
                <c:pt idx="198">
                  <c:v>12.172505664782982</c:v>
                </c:pt>
                <c:pt idx="199">
                  <c:v>12.317025782735991</c:v>
                </c:pt>
                <c:pt idx="200">
                  <c:v>12.461571927651613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-8.2939414517803574</c:v>
                </c:pt>
                <c:pt idx="1">
                  <c:v>-4.6253003761591289</c:v>
                </c:pt>
                <c:pt idx="2">
                  <c:v>-2.1527595029960929</c:v>
                </c:pt>
                <c:pt idx="3">
                  <c:v>0</c:v>
                </c:pt>
                <c:pt idx="4">
                  <c:v>2.6169066889985411</c:v>
                </c:pt>
                <c:pt idx="5">
                  <c:v>7.588289368654304</c:v>
                </c:pt>
                <c:pt idx="6">
                  <c:v>12.461571927651612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-8.2696526889073834</c:v>
                </c:pt>
                <c:pt idx="1">
                  <c:v>-8.2103844601886244</c:v>
                </c:pt>
                <c:pt idx="2">
                  <c:v>-8.1506716881100587</c:v>
                </c:pt>
                <c:pt idx="3">
                  <c:v>-8.0902471536170566</c:v>
                </c:pt>
                <c:pt idx="4">
                  <c:v>-8.0288745420030505</c:v>
                </c:pt>
                <c:pt idx="5">
                  <c:v>-7.966346604706902</c:v>
                </c:pt>
                <c:pt idx="6">
                  <c:v>-7.9024833882755301</c:v>
                </c:pt>
                <c:pt idx="7">
                  <c:v>-7.837130529033189</c:v>
                </c:pt>
                <c:pt idx="8">
                  <c:v>-7.7701576120135227</c:v>
                </c:pt>
                <c:pt idx="9">
                  <c:v>-7.7014565927252496</c:v>
                </c:pt>
                <c:pt idx="10">
                  <c:v>-7.6309402803369135</c:v>
                </c:pt>
                <c:pt idx="11">
                  <c:v>-7.5585408808809129</c:v>
                </c:pt>
                <c:pt idx="12">
                  <c:v>-7.4842085990917031</c:v>
                </c:pt>
                <c:pt idx="13">
                  <c:v>-7.4079102975076694</c:v>
                </c:pt>
                <c:pt idx="14">
                  <c:v>-7.329628211480947</c:v>
                </c:pt>
                <c:pt idx="15">
                  <c:v>-7.2493587187541033</c:v>
                </c:pt>
                <c:pt idx="16">
                  <c:v>-7.1671111622772825</c:v>
                </c:pt>
                <c:pt idx="17">
                  <c:v>-7.0829067249541247</c:v>
                </c:pt>
                <c:pt idx="18">
                  <c:v>-6.9967773550194217</c:v>
                </c:pt>
                <c:pt idx="19">
                  <c:v>-6.908764740766193</c:v>
                </c:pt>
                <c:pt idx="20">
                  <c:v>-6.8189193333545255</c:v>
                </c:pt>
                <c:pt idx="21">
                  <c:v>-6.7272994164492053</c:v>
                </c:pt>
                <c:pt idx="22">
                  <c:v>-6.6339702214478784</c:v>
                </c:pt>
                <c:pt idx="23">
                  <c:v>-6.5390030870761491</c:v>
                </c:pt>
                <c:pt idx="24">
                  <c:v>-6.4424746621406932</c:v>
                </c:pt>
                <c:pt idx="25">
                  <c:v>-6.3444661502461948</c:v>
                </c:pt>
                <c:pt idx="26">
                  <c:v>-6.2450625952965284</c:v>
                </c:pt>
                <c:pt idx="27">
                  <c:v>-6.1443522066153893</c:v>
                </c:pt>
                <c:pt idx="28">
                  <c:v>-6.0424257225361568</c:v>
                </c:pt>
                <c:pt idx="29">
                  <c:v>-5.9393758113255553</c:v>
                </c:pt>
                <c:pt idx="30">
                  <c:v>-5.8352965083202948</c:v>
                </c:pt>
                <c:pt idx="31">
                  <c:v>-5.7302826881705826</c:v>
                </c:pt>
                <c:pt idx="32">
                  <c:v>-5.6244295710991095</c:v>
                </c:pt>
                <c:pt idx="33">
                  <c:v>-5.5178322620987341</c:v>
                </c:pt>
                <c:pt idx="34">
                  <c:v>-5.4105853220068614</c:v>
                </c:pt>
                <c:pt idx="35">
                  <c:v>-5.302782369409111</c:v>
                </c:pt>
                <c:pt idx="36">
                  <c:v>-5.1945157123396157</c:v>
                </c:pt>
                <c:pt idx="37">
                  <c:v>-5.0858760087599482</c:v>
                </c:pt>
                <c:pt idx="38">
                  <c:v>-4.9769519548133792</c:v>
                </c:pt>
                <c:pt idx="39">
                  <c:v>-4.8678299998658323</c:v>
                </c:pt>
                <c:pt idx="40">
                  <c:v>-4.7585940873595911</c:v>
                </c:pt>
                <c:pt idx="41">
                  <c:v>-4.649325420520543</c:v>
                </c:pt>
                <c:pt idx="42">
                  <c:v>-4.5401022519743357</c:v>
                </c:pt>
                <c:pt idx="43">
                  <c:v>-4.4309996963416225</c:v>
                </c:pt>
                <c:pt idx="44">
                  <c:v>-4.32208956489717</c:v>
                </c:pt>
                <c:pt idx="45">
                  <c:v>-4.2134402213923181</c:v>
                </c:pt>
                <c:pt idx="46">
                  <c:v>-4.1051164581549804</c:v>
                </c:pt>
                <c:pt idx="47">
                  <c:v>-3.9971793915960512</c:v>
                </c:pt>
                <c:pt idx="48">
                  <c:v>-3.8896863762657339</c:v>
                </c:pt>
                <c:pt idx="49">
                  <c:v>-3.7826909366180632</c:v>
                </c:pt>
                <c:pt idx="50">
                  <c:v>-3.6762427156565169</c:v>
                </c:pt>
                <c:pt idx="51">
                  <c:v>-3.5703874396483277</c:v>
                </c:pt>
                <c:pt idx="52">
                  <c:v>-3.4651668981097732</c:v>
                </c:pt>
                <c:pt idx="53">
                  <c:v>-3.3606189382794405</c:v>
                </c:pt>
                <c:pt idx="54">
                  <c:v>-3.2567774733111046</c:v>
                </c:pt>
                <c:pt idx="55">
                  <c:v>-3.1536725034325714</c:v>
                </c:pt>
                <c:pt idx="56">
                  <c:v>-3.0513301493315335</c:v>
                </c:pt>
                <c:pt idx="57">
                  <c:v>-2.9497726970441294</c:v>
                </c:pt>
                <c:pt idx="58">
                  <c:v>-2.849018653636624</c:v>
                </c:pt>
                <c:pt idx="59">
                  <c:v>-2.7490828129852987</c:v>
                </c:pt>
                <c:pt idx="60">
                  <c:v>-2.6499763309743214</c:v>
                </c:pt>
                <c:pt idx="61">
                  <c:v>-2.5517068094460527</c:v>
                </c:pt>
                <c:pt idx="62">
                  <c:v>-2.4542783882529369</c:v>
                </c:pt>
                <c:pt idx="63">
                  <c:v>-2.3576918447748079</c:v>
                </c:pt>
                <c:pt idx="64">
                  <c:v>-2.2619447002801243</c:v>
                </c:pt>
                <c:pt idx="65">
                  <c:v>-2.1670313325243336</c:v>
                </c:pt>
                <c:pt idx="66">
                  <c:v>-2.0729430939932594</c:v>
                </c:pt>
                <c:pt idx="67">
                  <c:v>-1.9796684352140697</c:v>
                </c:pt>
                <c:pt idx="68">
                  <c:v>-1.887193032571101</c:v>
                </c:pt>
                <c:pt idx="69">
                  <c:v>-1.7954999200784711</c:v>
                </c:pt>
                <c:pt idx="70">
                  <c:v>-1.7045696245761106</c:v>
                </c:pt>
                <c:pt idx="71">
                  <c:v>-1.6143803038305291</c:v>
                </c:pt>
                <c:pt idx="72">
                  <c:v>-1.5249078870363213</c:v>
                </c:pt>
                <c:pt idx="73">
                  <c:v>-1.4361262172290861</c:v>
                </c:pt>
                <c:pt idx="74">
                  <c:v>-1.3480071951351427</c:v>
                </c:pt>
                <c:pt idx="75">
                  <c:v>-1.2605209239980923</c:v>
                </c:pt>
                <c:pt idx="76">
                  <c:v>-1.1736358549369719</c:v>
                </c:pt>
                <c:pt idx="77">
                  <c:v>-1.0873189324054253</c:v>
                </c:pt>
                <c:pt idx="78">
                  <c:v>-1.0015357393360063</c:v>
                </c:pt>
                <c:pt idx="79">
                  <c:v>-0.91625064156841096</c:v>
                </c:pt>
                <c:pt idx="80">
                  <c:v>-0.83142693117512911</c:v>
                </c:pt>
                <c:pt idx="81">
                  <c:v>-0.74702696831267312</c:v>
                </c:pt>
                <c:pt idx="82">
                  <c:v>-0.66301232124125464</c:v>
                </c:pt>
                <c:pt idx="83">
                  <c:v>-0.57934390417043979</c:v>
                </c:pt>
                <c:pt idx="84">
                  <c:v>-0.49598211260301089</c:v>
                </c:pt>
                <c:pt idx="85">
                  <c:v>-0.41288695586394975</c:v>
                </c:pt>
                <c:pt idx="86">
                  <c:v>-0.33001818651613962</c:v>
                </c:pt>
                <c:pt idx="87">
                  <c:v>-0.24733542637906644</c:v>
                </c:pt>
                <c:pt idx="88">
                  <c:v>-0.16479828888149181</c:v>
                </c:pt>
                <c:pt idx="89">
                  <c:v>-8.2366497493748289E-2</c:v>
                </c:pt>
                <c:pt idx="90">
                  <c:v>0</c:v>
                </c:pt>
                <c:pt idx="91">
                  <c:v>8.2340921614507859E-2</c:v>
                </c:pt>
                <c:pt idx="92">
                  <c:v>0.16469554587149896</c:v>
                </c:pt>
                <c:pt idx="93">
                  <c:v>0.24710261129861896</c:v>
                </c:pt>
                <c:pt idx="94">
                  <c:v>0.32960022090020985</c:v>
                </c:pt>
                <c:pt idx="95">
                  <c:v>0.41222575176613752</c:v>
                </c:pt>
                <c:pt idx="96">
                  <c:v>0.49501576997021962</c:v>
                </c:pt>
                <c:pt idx="97">
                  <c:v>0.57800595089511586</c:v>
                </c:pt>
                <c:pt idx="98">
                  <c:v>0.66123100510585453</c:v>
                </c:pt>
                <c:pt idx="99">
                  <c:v>0.74472460987948819</c:v>
                </c:pt>
                <c:pt idx="100">
                  <c:v>0.82851934648368031</c:v>
                </c:pt>
                <c:pt idx="101">
                  <c:v>0.91264664328234424</c:v>
                </c:pt>
                <c:pt idx="102">
                  <c:v>0.9971367247317684</c:v>
                </c:pt>
                <c:pt idx="103">
                  <c:v>1.0820185663159714</c:v>
                </c:pt>
                <c:pt idx="104">
                  <c:v>1.1673198554553572</c:v>
                </c:pt>
                <c:pt idx="105">
                  <c:v>1.2530669584080392</c:v>
                </c:pt>
                <c:pt idx="106">
                  <c:v>1.3392848931685308</c:v>
                </c:pt>
                <c:pt idx="107">
                  <c:v>1.4259973083538049</c:v>
                </c:pt>
                <c:pt idx="108">
                  <c:v>1.513226468052044</c:v>
                </c:pt>
                <c:pt idx="109">
                  <c:v>1.6009932425947155</c:v>
                </c:pt>
                <c:pt idx="110">
                  <c:v>1.6893171051979228</c:v>
                </c:pt>
                <c:pt idx="111">
                  <c:v>1.7782161344042895</c:v>
                </c:pt>
                <c:pt idx="112">
                  <c:v>1.8677070222419656</c:v>
                </c:pt>
                <c:pt idx="113">
                  <c:v>1.9578050880026423</c:v>
                </c:pt>
                <c:pt idx="114">
                  <c:v>2.048524297525776</c:v>
                </c:pt>
                <c:pt idx="115">
                  <c:v>2.1398772878615575</c:v>
                </c:pt>
                <c:pt idx="116">
                  <c:v>2.2318753971704526</c:v>
                </c:pt>
                <c:pt idx="117">
                  <c:v>2.3245286997024608</c:v>
                </c:pt>
                <c:pt idx="118">
                  <c:v>2.4178460456845725</c:v>
                </c:pt>
                <c:pt idx="119">
                  <c:v>2.5118351059301887</c:v>
                </c:pt>
                <c:pt idx="120">
                  <c:v>2.6065024209695968</c:v>
                </c:pt>
                <c:pt idx="121">
                  <c:v>2.7018534544859318</c:v>
                </c:pt>
                <c:pt idx="122">
                  <c:v>2.7978926508263156</c:v>
                </c:pt>
                <c:pt idx="123">
                  <c:v>2.8946234963432351</c:v>
                </c:pt>
                <c:pt idx="124">
                  <c:v>2.9920485843064966</c:v>
                </c:pt>
                <c:pt idx="125">
                  <c:v>3.0901696831114291</c:v>
                </c:pt>
                <c:pt idx="126">
                  <c:v>3.1889878074943248</c:v>
                </c:pt>
                <c:pt idx="127">
                  <c:v>3.2885032924513835</c:v>
                </c:pt>
                <c:pt idx="128">
                  <c:v>3.3887158695428132</c:v>
                </c:pt>
                <c:pt idx="129">
                  <c:v>3.4896247452489657</c:v>
                </c:pt>
                <c:pt idx="130">
                  <c:v>3.5912286810307816</c:v>
                </c:pt>
                <c:pt idx="131">
                  <c:v>3.6935260747320773</c:v>
                </c:pt>
                <c:pt idx="132">
                  <c:v>3.7965150429465511</c:v>
                </c:pt>
                <c:pt idx="133">
                  <c:v>3.9001935039576758</c:v>
                </c:pt>
                <c:pt idx="134">
                  <c:v>4.0045592608449967</c:v>
                </c:pt>
                <c:pt idx="135">
                  <c:v>4.1096100843356282</c:v>
                </c:pt>
                <c:pt idx="136">
                  <c:v>4.2153437949650794</c:v>
                </c:pt>
                <c:pt idx="137">
                  <c:v>4.321758344096839</c:v>
                </c:pt>
                <c:pt idx="138">
                  <c:v>4.4288518933355023</c:v>
                </c:pt>
                <c:pt idx="139">
                  <c:v>4.5366228918534679</c:v>
                </c:pt>
                <c:pt idx="140">
                  <c:v>4.6450701511366228</c:v>
                </c:pt>
                <c:pt idx="141">
                  <c:v>4.7541929166396892</c:v>
                </c:pt>
                <c:pt idx="142">
                  <c:v>4.8639909358272577</c:v>
                </c:pt>
                <c:pt idx="143">
                  <c:v>4.9744645220618384</c:v>
                </c:pt>
                <c:pt idx="144">
                  <c:v>5.0856146137855358</c:v>
                </c:pt>
                <c:pt idx="145">
                  <c:v>5.1974428284273584</c:v>
                </c:pt>
                <c:pt idx="146">
                  <c:v>5.3099515104533879</c:v>
                </c:pt>
                <c:pt idx="147">
                  <c:v>5.4231437729624101</c:v>
                </c:pt>
                <c:pt idx="148">
                  <c:v>5.5370235322148913</c:v>
                </c:pt>
                <c:pt idx="149">
                  <c:v>5.6515955344685533</c:v>
                </c:pt>
                <c:pt idx="150">
                  <c:v>5.7668653744790186</c:v>
                </c:pt>
                <c:pt idx="151">
                  <c:v>5.8828395050094011</c:v>
                </c:pt>
                <c:pt idx="152">
                  <c:v>5.999525236678009</c:v>
                </c:pt>
                <c:pt idx="153">
                  <c:v>6.1169307274585893</c:v>
                </c:pt>
                <c:pt idx="154">
                  <c:v>6.2350649611329478</c:v>
                </c:pt>
                <c:pt idx="155">
                  <c:v>6.3539377139810078</c:v>
                </c:pt>
                <c:pt idx="156">
                  <c:v>6.4735595089787328</c:v>
                </c:pt>
                <c:pt idx="157">
                  <c:v>6.5939415567596589</c:v>
                </c:pt>
                <c:pt idx="158">
                  <c:v>6.7150956825810386</c:v>
                </c:pt>
                <c:pt idx="159">
                  <c:v>6.8370342385210146</c:v>
                </c:pt>
                <c:pt idx="160">
                  <c:v>6.9597700001184366</c:v>
                </c:pt>
                <c:pt idx="161">
                  <c:v>7.0833160466523273</c:v>
                </c:pt>
                <c:pt idx="162">
                  <c:v>7.2076856242433305</c:v>
                </c:pt>
                <c:pt idx="163">
                  <c:v>7.332891990944697</c:v>
                </c:pt>
                <c:pt idx="164">
                  <c:v>7.4589482429758034</c:v>
                </c:pt>
                <c:pt idx="165">
                  <c:v>7.585867121236384</c:v>
                </c:pt>
                <c:pt idx="166">
                  <c:v>7.7136607972250841</c:v>
                </c:pt>
                <c:pt idx="167">
                  <c:v>7.8423406374711924</c:v>
                </c:pt>
                <c:pt idx="168">
                  <c:v>7.9719169455737147</c:v>
                </c:pt>
                <c:pt idx="169">
                  <c:v>8.1023986809273492</c:v>
                </c:pt>
                <c:pt idx="170">
                  <c:v>8.2337931532001001</c:v>
                </c:pt>
                <c:pt idx="171">
                  <c:v>8.366105691612761</c:v>
                </c:pt>
                <c:pt idx="172">
                  <c:v>8.4993392880555927</c:v>
                </c:pt>
                <c:pt idx="173">
                  <c:v>8.633494213063079</c:v>
                </c:pt>
                <c:pt idx="174">
                  <c:v>8.7685676036527287</c:v>
                </c:pt>
                <c:pt idx="175">
                  <c:v>8.9045530220194031</c:v>
                </c:pt>
                <c:pt idx="176">
                  <c:v>9.0414399840617907</c:v>
                </c:pt>
                <c:pt idx="177">
                  <c:v>9.1792134567031027</c:v>
                </c:pt>
                <c:pt idx="178">
                  <c:v>9.3178533229533151</c:v>
                </c:pt>
                <c:pt idx="179">
                  <c:v>9.4573338136455707</c:v>
                </c:pt>
                <c:pt idx="180">
                  <c:v>9.5976229047647355</c:v>
                </c:pt>
                <c:pt idx="181">
                  <c:v>9.7386816792713784</c:v>
                </c:pt>
                <c:pt idx="182">
                  <c:v>9.8804636523097606</c:v>
                </c:pt>
                <c:pt idx="183">
                  <c:v>10.02291405867371</c:v>
                </c:pt>
                <c:pt idx="184">
                  <c:v>10.165969101389681</c:v>
                </c:pt>
                <c:pt idx="185">
                  <c:v>10.309555160261429</c:v>
                </c:pt>
                <c:pt idx="186">
                  <c:v>10.453587959206224</c:v>
                </c:pt>
                <c:pt idx="187">
                  <c:v>10.597971691197747</c:v>
                </c:pt>
                <c:pt idx="188">
                  <c:v>10.742598099616114</c:v>
                </c:pt>
                <c:pt idx="189">
                  <c:v>10.887345514790871</c:v>
                </c:pt>
                <c:pt idx="190">
                  <c:v>11.032077844508008</c:v>
                </c:pt>
                <c:pt idx="191">
                  <c:v>11.176643517237489</c:v>
                </c:pt>
                <c:pt idx="192">
                  <c:v>11.32087437682293</c:v>
                </c:pt>
                <c:pt idx="193">
                  <c:v>11.464584527360575</c:v>
                </c:pt>
                <c:pt idx="194">
                  <c:v>11.607569126979875</c:v>
                </c:pt>
                <c:pt idx="195">
                  <c:v>11.749603129223345</c:v>
                </c:pt>
                <c:pt idx="196">
                  <c:v>11.890439970708742</c:v>
                </c:pt>
                <c:pt idx="197">
                  <c:v>12.029810203741802</c:v>
                </c:pt>
                <c:pt idx="198">
                  <c:v>12.167420072533215</c:v>
                </c:pt>
                <c:pt idx="199">
                  <c:v>12.302950031658755</c:v>
                </c:pt>
                <c:pt idx="200">
                  <c:v>12.43605320538679</c:v>
                </c:pt>
              </c:numCache>
            </c:numRef>
          </c:yVal>
          <c:smooth val="1"/>
        </c:ser>
        <c:dLbls>
          <c:showLegendKey val="0"/>
          <c:showVal val="0"/>
          <c:showCatName val="0"/>
          <c:showSerName val="0"/>
          <c:showPercent val="0"/>
          <c:showBubbleSize val="0"/>
        </c:dLbls>
        <c:axId val="445819920"/>
        <c:axId val="445816784"/>
      </c:scatterChart>
      <c:valAx>
        <c:axId val="44581992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784"/>
        <c:crossesAt val="-1000"/>
        <c:crossBetween val="midCat"/>
      </c:valAx>
      <c:valAx>
        <c:axId val="44581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992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8.2347123078193529E-2</v>
      </c>
      <c r="D59" s="55">
        <v>1</v>
      </c>
    </row>
    <row r="60" spans="1:4" s="11" customFormat="1" x14ac:dyDescent="0.25">
      <c r="A60" s="54">
        <v>2</v>
      </c>
      <c r="B60" s="56">
        <f>'Shiftfunktion bestimmen'!N2</f>
        <v>-1.276960078135309E-5</v>
      </c>
      <c r="D60" s="55">
        <v>2</v>
      </c>
    </row>
    <row r="61" spans="1:4" s="11" customFormat="1" x14ac:dyDescent="0.25">
      <c r="A61" s="54">
        <v>3</v>
      </c>
      <c r="B61" s="56">
        <f>'Shiftfunktion bestimmen'!N3</f>
        <v>6.5873338909537383E-6</v>
      </c>
      <c r="D61" s="55">
        <v>3</v>
      </c>
    </row>
    <row r="62" spans="1:4" s="11" customFormat="1" x14ac:dyDescent="0.25">
      <c r="A62" s="54">
        <v>4</v>
      </c>
      <c r="B62" s="56">
        <f>'Shiftfunktion bestimmen'!N4</f>
        <v>-1.8345497636686333E-8</v>
      </c>
      <c r="D62" s="55">
        <v>4</v>
      </c>
    </row>
    <row r="63" spans="1:4" s="11" customFormat="1" x14ac:dyDescent="0.25">
      <c r="A63" s="54">
        <v>5</v>
      </c>
      <c r="B63" s="56">
        <f>'Shiftfunktion bestimmen'!N5</f>
        <v>-8.5799376682551262E-10</v>
      </c>
      <c r="D63" s="55">
        <v>5</v>
      </c>
    </row>
    <row r="64" spans="1:4" s="11" customFormat="1" x14ac:dyDescent="0.25">
      <c r="A64" s="54">
        <v>6</v>
      </c>
      <c r="B64" s="56">
        <f>'Shiftfunktion bestimmen'!N6</f>
        <v>6.6591312592772244E-12</v>
      </c>
      <c r="D64" s="55">
        <v>6</v>
      </c>
    </row>
    <row r="65" spans="1:5" s="11" customFormat="1" x14ac:dyDescent="0.25">
      <c r="A65" s="54">
        <v>7</v>
      </c>
      <c r="B65" s="56">
        <f>'Shiftfunktion bestimmen'!N7</f>
        <v>3.7353319810798176E-14</v>
      </c>
      <c r="D65" s="55">
        <v>7</v>
      </c>
    </row>
    <row r="66" spans="1:5" x14ac:dyDescent="0.25">
      <c r="A66" s="54">
        <v>8</v>
      </c>
      <c r="B66" s="56">
        <f>'Shiftfunktion bestimmen'!N8</f>
        <v>-3.6422481548848338E-16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6.0818814685214426E-2</v>
      </c>
      <c r="D74" s="51">
        <v>1</v>
      </c>
      <c r="E74" s="56">
        <f>'Mastercurve bestimmen'!A18</f>
        <v>1.0000000000000001E-20</v>
      </c>
    </row>
    <row r="75" spans="1:5" x14ac:dyDescent="0.25">
      <c r="A75" s="50">
        <f>A74+1</f>
        <v>2</v>
      </c>
      <c r="B75" s="56">
        <f>'Mastercurve bestimmen'!C19</f>
        <v>3.2502922737788244E-2</v>
      </c>
      <c r="D75" s="51">
        <v>2</v>
      </c>
      <c r="E75" s="56">
        <f>'Mastercurve bestimmen'!A19</f>
        <v>3.9038946506297401E-14</v>
      </c>
    </row>
    <row r="76" spans="1:5" x14ac:dyDescent="0.25">
      <c r="A76" s="50">
        <f t="shared" ref="A76:A104" si="0">A75+1</f>
        <v>3</v>
      </c>
      <c r="B76" s="56">
        <f>'Mastercurve bestimmen'!C20</f>
        <v>1.4783428778769918E-2</v>
      </c>
      <c r="D76" s="51">
        <v>3</v>
      </c>
      <c r="E76" s="56">
        <f>'Mastercurve bestimmen'!A20</f>
        <v>4.3276437088188502E-13</v>
      </c>
    </row>
    <row r="77" spans="1:5" x14ac:dyDescent="0.25">
      <c r="A77" s="50">
        <f t="shared" si="0"/>
        <v>4</v>
      </c>
      <c r="B77" s="56">
        <f>'Mastercurve bestimmen'!C21</f>
        <v>2.1843297489483837E-2</v>
      </c>
      <c r="D77" s="51">
        <v>4</v>
      </c>
      <c r="E77" s="56">
        <f>'Mastercurve bestimmen'!A21</f>
        <v>4.7973886968128502E-12</v>
      </c>
    </row>
    <row r="78" spans="1:5" x14ac:dyDescent="0.25">
      <c r="A78" s="50">
        <f t="shared" si="0"/>
        <v>5</v>
      </c>
      <c r="B78" s="56">
        <f>'Mastercurve bestimmen'!C22</f>
        <v>2.6598405322694214E-2</v>
      </c>
      <c r="D78" s="51">
        <v>5</v>
      </c>
      <c r="E78" s="56">
        <f>'Mastercurve bestimmen'!A22</f>
        <v>5.31812225239524E-11</v>
      </c>
    </row>
    <row r="79" spans="1:5" x14ac:dyDescent="0.25">
      <c r="A79" s="50">
        <f t="shared" si="0"/>
        <v>6</v>
      </c>
      <c r="B79" s="56">
        <f>'Mastercurve bestimmen'!C23</f>
        <v>2.1793095916779019E-2</v>
      </c>
      <c r="D79" s="51">
        <v>6</v>
      </c>
      <c r="E79" s="56">
        <f>'Mastercurve bestimmen'!A23</f>
        <v>5.8953789402578301E-10</v>
      </c>
    </row>
    <row r="80" spans="1:5" x14ac:dyDescent="0.25">
      <c r="A80" s="50">
        <f t="shared" si="0"/>
        <v>7</v>
      </c>
      <c r="B80" s="56">
        <f>'Mastercurve bestimmen'!C24</f>
        <v>2.3921660763558773E-2</v>
      </c>
      <c r="D80" s="51">
        <v>7</v>
      </c>
      <c r="E80" s="56">
        <f>'Mastercurve bestimmen'!A24</f>
        <v>6.5352940755699598E-9</v>
      </c>
    </row>
    <row r="81" spans="1:5" x14ac:dyDescent="0.25">
      <c r="A81" s="50">
        <f t="shared" si="0"/>
        <v>8</v>
      </c>
      <c r="B81" s="56">
        <f>'Mastercurve bestimmen'!C25</f>
        <v>2.6315529169812158E-2</v>
      </c>
      <c r="D81" s="51">
        <v>8</v>
      </c>
      <c r="E81" s="56">
        <f>'Mastercurve bestimmen'!A25</f>
        <v>7.2446689325643296E-8</v>
      </c>
    </row>
    <row r="82" spans="1:5" x14ac:dyDescent="0.25">
      <c r="A82" s="50">
        <f t="shared" si="0"/>
        <v>9</v>
      </c>
      <c r="B82" s="56">
        <f>'Mastercurve bestimmen'!C26</f>
        <v>3.4157201972414897E-2</v>
      </c>
      <c r="D82" s="51">
        <f>A82</f>
        <v>9</v>
      </c>
      <c r="E82" s="56">
        <f>'Mastercurve bestimmen'!A26</f>
        <v>8.03104303120212E-7</v>
      </c>
    </row>
    <row r="83" spans="1:5" x14ac:dyDescent="0.25">
      <c r="A83" s="50">
        <f t="shared" si="0"/>
        <v>10</v>
      </c>
      <c r="B83" s="56">
        <f>'Mastercurve bestimmen'!C27</f>
        <v>3.3563265451217059E-2</v>
      </c>
      <c r="C83" s="11"/>
      <c r="D83" s="51">
        <f t="shared" ref="D83:D104" si="1">A83</f>
        <v>10</v>
      </c>
      <c r="E83" s="56">
        <f>'Mastercurve bestimmen'!A27</f>
        <v>8.9027742702096099E-6</v>
      </c>
    </row>
    <row r="84" spans="1:5" x14ac:dyDescent="0.25">
      <c r="A84" s="50">
        <f t="shared" si="0"/>
        <v>11</v>
      </c>
      <c r="B84" s="56">
        <f>'Mastercurve bestimmen'!C28</f>
        <v>2.5958709058904409E-2</v>
      </c>
      <c r="C84" s="11"/>
      <c r="D84" s="51">
        <f t="shared" si="1"/>
        <v>11</v>
      </c>
      <c r="E84" s="56">
        <f>'Mastercurve bestimmen'!A28</f>
        <v>9.86912775817142E-5</v>
      </c>
    </row>
    <row r="85" spans="1:5" x14ac:dyDescent="0.25">
      <c r="A85" s="50">
        <f t="shared" si="0"/>
        <v>12</v>
      </c>
      <c r="B85" s="56">
        <f>'Mastercurve bestimmen'!C29</f>
        <v>2.4505487924861576E-2</v>
      </c>
      <c r="C85" s="11"/>
      <c r="D85" s="51">
        <f t="shared" si="1"/>
        <v>12</v>
      </c>
      <c r="E85" s="56">
        <f>'Mastercurve bestimmen'!A29</f>
        <v>1.0940374286813801E-3</v>
      </c>
    </row>
    <row r="86" spans="1:5" x14ac:dyDescent="0.25">
      <c r="A86" s="50">
        <f t="shared" si="0"/>
        <v>13</v>
      </c>
      <c r="B86" s="56">
        <f>'Mastercurve bestimmen'!C30</f>
        <v>2.7040912958719819E-2</v>
      </c>
      <c r="C86" s="11"/>
      <c r="D86" s="51">
        <f t="shared" si="1"/>
        <v>13</v>
      </c>
      <c r="E86" s="56">
        <f>'Mastercurve bestimmen'!A30</f>
        <v>1.2127899493091E-2</v>
      </c>
    </row>
    <row r="87" spans="1:5" x14ac:dyDescent="0.25">
      <c r="A87" s="50">
        <f t="shared" si="0"/>
        <v>14</v>
      </c>
      <c r="B87" s="56">
        <f>'Mastercurve bestimmen'!C31</f>
        <v>2.4600371351709248E-2</v>
      </c>
      <c r="C87" s="11"/>
      <c r="D87" s="51">
        <f t="shared" si="1"/>
        <v>14</v>
      </c>
      <c r="E87" s="56">
        <f>'Mastercurve bestimmen'!A31</f>
        <v>0.13444324870292301</v>
      </c>
    </row>
    <row r="88" spans="1:5" x14ac:dyDescent="0.25">
      <c r="A88" s="50">
        <f t="shared" si="0"/>
        <v>15</v>
      </c>
      <c r="B88" s="56">
        <f>'Mastercurve bestimmen'!C32</f>
        <v>2.6294191463797297E-2</v>
      </c>
      <c r="C88" s="11"/>
      <c r="D88" s="51">
        <f t="shared" si="1"/>
        <v>15</v>
      </c>
      <c r="E88" s="56">
        <f>'Mastercurve bestimmen'!A32</f>
        <v>1.49036419143257</v>
      </c>
    </row>
    <row r="89" spans="1:5" x14ac:dyDescent="0.25">
      <c r="A89" s="50">
        <f t="shared" si="0"/>
        <v>16</v>
      </c>
      <c r="B89" s="56">
        <f>'Mastercurve bestimmen'!C33</f>
        <v>3.2623262585065489E-2</v>
      </c>
      <c r="C89" s="11"/>
      <c r="D89" s="51">
        <f t="shared" si="1"/>
        <v>16</v>
      </c>
      <c r="E89" s="56">
        <f>'Mastercurve bestimmen'!A33</f>
        <v>16.521360830937301</v>
      </c>
    </row>
    <row r="90" spans="1:5" x14ac:dyDescent="0.25">
      <c r="A90" s="50">
        <f t="shared" si="0"/>
        <v>17</v>
      </c>
      <c r="B90" s="56">
        <f>'Mastercurve bestimmen'!C34</f>
        <v>8.8496332073838405E-2</v>
      </c>
      <c r="C90" s="11"/>
      <c r="D90" s="51">
        <f t="shared" si="1"/>
        <v>17</v>
      </c>
      <c r="E90" s="56">
        <f>'Mastercurve bestimmen'!A34</f>
        <v>183.146753843879</v>
      </c>
    </row>
    <row r="91" spans="1:5" x14ac:dyDescent="0.25">
      <c r="A91" s="50">
        <f t="shared" si="0"/>
        <v>18</v>
      </c>
      <c r="B91" s="56">
        <f>'Mastercurve bestimmen'!C35</f>
        <v>9.9309249865316016E-2</v>
      </c>
      <c r="C91" s="11"/>
      <c r="D91" s="51">
        <f t="shared" si="1"/>
        <v>18</v>
      </c>
      <c r="E91" s="56">
        <f>'Mastercurve bestimmen'!A35</f>
        <v>2030.26456396616</v>
      </c>
    </row>
    <row r="92" spans="1:5" x14ac:dyDescent="0.25">
      <c r="A92" s="50">
        <f t="shared" si="0"/>
        <v>19</v>
      </c>
      <c r="B92" s="56">
        <f>'Mastercurve bestimmen'!C36</f>
        <v>7.4938076557470937E-2</v>
      </c>
      <c r="C92" s="11"/>
      <c r="D92" s="51">
        <f t="shared" si="1"/>
        <v>19</v>
      </c>
      <c r="E92" s="56">
        <f>'Mastercurve bestimmen'!A36</f>
        <v>22506.400540467101</v>
      </c>
    </row>
    <row r="93" spans="1:5" x14ac:dyDescent="0.25">
      <c r="A93" s="50">
        <f t="shared" si="0"/>
        <v>20</v>
      </c>
      <c r="B93" s="56">
        <f>'Mastercurve bestimmen'!C37</f>
        <v>6.9322857874701022E-2</v>
      </c>
      <c r="C93" s="11"/>
      <c r="D93" s="51">
        <f t="shared" si="1"/>
        <v>20</v>
      </c>
      <c r="E93" s="56">
        <f>'Mastercurve bestimmen'!A37</f>
        <v>249493.62476110301</v>
      </c>
    </row>
    <row r="94" spans="1:5" x14ac:dyDescent="0.25">
      <c r="A94" s="50">
        <f t="shared" si="0"/>
        <v>21</v>
      </c>
      <c r="B94" s="56">
        <f>'Mastercurve bestimmen'!C38</f>
        <v>2.2465875921068256E-2</v>
      </c>
      <c r="C94" s="11"/>
      <c r="D94" s="51">
        <f t="shared" si="1"/>
        <v>21</v>
      </c>
      <c r="E94" s="56">
        <f>'Mastercurve bestimmen'!A38</f>
        <v>2765749.6224023802</v>
      </c>
    </row>
    <row r="95" spans="1:5" x14ac:dyDescent="0.25">
      <c r="A95" s="50">
        <f t="shared" si="0"/>
        <v>22</v>
      </c>
      <c r="B95" s="56">
        <f>'Mastercurve bestimmen'!C39</f>
        <v>5.8329528880761261E-2</v>
      </c>
      <c r="C95" s="11"/>
      <c r="D95" s="51">
        <f t="shared" si="1"/>
        <v>22</v>
      </c>
      <c r="E95" s="56">
        <f>'Mastercurve bestimmen'!A39</f>
        <v>10000000</v>
      </c>
    </row>
    <row r="96" spans="1:5" x14ac:dyDescent="0.25">
      <c r="A96" s="50">
        <f t="shared" si="0"/>
        <v>23</v>
      </c>
      <c r="B96" s="56">
        <f>'Mastercurve bestimmen'!C40</f>
        <v>3.4551716494444183E-2</v>
      </c>
      <c r="C96" s="11"/>
      <c r="D96" s="51">
        <f t="shared" si="1"/>
        <v>23</v>
      </c>
      <c r="E96" s="56">
        <f>'Mastercurve bestimmen'!A40</f>
        <v>100000000</v>
      </c>
    </row>
    <row r="97" spans="1:5" x14ac:dyDescent="0.25">
      <c r="A97" s="50">
        <f t="shared" si="0"/>
        <v>24</v>
      </c>
      <c r="B97" s="56">
        <f>'Mastercurve bestimmen'!C41</f>
        <v>3.2785105338059839E-2</v>
      </c>
      <c r="C97" s="11"/>
      <c r="D97" s="51">
        <f t="shared" si="1"/>
        <v>24</v>
      </c>
      <c r="E97" s="56">
        <f>'Mastercurve bestimmen'!A41</f>
        <v>1000000000</v>
      </c>
    </row>
    <row r="98" spans="1:5" x14ac:dyDescent="0.25">
      <c r="A98" s="50">
        <f t="shared" si="0"/>
        <v>25</v>
      </c>
      <c r="B98" s="56">
        <f>'Mastercurve bestimmen'!C42</f>
        <v>1.3184627495592977E-2</v>
      </c>
      <c r="C98" s="11"/>
      <c r="D98" s="51">
        <f t="shared" si="1"/>
        <v>25</v>
      </c>
      <c r="E98" s="56">
        <f>'Mastercurve bestimmen'!A42</f>
        <v>10000000000</v>
      </c>
    </row>
    <row r="99" spans="1:5" x14ac:dyDescent="0.25">
      <c r="A99" s="50">
        <f t="shared" si="0"/>
        <v>26</v>
      </c>
      <c r="B99" s="56">
        <f>'Mastercurve bestimmen'!C43</f>
        <v>9.0966723550024858E-3</v>
      </c>
      <c r="C99" s="11"/>
      <c r="D99" s="51">
        <f t="shared" si="1"/>
        <v>26</v>
      </c>
      <c r="E99" s="56">
        <f>'Mastercurve bestimmen'!A43</f>
        <v>100000000000</v>
      </c>
    </row>
    <row r="100" spans="1:5" x14ac:dyDescent="0.25">
      <c r="A100" s="50">
        <f t="shared" si="0"/>
        <v>27</v>
      </c>
      <c r="B100" s="56">
        <f>'Mastercurve bestimmen'!C44</f>
        <v>3.0393849329234364E-3</v>
      </c>
      <c r="C100" s="11"/>
      <c r="D100" s="51">
        <f t="shared" si="1"/>
        <v>27</v>
      </c>
      <c r="E100" s="56">
        <f>'Mastercurve bestimmen'!A44</f>
        <v>1000000000000</v>
      </c>
    </row>
    <row r="101" spans="1:5" x14ac:dyDescent="0.25">
      <c r="A101" s="50">
        <f t="shared" si="0"/>
        <v>28</v>
      </c>
      <c r="B101" s="56">
        <f>'Mastercurve bestimmen'!C45</f>
        <v>2.6495422897411186E-3</v>
      </c>
      <c r="C101" s="11"/>
      <c r="D101" s="51">
        <f t="shared" si="1"/>
        <v>28</v>
      </c>
      <c r="E101" s="56">
        <f>'Mastercurve bestimmen'!A45</f>
        <v>10000000000000</v>
      </c>
    </row>
    <row r="102" spans="1:5" x14ac:dyDescent="0.25">
      <c r="A102" s="50">
        <f t="shared" si="0"/>
        <v>29</v>
      </c>
      <c r="B102" s="56">
        <f>'Mastercurve bestimmen'!C46</f>
        <v>6.8554497859674352E-4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1.0364161747734975E-2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0"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10761.801351389528</v>
      </c>
      <c r="G16" s="26">
        <f>INDEX(Comparison!$AM$3:$AS$33,G14,$B$3)</f>
        <v>10547.11616169445</v>
      </c>
      <c r="H16" s="26">
        <f>INDEX(Comparison!$AM$3:$AS$33,H14,$B$3)</f>
        <v>10349.894568285434</v>
      </c>
      <c r="I16" s="26">
        <f>INDEX(Comparison!$AM$3:$AS$33,I14,$B$3)</f>
        <v>10133.265997491257</v>
      </c>
      <c r="J16" s="26">
        <f>INDEX(Comparison!$AM$3:$AS$33,J14,$B$3)</f>
        <v>9898.4994293430227</v>
      </c>
      <c r="K16" s="26">
        <f>INDEX(Comparison!$AM$3:$AS$33,K14,$B$3)</f>
        <v>9623.1820365655622</v>
      </c>
      <c r="L16" s="26">
        <f>INDEX(Comparison!$AM$3:$AS$33,L14,$B$3)</f>
        <v>9373.9337150399151</v>
      </c>
      <c r="M16" s="26">
        <f>INDEX(Comparison!$AM$3:$AS$33,M14,$B$3)</f>
        <v>9114.1360760931802</v>
      </c>
      <c r="N16" s="26">
        <f>INDEX(Comparison!$AM$3:$AS$33,N14,$B$3)</f>
        <v>8823.7573464712859</v>
      </c>
      <c r="O16" s="26">
        <f>INDEX(Comparison!$AM$3:$AS$33,O14,$B$3)</f>
        <v>8477.9341078683501</v>
      </c>
      <c r="P16" s="26">
        <f>INDEX(Comparison!$AM$3:$AS$33,P14,$B$3)</f>
        <v>8118.5828227804013</v>
      </c>
      <c r="Q16" s="26">
        <f>INDEX(Comparison!$AM$3:$AS$33,Q14,$B$3)</f>
        <v>7811.8955545814642</v>
      </c>
      <c r="R16" s="26">
        <f>INDEX(Comparison!$AM$3:$AS$33,R14,$B$3)</f>
        <v>7534.5067060295696</v>
      </c>
      <c r="S16" s="26">
        <f>INDEX(Comparison!$AM$3:$AS$33,S14,$B$3)</f>
        <v>7256.8628130889483</v>
      </c>
      <c r="T16" s="26">
        <f>INDEX(Comparison!$AM$3:$AS$33,T14,$B$3)</f>
        <v>6971.3695334324493</v>
      </c>
      <c r="U16" s="26">
        <f>INDEX(Comparison!$AM$3:$AS$33,U14,$B$3)</f>
        <v>6688.5259415281262</v>
      </c>
      <c r="V16" s="26">
        <f>INDEX(Comparison!$AM$3:$AS$33,V14,$B$3)</f>
        <v>6332.8599538611707</v>
      </c>
      <c r="W16" s="26">
        <f>INDEX(Comparison!$AM$3:$AS$33,W14,$B$3)</f>
        <v>5707.8128215740962</v>
      </c>
      <c r="X16" s="26">
        <f>INDEX(Comparison!$AM$3:$AS$33,X14,$B$3)</f>
        <v>4703.4024219609055</v>
      </c>
      <c r="Y16" s="26">
        <f>INDEX(Comparison!$AM$3:$AS$33,Y14,$B$3)</f>
        <v>3716.6695709784594</v>
      </c>
      <c r="Z16" s="26">
        <f>INDEX(Comparison!$AM$3:$AS$33,Z14,$B$3)</f>
        <v>2925.6425281910142</v>
      </c>
      <c r="AA16" s="26">
        <f>INDEX(Comparison!$AM$3:$AS$33,AA14,$B$3)</f>
        <v>2271.2592133629987</v>
      </c>
      <c r="AB16" s="26">
        <f>INDEX(Comparison!$AM$3:$AS$33,AB14,$B$3)</f>
        <v>1690.9117320692962</v>
      </c>
      <c r="AC16" s="26">
        <f>INDEX(Comparison!$AM$3:$AS$33,AC14,$B$3)</f>
        <v>1194.4542594457305</v>
      </c>
      <c r="AD16" s="26">
        <f>INDEX(Comparison!$AM$3:$AS$33,AD14,$B$3)</f>
        <v>834.8043301176574</v>
      </c>
      <c r="AE16" s="26">
        <f>INDEX(Comparison!$AM$3:$AS$33,AE14,$B$3)</f>
        <v>607.40413984309237</v>
      </c>
      <c r="AF16" s="26">
        <f>INDEX(Comparison!$AM$3:$AS$33,AF14,$B$3)</f>
        <v>493.01101666641495</v>
      </c>
      <c r="AG16" s="26">
        <f>INDEX(Comparison!$AM$3:$AS$33,AG14,$B$3)</f>
        <v>433.7285115590953</v>
      </c>
      <c r="AH16" s="26">
        <f>INDEX(Comparison!$AM$3:$AS$33,AH14,$B$3)</f>
        <v>403.76473002951963</v>
      </c>
      <c r="AI16" s="26">
        <f>INDEX(Comparison!$AM$3:$AS$33,AI14,$B$3)</f>
        <v>387.64349199783766</v>
      </c>
      <c r="AJ16" s="26">
        <f>INDEX(Comparison!$AM$3:$AS$33,AJ14,$B$3)</f>
        <v>374.47481405228427</v>
      </c>
    </row>
    <row r="17" spans="1:36" x14ac:dyDescent="0.25">
      <c r="A17" s="14" t="s">
        <v>20</v>
      </c>
      <c r="B17" s="105">
        <v>2.2620467532297888E-2</v>
      </c>
      <c r="C17" s="18">
        <f t="shared" ref="C17:C48" si="3">ABS(B17/$B$49)</f>
        <v>2.3460765563958083E-2</v>
      </c>
      <c r="D17" s="66"/>
      <c r="E17" s="65" t="s">
        <v>22</v>
      </c>
      <c r="F17" s="27">
        <f>($C$17+SUM(F18:F48))*$B$51</f>
        <v>10702.373384730843</v>
      </c>
      <c r="G17" s="27">
        <f t="shared" ref="G17:M17" si="4">($C$17+SUM(G18:G48))*$B$51</f>
        <v>10623.988728096943</v>
      </c>
      <c r="H17" s="27">
        <f t="shared" si="4"/>
        <v>10329.540917068865</v>
      </c>
      <c r="I17" s="27">
        <f t="shared" si="4"/>
        <v>10136.582020156831</v>
      </c>
      <c r="J17" s="27">
        <f t="shared" si="4"/>
        <v>9898.0494619026958</v>
      </c>
      <c r="K17" s="27">
        <f t="shared" si="4"/>
        <v>9623.2167810140036</v>
      </c>
      <c r="L17" s="27">
        <f t="shared" si="4"/>
        <v>9373.9853457270656</v>
      </c>
      <c r="M17" s="27">
        <f t="shared" si="4"/>
        <v>9114.005504726334</v>
      </c>
      <c r="N17" s="27">
        <f t="shared" ref="N17" si="5">($C$17+SUM(N18:N48))*$B$51</f>
        <v>8824.0342843772232</v>
      </c>
      <c r="O17" s="27">
        <f t="shared" ref="O17" si="6">($C$17+SUM(O18:O48))*$B$51</f>
        <v>8477.3903889891135</v>
      </c>
      <c r="P17" s="27">
        <f t="shared" ref="P17" si="7">($C$17+SUM(P18:P48))*$B$51</f>
        <v>8119.5025640911599</v>
      </c>
      <c r="Q17" s="27">
        <f t="shared" ref="Q17" si="8">($C$17+SUM(Q18:Q48))*$B$51</f>
        <v>7810.5821663001343</v>
      </c>
      <c r="R17" s="27">
        <f t="shared" ref="R17" si="9">($C$17+SUM(R18:R48))*$B$51</f>
        <v>7536.1080438784738</v>
      </c>
      <c r="S17" s="27">
        <f t="shared" ref="S17:T17" si="10">($C$17+SUM(S18:S48))*$B$51</f>
        <v>7255.1859159606447</v>
      </c>
      <c r="T17" s="27">
        <f t="shared" si="10"/>
        <v>6972.8732449299187</v>
      </c>
      <c r="U17" s="27">
        <f t="shared" ref="U17" si="11">($C$17+SUM(U18:U48))*$B$51</f>
        <v>6687.3703477678255</v>
      </c>
      <c r="V17" s="27">
        <f t="shared" ref="V17" si="12">($C$17+SUM(V18:V48))*$B$51</f>
        <v>6333.6296335629158</v>
      </c>
      <c r="W17" s="27">
        <f t="shared" ref="W17" si="13">($C$17+SUM(W18:W48))*$B$51</f>
        <v>5707.364338243191</v>
      </c>
      <c r="X17" s="27">
        <f t="shared" ref="X17" si="14">($C$17+SUM(X18:X48))*$B$51</f>
        <v>4703.6357351925508</v>
      </c>
      <c r="Y17" s="27">
        <f t="shared" ref="Y17" si="15">($C$17+SUM(Y18:Y48))*$B$51</f>
        <v>3716.5499302281391</v>
      </c>
      <c r="Z17" s="27">
        <f t="shared" ref="Z17:AA17" si="16">($C$17+SUM(Z18:Z48))*$B$51</f>
        <v>2925.710367661693</v>
      </c>
      <c r="AA17" s="27">
        <f t="shared" si="16"/>
        <v>2271.2216048908504</v>
      </c>
      <c r="AB17" s="27">
        <f t="shared" ref="AB17" si="17">($C$17+SUM(AB18:AB48))*$B$51</f>
        <v>1690.9424647313006</v>
      </c>
      <c r="AC17" s="27">
        <f t="shared" ref="AC17" si="18">($C$17+SUM(AC18:AC48))*$B$51</f>
        <v>1194.4109083087446</v>
      </c>
      <c r="AD17" s="27">
        <f t="shared" ref="AD17" si="19">($C$17+SUM(AD18:AD48))*$B$51</f>
        <v>834.85093090888802</v>
      </c>
      <c r="AE17" s="27">
        <f t="shared" ref="AE17" si="20">($C$17+SUM(AE18:AE48))*$B$51</f>
        <v>607.35539249245767</v>
      </c>
      <c r="AF17" s="27">
        <f t="shared" ref="AF17" si="21">($C$17+SUM(AF18:AF48))*$B$51</f>
        <v>493.07759532925223</v>
      </c>
      <c r="AG17" s="27">
        <f t="shared" ref="AG17:AH17" si="22">($C$17+SUM(AG18:AG48))*$B$51</f>
        <v>433.63547373456254</v>
      </c>
      <c r="AH17" s="27">
        <f t="shared" si="22"/>
        <v>403.87939519108511</v>
      </c>
      <c r="AI17" s="27">
        <f t="shared" ref="AI17" si="23">($C$17+SUM(AI18:AI48))*$B$51</f>
        <v>387.50504583464982</v>
      </c>
      <c r="AJ17" s="27">
        <f t="shared" ref="AJ17" si="24">($C$17+SUM(AJ18:AJ48))*$B$51</f>
        <v>374.55431667180528</v>
      </c>
    </row>
    <row r="18" spans="1:36" x14ac:dyDescent="0.25">
      <c r="A18" s="3">
        <f>0.000000000000001/10^5</f>
        <v>1.0000000000000001E-20</v>
      </c>
      <c r="B18" s="106">
        <v>5.8640457370805039E-2</v>
      </c>
      <c r="C18" s="18">
        <f t="shared" si="3"/>
        <v>6.0818814685214426E-2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3.1338760301344755E-2</v>
      </c>
      <c r="C19" s="18">
        <f t="shared" si="3"/>
        <v>3.2502922737788244E-2</v>
      </c>
      <c r="D19" s="17"/>
      <c r="F19" s="3">
        <f t="shared" si="25"/>
        <v>3.1680918841314229E-2</v>
      </c>
      <c r="G19" s="3">
        <f t="shared" si="25"/>
        <v>2.5157990564796947E-2</v>
      </c>
      <c r="H19" s="3">
        <f t="shared" si="25"/>
        <v>2.5087521612582944E-3</v>
      </c>
      <c r="I19" s="3">
        <f t="shared" si="25"/>
        <v>2.4393597685365805E-13</v>
      </c>
      <c r="J19" s="3">
        <f t="shared" si="25"/>
        <v>1.8427093069831908E-113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1.4253928321074995E-2</v>
      </c>
      <c r="C20" s="18">
        <f t="shared" si="3"/>
        <v>1.4783428778769918E-2</v>
      </c>
      <c r="D20" s="17"/>
      <c r="F20" s="3">
        <f t="shared" si="25"/>
        <v>1.4749307758898567E-2</v>
      </c>
      <c r="G20" s="3">
        <f t="shared" si="25"/>
        <v>1.4445740754937517E-2</v>
      </c>
      <c r="H20" s="3">
        <f t="shared" si="25"/>
        <v>1.1733338678298391E-2</v>
      </c>
      <c r="I20" s="3">
        <f t="shared" si="25"/>
        <v>1.4663562872734492E-3</v>
      </c>
      <c r="J20" s="3">
        <f t="shared" si="25"/>
        <v>1.362757233876528E-12</v>
      </c>
      <c r="K20" s="3">
        <f t="shared" si="25"/>
        <v>6.5495038270006584E-103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2.106093257324345E-2</v>
      </c>
      <c r="C21" s="18">
        <f t="shared" si="3"/>
        <v>2.1843297489483837E-2</v>
      </c>
      <c r="D21" s="17"/>
      <c r="F21" s="3">
        <f t="shared" si="25"/>
        <v>2.1838744800000875E-2</v>
      </c>
      <c r="G21" s="3">
        <f t="shared" si="25"/>
        <v>2.1797813271175734E-2</v>
      </c>
      <c r="H21" s="3">
        <f t="shared" si="25"/>
        <v>2.1392693749256966E-2</v>
      </c>
      <c r="I21" s="3">
        <f t="shared" si="25"/>
        <v>1.773335608368895E-2</v>
      </c>
      <c r="J21" s="3">
        <f t="shared" si="25"/>
        <v>2.7167241423661707E-3</v>
      </c>
      <c r="K21" s="3">
        <f t="shared" si="25"/>
        <v>1.9346019286273299E-11</v>
      </c>
      <c r="L21" s="3">
        <f t="shared" si="25"/>
        <v>6.487126378501781E-93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2.5645725940726539E-2</v>
      </c>
      <c r="C22" s="18">
        <f t="shared" si="3"/>
        <v>2.6598405322694214E-2</v>
      </c>
      <c r="D22" s="17"/>
      <c r="F22" s="3">
        <f t="shared" si="25"/>
        <v>2.6597905180839841E-2</v>
      </c>
      <c r="G22" s="3">
        <f t="shared" si="25"/>
        <v>2.6593404327326972E-2</v>
      </c>
      <c r="H22" s="3">
        <f t="shared" si="25"/>
        <v>2.6548437660424296E-2</v>
      </c>
      <c r="I22" s="3">
        <f t="shared" si="25"/>
        <v>2.6102931716004994E-2</v>
      </c>
      <c r="J22" s="3">
        <f t="shared" si="25"/>
        <v>2.203902993767998E-2</v>
      </c>
      <c r="K22" s="3">
        <f t="shared" si="25"/>
        <v>4.0571806960065038E-3</v>
      </c>
      <c r="L22" s="3">
        <f t="shared" si="25"/>
        <v>1.8136066791243492E-10</v>
      </c>
      <c r="M22" s="3">
        <f t="shared" si="25"/>
        <v>5.7773764573371934E-84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2.1012529078381196E-2</v>
      </c>
      <c r="C23" s="18">
        <f t="shared" si="3"/>
        <v>2.1793095916779019E-2</v>
      </c>
      <c r="D23" s="17"/>
      <c r="F23" s="3">
        <f t="shared" si="25"/>
        <v>2.1793058950406452E-2</v>
      </c>
      <c r="G23" s="3">
        <f t="shared" si="25"/>
        <v>2.1792726255875004E-2</v>
      </c>
      <c r="H23" s="3">
        <f t="shared" si="25"/>
        <v>2.1789399589889451E-2</v>
      </c>
      <c r="I23" s="3">
        <f t="shared" si="25"/>
        <v>2.1756160847156321E-2</v>
      </c>
      <c r="J23" s="3">
        <f t="shared" si="25"/>
        <v>2.1426549427288551E-2</v>
      </c>
      <c r="K23" s="3">
        <f t="shared" si="25"/>
        <v>1.8392975734403245E-2</v>
      </c>
      <c r="L23" s="3">
        <f t="shared" si="25"/>
        <v>3.9962219988429505E-3</v>
      </c>
      <c r="M23" s="3">
        <f t="shared" si="25"/>
        <v>9.3675428773841808E-10</v>
      </c>
      <c r="N23" s="3">
        <f t="shared" si="25"/>
        <v>4.6923081352227402E-76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2.3064854774049959E-2</v>
      </c>
      <c r="C24" s="18">
        <f t="shared" si="3"/>
        <v>2.3921660763558773E-2</v>
      </c>
      <c r="D24" s="17"/>
      <c r="F24" s="3">
        <f t="shared" si="25"/>
        <v>2.3921657103178895E-2</v>
      </c>
      <c r="G24" s="3">
        <f t="shared" si="25"/>
        <v>2.3921624159785194E-2</v>
      </c>
      <c r="H24" s="3">
        <f t="shared" si="25"/>
        <v>2.3921294728343388E-2</v>
      </c>
      <c r="I24" s="3">
        <f t="shared" si="25"/>
        <v>2.3918000663433171E-2</v>
      </c>
      <c r="J24" s="3">
        <f t="shared" si="25"/>
        <v>2.3885084952405218E-2</v>
      </c>
      <c r="K24" s="3">
        <f t="shared" si="25"/>
        <v>2.3558408989248884E-2</v>
      </c>
      <c r="L24" s="3">
        <f t="shared" si="25"/>
        <v>2.0527573970380342E-2</v>
      </c>
      <c r="M24" s="3">
        <f t="shared" si="25"/>
        <v>5.1791001835028525E-3</v>
      </c>
      <c r="N24" s="3">
        <f t="shared" si="25"/>
        <v>5.4127899537098036E-9</v>
      </c>
      <c r="O24" s="3">
        <f t="shared" si="25"/>
        <v>8.4156913308988446E-69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2.5372981608727415E-2</v>
      </c>
      <c r="C25" s="18">
        <f t="shared" si="3"/>
        <v>2.6315529169812158E-2</v>
      </c>
      <c r="D25" s="17"/>
      <c r="F25" s="3">
        <f t="shared" si="25"/>
        <v>2.6315528806572244E-2</v>
      </c>
      <c r="G25" s="3">
        <f t="shared" si="25"/>
        <v>2.6315525537413273E-2</v>
      </c>
      <c r="H25" s="3">
        <f t="shared" si="25"/>
        <v>2.6315492845845872E-2</v>
      </c>
      <c r="I25" s="3">
        <f t="shared" si="25"/>
        <v>2.6315165932405512E-2</v>
      </c>
      <c r="J25" s="3">
        <f t="shared" si="25"/>
        <v>2.631189702135945E-2</v>
      </c>
      <c r="K25" s="3">
        <f t="shared" si="25"/>
        <v>2.6279230236386047E-2</v>
      </c>
      <c r="L25" s="3">
        <f t="shared" si="25"/>
        <v>2.5954784707514153E-2</v>
      </c>
      <c r="M25" s="3">
        <f t="shared" si="25"/>
        <v>2.2922677287931553E-2</v>
      </c>
      <c r="N25" s="3">
        <f t="shared" si="25"/>
        <v>6.6182693117721268E-3</v>
      </c>
      <c r="O25" s="3">
        <f t="shared" si="25"/>
        <v>2.6640071618464529E-8</v>
      </c>
      <c r="P25" s="3">
        <f t="shared" si="25"/>
        <v>2.9747119136549483E-62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3.2933787949279425E-2</v>
      </c>
      <c r="C26" s="18">
        <f t="shared" si="3"/>
        <v>3.4157201972414897E-2</v>
      </c>
      <c r="D26" s="17"/>
      <c r="F26" s="3">
        <f t="shared" si="25"/>
        <v>3.4157201929883432E-2</v>
      </c>
      <c r="G26" s="3">
        <f t="shared" si="25"/>
        <v>3.4157201547100259E-2</v>
      </c>
      <c r="H26" s="3">
        <f t="shared" si="25"/>
        <v>3.4157197719268735E-2</v>
      </c>
      <c r="I26" s="3">
        <f t="shared" si="25"/>
        <v>3.4157159440977108E-2</v>
      </c>
      <c r="J26" s="3">
        <f t="shared" si="25"/>
        <v>3.4156776660420135E-2</v>
      </c>
      <c r="K26" s="3">
        <f t="shared" si="25"/>
        <v>3.4152949090771156E-2</v>
      </c>
      <c r="L26" s="3">
        <f t="shared" si="25"/>
        <v>3.4114696976573905E-2</v>
      </c>
      <c r="M26" s="3">
        <f t="shared" si="25"/>
        <v>3.3734524314910509E-2</v>
      </c>
      <c r="N26" s="3">
        <f t="shared" si="25"/>
        <v>3.0158193030504973E-2</v>
      </c>
      <c r="O26" s="3">
        <f t="shared" si="25"/>
        <v>9.8336008638000572E-3</v>
      </c>
      <c r="P26" s="3">
        <f t="shared" si="25"/>
        <v>1.3359345375799671E-7</v>
      </c>
      <c r="Q26" s="3">
        <f t="shared" si="25"/>
        <v>2.8609560581918308E-56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3.2361124548446439E-2</v>
      </c>
      <c r="C27" s="18">
        <f t="shared" si="3"/>
        <v>3.3563265451217059E-2</v>
      </c>
      <c r="D27" s="17"/>
      <c r="F27" s="3">
        <f t="shared" si="25"/>
        <v>3.3563265447447081E-2</v>
      </c>
      <c r="G27" s="3">
        <f t="shared" si="25"/>
        <v>3.3563265413517278E-2</v>
      </c>
      <c r="H27" s="3">
        <f t="shared" si="25"/>
        <v>3.3563265074219237E-2</v>
      </c>
      <c r="I27" s="3">
        <f t="shared" si="25"/>
        <v>3.3563261681239014E-2</v>
      </c>
      <c r="J27" s="3">
        <f t="shared" si="25"/>
        <v>3.3563227751455628E-2</v>
      </c>
      <c r="K27" s="3">
        <f t="shared" si="25"/>
        <v>3.3562888455508373E-2</v>
      </c>
      <c r="L27" s="3">
        <f t="shared" si="25"/>
        <v>3.3559495684679794E-2</v>
      </c>
      <c r="M27" s="3">
        <f t="shared" si="25"/>
        <v>3.3525586833746249E-2</v>
      </c>
      <c r="N27" s="3">
        <f t="shared" si="25"/>
        <v>3.3188377025247309E-2</v>
      </c>
      <c r="O27" s="3">
        <f t="shared" si="25"/>
        <v>2.9997307916386929E-2</v>
      </c>
      <c r="P27" s="3">
        <f t="shared" si="25"/>
        <v>1.0915532844091809E-2</v>
      </c>
      <c r="Q27" s="3">
        <f t="shared" si="25"/>
        <v>4.44295114225146E-7</v>
      </c>
      <c r="R27" s="3">
        <f t="shared" si="25"/>
        <v>5.5454590766183952E-51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2.5028941781397161E-2</v>
      </c>
      <c r="C28" s="18">
        <f t="shared" si="3"/>
        <v>2.5958709058904409E-2</v>
      </c>
      <c r="D28" s="17"/>
      <c r="F28" s="3">
        <f t="shared" si="25"/>
        <v>2.595870905864138E-2</v>
      </c>
      <c r="G28" s="3">
        <f t="shared" si="25"/>
        <v>2.5958709056274114E-2</v>
      </c>
      <c r="H28" s="3">
        <f t="shared" si="25"/>
        <v>2.5958709032601467E-2</v>
      </c>
      <c r="I28" s="3">
        <f t="shared" si="25"/>
        <v>2.5958708795874995E-2</v>
      </c>
      <c r="J28" s="3">
        <f t="shared" si="25"/>
        <v>2.5958706428610385E-2</v>
      </c>
      <c r="K28" s="3">
        <f t="shared" si="25"/>
        <v>2.5958682755976185E-2</v>
      </c>
      <c r="L28" s="3">
        <f t="shared" si="25"/>
        <v>2.5958446030821473E-2</v>
      </c>
      <c r="M28" s="3">
        <f t="shared" si="25"/>
        <v>2.5956078898003436E-2</v>
      </c>
      <c r="N28" s="3">
        <f t="shared" si="25"/>
        <v>2.5932419438722445E-2</v>
      </c>
      <c r="O28" s="3">
        <f t="shared" si="25"/>
        <v>2.5697007740847502E-2</v>
      </c>
      <c r="P28" s="3">
        <f t="shared" si="25"/>
        <v>2.3457284479241093E-2</v>
      </c>
      <c r="Q28" s="3">
        <f t="shared" si="25"/>
        <v>9.4238752717430551E-3</v>
      </c>
      <c r="R28" s="3">
        <f t="shared" si="25"/>
        <v>1.0321610724710268E-6</v>
      </c>
      <c r="S28" s="3">
        <f t="shared" si="25"/>
        <v>2.5640526543327075E-46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2.3627770903565028E-2</v>
      </c>
      <c r="C29" s="18">
        <f t="shared" si="3"/>
        <v>2.4505487924861576E-2</v>
      </c>
      <c r="D29" s="17"/>
      <c r="F29" s="3">
        <f t="shared" si="25"/>
        <v>2.4505487924839177E-2</v>
      </c>
      <c r="G29" s="3">
        <f t="shared" si="25"/>
        <v>2.4505487924637585E-2</v>
      </c>
      <c r="H29" s="3">
        <f t="shared" si="25"/>
        <v>2.4505487922621663E-2</v>
      </c>
      <c r="I29" s="3">
        <f t="shared" si="25"/>
        <v>2.4505487902462444E-2</v>
      </c>
      <c r="J29" s="3">
        <f t="shared" si="25"/>
        <v>2.4505487700870264E-2</v>
      </c>
      <c r="K29" s="3">
        <f t="shared" si="25"/>
        <v>2.4505485684948557E-2</v>
      </c>
      <c r="L29" s="3">
        <f t="shared" si="25"/>
        <v>2.4505465525740594E-2</v>
      </c>
      <c r="M29" s="3">
        <f t="shared" si="25"/>
        <v>2.4505263934573061E-2</v>
      </c>
      <c r="N29" s="3">
        <f t="shared" si="25"/>
        <v>2.450324811410556E-2</v>
      </c>
      <c r="O29" s="3">
        <f t="shared" si="25"/>
        <v>2.4483099027435739E-2</v>
      </c>
      <c r="P29" s="3">
        <f t="shared" si="25"/>
        <v>2.4282517192038867E-2</v>
      </c>
      <c r="Q29" s="3">
        <f t="shared" si="25"/>
        <v>2.2364894917531752E-2</v>
      </c>
      <c r="R29" s="3">
        <f t="shared" si="25"/>
        <v>9.8242279931274028E-3</v>
      </c>
      <c r="S29" s="3">
        <f t="shared" si="25"/>
        <v>2.6279321007348958E-6</v>
      </c>
      <c r="T29" s="3">
        <f t="shared" si="25"/>
        <v>4.9291406703350472E-42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2.6072384209239682E-2</v>
      </c>
      <c r="C30" s="18">
        <f t="shared" si="3"/>
        <v>2.7040912958719819E-2</v>
      </c>
      <c r="D30" s="17"/>
      <c r="F30" s="3">
        <f t="shared" si="25"/>
        <v>2.7040912958717588E-2</v>
      </c>
      <c r="G30" s="3">
        <f t="shared" si="25"/>
        <v>2.7040912958697521E-2</v>
      </c>
      <c r="H30" s="3">
        <f t="shared" si="25"/>
        <v>2.7040912958496855E-2</v>
      </c>
      <c r="I30" s="3">
        <f t="shared" si="25"/>
        <v>2.7040912956490176E-2</v>
      </c>
      <c r="J30" s="3">
        <f t="shared" si="25"/>
        <v>2.7040912936423366E-2</v>
      </c>
      <c r="K30" s="3">
        <f t="shared" si="25"/>
        <v>2.7040912735755301E-2</v>
      </c>
      <c r="L30" s="3">
        <f t="shared" si="25"/>
        <v>2.7040910729074705E-2</v>
      </c>
      <c r="M30" s="3">
        <f t="shared" si="25"/>
        <v>2.7040890662276953E-2</v>
      </c>
      <c r="N30" s="3">
        <f t="shared" si="25"/>
        <v>2.7040689995118477E-2</v>
      </c>
      <c r="O30" s="3">
        <f t="shared" si="25"/>
        <v>2.7038683405433847E-2</v>
      </c>
      <c r="P30" s="3">
        <f t="shared" si="25"/>
        <v>2.7018625696352969E-2</v>
      </c>
      <c r="Q30" s="3">
        <f t="shared" si="25"/>
        <v>2.6818865138399626E-2</v>
      </c>
      <c r="R30" s="3">
        <f t="shared" si="25"/>
        <v>2.4900714670822905E-2</v>
      </c>
      <c r="S30" s="3">
        <f t="shared" si="25"/>
        <v>1.1855666300850066E-2</v>
      </c>
      <c r="T30" s="3">
        <f t="shared" si="25"/>
        <v>7.0968808851593216E-6</v>
      </c>
      <c r="U30" s="3">
        <f t="shared" si="25"/>
        <v>4.1925959302625867E-38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2.3719255875379344E-2</v>
      </c>
      <c r="C31" s="18">
        <f t="shared" si="3"/>
        <v>2.4600371351709248E-2</v>
      </c>
      <c r="D31" s="17"/>
      <c r="F31" s="3">
        <f t="shared" si="25"/>
        <v>2.4600371351709064E-2</v>
      </c>
      <c r="G31" s="3">
        <f t="shared" si="25"/>
        <v>2.4600371351707419E-2</v>
      </c>
      <c r="H31" s="3">
        <f t="shared" si="25"/>
        <v>2.460037135169095E-2</v>
      </c>
      <c r="I31" s="3">
        <f t="shared" si="25"/>
        <v>2.4600371351526269E-2</v>
      </c>
      <c r="J31" s="3">
        <f t="shared" si="25"/>
        <v>2.4600371349879451E-2</v>
      </c>
      <c r="K31" s="3">
        <f t="shared" si="25"/>
        <v>2.4600371333411288E-2</v>
      </c>
      <c r="L31" s="3">
        <f t="shared" si="25"/>
        <v>2.4600371168729651E-2</v>
      </c>
      <c r="M31" s="3">
        <f t="shared" si="25"/>
        <v>2.4600369521913353E-2</v>
      </c>
      <c r="N31" s="3">
        <f t="shared" si="25"/>
        <v>2.4600353053756439E-2</v>
      </c>
      <c r="O31" s="3">
        <f t="shared" si="25"/>
        <v>2.4600188372793614E-2</v>
      </c>
      <c r="P31" s="3">
        <f t="shared" si="25"/>
        <v>2.4598541623797005E-2</v>
      </c>
      <c r="Q31" s="3">
        <f t="shared" si="25"/>
        <v>2.4582080195494939E-2</v>
      </c>
      <c r="R31" s="3">
        <f t="shared" si="25"/>
        <v>2.4418070580155871E-2</v>
      </c>
      <c r="S31" s="3">
        <f t="shared" si="25"/>
        <v>2.2836969945262787E-2</v>
      </c>
      <c r="T31" s="3">
        <f t="shared" si="25"/>
        <v>1.1692566174146751E-2</v>
      </c>
      <c r="U31" s="3">
        <f t="shared" si="25"/>
        <v>1.4475160834355456E-5</v>
      </c>
      <c r="V31" s="3">
        <f t="shared" si="26"/>
        <v>1.2239368541146775E-34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2.5352408158777238E-2</v>
      </c>
      <c r="C32" s="18">
        <f t="shared" si="3"/>
        <v>2.6294191463797297E-2</v>
      </c>
      <c r="D32" s="17"/>
      <c r="F32" s="3">
        <f t="shared" si="25"/>
        <v>2.629419146379728E-2</v>
      </c>
      <c r="G32" s="3">
        <f t="shared" si="25"/>
        <v>2.6294191463797124E-2</v>
      </c>
      <c r="H32" s="3">
        <f t="shared" si="25"/>
        <v>2.6294191463795535E-2</v>
      </c>
      <c r="I32" s="3">
        <f t="shared" si="25"/>
        <v>2.6294191463779652E-2</v>
      </c>
      <c r="J32" s="3">
        <f t="shared" si="25"/>
        <v>2.6294191463620869E-2</v>
      </c>
      <c r="K32" s="3">
        <f t="shared" si="25"/>
        <v>2.6294191462033017E-2</v>
      </c>
      <c r="L32" s="3">
        <f t="shared" si="25"/>
        <v>2.62941914461545E-2</v>
      </c>
      <c r="M32" s="3">
        <f t="shared" si="25"/>
        <v>2.6294191287369338E-2</v>
      </c>
      <c r="N32" s="3">
        <f t="shared" si="25"/>
        <v>2.6294189699517752E-2</v>
      </c>
      <c r="O32" s="3">
        <f t="shared" si="25"/>
        <v>2.6294173821007169E-2</v>
      </c>
      <c r="P32" s="3">
        <f t="shared" si="25"/>
        <v>2.6294015036428729E-2</v>
      </c>
      <c r="Q32" s="3">
        <f t="shared" si="25"/>
        <v>2.6292427243380913E-2</v>
      </c>
      <c r="R32" s="3">
        <f t="shared" si="25"/>
        <v>2.6276554585382257E-2</v>
      </c>
      <c r="S32" s="3">
        <f t="shared" si="25"/>
        <v>2.6118354077189456E-2</v>
      </c>
      <c r="T32" s="3">
        <f t="shared" si="25"/>
        <v>2.4587799489829257E-2</v>
      </c>
      <c r="U32" s="3">
        <f t="shared" si="25"/>
        <v>1.3441825086786253E-2</v>
      </c>
      <c r="V32" s="3">
        <f t="shared" si="26"/>
        <v>3.205117897251836E-5</v>
      </c>
      <c r="W32" s="3">
        <f t="shared" si="26"/>
        <v>1.9041523976340249E-31</v>
      </c>
      <c r="X32" s="3">
        <f t="shared" si="26"/>
        <v>1.0429864121053973E-293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3.1454789916864144E-2</v>
      </c>
      <c r="C33" s="18">
        <f t="shared" si="3"/>
        <v>3.2623262585065489E-2</v>
      </c>
      <c r="D33" s="17"/>
      <c r="F33" s="3">
        <f t="shared" si="25"/>
        <v>3.2623262585065482E-2</v>
      </c>
      <c r="G33" s="3">
        <f t="shared" si="25"/>
        <v>3.2623262585065468E-2</v>
      </c>
      <c r="H33" s="3">
        <f t="shared" si="25"/>
        <v>3.2623262585065288E-2</v>
      </c>
      <c r="I33" s="3">
        <f t="shared" si="25"/>
        <v>3.2623262585063519E-2</v>
      </c>
      <c r="J33" s="3">
        <f t="shared" si="25"/>
        <v>3.2623262585045741E-2</v>
      </c>
      <c r="K33" s="3">
        <f t="shared" si="25"/>
        <v>3.2623262584868029E-2</v>
      </c>
      <c r="L33" s="3">
        <f t="shared" si="25"/>
        <v>3.2623262583090881E-2</v>
      </c>
      <c r="M33" s="3">
        <f t="shared" si="25"/>
        <v>3.2623262565319375E-2</v>
      </c>
      <c r="N33" s="3">
        <f t="shared" si="25"/>
        <v>3.2623262387604379E-2</v>
      </c>
      <c r="O33" s="3">
        <f t="shared" si="25"/>
        <v>3.2623260610454445E-2</v>
      </c>
      <c r="P33" s="3">
        <f t="shared" si="25"/>
        <v>3.2623242838960405E-2</v>
      </c>
      <c r="Q33" s="3">
        <f t="shared" si="25"/>
        <v>3.2623065124552465E-2</v>
      </c>
      <c r="R33" s="3">
        <f t="shared" si="25"/>
        <v>3.2621288033717492E-2</v>
      </c>
      <c r="S33" s="3">
        <f t="shared" si="25"/>
        <v>3.2603522448732325E-2</v>
      </c>
      <c r="T33" s="3">
        <f t="shared" si="25"/>
        <v>3.2426397863936821E-2</v>
      </c>
      <c r="U33" s="3">
        <f t="shared" ref="P33:AE48" si="27">$C33*EXP(-U$15/$A33)</f>
        <v>3.070722314240646E-2</v>
      </c>
      <c r="V33" s="3">
        <f t="shared" si="27"/>
        <v>1.78097951124047E-2</v>
      </c>
      <c r="W33" s="3">
        <f t="shared" si="27"/>
        <v>7.6708361603828435E-5</v>
      </c>
      <c r="X33" s="3">
        <f t="shared" si="27"/>
        <v>1.6853128903843841E-28</v>
      </c>
      <c r="Y33" s="3">
        <f t="shared" si="27"/>
        <v>4.4163033794393757E-265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8.5326644646202404E-2</v>
      </c>
      <c r="C34" s="18">
        <f t="shared" si="3"/>
        <v>8.8496332073838405E-2</v>
      </c>
      <c r="D34" s="17"/>
      <c r="F34" s="3">
        <f t="shared" ref="F34:O48" si="28">$C34*EXP(-F$15/$A34)</f>
        <v>8.8496332073838405E-2</v>
      </c>
      <c r="G34" s="3">
        <f t="shared" si="28"/>
        <v>8.8496332073838405E-2</v>
      </c>
      <c r="H34" s="3">
        <f t="shared" si="28"/>
        <v>8.8496332073838349E-2</v>
      </c>
      <c r="I34" s="3">
        <f t="shared" si="28"/>
        <v>8.8496332073837919E-2</v>
      </c>
      <c r="J34" s="3">
        <f t="shared" si="28"/>
        <v>8.8496332073833575E-2</v>
      </c>
      <c r="K34" s="3">
        <f t="shared" si="28"/>
        <v>8.8496332073790082E-2</v>
      </c>
      <c r="L34" s="3">
        <f t="shared" si="28"/>
        <v>8.8496332073355208E-2</v>
      </c>
      <c r="M34" s="3">
        <f t="shared" si="28"/>
        <v>8.8496332069006423E-2</v>
      </c>
      <c r="N34" s="3">
        <f t="shared" si="28"/>
        <v>8.8496332025518501E-2</v>
      </c>
      <c r="O34" s="3">
        <f t="shared" si="28"/>
        <v>8.8496331590639382E-2</v>
      </c>
      <c r="P34" s="3">
        <f t="shared" si="27"/>
        <v>8.8496327241848333E-2</v>
      </c>
      <c r="Q34" s="3">
        <f t="shared" si="27"/>
        <v>8.8496283753949537E-2</v>
      </c>
      <c r="R34" s="3">
        <f t="shared" si="27"/>
        <v>8.8495848876137012E-2</v>
      </c>
      <c r="S34" s="3">
        <f t="shared" si="27"/>
        <v>8.8491500215546331E-2</v>
      </c>
      <c r="T34" s="3">
        <f t="shared" si="27"/>
        <v>8.8448025360963314E-2</v>
      </c>
      <c r="U34" s="3">
        <f t="shared" si="27"/>
        <v>8.8014449813677981E-2</v>
      </c>
      <c r="V34" s="3">
        <f t="shared" si="27"/>
        <v>8.379388917681585E-2</v>
      </c>
      <c r="W34" s="3">
        <f t="shared" si="27"/>
        <v>5.1262058705657053E-2</v>
      </c>
      <c r="X34" s="3">
        <f t="shared" si="27"/>
        <v>3.7638559993056976E-4</v>
      </c>
      <c r="Y34" s="3">
        <f t="shared" si="27"/>
        <v>1.7139674019743414E-25</v>
      </c>
      <c r="Z34" s="3">
        <f t="shared" si="27"/>
        <v>6.5720088713824536E-239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9.5752274413684724E-2</v>
      </c>
      <c r="C35" s="18">
        <f t="shared" si="3"/>
        <v>9.9309249865316016E-2</v>
      </c>
      <c r="D35" s="17"/>
      <c r="F35" s="3">
        <f t="shared" si="28"/>
        <v>9.9309249865316016E-2</v>
      </c>
      <c r="G35" s="3">
        <f t="shared" si="28"/>
        <v>9.9309249865316016E-2</v>
      </c>
      <c r="H35" s="3">
        <f t="shared" si="28"/>
        <v>9.9309249865316016E-2</v>
      </c>
      <c r="I35" s="3">
        <f t="shared" si="28"/>
        <v>9.9309249865315974E-2</v>
      </c>
      <c r="J35" s="3">
        <f t="shared" si="28"/>
        <v>9.930924986531553E-2</v>
      </c>
      <c r="K35" s="3">
        <f t="shared" si="28"/>
        <v>9.9309249865311117E-2</v>
      </c>
      <c r="L35" s="3">
        <f t="shared" si="28"/>
        <v>9.930924986526711E-2</v>
      </c>
      <c r="M35" s="3">
        <f t="shared" si="28"/>
        <v>9.9309249864826865E-2</v>
      </c>
      <c r="N35" s="3">
        <f t="shared" si="28"/>
        <v>9.9309249860424567E-2</v>
      </c>
      <c r="O35" s="3">
        <f t="shared" si="28"/>
        <v>9.9309249816401574E-2</v>
      </c>
      <c r="P35" s="3">
        <f t="shared" si="27"/>
        <v>9.9309249376171638E-2</v>
      </c>
      <c r="Q35" s="3">
        <f t="shared" si="27"/>
        <v>9.9309244973872349E-2</v>
      </c>
      <c r="R35" s="3">
        <f t="shared" si="27"/>
        <v>9.9309200950890186E-2</v>
      </c>
      <c r="S35" s="3">
        <f t="shared" si="27"/>
        <v>9.9308760722141995E-2</v>
      </c>
      <c r="T35" s="3">
        <f t="shared" si="27"/>
        <v>9.930435854199067E-2</v>
      </c>
      <c r="U35" s="3">
        <f t="shared" si="27"/>
        <v>9.9260347471793783E-2</v>
      </c>
      <c r="V35" s="3">
        <f t="shared" si="27"/>
        <v>9.8821308143412848E-2</v>
      </c>
      <c r="W35" s="3">
        <f t="shared" si="27"/>
        <v>9.4536315614340255E-2</v>
      </c>
      <c r="X35" s="3">
        <f t="shared" si="27"/>
        <v>6.0684728228222823E-2</v>
      </c>
      <c r="Y35" s="3">
        <f t="shared" si="27"/>
        <v>7.2091954548860696E-4</v>
      </c>
      <c r="Z35" s="3">
        <f t="shared" si="27"/>
        <v>4.0360885807632441E-23</v>
      </c>
      <c r="AA35" s="3">
        <f t="shared" si="27"/>
        <v>1.2209547788250156E-215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7.2254007358792144E-2</v>
      </c>
      <c r="C36" s="18">
        <f t="shared" si="3"/>
        <v>7.4938076557470937E-2</v>
      </c>
      <c r="D36" s="17"/>
      <c r="F36" s="3">
        <f t="shared" si="28"/>
        <v>7.4938076557470937E-2</v>
      </c>
      <c r="G36" s="3">
        <f t="shared" si="28"/>
        <v>7.4938076557470937E-2</v>
      </c>
      <c r="H36" s="3">
        <f t="shared" si="28"/>
        <v>7.4938076557470937E-2</v>
      </c>
      <c r="I36" s="3">
        <f t="shared" si="28"/>
        <v>7.4938076557470937E-2</v>
      </c>
      <c r="J36" s="3">
        <f t="shared" si="28"/>
        <v>7.4938076557470909E-2</v>
      </c>
      <c r="K36" s="3">
        <f t="shared" si="28"/>
        <v>7.4938076557470604E-2</v>
      </c>
      <c r="L36" s="3">
        <f t="shared" si="28"/>
        <v>7.4938076557467606E-2</v>
      </c>
      <c r="M36" s="3">
        <f t="shared" si="28"/>
        <v>7.4938076557437644E-2</v>
      </c>
      <c r="N36" s="3">
        <f t="shared" si="28"/>
        <v>7.4938076557137967E-2</v>
      </c>
      <c r="O36" s="3">
        <f t="shared" si="28"/>
        <v>7.4938076554141309E-2</v>
      </c>
      <c r="P36" s="3">
        <f t="shared" si="27"/>
        <v>7.4938076524174599E-2</v>
      </c>
      <c r="Q36" s="3">
        <f t="shared" si="27"/>
        <v>7.4938076224507544E-2</v>
      </c>
      <c r="R36" s="3">
        <f t="shared" si="27"/>
        <v>7.4938073227837007E-2</v>
      </c>
      <c r="S36" s="3">
        <f t="shared" si="27"/>
        <v>7.4938043261138287E-2</v>
      </c>
      <c r="T36" s="3">
        <f t="shared" si="27"/>
        <v>7.4937743594810202E-2</v>
      </c>
      <c r="U36" s="3">
        <f t="shared" si="27"/>
        <v>7.4934746997436213E-2</v>
      </c>
      <c r="V36" s="3">
        <f t="shared" si="27"/>
        <v>7.4904787613413376E-2</v>
      </c>
      <c r="W36" s="3">
        <f t="shared" si="27"/>
        <v>7.4605851770932652E-2</v>
      </c>
      <c r="X36" s="3">
        <f t="shared" si="27"/>
        <v>7.1681329886995021E-2</v>
      </c>
      <c r="Y36" s="3">
        <f t="shared" si="27"/>
        <v>4.8054898525086633E-2</v>
      </c>
      <c r="Z36" s="3">
        <f t="shared" si="27"/>
        <v>8.811579597875573E-4</v>
      </c>
      <c r="AA36" s="3">
        <f t="shared" si="27"/>
        <v>3.7862981616541829E-21</v>
      </c>
      <c r="AB36" s="3">
        <f t="shared" si="27"/>
        <v>8.1250347956873394E-195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6.6839909871049291E-2</v>
      </c>
      <c r="C37" s="18">
        <f t="shared" si="3"/>
        <v>6.9322857874701022E-2</v>
      </c>
      <c r="D37" s="17"/>
      <c r="F37" s="3">
        <f t="shared" si="28"/>
        <v>6.9322857874701022E-2</v>
      </c>
      <c r="G37" s="3">
        <f t="shared" si="28"/>
        <v>6.9322857874701022E-2</v>
      </c>
      <c r="H37" s="3">
        <f t="shared" si="28"/>
        <v>6.9322857874701022E-2</v>
      </c>
      <c r="I37" s="3">
        <f t="shared" si="28"/>
        <v>6.9322857874701022E-2</v>
      </c>
      <c r="J37" s="3">
        <f t="shared" si="28"/>
        <v>6.9322857874701022E-2</v>
      </c>
      <c r="K37" s="3">
        <f t="shared" si="28"/>
        <v>6.9322857874700994E-2</v>
      </c>
      <c r="L37" s="3">
        <f t="shared" si="28"/>
        <v>6.9322857874700744E-2</v>
      </c>
      <c r="M37" s="3">
        <f t="shared" si="28"/>
        <v>6.9322857874698246E-2</v>
      </c>
      <c r="N37" s="3">
        <f t="shared" si="28"/>
        <v>6.9322857874673238E-2</v>
      </c>
      <c r="O37" s="3">
        <f t="shared" si="28"/>
        <v>6.932285787442316E-2</v>
      </c>
      <c r="P37" s="3">
        <f t="shared" si="27"/>
        <v>6.932285787192248E-2</v>
      </c>
      <c r="Q37" s="3">
        <f t="shared" si="27"/>
        <v>6.9322857846915595E-2</v>
      </c>
      <c r="R37" s="3">
        <f t="shared" si="27"/>
        <v>6.9322857596846796E-2</v>
      </c>
      <c r="S37" s="3">
        <f t="shared" si="27"/>
        <v>6.932285509615882E-2</v>
      </c>
      <c r="T37" s="3">
        <f t="shared" si="27"/>
        <v>6.932283008928404E-2</v>
      </c>
      <c r="U37" s="3">
        <f t="shared" si="27"/>
        <v>6.9322580021032365E-2</v>
      </c>
      <c r="V37" s="3">
        <f t="shared" si="27"/>
        <v>6.9320079388128938E-2</v>
      </c>
      <c r="W37" s="3">
        <f t="shared" si="27"/>
        <v>6.929507801977057E-2</v>
      </c>
      <c r="X37" s="3">
        <f t="shared" si="27"/>
        <v>6.9045559742316021E-2</v>
      </c>
      <c r="Y37" s="3">
        <f t="shared" si="27"/>
        <v>6.6599262692048203E-2</v>
      </c>
      <c r="Z37" s="3">
        <f t="shared" si="27"/>
        <v>4.6430791381306444E-2</v>
      </c>
      <c r="AA37" s="3">
        <f t="shared" si="27"/>
        <v>1.2594262291093358E-3</v>
      </c>
      <c r="AB37" s="3">
        <f t="shared" si="27"/>
        <v>2.7154337513638066E-19</v>
      </c>
      <c r="AC37" s="3">
        <f t="shared" si="27"/>
        <v>5.8952739508541253E-176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2.1661212012529931E-2</v>
      </c>
      <c r="C38" s="18">
        <f t="shared" si="3"/>
        <v>2.2465875921068256E-2</v>
      </c>
      <c r="D38" s="17"/>
      <c r="F38" s="3">
        <f t="shared" si="28"/>
        <v>2.2465875921068256E-2</v>
      </c>
      <c r="G38" s="3">
        <f t="shared" si="28"/>
        <v>2.2465875921068256E-2</v>
      </c>
      <c r="H38" s="3">
        <f t="shared" si="28"/>
        <v>2.2465875921068256E-2</v>
      </c>
      <c r="I38" s="3">
        <f t="shared" si="28"/>
        <v>2.2465875921068256E-2</v>
      </c>
      <c r="J38" s="3">
        <f t="shared" si="28"/>
        <v>2.2465875921068256E-2</v>
      </c>
      <c r="K38" s="3">
        <f t="shared" si="28"/>
        <v>2.2465875921068256E-2</v>
      </c>
      <c r="L38" s="3">
        <f t="shared" si="28"/>
        <v>2.2465875921068249E-2</v>
      </c>
      <c r="M38" s="3">
        <f t="shared" si="28"/>
        <v>2.2465875921068173E-2</v>
      </c>
      <c r="N38" s="3">
        <f t="shared" si="28"/>
        <v>2.2465875921067444E-2</v>
      </c>
      <c r="O38" s="3">
        <f t="shared" si="28"/>
        <v>2.2465875921060134E-2</v>
      </c>
      <c r="P38" s="3">
        <f t="shared" si="27"/>
        <v>2.2465875920987026E-2</v>
      </c>
      <c r="Q38" s="3">
        <f t="shared" si="27"/>
        <v>2.2465875920255968E-2</v>
      </c>
      <c r="R38" s="3">
        <f t="shared" si="27"/>
        <v>2.2465875912945368E-2</v>
      </c>
      <c r="S38" s="3">
        <f t="shared" si="27"/>
        <v>2.2465875839839368E-2</v>
      </c>
      <c r="T38" s="3">
        <f t="shared" si="27"/>
        <v>2.2465875108779416E-2</v>
      </c>
      <c r="U38" s="3">
        <f t="shared" si="27"/>
        <v>2.2465867798181181E-2</v>
      </c>
      <c r="V38" s="3">
        <f t="shared" si="27"/>
        <v>2.2465794692329673E-2</v>
      </c>
      <c r="W38" s="3">
        <f t="shared" si="27"/>
        <v>2.2465063646898549E-2</v>
      </c>
      <c r="X38" s="3">
        <f t="shared" si="27"/>
        <v>2.2457754500826776E-2</v>
      </c>
      <c r="Y38" s="3">
        <f t="shared" si="27"/>
        <v>2.2384793706677689E-2</v>
      </c>
      <c r="Z38" s="3">
        <f t="shared" si="27"/>
        <v>2.1668096457731829E-2</v>
      </c>
      <c r="AA38" s="3">
        <f t="shared" si="27"/>
        <v>1.5649389457408902E-2</v>
      </c>
      <c r="AB38" s="3">
        <f t="shared" si="27"/>
        <v>6.0431556978022074E-4</v>
      </c>
      <c r="AC38" s="3">
        <f t="shared" si="27"/>
        <v>4.4558199478831679E-18</v>
      </c>
      <c r="AD38" s="3">
        <f t="shared" si="27"/>
        <v>2.1162459045174931E-159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5.6240330718299376E-2</v>
      </c>
      <c r="C39" s="18">
        <f t="shared" si="3"/>
        <v>5.8329528880761261E-2</v>
      </c>
      <c r="D39" s="17"/>
      <c r="F39" s="3">
        <f t="shared" si="28"/>
        <v>5.8329528880761261E-2</v>
      </c>
      <c r="G39" s="3">
        <f t="shared" si="28"/>
        <v>5.8329528880761261E-2</v>
      </c>
      <c r="H39" s="3">
        <f t="shared" si="28"/>
        <v>5.8329528880761261E-2</v>
      </c>
      <c r="I39" s="3">
        <f t="shared" si="28"/>
        <v>5.8329528880761261E-2</v>
      </c>
      <c r="J39" s="3">
        <f t="shared" si="28"/>
        <v>5.8329528880761261E-2</v>
      </c>
      <c r="K39" s="3">
        <f t="shared" si="28"/>
        <v>5.8329528880761261E-2</v>
      </c>
      <c r="L39" s="3">
        <f t="shared" si="28"/>
        <v>5.8329528880761254E-2</v>
      </c>
      <c r="M39" s="3">
        <f t="shared" si="28"/>
        <v>5.8329528880761206E-2</v>
      </c>
      <c r="N39" s="3">
        <f t="shared" si="28"/>
        <v>5.8329528880760678E-2</v>
      </c>
      <c r="O39" s="3">
        <f t="shared" si="28"/>
        <v>5.8329528880755425E-2</v>
      </c>
      <c r="P39" s="3">
        <f t="shared" si="27"/>
        <v>5.8329528880702933E-2</v>
      </c>
      <c r="Q39" s="3">
        <f t="shared" si="27"/>
        <v>5.8329528880177964E-2</v>
      </c>
      <c r="R39" s="3">
        <f t="shared" si="27"/>
        <v>5.8329528874928309E-2</v>
      </c>
      <c r="S39" s="3">
        <f t="shared" si="27"/>
        <v>5.8329528822431732E-2</v>
      </c>
      <c r="T39" s="3">
        <f t="shared" si="27"/>
        <v>5.8329528297465974E-2</v>
      </c>
      <c r="U39" s="3">
        <f t="shared" si="27"/>
        <v>5.8329523047808668E-2</v>
      </c>
      <c r="V39" s="3">
        <f t="shared" si="27"/>
        <v>5.8329470551261545E-2</v>
      </c>
      <c r="W39" s="3">
        <f t="shared" si="27"/>
        <v>5.8328945588388921E-2</v>
      </c>
      <c r="X39" s="3">
        <f t="shared" si="27"/>
        <v>5.8323696219511105E-2</v>
      </c>
      <c r="Y39" s="3">
        <f t="shared" si="27"/>
        <v>5.827122850692578E-2</v>
      </c>
      <c r="Z39" s="3">
        <f t="shared" si="27"/>
        <v>5.7749140371064989E-2</v>
      </c>
      <c r="AA39" s="3">
        <f t="shared" si="27"/>
        <v>5.277874030772195E-2</v>
      </c>
      <c r="AB39" s="3">
        <f t="shared" si="27"/>
        <v>2.1458234488447959E-2</v>
      </c>
      <c r="AC39" s="3">
        <f t="shared" si="27"/>
        <v>2.6481565142653931E-6</v>
      </c>
      <c r="AD39" s="3">
        <f t="shared" si="27"/>
        <v>2.169902790819335E-45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3.3314172080916346E-2</v>
      </c>
      <c r="C40" s="18">
        <f t="shared" si="3"/>
        <v>3.4551716494444183E-2</v>
      </c>
      <c r="D40" s="17"/>
      <c r="F40" s="3">
        <f t="shared" si="28"/>
        <v>3.4551716494444183E-2</v>
      </c>
      <c r="G40" s="3">
        <f t="shared" si="28"/>
        <v>3.4551716494444183E-2</v>
      </c>
      <c r="H40" s="3">
        <f t="shared" si="28"/>
        <v>3.4551716494444183E-2</v>
      </c>
      <c r="I40" s="3">
        <f t="shared" si="28"/>
        <v>3.4551716494444183E-2</v>
      </c>
      <c r="J40" s="3">
        <f t="shared" si="28"/>
        <v>3.4551716494444183E-2</v>
      </c>
      <c r="K40" s="3">
        <f t="shared" si="28"/>
        <v>3.4551716494444183E-2</v>
      </c>
      <c r="L40" s="3">
        <f t="shared" si="28"/>
        <v>3.4551716494444183E-2</v>
      </c>
      <c r="M40" s="3">
        <f t="shared" si="28"/>
        <v>3.4551716494444176E-2</v>
      </c>
      <c r="N40" s="3">
        <f t="shared" si="28"/>
        <v>3.4551716494444148E-2</v>
      </c>
      <c r="O40" s="3">
        <f t="shared" si="28"/>
        <v>3.4551716494443836E-2</v>
      </c>
      <c r="P40" s="3">
        <f t="shared" si="27"/>
        <v>3.4551716494440728E-2</v>
      </c>
      <c r="Q40" s="3">
        <f t="shared" si="27"/>
        <v>3.4551716494409634E-2</v>
      </c>
      <c r="R40" s="3">
        <f t="shared" si="27"/>
        <v>3.4551716494098668E-2</v>
      </c>
      <c r="S40" s="3">
        <f t="shared" si="27"/>
        <v>3.455171649098901E-2</v>
      </c>
      <c r="T40" s="3">
        <f t="shared" si="27"/>
        <v>3.4551716459892468E-2</v>
      </c>
      <c r="U40" s="3">
        <f t="shared" si="27"/>
        <v>3.455171614892702E-2</v>
      </c>
      <c r="V40" s="3">
        <f t="shared" si="27"/>
        <v>3.4551713039272708E-2</v>
      </c>
      <c r="W40" s="3">
        <f t="shared" si="27"/>
        <v>3.4551681942744966E-2</v>
      </c>
      <c r="X40" s="3">
        <f t="shared" si="27"/>
        <v>3.4551370979006818E-2</v>
      </c>
      <c r="Y40" s="3">
        <f t="shared" si="27"/>
        <v>3.4548261495547565E-2</v>
      </c>
      <c r="Z40" s="3">
        <f t="shared" si="27"/>
        <v>3.4517182048050807E-2</v>
      </c>
      <c r="AA40" s="3">
        <f t="shared" si="27"/>
        <v>3.4207921171072853E-2</v>
      </c>
      <c r="AB40" s="3">
        <f t="shared" si="27"/>
        <v>3.126368594154335E-2</v>
      </c>
      <c r="AC40" s="3">
        <f t="shared" si="27"/>
        <v>1.2710866155490233E-2</v>
      </c>
      <c r="AD40" s="3">
        <f t="shared" si="27"/>
        <v>1.5686455020210553E-6</v>
      </c>
      <c r="AE40" s="3">
        <f t="shared" si="27"/>
        <v>1.2853501046126467E-45</v>
      </c>
      <c r="AF40" s="3">
        <f t="shared" si="29"/>
        <v>0</v>
      </c>
      <c r="AG40" s="3">
        <f t="shared" si="29"/>
        <v>0</v>
      </c>
      <c r="AH40" s="3">
        <f t="shared" si="29"/>
        <v>0</v>
      </c>
      <c r="AI40" s="3">
        <f t="shared" si="29"/>
        <v>0</v>
      </c>
      <c r="AJ40" s="3">
        <f t="shared" si="29"/>
        <v>0</v>
      </c>
    </row>
    <row r="41" spans="1:36" x14ac:dyDescent="0.25">
      <c r="A41" s="3">
        <f t="shared" si="30"/>
        <v>1000000000</v>
      </c>
      <c r="B41" s="106">
        <v>3.1610835921819354E-2</v>
      </c>
      <c r="C41" s="18">
        <f t="shared" si="3"/>
        <v>3.2785105338059839E-2</v>
      </c>
      <c r="D41" s="17"/>
      <c r="F41" s="3">
        <f t="shared" si="28"/>
        <v>3.2785105338059839E-2</v>
      </c>
      <c r="G41" s="3">
        <f t="shared" si="28"/>
        <v>3.2785105338059839E-2</v>
      </c>
      <c r="H41" s="3">
        <f t="shared" si="28"/>
        <v>3.2785105338059839E-2</v>
      </c>
      <c r="I41" s="3">
        <f t="shared" si="28"/>
        <v>3.2785105338059839E-2</v>
      </c>
      <c r="J41" s="3">
        <f t="shared" si="28"/>
        <v>3.2785105338059839E-2</v>
      </c>
      <c r="K41" s="3">
        <f t="shared" si="28"/>
        <v>3.2785105338059839E-2</v>
      </c>
      <c r="L41" s="3">
        <f t="shared" si="28"/>
        <v>3.2785105338059839E-2</v>
      </c>
      <c r="M41" s="3">
        <f t="shared" si="28"/>
        <v>3.2785105338059839E-2</v>
      </c>
      <c r="N41" s="3">
        <f t="shared" si="28"/>
        <v>3.2785105338059832E-2</v>
      </c>
      <c r="O41" s="3">
        <f t="shared" si="28"/>
        <v>3.2785105338059804E-2</v>
      </c>
      <c r="P41" s="3">
        <f t="shared" si="27"/>
        <v>3.2785105338059513E-2</v>
      </c>
      <c r="Q41" s="3">
        <f t="shared" si="27"/>
        <v>3.2785105338056557E-2</v>
      </c>
      <c r="R41" s="3">
        <f t="shared" si="27"/>
        <v>3.2785105338027053E-2</v>
      </c>
      <c r="S41" s="3">
        <f t="shared" si="27"/>
        <v>3.278510533773199E-2</v>
      </c>
      <c r="T41" s="3">
        <f t="shared" si="27"/>
        <v>3.278510533478133E-2</v>
      </c>
      <c r="U41" s="3">
        <f t="shared" si="27"/>
        <v>3.2785105305274738E-2</v>
      </c>
      <c r="V41" s="3">
        <f t="shared" si="27"/>
        <v>3.2785105010208787E-2</v>
      </c>
      <c r="W41" s="3">
        <f t="shared" si="27"/>
        <v>3.2785102059549473E-2</v>
      </c>
      <c r="X41" s="3">
        <f t="shared" si="27"/>
        <v>3.2785072552970897E-2</v>
      </c>
      <c r="Y41" s="3">
        <f t="shared" si="27"/>
        <v>3.2784777488645708E-2</v>
      </c>
      <c r="Z41" s="3">
        <f t="shared" si="27"/>
        <v>3.2781826991446099E-2</v>
      </c>
      <c r="AA41" s="3">
        <f t="shared" si="27"/>
        <v>3.2752336619811633E-2</v>
      </c>
      <c r="AB41" s="3">
        <f t="shared" si="27"/>
        <v>3.2458888089395108E-2</v>
      </c>
      <c r="AC41" s="3">
        <f t="shared" si="27"/>
        <v>2.9665190064127017E-2</v>
      </c>
      <c r="AD41" s="3">
        <f t="shared" si="27"/>
        <v>1.2060966230512324E-2</v>
      </c>
      <c r="AE41" s="3">
        <f t="shared" si="27"/>
        <v>1.4884414796035838E-6</v>
      </c>
      <c r="AF41" s="3">
        <f t="shared" si="29"/>
        <v>1.2196308273942887E-45</v>
      </c>
      <c r="AG41" s="3">
        <f t="shared" si="29"/>
        <v>0</v>
      </c>
      <c r="AH41" s="3">
        <f t="shared" si="29"/>
        <v>0</v>
      </c>
      <c r="AI41" s="3">
        <f t="shared" si="29"/>
        <v>0</v>
      </c>
      <c r="AJ41" s="3">
        <f t="shared" si="29"/>
        <v>0</v>
      </c>
    </row>
    <row r="42" spans="1:36" x14ac:dyDescent="0.25">
      <c r="A42" s="3">
        <f t="shared" si="30"/>
        <v>10000000000</v>
      </c>
      <c r="B42" s="106">
        <v>1.2712391561837261E-2</v>
      </c>
      <c r="C42" s="18">
        <f t="shared" si="3"/>
        <v>1.3184627495592977E-2</v>
      </c>
      <c r="D42" s="17"/>
      <c r="F42" s="3">
        <f t="shared" si="28"/>
        <v>1.3184627495592977E-2</v>
      </c>
      <c r="G42" s="3">
        <f t="shared" si="28"/>
        <v>1.3184627495592977E-2</v>
      </c>
      <c r="H42" s="3">
        <f t="shared" si="28"/>
        <v>1.3184627495592977E-2</v>
      </c>
      <c r="I42" s="3">
        <f t="shared" si="28"/>
        <v>1.3184627495592977E-2</v>
      </c>
      <c r="J42" s="3">
        <f t="shared" si="28"/>
        <v>1.3184627495592977E-2</v>
      </c>
      <c r="K42" s="3">
        <f t="shared" si="28"/>
        <v>1.3184627495592977E-2</v>
      </c>
      <c r="L42" s="3">
        <f t="shared" si="28"/>
        <v>1.3184627495592977E-2</v>
      </c>
      <c r="M42" s="3">
        <f t="shared" si="28"/>
        <v>1.3184627495592977E-2</v>
      </c>
      <c r="N42" s="3">
        <f t="shared" si="28"/>
        <v>1.3184627495592977E-2</v>
      </c>
      <c r="O42" s="3">
        <f t="shared" si="28"/>
        <v>1.3184627495592975E-2</v>
      </c>
      <c r="P42" s="3">
        <f t="shared" si="27"/>
        <v>1.3184627495592963E-2</v>
      </c>
      <c r="Q42" s="3">
        <f t="shared" si="27"/>
        <v>1.3184627495592845E-2</v>
      </c>
      <c r="R42" s="3">
        <f t="shared" si="27"/>
        <v>1.3184627495591659E-2</v>
      </c>
      <c r="S42" s="3">
        <f t="shared" si="27"/>
        <v>1.3184627495579793E-2</v>
      </c>
      <c r="T42" s="3">
        <f t="shared" si="27"/>
        <v>1.3184627495461131E-2</v>
      </c>
      <c r="U42" s="3">
        <f t="shared" si="27"/>
        <v>1.3184627494274515E-2</v>
      </c>
      <c r="V42" s="3">
        <f t="shared" si="27"/>
        <v>1.318462748240835E-2</v>
      </c>
      <c r="W42" s="3">
        <f t="shared" si="27"/>
        <v>1.3184627363746704E-2</v>
      </c>
      <c r="X42" s="3">
        <f t="shared" si="27"/>
        <v>1.3184626177130294E-2</v>
      </c>
      <c r="Y42" s="3">
        <f t="shared" si="27"/>
        <v>1.3184614310972073E-2</v>
      </c>
      <c r="Z42" s="3">
        <f t="shared" si="27"/>
        <v>1.318449564997725E-2</v>
      </c>
      <c r="AA42" s="3">
        <f t="shared" si="27"/>
        <v>1.3183309098764358E-2</v>
      </c>
      <c r="AB42" s="3">
        <f t="shared" si="27"/>
        <v>1.3171449458214244E-2</v>
      </c>
      <c r="AC42" s="3">
        <f t="shared" si="27"/>
        <v>1.3053438260056538E-2</v>
      </c>
      <c r="AD42" s="3">
        <f t="shared" si="27"/>
        <v>1.1929944300878268E-2</v>
      </c>
      <c r="AE42" s="3">
        <f t="shared" si="27"/>
        <v>4.8503533951323782E-3</v>
      </c>
      <c r="AF42" s="3">
        <f t="shared" si="29"/>
        <v>5.9858116224444771E-7</v>
      </c>
      <c r="AG42" s="3">
        <f t="shared" si="29"/>
        <v>4.9047815999139194E-46</v>
      </c>
      <c r="AH42" s="3">
        <f t="shared" si="29"/>
        <v>0</v>
      </c>
      <c r="AI42" s="3">
        <f t="shared" si="29"/>
        <v>0</v>
      </c>
      <c r="AJ42" s="3">
        <f t="shared" si="29"/>
        <v>0</v>
      </c>
    </row>
    <row r="43" spans="1:36" x14ac:dyDescent="0.25">
      <c r="A43" s="3">
        <f t="shared" si="30"/>
        <v>100000000000</v>
      </c>
      <c r="B43" s="106">
        <v>8.7708553711650372E-3</v>
      </c>
      <c r="C43" s="18">
        <f t="shared" si="3"/>
        <v>9.0966723550024858E-3</v>
      </c>
      <c r="D43" s="17"/>
      <c r="F43" s="3">
        <f t="shared" si="28"/>
        <v>9.0966723550024858E-3</v>
      </c>
      <c r="G43" s="3">
        <f t="shared" si="28"/>
        <v>9.0966723550024858E-3</v>
      </c>
      <c r="H43" s="3">
        <f t="shared" si="28"/>
        <v>9.0966723550024858E-3</v>
      </c>
      <c r="I43" s="3">
        <f t="shared" si="28"/>
        <v>9.0966723550024858E-3</v>
      </c>
      <c r="J43" s="3">
        <f t="shared" si="28"/>
        <v>9.0966723550024858E-3</v>
      </c>
      <c r="K43" s="3">
        <f t="shared" si="28"/>
        <v>9.0966723550024858E-3</v>
      </c>
      <c r="L43" s="3">
        <f t="shared" si="28"/>
        <v>9.0966723550024858E-3</v>
      </c>
      <c r="M43" s="3">
        <f t="shared" si="28"/>
        <v>9.0966723550024858E-3</v>
      </c>
      <c r="N43" s="3">
        <f t="shared" si="28"/>
        <v>9.0966723550024858E-3</v>
      </c>
      <c r="O43" s="3">
        <f t="shared" si="28"/>
        <v>9.0966723550024858E-3</v>
      </c>
      <c r="P43" s="3">
        <f t="shared" si="27"/>
        <v>9.0966723550024841E-3</v>
      </c>
      <c r="Q43" s="3">
        <f t="shared" si="27"/>
        <v>9.0966723550024772E-3</v>
      </c>
      <c r="R43" s="3">
        <f t="shared" si="27"/>
        <v>9.0966723550023956E-3</v>
      </c>
      <c r="S43" s="3">
        <f t="shared" si="27"/>
        <v>9.0966723550015751E-3</v>
      </c>
      <c r="T43" s="3">
        <f t="shared" si="27"/>
        <v>9.0966723549933889E-3</v>
      </c>
      <c r="U43" s="3">
        <f t="shared" si="27"/>
        <v>9.0966723549115187E-3</v>
      </c>
      <c r="V43" s="3">
        <f t="shared" si="27"/>
        <v>9.0966723540928177E-3</v>
      </c>
      <c r="W43" s="3">
        <f t="shared" si="27"/>
        <v>9.0966723459058145E-3</v>
      </c>
      <c r="X43" s="3">
        <f t="shared" si="27"/>
        <v>9.0966722640357621E-3</v>
      </c>
      <c r="Y43" s="3">
        <f t="shared" si="27"/>
        <v>9.096671445335297E-3</v>
      </c>
      <c r="Z43" s="3">
        <f t="shared" si="27"/>
        <v>9.0966632583346797E-3</v>
      </c>
      <c r="AA43" s="3">
        <f t="shared" si="27"/>
        <v>9.0965813887337686E-3</v>
      </c>
      <c r="AB43" s="3">
        <f t="shared" si="27"/>
        <v>9.0957627332488317E-3</v>
      </c>
      <c r="AC43" s="3">
        <f t="shared" si="27"/>
        <v>9.0875802294679286E-3</v>
      </c>
      <c r="AD43" s="3">
        <f t="shared" si="27"/>
        <v>9.0061589527408639E-3</v>
      </c>
      <c r="AE43" s="3">
        <f t="shared" si="27"/>
        <v>8.2310095264195408E-3</v>
      </c>
      <c r="AF43" s="3">
        <f t="shared" si="29"/>
        <v>3.3464787424780226E-3</v>
      </c>
      <c r="AG43" s="3">
        <f t="shared" si="29"/>
        <v>4.1298828598945055E-7</v>
      </c>
      <c r="AH43" s="3">
        <f t="shared" si="29"/>
        <v>3.384031228957763E-46</v>
      </c>
      <c r="AI43" s="3">
        <f t="shared" si="29"/>
        <v>0</v>
      </c>
      <c r="AJ43" s="3">
        <f t="shared" si="29"/>
        <v>0</v>
      </c>
    </row>
    <row r="44" spans="1:36" x14ac:dyDescent="0.25">
      <c r="A44" s="3">
        <f t="shared" si="30"/>
        <v>1000000000000</v>
      </c>
      <c r="B44" s="106">
        <v>2.9305227915908953E-3</v>
      </c>
      <c r="C44" s="18">
        <f t="shared" si="3"/>
        <v>3.0393849329234364E-3</v>
      </c>
      <c r="D44" s="17"/>
      <c r="F44" s="3">
        <f t="shared" si="28"/>
        <v>3.0393849329234364E-3</v>
      </c>
      <c r="G44" s="3">
        <f t="shared" si="28"/>
        <v>3.0393849329234364E-3</v>
      </c>
      <c r="H44" s="3">
        <f t="shared" si="28"/>
        <v>3.0393849329234364E-3</v>
      </c>
      <c r="I44" s="3">
        <f t="shared" si="28"/>
        <v>3.0393849329234364E-3</v>
      </c>
      <c r="J44" s="3">
        <f t="shared" si="28"/>
        <v>3.0393849329234364E-3</v>
      </c>
      <c r="K44" s="3">
        <f t="shared" si="28"/>
        <v>3.0393849329234364E-3</v>
      </c>
      <c r="L44" s="3">
        <f t="shared" si="28"/>
        <v>3.0393849329234364E-3</v>
      </c>
      <c r="M44" s="3">
        <f t="shared" si="28"/>
        <v>3.0393849329234364E-3</v>
      </c>
      <c r="N44" s="3">
        <f t="shared" si="28"/>
        <v>3.0393849329234364E-3</v>
      </c>
      <c r="O44" s="3">
        <f t="shared" si="28"/>
        <v>3.0393849329234364E-3</v>
      </c>
      <c r="P44" s="3">
        <f t="shared" si="27"/>
        <v>3.0393849329234364E-3</v>
      </c>
      <c r="Q44" s="3">
        <f t="shared" si="27"/>
        <v>3.039384932923436E-3</v>
      </c>
      <c r="R44" s="3">
        <f t="shared" si="27"/>
        <v>3.0393849329234334E-3</v>
      </c>
      <c r="S44" s="3">
        <f t="shared" si="27"/>
        <v>3.0393849329234061E-3</v>
      </c>
      <c r="T44" s="3">
        <f t="shared" si="27"/>
        <v>3.0393849329231324E-3</v>
      </c>
      <c r="U44" s="3">
        <f t="shared" si="27"/>
        <v>3.0393849329203972E-3</v>
      </c>
      <c r="V44" s="3">
        <f t="shared" si="27"/>
        <v>3.0393849328930428E-3</v>
      </c>
      <c r="W44" s="3">
        <f t="shared" si="27"/>
        <v>3.0393849326194977E-3</v>
      </c>
      <c r="X44" s="3">
        <f t="shared" si="27"/>
        <v>3.0393849298840517E-3</v>
      </c>
      <c r="Y44" s="3">
        <f t="shared" si="27"/>
        <v>3.0393849025295871E-3</v>
      </c>
      <c r="Z44" s="3">
        <f t="shared" si="27"/>
        <v>3.0393846289849583E-3</v>
      </c>
      <c r="AA44" s="3">
        <f t="shared" si="27"/>
        <v>3.0393818935400231E-3</v>
      </c>
      <c r="AB44" s="3">
        <f t="shared" si="27"/>
        <v>3.0393545392260759E-3</v>
      </c>
      <c r="AC44" s="3">
        <f t="shared" si="27"/>
        <v>3.039081009626562E-3</v>
      </c>
      <c r="AD44" s="3">
        <f t="shared" si="27"/>
        <v>3.0363470671765421E-3</v>
      </c>
      <c r="AE44" s="3">
        <f t="shared" si="27"/>
        <v>3.0091425475405748E-3</v>
      </c>
      <c r="AF44" s="3">
        <f t="shared" si="29"/>
        <v>2.7501492151238401E-3</v>
      </c>
      <c r="AG44" s="3">
        <f t="shared" si="29"/>
        <v>1.1181272306287756E-3</v>
      </c>
      <c r="AH44" s="3">
        <f t="shared" si="29"/>
        <v>1.3798786247587876E-7</v>
      </c>
      <c r="AI44" s="3">
        <f t="shared" si="29"/>
        <v>1.1306742870848177E-46</v>
      </c>
      <c r="AJ44" s="3">
        <f t="shared" si="29"/>
        <v>0</v>
      </c>
    </row>
    <row r="45" spans="1:36" x14ac:dyDescent="0.25">
      <c r="A45" s="3">
        <f t="shared" si="30"/>
        <v>10000000000000</v>
      </c>
      <c r="B45" s="106">
        <v>2.5546432053612698E-3</v>
      </c>
      <c r="C45" s="18">
        <f t="shared" si="3"/>
        <v>2.6495422897411186E-3</v>
      </c>
      <c r="D45" s="17"/>
      <c r="F45" s="3">
        <f t="shared" si="28"/>
        <v>2.6495422897411186E-3</v>
      </c>
      <c r="G45" s="3">
        <f t="shared" si="28"/>
        <v>2.6495422897411186E-3</v>
      </c>
      <c r="H45" s="3">
        <f t="shared" si="28"/>
        <v>2.6495422897411186E-3</v>
      </c>
      <c r="I45" s="3">
        <f t="shared" si="28"/>
        <v>2.6495422897411186E-3</v>
      </c>
      <c r="J45" s="3">
        <f t="shared" si="28"/>
        <v>2.6495422897411186E-3</v>
      </c>
      <c r="K45" s="3">
        <f t="shared" si="28"/>
        <v>2.6495422897411186E-3</v>
      </c>
      <c r="L45" s="3">
        <f t="shared" si="28"/>
        <v>2.6495422897411186E-3</v>
      </c>
      <c r="M45" s="3">
        <f t="shared" si="28"/>
        <v>2.6495422897411186E-3</v>
      </c>
      <c r="N45" s="3">
        <f t="shared" si="28"/>
        <v>2.6495422897411186E-3</v>
      </c>
      <c r="O45" s="3">
        <f t="shared" si="28"/>
        <v>2.6495422897411186E-3</v>
      </c>
      <c r="P45" s="3">
        <f t="shared" si="27"/>
        <v>2.6495422897411186E-3</v>
      </c>
      <c r="Q45" s="3">
        <f t="shared" si="27"/>
        <v>2.6495422897411186E-3</v>
      </c>
      <c r="R45" s="3">
        <f t="shared" si="27"/>
        <v>2.6495422897411182E-3</v>
      </c>
      <c r="S45" s="3">
        <f t="shared" si="27"/>
        <v>2.649542289741116E-3</v>
      </c>
      <c r="T45" s="3">
        <f t="shared" si="27"/>
        <v>2.6495422897410922E-3</v>
      </c>
      <c r="U45" s="3">
        <f t="shared" si="27"/>
        <v>2.6495422897408537E-3</v>
      </c>
      <c r="V45" s="3">
        <f t="shared" si="27"/>
        <v>2.6495422897384693E-3</v>
      </c>
      <c r="W45" s="3">
        <f t="shared" si="27"/>
        <v>2.6495422897146233E-3</v>
      </c>
      <c r="X45" s="3">
        <f t="shared" si="27"/>
        <v>2.6495422894761643E-3</v>
      </c>
      <c r="Y45" s="3">
        <f t="shared" si="27"/>
        <v>2.6495422870915766E-3</v>
      </c>
      <c r="Z45" s="3">
        <f t="shared" si="27"/>
        <v>2.649542263245696E-3</v>
      </c>
      <c r="AA45" s="3">
        <f t="shared" si="27"/>
        <v>2.649542024786903E-3</v>
      </c>
      <c r="AB45" s="3">
        <f t="shared" si="27"/>
        <v>2.6495396402001535E-3</v>
      </c>
      <c r="AC45" s="3">
        <f t="shared" si="27"/>
        <v>2.6495157944506978E-3</v>
      </c>
      <c r="AD45" s="3">
        <f t="shared" si="27"/>
        <v>2.6492773487594144E-3</v>
      </c>
      <c r="AE45" s="3">
        <f t="shared" si="27"/>
        <v>2.6468940717810424E-3</v>
      </c>
      <c r="AF45" s="3">
        <f t="shared" si="29"/>
        <v>2.6231789034695846E-3</v>
      </c>
      <c r="AG45" s="3">
        <f t="shared" si="29"/>
        <v>2.397405004426438E-3</v>
      </c>
      <c r="AH45" s="3">
        <f t="shared" si="29"/>
        <v>9.7471213691006648E-4</v>
      </c>
      <c r="AI45" s="3">
        <f t="shared" si="29"/>
        <v>1.2028903385698009E-7</v>
      </c>
      <c r="AJ45" s="3">
        <f t="shared" si="29"/>
        <v>9.8564986195171724E-47</v>
      </c>
    </row>
    <row r="46" spans="1:36" x14ac:dyDescent="0.25">
      <c r="A46" s="3">
        <f t="shared" si="30"/>
        <v>100000000000000</v>
      </c>
      <c r="B46" s="106">
        <v>6.6099070330854245E-4</v>
      </c>
      <c r="C46" s="18">
        <f t="shared" si="3"/>
        <v>6.8554497859674352E-4</v>
      </c>
      <c r="D46" s="17"/>
      <c r="F46" s="3">
        <f t="shared" si="28"/>
        <v>6.8554497859674352E-4</v>
      </c>
      <c r="G46" s="3">
        <f t="shared" si="28"/>
        <v>6.8554497859674352E-4</v>
      </c>
      <c r="H46" s="3">
        <f t="shared" si="28"/>
        <v>6.8554497859674352E-4</v>
      </c>
      <c r="I46" s="3">
        <f t="shared" si="28"/>
        <v>6.8554497859674352E-4</v>
      </c>
      <c r="J46" s="3">
        <f t="shared" si="28"/>
        <v>6.8554497859674352E-4</v>
      </c>
      <c r="K46" s="3">
        <f t="shared" si="28"/>
        <v>6.8554497859674352E-4</v>
      </c>
      <c r="L46" s="3">
        <f t="shared" si="28"/>
        <v>6.8554497859674352E-4</v>
      </c>
      <c r="M46" s="3">
        <f t="shared" si="28"/>
        <v>6.8554497859674352E-4</v>
      </c>
      <c r="N46" s="3">
        <f t="shared" si="28"/>
        <v>6.8554497859674352E-4</v>
      </c>
      <c r="O46" s="3">
        <f t="shared" si="28"/>
        <v>6.8554497859674352E-4</v>
      </c>
      <c r="P46" s="3">
        <f t="shared" si="27"/>
        <v>6.8554497859674352E-4</v>
      </c>
      <c r="Q46" s="3">
        <f t="shared" si="27"/>
        <v>6.8554497859674352E-4</v>
      </c>
      <c r="R46" s="3">
        <f t="shared" si="27"/>
        <v>6.8554497859674352E-4</v>
      </c>
      <c r="S46" s="3">
        <f t="shared" si="27"/>
        <v>6.8554497859674342E-4</v>
      </c>
      <c r="T46" s="3">
        <f t="shared" si="27"/>
        <v>6.8554497859674287E-4</v>
      </c>
      <c r="U46" s="3">
        <f t="shared" si="27"/>
        <v>6.8554497859673669E-4</v>
      </c>
      <c r="V46" s="3">
        <f t="shared" si="27"/>
        <v>6.8554497859667489E-4</v>
      </c>
      <c r="W46" s="3">
        <f t="shared" si="27"/>
        <v>6.8554497859605798E-4</v>
      </c>
      <c r="X46" s="3">
        <f t="shared" si="27"/>
        <v>6.8554497858988811E-4</v>
      </c>
      <c r="Y46" s="3">
        <f t="shared" si="27"/>
        <v>6.8554497852818899E-4</v>
      </c>
      <c r="Z46" s="3">
        <f t="shared" si="27"/>
        <v>6.8554497791119859E-4</v>
      </c>
      <c r="AA46" s="3">
        <f t="shared" si="27"/>
        <v>6.8554497174129383E-4</v>
      </c>
      <c r="AB46" s="3">
        <f t="shared" si="27"/>
        <v>6.8554491004224909E-4</v>
      </c>
      <c r="AC46" s="3">
        <f t="shared" si="27"/>
        <v>6.8554429305210771E-4</v>
      </c>
      <c r="AD46" s="3">
        <f t="shared" si="27"/>
        <v>6.8553812318123471E-4</v>
      </c>
      <c r="AE46" s="3">
        <f t="shared" si="27"/>
        <v>6.8547642752649453E-4</v>
      </c>
      <c r="AF46" s="3">
        <f t="shared" si="29"/>
        <v>6.8485977627640721E-4</v>
      </c>
      <c r="AG46" s="3">
        <f t="shared" si="29"/>
        <v>6.7872369208728288E-4</v>
      </c>
      <c r="AH46" s="3">
        <f t="shared" si="29"/>
        <v>6.2030674838099459E-4</v>
      </c>
      <c r="AI46" s="3">
        <f t="shared" si="29"/>
        <v>2.521979036240584E-4</v>
      </c>
      <c r="AJ46" s="3">
        <f t="shared" si="29"/>
        <v>3.112369387731634E-8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9.9929468914811415E-3</v>
      </c>
      <c r="C48" s="18">
        <f t="shared" si="3"/>
        <v>1.0364161747734975E-2</v>
      </c>
      <c r="D48" s="17"/>
      <c r="F48" s="3">
        <f t="shared" si="28"/>
        <v>1.0364161747734975E-2</v>
      </c>
      <c r="G48" s="3">
        <f t="shared" si="28"/>
        <v>1.0364161747734975E-2</v>
      </c>
      <c r="H48" s="3">
        <f t="shared" si="28"/>
        <v>1.0364161747734975E-2</v>
      </c>
      <c r="I48" s="3">
        <f t="shared" si="28"/>
        <v>1.0364161747734975E-2</v>
      </c>
      <c r="J48" s="3">
        <f t="shared" si="28"/>
        <v>1.0364161747734975E-2</v>
      </c>
      <c r="K48" s="3">
        <f t="shared" si="28"/>
        <v>1.0364161747734975E-2</v>
      </c>
      <c r="L48" s="3">
        <f t="shared" si="28"/>
        <v>1.0364161747734975E-2</v>
      </c>
      <c r="M48" s="3">
        <f t="shared" si="28"/>
        <v>1.0364161747734975E-2</v>
      </c>
      <c r="N48" s="3">
        <f t="shared" si="28"/>
        <v>1.0364161747734975E-2</v>
      </c>
      <c r="O48" s="3">
        <f t="shared" si="28"/>
        <v>1.0364161747734975E-2</v>
      </c>
      <c r="P48" s="3">
        <f t="shared" si="27"/>
        <v>1.0364161747734975E-2</v>
      </c>
      <c r="Q48" s="3">
        <f t="shared" si="27"/>
        <v>1.0364161747734975E-2</v>
      </c>
      <c r="R48" s="3">
        <f t="shared" si="27"/>
        <v>1.0364161747734975E-2</v>
      </c>
      <c r="S48" s="3">
        <f t="shared" si="27"/>
        <v>1.0364161747734975E-2</v>
      </c>
      <c r="T48" s="3">
        <f t="shared" si="27"/>
        <v>1.0364161747734975E-2</v>
      </c>
      <c r="U48" s="3">
        <f t="shared" si="27"/>
        <v>1.0364161747734973E-2</v>
      </c>
      <c r="V48" s="3">
        <f t="shared" si="27"/>
        <v>1.0364161747734964E-2</v>
      </c>
      <c r="W48" s="3">
        <f t="shared" si="27"/>
        <v>1.0364161747734871E-2</v>
      </c>
      <c r="X48" s="3">
        <f t="shared" si="27"/>
        <v>1.0364161747733937E-2</v>
      </c>
      <c r="Y48" s="3">
        <f t="shared" si="27"/>
        <v>1.0364161747724612E-2</v>
      </c>
      <c r="Z48" s="3">
        <f t="shared" si="27"/>
        <v>1.0364161747631334E-2</v>
      </c>
      <c r="AA48" s="3">
        <f t="shared" si="27"/>
        <v>1.0364161746698559E-2</v>
      </c>
      <c r="AB48" s="3">
        <f t="shared" si="27"/>
        <v>1.0364161737370814E-2</v>
      </c>
      <c r="AC48" s="3">
        <f t="shared" si="27"/>
        <v>1.0364161644093359E-2</v>
      </c>
      <c r="AD48" s="3">
        <f t="shared" si="27"/>
        <v>1.0364160711318852E-2</v>
      </c>
      <c r="AE48" s="3">
        <f t="shared" si="27"/>
        <v>1.0364151383578409E-2</v>
      </c>
      <c r="AF48" s="3">
        <f t="shared" si="29"/>
        <v>1.0364058106635704E-2</v>
      </c>
      <c r="AG48" s="3">
        <f t="shared" si="29"/>
        <v>1.0363125383379282E-2</v>
      </c>
      <c r="AH48" s="3">
        <f t="shared" si="29"/>
        <v>1.0353802766341185E-2</v>
      </c>
      <c r="AI48" s="3">
        <f t="shared" si="29"/>
        <v>1.0261036615294499E-2</v>
      </c>
      <c r="AJ48" s="3">
        <f t="shared" si="29"/>
        <v>9.3778813559275715E-3</v>
      </c>
    </row>
    <row r="49" spans="1:36" x14ac:dyDescent="0.25">
      <c r="B49" s="16">
        <f>SUM(B17:B48)</f>
        <v>0.96418283839163732</v>
      </c>
      <c r="C49" s="18">
        <f>SUM(C17:C48)</f>
        <v>1.0000000000000002</v>
      </c>
      <c r="F49" s="3">
        <f t="shared" ref="F49:AJ49" si="31">F16-F17</f>
        <v>59.427966658684454</v>
      </c>
      <c r="G49" s="3">
        <f t="shared" si="31"/>
        <v>-76.872566402493248</v>
      </c>
      <c r="H49" s="3">
        <f t="shared" si="31"/>
        <v>20.353651216568323</v>
      </c>
      <c r="I49" s="3">
        <f t="shared" si="31"/>
        <v>-3.3160226655745646</v>
      </c>
      <c r="J49" s="3">
        <f t="shared" si="31"/>
        <v>0.44996744032687275</v>
      </c>
      <c r="K49" s="3">
        <f t="shared" si="31"/>
        <v>-3.4744448441415443E-2</v>
      </c>
      <c r="L49" s="3">
        <f t="shared" si="31"/>
        <v>-5.1630687150463928E-2</v>
      </c>
      <c r="M49" s="3">
        <f t="shared" si="31"/>
        <v>0.13057136684619763</v>
      </c>
      <c r="N49" s="3">
        <f t="shared" si="31"/>
        <v>-0.27693790593730228</v>
      </c>
      <c r="O49" s="3">
        <f t="shared" si="31"/>
        <v>0.54371887923662143</v>
      </c>
      <c r="P49" s="3">
        <f t="shared" si="31"/>
        <v>-0.91974131075858168</v>
      </c>
      <c r="Q49" s="3">
        <f t="shared" si="31"/>
        <v>1.3133882813299351</v>
      </c>
      <c r="R49" s="3">
        <f t="shared" si="31"/>
        <v>-1.6013378489042225</v>
      </c>
      <c r="S49" s="3">
        <f t="shared" si="31"/>
        <v>1.676897128303608</v>
      </c>
      <c r="T49" s="3">
        <f t="shared" si="31"/>
        <v>-1.5037114974693395</v>
      </c>
      <c r="U49" s="3">
        <f t="shared" si="31"/>
        <v>1.1555937603006896</v>
      </c>
      <c r="V49" s="3">
        <f t="shared" si="31"/>
        <v>-0.76967970174518996</v>
      </c>
      <c r="W49" s="3">
        <f t="shared" si="31"/>
        <v>0.44848333090521919</v>
      </c>
      <c r="X49" s="3">
        <f t="shared" si="31"/>
        <v>-0.23331323164529749</v>
      </c>
      <c r="Y49" s="3">
        <f t="shared" si="31"/>
        <v>0.11964075032028632</v>
      </c>
      <c r="Z49" s="3">
        <f t="shared" si="31"/>
        <v>-6.7839470678791258E-2</v>
      </c>
      <c r="AA49" s="3">
        <f t="shared" si="31"/>
        <v>3.7608472148349392E-2</v>
      </c>
      <c r="AB49" s="3">
        <f t="shared" si="31"/>
        <v>-3.0732662004311351E-2</v>
      </c>
      <c r="AC49" s="3">
        <f t="shared" si="31"/>
        <v>4.3351136985847916E-2</v>
      </c>
      <c r="AD49" s="3">
        <f t="shared" si="31"/>
        <v>-4.6600791230616778E-2</v>
      </c>
      <c r="AE49" s="3">
        <f t="shared" si="31"/>
        <v>4.8747350634698705E-2</v>
      </c>
      <c r="AF49" s="3">
        <f t="shared" si="31"/>
        <v>-6.6578662837287084E-2</v>
      </c>
      <c r="AG49" s="3">
        <f t="shared" si="31"/>
        <v>9.303782453275744E-2</v>
      </c>
      <c r="AH49" s="3">
        <f t="shared" si="31"/>
        <v>-0.11466516156548323</v>
      </c>
      <c r="AI49" s="3">
        <f t="shared" si="31"/>
        <v>0.13844616318783665</v>
      </c>
      <c r="AJ49" s="3">
        <f t="shared" si="31"/>
        <v>-7.9502619521008455E-2</v>
      </c>
    </row>
    <row r="50" spans="1:36" x14ac:dyDescent="0.25">
      <c r="F50" s="57">
        <f t="shared" ref="F50:AJ50" si="32">F49/F17</f>
        <v>5.5527839033789259E-3</v>
      </c>
      <c r="G50" s="57">
        <f t="shared" si="32"/>
        <v>-7.2357537615971562E-3</v>
      </c>
      <c r="H50" s="57">
        <f t="shared" si="32"/>
        <v>1.9704313463665452E-3</v>
      </c>
      <c r="I50" s="57">
        <f t="shared" si="32"/>
        <v>-3.2713420154649523E-4</v>
      </c>
      <c r="J50" s="57">
        <f t="shared" si="32"/>
        <v>4.5460213354033471E-5</v>
      </c>
      <c r="K50" s="57">
        <f t="shared" si="32"/>
        <v>-3.6104817372465346E-6</v>
      </c>
      <c r="L50" s="57">
        <f t="shared" si="32"/>
        <v>-5.5078694115943642E-6</v>
      </c>
      <c r="M50" s="57">
        <f t="shared" si="32"/>
        <v>1.4326452488808136E-5</v>
      </c>
      <c r="N50" s="57">
        <f t="shared" si="32"/>
        <v>-3.1384500219770827E-5</v>
      </c>
      <c r="O50" s="57">
        <f t="shared" si="32"/>
        <v>6.4137529863297619E-5</v>
      </c>
      <c r="P50" s="57">
        <f t="shared" si="32"/>
        <v>-1.1327557365720606E-4</v>
      </c>
      <c r="Q50" s="57">
        <f t="shared" si="32"/>
        <v>1.6815497915081609E-4</v>
      </c>
      <c r="R50" s="57">
        <f t="shared" si="32"/>
        <v>-2.1248870631638273E-4</v>
      </c>
      <c r="S50" s="57">
        <f t="shared" si="32"/>
        <v>2.3113082803496613E-4</v>
      </c>
      <c r="T50" s="57">
        <f t="shared" si="32"/>
        <v>-2.1565163235438286E-4</v>
      </c>
      <c r="U50" s="57">
        <f t="shared" si="32"/>
        <v>1.7280241712445531E-4</v>
      </c>
      <c r="V50" s="57">
        <f t="shared" si="32"/>
        <v>-1.2152268861231389E-4</v>
      </c>
      <c r="W50" s="57">
        <f t="shared" si="32"/>
        <v>7.8579761922693172E-5</v>
      </c>
      <c r="X50" s="57">
        <f t="shared" si="32"/>
        <v>-4.9602742384927997E-5</v>
      </c>
      <c r="Y50" s="57">
        <f t="shared" si="32"/>
        <v>3.2191347504092915E-5</v>
      </c>
      <c r="Z50" s="57">
        <f t="shared" si="32"/>
        <v>-2.3187350131657222E-5</v>
      </c>
      <c r="AA50" s="57">
        <f t="shared" si="32"/>
        <v>1.6558697780684755E-5</v>
      </c>
      <c r="AB50" s="57">
        <f t="shared" si="32"/>
        <v>-1.8174871496408323E-5</v>
      </c>
      <c r="AC50" s="57">
        <f t="shared" si="32"/>
        <v>3.6294994196956906E-5</v>
      </c>
      <c r="AD50" s="57">
        <f t="shared" si="32"/>
        <v>-5.5819296002800513E-5</v>
      </c>
      <c r="AE50" s="57">
        <f t="shared" si="32"/>
        <v>8.0261657733291737E-5</v>
      </c>
      <c r="AF50" s="57">
        <f t="shared" si="32"/>
        <v>-1.3502674521812175E-4</v>
      </c>
      <c r="AG50" s="57">
        <f t="shared" si="32"/>
        <v>2.1455307549332983E-4</v>
      </c>
      <c r="AH50" s="57">
        <f t="shared" si="32"/>
        <v>-2.8390941189567831E-4</v>
      </c>
      <c r="AI50" s="57">
        <f t="shared" si="32"/>
        <v>3.5727576886034214E-4</v>
      </c>
      <c r="AJ50" s="57">
        <f t="shared" si="32"/>
        <v>-2.1225925315038037E-4</v>
      </c>
    </row>
    <row r="51" spans="1:36" x14ac:dyDescent="0.25">
      <c r="A51" s="13" t="s">
        <v>21</v>
      </c>
      <c r="B51" s="3">
        <f>STUTT!D8</f>
        <v>11405.888999999999</v>
      </c>
      <c r="E51" s="11" t="s">
        <v>24</v>
      </c>
      <c r="F51" s="20">
        <f t="shared" ref="F51:AJ51" si="33">(F16-F17)^2</f>
        <v>3531.6832211857113</v>
      </c>
      <c r="G51" s="20">
        <f t="shared" si="33"/>
        <v>5909.3914653057336</v>
      </c>
      <c r="H51" s="20">
        <f t="shared" si="33"/>
        <v>414.27111784571321</v>
      </c>
      <c r="I51" s="20">
        <f t="shared" si="33"/>
        <v>10.996006318604241</v>
      </c>
      <c r="J51" s="20">
        <f t="shared" si="33"/>
        <v>0.20247069735431777</v>
      </c>
      <c r="K51" s="20">
        <f t="shared" si="33"/>
        <v>1.2071766974981761E-3</v>
      </c>
      <c r="L51" s="20">
        <f t="shared" si="33"/>
        <v>2.6657278556290807E-3</v>
      </c>
      <c r="M51" s="20">
        <f t="shared" si="33"/>
        <v>1.704888184008432E-2</v>
      </c>
      <c r="N51" s="20">
        <f t="shared" si="33"/>
        <v>7.6694603744938084E-2</v>
      </c>
      <c r="O51" s="20">
        <f t="shared" si="33"/>
        <v>0.2956302196383277</v>
      </c>
      <c r="P51" s="20">
        <f t="shared" si="33"/>
        <v>0.84592407871591391</v>
      </c>
      <c r="Q51" s="20">
        <f t="shared" si="33"/>
        <v>1.7249887775348007</v>
      </c>
      <c r="R51" s="20">
        <f t="shared" si="33"/>
        <v>2.5642829063332027</v>
      </c>
      <c r="S51" s="20">
        <f t="shared" si="33"/>
        <v>2.8119839789128873</v>
      </c>
      <c r="T51" s="20">
        <f t="shared" si="33"/>
        <v>2.2611482676214836</v>
      </c>
      <c r="U51" s="20">
        <f t="shared" si="33"/>
        <v>1.3353969388458877</v>
      </c>
      <c r="V51" s="20">
        <f t="shared" si="33"/>
        <v>0.59240684327856452</v>
      </c>
      <c r="W51" s="20">
        <f t="shared" si="33"/>
        <v>0.20113729809984032</v>
      </c>
      <c r="X51" s="20">
        <f t="shared" si="33"/>
        <v>5.4435064060772247E-2</v>
      </c>
      <c r="Y51" s="20">
        <f t="shared" si="33"/>
        <v>1.431390913720109E-2</v>
      </c>
      <c r="Z51" s="20">
        <f t="shared" si="33"/>
        <v>4.6021937819785792E-3</v>
      </c>
      <c r="AA51" s="20">
        <f t="shared" si="33"/>
        <v>1.414397177333172E-3</v>
      </c>
      <c r="AB51" s="20">
        <f t="shared" si="33"/>
        <v>9.4449651387124261E-4</v>
      </c>
      <c r="AC51" s="20">
        <f t="shared" si="33"/>
        <v>1.879321077965751E-3</v>
      </c>
      <c r="AD51" s="20">
        <f t="shared" si="33"/>
        <v>2.1716337433195297E-3</v>
      </c>
      <c r="AE51" s="20">
        <f t="shared" si="33"/>
        <v>2.3763041939022602E-3</v>
      </c>
      <c r="AF51" s="20">
        <f t="shared" si="33"/>
        <v>4.4327183452011519E-3</v>
      </c>
      <c r="AG51" s="20">
        <f t="shared" si="33"/>
        <v>8.6560367937881626E-3</v>
      </c>
      <c r="AH51" s="20">
        <f t="shared" si="33"/>
        <v>1.3148099276838373E-2</v>
      </c>
      <c r="AI51" s="20">
        <f t="shared" si="33"/>
        <v>1.9167340101433096E-2</v>
      </c>
      <c r="AJ51" s="20">
        <f t="shared" si="33"/>
        <v>6.3206665107022348E-3</v>
      </c>
    </row>
    <row r="52" spans="1:36" x14ac:dyDescent="0.25">
      <c r="A52" s="13"/>
    </row>
    <row r="53" spans="1:36" x14ac:dyDescent="0.25">
      <c r="E53" s="119" t="s">
        <v>25</v>
      </c>
      <c r="F53" s="119"/>
      <c r="G53" s="104">
        <f>SUM(F51:AJ51)</f>
        <v>9879.4086592329531</v>
      </c>
      <c r="I53" s="3">
        <f>G53+C123</f>
        <v>9879.4086592329531</v>
      </c>
      <c r="K53" s="3">
        <f>SUM(Z51:AJ51)</f>
        <v>6.5113207516333552E-2</v>
      </c>
    </row>
    <row r="55" spans="1:36" x14ac:dyDescent="0.25">
      <c r="E55" s="30" t="s">
        <v>30</v>
      </c>
      <c r="F55" s="31">
        <f t="shared" ref="F55:AJ55" si="34">ABS(F17-F16)/F16</f>
        <v>5.5221207601096741E-3</v>
      </c>
      <c r="G55" s="31">
        <f t="shared" si="34"/>
        <v>7.2884914913218576E-3</v>
      </c>
      <c r="H55" s="31">
        <f t="shared" si="34"/>
        <v>1.966556382027002E-3</v>
      </c>
      <c r="I55" s="31">
        <f t="shared" si="34"/>
        <v>3.272412533526238E-4</v>
      </c>
      <c r="J55" s="31">
        <f t="shared" si="34"/>
        <v>4.5458146816980493E-5</v>
      </c>
      <c r="K55" s="31">
        <f t="shared" si="34"/>
        <v>3.6104947728719743E-6</v>
      </c>
      <c r="L55" s="31">
        <f t="shared" si="34"/>
        <v>5.5078997483869108E-6</v>
      </c>
      <c r="M55" s="31">
        <f t="shared" si="34"/>
        <v>1.4326247244507645E-5</v>
      </c>
      <c r="N55" s="31">
        <f t="shared" si="34"/>
        <v>3.138548523753916E-5</v>
      </c>
      <c r="O55" s="31">
        <f t="shared" si="34"/>
        <v>6.4133416504381322E-5</v>
      </c>
      <c r="P55" s="31">
        <f t="shared" si="34"/>
        <v>1.1328840646643725E-4</v>
      </c>
      <c r="Q55" s="31">
        <f t="shared" si="34"/>
        <v>1.6812670780776999E-4</v>
      </c>
      <c r="R55" s="31">
        <f t="shared" si="34"/>
        <v>2.1253386736290708E-4</v>
      </c>
      <c r="S55" s="31">
        <f t="shared" si="34"/>
        <v>2.3107741891979102E-4</v>
      </c>
      <c r="T55" s="31">
        <f t="shared" si="34"/>
        <v>2.1569814801209749E-4</v>
      </c>
      <c r="U55" s="31">
        <f t="shared" si="34"/>
        <v>1.7277256160819665E-4</v>
      </c>
      <c r="V55" s="31">
        <f t="shared" si="34"/>
        <v>1.2153745817099794E-4</v>
      </c>
      <c r="W55" s="31">
        <f t="shared" si="34"/>
        <v>7.8573587628883874E-5</v>
      </c>
      <c r="X55" s="31">
        <f t="shared" si="34"/>
        <v>4.960520293903033E-5</v>
      </c>
      <c r="Y55" s="31">
        <f t="shared" si="34"/>
        <v>3.2190311254597056E-5</v>
      </c>
      <c r="Z55" s="31">
        <f t="shared" si="34"/>
        <v>2.3187887797330392E-5</v>
      </c>
      <c r="AA55" s="31">
        <f t="shared" si="34"/>
        <v>1.6558423594752726E-5</v>
      </c>
      <c r="AB55" s="31">
        <f t="shared" si="34"/>
        <v>1.8175201828365975E-5</v>
      </c>
      <c r="AC55" s="31">
        <f t="shared" si="34"/>
        <v>3.6293676918163774E-5</v>
      </c>
      <c r="AD55" s="31">
        <f t="shared" si="34"/>
        <v>5.5822411970537886E-5</v>
      </c>
      <c r="AE55" s="31">
        <f t="shared" si="34"/>
        <v>8.0255216316588431E-5</v>
      </c>
      <c r="AF55" s="31">
        <f t="shared" si="34"/>
        <v>1.35044979902216E-4</v>
      </c>
      <c r="AG55" s="31">
        <f t="shared" si="34"/>
        <v>2.1450705234553409E-4</v>
      </c>
      <c r="AH55" s="31">
        <f t="shared" si="34"/>
        <v>2.8399003934073181E-4</v>
      </c>
      <c r="AI55" s="31">
        <f t="shared" si="34"/>
        <v>3.5714816847385363E-4</v>
      </c>
      <c r="AJ55" s="31">
        <f t="shared" si="34"/>
        <v>2.1230431670608501E-4</v>
      </c>
    </row>
    <row r="56" spans="1:36" x14ac:dyDescent="0.25">
      <c r="E56" s="13" t="s">
        <v>31</v>
      </c>
      <c r="F56" s="32">
        <f>AVERAGE(F55:AJ55)</f>
        <v>5.8379105233873194E-4</v>
      </c>
    </row>
    <row r="57" spans="1:36" x14ac:dyDescent="0.25">
      <c r="A57" s="42"/>
      <c r="B57" s="15"/>
      <c r="C57" s="15"/>
      <c r="D57" s="15"/>
      <c r="F57" s="60">
        <f>AVERAGE(S55:X55)</f>
        <v>1.4487739621316621E-4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-8.2939414517803574</v>
      </c>
    </row>
    <row r="119" spans="1:14" x14ac:dyDescent="0.25">
      <c r="L119" s="11">
        <f>L118+1</f>
        <v>2</v>
      </c>
      <c r="M119" s="11">
        <f t="shared" ref="M119:M124" si="35">INDEX($B$125:$K$126,1,L119)</f>
        <v>0</v>
      </c>
      <c r="N119" s="11">
        <f t="shared" ref="N119:N124" si="36">IF(L119=$B$3,0,INDEX($B$125:$K$126,2,L119))</f>
        <v>-4.6253003761591289</v>
      </c>
    </row>
    <row r="120" spans="1:14" x14ac:dyDescent="0.25">
      <c r="L120" s="11">
        <f t="shared" ref="L120:L124" si="37">L119+1</f>
        <v>3</v>
      </c>
      <c r="M120" s="11">
        <f t="shared" si="35"/>
        <v>25</v>
      </c>
      <c r="N120" s="11">
        <f t="shared" si="36"/>
        <v>-2.1527595029960929</v>
      </c>
    </row>
    <row r="121" spans="1:14" x14ac:dyDescent="0.25">
      <c r="A121" s="103">
        <f>(A165+A204+A243+A282+A321+A360+A399)*10^9</f>
        <v>1.079984275416705E+16</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2.6169066889985411</v>
      </c>
    </row>
    <row r="123" spans="1:14" x14ac:dyDescent="0.25">
      <c r="A123" s="119"/>
      <c r="B123" s="119"/>
      <c r="C123" s="3"/>
      <c r="D123" s="3"/>
      <c r="E123" s="3"/>
      <c r="F123" s="3"/>
      <c r="G123" s="3"/>
      <c r="H123" s="3"/>
      <c r="I123" s="3"/>
      <c r="J123" s="3"/>
      <c r="K123" s="3"/>
      <c r="L123" s="11">
        <f t="shared" si="37"/>
        <v>6</v>
      </c>
      <c r="M123" s="11">
        <f t="shared" si="35"/>
        <v>125</v>
      </c>
      <c r="N123" s="11">
        <f t="shared" si="36"/>
        <v>7.588289368654304</v>
      </c>
    </row>
    <row r="124" spans="1:14" x14ac:dyDescent="0.25">
      <c r="B124" s="3"/>
      <c r="C124" s="3"/>
      <c r="D124" s="3"/>
      <c r="E124" s="3"/>
      <c r="F124" s="3"/>
      <c r="G124" s="3"/>
      <c r="H124" s="3"/>
      <c r="I124" s="3"/>
      <c r="J124" s="3"/>
      <c r="K124" s="3"/>
      <c r="L124" s="11">
        <f t="shared" si="37"/>
        <v>7</v>
      </c>
      <c r="M124" s="11">
        <f t="shared" si="35"/>
        <v>160</v>
      </c>
      <c r="N124" s="11">
        <f t="shared" si="36"/>
        <v>12.461571927651612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-8.2939414517803574</v>
      </c>
      <c r="C126" s="107">
        <v>-4.6253003761591289</v>
      </c>
      <c r="D126" s="107">
        <v>-2.1527595029960929</v>
      </c>
      <c r="E126" s="107">
        <v>3.6265612423716375E-3</v>
      </c>
      <c r="F126" s="107">
        <v>2.6169066889985411</v>
      </c>
      <c r="G126" s="107">
        <v>7.588289368654304</v>
      </c>
      <c r="H126" s="107">
        <v>12.461571927651612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10712.193864333402</v>
      </c>
      <c r="C131" s="27">
        <f t="shared" ref="C131:AF131" si="40">($C$17+SUM(C132:C162))*$B$51</f>
        <v>10712.171488624901</v>
      </c>
      <c r="D131" s="27">
        <f t="shared" si="40"/>
        <v>10711.947799618678</v>
      </c>
      <c r="E131" s="27">
        <f t="shared" si="40"/>
        <v>10709.717693399325</v>
      </c>
      <c r="F131" s="27">
        <f t="shared" si="40"/>
        <v>10688.080816313215</v>
      </c>
      <c r="G131" s="27">
        <f t="shared" si="40"/>
        <v>10525.947830901086</v>
      </c>
      <c r="H131" s="27">
        <f t="shared" si="40"/>
        <v>10253.896870026547</v>
      </c>
      <c r="I131" s="27">
        <f t="shared" si="40"/>
        <v>10057.078879016975</v>
      </c>
      <c r="J131" s="27">
        <f t="shared" si="40"/>
        <v>9799.7962353863459</v>
      </c>
      <c r="K131" s="27">
        <f t="shared" si="40"/>
        <v>9525.76270653557</v>
      </c>
      <c r="L131" s="27">
        <f t="shared" si="40"/>
        <v>9277.0933671289858</v>
      </c>
      <c r="M131" s="27">
        <f t="shared" si="40"/>
        <v>9004.1623811486261</v>
      </c>
      <c r="N131" s="27">
        <f t="shared" si="40"/>
        <v>8692.6331684742181</v>
      </c>
      <c r="O131" s="27">
        <f t="shared" si="40"/>
        <v>8324.6415640862378</v>
      </c>
      <c r="P131" s="27">
        <f t="shared" si="40"/>
        <v>7976.1642860927359</v>
      </c>
      <c r="Q131" s="27">
        <f t="shared" si="40"/>
        <v>7689.7979041748094</v>
      </c>
      <c r="R131" s="27">
        <f t="shared" si="40"/>
        <v>7415.9957552970463</v>
      </c>
      <c r="S131" s="27">
        <f t="shared" si="40"/>
        <v>7128.2625843785409</v>
      </c>
      <c r="T131" s="27">
        <f t="shared" si="40"/>
        <v>6852.0045358342459</v>
      </c>
      <c r="U131" s="27">
        <f t="shared" si="40"/>
        <v>6550.4257757563237</v>
      </c>
      <c r="V131" s="27">
        <f t="shared" si="40"/>
        <v>6127.9642870559092</v>
      </c>
      <c r="W131" s="27">
        <f t="shared" si="40"/>
        <v>5296.5719093812259</v>
      </c>
      <c r="X131" s="27">
        <f t="shared" si="40"/>
        <v>4280.0771631926655</v>
      </c>
      <c r="Y131" s="27">
        <f t="shared" si="40"/>
        <v>3394.876956560197</v>
      </c>
      <c r="Z131" s="27">
        <f t="shared" si="40"/>
        <v>2652.8391906699208</v>
      </c>
      <c r="AA131" s="27">
        <f t="shared" si="40"/>
        <v>2091.8999411074133</v>
      </c>
      <c r="AB131" s="27">
        <f t="shared" si="40"/>
        <v>1438.4935442863371</v>
      </c>
      <c r="AC131" s="27">
        <f t="shared" si="40"/>
        <v>1032.2258467341987</v>
      </c>
      <c r="AD131" s="27">
        <f t="shared" si="40"/>
        <v>707.4107588509861</v>
      </c>
      <c r="AE131" s="27">
        <f t="shared" si="40"/>
        <v>550.71973839757152</v>
      </c>
      <c r="AF131" s="27">
        <f t="shared" si="40"/>
        <v>458.58664286088208</v>
      </c>
    </row>
    <row r="132" spans="1:33" x14ac:dyDescent="0.25">
      <c r="B132" s="3">
        <f t="shared" ref="B132:Z133" si="41">$C18*EXP(-B$129/$A18/EXP(-$B$126))</f>
        <v>8.4236672073051727E-13</v>
      </c>
      <c r="C132" s="3">
        <f t="shared" ref="C132:AF132" si="42">$C18*EXP(-C$129/$A18/EXP(-$B$126))</f>
        <v>1.58004859036981E-110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3.2502714571724739E-2</v>
      </c>
      <c r="C133" s="3">
        <f t="shared" si="41"/>
        <v>3.250084113714647E-2</v>
      </c>
      <c r="D133" s="3">
        <f t="shared" si="41"/>
        <v>3.248211272942985E-2</v>
      </c>
      <c r="E133" s="3">
        <f t="shared" si="41"/>
        <v>3.2295421194397614E-2</v>
      </c>
      <c r="F133" s="3">
        <f t="shared" si="41"/>
        <v>3.0486515580982254E-2</v>
      </c>
      <c r="G133" s="3">
        <f t="shared" si="41"/>
        <v>1.7130741471538743E-2</v>
      </c>
      <c r="H133" s="3">
        <f t="shared" si="41"/>
        <v>5.3760075548458081E-5</v>
      </c>
      <c r="I133" s="3">
        <f t="shared" si="41"/>
        <v>4.9807754656018721E-30</v>
      </c>
      <c r="J133" s="3">
        <f t="shared" si="41"/>
        <v>2.3209613126850885E-280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1.478342023773409E-2</v>
      </c>
      <c r="C134" s="3">
        <f t="shared" si="44"/>
        <v>1.4783343368633683E-2</v>
      </c>
      <c r="D134" s="3">
        <f t="shared" si="44"/>
        <v>1.47825746996125E-2</v>
      </c>
      <c r="E134" s="3">
        <f t="shared" si="44"/>
        <v>1.4774890207265801E-2</v>
      </c>
      <c r="F134" s="3">
        <f t="shared" si="44"/>
        <v>1.4698264648055232E-2</v>
      </c>
      <c r="G134" s="3">
        <f t="shared" si="44"/>
        <v>1.3953529254931598E-2</v>
      </c>
      <c r="H134" s="3">
        <f t="shared" si="44"/>
        <v>8.295911535614384E-3</v>
      </c>
      <c r="I134" s="3">
        <f t="shared" si="44"/>
        <v>4.5778816647845526E-5</v>
      </c>
      <c r="J134" s="3">
        <f t="shared" si="44"/>
        <v>1.1985856180957584E-27</v>
      </c>
      <c r="K134" s="3">
        <f t="shared" si="44"/>
        <v>1.8143207282740642E-253</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2.184329635106971E-2</v>
      </c>
      <c r="C135" s="3">
        <f t="shared" si="47"/>
        <v>2.1843286105345246E-2</v>
      </c>
      <c r="D135" s="3">
        <f t="shared" si="47"/>
        <v>2.1843183648364944E-2</v>
      </c>
      <c r="E135" s="3">
        <f t="shared" si="47"/>
        <v>2.1842159104993396E-2</v>
      </c>
      <c r="F135" s="3">
        <f t="shared" si="47"/>
        <v>2.1831916313968639E-2</v>
      </c>
      <c r="G135" s="3">
        <f t="shared" si="47"/>
        <v>2.1729752214726498E-2</v>
      </c>
      <c r="H135" s="3">
        <f t="shared" si="47"/>
        <v>2.0734040164695218E-2</v>
      </c>
      <c r="I135" s="3">
        <f t="shared" si="47"/>
        <v>1.2971062431830535E-2</v>
      </c>
      <c r="J135" s="3">
        <f t="shared" si="47"/>
        <v>1.1909449616745042E-4</v>
      </c>
      <c r="K135" s="3">
        <f t="shared" si="47"/>
        <v>5.0705271142455952E-25</v>
      </c>
      <c r="L135" s="3">
        <f t="shared" si="47"/>
        <v>9.9235551797395212E-229</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2.6598405197644049E-2</v>
      </c>
      <c r="C136" s="3">
        <f t="shared" si="49"/>
        <v>2.6598404072192567E-2</v>
      </c>
      <c r="D136" s="3">
        <f t="shared" si="49"/>
        <v>2.6598392817680415E-2</v>
      </c>
      <c r="E136" s="3">
        <f t="shared" si="49"/>
        <v>2.6598280272820778E-2</v>
      </c>
      <c r="F136" s="3">
        <f t="shared" si="49"/>
        <v>2.6597154850415465E-2</v>
      </c>
      <c r="G136" s="3">
        <f t="shared" si="49"/>
        <v>2.6585903245058537E-2</v>
      </c>
      <c r="H136" s="3">
        <f t="shared" si="49"/>
        <v>2.6473648651598038E-2</v>
      </c>
      <c r="I136" s="3">
        <f t="shared" si="49"/>
        <v>2.5376843984938429E-2</v>
      </c>
      <c r="J136" s="3">
        <f t="shared" si="49"/>
        <v>1.6621709918950719E-2</v>
      </c>
      <c r="K136" s="3">
        <f t="shared" si="49"/>
        <v>2.4157755952623384E-4</v>
      </c>
      <c r="L136" s="3">
        <f t="shared" si="49"/>
        <v>1.0159340072307151E-22</v>
      </c>
      <c r="M136" s="3">
        <f t="shared" si="49"/>
        <v>1.7577397852501081E-206</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2.1793095907536416E-2</v>
      </c>
      <c r="C137" s="3">
        <f t="shared" si="51"/>
        <v>2.1793095824353011E-2</v>
      </c>
      <c r="D137" s="3">
        <f t="shared" si="51"/>
        <v>2.1793094992518951E-2</v>
      </c>
      <c r="E137" s="3">
        <f t="shared" si="51"/>
        <v>2.1793086674180111E-2</v>
      </c>
      <c r="F137" s="3">
        <f t="shared" si="51"/>
        <v>2.1793003490966339E-2</v>
      </c>
      <c r="G137" s="3">
        <f t="shared" si="51"/>
        <v>2.1792171676291251E-2</v>
      </c>
      <c r="H137" s="3">
        <f t="shared" si="51"/>
        <v>2.1783855275559642E-2</v>
      </c>
      <c r="I137" s="3">
        <f t="shared" si="51"/>
        <v>2.1700865623834453E-2</v>
      </c>
      <c r="J137" s="3">
        <f t="shared" si="51"/>
        <v>2.0888160921327156E-2</v>
      </c>
      <c r="K137" s="3">
        <f t="shared" si="51"/>
        <v>1.4260398881219783E-2</v>
      </c>
      <c r="L137" s="3">
        <f t="shared" si="51"/>
        <v>3.1365077271344299E-4</v>
      </c>
      <c r="M137" s="3">
        <f t="shared" si="51"/>
        <v>8.309851166282457E-21</v>
      </c>
      <c r="N137" s="3">
        <f t="shared" si="51"/>
        <v>1.4159961792241995E-186</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2.3921660762643578E-2</v>
      </c>
      <c r="C138" s="3">
        <f t="shared" si="53"/>
        <v>2.3921660754406833E-2</v>
      </c>
      <c r="D138" s="3">
        <f t="shared" si="53"/>
        <v>2.3921660672039366E-2</v>
      </c>
      <c r="E138" s="3">
        <f t="shared" si="53"/>
        <v>2.3921659848364744E-2</v>
      </c>
      <c r="F138" s="3">
        <f t="shared" si="53"/>
        <v>2.3921651611620048E-2</v>
      </c>
      <c r="G138" s="3">
        <f t="shared" si="53"/>
        <v>2.3921569244329085E-2</v>
      </c>
      <c r="H138" s="3">
        <f t="shared" si="53"/>
        <v>2.3920745587017726E-2</v>
      </c>
      <c r="I138" s="3">
        <f t="shared" si="53"/>
        <v>2.391251057353307E-2</v>
      </c>
      <c r="J138" s="3">
        <f t="shared" si="53"/>
        <v>2.3830316203066276E-2</v>
      </c>
      <c r="K138" s="3">
        <f t="shared" si="53"/>
        <v>2.3023752308496355E-2</v>
      </c>
      <c r="L138" s="3">
        <f t="shared" si="53"/>
        <v>1.631695435780766E-2</v>
      </c>
      <c r="M138" s="3">
        <f t="shared" si="53"/>
        <v>5.2151768652256611E-4</v>
      </c>
      <c r="N138" s="3">
        <f t="shared" si="53"/>
        <v>5.8018763542219327E-19</v>
      </c>
      <c r="O138" s="3">
        <f t="shared" si="53"/>
        <v>1.6848558337165725E-168</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2.6315529169721338E-2</v>
      </c>
      <c r="C139" s="3">
        <f t="shared" si="55"/>
        <v>2.6315529168903961E-2</v>
      </c>
      <c r="D139" s="3">
        <f t="shared" si="55"/>
        <v>2.6315529160730176E-2</v>
      </c>
      <c r="E139" s="3">
        <f t="shared" si="55"/>
        <v>2.6315529078992355E-2</v>
      </c>
      <c r="F139" s="3">
        <f t="shared" si="55"/>
        <v>2.6315528261614138E-2</v>
      </c>
      <c r="G139" s="3">
        <f t="shared" si="55"/>
        <v>2.6315520087833374E-2</v>
      </c>
      <c r="H139" s="3">
        <f t="shared" si="55"/>
        <v>2.6315438350165372E-2</v>
      </c>
      <c r="I139" s="3">
        <f t="shared" si="55"/>
        <v>2.6314620987448727E-2</v>
      </c>
      <c r="J139" s="3">
        <f t="shared" si="55"/>
        <v>2.6306448756461796E-2</v>
      </c>
      <c r="K139" s="3">
        <f t="shared" si="55"/>
        <v>2.6224865904221854E-2</v>
      </c>
      <c r="L139" s="3">
        <f t="shared" si="55"/>
        <v>2.5422824196616397E-2</v>
      </c>
      <c r="M139" s="3">
        <f t="shared" si="55"/>
        <v>1.8634981880255776E-2</v>
      </c>
      <c r="N139" s="3">
        <f t="shared" si="55"/>
        <v>8.3441245949131639E-4</v>
      </c>
      <c r="O139" s="3">
        <f t="shared" si="55"/>
        <v>2.7033285814513425E-17</v>
      </c>
      <c r="P139" s="3">
        <f t="shared" si="55"/>
        <v>3.4441288705488852E-152</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3.4157201972404266E-2</v>
      </c>
      <c r="C140" s="3">
        <f t="shared" si="57"/>
        <v>3.4157201972308558E-2</v>
      </c>
      <c r="D140" s="3">
        <f t="shared" si="57"/>
        <v>3.4157201971351497E-2</v>
      </c>
      <c r="E140" s="3">
        <f t="shared" si="57"/>
        <v>3.4157201961780882E-2</v>
      </c>
      <c r="F140" s="3">
        <f t="shared" si="57"/>
        <v>3.4157201866074731E-2</v>
      </c>
      <c r="G140" s="3">
        <f t="shared" si="57"/>
        <v>3.4157200909013266E-2</v>
      </c>
      <c r="H140" s="3">
        <f t="shared" si="57"/>
        <v>3.4157191338400068E-2</v>
      </c>
      <c r="I140" s="3">
        <f t="shared" si="57"/>
        <v>3.4157095632415618E-2</v>
      </c>
      <c r="J140" s="3">
        <f t="shared" si="57"/>
        <v>3.41561385873198E-2</v>
      </c>
      <c r="K140" s="3">
        <f t="shared" si="57"/>
        <v>3.4146569611083297E-2</v>
      </c>
      <c r="L140" s="3">
        <f t="shared" si="57"/>
        <v>3.4051027168110232E-2</v>
      </c>
      <c r="M140" s="3">
        <f t="shared" si="57"/>
        <v>3.311018308730225E-2</v>
      </c>
      <c r="N140" s="3">
        <f t="shared" si="57"/>
        <v>2.5019304509750429E-2</v>
      </c>
      <c r="O140" s="3">
        <f t="shared" si="57"/>
        <v>1.5184893135374124E-3</v>
      </c>
      <c r="P140" s="3">
        <f t="shared" si="57"/>
        <v>1.0298567251365025E-15</v>
      </c>
      <c r="Q140" s="3">
        <f t="shared" si="57"/>
        <v>2.1204474010456413E-137</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3.3563265451216115E-2</v>
      </c>
      <c r="C141" s="3">
        <f t="shared" si="59"/>
        <v>3.3563265451207629E-2</v>
      </c>
      <c r="D141" s="3">
        <f t="shared" si="59"/>
        <v>3.3563265451122801E-2</v>
      </c>
      <c r="E141" s="3">
        <f t="shared" si="59"/>
        <v>3.3563265450274458E-2</v>
      </c>
      <c r="F141" s="3">
        <f t="shared" si="59"/>
        <v>3.3563265441791092E-2</v>
      </c>
      <c r="G141" s="3">
        <f t="shared" si="59"/>
        <v>3.3563265356957403E-2</v>
      </c>
      <c r="H141" s="3">
        <f t="shared" si="59"/>
        <v>3.3563264508620537E-2</v>
      </c>
      <c r="I141" s="3">
        <f t="shared" si="59"/>
        <v>3.3563256025253008E-2</v>
      </c>
      <c r="J141" s="3">
        <f t="shared" si="59"/>
        <v>3.3563171191695676E-2</v>
      </c>
      <c r="K141" s="3">
        <f t="shared" si="59"/>
        <v>3.3562322867915564E-2</v>
      </c>
      <c r="L141" s="3">
        <f t="shared" si="59"/>
        <v>3.3553840809321465E-2</v>
      </c>
      <c r="M141" s="3">
        <f t="shared" si="59"/>
        <v>3.3469138033876453E-2</v>
      </c>
      <c r="N141" s="3">
        <f t="shared" si="59"/>
        <v>3.2633781893239268E-2</v>
      </c>
      <c r="O141" s="3">
        <f t="shared" si="59"/>
        <v>2.5345227639383024E-2</v>
      </c>
      <c r="P141" s="3">
        <f t="shared" si="59"/>
        <v>2.0238768938636719E-3</v>
      </c>
      <c r="Q141" s="3">
        <f t="shared" si="59"/>
        <v>2.1333546163186163E-14</v>
      </c>
      <c r="R141" s="3">
        <f t="shared" si="59"/>
        <v>3.6128726168888039E-124</v>
      </c>
      <c r="S141" s="3">
        <f t="shared" si="59"/>
        <v>0</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2.5958709058904343E-2</v>
      </c>
      <c r="C142" s="3">
        <f t="shared" si="61"/>
        <v>2.5958709058903753E-2</v>
      </c>
      <c r="D142" s="3">
        <f t="shared" si="61"/>
        <v>2.5958709058897831E-2</v>
      </c>
      <c r="E142" s="3">
        <f t="shared" si="61"/>
        <v>2.5958709058838646E-2</v>
      </c>
      <c r="F142" s="3">
        <f t="shared" si="61"/>
        <v>2.5958709058246765E-2</v>
      </c>
      <c r="G142" s="3">
        <f t="shared" si="61"/>
        <v>2.5958709052327961E-2</v>
      </c>
      <c r="H142" s="3">
        <f t="shared" si="61"/>
        <v>2.5958708993139939E-2</v>
      </c>
      <c r="I142" s="3">
        <f t="shared" si="61"/>
        <v>2.5958708401259734E-2</v>
      </c>
      <c r="J142" s="3">
        <f t="shared" si="61"/>
        <v>2.59587024824584E-2</v>
      </c>
      <c r="K142" s="3">
        <f t="shared" si="61"/>
        <v>2.595864329451927E-2</v>
      </c>
      <c r="L142" s="3">
        <f t="shared" si="61"/>
        <v>2.595805142255039E-2</v>
      </c>
      <c r="M142" s="3">
        <f t="shared" si="61"/>
        <v>2.5952133445036961E-2</v>
      </c>
      <c r="N142" s="3">
        <f t="shared" si="61"/>
        <v>2.5893027824865515E-2</v>
      </c>
      <c r="O142" s="3">
        <f t="shared" si="61"/>
        <v>2.5309324939736526E-2</v>
      </c>
      <c r="P142" s="3">
        <f t="shared" si="61"/>
        <v>2.0149199540571608E-2</v>
      </c>
      <c r="Q142" s="3">
        <f t="shared" si="61"/>
        <v>2.0607730163606959E-3</v>
      </c>
      <c r="R142" s="3">
        <f t="shared" si="61"/>
        <v>2.5807965666507927E-13</v>
      </c>
      <c r="S142" s="3">
        <f t="shared" si="61"/>
        <v>2.4490063105890239E-112</v>
      </c>
      <c r="T142" s="3">
        <f t="shared" si="61"/>
        <v>0</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2.4505487924861569E-2</v>
      </c>
      <c r="C143" s="3">
        <f t="shared" si="63"/>
        <v>2.450548792486152E-2</v>
      </c>
      <c r="D143" s="3">
        <f t="shared" si="63"/>
        <v>2.4505487924861014E-2</v>
      </c>
      <c r="E143" s="3">
        <f t="shared" si="63"/>
        <v>2.4505487924855976E-2</v>
      </c>
      <c r="F143" s="3">
        <f t="shared" si="63"/>
        <v>2.4505487924805572E-2</v>
      </c>
      <c r="G143" s="3">
        <f t="shared" si="63"/>
        <v>2.4505487924301537E-2</v>
      </c>
      <c r="H143" s="3">
        <f t="shared" si="63"/>
        <v>2.4505487919261187E-2</v>
      </c>
      <c r="I143" s="3">
        <f t="shared" si="63"/>
        <v>2.450548786885769E-2</v>
      </c>
      <c r="J143" s="3">
        <f t="shared" si="63"/>
        <v>2.4505487364822713E-2</v>
      </c>
      <c r="K143" s="3">
        <f t="shared" si="63"/>
        <v>2.4505482324473547E-2</v>
      </c>
      <c r="L143" s="3">
        <f t="shared" si="63"/>
        <v>2.4505431921038878E-2</v>
      </c>
      <c r="M143" s="3">
        <f t="shared" si="63"/>
        <v>2.4504927892394088E-2</v>
      </c>
      <c r="N143" s="3">
        <f t="shared" si="63"/>
        <v>2.4499888176089394E-2</v>
      </c>
      <c r="O143" s="3">
        <f t="shared" si="63"/>
        <v>2.4449547983999481E-2</v>
      </c>
      <c r="P143" s="3">
        <f t="shared" si="63"/>
        <v>2.3951800039972358E-2</v>
      </c>
      <c r="Q143" s="3">
        <f t="shared" si="63"/>
        <v>1.9498957218717722E-2</v>
      </c>
      <c r="R143" s="3">
        <f t="shared" si="63"/>
        <v>2.4931228396744202E-3</v>
      </c>
      <c r="S143" s="3">
        <f t="shared" si="63"/>
        <v>2.9111634258593654E-12</v>
      </c>
      <c r="T143" s="3">
        <f t="shared" si="63"/>
        <v>1.3718154096685246E-101</v>
      </c>
      <c r="U143" s="3">
        <f t="shared" si="63"/>
        <v>0</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2.7040912958719819E-2</v>
      </c>
      <c r="C144" s="3">
        <f t="shared" si="65"/>
        <v>2.7040912958719812E-2</v>
      </c>
      <c r="D144" s="3">
        <f t="shared" si="65"/>
        <v>2.7040912958719764E-2</v>
      </c>
      <c r="E144" s="3">
        <f t="shared" si="65"/>
        <v>2.7040912958719261E-2</v>
      </c>
      <c r="F144" s="3">
        <f t="shared" si="65"/>
        <v>2.7040912958714244E-2</v>
      </c>
      <c r="G144" s="3">
        <f t="shared" si="65"/>
        <v>2.7040912958664072E-2</v>
      </c>
      <c r="H144" s="3">
        <f t="shared" si="65"/>
        <v>2.7040912958162348E-2</v>
      </c>
      <c r="I144" s="3">
        <f t="shared" si="65"/>
        <v>2.7040912953145105E-2</v>
      </c>
      <c r="J144" s="3">
        <f t="shared" si="65"/>
        <v>2.7040912902972659E-2</v>
      </c>
      <c r="K144" s="3">
        <f t="shared" si="65"/>
        <v>2.7040912401248215E-2</v>
      </c>
      <c r="L144" s="3">
        <f t="shared" si="65"/>
        <v>2.7040907384004293E-2</v>
      </c>
      <c r="M144" s="3">
        <f t="shared" si="65"/>
        <v>2.7040857211616278E-2</v>
      </c>
      <c r="N144" s="3">
        <f t="shared" si="65"/>
        <v>2.7040355492856102E-2</v>
      </c>
      <c r="O144" s="3">
        <f t="shared" si="65"/>
        <v>2.7035338817217553E-2</v>
      </c>
      <c r="P144" s="3">
        <f t="shared" si="65"/>
        <v>2.6985223222022438E-2</v>
      </c>
      <c r="Q144" s="3">
        <f t="shared" si="65"/>
        <v>2.6489148440174127E-2</v>
      </c>
      <c r="R144" s="3">
        <f t="shared" si="65"/>
        <v>2.2003299913873901E-2</v>
      </c>
      <c r="S144" s="3">
        <f t="shared" si="65"/>
        <v>3.441010771369333E-3</v>
      </c>
      <c r="T144" s="3">
        <f t="shared" si="65"/>
        <v>3.0107047580382063E-11</v>
      </c>
      <c r="U144" s="3">
        <f t="shared" si="65"/>
        <v>7.9157038422002504E-92</v>
      </c>
      <c r="V144" s="3">
        <f t="shared" si="65"/>
        <v>0</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2.4600371351709248E-2</v>
      </c>
      <c r="C145" s="3">
        <f t="shared" si="68"/>
        <v>2.4600371351709248E-2</v>
      </c>
      <c r="D145" s="3">
        <f t="shared" si="68"/>
        <v>2.4600371351709241E-2</v>
      </c>
      <c r="E145" s="3">
        <f t="shared" si="68"/>
        <v>2.4600371351709203E-2</v>
      </c>
      <c r="F145" s="3">
        <f t="shared" si="68"/>
        <v>2.460037135170879E-2</v>
      </c>
      <c r="G145" s="3">
        <f t="shared" si="68"/>
        <v>2.4600371351704672E-2</v>
      </c>
      <c r="H145" s="3">
        <f t="shared" si="68"/>
        <v>2.4600371351663496E-2</v>
      </c>
      <c r="I145" s="3">
        <f t="shared" si="68"/>
        <v>2.4600371351251749E-2</v>
      </c>
      <c r="J145" s="3">
        <f t="shared" si="68"/>
        <v>2.4600371347134262E-2</v>
      </c>
      <c r="K145" s="3">
        <f t="shared" si="68"/>
        <v>2.46003713059594E-2</v>
      </c>
      <c r="L145" s="3">
        <f t="shared" si="68"/>
        <v>2.4600370894210768E-2</v>
      </c>
      <c r="M145" s="3">
        <f t="shared" si="68"/>
        <v>2.4600366776724839E-2</v>
      </c>
      <c r="N145" s="3">
        <f t="shared" si="68"/>
        <v>2.4600325601903419E-2</v>
      </c>
      <c r="O145" s="3">
        <f t="shared" si="68"/>
        <v>2.4599913857479651E-2</v>
      </c>
      <c r="P145" s="3">
        <f t="shared" si="68"/>
        <v>2.4595796792256132E-2</v>
      </c>
      <c r="Q145" s="3">
        <f t="shared" si="68"/>
        <v>2.4554664017979448E-2</v>
      </c>
      <c r="R145" s="3">
        <f t="shared" si="68"/>
        <v>2.4147100718373591E-2</v>
      </c>
      <c r="S145" s="3">
        <f t="shared" si="68"/>
        <v>2.0425606869982918E-2</v>
      </c>
      <c r="T145" s="3">
        <f t="shared" si="68"/>
        <v>3.8306698306591579E-3</v>
      </c>
      <c r="U145" s="3">
        <f t="shared" si="68"/>
        <v>2.0619220654773158E-10</v>
      </c>
      <c r="V145" s="3">
        <f t="shared" si="68"/>
        <v>4.2096645995968956E-83</v>
      </c>
      <c r="W145" s="3">
        <f t="shared" si="68"/>
        <v>0</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2.6294191463797297E-2</v>
      </c>
      <c r="C146" s="3">
        <f t="shared" si="70"/>
        <v>2.6294191463797297E-2</v>
      </c>
      <c r="D146" s="3">
        <f t="shared" si="70"/>
        <v>2.6294191463797297E-2</v>
      </c>
      <c r="E146" s="3">
        <f t="shared" si="70"/>
        <v>2.629419146379729E-2</v>
      </c>
      <c r="F146" s="3">
        <f t="shared" si="70"/>
        <v>2.6294191463797252E-2</v>
      </c>
      <c r="G146" s="3">
        <f t="shared" si="70"/>
        <v>2.6294191463796857E-2</v>
      </c>
      <c r="H146" s="3">
        <f t="shared" si="70"/>
        <v>2.6294191463792888E-2</v>
      </c>
      <c r="I146" s="3">
        <f t="shared" si="70"/>
        <v>2.6294191463753183E-2</v>
      </c>
      <c r="J146" s="3">
        <f t="shared" si="70"/>
        <v>2.6294191463356178E-2</v>
      </c>
      <c r="K146" s="3">
        <f t="shared" si="70"/>
        <v>2.6294191459386121E-2</v>
      </c>
      <c r="L146" s="3">
        <f t="shared" si="70"/>
        <v>2.6294191419685534E-2</v>
      </c>
      <c r="M146" s="3">
        <f t="shared" si="70"/>
        <v>2.6294191022679679E-2</v>
      </c>
      <c r="N146" s="3">
        <f t="shared" si="70"/>
        <v>2.6294187052621442E-2</v>
      </c>
      <c r="O146" s="3">
        <f t="shared" si="70"/>
        <v>2.6294147352072066E-2</v>
      </c>
      <c r="P146" s="3">
        <f t="shared" si="70"/>
        <v>2.6293750349875078E-2</v>
      </c>
      <c r="Q146" s="3">
        <f t="shared" si="70"/>
        <v>2.6289780657567874E-2</v>
      </c>
      <c r="R146" s="3">
        <f t="shared" si="70"/>
        <v>2.6250116682351721E-2</v>
      </c>
      <c r="S146" s="3">
        <f t="shared" si="70"/>
        <v>2.5856753383605283E-2</v>
      </c>
      <c r="T146" s="3">
        <f t="shared" si="70"/>
        <v>2.2233177933538389E-2</v>
      </c>
      <c r="U146" s="3">
        <f t="shared" si="70"/>
        <v>4.912211394299191E-3</v>
      </c>
      <c r="V146" s="3">
        <f t="shared" si="70"/>
        <v>1.361545292269308E-9</v>
      </c>
      <c r="W146" s="3">
        <f t="shared" si="70"/>
        <v>3.6440350032819661E-75</v>
      </c>
      <c r="X146" s="3">
        <f t="shared" si="70"/>
        <v>0</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3.2623262585065489E-2</v>
      </c>
      <c r="C147" s="3">
        <f t="shared" si="72"/>
        <v>3.2623262585065489E-2</v>
      </c>
      <c r="D147" s="3">
        <f t="shared" si="72"/>
        <v>3.2623262585065489E-2</v>
      </c>
      <c r="E147" s="3">
        <f t="shared" si="72"/>
        <v>3.2623262585065489E-2</v>
      </c>
      <c r="F147" s="3">
        <f t="shared" si="72"/>
        <v>3.2623262585065482E-2</v>
      </c>
      <c r="G147" s="3">
        <f t="shared" si="72"/>
        <v>3.2623262585065441E-2</v>
      </c>
      <c r="H147" s="3">
        <f t="shared" si="72"/>
        <v>3.2623262585064997E-2</v>
      </c>
      <c r="I147" s="3">
        <f t="shared" si="72"/>
        <v>3.2623262585060556E-2</v>
      </c>
      <c r="J147" s="3">
        <f t="shared" si="72"/>
        <v>3.2623262585016119E-2</v>
      </c>
      <c r="K147" s="3">
        <f t="shared" si="72"/>
        <v>3.262326258457178E-2</v>
      </c>
      <c r="L147" s="3">
        <f t="shared" si="72"/>
        <v>3.2623262580128425E-2</v>
      </c>
      <c r="M147" s="3">
        <f t="shared" si="72"/>
        <v>3.2623262535694871E-2</v>
      </c>
      <c r="N147" s="3">
        <f t="shared" si="72"/>
        <v>3.2623262091359302E-2</v>
      </c>
      <c r="O147" s="3">
        <f t="shared" si="72"/>
        <v>3.2623257648003993E-2</v>
      </c>
      <c r="P147" s="3">
        <f t="shared" si="72"/>
        <v>3.2623213214484158E-2</v>
      </c>
      <c r="Q147" s="3">
        <f t="shared" si="72"/>
        <v>3.2622768882614353E-2</v>
      </c>
      <c r="R147" s="3">
        <f t="shared" si="72"/>
        <v>3.2618325896754459E-2</v>
      </c>
      <c r="S147" s="3">
        <f t="shared" si="72"/>
        <v>3.2573929305206341E-2</v>
      </c>
      <c r="T147" s="3">
        <f t="shared" si="72"/>
        <v>3.2133273390854943E-2</v>
      </c>
      <c r="U147" s="3">
        <f t="shared" si="72"/>
        <v>2.804162417590958E-2</v>
      </c>
      <c r="V147" s="3">
        <f t="shared" si="72"/>
        <v>7.1826568475348278E-3</v>
      </c>
      <c r="W147" s="3">
        <f t="shared" si="72"/>
        <v>8.7318176692773323E-9</v>
      </c>
      <c r="X147" s="3">
        <f t="shared" si="72"/>
        <v>6.1560205304793727E-68</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8.8496332073838405E-2</v>
      </c>
      <c r="C148" s="3">
        <f t="shared" si="74"/>
        <v>8.8496332073838405E-2</v>
      </c>
      <c r="D148" s="3">
        <f t="shared" si="74"/>
        <v>8.8496332073838405E-2</v>
      </c>
      <c r="E148" s="3">
        <f t="shared" si="74"/>
        <v>8.8496332073838405E-2</v>
      </c>
      <c r="F148" s="3">
        <f t="shared" si="74"/>
        <v>8.8496332073838405E-2</v>
      </c>
      <c r="G148" s="3">
        <f t="shared" si="74"/>
        <v>8.8496332073838391E-2</v>
      </c>
      <c r="H148" s="3">
        <f t="shared" si="74"/>
        <v>8.8496332073838294E-2</v>
      </c>
      <c r="I148" s="3">
        <f t="shared" si="74"/>
        <v>8.8496332073837197E-2</v>
      </c>
      <c r="J148" s="3">
        <f t="shared" si="74"/>
        <v>8.8496332073826317E-2</v>
      </c>
      <c r="K148" s="3">
        <f t="shared" si="74"/>
        <v>8.8496332073717598E-2</v>
      </c>
      <c r="L148" s="3">
        <f t="shared" si="74"/>
        <v>8.8496332072630274E-2</v>
      </c>
      <c r="M148" s="3">
        <f t="shared" si="74"/>
        <v>8.8496332061757124E-2</v>
      </c>
      <c r="N148" s="3">
        <f t="shared" si="74"/>
        <v>8.8496331953025587E-2</v>
      </c>
      <c r="O148" s="3">
        <f t="shared" si="74"/>
        <v>8.8496330865710154E-2</v>
      </c>
      <c r="P148" s="3">
        <f t="shared" si="74"/>
        <v>8.8496319992556735E-2</v>
      </c>
      <c r="Q148" s="3">
        <f t="shared" si="74"/>
        <v>8.84962112610959E-2</v>
      </c>
      <c r="R148" s="3">
        <f t="shared" si="74"/>
        <v>8.8495123953835214E-2</v>
      </c>
      <c r="S148" s="3">
        <f t="shared" si="74"/>
        <v>8.8484251615956397E-2</v>
      </c>
      <c r="T148" s="3">
        <f t="shared" si="74"/>
        <v>8.8375601676576349E-2</v>
      </c>
      <c r="U148" s="3">
        <f t="shared" si="74"/>
        <v>8.7296412947285892E-2</v>
      </c>
      <c r="V148" s="3">
        <f t="shared" si="74"/>
        <v>7.7203421886631735E-2</v>
      </c>
      <c r="W148" s="3">
        <f t="shared" si="74"/>
        <v>2.2596338030327175E-2</v>
      </c>
      <c r="X148" s="3">
        <f t="shared" si="74"/>
        <v>1.0424451005395679E-7</v>
      </c>
      <c r="Y148" s="3">
        <f t="shared" si="74"/>
        <v>4.5520234229512346E-61</v>
      </c>
      <c r="Z148" s="3">
        <f t="shared" si="74"/>
        <v>0</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9.9309249865316016E-2</v>
      </c>
      <c r="C149" s="3">
        <f t="shared" si="75"/>
        <v>9.9309249865316016E-2</v>
      </c>
      <c r="D149" s="3">
        <f t="shared" si="75"/>
        <v>9.9309249865316016E-2</v>
      </c>
      <c r="E149" s="3">
        <f t="shared" si="75"/>
        <v>9.9309249865316016E-2</v>
      </c>
      <c r="F149" s="3">
        <f t="shared" si="75"/>
        <v>9.9309249865316016E-2</v>
      </c>
      <c r="G149" s="3">
        <f t="shared" si="75"/>
        <v>9.9309249865316016E-2</v>
      </c>
      <c r="H149" s="3">
        <f t="shared" si="75"/>
        <v>9.9309249865316002E-2</v>
      </c>
      <c r="I149" s="3">
        <f t="shared" si="75"/>
        <v>9.9309249865315891E-2</v>
      </c>
      <c r="J149" s="3">
        <f t="shared" si="75"/>
        <v>9.9309249865314794E-2</v>
      </c>
      <c r="K149" s="3">
        <f t="shared" si="75"/>
        <v>9.9309249865303789E-2</v>
      </c>
      <c r="L149" s="3">
        <f t="shared" si="75"/>
        <v>9.9309249865193724E-2</v>
      </c>
      <c r="M149" s="3">
        <f t="shared" si="75"/>
        <v>9.9309249864093022E-2</v>
      </c>
      <c r="N149" s="3">
        <f t="shared" si="75"/>
        <v>9.930924985308609E-2</v>
      </c>
      <c r="O149" s="3">
        <f t="shared" si="75"/>
        <v>9.9309249743016692E-2</v>
      </c>
      <c r="P149" s="3">
        <f t="shared" si="75"/>
        <v>9.9309248642322767E-2</v>
      </c>
      <c r="Q149" s="3">
        <f t="shared" si="75"/>
        <v>9.930923763538424E-2</v>
      </c>
      <c r="R149" s="3">
        <f t="shared" si="75"/>
        <v>9.9309127566066011E-2</v>
      </c>
      <c r="S149" s="3">
        <f t="shared" si="75"/>
        <v>9.9308026879593489E-2</v>
      </c>
      <c r="T149" s="3">
        <f t="shared" si="75"/>
        <v>9.9297020685812351E-2</v>
      </c>
      <c r="U149" s="3">
        <f t="shared" si="75"/>
        <v>9.9187025814904656E-2</v>
      </c>
      <c r="V149" s="3">
        <f t="shared" si="75"/>
        <v>9.8093756374129412E-2</v>
      </c>
      <c r="W149" s="3">
        <f t="shared" si="75"/>
        <v>8.7802391071699765E-2</v>
      </c>
      <c r="X149" s="3">
        <f t="shared" si="75"/>
        <v>2.8983852876127862E-2</v>
      </c>
      <c r="Y149" s="3">
        <f t="shared" si="75"/>
        <v>4.4530118640156536E-7</v>
      </c>
      <c r="Z149" s="3">
        <f t="shared" si="75"/>
        <v>3.2631062046665249E-55</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7.4938076557470937E-2</v>
      </c>
      <c r="C150" s="3">
        <f t="shared" si="77"/>
        <v>7.4938076557470937E-2</v>
      </c>
      <c r="D150" s="3">
        <f t="shared" si="77"/>
        <v>7.4938076557470937E-2</v>
      </c>
      <c r="E150" s="3">
        <f t="shared" si="77"/>
        <v>7.4938076557470937E-2</v>
      </c>
      <c r="F150" s="3">
        <f t="shared" si="77"/>
        <v>7.4938076557470937E-2</v>
      </c>
      <c r="G150" s="3">
        <f t="shared" si="77"/>
        <v>7.4938076557470937E-2</v>
      </c>
      <c r="H150" s="3">
        <f t="shared" si="77"/>
        <v>7.4938076557470937E-2</v>
      </c>
      <c r="I150" s="3">
        <f t="shared" si="77"/>
        <v>7.4938076557470923E-2</v>
      </c>
      <c r="J150" s="3">
        <f t="shared" si="77"/>
        <v>7.4938076557470854E-2</v>
      </c>
      <c r="K150" s="3">
        <f t="shared" si="77"/>
        <v>7.4938076557470104E-2</v>
      </c>
      <c r="L150" s="3">
        <f t="shared" si="77"/>
        <v>7.493807655746261E-2</v>
      </c>
      <c r="M150" s="3">
        <f t="shared" si="77"/>
        <v>7.4938076557387684E-2</v>
      </c>
      <c r="N150" s="3">
        <f t="shared" si="77"/>
        <v>7.4938076556638436E-2</v>
      </c>
      <c r="O150" s="3">
        <f t="shared" si="77"/>
        <v>7.4938076549145943E-2</v>
      </c>
      <c r="P150" s="3">
        <f t="shared" si="77"/>
        <v>7.4938076474221071E-2</v>
      </c>
      <c r="Q150" s="3">
        <f t="shared" si="77"/>
        <v>7.4938075724972381E-2</v>
      </c>
      <c r="R150" s="3">
        <f t="shared" si="77"/>
        <v>7.4938068232485777E-2</v>
      </c>
      <c r="S150" s="3">
        <f t="shared" si="77"/>
        <v>7.4937993307660891E-2</v>
      </c>
      <c r="T150" s="3">
        <f t="shared" si="77"/>
        <v>7.4937244063532235E-2</v>
      </c>
      <c r="U150" s="3">
        <f t="shared" si="77"/>
        <v>7.4929752034242861E-2</v>
      </c>
      <c r="V150" s="3">
        <f t="shared" si="77"/>
        <v>7.4854872925835467E-2</v>
      </c>
      <c r="W150" s="3">
        <f t="shared" si="77"/>
        <v>7.4110185095475151E-2</v>
      </c>
      <c r="X150" s="3">
        <f t="shared" si="77"/>
        <v>6.7058850260505093E-2</v>
      </c>
      <c r="Y150" s="3">
        <f t="shared" si="77"/>
        <v>2.4673920117197878E-2</v>
      </c>
      <c r="Z150" s="3">
        <f t="shared" si="77"/>
        <v>1.1221700335859222E-6</v>
      </c>
      <c r="AA150" s="3">
        <f t="shared" ref="AA150" si="78">$C36*EXP(-AA$129/$A36/EXP(-$B$126))</f>
        <v>4.248775605122429E-50</v>
      </c>
      <c r="AB150" s="3">
        <f t="shared" si="67"/>
        <v>0</v>
      </c>
      <c r="AC150" s="3">
        <f t="shared" si="67"/>
        <v>0</v>
      </c>
      <c r="AD150" s="3">
        <f t="shared" si="67"/>
        <v>0</v>
      </c>
      <c r="AE150" s="3">
        <f t="shared" si="67"/>
        <v>0</v>
      </c>
      <c r="AF150" s="3">
        <f t="shared" si="67"/>
        <v>0</v>
      </c>
    </row>
    <row r="151" spans="1:32" x14ac:dyDescent="0.25">
      <c r="B151" s="3">
        <f t="shared" ref="B151:Z151" si="79">$C37*EXP(-B$129/$A37/EXP(-$B$126))</f>
        <v>6.9322857874701022E-2</v>
      </c>
      <c r="C151" s="3">
        <f t="shared" si="79"/>
        <v>6.9322857874701022E-2</v>
      </c>
      <c r="D151" s="3">
        <f t="shared" si="79"/>
        <v>6.9322857874701022E-2</v>
      </c>
      <c r="E151" s="3">
        <f t="shared" si="79"/>
        <v>6.9322857874701022E-2</v>
      </c>
      <c r="F151" s="3">
        <f t="shared" si="79"/>
        <v>6.9322857874701022E-2</v>
      </c>
      <c r="G151" s="3">
        <f t="shared" si="79"/>
        <v>6.9322857874701022E-2</v>
      </c>
      <c r="H151" s="3">
        <f t="shared" si="79"/>
        <v>6.9322857874701022E-2</v>
      </c>
      <c r="I151" s="3">
        <f t="shared" si="79"/>
        <v>6.9322857874701022E-2</v>
      </c>
      <c r="J151" s="3">
        <f t="shared" si="79"/>
        <v>6.9322857874701008E-2</v>
      </c>
      <c r="K151" s="3">
        <f t="shared" si="79"/>
        <v>6.9322857874700952E-2</v>
      </c>
      <c r="L151" s="3">
        <f t="shared" si="79"/>
        <v>6.9322857874700328E-2</v>
      </c>
      <c r="M151" s="3">
        <f t="shared" si="79"/>
        <v>6.9322857874694069E-2</v>
      </c>
      <c r="N151" s="3">
        <f t="shared" si="79"/>
        <v>6.9322857874631549E-2</v>
      </c>
      <c r="O151" s="3">
        <f t="shared" si="79"/>
        <v>6.9322857874006313E-2</v>
      </c>
      <c r="P151" s="3">
        <f t="shared" si="79"/>
        <v>6.9322857867753912E-2</v>
      </c>
      <c r="Q151" s="3">
        <f t="shared" si="79"/>
        <v>6.9322857805229954E-2</v>
      </c>
      <c r="R151" s="3">
        <f t="shared" si="79"/>
        <v>6.9322857179990302E-2</v>
      </c>
      <c r="S151" s="3">
        <f t="shared" si="79"/>
        <v>6.9322850927594173E-2</v>
      </c>
      <c r="T151" s="3">
        <f t="shared" si="79"/>
        <v>6.9322788403663904E-2</v>
      </c>
      <c r="U151" s="3">
        <f t="shared" si="79"/>
        <v>6.932216316746273E-2</v>
      </c>
      <c r="V151" s="3">
        <f t="shared" si="79"/>
        <v>6.931591111559475E-2</v>
      </c>
      <c r="W151" s="3">
        <f t="shared" si="79"/>
        <v>6.925342160095066E-2</v>
      </c>
      <c r="X151" s="3">
        <f t="shared" si="79"/>
        <v>6.8631616536576665E-2</v>
      </c>
      <c r="Y151" s="3">
        <f t="shared" si="79"/>
        <v>6.2712506201758056E-2</v>
      </c>
      <c r="Z151" s="3">
        <f t="shared" si="79"/>
        <v>2.544798755905562E-2</v>
      </c>
      <c r="AA151" s="3">
        <f t="shared" ref="AA151" si="80">$C37*EXP(-AA$129/$A37/EXP(-$B$126))</f>
        <v>3.0806780326391778E-6</v>
      </c>
      <c r="AB151" s="3">
        <f t="shared" si="67"/>
        <v>2.0824519607581232E-45</v>
      </c>
      <c r="AC151" s="3">
        <f t="shared" si="67"/>
        <v>0</v>
      </c>
      <c r="AD151" s="3">
        <f t="shared" si="67"/>
        <v>0</v>
      </c>
      <c r="AE151" s="3">
        <f t="shared" si="67"/>
        <v>0</v>
      </c>
      <c r="AF151" s="3">
        <f t="shared" si="67"/>
        <v>0</v>
      </c>
    </row>
    <row r="152" spans="1:32" x14ac:dyDescent="0.25">
      <c r="B152" s="3">
        <f t="shared" ref="B152:Z152" si="81">$C38*EXP(-B$129/$A38/EXP(-$B$126))</f>
        <v>2.2465875921068256E-2</v>
      </c>
      <c r="C152" s="3">
        <f t="shared" si="81"/>
        <v>2.2465875921068256E-2</v>
      </c>
      <c r="D152" s="3">
        <f t="shared" si="81"/>
        <v>2.2465875921068256E-2</v>
      </c>
      <c r="E152" s="3">
        <f t="shared" si="81"/>
        <v>2.2465875921068256E-2</v>
      </c>
      <c r="F152" s="3">
        <f t="shared" si="81"/>
        <v>2.2465875921068256E-2</v>
      </c>
      <c r="G152" s="3">
        <f t="shared" si="81"/>
        <v>2.2465875921068256E-2</v>
      </c>
      <c r="H152" s="3">
        <f t="shared" si="81"/>
        <v>2.2465875921068256E-2</v>
      </c>
      <c r="I152" s="3">
        <f t="shared" si="81"/>
        <v>2.2465875921068256E-2</v>
      </c>
      <c r="J152" s="3">
        <f t="shared" si="81"/>
        <v>2.2465875921068256E-2</v>
      </c>
      <c r="K152" s="3">
        <f t="shared" si="81"/>
        <v>2.2465875921068253E-2</v>
      </c>
      <c r="L152" s="3">
        <f t="shared" si="81"/>
        <v>2.2465875921068235E-2</v>
      </c>
      <c r="M152" s="3">
        <f t="shared" si="81"/>
        <v>2.2465875921068055E-2</v>
      </c>
      <c r="N152" s="3">
        <f t="shared" si="81"/>
        <v>2.2465875921066226E-2</v>
      </c>
      <c r="O152" s="3">
        <f t="shared" si="81"/>
        <v>2.2465875921047946E-2</v>
      </c>
      <c r="P152" s="3">
        <f t="shared" si="81"/>
        <v>2.2465875920865162E-2</v>
      </c>
      <c r="Q152" s="3">
        <f t="shared" si="81"/>
        <v>2.2465875919037315E-2</v>
      </c>
      <c r="R152" s="3">
        <f t="shared" si="81"/>
        <v>2.2465875900758839E-2</v>
      </c>
      <c r="S152" s="3">
        <f t="shared" si="81"/>
        <v>2.2465875717974072E-2</v>
      </c>
      <c r="T152" s="3">
        <f t="shared" si="81"/>
        <v>2.2465873890126498E-2</v>
      </c>
      <c r="U152" s="3">
        <f t="shared" si="81"/>
        <v>2.2465855611658953E-2</v>
      </c>
      <c r="V152" s="3">
        <f t="shared" si="81"/>
        <v>2.2465672827801441E-2</v>
      </c>
      <c r="W152" s="3">
        <f t="shared" si="81"/>
        <v>2.2463845071017171E-2</v>
      </c>
      <c r="X152" s="3">
        <f t="shared" si="81"/>
        <v>2.2445575679799337E-2</v>
      </c>
      <c r="Y152" s="3">
        <f t="shared" si="81"/>
        <v>2.2263696973997708E-2</v>
      </c>
      <c r="Z152" s="3">
        <f t="shared" si="81"/>
        <v>2.0524028985157122E-2</v>
      </c>
      <c r="AA152" s="3">
        <f t="shared" ref="AA152" si="82">$C38*EXP(-AA$129/$A38/EXP(-$B$126))</f>
        <v>9.0973727514119893E-3</v>
      </c>
      <c r="AB152" s="3">
        <f t="shared" si="67"/>
        <v>2.6634815512754374E-6</v>
      </c>
      <c r="AC152" s="3">
        <f t="shared" si="67"/>
        <v>1.2324994273874982E-41</v>
      </c>
      <c r="AD152" s="3">
        <f t="shared" si="67"/>
        <v>0</v>
      </c>
      <c r="AE152" s="3">
        <f t="shared" si="67"/>
        <v>0</v>
      </c>
      <c r="AF152" s="3">
        <f t="shared" si="67"/>
        <v>0</v>
      </c>
    </row>
    <row r="153" spans="1:32" x14ac:dyDescent="0.25">
      <c r="B153" s="3">
        <f t="shared" ref="B153:Z153" si="83">$C39*EXP(-B$129/$A39/EXP(-$B$126))</f>
        <v>5.8329528880761261E-2</v>
      </c>
      <c r="C153" s="3">
        <f t="shared" si="83"/>
        <v>5.8329528880761261E-2</v>
      </c>
      <c r="D153" s="3">
        <f t="shared" si="83"/>
        <v>5.8329528880761261E-2</v>
      </c>
      <c r="E153" s="3">
        <f t="shared" si="83"/>
        <v>5.8329528880761261E-2</v>
      </c>
      <c r="F153" s="3">
        <f t="shared" si="83"/>
        <v>5.8329528880761261E-2</v>
      </c>
      <c r="G153" s="3">
        <f t="shared" si="83"/>
        <v>5.8329528880761261E-2</v>
      </c>
      <c r="H153" s="3">
        <f t="shared" si="83"/>
        <v>5.8329528880761261E-2</v>
      </c>
      <c r="I153" s="3">
        <f t="shared" si="83"/>
        <v>5.8329528880761261E-2</v>
      </c>
      <c r="J153" s="3">
        <f t="shared" si="83"/>
        <v>5.8329528880761261E-2</v>
      </c>
      <c r="K153" s="3">
        <f t="shared" si="83"/>
        <v>5.8329528880761261E-2</v>
      </c>
      <c r="L153" s="3">
        <f t="shared" si="83"/>
        <v>5.8329528880761247E-2</v>
      </c>
      <c r="M153" s="3">
        <f t="shared" si="83"/>
        <v>5.8329528880761115E-2</v>
      </c>
      <c r="N153" s="3">
        <f t="shared" si="83"/>
        <v>5.8329528880759804E-2</v>
      </c>
      <c r="O153" s="3">
        <f t="shared" si="83"/>
        <v>5.8329528880746676E-2</v>
      </c>
      <c r="P153" s="3">
        <f t="shared" si="83"/>
        <v>5.8329528880615426E-2</v>
      </c>
      <c r="Q153" s="3">
        <f t="shared" si="83"/>
        <v>5.8329528879302865E-2</v>
      </c>
      <c r="R153" s="3">
        <f t="shared" si="83"/>
        <v>5.8329528866177302E-2</v>
      </c>
      <c r="S153" s="3">
        <f t="shared" si="83"/>
        <v>5.8329528734921664E-2</v>
      </c>
      <c r="T153" s="3">
        <f t="shared" si="83"/>
        <v>5.8329527422365281E-2</v>
      </c>
      <c r="U153" s="3">
        <f t="shared" si="83"/>
        <v>5.8329514296803137E-2</v>
      </c>
      <c r="V153" s="3">
        <f t="shared" si="83"/>
        <v>5.8329383041344086E-2</v>
      </c>
      <c r="W153" s="3">
        <f t="shared" si="83"/>
        <v>5.8328070502998132E-2</v>
      </c>
      <c r="X153" s="3">
        <f t="shared" si="83"/>
        <v>5.8314946743852562E-2</v>
      </c>
      <c r="Y153" s="3">
        <f t="shared" si="83"/>
        <v>5.8183871448640248E-2</v>
      </c>
      <c r="Z153" s="3">
        <f t="shared" si="83"/>
        <v>5.6889213804103486E-2</v>
      </c>
      <c r="AA153" s="3">
        <f t="shared" ref="AA153" si="84">$C39*EXP(-AA$129/$A39/EXP(-$B$126))</f>
        <v>4.542585404871357E-2</v>
      </c>
      <c r="AB153" s="3">
        <f t="shared" si="67"/>
        <v>4.7866843943781085E-3</v>
      </c>
      <c r="AC153" s="3">
        <f t="shared" si="67"/>
        <v>8.0788904254965638E-13</v>
      </c>
      <c r="AD153" s="3">
        <f t="shared" si="67"/>
        <v>1.5153779362849875E-110</v>
      </c>
      <c r="AE153" s="3">
        <f t="shared" si="67"/>
        <v>0</v>
      </c>
      <c r="AF153" s="3">
        <f t="shared" si="67"/>
        <v>0</v>
      </c>
    </row>
    <row r="154" spans="1:32" x14ac:dyDescent="0.25">
      <c r="B154" s="3">
        <f t="shared" ref="B154:Z154" si="85">$C40*EXP(-B$129/$A40/EXP(-$B$126))</f>
        <v>3.4551716494444183E-2</v>
      </c>
      <c r="C154" s="3">
        <f t="shared" si="85"/>
        <v>3.4551716494444183E-2</v>
      </c>
      <c r="D154" s="3">
        <f t="shared" si="85"/>
        <v>3.4551716494444183E-2</v>
      </c>
      <c r="E154" s="3">
        <f t="shared" si="85"/>
        <v>3.4551716494444183E-2</v>
      </c>
      <c r="F154" s="3">
        <f t="shared" si="85"/>
        <v>3.4551716494444183E-2</v>
      </c>
      <c r="G154" s="3">
        <f t="shared" si="85"/>
        <v>3.4551716494444183E-2</v>
      </c>
      <c r="H154" s="3">
        <f t="shared" si="85"/>
        <v>3.4551716494444183E-2</v>
      </c>
      <c r="I154" s="3">
        <f t="shared" si="85"/>
        <v>3.4551716494444183E-2</v>
      </c>
      <c r="J154" s="3">
        <f t="shared" si="85"/>
        <v>3.4551716494444183E-2</v>
      </c>
      <c r="K154" s="3">
        <f t="shared" si="85"/>
        <v>3.4551716494444183E-2</v>
      </c>
      <c r="L154" s="3">
        <f t="shared" si="85"/>
        <v>3.4551716494444183E-2</v>
      </c>
      <c r="M154" s="3">
        <f t="shared" si="85"/>
        <v>3.4551716494444176E-2</v>
      </c>
      <c r="N154" s="3">
        <f t="shared" si="85"/>
        <v>3.4551716494444093E-2</v>
      </c>
      <c r="O154" s="3">
        <f t="shared" si="85"/>
        <v>3.4551716494443323E-2</v>
      </c>
      <c r="P154" s="3">
        <f t="shared" si="85"/>
        <v>3.4551716494435544E-2</v>
      </c>
      <c r="Q154" s="3">
        <f t="shared" si="85"/>
        <v>3.4551716494357794E-2</v>
      </c>
      <c r="R154" s="3">
        <f t="shared" si="85"/>
        <v>3.4551716493580298E-2</v>
      </c>
      <c r="S154" s="3">
        <f t="shared" si="85"/>
        <v>3.4551716485805323E-2</v>
      </c>
      <c r="T154" s="3">
        <f t="shared" si="85"/>
        <v>3.4551716408055551E-2</v>
      </c>
      <c r="U154" s="3">
        <f t="shared" si="85"/>
        <v>3.4551715630557825E-2</v>
      </c>
      <c r="V154" s="3">
        <f t="shared" si="85"/>
        <v>3.4551707855581565E-2</v>
      </c>
      <c r="W154" s="3">
        <f t="shared" si="85"/>
        <v>3.4551630105915207E-2</v>
      </c>
      <c r="X154" s="3">
        <f t="shared" si="85"/>
        <v>3.4550852618874119E-2</v>
      </c>
      <c r="Y154" s="3">
        <f t="shared" si="85"/>
        <v>3.454307871063176E-2</v>
      </c>
      <c r="Z154" s="3">
        <f t="shared" si="85"/>
        <v>3.4465435765000232E-2</v>
      </c>
      <c r="AA154" s="3">
        <f t="shared" ref="AA154:AF154" si="86">$C40*EXP(-AA$129/$A40/EXP(-$B$126))</f>
        <v>3.3698540424857121E-2</v>
      </c>
      <c r="AB154" s="3">
        <f t="shared" si="86"/>
        <v>2.6908176025519554E-2</v>
      </c>
      <c r="AC154" s="3">
        <f t="shared" si="86"/>
        <v>2.8354105599073744E-3</v>
      </c>
      <c r="AD154" s="3">
        <f t="shared" si="86"/>
        <v>4.7855612230652687E-13</v>
      </c>
      <c r="AE154" s="3">
        <f t="shared" si="86"/>
        <v>8.9763983767961226E-111</v>
      </c>
      <c r="AF154" s="3">
        <f t="shared" si="86"/>
        <v>0</v>
      </c>
    </row>
    <row r="155" spans="1:32" x14ac:dyDescent="0.25">
      <c r="B155" s="3">
        <f t="shared" ref="B155:Z155" si="87">$C41*EXP(-B$129/$A41/EXP(-$B$126))</f>
        <v>3.2785105338059839E-2</v>
      </c>
      <c r="C155" s="3">
        <f t="shared" si="87"/>
        <v>3.2785105338059839E-2</v>
      </c>
      <c r="D155" s="3">
        <f t="shared" si="87"/>
        <v>3.2785105338059839E-2</v>
      </c>
      <c r="E155" s="3">
        <f t="shared" si="87"/>
        <v>3.2785105338059839E-2</v>
      </c>
      <c r="F155" s="3">
        <f t="shared" si="87"/>
        <v>3.2785105338059839E-2</v>
      </c>
      <c r="G155" s="3">
        <f t="shared" si="87"/>
        <v>3.2785105338059839E-2</v>
      </c>
      <c r="H155" s="3">
        <f t="shared" si="87"/>
        <v>3.2785105338059839E-2</v>
      </c>
      <c r="I155" s="3">
        <f t="shared" si="87"/>
        <v>3.2785105338059839E-2</v>
      </c>
      <c r="J155" s="3">
        <f t="shared" si="87"/>
        <v>3.2785105338059839E-2</v>
      </c>
      <c r="K155" s="3">
        <f t="shared" si="87"/>
        <v>3.2785105338059839E-2</v>
      </c>
      <c r="L155" s="3">
        <f t="shared" si="87"/>
        <v>3.2785105338059839E-2</v>
      </c>
      <c r="M155" s="3">
        <f t="shared" si="87"/>
        <v>3.2785105338059839E-2</v>
      </c>
      <c r="N155" s="3">
        <f t="shared" si="87"/>
        <v>3.2785105338059832E-2</v>
      </c>
      <c r="O155" s="3">
        <f t="shared" si="87"/>
        <v>3.2785105338059756E-2</v>
      </c>
      <c r="P155" s="3">
        <f t="shared" si="87"/>
        <v>3.278510533805902E-2</v>
      </c>
      <c r="Q155" s="3">
        <f t="shared" si="87"/>
        <v>3.2785105338051644E-2</v>
      </c>
      <c r="R155" s="3">
        <f t="shared" si="87"/>
        <v>3.278510533797787E-2</v>
      </c>
      <c r="S155" s="3">
        <f t="shared" si="87"/>
        <v>3.2785105337240127E-2</v>
      </c>
      <c r="T155" s="3">
        <f t="shared" si="87"/>
        <v>3.2785105329862681E-2</v>
      </c>
      <c r="U155" s="3">
        <f t="shared" si="87"/>
        <v>3.2785105256088208E-2</v>
      </c>
      <c r="V155" s="3">
        <f t="shared" si="87"/>
        <v>3.2785104518343537E-2</v>
      </c>
      <c r="W155" s="3">
        <f t="shared" si="87"/>
        <v>3.2785097140897737E-2</v>
      </c>
      <c r="X155" s="3">
        <f t="shared" si="87"/>
        <v>3.2785023366531073E-2</v>
      </c>
      <c r="Y155" s="3">
        <f t="shared" si="87"/>
        <v>3.2784285631994932E-2</v>
      </c>
      <c r="Z155" s="3">
        <f t="shared" si="87"/>
        <v>3.2776909199606824E-2</v>
      </c>
      <c r="AA155" s="3">
        <f t="shared" ref="AA155:AF155" si="88">$C41*EXP(-AA$129/$A41/EXP(-$B$126))</f>
        <v>3.2703236097094072E-2</v>
      </c>
      <c r="AB155" s="3">
        <f t="shared" si="88"/>
        <v>3.1975551713775453E-2</v>
      </c>
      <c r="AC155" s="3">
        <f t="shared" si="88"/>
        <v>2.553237508745964E-2</v>
      </c>
      <c r="AD155" s="3">
        <f t="shared" si="88"/>
        <v>2.6904375039705501E-3</v>
      </c>
      <c r="AE155" s="3">
        <f t="shared" si="88"/>
        <v>4.5408779857625195E-13</v>
      </c>
      <c r="AF155" s="3">
        <f t="shared" si="88"/>
        <v>8.5174398321707567E-111</v>
      </c>
    </row>
    <row r="156" spans="1:32" x14ac:dyDescent="0.25">
      <c r="B156" s="3">
        <f t="shared" ref="B156:Z156" si="89">$C42*EXP(-B$129/$A42/EXP(-$B$126))</f>
        <v>1.3184627495592977E-2</v>
      </c>
      <c r="C156" s="3">
        <f t="shared" si="89"/>
        <v>1.3184627495592977E-2</v>
      </c>
      <c r="D156" s="3">
        <f t="shared" si="89"/>
        <v>1.3184627495592977E-2</v>
      </c>
      <c r="E156" s="3">
        <f t="shared" si="89"/>
        <v>1.3184627495592977E-2</v>
      </c>
      <c r="F156" s="3">
        <f t="shared" si="89"/>
        <v>1.3184627495592977E-2</v>
      </c>
      <c r="G156" s="3">
        <f t="shared" si="89"/>
        <v>1.3184627495592977E-2</v>
      </c>
      <c r="H156" s="3">
        <f t="shared" si="89"/>
        <v>1.3184627495592977E-2</v>
      </c>
      <c r="I156" s="3">
        <f t="shared" si="89"/>
        <v>1.3184627495592977E-2</v>
      </c>
      <c r="J156" s="3">
        <f t="shared" si="89"/>
        <v>1.3184627495592977E-2</v>
      </c>
      <c r="K156" s="3">
        <f t="shared" si="89"/>
        <v>1.3184627495592977E-2</v>
      </c>
      <c r="L156" s="3">
        <f t="shared" si="89"/>
        <v>1.3184627495592977E-2</v>
      </c>
      <c r="M156" s="3">
        <f t="shared" si="89"/>
        <v>1.3184627495592977E-2</v>
      </c>
      <c r="N156" s="3">
        <f t="shared" si="89"/>
        <v>1.3184627495592977E-2</v>
      </c>
      <c r="O156" s="3">
        <f t="shared" si="89"/>
        <v>1.3184627495592974E-2</v>
      </c>
      <c r="P156" s="3">
        <f t="shared" si="89"/>
        <v>1.3184627495592944E-2</v>
      </c>
      <c r="Q156" s="3">
        <f t="shared" si="89"/>
        <v>1.3184627495592648E-2</v>
      </c>
      <c r="R156" s="3">
        <f t="shared" si="89"/>
        <v>1.3184627495589681E-2</v>
      </c>
      <c r="S156" s="3">
        <f t="shared" si="89"/>
        <v>1.3184627495560012E-2</v>
      </c>
      <c r="T156" s="3">
        <f t="shared" si="89"/>
        <v>1.3184627495263326E-2</v>
      </c>
      <c r="U156" s="3">
        <f t="shared" si="89"/>
        <v>1.3184627492296465E-2</v>
      </c>
      <c r="V156" s="3">
        <f t="shared" si="89"/>
        <v>1.3184627462627843E-2</v>
      </c>
      <c r="W156" s="3">
        <f t="shared" si="89"/>
        <v>1.3184627165941631E-2</v>
      </c>
      <c r="X156" s="3">
        <f t="shared" si="89"/>
        <v>1.318462419907989E-2</v>
      </c>
      <c r="Y156" s="3">
        <f t="shared" si="89"/>
        <v>1.3184594530499199E-2</v>
      </c>
      <c r="Z156" s="3">
        <f t="shared" si="89"/>
        <v>1.3184297848364144E-2</v>
      </c>
      <c r="AA156" s="3">
        <f t="shared" ref="AA156:AF156" si="90">$C42*EXP(-AA$129/$A42/EXP(-$B$126))</f>
        <v>1.3181331394168534E-2</v>
      </c>
      <c r="AB156" s="3">
        <f t="shared" si="90"/>
        <v>1.315170353715666E-2</v>
      </c>
      <c r="AC156" s="3">
        <f t="shared" si="90"/>
        <v>1.2859063100913242E-2</v>
      </c>
      <c r="AD156" s="3">
        <f t="shared" si="90"/>
        <v>1.0267920482022002E-2</v>
      </c>
      <c r="AE156" s="3">
        <f t="shared" si="90"/>
        <v>1.0819674338165127E-3</v>
      </c>
      <c r="AF156" s="3">
        <f t="shared" si="90"/>
        <v>1.8261275700619835E-13</v>
      </c>
    </row>
    <row r="157" spans="1:32" x14ac:dyDescent="0.25">
      <c r="B157" s="3">
        <f t="shared" ref="B157:Z157" si="91">$C43*EXP(-B$129/$A43/EXP(-$B$126))</f>
        <v>9.0966723550024858E-3</v>
      </c>
      <c r="C157" s="3">
        <f t="shared" si="91"/>
        <v>9.0966723550024858E-3</v>
      </c>
      <c r="D157" s="3">
        <f t="shared" si="91"/>
        <v>9.0966723550024858E-3</v>
      </c>
      <c r="E157" s="3">
        <f t="shared" si="91"/>
        <v>9.0966723550024858E-3</v>
      </c>
      <c r="F157" s="3">
        <f t="shared" si="91"/>
        <v>9.0966723550024858E-3</v>
      </c>
      <c r="G157" s="3">
        <f t="shared" si="91"/>
        <v>9.0966723550024858E-3</v>
      </c>
      <c r="H157" s="3">
        <f t="shared" si="91"/>
        <v>9.0966723550024858E-3</v>
      </c>
      <c r="I157" s="3">
        <f t="shared" si="91"/>
        <v>9.0966723550024858E-3</v>
      </c>
      <c r="J157" s="3">
        <f t="shared" si="91"/>
        <v>9.0966723550024858E-3</v>
      </c>
      <c r="K157" s="3">
        <f t="shared" si="91"/>
        <v>9.0966723550024858E-3</v>
      </c>
      <c r="L157" s="3">
        <f t="shared" si="91"/>
        <v>9.0966723550024858E-3</v>
      </c>
      <c r="M157" s="3">
        <f t="shared" si="91"/>
        <v>9.0966723550024858E-3</v>
      </c>
      <c r="N157" s="3">
        <f t="shared" si="91"/>
        <v>9.0966723550024858E-3</v>
      </c>
      <c r="O157" s="3">
        <f t="shared" si="91"/>
        <v>9.0966723550024858E-3</v>
      </c>
      <c r="P157" s="3">
        <f t="shared" si="91"/>
        <v>9.0966723550024841E-3</v>
      </c>
      <c r="Q157" s="3">
        <f t="shared" si="91"/>
        <v>9.0966723550024633E-3</v>
      </c>
      <c r="R157" s="3">
        <f t="shared" si="91"/>
        <v>9.0966723550022586E-3</v>
      </c>
      <c r="S157" s="3">
        <f t="shared" si="91"/>
        <v>9.0966723550002116E-3</v>
      </c>
      <c r="T157" s="3">
        <f t="shared" si="91"/>
        <v>9.0966723549797419E-3</v>
      </c>
      <c r="U157" s="3">
        <f t="shared" si="91"/>
        <v>9.0966723547750445E-3</v>
      </c>
      <c r="V157" s="3">
        <f t="shared" si="91"/>
        <v>9.0966723527280725E-3</v>
      </c>
      <c r="W157" s="3">
        <f t="shared" si="91"/>
        <v>9.0966723322583442E-3</v>
      </c>
      <c r="X157" s="3">
        <f t="shared" si="91"/>
        <v>9.0966721275610746E-3</v>
      </c>
      <c r="Y157" s="3">
        <f t="shared" si="91"/>
        <v>9.0966700805886289E-3</v>
      </c>
      <c r="Z157" s="3">
        <f t="shared" si="91"/>
        <v>9.0966496108895144E-3</v>
      </c>
      <c r="AA157" s="3">
        <f t="shared" ref="AA157:AF157" si="92">$C43*EXP(-AA$129/$A43/EXP(-$B$126))</f>
        <v>9.0964449164317382E-3</v>
      </c>
      <c r="AB157" s="3">
        <f t="shared" si="92"/>
        <v>9.0943982251708282E-3</v>
      </c>
      <c r="AC157" s="3">
        <f t="shared" si="92"/>
        <v>9.0739566231681952E-3</v>
      </c>
      <c r="AD157" s="3">
        <f t="shared" si="92"/>
        <v>8.8720507166705591E-3</v>
      </c>
      <c r="AE157" s="3">
        <f t="shared" si="92"/>
        <v>7.0843039307249321E-3</v>
      </c>
      <c r="AF157" s="3">
        <f t="shared" si="92"/>
        <v>7.4649839348904534E-4</v>
      </c>
    </row>
    <row r="158" spans="1:32" x14ac:dyDescent="0.25">
      <c r="B158" s="3">
        <f t="shared" ref="B158:Z158" si="93">$C44*EXP(-B$129/$A44/EXP(-$B$126))</f>
        <v>3.0393849329234364E-3</v>
      </c>
      <c r="C158" s="3">
        <f t="shared" si="93"/>
        <v>3.0393849329234364E-3</v>
      </c>
      <c r="D158" s="3">
        <f t="shared" si="93"/>
        <v>3.0393849329234364E-3</v>
      </c>
      <c r="E158" s="3">
        <f t="shared" si="93"/>
        <v>3.0393849329234364E-3</v>
      </c>
      <c r="F158" s="3">
        <f t="shared" si="93"/>
        <v>3.0393849329234364E-3</v>
      </c>
      <c r="G158" s="3">
        <f t="shared" si="93"/>
        <v>3.0393849329234364E-3</v>
      </c>
      <c r="H158" s="3">
        <f t="shared" si="93"/>
        <v>3.0393849329234364E-3</v>
      </c>
      <c r="I158" s="3">
        <f t="shared" si="93"/>
        <v>3.0393849329234364E-3</v>
      </c>
      <c r="J158" s="3">
        <f t="shared" si="93"/>
        <v>3.0393849329234364E-3</v>
      </c>
      <c r="K158" s="3">
        <f t="shared" si="93"/>
        <v>3.0393849329234364E-3</v>
      </c>
      <c r="L158" s="3">
        <f t="shared" si="93"/>
        <v>3.0393849329234364E-3</v>
      </c>
      <c r="M158" s="3">
        <f t="shared" si="93"/>
        <v>3.0393849329234364E-3</v>
      </c>
      <c r="N158" s="3">
        <f t="shared" si="93"/>
        <v>3.0393849329234364E-3</v>
      </c>
      <c r="O158" s="3">
        <f t="shared" si="93"/>
        <v>3.0393849329234364E-3</v>
      </c>
      <c r="P158" s="3">
        <f t="shared" si="93"/>
        <v>3.0393849329234364E-3</v>
      </c>
      <c r="Q158" s="3">
        <f t="shared" si="93"/>
        <v>3.0393849329234356E-3</v>
      </c>
      <c r="R158" s="3">
        <f t="shared" si="93"/>
        <v>3.0393849329234286E-3</v>
      </c>
      <c r="S158" s="3">
        <f t="shared" si="93"/>
        <v>3.0393849329233605E-3</v>
      </c>
      <c r="T158" s="3">
        <f t="shared" si="93"/>
        <v>3.0393849329226766E-3</v>
      </c>
      <c r="U158" s="3">
        <f t="shared" si="93"/>
        <v>3.0393849329158375E-3</v>
      </c>
      <c r="V158" s="3">
        <f t="shared" si="93"/>
        <v>3.0393849328474438E-3</v>
      </c>
      <c r="W158" s="3">
        <f t="shared" si="93"/>
        <v>3.0393849321635083E-3</v>
      </c>
      <c r="X158" s="3">
        <f t="shared" si="93"/>
        <v>3.0393849253241519E-3</v>
      </c>
      <c r="Y158" s="3">
        <f t="shared" si="93"/>
        <v>3.0393848569305929E-3</v>
      </c>
      <c r="Z158" s="3">
        <f t="shared" si="93"/>
        <v>3.039384172995087E-3</v>
      </c>
      <c r="AA158" s="3">
        <f t="shared" ref="AA158:AF158" si="94">$C44*EXP(-AA$129/$A44/EXP(-$B$126))</f>
        <v>3.0393773336484949E-3</v>
      </c>
      <c r="AB158" s="3">
        <f t="shared" si="94"/>
        <v>3.0393089410290252E-3</v>
      </c>
      <c r="AC158" s="3">
        <f t="shared" si="94"/>
        <v>3.0386250994726858E-3</v>
      </c>
      <c r="AD158" s="3">
        <f t="shared" si="94"/>
        <v>3.0317951407023828E-3</v>
      </c>
      <c r="AE158" s="3">
        <f t="shared" si="94"/>
        <v>2.9643342334465888E-3</v>
      </c>
      <c r="AF158" s="3">
        <f t="shared" si="94"/>
        <v>2.3670113407409572E-3</v>
      </c>
    </row>
    <row r="159" spans="1:32" x14ac:dyDescent="0.25">
      <c r="A159" s="11" t="s">
        <v>75</v>
      </c>
      <c r="B159" s="3">
        <f t="shared" ref="B159:Z159" si="95">$C45*EXP(-B$129/$A45/EXP(-$B$126))</f>
        <v>2.6495422897411186E-3</v>
      </c>
      <c r="C159" s="3">
        <f t="shared" si="95"/>
        <v>2.6495422897411186E-3</v>
      </c>
      <c r="D159" s="3">
        <f t="shared" si="95"/>
        <v>2.6495422897411186E-3</v>
      </c>
      <c r="E159" s="3">
        <f t="shared" si="95"/>
        <v>2.6495422897411186E-3</v>
      </c>
      <c r="F159" s="3">
        <f t="shared" si="95"/>
        <v>2.6495422897411186E-3</v>
      </c>
      <c r="G159" s="3">
        <f t="shared" si="95"/>
        <v>2.6495422897411186E-3</v>
      </c>
      <c r="H159" s="3">
        <f t="shared" si="95"/>
        <v>2.6495422897411186E-3</v>
      </c>
      <c r="I159" s="3">
        <f t="shared" si="95"/>
        <v>2.6495422897411186E-3</v>
      </c>
      <c r="J159" s="3">
        <f t="shared" si="95"/>
        <v>2.6495422897411186E-3</v>
      </c>
      <c r="K159" s="3">
        <f t="shared" si="95"/>
        <v>2.6495422897411186E-3</v>
      </c>
      <c r="L159" s="3">
        <f t="shared" si="95"/>
        <v>2.6495422897411186E-3</v>
      </c>
      <c r="M159" s="3">
        <f t="shared" si="95"/>
        <v>2.6495422897411186E-3</v>
      </c>
      <c r="N159" s="3">
        <f t="shared" si="95"/>
        <v>2.6495422897411186E-3</v>
      </c>
      <c r="O159" s="3">
        <f t="shared" si="95"/>
        <v>2.6495422897411186E-3</v>
      </c>
      <c r="P159" s="3">
        <f t="shared" si="95"/>
        <v>2.6495422897411186E-3</v>
      </c>
      <c r="Q159" s="3">
        <f t="shared" si="95"/>
        <v>2.6495422897411186E-3</v>
      </c>
      <c r="R159" s="3">
        <f t="shared" si="95"/>
        <v>2.6495422897411182E-3</v>
      </c>
      <c r="S159" s="3">
        <f t="shared" si="95"/>
        <v>2.6495422897411117E-3</v>
      </c>
      <c r="T159" s="3">
        <f t="shared" si="95"/>
        <v>2.6495422897410523E-3</v>
      </c>
      <c r="U159" s="3">
        <f t="shared" si="95"/>
        <v>2.6495422897404564E-3</v>
      </c>
      <c r="V159" s="3">
        <f t="shared" si="95"/>
        <v>2.6495422897344942E-3</v>
      </c>
      <c r="W159" s="3">
        <f t="shared" si="95"/>
        <v>2.649542289674873E-3</v>
      </c>
      <c r="X159" s="3">
        <f t="shared" si="95"/>
        <v>2.6495422890786616E-3</v>
      </c>
      <c r="Y159" s="3">
        <f t="shared" si="95"/>
        <v>2.6495422831165462E-3</v>
      </c>
      <c r="Z159" s="3">
        <f t="shared" si="95"/>
        <v>2.6495422234953953E-3</v>
      </c>
      <c r="AA159" s="3">
        <f t="shared" ref="AA159:AF159" si="96">$C45*EXP(-AA$129/$A45/EXP(-$B$126))</f>
        <v>2.6495416272839627E-3</v>
      </c>
      <c r="AB159" s="3">
        <f t="shared" si="96"/>
        <v>2.649535665177013E-3</v>
      </c>
      <c r="AC159" s="3">
        <f t="shared" si="96"/>
        <v>2.6494760448454034E-3</v>
      </c>
      <c r="AD159" s="3">
        <f t="shared" si="96"/>
        <v>2.6488799153116358E-3</v>
      </c>
      <c r="AE159" s="3">
        <f t="shared" si="96"/>
        <v>2.6429259920677972E-3</v>
      </c>
      <c r="AF159" s="3">
        <f t="shared" si="96"/>
        <v>2.5841178678508337E-3</v>
      </c>
    </row>
    <row r="160" spans="1:32" x14ac:dyDescent="0.25">
      <c r="B160" s="3">
        <f t="shared" ref="B160:Z160" si="97">$C46*EXP(-B$129/$A46/EXP(-$B$126))</f>
        <v>6.8554497859674352E-4</v>
      </c>
      <c r="C160" s="3">
        <f t="shared" si="97"/>
        <v>6.8554497859674352E-4</v>
      </c>
      <c r="D160" s="3">
        <f t="shared" si="97"/>
        <v>6.8554497859674352E-4</v>
      </c>
      <c r="E160" s="3">
        <f t="shared" si="97"/>
        <v>6.8554497859674352E-4</v>
      </c>
      <c r="F160" s="3">
        <f t="shared" si="97"/>
        <v>6.8554497859674352E-4</v>
      </c>
      <c r="G160" s="3">
        <f t="shared" si="97"/>
        <v>6.8554497859674352E-4</v>
      </c>
      <c r="H160" s="3">
        <f t="shared" si="97"/>
        <v>6.8554497859674352E-4</v>
      </c>
      <c r="I160" s="3">
        <f t="shared" si="97"/>
        <v>6.8554497859674352E-4</v>
      </c>
      <c r="J160" s="3">
        <f t="shared" si="97"/>
        <v>6.8554497859674352E-4</v>
      </c>
      <c r="K160" s="3">
        <f t="shared" si="97"/>
        <v>6.8554497859674352E-4</v>
      </c>
      <c r="L160" s="3">
        <f t="shared" si="97"/>
        <v>6.8554497859674352E-4</v>
      </c>
      <c r="M160" s="3">
        <f t="shared" si="97"/>
        <v>6.8554497859674352E-4</v>
      </c>
      <c r="N160" s="3">
        <f t="shared" si="97"/>
        <v>6.8554497859674352E-4</v>
      </c>
      <c r="O160" s="3">
        <f t="shared" si="97"/>
        <v>6.8554497859674352E-4</v>
      </c>
      <c r="P160" s="3">
        <f t="shared" si="97"/>
        <v>6.8554497859674352E-4</v>
      </c>
      <c r="Q160" s="3">
        <f t="shared" si="97"/>
        <v>6.8554497859674352E-4</v>
      </c>
      <c r="R160" s="3">
        <f t="shared" si="97"/>
        <v>6.8554497859674352E-4</v>
      </c>
      <c r="S160" s="3">
        <f t="shared" si="97"/>
        <v>6.8554497859674342E-4</v>
      </c>
      <c r="T160" s="3">
        <f t="shared" si="97"/>
        <v>6.8554497859674179E-4</v>
      </c>
      <c r="U160" s="3">
        <f t="shared" si="97"/>
        <v>6.8554497859672639E-4</v>
      </c>
      <c r="V160" s="3">
        <f t="shared" si="97"/>
        <v>6.8554497859657211E-4</v>
      </c>
      <c r="W160" s="3">
        <f t="shared" si="97"/>
        <v>6.8554497859502951E-4</v>
      </c>
      <c r="X160" s="3">
        <f t="shared" si="97"/>
        <v>6.8554497857960305E-4</v>
      </c>
      <c r="Y160" s="3">
        <f t="shared" si="97"/>
        <v>6.8554497842533875E-4</v>
      </c>
      <c r="Z160" s="3">
        <f t="shared" si="97"/>
        <v>6.8554497688269567E-4</v>
      </c>
      <c r="AA160" s="3">
        <f t="shared" ref="AA160:AF160" si="98">$C46*EXP(-AA$129/$A46/EXP(-$B$126))</f>
        <v>6.8554496145626493E-4</v>
      </c>
      <c r="AB160" s="3">
        <f t="shared" si="98"/>
        <v>6.8554480719197728E-4</v>
      </c>
      <c r="AC160" s="3">
        <f t="shared" si="98"/>
        <v>6.8554326455100983E-4</v>
      </c>
      <c r="AD160" s="3">
        <f t="shared" si="98"/>
        <v>6.8552783833225671E-4</v>
      </c>
      <c r="AE160" s="3">
        <f t="shared" si="98"/>
        <v>6.8537359523523195E-4</v>
      </c>
      <c r="AF160" s="3">
        <f t="shared" si="98"/>
        <v>6.8383307172724037E-4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1.0364161747734975E-2</v>
      </c>
      <c r="C162" s="3">
        <f t="shared" si="101"/>
        <v>1.0364161747734975E-2</v>
      </c>
      <c r="D162" s="3">
        <f t="shared" si="101"/>
        <v>1.0364161747734975E-2</v>
      </c>
      <c r="E162" s="3">
        <f t="shared" si="101"/>
        <v>1.0364161747734975E-2</v>
      </c>
      <c r="F162" s="3">
        <f t="shared" si="101"/>
        <v>1.0364161747734975E-2</v>
      </c>
      <c r="G162" s="3">
        <f t="shared" si="101"/>
        <v>1.0364161747734975E-2</v>
      </c>
      <c r="H162" s="3">
        <f t="shared" si="101"/>
        <v>1.0364161747734975E-2</v>
      </c>
      <c r="I162" s="3">
        <f t="shared" si="101"/>
        <v>1.0364161747734975E-2</v>
      </c>
      <c r="J162" s="3">
        <f t="shared" si="101"/>
        <v>1.0364161747734975E-2</v>
      </c>
      <c r="K162" s="3">
        <f t="shared" si="101"/>
        <v>1.0364161747734975E-2</v>
      </c>
      <c r="L162" s="3">
        <f t="shared" si="101"/>
        <v>1.0364161747734975E-2</v>
      </c>
      <c r="M162" s="3">
        <f t="shared" si="101"/>
        <v>1.0364161747734975E-2</v>
      </c>
      <c r="N162" s="3">
        <f t="shared" si="101"/>
        <v>1.0364161747734975E-2</v>
      </c>
      <c r="O162" s="3">
        <f t="shared" si="101"/>
        <v>1.0364161747734975E-2</v>
      </c>
      <c r="P162" s="3">
        <f t="shared" si="101"/>
        <v>1.0364161747734975E-2</v>
      </c>
      <c r="Q162" s="3">
        <f t="shared" si="101"/>
        <v>1.0364161747734975E-2</v>
      </c>
      <c r="R162" s="3">
        <f t="shared" si="101"/>
        <v>1.0364161747734975E-2</v>
      </c>
      <c r="S162" s="3">
        <f t="shared" si="101"/>
        <v>1.0364161747734975E-2</v>
      </c>
      <c r="T162" s="3">
        <f t="shared" si="101"/>
        <v>1.0364161747734975E-2</v>
      </c>
      <c r="U162" s="3">
        <f t="shared" si="101"/>
        <v>1.0364161747734973E-2</v>
      </c>
      <c r="V162" s="3">
        <f t="shared" si="101"/>
        <v>1.0364161747734949E-2</v>
      </c>
      <c r="W162" s="3">
        <f t="shared" si="101"/>
        <v>1.0364161747734716E-2</v>
      </c>
      <c r="X162" s="3">
        <f t="shared" si="101"/>
        <v>1.0364161747732383E-2</v>
      </c>
      <c r="Y162" s="3">
        <f t="shared" si="101"/>
        <v>1.0364161747709062E-2</v>
      </c>
      <c r="Z162" s="3">
        <f t="shared" si="101"/>
        <v>1.0364161747475844E-2</v>
      </c>
      <c r="AA162" s="3">
        <f t="shared" ref="AA162:AF162" si="102">$C48*EXP(-AA$129/$A48/EXP(-$B$126))</f>
        <v>1.0364161745143655E-2</v>
      </c>
      <c r="AB162" s="3">
        <f t="shared" si="102"/>
        <v>1.0364161721821767E-2</v>
      </c>
      <c r="AC162" s="3">
        <f t="shared" si="102"/>
        <v>1.03641614886029E-2</v>
      </c>
      <c r="AD162" s="3">
        <f t="shared" si="102"/>
        <v>1.0364159156414527E-2</v>
      </c>
      <c r="AE162" s="3">
        <f t="shared" si="102"/>
        <v>1.0364135834559645E-2</v>
      </c>
      <c r="AF162" s="3">
        <f t="shared" si="102"/>
        <v>1.0363902618897207E-2</v>
      </c>
    </row>
    <row r="163" spans="1:34" x14ac:dyDescent="0.25">
      <c r="A163" s="79">
        <f>AVERAGE(B163:AF163)</f>
        <v>2.9297046393122413E-2</v>
      </c>
      <c r="B163" s="80">
        <f>IF($A$64&lt;=B129,IF($B$64&gt;=B129,ABS((B131-B130)/B130),0),0)</f>
        <v>7.6958926662425375E-2</v>
      </c>
      <c r="C163" s="80">
        <f t="shared" ref="C163:AF163" si="103">IF($A$64&lt;=C129,IF($B$64&gt;=C129,ABS((C131-C130)/C130),0),0)</f>
        <v>7.0552894945249744E-2</v>
      </c>
      <c r="D163" s="80">
        <f t="shared" si="103"/>
        <v>4.8924974970683321E-2</v>
      </c>
      <c r="E163" s="80">
        <f t="shared" si="103"/>
        <v>3.2770034681202556E-2</v>
      </c>
      <c r="F163" s="80">
        <f t="shared" si="103"/>
        <v>1.8886534336022439E-2</v>
      </c>
      <c r="G163" s="80">
        <f t="shared" si="103"/>
        <v>1.6076500558689928E-2</v>
      </c>
      <c r="H163" s="80">
        <f t="shared" si="103"/>
        <v>2.2608417527543306E-2</v>
      </c>
      <c r="I163" s="80">
        <f t="shared" si="103"/>
        <v>1.9159440729235106E-2</v>
      </c>
      <c r="J163" s="80">
        <f t="shared" si="103"/>
        <v>1.9048819062705384E-2</v>
      </c>
      <c r="K163" s="80">
        <f t="shared" si="103"/>
        <v>2.0085182295779911E-2</v>
      </c>
      <c r="L163" s="80">
        <f t="shared" si="103"/>
        <v>1.9051544931632133E-2</v>
      </c>
      <c r="M163" s="80">
        <f t="shared" si="103"/>
        <v>2.095767688329906E-2</v>
      </c>
      <c r="N163" s="80">
        <f t="shared" si="103"/>
        <v>1.8148685041833493E-2</v>
      </c>
      <c r="O163" s="80">
        <f t="shared" si="103"/>
        <v>1.8310697382584513E-2</v>
      </c>
      <c r="P163" s="80">
        <f t="shared" si="103"/>
        <v>1.879714604182792E-2</v>
      </c>
      <c r="Q163" s="80">
        <f t="shared" si="103"/>
        <v>1.9970208342937387E-2</v>
      </c>
      <c r="R163" s="80">
        <f t="shared" si="103"/>
        <v>1.8315486413731999E-2</v>
      </c>
      <c r="S163" s="80">
        <f t="shared" si="103"/>
        <v>1.9693614711335013E-2</v>
      </c>
      <c r="T163" s="80">
        <f t="shared" si="103"/>
        <v>1.6693973961358216E-2</v>
      </c>
      <c r="U163" s="80">
        <f t="shared" si="103"/>
        <v>1.6568842291439619E-2</v>
      </c>
      <c r="V163" s="80">
        <f t="shared" si="103"/>
        <v>1.2809447574191027E-3</v>
      </c>
      <c r="W163" s="80">
        <f t="shared" si="103"/>
        <v>2.2549084498618581E-2</v>
      </c>
      <c r="X163" s="80">
        <f t="shared" si="103"/>
        <v>4.1267791744393371E-2</v>
      </c>
      <c r="Y163" s="80">
        <f t="shared" si="103"/>
        <v>4.6160914211929679E-2</v>
      </c>
      <c r="Z163" s="80">
        <f t="shared" si="103"/>
        <v>4.2814410863147419E-2</v>
      </c>
      <c r="AA163" s="80">
        <f t="shared" si="103"/>
        <v>7.5767051646847244E-2</v>
      </c>
      <c r="AB163" s="80">
        <f t="shared" si="103"/>
        <v>2.9821079378652394E-2</v>
      </c>
      <c r="AC163" s="80">
        <f t="shared" si="103"/>
        <v>5.101140159854866E-2</v>
      </c>
      <c r="AD163" s="80">
        <f t="shared" si="103"/>
        <v>2.6668540960440398E-2</v>
      </c>
      <c r="AE163" s="80">
        <f t="shared" si="103"/>
        <v>2.547855851734904E-2</v>
      </c>
      <c r="AF163" s="80">
        <f t="shared" si="103"/>
        <v>1.3809058237932527E-2</v>
      </c>
    </row>
    <row r="164" spans="1:34" x14ac:dyDescent="0.25">
      <c r="B164" s="21">
        <f>(B131-B130)^2</f>
        <v>797687.52144088084</v>
      </c>
      <c r="C164" s="21">
        <f t="shared" ref="C164:AF164" si="104">(C131-C130)^2</f>
        <v>661203.8171777695</v>
      </c>
      <c r="D164" s="21">
        <f t="shared" si="104"/>
        <v>303646.69947102841</v>
      </c>
      <c r="E164" s="21">
        <f t="shared" si="104"/>
        <v>131658.94254339169</v>
      </c>
      <c r="F164" s="21">
        <f t="shared" si="104"/>
        <v>42331.682515431537</v>
      </c>
      <c r="G164" s="21">
        <f t="shared" si="104"/>
        <v>29578.953189166798</v>
      </c>
      <c r="H164" s="21">
        <f t="shared" si="104"/>
        <v>56257.578059465675</v>
      </c>
      <c r="I164" s="21">
        <f t="shared" si="104"/>
        <v>38593.355112806377</v>
      </c>
      <c r="J164" s="21">
        <f t="shared" si="104"/>
        <v>36213.909819985201</v>
      </c>
      <c r="K164" s="21">
        <f t="shared" si="104"/>
        <v>38121.889951849982</v>
      </c>
      <c r="L164" s="21">
        <f t="shared" si="104"/>
        <v>32463.241199402059</v>
      </c>
      <c r="M164" s="21">
        <f t="shared" si="104"/>
        <v>37150.955224388796</v>
      </c>
      <c r="N164" s="21">
        <f t="shared" si="104"/>
        <v>25816.750686812076</v>
      </c>
      <c r="O164" s="21">
        <f t="shared" si="104"/>
        <v>24109.751794137755</v>
      </c>
      <c r="P164" s="21">
        <f t="shared" si="104"/>
        <v>23348.253879484517</v>
      </c>
      <c r="Q164" s="21">
        <f t="shared" si="104"/>
        <v>24553.674158763228</v>
      </c>
      <c r="R164" s="21">
        <f t="shared" si="104"/>
        <v>19143.968860352517</v>
      </c>
      <c r="S164" s="21">
        <f t="shared" si="104"/>
        <v>20506.643911483618</v>
      </c>
      <c r="T164" s="21">
        <f t="shared" si="104"/>
        <v>13532.478499510618</v>
      </c>
      <c r="U164" s="21">
        <f t="shared" si="104"/>
        <v>12179.668292808945</v>
      </c>
      <c r="V164" s="21">
        <f t="shared" si="104"/>
        <v>61.458414180577975</v>
      </c>
      <c r="W164" s="21">
        <f t="shared" si="104"/>
        <v>13642.037702171139</v>
      </c>
      <c r="X164" s="21">
        <f t="shared" si="104"/>
        <v>28774.03633930712</v>
      </c>
      <c r="Y164" s="21">
        <f t="shared" si="104"/>
        <v>22438.814023001698</v>
      </c>
      <c r="Z164" s="21">
        <f t="shared" si="104"/>
        <v>11862.814684613571</v>
      </c>
      <c r="AA164" s="21">
        <f t="shared" si="104"/>
        <v>21707.315250414296</v>
      </c>
      <c r="AB164" s="21">
        <f t="shared" si="104"/>
        <v>1735.1578829430321</v>
      </c>
      <c r="AC164" s="21">
        <f t="shared" si="104"/>
        <v>2509.9733896885105</v>
      </c>
      <c r="AD164" s="21">
        <f t="shared" si="104"/>
        <v>337.66132787154925</v>
      </c>
      <c r="AE164" s="21">
        <f t="shared" si="104"/>
        <v>187.22240656386035</v>
      </c>
      <c r="AF164" s="21">
        <f t="shared" si="104"/>
        <v>39.017423707524586</v>
      </c>
    </row>
    <row r="165" spans="1:34" x14ac:dyDescent="0.25">
      <c r="A165" s="71">
        <f>SUM(B165:AF165)</f>
        <v>2471395.2446333822</v>
      </c>
      <c r="B165" s="60">
        <f>IF($A$64&lt;=B129,IF($B$64&gt;=B129,ABS(B164),0),0)</f>
        <v>797687.52144088084</v>
      </c>
      <c r="C165" s="60">
        <f t="shared" ref="C165:AF165" si="105">IF($A$64&lt;=C129,IF($B$64&gt;=C129,ABS(C164),0),0)</f>
        <v>661203.8171777695</v>
      </c>
      <c r="D165" s="60">
        <f t="shared" si="105"/>
        <v>303646.69947102841</v>
      </c>
      <c r="E165" s="60">
        <f t="shared" si="105"/>
        <v>131658.94254339169</v>
      </c>
      <c r="F165" s="60">
        <f t="shared" si="105"/>
        <v>42331.682515431537</v>
      </c>
      <c r="G165" s="60">
        <f t="shared" si="105"/>
        <v>29578.953189166798</v>
      </c>
      <c r="H165" s="60">
        <f t="shared" si="105"/>
        <v>56257.578059465675</v>
      </c>
      <c r="I165" s="60">
        <f t="shared" si="105"/>
        <v>38593.355112806377</v>
      </c>
      <c r="J165" s="60">
        <f t="shared" si="105"/>
        <v>36213.909819985201</v>
      </c>
      <c r="K165" s="60">
        <f t="shared" si="105"/>
        <v>38121.889951849982</v>
      </c>
      <c r="L165" s="60">
        <f t="shared" si="105"/>
        <v>32463.241199402059</v>
      </c>
      <c r="M165" s="60">
        <f t="shared" si="105"/>
        <v>37150.955224388796</v>
      </c>
      <c r="N165" s="60">
        <f t="shared" si="105"/>
        <v>25816.750686812076</v>
      </c>
      <c r="O165" s="60">
        <f t="shared" si="105"/>
        <v>24109.751794137755</v>
      </c>
      <c r="P165" s="60">
        <f t="shared" si="105"/>
        <v>23348.253879484517</v>
      </c>
      <c r="Q165" s="60">
        <f t="shared" si="105"/>
        <v>24553.674158763228</v>
      </c>
      <c r="R165" s="60">
        <f t="shared" si="105"/>
        <v>19143.968860352517</v>
      </c>
      <c r="S165" s="60">
        <f t="shared" si="105"/>
        <v>20506.643911483618</v>
      </c>
      <c r="T165" s="60">
        <f t="shared" si="105"/>
        <v>13532.478499510618</v>
      </c>
      <c r="U165" s="60">
        <f t="shared" si="105"/>
        <v>12179.668292808945</v>
      </c>
      <c r="V165" s="60">
        <f t="shared" si="105"/>
        <v>61.458414180577975</v>
      </c>
      <c r="W165" s="60">
        <f t="shared" si="105"/>
        <v>13642.037702171139</v>
      </c>
      <c r="X165" s="60">
        <f t="shared" si="105"/>
        <v>28774.03633930712</v>
      </c>
      <c r="Y165" s="60">
        <f t="shared" si="105"/>
        <v>22438.814023001698</v>
      </c>
      <c r="Z165" s="60">
        <f t="shared" si="105"/>
        <v>11862.814684613571</v>
      </c>
      <c r="AA165" s="60">
        <f t="shared" si="105"/>
        <v>21707.315250414296</v>
      </c>
      <c r="AB165" s="60">
        <f t="shared" si="105"/>
        <v>1735.1578829430321</v>
      </c>
      <c r="AC165" s="60">
        <f t="shared" si="105"/>
        <v>2509.9733896885105</v>
      </c>
      <c r="AD165" s="60">
        <f t="shared" si="105"/>
        <v>337.66132787154925</v>
      </c>
      <c r="AE165" s="60">
        <f t="shared" si="105"/>
        <v>187.22240656386035</v>
      </c>
      <c r="AF165" s="60">
        <f t="shared" si="105"/>
        <v>39.017423707524586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10712.098903900454</v>
      </c>
      <c r="C170" s="27">
        <f t="shared" ref="C170:AF170" si="106">($C$17+SUM(C171:C201))*$B$51</f>
        <v>10711.222938112403</v>
      </c>
      <c r="D170" s="27">
        <f t="shared" si="106"/>
        <v>10702.566801268689</v>
      </c>
      <c r="E170" s="27">
        <f t="shared" si="106"/>
        <v>10625.544767332272</v>
      </c>
      <c r="F170" s="27">
        <f t="shared" si="106"/>
        <v>10331.770955274624</v>
      </c>
      <c r="G170" s="27">
        <f t="shared" si="106"/>
        <v>10138.33310847742</v>
      </c>
      <c r="H170" s="27">
        <f t="shared" si="106"/>
        <v>9900.3994218506778</v>
      </c>
      <c r="I170" s="27">
        <f t="shared" si="106"/>
        <v>9625.7854342225164</v>
      </c>
      <c r="J170" s="27">
        <f t="shared" si="106"/>
        <v>9376.3595960829498</v>
      </c>
      <c r="K170" s="27">
        <f t="shared" si="106"/>
        <v>9116.6595374162171</v>
      </c>
      <c r="L170" s="27">
        <f t="shared" si="106"/>
        <v>8827.0855933631974</v>
      </c>
      <c r="M170" s="27">
        <f t="shared" si="106"/>
        <v>8481.0401514676305</v>
      </c>
      <c r="N170" s="27">
        <f t="shared" si="106"/>
        <v>8122.9181926074971</v>
      </c>
      <c r="O170" s="27">
        <f t="shared" si="106"/>
        <v>7813.2960018703852</v>
      </c>
      <c r="P170" s="27">
        <f t="shared" si="106"/>
        <v>7538.6835045370353</v>
      </c>
      <c r="Q170" s="27">
        <f t="shared" si="106"/>
        <v>7257.8642493826883</v>
      </c>
      <c r="R170" s="27">
        <f t="shared" si="106"/>
        <v>6975.3113694834037</v>
      </c>
      <c r="S170" s="27">
        <f t="shared" si="106"/>
        <v>6690.0045305175263</v>
      </c>
      <c r="T170" s="27">
        <f t="shared" si="106"/>
        <v>6337.3065375346714</v>
      </c>
      <c r="U170" s="27">
        <f t="shared" si="106"/>
        <v>5715.0144195660678</v>
      </c>
      <c r="V170" s="27">
        <f t="shared" si="106"/>
        <v>4711.7473623570631</v>
      </c>
      <c r="W170" s="27">
        <f t="shared" si="106"/>
        <v>3722.9124640458394</v>
      </c>
      <c r="X170" s="27">
        <f t="shared" si="106"/>
        <v>2931.206078104075</v>
      </c>
      <c r="Y170" s="27">
        <f t="shared" si="106"/>
        <v>2274.993345902109</v>
      </c>
      <c r="Z170" s="27">
        <f t="shared" si="106"/>
        <v>1697.1723512865467</v>
      </c>
      <c r="AA170" s="27">
        <f t="shared" si="106"/>
        <v>1198.0426214826398</v>
      </c>
      <c r="AB170" s="27">
        <f t="shared" si="106"/>
        <v>837.91659365620251</v>
      </c>
      <c r="AC170" s="27">
        <f t="shared" si="106"/>
        <v>608.66745957387752</v>
      </c>
      <c r="AD170" s="27">
        <f t="shared" si="106"/>
        <v>493.9161276700537</v>
      </c>
      <c r="AE170" s="27">
        <f t="shared" si="106"/>
        <v>433.94954793619877</v>
      </c>
      <c r="AF170" s="27">
        <f t="shared" si="106"/>
        <v>404.11999139362746</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3.2494763917221406E-2</v>
      </c>
      <c r="C172" s="3">
        <f t="shared" si="108"/>
        <v>3.2421426630964909E-2</v>
      </c>
      <c r="D172" s="3">
        <f t="shared" si="108"/>
        <v>3.1697095712624281E-2</v>
      </c>
      <c r="E172" s="3">
        <f t="shared" si="108"/>
        <v>2.5286747561723933E-2</v>
      </c>
      <c r="F172" s="3">
        <f t="shared" si="108"/>
        <v>2.6401462831169894E-3</v>
      </c>
      <c r="G172" s="3">
        <f t="shared" si="108"/>
        <v>4.0642289618070441E-13</v>
      </c>
      <c r="H172" s="3">
        <f t="shared" si="108"/>
        <v>3.0372456846592381E-111</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1.4783093985802517E-2</v>
      </c>
      <c r="C173" s="3">
        <f t="shared" si="109"/>
        <v>1.4780081190260365E-2</v>
      </c>
      <c r="D173" s="3">
        <f t="shared" si="109"/>
        <v>1.4749986984636315E-2</v>
      </c>
      <c r="E173" s="3">
        <f t="shared" si="109"/>
        <v>1.4452394594335857E-2</v>
      </c>
      <c r="F173" s="3">
        <f t="shared" si="109"/>
        <v>1.1787495660577067E-2</v>
      </c>
      <c r="G173" s="3">
        <f t="shared" si="109"/>
        <v>1.5354613828764642E-3</v>
      </c>
      <c r="H173" s="3">
        <f t="shared" si="109"/>
        <v>2.1597944608632993E-12</v>
      </c>
      <c r="I173" s="3">
        <f t="shared" si="109"/>
        <v>6.5485880294079993E-101</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2.184325286528635E-2</v>
      </c>
      <c r="C174" s="3">
        <f t="shared" si="110"/>
        <v>2.1842851251611339E-2</v>
      </c>
      <c r="D174" s="3">
        <f t="shared" si="110"/>
        <v>2.1838835520966264E-2</v>
      </c>
      <c r="E174" s="3">
        <f t="shared" si="110"/>
        <v>2.1798718797408478E-2</v>
      </c>
      <c r="F174" s="3">
        <f t="shared" si="110"/>
        <v>2.1401582378066216E-2</v>
      </c>
      <c r="G174" s="3">
        <f t="shared" si="110"/>
        <v>1.7807175803161893E-2</v>
      </c>
      <c r="H174" s="3">
        <f t="shared" si="110"/>
        <v>2.8319570218785979E-3</v>
      </c>
      <c r="I174" s="3">
        <f t="shared" si="110"/>
        <v>2.9309119822457013E-11</v>
      </c>
      <c r="J174" s="3">
        <f t="shared" si="110"/>
        <v>4.132034689105498E-91</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2.659840042090296E-2</v>
      </c>
      <c r="C175" s="3">
        <f t="shared" si="111"/>
        <v>2.659835630482232E-2</v>
      </c>
      <c r="D175" s="3">
        <f t="shared" si="111"/>
        <v>2.6597915148040312E-2</v>
      </c>
      <c r="E175" s="3">
        <f t="shared" si="111"/>
        <v>2.659350398263342E-2</v>
      </c>
      <c r="F175" s="3">
        <f t="shared" si="111"/>
        <v>2.6549432545198502E-2</v>
      </c>
      <c r="G175" s="3">
        <f t="shared" si="111"/>
        <v>2.6112715263132549E-2</v>
      </c>
      <c r="H175" s="3">
        <f t="shared" si="111"/>
        <v>2.2121773104184082E-2</v>
      </c>
      <c r="I175" s="3">
        <f t="shared" si="111"/>
        <v>4.2121025671186972E-3</v>
      </c>
      <c r="J175" s="3">
        <f t="shared" si="111"/>
        <v>2.6380861971356307E-10</v>
      </c>
      <c r="K175" s="3">
        <f t="shared" si="111"/>
        <v>2.4501316381176017E-82</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2.1793095554481993E-2</v>
      </c>
      <c r="C176" s="3">
        <f t="shared" si="112"/>
        <v>2.1793092293809019E-2</v>
      </c>
      <c r="D176" s="3">
        <f t="shared" si="112"/>
        <v>2.1793059687106115E-2</v>
      </c>
      <c r="E176" s="3">
        <f t="shared" si="112"/>
        <v>2.1792733622760276E-2</v>
      </c>
      <c r="F176" s="3">
        <f t="shared" si="112"/>
        <v>2.1789473247608659E-2</v>
      </c>
      <c r="G176" s="3">
        <f t="shared" si="112"/>
        <v>2.1756896311921077E-2</v>
      </c>
      <c r="H176" s="3">
        <f t="shared" si="112"/>
        <v>2.1433793752090029E-2</v>
      </c>
      <c r="I176" s="3">
        <f t="shared" si="112"/>
        <v>1.8455257157268076E-2</v>
      </c>
      <c r="J176" s="3">
        <f t="shared" si="112"/>
        <v>4.1336208400243003E-3</v>
      </c>
      <c r="K176" s="3">
        <f t="shared" si="112"/>
        <v>1.3135179381160976E-9</v>
      </c>
      <c r="L176" s="3">
        <f t="shared" si="112"/>
        <v>1.3787632802322347E-74</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2.3921660727684445E-2</v>
      </c>
      <c r="C177" s="3">
        <f t="shared" si="113"/>
        <v>2.3921660404815505E-2</v>
      </c>
      <c r="D177" s="3">
        <f t="shared" si="113"/>
        <v>2.3921657176126345E-2</v>
      </c>
      <c r="E177" s="3">
        <f t="shared" si="113"/>
        <v>2.3921624889258711E-2</v>
      </c>
      <c r="F177" s="3">
        <f t="shared" si="113"/>
        <v>2.3921302022979103E-2</v>
      </c>
      <c r="G177" s="3">
        <f t="shared" si="113"/>
        <v>2.3918073599845373E-2</v>
      </c>
      <c r="H177" s="3">
        <f t="shared" si="113"/>
        <v>2.3885813322778671E-2</v>
      </c>
      <c r="I177" s="3">
        <f t="shared" si="113"/>
        <v>2.3565594059799234E-2</v>
      </c>
      <c r="J177" s="3">
        <f t="shared" si="113"/>
        <v>2.0590266938303944E-2</v>
      </c>
      <c r="K177" s="3">
        <f t="shared" si="113"/>
        <v>5.3394659836479416E-3</v>
      </c>
      <c r="L177" s="3">
        <f t="shared" si="113"/>
        <v>7.3427086304379128E-9</v>
      </c>
      <c r="M177" s="3">
        <f t="shared" si="113"/>
        <v>1.775992000681215E-67</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2.6315529166252148E-2</v>
      </c>
      <c r="C178" s="3">
        <f t="shared" si="114"/>
        <v>2.6315529134212062E-2</v>
      </c>
      <c r="D178" s="3">
        <f t="shared" si="114"/>
        <v>2.6315528813811231E-2</v>
      </c>
      <c r="E178" s="3">
        <f t="shared" si="114"/>
        <v>2.6315525609803093E-2</v>
      </c>
      <c r="F178" s="3">
        <f t="shared" si="114"/>
        <v>2.6315493569743185E-2</v>
      </c>
      <c r="G178" s="3">
        <f t="shared" si="114"/>
        <v>2.6315173171289622E-2</v>
      </c>
      <c r="H178" s="3">
        <f t="shared" si="114"/>
        <v>2.6311969401297902E-2</v>
      </c>
      <c r="I178" s="3">
        <f t="shared" si="114"/>
        <v>2.6279953146106792E-2</v>
      </c>
      <c r="J178" s="3">
        <f t="shared" si="114"/>
        <v>2.5961925437598486E-2</v>
      </c>
      <c r="K178" s="3">
        <f t="shared" si="114"/>
        <v>2.2985820731991673E-2</v>
      </c>
      <c r="L178" s="3">
        <f t="shared" si="114"/>
        <v>6.8028545450939514E-3</v>
      </c>
      <c r="M178" s="3">
        <f t="shared" si="114"/>
        <v>3.507542035662248E-8</v>
      </c>
      <c r="N178" s="3">
        <f t="shared" si="114"/>
        <v>4.6571462568848793E-61</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3.4157201971998057E-2</v>
      </c>
      <c r="C179" s="3">
        <f t="shared" si="115"/>
        <v>3.4157201968246509E-2</v>
      </c>
      <c r="D179" s="3">
        <f t="shared" si="115"/>
        <v>3.4157201930731039E-2</v>
      </c>
      <c r="E179" s="3">
        <f t="shared" si="115"/>
        <v>3.4157201555576319E-2</v>
      </c>
      <c r="F179" s="3">
        <f t="shared" si="115"/>
        <v>3.4157197804029385E-2</v>
      </c>
      <c r="G179" s="3">
        <f t="shared" si="115"/>
        <v>3.4157160288582664E-2</v>
      </c>
      <c r="H179" s="3">
        <f t="shared" si="115"/>
        <v>3.4156785136381658E-2</v>
      </c>
      <c r="I179" s="3">
        <f t="shared" si="115"/>
        <v>3.4153033840982894E-2</v>
      </c>
      <c r="J179" s="3">
        <f t="shared" si="115"/>
        <v>3.4115543538922065E-2</v>
      </c>
      <c r="K179" s="3">
        <f t="shared" si="115"/>
        <v>3.3742896532730396E-2</v>
      </c>
      <c r="L179" s="3">
        <f t="shared" si="115"/>
        <v>3.02331231315861E-2</v>
      </c>
      <c r="M179" s="3">
        <f t="shared" si="115"/>
        <v>1.0080673268915576E-2</v>
      </c>
      <c r="N179" s="3">
        <f t="shared" si="115"/>
        <v>1.7122012044503429E-7</v>
      </c>
      <c r="O179" s="3">
        <f t="shared" si="115"/>
        <v>3.4214279010653499E-55</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3.3563265451180109E-2</v>
      </c>
      <c r="C180" s="3">
        <f t="shared" si="116"/>
        <v>3.3563265450847569E-2</v>
      </c>
      <c r="D180" s="3">
        <f t="shared" si="116"/>
        <v>3.3563265447522209E-2</v>
      </c>
      <c r="E180" s="3">
        <f t="shared" si="116"/>
        <v>3.3563265414268594E-2</v>
      </c>
      <c r="F180" s="3">
        <f t="shared" si="116"/>
        <v>3.3563265081732394E-2</v>
      </c>
      <c r="G180" s="3">
        <f t="shared" si="116"/>
        <v>3.3563261756370637E-2</v>
      </c>
      <c r="H180" s="3">
        <f t="shared" si="116"/>
        <v>3.3563228502771152E-2</v>
      </c>
      <c r="I180" s="3">
        <f t="shared" si="116"/>
        <v>3.3562895968588337E-2</v>
      </c>
      <c r="J180" s="3">
        <f t="shared" si="116"/>
        <v>3.3559570807960404E-2</v>
      </c>
      <c r="K180" s="3">
        <f t="shared" si="116"/>
        <v>3.3526337315058961E-2</v>
      </c>
      <c r="L180" s="3">
        <f t="shared" si="116"/>
        <v>3.3195807101277647E-2</v>
      </c>
      <c r="M180" s="3">
        <f t="shared" si="116"/>
        <v>3.006453234055019E-2</v>
      </c>
      <c r="N180" s="3">
        <f t="shared" si="116"/>
        <v>1.1162633273240631E-2</v>
      </c>
      <c r="O180" s="3">
        <f t="shared" si="116"/>
        <v>5.5576181059734531E-7</v>
      </c>
      <c r="P180" s="3">
        <f t="shared" si="116"/>
        <v>5.2012668706776235E-50</v>
      </c>
      <c r="Q180" s="3">
        <f t="shared" si="116"/>
        <v>0</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2.5958709058901831E-2</v>
      </c>
      <c r="C181" s="3">
        <f t="shared" si="117"/>
        <v>2.5958709058878631E-2</v>
      </c>
      <c r="D181" s="3">
        <f t="shared" si="117"/>
        <v>2.5958709058646619E-2</v>
      </c>
      <c r="E181" s="3">
        <f t="shared" si="117"/>
        <v>2.5958709056326534E-2</v>
      </c>
      <c r="F181" s="3">
        <f t="shared" si="117"/>
        <v>2.5958709033125658E-2</v>
      </c>
      <c r="G181" s="3">
        <f t="shared" si="117"/>
        <v>2.5958708801116889E-2</v>
      </c>
      <c r="H181" s="3">
        <f t="shared" si="117"/>
        <v>2.5958706481029332E-2</v>
      </c>
      <c r="I181" s="3">
        <f t="shared" si="117"/>
        <v>2.5958683280165155E-2</v>
      </c>
      <c r="J181" s="3">
        <f t="shared" si="117"/>
        <v>2.5958451272663861E-2</v>
      </c>
      <c r="K181" s="3">
        <f t="shared" si="117"/>
        <v>2.5956131311694948E-2</v>
      </c>
      <c r="L181" s="3">
        <f t="shared" si="117"/>
        <v>2.5932943102635275E-2</v>
      </c>
      <c r="M181" s="3">
        <f t="shared" si="117"/>
        <v>2.5702197313893154E-2</v>
      </c>
      <c r="N181" s="3">
        <f t="shared" si="117"/>
        <v>2.350470010894648E-2</v>
      </c>
      <c r="O181" s="3">
        <f t="shared" si="117"/>
        <v>9.6161078676939328E-3</v>
      </c>
      <c r="P181" s="3">
        <f t="shared" si="117"/>
        <v>1.2631224228508122E-6</v>
      </c>
      <c r="Q181" s="3">
        <f t="shared" si="117"/>
        <v>1.9315529990630591E-45</v>
      </c>
      <c r="R181" s="3">
        <f t="shared" si="117"/>
        <v>0</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2.4505487924861354E-2</v>
      </c>
      <c r="C182" s="3">
        <f t="shared" si="118"/>
        <v>2.4505487924859379E-2</v>
      </c>
      <c r="D182" s="3">
        <f t="shared" si="118"/>
        <v>2.4505487924839621E-2</v>
      </c>
      <c r="E182" s="3">
        <f t="shared" si="118"/>
        <v>2.450548792464205E-2</v>
      </c>
      <c r="F182" s="3">
        <f t="shared" si="118"/>
        <v>2.45054879226663E-2</v>
      </c>
      <c r="G182" s="3">
        <f t="shared" si="118"/>
        <v>2.4505487902908837E-2</v>
      </c>
      <c r="H182" s="3">
        <f t="shared" si="118"/>
        <v>2.4505487705334172E-2</v>
      </c>
      <c r="I182" s="3">
        <f t="shared" si="118"/>
        <v>2.4505485729587627E-2</v>
      </c>
      <c r="J182" s="3">
        <f t="shared" si="118"/>
        <v>2.4505465972130921E-2</v>
      </c>
      <c r="K182" s="3">
        <f t="shared" si="118"/>
        <v>2.4505268398439986E-2</v>
      </c>
      <c r="L182" s="3">
        <f t="shared" si="118"/>
        <v>2.4503292749139389E-2</v>
      </c>
      <c r="M182" s="3">
        <f t="shared" si="118"/>
        <v>2.4483545014394766E-2</v>
      </c>
      <c r="N182" s="3">
        <f t="shared" si="118"/>
        <v>2.4286940886019612E-2</v>
      </c>
      <c r="O182" s="3">
        <f t="shared" si="118"/>
        <v>2.2405671825538528E-2</v>
      </c>
      <c r="P182" s="3">
        <f t="shared" si="118"/>
        <v>1.0004825518634582E-2</v>
      </c>
      <c r="Q182" s="3">
        <f t="shared" si="118"/>
        <v>3.153007499372146E-6</v>
      </c>
      <c r="R182" s="3">
        <f t="shared" si="118"/>
        <v>3.0470518903214778E-41</v>
      </c>
      <c r="S182" s="3">
        <f t="shared" si="118"/>
        <v>0</v>
      </c>
      <c r="T182" s="3">
        <f t="shared" si="118"/>
        <v>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2.7040912958719798E-2</v>
      </c>
      <c r="C183" s="3">
        <f t="shared" si="119"/>
        <v>2.7040912958719601E-2</v>
      </c>
      <c r="D183" s="3">
        <f t="shared" si="119"/>
        <v>2.7040912958717633E-2</v>
      </c>
      <c r="E183" s="3">
        <f t="shared" si="119"/>
        <v>2.7040912958697965E-2</v>
      </c>
      <c r="F183" s="3">
        <f t="shared" si="119"/>
        <v>2.7040912958501299E-2</v>
      </c>
      <c r="G183" s="3">
        <f t="shared" si="119"/>
        <v>2.7040912956534609E-2</v>
      </c>
      <c r="H183" s="3">
        <f t="shared" si="119"/>
        <v>2.7040912936867712E-2</v>
      </c>
      <c r="I183" s="3">
        <f t="shared" si="119"/>
        <v>2.7040912740198743E-2</v>
      </c>
      <c r="J183" s="3">
        <f t="shared" si="119"/>
        <v>2.7040910773509147E-2</v>
      </c>
      <c r="K183" s="3">
        <f t="shared" si="119"/>
        <v>2.7040891106621039E-2</v>
      </c>
      <c r="L183" s="3">
        <f t="shared" si="119"/>
        <v>2.7040694438526667E-2</v>
      </c>
      <c r="M183" s="3">
        <f t="shared" si="119"/>
        <v>2.7038727836251292E-2</v>
      </c>
      <c r="N183" s="3">
        <f t="shared" si="119"/>
        <v>2.7019069678215841E-2</v>
      </c>
      <c r="O183" s="3">
        <f t="shared" si="119"/>
        <v>2.6823272457394302E-2</v>
      </c>
      <c r="P183" s="3">
        <f t="shared" si="119"/>
        <v>2.4941665913931599E-2</v>
      </c>
      <c r="Q183" s="3">
        <f t="shared" si="119"/>
        <v>1.2052091629302165E-2</v>
      </c>
      <c r="R183" s="3">
        <f t="shared" si="119"/>
        <v>8.3643480605784667E-6</v>
      </c>
      <c r="S183" s="3">
        <f t="shared" si="119"/>
        <v>2.1683471503006697E-37</v>
      </c>
      <c r="T183" s="3">
        <f t="shared" si="119"/>
        <v>0</v>
      </c>
      <c r="U183" s="3">
        <f t="shared" si="119"/>
        <v>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2.4600371351709244E-2</v>
      </c>
      <c r="C184" s="3">
        <f t="shared" si="120"/>
        <v>2.4600371351709227E-2</v>
      </c>
      <c r="D184" s="3">
        <f t="shared" si="120"/>
        <v>2.4600371351709067E-2</v>
      </c>
      <c r="E184" s="3">
        <f t="shared" si="120"/>
        <v>2.4600371351707454E-2</v>
      </c>
      <c r="F184" s="3">
        <f t="shared" si="120"/>
        <v>2.4600371351691314E-2</v>
      </c>
      <c r="G184" s="3">
        <f t="shared" si="120"/>
        <v>2.4600371351529916E-2</v>
      </c>
      <c r="H184" s="3">
        <f t="shared" si="120"/>
        <v>2.4600371349915919E-2</v>
      </c>
      <c r="I184" s="3">
        <f t="shared" si="120"/>
        <v>2.4600371333775947E-2</v>
      </c>
      <c r="J184" s="3">
        <f t="shared" si="120"/>
        <v>2.4600371172376241E-2</v>
      </c>
      <c r="K184" s="3">
        <f t="shared" si="120"/>
        <v>2.4600369558379229E-2</v>
      </c>
      <c r="L184" s="3">
        <f t="shared" si="120"/>
        <v>2.460035341841494E-2</v>
      </c>
      <c r="M184" s="3">
        <f t="shared" si="120"/>
        <v>2.4600192019354435E-2</v>
      </c>
      <c r="N184" s="3">
        <f t="shared" si="120"/>
        <v>2.4598578086988534E-2</v>
      </c>
      <c r="O184" s="3">
        <f t="shared" si="120"/>
        <v>2.458244458582794E-2</v>
      </c>
      <c r="P184" s="3">
        <f t="shared" si="120"/>
        <v>2.4421690413118556E-2</v>
      </c>
      <c r="Q184" s="3">
        <f t="shared" si="120"/>
        <v>2.2870846980900066E-2</v>
      </c>
      <c r="R184" s="3">
        <f t="shared" si="120"/>
        <v>1.1867179606382795E-2</v>
      </c>
      <c r="S184" s="3">
        <f t="shared" si="120"/>
        <v>1.678804738984804E-5</v>
      </c>
      <c r="T184" s="3">
        <f t="shared" si="120"/>
        <v>5.3892322241347931E-34</v>
      </c>
      <c r="U184" s="3">
        <f t="shared" si="120"/>
        <v>0</v>
      </c>
      <c r="V184" s="3">
        <f t="shared" si="120"/>
        <v>0</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2.6294191463797297E-2</v>
      </c>
      <c r="C185" s="3">
        <f t="shared" si="121"/>
        <v>2.6294191463797294E-2</v>
      </c>
      <c r="D185" s="3">
        <f t="shared" si="121"/>
        <v>2.629419146379728E-2</v>
      </c>
      <c r="E185" s="3">
        <f t="shared" si="121"/>
        <v>2.6294191463797124E-2</v>
      </c>
      <c r="F185" s="3">
        <f t="shared" si="121"/>
        <v>2.6294191463795569E-2</v>
      </c>
      <c r="G185" s="3">
        <f t="shared" si="121"/>
        <v>2.6294191463780005E-2</v>
      </c>
      <c r="H185" s="3">
        <f t="shared" si="121"/>
        <v>2.6294191463624383E-2</v>
      </c>
      <c r="I185" s="3">
        <f t="shared" si="121"/>
        <v>2.6294191462068177E-2</v>
      </c>
      <c r="J185" s="3">
        <f t="shared" si="121"/>
        <v>2.6294191446506104E-2</v>
      </c>
      <c r="K185" s="3">
        <f t="shared" si="121"/>
        <v>2.6294191290885359E-2</v>
      </c>
      <c r="L185" s="3">
        <f t="shared" si="121"/>
        <v>2.6294189734677956E-2</v>
      </c>
      <c r="M185" s="3">
        <f t="shared" si="121"/>
        <v>2.6294174172608997E-2</v>
      </c>
      <c r="N185" s="3">
        <f t="shared" si="121"/>
        <v>2.6294018552425958E-2</v>
      </c>
      <c r="O185" s="3">
        <f t="shared" si="121"/>
        <v>2.6292462401251163E-2</v>
      </c>
      <c r="P185" s="3">
        <f t="shared" si="121"/>
        <v>2.627690595395207E-2</v>
      </c>
      <c r="Q185" s="3">
        <f t="shared" si="121"/>
        <v>2.6121846818573203E-2</v>
      </c>
      <c r="R185" s="3">
        <f t="shared" si="121"/>
        <v>2.4620699925516562E-2</v>
      </c>
      <c r="S185" s="3">
        <f t="shared" si="121"/>
        <v>1.3622774310472239E-2</v>
      </c>
      <c r="T185" s="3">
        <f t="shared" si="121"/>
        <v>3.6636774228976855E-5</v>
      </c>
      <c r="U185" s="3">
        <f t="shared" si="121"/>
        <v>7.2516008847418358E-31</v>
      </c>
      <c r="V185" s="3">
        <f t="shared" si="121"/>
        <v>6.6926874544850446E-288</v>
      </c>
      <c r="W185" s="3">
        <f t="shared" si="121"/>
        <v>0</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3.2623262585065489E-2</v>
      </c>
      <c r="C186" s="3">
        <f t="shared" si="122"/>
        <v>3.2623262585065489E-2</v>
      </c>
      <c r="D186" s="3">
        <f t="shared" si="122"/>
        <v>3.2623262585065482E-2</v>
      </c>
      <c r="E186" s="3">
        <f t="shared" si="122"/>
        <v>3.2623262585065468E-2</v>
      </c>
      <c r="F186" s="3">
        <f t="shared" si="122"/>
        <v>3.2623262585065295E-2</v>
      </c>
      <c r="G186" s="3">
        <f t="shared" si="122"/>
        <v>3.2623262585063553E-2</v>
      </c>
      <c r="H186" s="3">
        <f t="shared" si="122"/>
        <v>3.2623262585046137E-2</v>
      </c>
      <c r="I186" s="3">
        <f t="shared" si="122"/>
        <v>3.2623262584871963E-2</v>
      </c>
      <c r="J186" s="3">
        <f t="shared" si="122"/>
        <v>3.2623262583130232E-2</v>
      </c>
      <c r="K186" s="3">
        <f t="shared" si="122"/>
        <v>3.26232625657129E-2</v>
      </c>
      <c r="L186" s="3">
        <f t="shared" si="122"/>
        <v>3.2623262391539572E-2</v>
      </c>
      <c r="M186" s="3">
        <f t="shared" si="122"/>
        <v>3.2623260649806328E-2</v>
      </c>
      <c r="N186" s="3">
        <f t="shared" si="122"/>
        <v>3.2623243232479046E-2</v>
      </c>
      <c r="O186" s="3">
        <f t="shared" si="122"/>
        <v>3.2623069059717659E-2</v>
      </c>
      <c r="P186" s="3">
        <f t="shared" si="122"/>
        <v>3.2621327383247155E-2</v>
      </c>
      <c r="Q186" s="3">
        <f t="shared" si="122"/>
        <v>3.2603915731865794E-2</v>
      </c>
      <c r="R186" s="3">
        <f t="shared" si="122"/>
        <v>3.2430309541775476E-2</v>
      </c>
      <c r="S186" s="3">
        <f t="shared" si="122"/>
        <v>3.0744286152204481E-2</v>
      </c>
      <c r="T186" s="3">
        <f t="shared" si="122"/>
        <v>1.8025927115655375E-2</v>
      </c>
      <c r="U186" s="3">
        <f t="shared" si="122"/>
        <v>8.6542528857039351E-5</v>
      </c>
      <c r="V186" s="3">
        <f t="shared" si="122"/>
        <v>5.6305301666841595E-28</v>
      </c>
      <c r="W186" s="3">
        <f t="shared" si="122"/>
        <v>7.6514962618191964E-260</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8.8496332073838405E-2</v>
      </c>
      <c r="C187" s="3">
        <f t="shared" si="123"/>
        <v>8.8496332073838405E-2</v>
      </c>
      <c r="D187" s="3">
        <f t="shared" si="123"/>
        <v>8.8496332073838405E-2</v>
      </c>
      <c r="E187" s="3">
        <f t="shared" si="123"/>
        <v>8.8496332073838405E-2</v>
      </c>
      <c r="F187" s="3">
        <f t="shared" si="123"/>
        <v>8.8496332073838349E-2</v>
      </c>
      <c r="G187" s="3">
        <f t="shared" si="123"/>
        <v>8.8496332073837933E-2</v>
      </c>
      <c r="H187" s="3">
        <f t="shared" si="123"/>
        <v>8.8496332073833672E-2</v>
      </c>
      <c r="I187" s="3">
        <f t="shared" si="123"/>
        <v>8.8496332073791054E-2</v>
      </c>
      <c r="J187" s="3">
        <f t="shared" si="123"/>
        <v>8.8496332073364839E-2</v>
      </c>
      <c r="K187" s="3">
        <f t="shared" si="123"/>
        <v>8.8496332069102707E-2</v>
      </c>
      <c r="L187" s="3">
        <f t="shared" si="123"/>
        <v>8.8496332026481467E-2</v>
      </c>
      <c r="M187" s="3">
        <f t="shared" si="123"/>
        <v>8.8496331600269026E-2</v>
      </c>
      <c r="N187" s="3">
        <f t="shared" si="123"/>
        <v>8.849632733814472E-2</v>
      </c>
      <c r="O187" s="3">
        <f t="shared" si="123"/>
        <v>8.8496284716912996E-2</v>
      </c>
      <c r="P187" s="3">
        <f t="shared" si="123"/>
        <v>8.8495858505724709E-2</v>
      </c>
      <c r="Q187" s="3">
        <f t="shared" si="123"/>
        <v>8.8491596506738546E-2</v>
      </c>
      <c r="R187" s="3">
        <f t="shared" si="123"/>
        <v>8.8448987804530615E-2</v>
      </c>
      <c r="S187" s="3">
        <f t="shared" si="123"/>
        <v>8.8024027538984181E-2</v>
      </c>
      <c r="T187" s="3">
        <f t="shared" si="123"/>
        <v>8.3885118284244636E-2</v>
      </c>
      <c r="U187" s="3">
        <f t="shared" si="123"/>
        <v>5.1822907540462738E-2</v>
      </c>
      <c r="V187" s="3">
        <f t="shared" si="123"/>
        <v>4.1965298695787498E-4</v>
      </c>
      <c r="W187" s="3">
        <f t="shared" si="123"/>
        <v>5.0883356229224315E-25</v>
      </c>
      <c r="X187" s="3">
        <f t="shared" si="123"/>
        <v>3.4948621989349685E-234</v>
      </c>
      <c r="Y187" s="3">
        <f t="shared" si="123"/>
        <v>0</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9.9309249865316016E-2</v>
      </c>
      <c r="C188" s="3">
        <f t="shared" si="124"/>
        <v>9.9309249865316016E-2</v>
      </c>
      <c r="D188" s="3">
        <f t="shared" si="124"/>
        <v>9.9309249865316016E-2</v>
      </c>
      <c r="E188" s="3">
        <f t="shared" si="124"/>
        <v>9.9309249865316016E-2</v>
      </c>
      <c r="F188" s="3">
        <f t="shared" si="124"/>
        <v>9.9309249865316016E-2</v>
      </c>
      <c r="G188" s="3">
        <f t="shared" si="124"/>
        <v>9.9309249865315974E-2</v>
      </c>
      <c r="H188" s="3">
        <f t="shared" si="124"/>
        <v>9.9309249865315544E-2</v>
      </c>
      <c r="I188" s="3">
        <f t="shared" si="124"/>
        <v>9.9309249865311214E-2</v>
      </c>
      <c r="J188" s="3">
        <f t="shared" si="124"/>
        <v>9.9309249865268082E-2</v>
      </c>
      <c r="K188" s="3">
        <f t="shared" si="124"/>
        <v>9.9309249864836607E-2</v>
      </c>
      <c r="L188" s="3">
        <f t="shared" si="124"/>
        <v>9.9309249860522059E-2</v>
      </c>
      <c r="M188" s="3">
        <f t="shared" si="124"/>
        <v>9.9309249817376391E-2</v>
      </c>
      <c r="N188" s="3">
        <f t="shared" si="124"/>
        <v>9.9309249385919771E-2</v>
      </c>
      <c r="O188" s="3">
        <f t="shared" si="124"/>
        <v>9.9309245071353594E-2</v>
      </c>
      <c r="P188" s="3">
        <f t="shared" si="124"/>
        <v>9.9309201925702154E-2</v>
      </c>
      <c r="Q188" s="3">
        <f t="shared" si="124"/>
        <v>9.9308770470218841E-2</v>
      </c>
      <c r="R188" s="3">
        <f t="shared" si="124"/>
        <v>9.9304456018481063E-2</v>
      </c>
      <c r="S188" s="3">
        <f t="shared" si="124"/>
        <v>9.9261321808991942E-2</v>
      </c>
      <c r="T188" s="3">
        <f t="shared" si="124"/>
        <v>9.8831008847889673E-2</v>
      </c>
      <c r="U188" s="3">
        <f t="shared" si="124"/>
        <v>9.4629157339264428E-2</v>
      </c>
      <c r="V188" s="3">
        <f t="shared" si="124"/>
        <v>6.1283338296578893E-2</v>
      </c>
      <c r="W188" s="3">
        <f t="shared" si="124"/>
        <v>7.9527409026932153E-4</v>
      </c>
      <c r="X188" s="3">
        <f t="shared" si="124"/>
        <v>1.0771123916780743E-22</v>
      </c>
      <c r="Y188" s="3">
        <f t="shared" si="124"/>
        <v>2.237190207582888E-211</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7.4938076557470937E-2</v>
      </c>
      <c r="C189" s="3">
        <f t="shared" si="125"/>
        <v>7.4938076557470937E-2</v>
      </c>
      <c r="D189" s="3">
        <f t="shared" si="125"/>
        <v>7.4938076557470937E-2</v>
      </c>
      <c r="E189" s="3">
        <f t="shared" si="125"/>
        <v>7.4938076557470937E-2</v>
      </c>
      <c r="F189" s="3">
        <f t="shared" si="125"/>
        <v>7.4938076557470937E-2</v>
      </c>
      <c r="G189" s="3">
        <f t="shared" si="125"/>
        <v>7.4938076557470937E-2</v>
      </c>
      <c r="H189" s="3">
        <f t="shared" si="125"/>
        <v>7.4938076557470909E-2</v>
      </c>
      <c r="I189" s="3">
        <f t="shared" si="125"/>
        <v>7.4938076557470618E-2</v>
      </c>
      <c r="J189" s="3">
        <f t="shared" si="125"/>
        <v>7.4938076557467675E-2</v>
      </c>
      <c r="K189" s="3">
        <f t="shared" si="125"/>
        <v>7.493807655743831E-2</v>
      </c>
      <c r="L189" s="3">
        <f t="shared" si="125"/>
        <v>7.4938076557144614E-2</v>
      </c>
      <c r="M189" s="3">
        <f t="shared" si="125"/>
        <v>7.4938076554207658E-2</v>
      </c>
      <c r="N189" s="3">
        <f t="shared" si="125"/>
        <v>7.4938076524838165E-2</v>
      </c>
      <c r="O189" s="3">
        <f t="shared" si="125"/>
        <v>7.4938076231143139E-2</v>
      </c>
      <c r="P189" s="3">
        <f t="shared" si="125"/>
        <v>7.4938073294193053E-2</v>
      </c>
      <c r="Q189" s="3">
        <f t="shared" si="125"/>
        <v>7.4938043924698453E-2</v>
      </c>
      <c r="R189" s="3">
        <f t="shared" si="125"/>
        <v>7.4937750230385514E-2</v>
      </c>
      <c r="S189" s="3">
        <f t="shared" si="125"/>
        <v>7.4934813350562388E-2</v>
      </c>
      <c r="T189" s="3">
        <f t="shared" si="125"/>
        <v>7.4905450882034166E-2</v>
      </c>
      <c r="U189" s="3">
        <f t="shared" si="125"/>
        <v>7.4612458250143524E-2</v>
      </c>
      <c r="V189" s="3">
        <f t="shared" si="125"/>
        <v>7.1744830263316212E-2</v>
      </c>
      <c r="W189" s="3">
        <f t="shared" si="125"/>
        <v>4.8482303749760869E-2</v>
      </c>
      <c r="X189" s="3">
        <f t="shared" si="125"/>
        <v>9.6274130553230619E-4</v>
      </c>
      <c r="Y189" s="3">
        <f t="shared" si="125"/>
        <v>9.1785309309236851E-21</v>
      </c>
      <c r="Z189" s="3">
        <f t="shared" si="125"/>
        <v>5.6938874923688308E-191</v>
      </c>
      <c r="AA189" s="3">
        <f t="shared" si="125"/>
        <v>0</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6.9322857874701022E-2</v>
      </c>
      <c r="C190" s="3">
        <f t="shared" si="126"/>
        <v>6.9322857874701022E-2</v>
      </c>
      <c r="D190" s="3">
        <f t="shared" si="126"/>
        <v>6.9322857874701022E-2</v>
      </c>
      <c r="E190" s="3">
        <f t="shared" si="126"/>
        <v>6.9322857874701022E-2</v>
      </c>
      <c r="F190" s="3">
        <f t="shared" si="126"/>
        <v>6.9322857874701022E-2</v>
      </c>
      <c r="G190" s="3">
        <f t="shared" si="126"/>
        <v>6.9322857874701022E-2</v>
      </c>
      <c r="H190" s="3">
        <f t="shared" si="126"/>
        <v>6.9322857874701022E-2</v>
      </c>
      <c r="I190" s="3">
        <f t="shared" si="126"/>
        <v>6.9322857874700994E-2</v>
      </c>
      <c r="J190" s="3">
        <f t="shared" si="126"/>
        <v>6.9322857874700758E-2</v>
      </c>
      <c r="K190" s="3">
        <f t="shared" si="126"/>
        <v>6.9322857874698302E-2</v>
      </c>
      <c r="L190" s="3">
        <f t="shared" si="126"/>
        <v>6.9322857874673793E-2</v>
      </c>
      <c r="M190" s="3">
        <f t="shared" si="126"/>
        <v>6.9322857874428712E-2</v>
      </c>
      <c r="N190" s="3">
        <f t="shared" si="126"/>
        <v>6.9322857871977853E-2</v>
      </c>
      <c r="O190" s="3">
        <f t="shared" si="126"/>
        <v>6.9322857847469332E-2</v>
      </c>
      <c r="P190" s="3">
        <f t="shared" si="126"/>
        <v>6.932285760238413E-2</v>
      </c>
      <c r="Q190" s="3">
        <f t="shared" si="126"/>
        <v>6.9322855151532192E-2</v>
      </c>
      <c r="R190" s="3">
        <f t="shared" si="126"/>
        <v>6.9322830643017572E-2</v>
      </c>
      <c r="S190" s="3">
        <f t="shared" si="126"/>
        <v>6.9322585558347971E-2</v>
      </c>
      <c r="T190" s="3">
        <f t="shared" si="126"/>
        <v>6.9320134759307483E-2</v>
      </c>
      <c r="U190" s="3">
        <f t="shared" si="126"/>
        <v>6.9295631533840885E-2</v>
      </c>
      <c r="V190" s="3">
        <f t="shared" si="126"/>
        <v>6.9051075150288355E-2</v>
      </c>
      <c r="W190" s="3">
        <f t="shared" si="126"/>
        <v>6.6652481779948133E-2</v>
      </c>
      <c r="X190" s="3">
        <f t="shared" si="126"/>
        <v>4.6803154193241138E-2</v>
      </c>
      <c r="Y190" s="3">
        <f t="shared" si="126"/>
        <v>1.3641530474291063E-3</v>
      </c>
      <c r="Z190" s="3">
        <f t="shared" si="126"/>
        <v>6.0359113041327813E-19</v>
      </c>
      <c r="AA190" s="3">
        <f t="shared" si="126"/>
        <v>1.7359626112244474E-172</v>
      </c>
      <c r="AB190" s="3">
        <f t="shared" si="126"/>
        <v>0</v>
      </c>
      <c r="AC190" s="3">
        <f t="shared" si="126"/>
        <v>0</v>
      </c>
      <c r="AD190" s="3">
        <f t="shared" si="126"/>
        <v>0</v>
      </c>
      <c r="AE190" s="3">
        <f t="shared" si="126"/>
        <v>0</v>
      </c>
      <c r="AF190" s="3">
        <f t="shared" si="126"/>
        <v>0</v>
      </c>
      <c r="AG190" s="3"/>
      <c r="AH190" s="3"/>
    </row>
    <row r="191" spans="2:34" x14ac:dyDescent="0.25">
      <c r="B191" s="3">
        <f t="shared" ref="B191:AF191" si="127">$C38*EXP(-B$168/$A38/EXP(-$C$126))</f>
        <v>2.2465875921068256E-2</v>
      </c>
      <c r="C191" s="3">
        <f t="shared" si="127"/>
        <v>2.2465875921068256E-2</v>
      </c>
      <c r="D191" s="3">
        <f t="shared" si="127"/>
        <v>2.2465875921068256E-2</v>
      </c>
      <c r="E191" s="3">
        <f t="shared" si="127"/>
        <v>2.2465875921068256E-2</v>
      </c>
      <c r="F191" s="3">
        <f t="shared" si="127"/>
        <v>2.2465875921068256E-2</v>
      </c>
      <c r="G191" s="3">
        <f t="shared" si="127"/>
        <v>2.2465875921068256E-2</v>
      </c>
      <c r="H191" s="3">
        <f t="shared" si="127"/>
        <v>2.2465875921068256E-2</v>
      </c>
      <c r="I191" s="3">
        <f t="shared" si="127"/>
        <v>2.2465875921068256E-2</v>
      </c>
      <c r="J191" s="3">
        <f t="shared" si="127"/>
        <v>2.2465875921068249E-2</v>
      </c>
      <c r="K191" s="3">
        <f t="shared" si="127"/>
        <v>2.2465875921068176E-2</v>
      </c>
      <c r="L191" s="3">
        <f t="shared" si="127"/>
        <v>2.2465875921067462E-2</v>
      </c>
      <c r="M191" s="3">
        <f t="shared" si="127"/>
        <v>2.2465875921060294E-2</v>
      </c>
      <c r="N191" s="3">
        <f t="shared" si="127"/>
        <v>2.2465875920988646E-2</v>
      </c>
      <c r="O191" s="3">
        <f t="shared" si="127"/>
        <v>2.2465875920272157E-2</v>
      </c>
      <c r="P191" s="3">
        <f t="shared" si="127"/>
        <v>2.2465875913107249E-2</v>
      </c>
      <c r="Q191" s="3">
        <f t="shared" si="127"/>
        <v>2.2465875841458177E-2</v>
      </c>
      <c r="R191" s="3">
        <f t="shared" si="127"/>
        <v>2.2465875124967463E-2</v>
      </c>
      <c r="S191" s="3">
        <f t="shared" si="127"/>
        <v>2.2465867960061607E-2</v>
      </c>
      <c r="T191" s="3">
        <f t="shared" si="127"/>
        <v>2.2465796311128699E-2</v>
      </c>
      <c r="U191" s="3">
        <f t="shared" si="127"/>
        <v>2.2465079834367307E-2</v>
      </c>
      <c r="V191" s="3">
        <f t="shared" si="127"/>
        <v>2.245791632337216E-2</v>
      </c>
      <c r="W191" s="3">
        <f t="shared" si="127"/>
        <v>2.2386406727139822E-2</v>
      </c>
      <c r="X191" s="3">
        <f t="shared" si="127"/>
        <v>2.1683715283167791E-2</v>
      </c>
      <c r="Y191" s="3">
        <f t="shared" si="127"/>
        <v>1.5762560196301855E-2</v>
      </c>
      <c r="Z191" s="3">
        <f t="shared" si="127"/>
        <v>6.4946743171820918E-4</v>
      </c>
      <c r="AA191" s="3">
        <f t="shared" si="127"/>
        <v>9.1593272096663412E-18</v>
      </c>
      <c r="AB191" s="3">
        <f t="shared" si="127"/>
        <v>2.8505294856167421E-156</v>
      </c>
      <c r="AC191" s="3">
        <f t="shared" si="127"/>
        <v>0</v>
      </c>
      <c r="AD191" s="3">
        <f t="shared" si="127"/>
        <v>0</v>
      </c>
      <c r="AE191" s="3">
        <f t="shared" si="127"/>
        <v>0</v>
      </c>
      <c r="AF191" s="3">
        <f t="shared" si="127"/>
        <v>0</v>
      </c>
      <c r="AG191" s="3"/>
      <c r="AH191" s="3"/>
    </row>
    <row r="192" spans="2:34" x14ac:dyDescent="0.25">
      <c r="B192" s="3">
        <f t="shared" ref="B192:AF192" si="128">$C39*EXP(-B$168/$A39/EXP(-$C$126))</f>
        <v>5.8329528880761261E-2</v>
      </c>
      <c r="C192" s="3">
        <f t="shared" si="128"/>
        <v>5.8329528880761261E-2</v>
      </c>
      <c r="D192" s="3">
        <f t="shared" si="128"/>
        <v>5.8329528880761261E-2</v>
      </c>
      <c r="E192" s="3">
        <f t="shared" si="128"/>
        <v>5.8329528880761261E-2</v>
      </c>
      <c r="F192" s="3">
        <f t="shared" si="128"/>
        <v>5.8329528880761261E-2</v>
      </c>
      <c r="G192" s="3">
        <f t="shared" si="128"/>
        <v>5.8329528880761261E-2</v>
      </c>
      <c r="H192" s="3">
        <f t="shared" si="128"/>
        <v>5.8329528880761261E-2</v>
      </c>
      <c r="I192" s="3">
        <f t="shared" si="128"/>
        <v>5.8329528880761261E-2</v>
      </c>
      <c r="J192" s="3">
        <f t="shared" si="128"/>
        <v>5.8329528880761254E-2</v>
      </c>
      <c r="K192" s="3">
        <f t="shared" si="128"/>
        <v>5.8329528880761206E-2</v>
      </c>
      <c r="L192" s="3">
        <f t="shared" si="128"/>
        <v>5.8329528880760692E-2</v>
      </c>
      <c r="M192" s="3">
        <f t="shared" si="128"/>
        <v>5.8329528880755543E-2</v>
      </c>
      <c r="N192" s="3">
        <f t="shared" si="128"/>
        <v>5.8329528880704092E-2</v>
      </c>
      <c r="O192" s="3">
        <f t="shared" si="128"/>
        <v>5.8329528880189593E-2</v>
      </c>
      <c r="P192" s="3">
        <f t="shared" si="128"/>
        <v>5.8329528875044549E-2</v>
      </c>
      <c r="Q192" s="3">
        <f t="shared" si="128"/>
        <v>5.8329528823594178E-2</v>
      </c>
      <c r="R192" s="3">
        <f t="shared" si="128"/>
        <v>5.8329528309090425E-2</v>
      </c>
      <c r="S192" s="3">
        <f t="shared" si="128"/>
        <v>5.8329523164053168E-2</v>
      </c>
      <c r="T192" s="3">
        <f t="shared" si="128"/>
        <v>5.8329471713705526E-2</v>
      </c>
      <c r="U192" s="3">
        <f t="shared" si="128"/>
        <v>5.8328957212725178E-2</v>
      </c>
      <c r="V192" s="3">
        <f t="shared" si="128"/>
        <v>5.8323812452516471E-2</v>
      </c>
      <c r="W192" s="3">
        <f t="shared" si="128"/>
        <v>5.8272389801767459E-2</v>
      </c>
      <c r="X192" s="3">
        <f t="shared" si="128"/>
        <v>5.7760650304048138E-2</v>
      </c>
      <c r="Y192" s="3">
        <f t="shared" si="128"/>
        <v>5.2884027571382081E-2</v>
      </c>
      <c r="Z192" s="3">
        <f t="shared" si="128"/>
        <v>2.1890163804061294E-2</v>
      </c>
      <c r="AA192" s="3">
        <f t="shared" si="128"/>
        <v>3.232167772500074E-6</v>
      </c>
      <c r="AB192" s="3">
        <f t="shared" si="128"/>
        <v>1.5919988079677303E-44</v>
      </c>
      <c r="AC192" s="3">
        <f t="shared" si="128"/>
        <v>0</v>
      </c>
      <c r="AD192" s="3">
        <f t="shared" si="128"/>
        <v>0</v>
      </c>
      <c r="AE192" s="3">
        <f t="shared" si="128"/>
        <v>0</v>
      </c>
      <c r="AF192" s="3">
        <f t="shared" si="128"/>
        <v>0</v>
      </c>
      <c r="AG192" s="3"/>
      <c r="AH192" s="3"/>
    </row>
    <row r="193" spans="1:34" x14ac:dyDescent="0.25">
      <c r="B193" s="3">
        <f t="shared" ref="B193:AF193" si="129">$C40*EXP(-B$168/$A40/EXP(-$C$126))</f>
        <v>3.4551716494444183E-2</v>
      </c>
      <c r="C193" s="3">
        <f t="shared" si="129"/>
        <v>3.4551716494444183E-2</v>
      </c>
      <c r="D193" s="3">
        <f t="shared" si="129"/>
        <v>3.4551716494444183E-2</v>
      </c>
      <c r="E193" s="3">
        <f t="shared" si="129"/>
        <v>3.4551716494444183E-2</v>
      </c>
      <c r="F193" s="3">
        <f t="shared" si="129"/>
        <v>3.4551716494444183E-2</v>
      </c>
      <c r="G193" s="3">
        <f t="shared" si="129"/>
        <v>3.4551716494444183E-2</v>
      </c>
      <c r="H193" s="3">
        <f t="shared" si="129"/>
        <v>3.4551716494444183E-2</v>
      </c>
      <c r="I193" s="3">
        <f t="shared" si="129"/>
        <v>3.4551716494444183E-2</v>
      </c>
      <c r="J193" s="3">
        <f t="shared" si="129"/>
        <v>3.4551716494444183E-2</v>
      </c>
      <c r="K193" s="3">
        <f t="shared" si="129"/>
        <v>3.4551716494444176E-2</v>
      </c>
      <c r="L193" s="3">
        <f t="shared" si="129"/>
        <v>3.4551716494444148E-2</v>
      </c>
      <c r="M193" s="3">
        <f t="shared" si="129"/>
        <v>3.4551716494443843E-2</v>
      </c>
      <c r="N193" s="3">
        <f t="shared" si="129"/>
        <v>3.4551716494440797E-2</v>
      </c>
      <c r="O193" s="3">
        <f t="shared" si="129"/>
        <v>3.4551716494410321E-2</v>
      </c>
      <c r="P193" s="3">
        <f t="shared" si="129"/>
        <v>3.4551716494105551E-2</v>
      </c>
      <c r="Q193" s="3">
        <f t="shared" si="129"/>
        <v>3.4551716491057864E-2</v>
      </c>
      <c r="R193" s="3">
        <f t="shared" si="129"/>
        <v>3.4551716460581049E-2</v>
      </c>
      <c r="S193" s="3">
        <f t="shared" si="129"/>
        <v>3.4551716155812803E-2</v>
      </c>
      <c r="T193" s="3">
        <f t="shared" si="129"/>
        <v>3.4551713108130579E-2</v>
      </c>
      <c r="U193" s="3">
        <f t="shared" si="129"/>
        <v>3.4551682631323043E-2</v>
      </c>
      <c r="V193" s="3">
        <f t="shared" si="129"/>
        <v>3.4551377864726257E-2</v>
      </c>
      <c r="W193" s="3">
        <f t="shared" si="129"/>
        <v>3.4548330346606808E-2</v>
      </c>
      <c r="X193" s="3">
        <f t="shared" si="129"/>
        <v>3.4517869945431531E-2</v>
      </c>
      <c r="Y193" s="3">
        <f t="shared" si="129"/>
        <v>3.4214739123299365E-2</v>
      </c>
      <c r="Z193" s="3">
        <f t="shared" si="129"/>
        <v>3.1326053249393498E-2</v>
      </c>
      <c r="AA193" s="3">
        <f t="shared" si="129"/>
        <v>1.2966721115149156E-2</v>
      </c>
      <c r="AB193" s="3">
        <f t="shared" si="129"/>
        <v>1.9145867741567849E-6</v>
      </c>
      <c r="AC193" s="3">
        <f t="shared" si="129"/>
        <v>9.4302650009122138E-45</v>
      </c>
      <c r="AD193" s="3">
        <f t="shared" si="129"/>
        <v>0</v>
      </c>
      <c r="AE193" s="3">
        <f t="shared" si="129"/>
        <v>0</v>
      </c>
      <c r="AF193" s="3">
        <f t="shared" si="129"/>
        <v>0</v>
      </c>
      <c r="AG193" s="3"/>
      <c r="AH193" s="3"/>
    </row>
    <row r="194" spans="1:34" x14ac:dyDescent="0.25">
      <c r="B194" s="3">
        <f t="shared" ref="B194:AF194" si="130">$C41*EXP(-B$168/$A41/EXP(-$C$126))</f>
        <v>3.2785105338059839E-2</v>
      </c>
      <c r="C194" s="3">
        <f t="shared" si="130"/>
        <v>3.2785105338059839E-2</v>
      </c>
      <c r="D194" s="3">
        <f t="shared" si="130"/>
        <v>3.2785105338059839E-2</v>
      </c>
      <c r="E194" s="3">
        <f t="shared" si="130"/>
        <v>3.2785105338059839E-2</v>
      </c>
      <c r="F194" s="3">
        <f t="shared" si="130"/>
        <v>3.2785105338059839E-2</v>
      </c>
      <c r="G194" s="3">
        <f t="shared" si="130"/>
        <v>3.2785105338059839E-2</v>
      </c>
      <c r="H194" s="3">
        <f t="shared" si="130"/>
        <v>3.2785105338059839E-2</v>
      </c>
      <c r="I194" s="3">
        <f t="shared" si="130"/>
        <v>3.2785105338059839E-2</v>
      </c>
      <c r="J194" s="3">
        <f t="shared" si="130"/>
        <v>3.2785105338059839E-2</v>
      </c>
      <c r="K194" s="3">
        <f t="shared" si="130"/>
        <v>3.2785105338059839E-2</v>
      </c>
      <c r="L194" s="3">
        <f t="shared" si="130"/>
        <v>3.2785105338059832E-2</v>
      </c>
      <c r="M194" s="3">
        <f t="shared" si="130"/>
        <v>3.2785105338059804E-2</v>
      </c>
      <c r="N194" s="3">
        <f t="shared" si="130"/>
        <v>3.278510533805952E-2</v>
      </c>
      <c r="O194" s="3">
        <f t="shared" si="130"/>
        <v>3.2785105338056626E-2</v>
      </c>
      <c r="P194" s="3">
        <f t="shared" si="130"/>
        <v>3.2785105338027705E-2</v>
      </c>
      <c r="Q194" s="3">
        <f t="shared" si="130"/>
        <v>3.278510533773852E-2</v>
      </c>
      <c r="R194" s="3">
        <f t="shared" si="130"/>
        <v>3.2785105334846666E-2</v>
      </c>
      <c r="S194" s="3">
        <f t="shared" si="130"/>
        <v>3.2785105305928104E-2</v>
      </c>
      <c r="T194" s="3">
        <f t="shared" si="130"/>
        <v>3.2785105016742505E-2</v>
      </c>
      <c r="U194" s="3">
        <f t="shared" si="130"/>
        <v>3.2785102124886674E-2</v>
      </c>
      <c r="V194" s="3">
        <f t="shared" si="130"/>
        <v>3.2785073206342337E-2</v>
      </c>
      <c r="W194" s="3">
        <f t="shared" si="130"/>
        <v>3.2784784022301922E-2</v>
      </c>
      <c r="X194" s="3">
        <f t="shared" si="130"/>
        <v>3.2781892322186763E-2</v>
      </c>
      <c r="Y194" s="3">
        <f t="shared" si="130"/>
        <v>3.2752989345359793E-2</v>
      </c>
      <c r="Z194" s="3">
        <f t="shared" si="130"/>
        <v>3.2465357443297455E-2</v>
      </c>
      <c r="AA194" s="3">
        <f t="shared" si="130"/>
        <v>2.9724368564212452E-2</v>
      </c>
      <c r="AB194" s="3">
        <f t="shared" si="130"/>
        <v>1.2303739460173192E-2</v>
      </c>
      <c r="AC194" s="3">
        <f t="shared" si="130"/>
        <v>1.8166949557970471E-6</v>
      </c>
      <c r="AD194" s="3">
        <f t="shared" si="130"/>
        <v>8.9481004936596964E-45</v>
      </c>
      <c r="AE194" s="3">
        <f t="shared" si="130"/>
        <v>0</v>
      </c>
      <c r="AF194" s="3">
        <f t="shared" si="130"/>
        <v>0</v>
      </c>
      <c r="AG194" s="3"/>
      <c r="AH194" s="3"/>
    </row>
    <row r="195" spans="1:34" x14ac:dyDescent="0.25">
      <c r="B195" s="3">
        <f t="shared" ref="B195:AF195" si="131">$C42*EXP(-B$168/$A42/EXP(-$C$126))</f>
        <v>1.3184627495592977E-2</v>
      </c>
      <c r="C195" s="3">
        <f t="shared" si="131"/>
        <v>1.3184627495592977E-2</v>
      </c>
      <c r="D195" s="3">
        <f t="shared" si="131"/>
        <v>1.3184627495592977E-2</v>
      </c>
      <c r="E195" s="3">
        <f t="shared" si="131"/>
        <v>1.3184627495592977E-2</v>
      </c>
      <c r="F195" s="3">
        <f t="shared" si="131"/>
        <v>1.3184627495592977E-2</v>
      </c>
      <c r="G195" s="3">
        <f t="shared" si="131"/>
        <v>1.3184627495592977E-2</v>
      </c>
      <c r="H195" s="3">
        <f t="shared" si="131"/>
        <v>1.3184627495592977E-2</v>
      </c>
      <c r="I195" s="3">
        <f t="shared" si="131"/>
        <v>1.3184627495592977E-2</v>
      </c>
      <c r="J195" s="3">
        <f t="shared" si="131"/>
        <v>1.3184627495592977E-2</v>
      </c>
      <c r="K195" s="3">
        <f t="shared" si="131"/>
        <v>1.3184627495592977E-2</v>
      </c>
      <c r="L195" s="3">
        <f t="shared" si="131"/>
        <v>1.3184627495592977E-2</v>
      </c>
      <c r="M195" s="3">
        <f t="shared" si="131"/>
        <v>1.3184627495592975E-2</v>
      </c>
      <c r="N195" s="3">
        <f t="shared" si="131"/>
        <v>1.3184627495592963E-2</v>
      </c>
      <c r="O195" s="3">
        <f t="shared" si="131"/>
        <v>1.3184627495592849E-2</v>
      </c>
      <c r="P195" s="3">
        <f t="shared" si="131"/>
        <v>1.3184627495591685E-2</v>
      </c>
      <c r="Q195" s="3">
        <f t="shared" si="131"/>
        <v>1.3184627495580055E-2</v>
      </c>
      <c r="R195" s="3">
        <f t="shared" si="131"/>
        <v>1.3184627495463758E-2</v>
      </c>
      <c r="S195" s="3">
        <f t="shared" si="131"/>
        <v>1.3184627494300789E-2</v>
      </c>
      <c r="T195" s="3">
        <f t="shared" si="131"/>
        <v>1.3184627482671105E-2</v>
      </c>
      <c r="U195" s="3">
        <f t="shared" si="131"/>
        <v>1.3184627366374258E-2</v>
      </c>
      <c r="V195" s="3">
        <f t="shared" si="131"/>
        <v>1.3184626203405844E-2</v>
      </c>
      <c r="W195" s="3">
        <f t="shared" si="131"/>
        <v>1.3184614573727341E-2</v>
      </c>
      <c r="X195" s="3">
        <f t="shared" si="131"/>
        <v>1.3184498277506503E-2</v>
      </c>
      <c r="Y195" s="3">
        <f t="shared" si="131"/>
        <v>1.3183335371715775E-2</v>
      </c>
      <c r="Z195" s="3">
        <f t="shared" si="131"/>
        <v>1.3171711953732275E-2</v>
      </c>
      <c r="AA195" s="3">
        <f t="shared" si="131"/>
        <v>1.3056039929944739E-2</v>
      </c>
      <c r="AB195" s="3">
        <f t="shared" si="131"/>
        <v>1.1953743110469666E-2</v>
      </c>
      <c r="AC195" s="3">
        <f t="shared" si="131"/>
        <v>4.9479853705668058E-3</v>
      </c>
      <c r="AD195" s="3">
        <f t="shared" si="131"/>
        <v>7.305892727299157E-7</v>
      </c>
      <c r="AE195" s="3">
        <f t="shared" si="131"/>
        <v>3.5985051926942021E-45</v>
      </c>
      <c r="AF195" s="3">
        <f t="shared" si="131"/>
        <v>0</v>
      </c>
      <c r="AG195" s="3"/>
      <c r="AH195" s="3"/>
    </row>
    <row r="196" spans="1:34" x14ac:dyDescent="0.25">
      <c r="B196" s="3">
        <f t="shared" ref="B196:AF196" si="132">$C43*EXP(-B$168/$A43/EXP(-$C$126))</f>
        <v>9.0966723550024858E-3</v>
      </c>
      <c r="C196" s="3">
        <f t="shared" si="132"/>
        <v>9.0966723550024858E-3</v>
      </c>
      <c r="D196" s="3">
        <f t="shared" si="132"/>
        <v>9.0966723550024858E-3</v>
      </c>
      <c r="E196" s="3">
        <f t="shared" si="132"/>
        <v>9.0966723550024858E-3</v>
      </c>
      <c r="F196" s="3">
        <f t="shared" si="132"/>
        <v>9.0966723550024858E-3</v>
      </c>
      <c r="G196" s="3">
        <f t="shared" si="132"/>
        <v>9.0966723550024858E-3</v>
      </c>
      <c r="H196" s="3">
        <f t="shared" si="132"/>
        <v>9.0966723550024858E-3</v>
      </c>
      <c r="I196" s="3">
        <f t="shared" si="132"/>
        <v>9.0966723550024858E-3</v>
      </c>
      <c r="J196" s="3">
        <f t="shared" si="132"/>
        <v>9.0966723550024858E-3</v>
      </c>
      <c r="K196" s="3">
        <f t="shared" si="132"/>
        <v>9.0966723550024858E-3</v>
      </c>
      <c r="L196" s="3">
        <f t="shared" si="132"/>
        <v>9.0966723550024858E-3</v>
      </c>
      <c r="M196" s="3">
        <f t="shared" si="132"/>
        <v>9.0966723550024858E-3</v>
      </c>
      <c r="N196" s="3">
        <f t="shared" si="132"/>
        <v>9.0966723550024841E-3</v>
      </c>
      <c r="O196" s="3">
        <f t="shared" si="132"/>
        <v>9.0966723550024772E-3</v>
      </c>
      <c r="P196" s="3">
        <f t="shared" si="132"/>
        <v>9.0966723550023974E-3</v>
      </c>
      <c r="Q196" s="3">
        <f t="shared" si="132"/>
        <v>9.0966723550015942E-3</v>
      </c>
      <c r="R196" s="3">
        <f t="shared" si="132"/>
        <v>9.0966723549935694E-3</v>
      </c>
      <c r="S196" s="3">
        <f t="shared" si="132"/>
        <v>9.0966723549133315E-3</v>
      </c>
      <c r="T196" s="3">
        <f t="shared" si="132"/>
        <v>9.0966723541109473E-3</v>
      </c>
      <c r="U196" s="3">
        <f t="shared" si="132"/>
        <v>9.0966723460871E-3</v>
      </c>
      <c r="V196" s="3">
        <f t="shared" si="132"/>
        <v>9.0966722658486314E-3</v>
      </c>
      <c r="W196" s="3">
        <f t="shared" si="132"/>
        <v>9.09667146346399E-3</v>
      </c>
      <c r="X196" s="3">
        <f t="shared" si="132"/>
        <v>9.0966634396214517E-3</v>
      </c>
      <c r="Y196" s="3">
        <f t="shared" si="132"/>
        <v>9.0965832015853423E-3</v>
      </c>
      <c r="Z196" s="3">
        <f t="shared" si="132"/>
        <v>9.0957808601493384E-3</v>
      </c>
      <c r="AA196" s="3">
        <f t="shared" si="132"/>
        <v>9.0877613370284552E-3</v>
      </c>
      <c r="AB196" s="3">
        <f t="shared" si="132"/>
        <v>9.0079539627672574E-3</v>
      </c>
      <c r="AC196" s="3">
        <f t="shared" si="132"/>
        <v>8.2474294042935558E-3</v>
      </c>
      <c r="AD196" s="3">
        <f t="shared" si="132"/>
        <v>3.4138394693696626E-3</v>
      </c>
      <c r="AE196" s="3">
        <f t="shared" si="132"/>
        <v>5.0406666720959912E-7</v>
      </c>
      <c r="AF196" s="3">
        <f t="shared" si="132"/>
        <v>2.4827719036169868E-45</v>
      </c>
      <c r="AG196" s="3"/>
      <c r="AH196" s="3"/>
    </row>
    <row r="197" spans="1:34" x14ac:dyDescent="0.25">
      <c r="B197" s="3">
        <f t="shared" ref="B197:AF197" si="133">$C44*EXP(-B$168/$A44/EXP(-$C$126))</f>
        <v>3.0393849329234364E-3</v>
      </c>
      <c r="C197" s="3">
        <f t="shared" si="133"/>
        <v>3.0393849329234364E-3</v>
      </c>
      <c r="D197" s="3">
        <f t="shared" si="133"/>
        <v>3.0393849329234364E-3</v>
      </c>
      <c r="E197" s="3">
        <f t="shared" si="133"/>
        <v>3.0393849329234364E-3</v>
      </c>
      <c r="F197" s="3">
        <f t="shared" si="133"/>
        <v>3.0393849329234364E-3</v>
      </c>
      <c r="G197" s="3">
        <f t="shared" si="133"/>
        <v>3.0393849329234364E-3</v>
      </c>
      <c r="H197" s="3">
        <f t="shared" si="133"/>
        <v>3.0393849329234364E-3</v>
      </c>
      <c r="I197" s="3">
        <f t="shared" si="133"/>
        <v>3.0393849329234364E-3</v>
      </c>
      <c r="J197" s="3">
        <f t="shared" si="133"/>
        <v>3.0393849329234364E-3</v>
      </c>
      <c r="K197" s="3">
        <f t="shared" si="133"/>
        <v>3.0393849329234364E-3</v>
      </c>
      <c r="L197" s="3">
        <f t="shared" si="133"/>
        <v>3.0393849329234364E-3</v>
      </c>
      <c r="M197" s="3">
        <f t="shared" si="133"/>
        <v>3.0393849329234364E-3</v>
      </c>
      <c r="N197" s="3">
        <f t="shared" si="133"/>
        <v>3.0393849329234364E-3</v>
      </c>
      <c r="O197" s="3">
        <f t="shared" si="133"/>
        <v>3.039384932923436E-3</v>
      </c>
      <c r="P197" s="3">
        <f t="shared" si="133"/>
        <v>3.0393849329234334E-3</v>
      </c>
      <c r="Q197" s="3">
        <f t="shared" si="133"/>
        <v>3.0393849329234069E-3</v>
      </c>
      <c r="R197" s="3">
        <f t="shared" si="133"/>
        <v>3.0393849329231385E-3</v>
      </c>
      <c r="S197" s="3">
        <f t="shared" si="133"/>
        <v>3.0393849329204575E-3</v>
      </c>
      <c r="T197" s="3">
        <f t="shared" si="133"/>
        <v>3.0393849328936482E-3</v>
      </c>
      <c r="U197" s="3">
        <f t="shared" si="133"/>
        <v>3.0393849326255549E-3</v>
      </c>
      <c r="V197" s="3">
        <f t="shared" si="133"/>
        <v>3.0393849299446235E-3</v>
      </c>
      <c r="W197" s="3">
        <f t="shared" si="133"/>
        <v>3.039384903135304E-3</v>
      </c>
      <c r="X197" s="3">
        <f t="shared" si="133"/>
        <v>3.039384635042127E-3</v>
      </c>
      <c r="Y197" s="3">
        <f t="shared" si="133"/>
        <v>3.0393819541116546E-3</v>
      </c>
      <c r="Z197" s="3">
        <f t="shared" si="133"/>
        <v>3.0393551449369939E-3</v>
      </c>
      <c r="AA197" s="3">
        <f t="shared" si="133"/>
        <v>3.0390870661960562E-3</v>
      </c>
      <c r="AB197" s="3">
        <f t="shared" si="133"/>
        <v>3.0364075789295459E-3</v>
      </c>
      <c r="AC197" s="3">
        <f t="shared" si="133"/>
        <v>3.0097422972309839E-3</v>
      </c>
      <c r="AD197" s="3">
        <f t="shared" si="133"/>
        <v>2.7556354333213421E-3</v>
      </c>
      <c r="AE197" s="3">
        <f t="shared" si="133"/>
        <v>1.1406338319875275E-3</v>
      </c>
      <c r="AF197" s="3">
        <f t="shared" si="133"/>
        <v>1.6841901892435137E-7</v>
      </c>
      <c r="AG197" s="3"/>
      <c r="AH197" s="3"/>
    </row>
    <row r="198" spans="1:34" x14ac:dyDescent="0.25">
      <c r="B198" s="3">
        <f t="shared" ref="B198:AF198" si="134">$C45*EXP(-B$168/$A45/EXP(-$C$126))</f>
        <v>2.6495422897411186E-3</v>
      </c>
      <c r="C198" s="3">
        <f t="shared" si="134"/>
        <v>2.6495422897411186E-3</v>
      </c>
      <c r="D198" s="3">
        <f t="shared" si="134"/>
        <v>2.6495422897411186E-3</v>
      </c>
      <c r="E198" s="3">
        <f t="shared" si="134"/>
        <v>2.6495422897411186E-3</v>
      </c>
      <c r="F198" s="3">
        <f t="shared" si="134"/>
        <v>2.6495422897411186E-3</v>
      </c>
      <c r="G198" s="3">
        <f t="shared" si="134"/>
        <v>2.6495422897411186E-3</v>
      </c>
      <c r="H198" s="3">
        <f t="shared" si="134"/>
        <v>2.6495422897411186E-3</v>
      </c>
      <c r="I198" s="3">
        <f t="shared" si="134"/>
        <v>2.6495422897411186E-3</v>
      </c>
      <c r="J198" s="3">
        <f t="shared" si="134"/>
        <v>2.6495422897411186E-3</v>
      </c>
      <c r="K198" s="3">
        <f t="shared" si="134"/>
        <v>2.6495422897411186E-3</v>
      </c>
      <c r="L198" s="3">
        <f t="shared" si="134"/>
        <v>2.6495422897411186E-3</v>
      </c>
      <c r="M198" s="3">
        <f t="shared" si="134"/>
        <v>2.6495422897411186E-3</v>
      </c>
      <c r="N198" s="3">
        <f t="shared" si="134"/>
        <v>2.6495422897411186E-3</v>
      </c>
      <c r="O198" s="3">
        <f t="shared" si="134"/>
        <v>2.6495422897411186E-3</v>
      </c>
      <c r="P198" s="3">
        <f t="shared" si="134"/>
        <v>2.6495422897411182E-3</v>
      </c>
      <c r="Q198" s="3">
        <f t="shared" si="134"/>
        <v>2.649542289741116E-3</v>
      </c>
      <c r="R198" s="3">
        <f t="shared" si="134"/>
        <v>2.6495422897410926E-3</v>
      </c>
      <c r="S198" s="3">
        <f t="shared" si="134"/>
        <v>2.6495422897408589E-3</v>
      </c>
      <c r="T198" s="3">
        <f t="shared" si="134"/>
        <v>2.6495422897385218E-3</v>
      </c>
      <c r="U198" s="3">
        <f t="shared" si="134"/>
        <v>2.6495422897151511E-3</v>
      </c>
      <c r="V198" s="3">
        <f t="shared" si="134"/>
        <v>2.6495422894814444E-3</v>
      </c>
      <c r="W198" s="3">
        <f t="shared" si="134"/>
        <v>2.649542287144379E-3</v>
      </c>
      <c r="X198" s="3">
        <f t="shared" si="134"/>
        <v>2.6495422637737211E-3</v>
      </c>
      <c r="Y198" s="3">
        <f t="shared" si="134"/>
        <v>2.6495420300671571E-3</v>
      </c>
      <c r="Z198" s="3">
        <f t="shared" si="134"/>
        <v>2.649539693002646E-3</v>
      </c>
      <c r="AA198" s="3">
        <f t="shared" si="134"/>
        <v>2.6495163224709152E-3</v>
      </c>
      <c r="AB198" s="3">
        <f t="shared" si="134"/>
        <v>2.6492826284911231E-3</v>
      </c>
      <c r="AC198" s="3">
        <f t="shared" si="134"/>
        <v>2.646946822074983E-3</v>
      </c>
      <c r="AD198" s="3">
        <f t="shared" si="134"/>
        <v>2.6237017270681309E-3</v>
      </c>
      <c r="AE198" s="3">
        <f t="shared" si="134"/>
        <v>2.4021875401847655E-3</v>
      </c>
      <c r="AF198" s="3">
        <f t="shared" si="134"/>
        <v>9.9433195914857479E-4</v>
      </c>
      <c r="AG198" s="3"/>
      <c r="AH198" s="3"/>
    </row>
    <row r="199" spans="1:34" x14ac:dyDescent="0.25">
      <c r="B199" s="3">
        <f t="shared" ref="B199:AF199" si="135">$C46*EXP(-B$168/$A46/EXP(-$C$126))</f>
        <v>6.8554497859674352E-4</v>
      </c>
      <c r="C199" s="3">
        <f t="shared" si="135"/>
        <v>6.8554497859674352E-4</v>
      </c>
      <c r="D199" s="3">
        <f t="shared" si="135"/>
        <v>6.8554497859674352E-4</v>
      </c>
      <c r="E199" s="3">
        <f t="shared" si="135"/>
        <v>6.8554497859674352E-4</v>
      </c>
      <c r="F199" s="3">
        <f t="shared" si="135"/>
        <v>6.8554497859674352E-4</v>
      </c>
      <c r="G199" s="3">
        <f t="shared" si="135"/>
        <v>6.8554497859674352E-4</v>
      </c>
      <c r="H199" s="3">
        <f t="shared" si="135"/>
        <v>6.8554497859674352E-4</v>
      </c>
      <c r="I199" s="3">
        <f t="shared" si="135"/>
        <v>6.8554497859674352E-4</v>
      </c>
      <c r="J199" s="3">
        <f t="shared" si="135"/>
        <v>6.8554497859674352E-4</v>
      </c>
      <c r="K199" s="3">
        <f t="shared" si="135"/>
        <v>6.8554497859674352E-4</v>
      </c>
      <c r="L199" s="3">
        <f t="shared" si="135"/>
        <v>6.8554497859674352E-4</v>
      </c>
      <c r="M199" s="3">
        <f t="shared" si="135"/>
        <v>6.8554497859674352E-4</v>
      </c>
      <c r="N199" s="3">
        <f t="shared" si="135"/>
        <v>6.8554497859674352E-4</v>
      </c>
      <c r="O199" s="3">
        <f t="shared" si="135"/>
        <v>6.8554497859674352E-4</v>
      </c>
      <c r="P199" s="3">
        <f t="shared" si="135"/>
        <v>6.8554497859674352E-4</v>
      </c>
      <c r="Q199" s="3">
        <f t="shared" si="135"/>
        <v>6.8554497859674342E-4</v>
      </c>
      <c r="R199" s="3">
        <f t="shared" si="135"/>
        <v>6.8554497859674287E-4</v>
      </c>
      <c r="S199" s="3">
        <f t="shared" si="135"/>
        <v>6.855449785967368E-4</v>
      </c>
      <c r="T199" s="3">
        <f t="shared" si="135"/>
        <v>6.855449785966763E-4</v>
      </c>
      <c r="U199" s="3">
        <f t="shared" si="135"/>
        <v>6.8554497859607164E-4</v>
      </c>
      <c r="V199" s="3">
        <f t="shared" si="135"/>
        <v>6.8554497859002472E-4</v>
      </c>
      <c r="W199" s="3">
        <f t="shared" si="135"/>
        <v>6.8554497852955519E-4</v>
      </c>
      <c r="X199" s="3">
        <f t="shared" si="135"/>
        <v>6.8554497792486073E-4</v>
      </c>
      <c r="Y199" s="3">
        <f t="shared" si="135"/>
        <v>6.8554497187791556E-4</v>
      </c>
      <c r="Z199" s="3">
        <f t="shared" si="135"/>
        <v>6.8554491140846677E-4</v>
      </c>
      <c r="AA199" s="3">
        <f t="shared" si="135"/>
        <v>6.8554430671427242E-4</v>
      </c>
      <c r="AB199" s="3">
        <f t="shared" si="135"/>
        <v>6.8553825980166528E-4</v>
      </c>
      <c r="AC199" s="3">
        <f t="shared" si="135"/>
        <v>6.8547779360907232E-4</v>
      </c>
      <c r="AD199" s="3">
        <f t="shared" si="135"/>
        <v>6.8487342493537379E-4</v>
      </c>
      <c r="AE199" s="3">
        <f t="shared" si="135"/>
        <v>6.7885896794004556E-4</v>
      </c>
      <c r="AF199" s="3">
        <f t="shared" si="135"/>
        <v>6.2154418602702703E-4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1.0364161747734975E-2</v>
      </c>
      <c r="C201" s="3">
        <f t="shared" si="137"/>
        <v>1.0364161747734975E-2</v>
      </c>
      <c r="D201" s="3">
        <f t="shared" si="137"/>
        <v>1.0364161747734975E-2</v>
      </c>
      <c r="E201" s="3">
        <f t="shared" si="137"/>
        <v>1.0364161747734975E-2</v>
      </c>
      <c r="F201" s="3">
        <f t="shared" si="137"/>
        <v>1.0364161747734975E-2</v>
      </c>
      <c r="G201" s="3">
        <f t="shared" si="137"/>
        <v>1.0364161747734975E-2</v>
      </c>
      <c r="H201" s="3">
        <f t="shared" si="137"/>
        <v>1.0364161747734975E-2</v>
      </c>
      <c r="I201" s="3">
        <f t="shared" si="137"/>
        <v>1.0364161747734975E-2</v>
      </c>
      <c r="J201" s="3">
        <f t="shared" si="137"/>
        <v>1.0364161747734975E-2</v>
      </c>
      <c r="K201" s="3">
        <f t="shared" si="137"/>
        <v>1.0364161747734975E-2</v>
      </c>
      <c r="L201" s="3">
        <f t="shared" si="137"/>
        <v>1.0364161747734975E-2</v>
      </c>
      <c r="M201" s="3">
        <f t="shared" si="137"/>
        <v>1.0364161747734975E-2</v>
      </c>
      <c r="N201" s="3">
        <f t="shared" si="137"/>
        <v>1.0364161747734975E-2</v>
      </c>
      <c r="O201" s="3">
        <f t="shared" si="137"/>
        <v>1.0364161747734975E-2</v>
      </c>
      <c r="P201" s="3">
        <f t="shared" si="137"/>
        <v>1.0364161747734975E-2</v>
      </c>
      <c r="Q201" s="3">
        <f t="shared" si="137"/>
        <v>1.0364161747734975E-2</v>
      </c>
      <c r="R201" s="3">
        <f t="shared" si="137"/>
        <v>1.0364161747734975E-2</v>
      </c>
      <c r="S201" s="3">
        <f t="shared" si="137"/>
        <v>1.0364161747734973E-2</v>
      </c>
      <c r="T201" s="3">
        <f t="shared" si="137"/>
        <v>1.0364161747734964E-2</v>
      </c>
      <c r="U201" s="3">
        <f t="shared" si="137"/>
        <v>1.0364161747734874E-2</v>
      </c>
      <c r="V201" s="3">
        <f t="shared" si="137"/>
        <v>1.0364161747733958E-2</v>
      </c>
      <c r="W201" s="3">
        <f t="shared" si="137"/>
        <v>1.0364161747724816E-2</v>
      </c>
      <c r="X201" s="3">
        <f t="shared" si="137"/>
        <v>1.0364161747633398E-2</v>
      </c>
      <c r="Y201" s="3">
        <f t="shared" si="137"/>
        <v>1.0364161746719213E-2</v>
      </c>
      <c r="Z201" s="3">
        <f t="shared" si="137"/>
        <v>1.0364161737577361E-2</v>
      </c>
      <c r="AA201" s="3">
        <f t="shared" si="137"/>
        <v>1.0364161646158825E-2</v>
      </c>
      <c r="AB201" s="3">
        <f t="shared" si="137"/>
        <v>1.0364160731973516E-2</v>
      </c>
      <c r="AC201" s="3">
        <f t="shared" si="137"/>
        <v>1.0364151590124864E-2</v>
      </c>
      <c r="AD201" s="3">
        <f t="shared" si="137"/>
        <v>1.0364060172081859E-2</v>
      </c>
      <c r="AE201" s="3">
        <f t="shared" si="137"/>
        <v>1.036314603600054E-2</v>
      </c>
      <c r="AF201" s="3">
        <f t="shared" si="137"/>
        <v>1.0354009108614249E-2</v>
      </c>
      <c r="AG201" s="3"/>
      <c r="AH201" s="3"/>
    </row>
    <row r="202" spans="1:34" x14ac:dyDescent="0.25">
      <c r="A202" s="79">
        <f>AVERAGE(B202:AF202)</f>
        <v>1.6784791197467036E-2</v>
      </c>
      <c r="B202" s="80">
        <f>IF($A$64&lt;=B168,IF($B$64&gt;=B168,ABS((B170-B169)/B169),0),0)</f>
        <v>5.7633717168624581E-2</v>
      </c>
      <c r="C202" s="80">
        <f t="shared" ref="C202:AF202" si="138">IF($A$64&lt;=C168,IF($B$64&gt;=C168,ABS((C170-C169)/C169),0),0)</f>
        <v>3.2308433159765115E-2</v>
      </c>
      <c r="D202" s="80">
        <f t="shared" si="138"/>
        <v>1.6815856231827492E-2</v>
      </c>
      <c r="E202" s="80">
        <f t="shared" si="138"/>
        <v>7.0970378428521722E-3</v>
      </c>
      <c r="F202" s="80">
        <f t="shared" si="138"/>
        <v>1.6464407171529426E-2</v>
      </c>
      <c r="G202" s="80">
        <f t="shared" si="138"/>
        <v>1.4460702844730918E-2</v>
      </c>
      <c r="H202" s="80">
        <f t="shared" si="138"/>
        <v>1.4811604288647093E-2</v>
      </c>
      <c r="I202" s="80">
        <f t="shared" si="138"/>
        <v>1.5032308692754511E-2</v>
      </c>
      <c r="J202" s="80">
        <f t="shared" si="138"/>
        <v>1.4827761795644004E-2</v>
      </c>
      <c r="K202" s="80">
        <f t="shared" si="138"/>
        <v>1.4938831425047424E-2</v>
      </c>
      <c r="L202" s="80">
        <f t="shared" si="138"/>
        <v>1.5229378225227444E-2</v>
      </c>
      <c r="M202" s="80">
        <f t="shared" si="138"/>
        <v>1.5504624083633161E-2</v>
      </c>
      <c r="N202" s="80">
        <f t="shared" si="138"/>
        <v>1.5213631185073524E-2</v>
      </c>
      <c r="O202" s="80">
        <f t="shared" si="138"/>
        <v>1.5007570722781475E-2</v>
      </c>
      <c r="P202" s="80">
        <f t="shared" si="138"/>
        <v>1.4721041520497998E-2</v>
      </c>
      <c r="Q202" s="80">
        <f t="shared" si="138"/>
        <v>1.4949865348596438E-2</v>
      </c>
      <c r="R202" s="80">
        <f t="shared" si="138"/>
        <v>1.4545499814406868E-2</v>
      </c>
      <c r="S202" s="80">
        <f t="shared" si="138"/>
        <v>1.3382896324617309E-2</v>
      </c>
      <c r="T202" s="80">
        <f t="shared" si="138"/>
        <v>3.5443649671450961E-3</v>
      </c>
      <c r="U202" s="80">
        <f t="shared" si="138"/>
        <v>3.2801057697017355E-2</v>
      </c>
      <c r="V202" s="80">
        <f t="shared" si="138"/>
        <v>5.3550479620929091E-2</v>
      </c>
      <c r="W202" s="80">
        <f t="shared" si="138"/>
        <v>4.5785963847113226E-2</v>
      </c>
      <c r="X202" s="80">
        <f t="shared" si="138"/>
        <v>3.0567298382067822E-2</v>
      </c>
      <c r="Y202" s="80">
        <f t="shared" si="138"/>
        <v>1.6851539824405858E-2</v>
      </c>
      <c r="Z202" s="80">
        <f t="shared" si="138"/>
        <v>7.4425357252326883E-3</v>
      </c>
      <c r="AA202" s="80">
        <f t="shared" si="138"/>
        <v>7.870671781998053E-4</v>
      </c>
      <c r="AB202" s="80">
        <f t="shared" si="138"/>
        <v>2.6266719711271129E-3</v>
      </c>
      <c r="AC202" s="80">
        <f t="shared" si="138"/>
        <v>1.506290529576402E-3</v>
      </c>
      <c r="AD202" s="80">
        <f t="shared" si="138"/>
        <v>1.1905349266279563E-3</v>
      </c>
      <c r="AE202" s="80">
        <f t="shared" si="138"/>
        <v>5.8589017260412613E-4</v>
      </c>
      <c r="AF202" s="80">
        <f t="shared" si="138"/>
        <v>1.436644331746637E-4</v>
      </c>
    </row>
    <row r="203" spans="1:34" x14ac:dyDescent="0.25">
      <c r="B203" s="21">
        <f>(B170-B169)^2</f>
        <v>429203.18049918086</v>
      </c>
      <c r="C203" s="21">
        <f t="shared" ref="C203:AF203" si="139">(C170-C169)^2</f>
        <v>127889.82651906936</v>
      </c>
      <c r="D203" s="21">
        <f t="shared" si="139"/>
        <v>33507.662621122283</v>
      </c>
      <c r="E203" s="21">
        <f t="shared" si="139"/>
        <v>5768.2362575302195</v>
      </c>
      <c r="F203" s="21">
        <f t="shared" si="139"/>
        <v>29913.110344011329</v>
      </c>
      <c r="G203" s="21">
        <f t="shared" si="139"/>
        <v>22129.113929240029</v>
      </c>
      <c r="H203" s="21">
        <f t="shared" si="139"/>
        <v>22154.964493132135</v>
      </c>
      <c r="I203" s="21">
        <f t="shared" si="139"/>
        <v>21581.406960569049</v>
      </c>
      <c r="J203" s="21">
        <f t="shared" si="139"/>
        <v>19915.691052691407</v>
      </c>
      <c r="K203" s="21">
        <f t="shared" si="139"/>
        <v>19115.177142267174</v>
      </c>
      <c r="L203" s="21">
        <f t="shared" si="139"/>
        <v>18634.97664814318</v>
      </c>
      <c r="M203" s="21">
        <f t="shared" si="139"/>
        <v>17839.938765942225</v>
      </c>
      <c r="N203" s="21">
        <f t="shared" si="139"/>
        <v>15747.291581420308</v>
      </c>
      <c r="O203" s="21">
        <f t="shared" si="139"/>
        <v>14171.752774455437</v>
      </c>
      <c r="P203" s="21">
        <f t="shared" si="139"/>
        <v>12686.729510416526</v>
      </c>
      <c r="Q203" s="21">
        <f t="shared" si="139"/>
        <v>12133.20609290623</v>
      </c>
      <c r="R203" s="21">
        <f t="shared" si="139"/>
        <v>10600.13366349772</v>
      </c>
      <c r="S203" s="21">
        <f t="shared" si="139"/>
        <v>8234.8514812049616</v>
      </c>
      <c r="T203" s="21">
        <f t="shared" si="139"/>
        <v>508.12476822342057</v>
      </c>
      <c r="U203" s="21">
        <f t="shared" si="139"/>
        <v>32944.051576695165</v>
      </c>
      <c r="V203" s="21">
        <f t="shared" si="139"/>
        <v>57356.154211318128</v>
      </c>
      <c r="W203" s="21">
        <f t="shared" si="139"/>
        <v>26567.136956524486</v>
      </c>
      <c r="X203" s="21">
        <f t="shared" si="139"/>
        <v>7558.8217287926082</v>
      </c>
      <c r="Y203" s="21">
        <f t="shared" si="139"/>
        <v>1421.4262856666319</v>
      </c>
      <c r="Z203" s="21">
        <f t="shared" si="139"/>
        <v>157.20023290318795</v>
      </c>
      <c r="AA203" s="21">
        <f t="shared" si="139"/>
        <v>0.8877379229069835</v>
      </c>
      <c r="AB203" s="21">
        <f t="shared" si="139"/>
        <v>4.8696501531985117</v>
      </c>
      <c r="AC203" s="21">
        <f t="shared" si="139"/>
        <v>0.84311534430493584</v>
      </c>
      <c r="AD203" s="21">
        <f t="shared" si="139"/>
        <v>0.34659747750189829</v>
      </c>
      <c r="AE203" s="21">
        <f t="shared" si="139"/>
        <v>6.4565743840499373E-2</v>
      </c>
      <c r="AF203" s="21">
        <f t="shared" si="139"/>
        <v>3.3716616936952616E-3</v>
      </c>
      <c r="AG203" s="3"/>
      <c r="AH203" s="3"/>
    </row>
    <row r="204" spans="1:34" x14ac:dyDescent="0.25">
      <c r="A204" s="71">
        <f>SUM(B204:AF204)</f>
        <v>967747.18113522744</v>
      </c>
      <c r="B204" s="60">
        <f>IF($A$64&lt;=B168,IF($B$64&gt;=B168,ABS(B203),0),0)</f>
        <v>429203.18049918086</v>
      </c>
      <c r="C204" s="60">
        <f t="shared" ref="C204" si="140">IF($A$64&lt;=C168,IF($B$64&gt;=C168,ABS(C203),0),0)</f>
        <v>127889.82651906936</v>
      </c>
      <c r="D204" s="60">
        <f t="shared" ref="D204" si="141">IF($A$64&lt;=D168,IF($B$64&gt;=D168,ABS(D203),0),0)</f>
        <v>33507.662621122283</v>
      </c>
      <c r="E204" s="60">
        <f t="shared" ref="E204" si="142">IF($A$64&lt;=E168,IF($B$64&gt;=E168,ABS(E203),0),0)</f>
        <v>5768.2362575302195</v>
      </c>
      <c r="F204" s="60">
        <f t="shared" ref="F204" si="143">IF($A$64&lt;=F168,IF($B$64&gt;=F168,ABS(F203),0),0)</f>
        <v>29913.110344011329</v>
      </c>
      <c r="G204" s="60">
        <f t="shared" ref="G204" si="144">IF($A$64&lt;=G168,IF($B$64&gt;=G168,ABS(G203),0),0)</f>
        <v>22129.113929240029</v>
      </c>
      <c r="H204" s="60">
        <f t="shared" ref="H204" si="145">IF($A$64&lt;=H168,IF($B$64&gt;=H168,ABS(H203),0),0)</f>
        <v>22154.964493132135</v>
      </c>
      <c r="I204" s="60">
        <f t="shared" ref="I204" si="146">IF($A$64&lt;=I168,IF($B$64&gt;=I168,ABS(I203),0),0)</f>
        <v>21581.406960569049</v>
      </c>
      <c r="J204" s="60">
        <f t="shared" ref="J204" si="147">IF($A$64&lt;=J168,IF($B$64&gt;=J168,ABS(J203),0),0)</f>
        <v>19915.691052691407</v>
      </c>
      <c r="K204" s="60">
        <f t="shared" ref="K204" si="148">IF($A$64&lt;=K168,IF($B$64&gt;=K168,ABS(K203),0),0)</f>
        <v>19115.177142267174</v>
      </c>
      <c r="L204" s="60">
        <f t="shared" ref="L204" si="149">IF($A$64&lt;=L168,IF($B$64&gt;=L168,ABS(L203),0),0)</f>
        <v>18634.97664814318</v>
      </c>
      <c r="M204" s="60">
        <f t="shared" ref="M204" si="150">IF($A$64&lt;=M168,IF($B$64&gt;=M168,ABS(M203),0),0)</f>
        <v>17839.938765942225</v>
      </c>
      <c r="N204" s="60">
        <f t="shared" ref="N204" si="151">IF($A$64&lt;=N168,IF($B$64&gt;=N168,ABS(N203),0),0)</f>
        <v>15747.291581420308</v>
      </c>
      <c r="O204" s="60">
        <f t="shared" ref="O204" si="152">IF($A$64&lt;=O168,IF($B$64&gt;=O168,ABS(O203),0),0)</f>
        <v>14171.752774455437</v>
      </c>
      <c r="P204" s="60">
        <f t="shared" ref="P204" si="153">IF($A$64&lt;=P168,IF($B$64&gt;=P168,ABS(P203),0),0)</f>
        <v>12686.729510416526</v>
      </c>
      <c r="Q204" s="60">
        <f t="shared" ref="Q204" si="154">IF($A$64&lt;=Q168,IF($B$64&gt;=Q168,ABS(Q203),0),0)</f>
        <v>12133.20609290623</v>
      </c>
      <c r="R204" s="60">
        <f t="shared" ref="R204" si="155">IF($A$64&lt;=R168,IF($B$64&gt;=R168,ABS(R203),0),0)</f>
        <v>10600.13366349772</v>
      </c>
      <c r="S204" s="60">
        <f t="shared" ref="S204" si="156">IF($A$64&lt;=S168,IF($B$64&gt;=S168,ABS(S203),0),0)</f>
        <v>8234.8514812049616</v>
      </c>
      <c r="T204" s="60">
        <f t="shared" ref="T204" si="157">IF($A$64&lt;=T168,IF($B$64&gt;=T168,ABS(T203),0),0)</f>
        <v>508.12476822342057</v>
      </c>
      <c r="U204" s="60">
        <f t="shared" ref="U204" si="158">IF($A$64&lt;=U168,IF($B$64&gt;=U168,ABS(U203),0),0)</f>
        <v>32944.051576695165</v>
      </c>
      <c r="V204" s="60">
        <f t="shared" ref="V204" si="159">IF($A$64&lt;=V168,IF($B$64&gt;=V168,ABS(V203),0),0)</f>
        <v>57356.154211318128</v>
      </c>
      <c r="W204" s="60">
        <f t="shared" ref="W204" si="160">IF($A$64&lt;=W168,IF($B$64&gt;=W168,ABS(W203),0),0)</f>
        <v>26567.136956524486</v>
      </c>
      <c r="X204" s="60">
        <f t="shared" ref="X204" si="161">IF($A$64&lt;=X168,IF($B$64&gt;=X168,ABS(X203),0),0)</f>
        <v>7558.8217287926082</v>
      </c>
      <c r="Y204" s="60">
        <f t="shared" ref="Y204" si="162">IF($A$64&lt;=Y168,IF($B$64&gt;=Y168,ABS(Y203),0),0)</f>
        <v>1421.4262856666319</v>
      </c>
      <c r="Z204" s="60">
        <f t="shared" ref="Z204" si="163">IF($A$64&lt;=Z168,IF($B$64&gt;=Z168,ABS(Z203),0),0)</f>
        <v>157.20023290318795</v>
      </c>
      <c r="AA204" s="60">
        <f t="shared" ref="AA204" si="164">IF($A$64&lt;=AA168,IF($B$64&gt;=AA168,ABS(AA203),0),0)</f>
        <v>0.8877379229069835</v>
      </c>
      <c r="AB204" s="60">
        <f t="shared" ref="AB204" si="165">IF($A$64&lt;=AB168,IF($B$64&gt;=AB168,ABS(AB203),0),0)</f>
        <v>4.8696501531985117</v>
      </c>
      <c r="AC204" s="60">
        <f t="shared" ref="AC204" si="166">IF($A$64&lt;=AC168,IF($B$64&gt;=AC168,ABS(AC203),0),0)</f>
        <v>0.84311534430493584</v>
      </c>
      <c r="AD204" s="60">
        <f t="shared" ref="AD204" si="167">IF($A$64&lt;=AD168,IF($B$64&gt;=AD168,ABS(AD203),0),0)</f>
        <v>0.34659747750189829</v>
      </c>
      <c r="AE204" s="60">
        <f t="shared" ref="AE204" si="168">IF($A$64&lt;=AE168,IF($B$64&gt;=AE168,ABS(AE203),0),0)</f>
        <v>6.4565743840499373E-2</v>
      </c>
      <c r="AF204" s="60">
        <f t="shared" ref="AF204" si="169">IF($A$64&lt;=AF168,IF($B$64&gt;=AF168,ABS(AF203),0),0)</f>
        <v>3.3716616936952616E-3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10711.042868086166</v>
      </c>
      <c r="C209" s="27">
        <f t="shared" ref="C209:AF209" si="170">($C$17+SUM(C210:C240))*$B$51</f>
        <v>10700.808187077306</v>
      </c>
      <c r="D209" s="27">
        <f t="shared" si="170"/>
        <v>10611.642888794637</v>
      </c>
      <c r="E209" s="27">
        <f t="shared" si="170"/>
        <v>10314.01367884862</v>
      </c>
      <c r="F209" s="27">
        <f t="shared" si="170"/>
        <v>10123.689191759489</v>
      </c>
      <c r="G209" s="27">
        <f t="shared" si="170"/>
        <v>9880.9172738887319</v>
      </c>
      <c r="H209" s="27">
        <f t="shared" si="170"/>
        <v>9604.6758592907936</v>
      </c>
      <c r="I209" s="27">
        <f t="shared" si="170"/>
        <v>9356.5902366374521</v>
      </c>
      <c r="J209" s="27">
        <f t="shared" si="170"/>
        <v>9094.4452879835644</v>
      </c>
      <c r="K209" s="27">
        <f t="shared" si="170"/>
        <v>8801.3457970440741</v>
      </c>
      <c r="L209" s="27">
        <f t="shared" si="170"/>
        <v>8450.2622390544839</v>
      </c>
      <c r="M209" s="27">
        <f t="shared" si="170"/>
        <v>8094.0310681728042</v>
      </c>
      <c r="N209" s="27">
        <f t="shared" si="170"/>
        <v>7790.1542788475217</v>
      </c>
      <c r="O209" s="27">
        <f t="shared" si="170"/>
        <v>7516.5768796903303</v>
      </c>
      <c r="P209" s="27">
        <f t="shared" si="170"/>
        <v>7234.8084316698687</v>
      </c>
      <c r="Q209" s="27">
        <f t="shared" si="170"/>
        <v>6954.2211261608463</v>
      </c>
      <c r="R209" s="27">
        <f t="shared" si="170"/>
        <v>6667.1053176125852</v>
      </c>
      <c r="S209" s="27">
        <f t="shared" si="170"/>
        <v>6305.0943047446272</v>
      </c>
      <c r="T209" s="27">
        <f t="shared" si="170"/>
        <v>5648.2145310584328</v>
      </c>
      <c r="U209" s="27">
        <f t="shared" si="170"/>
        <v>4641.7643847668642</v>
      </c>
      <c r="V209" s="27">
        <f t="shared" si="170"/>
        <v>3668.8847966209869</v>
      </c>
      <c r="W209" s="27">
        <f t="shared" si="170"/>
        <v>2884.7664030379442</v>
      </c>
      <c r="X209" s="27">
        <f t="shared" si="170"/>
        <v>2243.8947567649507</v>
      </c>
      <c r="Y209" s="27">
        <f t="shared" si="170"/>
        <v>1645.0229033316671</v>
      </c>
      <c r="Z209" s="27">
        <f t="shared" si="170"/>
        <v>1167.0664988158785</v>
      </c>
      <c r="AA209" s="27">
        <f t="shared" si="170"/>
        <v>811.95181801939793</v>
      </c>
      <c r="AB209" s="27">
        <f t="shared" si="170"/>
        <v>597.51945469544319</v>
      </c>
      <c r="AC209" s="27">
        <f t="shared" si="170"/>
        <v>486.82278677391673</v>
      </c>
      <c r="AD209" s="27">
        <f t="shared" si="170"/>
        <v>431.2755020022592</v>
      </c>
      <c r="AE209" s="27">
        <f t="shared" si="170"/>
        <v>402.08637996698059</v>
      </c>
      <c r="AF209" s="27">
        <f t="shared" si="170"/>
        <v>386.88562084373501</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3.240635172719309E-2</v>
      </c>
      <c r="C211" s="3">
        <f t="shared" si="172"/>
        <v>3.155002256825308E-2</v>
      </c>
      <c r="D211" s="3">
        <f t="shared" si="172"/>
        <v>2.4137650959159648E-2</v>
      </c>
      <c r="E211" s="3">
        <f t="shared" si="172"/>
        <v>1.6582434467684629E-3</v>
      </c>
      <c r="F211" s="3">
        <f t="shared" si="172"/>
        <v>3.8831230899643917E-15</v>
      </c>
      <c r="G211" s="3">
        <f t="shared" si="172"/>
        <v>1.925350641012709E-131</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1.4779461124552157E-2</v>
      </c>
      <c r="C212" s="3">
        <f t="shared" si="173"/>
        <v>1.4743800121007278E-2</v>
      </c>
      <c r="D212" s="3">
        <f t="shared" si="173"/>
        <v>1.43918884998799E-2</v>
      </c>
      <c r="E212" s="3">
        <f t="shared" si="173"/>
        <v>1.1303196991698001E-2</v>
      </c>
      <c r="F212" s="3">
        <f t="shared" si="173"/>
        <v>1.0093374909350291E-3</v>
      </c>
      <c r="G212" s="3">
        <f t="shared" si="173"/>
        <v>3.253774790342113E-14</v>
      </c>
      <c r="H212" s="3">
        <f t="shared" si="173"/>
        <v>3.9436497768546602E-119</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2.1842768585958142E-2</v>
      </c>
      <c r="C213" s="3">
        <f t="shared" si="174"/>
        <v>2.183800903048783E-2</v>
      </c>
      <c r="D213" s="3">
        <f t="shared" si="174"/>
        <v>2.179047047959972E-2</v>
      </c>
      <c r="E213" s="3">
        <f t="shared" si="174"/>
        <v>2.1320739655567817E-2</v>
      </c>
      <c r="F213" s="3">
        <f t="shared" si="174"/>
        <v>1.7145843907065129E-2</v>
      </c>
      <c r="G213" s="3">
        <f t="shared" si="174"/>
        <v>1.9396566129126238E-3</v>
      </c>
      <c r="H213" s="3">
        <f t="shared" si="174"/>
        <v>6.6586273294186932E-13</v>
      </c>
      <c r="I213" s="3">
        <f t="shared" si="174"/>
        <v>1.5135029933685557E-107</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2.6598347224151938E-2</v>
      </c>
      <c r="C214" s="3">
        <f t="shared" si="175"/>
        <v>2.6597824342982117E-2</v>
      </c>
      <c r="D214" s="3">
        <f t="shared" si="175"/>
        <v>2.6592596096596182E-2</v>
      </c>
      <c r="E214" s="3">
        <f t="shared" si="175"/>
        <v>2.6540370122868792E-2</v>
      </c>
      <c r="F214" s="3">
        <f t="shared" si="175"/>
        <v>2.602371852483578E-2</v>
      </c>
      <c r="G214" s="3">
        <f t="shared" si="175"/>
        <v>2.1379282761067195E-2</v>
      </c>
      <c r="H214" s="3">
        <f t="shared" si="175"/>
        <v>2.9938560489353306E-3</v>
      </c>
      <c r="I214" s="3">
        <f t="shared" si="175"/>
        <v>8.6817794501549549E-12</v>
      </c>
      <c r="J214" s="3">
        <f t="shared" si="175"/>
        <v>3.6507920093899634E-97</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2.1793091622645058E-2</v>
      </c>
      <c r="C215" s="3">
        <f t="shared" si="176"/>
        <v>2.1793052975477473E-2</v>
      </c>
      <c r="D215" s="3">
        <f t="shared" si="176"/>
        <v>2.1792666507571074E-2</v>
      </c>
      <c r="E215" s="3">
        <f t="shared" si="176"/>
        <v>2.1788802205426405E-2</v>
      </c>
      <c r="F215" s="3">
        <f t="shared" si="176"/>
        <v>2.1750196851190291E-2</v>
      </c>
      <c r="G215" s="3">
        <f t="shared" si="176"/>
        <v>2.1367885431473835E-2</v>
      </c>
      <c r="H215" s="3">
        <f t="shared" si="176"/>
        <v>1.7895551706348403E-2</v>
      </c>
      <c r="I215" s="3">
        <f t="shared" si="176"/>
        <v>3.0379494726577856E-3</v>
      </c>
      <c r="J215" s="3">
        <f t="shared" si="176"/>
        <v>6.0385837102783633E-11</v>
      </c>
      <c r="K215" s="3">
        <f t="shared" si="176"/>
        <v>5.8140737782891648E-88</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2.392166033835744E-2</v>
      </c>
      <c r="C216" s="3">
        <f t="shared" si="177"/>
        <v>2.3921656511545798E-2</v>
      </c>
      <c r="D216" s="3">
        <f t="shared" si="177"/>
        <v>2.392161824346305E-2</v>
      </c>
      <c r="E216" s="3">
        <f t="shared" si="177"/>
        <v>2.3921235566002563E-2</v>
      </c>
      <c r="F216" s="3">
        <f t="shared" si="177"/>
        <v>2.3917409128077469E-2</v>
      </c>
      <c r="G216" s="3">
        <f t="shared" si="177"/>
        <v>2.3879178396886844E-2</v>
      </c>
      <c r="H216" s="3">
        <f t="shared" si="177"/>
        <v>2.3500216059699822E-2</v>
      </c>
      <c r="I216" s="3">
        <f t="shared" si="177"/>
        <v>2.0026110399799662E-2</v>
      </c>
      <c r="J216" s="3">
        <f t="shared" si="177"/>
        <v>4.0443069936997337E-3</v>
      </c>
      <c r="K216" s="3">
        <f t="shared" si="177"/>
        <v>4.5637221805388226E-10</v>
      </c>
      <c r="L216" s="3">
        <f t="shared" si="177"/>
        <v>1.5278124344894754E-79</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2.6315529127617063E-2</v>
      </c>
      <c r="C217" s="3">
        <f t="shared" si="178"/>
        <v>2.6315528747861191E-2</v>
      </c>
      <c r="D217" s="3">
        <f t="shared" si="178"/>
        <v>2.6315524950302788E-2</v>
      </c>
      <c r="E217" s="3">
        <f t="shared" si="178"/>
        <v>2.6315486974748885E-2</v>
      </c>
      <c r="F217" s="3">
        <f t="shared" si="178"/>
        <v>2.6315107222223948E-2</v>
      </c>
      <c r="G217" s="3">
        <f t="shared" si="178"/>
        <v>2.6311309998368053E-2</v>
      </c>
      <c r="H217" s="3">
        <f t="shared" si="178"/>
        <v>2.6273367883068156E-2</v>
      </c>
      <c r="I217" s="3">
        <f t="shared" si="178"/>
        <v>2.5896943033797897E-2</v>
      </c>
      <c r="J217" s="3">
        <f t="shared" si="178"/>
        <v>2.2416925419541038E-2</v>
      </c>
      <c r="K217" s="3">
        <f t="shared" si="178"/>
        <v>5.2948236702923803E-3</v>
      </c>
      <c r="L217" s="3">
        <f t="shared" si="178"/>
        <v>2.8615810371827019E-9</v>
      </c>
      <c r="M217" s="3">
        <f t="shared" si="178"/>
        <v>6.0834721539750294E-72</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3.4157201967474307E-2</v>
      </c>
      <c r="C218" s="3">
        <f t="shared" si="179"/>
        <v>3.4157201923009001E-2</v>
      </c>
      <c r="D218" s="3">
        <f t="shared" si="179"/>
        <v>3.4157201478355964E-2</v>
      </c>
      <c r="E218" s="3">
        <f t="shared" si="179"/>
        <v>3.4157197031825855E-2</v>
      </c>
      <c r="F218" s="3">
        <f t="shared" si="179"/>
        <v>3.415715256655668E-2</v>
      </c>
      <c r="G218" s="3">
        <f t="shared" si="179"/>
        <v>3.4156707917048508E-2</v>
      </c>
      <c r="H218" s="3">
        <f t="shared" si="179"/>
        <v>3.4152261740312974E-2</v>
      </c>
      <c r="I218" s="3">
        <f t="shared" si="179"/>
        <v>3.4107831792251873E-2</v>
      </c>
      <c r="J218" s="3">
        <f t="shared" si="179"/>
        <v>3.3666698968196802E-2</v>
      </c>
      <c r="K218" s="3">
        <f t="shared" si="179"/>
        <v>2.9557300565842905E-2</v>
      </c>
      <c r="L218" s="3">
        <f t="shared" si="179"/>
        <v>8.040944964670409E-3</v>
      </c>
      <c r="M218" s="3">
        <f t="shared" si="179"/>
        <v>1.7853785260639274E-8</v>
      </c>
      <c r="N218" s="3">
        <f t="shared" si="179"/>
        <v>5.1995107404680727E-65</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3.3563265450779124E-2</v>
      </c>
      <c r="C219" s="3">
        <f t="shared" si="180"/>
        <v>3.3563265446837735E-2</v>
      </c>
      <c r="D219" s="3">
        <f t="shared" si="180"/>
        <v>3.3563265407423798E-2</v>
      </c>
      <c r="E219" s="3">
        <f t="shared" si="180"/>
        <v>3.3563265013284466E-2</v>
      </c>
      <c r="F219" s="3">
        <f t="shared" si="180"/>
        <v>3.3563261071891372E-2</v>
      </c>
      <c r="G219" s="3">
        <f t="shared" si="180"/>
        <v>3.3563221657985913E-2</v>
      </c>
      <c r="H219" s="3">
        <f t="shared" si="180"/>
        <v>3.3562827521476934E-2</v>
      </c>
      <c r="I219" s="3">
        <f t="shared" si="180"/>
        <v>3.3558886410939487E-2</v>
      </c>
      <c r="J219" s="3">
        <f t="shared" si="180"/>
        <v>3.3519500749741402E-2</v>
      </c>
      <c r="K219" s="3">
        <f t="shared" si="180"/>
        <v>3.3128177534612287E-2</v>
      </c>
      <c r="L219" s="3">
        <f t="shared" si="180"/>
        <v>2.9457614809127328E-2</v>
      </c>
      <c r="M219" s="3">
        <f t="shared" si="180"/>
        <v>9.1032803968337621E-3</v>
      </c>
      <c r="N219" s="3">
        <f t="shared" si="180"/>
        <v>7.2310494194532322E-8</v>
      </c>
      <c r="O219" s="3">
        <f t="shared" si="180"/>
        <v>7.2316171603297185E-59</v>
      </c>
      <c r="P219" s="3">
        <f t="shared" si="180"/>
        <v>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2.5958709058873854E-2</v>
      </c>
      <c r="C220" s="3">
        <f t="shared" si="181"/>
        <v>2.5958709058598865E-2</v>
      </c>
      <c r="D220" s="3">
        <f t="shared" si="181"/>
        <v>2.5958709055848975E-2</v>
      </c>
      <c r="E220" s="3">
        <f t="shared" si="181"/>
        <v>2.5958709028350079E-2</v>
      </c>
      <c r="F220" s="3">
        <f t="shared" si="181"/>
        <v>2.5958708753361124E-2</v>
      </c>
      <c r="G220" s="3">
        <f t="shared" si="181"/>
        <v>2.5958706003471714E-2</v>
      </c>
      <c r="H220" s="3">
        <f t="shared" si="181"/>
        <v>2.5958678504593657E-2</v>
      </c>
      <c r="I220" s="3">
        <f t="shared" si="181"/>
        <v>2.5958403517415241E-2</v>
      </c>
      <c r="J220" s="3">
        <f t="shared" si="181"/>
        <v>2.5955653805841649E-2</v>
      </c>
      <c r="K220" s="3">
        <f t="shared" si="181"/>
        <v>2.5928172704886208E-2</v>
      </c>
      <c r="L220" s="3">
        <f t="shared" si="181"/>
        <v>2.565495691408555E-2</v>
      </c>
      <c r="M220" s="3">
        <f t="shared" si="181"/>
        <v>2.3076241619683139E-2</v>
      </c>
      <c r="N220" s="3">
        <f t="shared" si="181"/>
        <v>8.000238924710289E-3</v>
      </c>
      <c r="O220" s="3">
        <f t="shared" si="181"/>
        <v>2.0066967807859021E-7</v>
      </c>
      <c r="P220" s="3">
        <f t="shared" si="181"/>
        <v>1.9781978294253993E-53</v>
      </c>
      <c r="Q220" s="3">
        <f t="shared" si="181"/>
        <v>0</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2.4505487924858974E-2</v>
      </c>
      <c r="C221" s="3">
        <f t="shared" si="182"/>
        <v>2.4505487924835555E-2</v>
      </c>
      <c r="D221" s="3">
        <f t="shared" si="182"/>
        <v>2.4505487924601381E-2</v>
      </c>
      <c r="E221" s="3">
        <f t="shared" si="182"/>
        <v>2.4505487922259622E-2</v>
      </c>
      <c r="F221" s="3">
        <f t="shared" si="182"/>
        <v>2.4505487898842035E-2</v>
      </c>
      <c r="G221" s="3">
        <f t="shared" si="182"/>
        <v>2.4505487664666186E-2</v>
      </c>
      <c r="H221" s="3">
        <f t="shared" si="182"/>
        <v>2.4505485322907795E-2</v>
      </c>
      <c r="I221" s="3">
        <f t="shared" si="182"/>
        <v>2.4505461905336194E-2</v>
      </c>
      <c r="J221" s="3">
        <f t="shared" si="182"/>
        <v>2.4505227730850974E-2</v>
      </c>
      <c r="K221" s="3">
        <f t="shared" si="182"/>
        <v>2.4502886109072825E-2</v>
      </c>
      <c r="L221" s="3">
        <f t="shared" si="182"/>
        <v>2.4479482194345936E-2</v>
      </c>
      <c r="M221" s="3">
        <f t="shared" si="182"/>
        <v>2.4246669013592514E-2</v>
      </c>
      <c r="N221" s="3">
        <f t="shared" si="182"/>
        <v>2.2036907739538775E-2</v>
      </c>
      <c r="O221" s="3">
        <f t="shared" si="182"/>
        <v>8.4749344423815463E-3</v>
      </c>
      <c r="P221" s="3">
        <f t="shared" si="182"/>
        <v>5.9978180551756193E-7</v>
      </c>
      <c r="Q221" s="3">
        <f t="shared" si="182"/>
        <v>1.8904390743227228E-48</v>
      </c>
      <c r="R221" s="3">
        <f t="shared" si="182"/>
        <v>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2.7040912958719562E-2</v>
      </c>
      <c r="C222" s="3">
        <f t="shared" si="183"/>
        <v>2.7040912958717227E-2</v>
      </c>
      <c r="D222" s="3">
        <f t="shared" si="183"/>
        <v>2.704091295869392E-2</v>
      </c>
      <c r="E222" s="3">
        <f t="shared" si="183"/>
        <v>2.7040912958460814E-2</v>
      </c>
      <c r="F222" s="3">
        <f t="shared" si="183"/>
        <v>2.7040912956129794E-2</v>
      </c>
      <c r="G222" s="3">
        <f t="shared" si="183"/>
        <v>2.7040912932819558E-2</v>
      </c>
      <c r="H222" s="3">
        <f t="shared" si="183"/>
        <v>2.7040912699717184E-2</v>
      </c>
      <c r="I222" s="3">
        <f t="shared" si="183"/>
        <v>2.704091036869356E-2</v>
      </c>
      <c r="J222" s="3">
        <f t="shared" si="183"/>
        <v>2.7040887058468393E-2</v>
      </c>
      <c r="K222" s="3">
        <f t="shared" si="183"/>
        <v>2.7040653957321893E-2</v>
      </c>
      <c r="L222" s="3">
        <f t="shared" si="183"/>
        <v>2.7038323056371414E-2</v>
      </c>
      <c r="M222" s="3">
        <f t="shared" si="183"/>
        <v>2.7015025094794587E-2</v>
      </c>
      <c r="N222" s="3">
        <f t="shared" si="183"/>
        <v>2.6783146756159452E-2</v>
      </c>
      <c r="O222" s="3">
        <f t="shared" si="183"/>
        <v>2.4571058052888072E-2</v>
      </c>
      <c r="P222" s="3">
        <f t="shared" si="183"/>
        <v>1.0376393384044577E-2</v>
      </c>
      <c r="Q222" s="3">
        <f t="shared" si="183"/>
        <v>1.8718546782438984E-6</v>
      </c>
      <c r="R222" s="3">
        <f t="shared" si="183"/>
        <v>6.8317055512276905E-44</v>
      </c>
      <c r="S222" s="3">
        <f t="shared" si="183"/>
        <v>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2.4600371351709227E-2</v>
      </c>
      <c r="C223" s="3">
        <f t="shared" si="184"/>
        <v>2.4600371351709036E-2</v>
      </c>
      <c r="D223" s="3">
        <f t="shared" si="184"/>
        <v>2.4600371351707125E-2</v>
      </c>
      <c r="E223" s="3">
        <f t="shared" si="184"/>
        <v>2.4600371351687991E-2</v>
      </c>
      <c r="F223" s="3">
        <f t="shared" si="184"/>
        <v>2.4600371351496692E-2</v>
      </c>
      <c r="G223" s="3">
        <f t="shared" si="184"/>
        <v>2.4600371349583698E-2</v>
      </c>
      <c r="H223" s="3">
        <f t="shared" si="184"/>
        <v>2.4600371330453761E-2</v>
      </c>
      <c r="I223" s="3">
        <f t="shared" si="184"/>
        <v>2.4600371139154364E-2</v>
      </c>
      <c r="J223" s="3">
        <f t="shared" si="184"/>
        <v>2.4600369226160483E-2</v>
      </c>
      <c r="K223" s="3">
        <f t="shared" si="184"/>
        <v>2.4600350096229871E-2</v>
      </c>
      <c r="L223" s="3">
        <f t="shared" si="184"/>
        <v>2.4600158797741929E-2</v>
      </c>
      <c r="M223" s="3">
        <f t="shared" si="184"/>
        <v>2.4598245894677753E-2</v>
      </c>
      <c r="N223" s="3">
        <f t="shared" si="184"/>
        <v>2.4579125043209069E-2</v>
      </c>
      <c r="O223" s="3">
        <f t="shared" si="184"/>
        <v>2.4388732097382747E-2</v>
      </c>
      <c r="P223" s="3">
        <f t="shared" si="184"/>
        <v>2.2564060963853171E-2</v>
      </c>
      <c r="Q223" s="3">
        <f t="shared" si="184"/>
        <v>1.0368064193920916E-2</v>
      </c>
      <c r="R223" s="3">
        <f t="shared" si="184"/>
        <v>4.3501257142987053E-6</v>
      </c>
      <c r="S223" s="3">
        <f t="shared" si="184"/>
        <v>7.3543299629693458E-40</v>
      </c>
      <c r="T223" s="3">
        <f t="shared" si="184"/>
        <v>0</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2.6294191463797294E-2</v>
      </c>
      <c r="C224" s="3">
        <f t="shared" si="185"/>
        <v>2.6294191463797276E-2</v>
      </c>
      <c r="D224" s="3">
        <f t="shared" si="185"/>
        <v>2.6294191463797092E-2</v>
      </c>
      <c r="E224" s="3">
        <f t="shared" si="185"/>
        <v>2.6294191463795247E-2</v>
      </c>
      <c r="F224" s="3">
        <f t="shared" si="185"/>
        <v>2.6294191463776803E-2</v>
      </c>
      <c r="G224" s="3">
        <f t="shared" si="185"/>
        <v>2.6294191463592353E-2</v>
      </c>
      <c r="H224" s="3">
        <f t="shared" si="185"/>
        <v>2.6294191461747857E-2</v>
      </c>
      <c r="I224" s="3">
        <f t="shared" si="185"/>
        <v>2.6294191443302865E-2</v>
      </c>
      <c r="J224" s="3">
        <f t="shared" si="185"/>
        <v>2.6294191258853E-2</v>
      </c>
      <c r="K224" s="3">
        <f t="shared" si="185"/>
        <v>2.6294189414354394E-2</v>
      </c>
      <c r="L224" s="3">
        <f t="shared" si="185"/>
        <v>2.6294170969375447E-2</v>
      </c>
      <c r="M224" s="3">
        <f t="shared" si="185"/>
        <v>2.6293986520297605E-2</v>
      </c>
      <c r="N224" s="3">
        <f t="shared" si="185"/>
        <v>2.6292142100681034E-2</v>
      </c>
      <c r="O224" s="3">
        <f t="shared" si="185"/>
        <v>2.6273705018850638E-2</v>
      </c>
      <c r="P224" s="3">
        <f t="shared" si="185"/>
        <v>2.6090043791014032E-2</v>
      </c>
      <c r="Q224" s="3">
        <f t="shared" si="185"/>
        <v>2.4322582869071751E-2</v>
      </c>
      <c r="R224" s="3">
        <f t="shared" si="185"/>
        <v>1.2060311600129079E-2</v>
      </c>
      <c r="S224" s="3">
        <f t="shared" si="185"/>
        <v>1.0835448658830278E-5</v>
      </c>
      <c r="T224" s="3">
        <f t="shared" si="185"/>
        <v>3.7130482949050503E-36</v>
      </c>
      <c r="U224" s="3">
        <f t="shared" si="185"/>
        <v>0</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3.2623262585065489E-2</v>
      </c>
      <c r="C225" s="3">
        <f t="shared" si="186"/>
        <v>3.2623262585065482E-2</v>
      </c>
      <c r="D225" s="3">
        <f t="shared" si="186"/>
        <v>3.2623262585065468E-2</v>
      </c>
      <c r="E225" s="3">
        <f t="shared" si="186"/>
        <v>3.262326258506526E-2</v>
      </c>
      <c r="F225" s="3">
        <f t="shared" si="186"/>
        <v>3.2623262585063199E-2</v>
      </c>
      <c r="G225" s="3">
        <f t="shared" si="186"/>
        <v>3.2623262585042549E-2</v>
      </c>
      <c r="H225" s="3">
        <f t="shared" si="186"/>
        <v>3.2623262584836117E-2</v>
      </c>
      <c r="I225" s="3">
        <f t="shared" si="186"/>
        <v>3.262326258277172E-2</v>
      </c>
      <c r="J225" s="3">
        <f t="shared" si="186"/>
        <v>3.2623262562127782E-2</v>
      </c>
      <c r="K225" s="3">
        <f t="shared" si="186"/>
        <v>3.2623262355688416E-2</v>
      </c>
      <c r="L225" s="3">
        <f t="shared" si="186"/>
        <v>3.2623260291294864E-2</v>
      </c>
      <c r="M225" s="3">
        <f t="shared" si="186"/>
        <v>3.2623239647366478E-2</v>
      </c>
      <c r="N225" s="3">
        <f t="shared" si="186"/>
        <v>3.2623033208801097E-2</v>
      </c>
      <c r="O225" s="3">
        <f t="shared" si="186"/>
        <v>3.2620968894994405E-2</v>
      </c>
      <c r="P225" s="3">
        <f t="shared" si="186"/>
        <v>3.2600332939951931E-2</v>
      </c>
      <c r="Q225" s="3">
        <f t="shared" si="186"/>
        <v>3.2394690013015946E-2</v>
      </c>
      <c r="R225" s="3">
        <f t="shared" si="186"/>
        <v>3.0408273246531316E-2</v>
      </c>
      <c r="S225" s="3">
        <f t="shared" si="186"/>
        <v>1.6149945667168125E-2</v>
      </c>
      <c r="T225" s="3">
        <f t="shared" si="186"/>
        <v>2.8837933094839308E-5</v>
      </c>
      <c r="U225" s="3">
        <f t="shared" si="186"/>
        <v>9.5037449607836238E-33</v>
      </c>
      <c r="V225" s="3">
        <f t="shared" si="186"/>
        <v>1.4361546417801242E-307</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8.8496332073838405E-2</v>
      </c>
      <c r="C226" s="3">
        <f t="shared" si="187"/>
        <v>8.8496332073838405E-2</v>
      </c>
      <c r="D226" s="3">
        <f t="shared" si="187"/>
        <v>8.8496332073838391E-2</v>
      </c>
      <c r="E226" s="3">
        <f t="shared" si="187"/>
        <v>8.8496332073838349E-2</v>
      </c>
      <c r="F226" s="3">
        <f t="shared" si="187"/>
        <v>8.8496332073837849E-2</v>
      </c>
      <c r="G226" s="3">
        <f t="shared" si="187"/>
        <v>8.8496332073832798E-2</v>
      </c>
      <c r="H226" s="3">
        <f t="shared" si="187"/>
        <v>8.8496332073782269E-2</v>
      </c>
      <c r="I226" s="3">
        <f t="shared" si="187"/>
        <v>8.8496332073277104E-2</v>
      </c>
      <c r="J226" s="3">
        <f t="shared" si="187"/>
        <v>8.8496332068225408E-2</v>
      </c>
      <c r="K226" s="3">
        <f t="shared" si="187"/>
        <v>8.8496332017708471E-2</v>
      </c>
      <c r="L226" s="3">
        <f t="shared" si="187"/>
        <v>8.8496331512539148E-2</v>
      </c>
      <c r="M226" s="3">
        <f t="shared" si="187"/>
        <v>8.8496326460845945E-2</v>
      </c>
      <c r="N226" s="3">
        <f t="shared" si="187"/>
        <v>8.8496275943929878E-2</v>
      </c>
      <c r="O226" s="3">
        <f t="shared" si="187"/>
        <v>8.8495770776355079E-2</v>
      </c>
      <c r="P226" s="3">
        <f t="shared" si="187"/>
        <v>8.849071925920643E-2</v>
      </c>
      <c r="Q226" s="3">
        <f t="shared" si="187"/>
        <v>8.8440219944297932E-2</v>
      </c>
      <c r="R226" s="3">
        <f t="shared" si="187"/>
        <v>8.7936809109058309E-2</v>
      </c>
      <c r="S226" s="3">
        <f t="shared" si="187"/>
        <v>8.3057640560214405E-2</v>
      </c>
      <c r="T226" s="3">
        <f t="shared" si="187"/>
        <v>4.6931935091649953E-2</v>
      </c>
      <c r="U226" s="3">
        <f t="shared" si="187"/>
        <v>1.5572458299926612E-4</v>
      </c>
      <c r="V226" s="3">
        <f t="shared" si="187"/>
        <v>2.5190937414011729E-29</v>
      </c>
      <c r="W226" s="3">
        <f t="shared" si="187"/>
        <v>3.0911199082533847E-277</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9.9309249865316016E-2</v>
      </c>
      <c r="C227" s="3">
        <f t="shared" si="188"/>
        <v>9.9309249865316016E-2</v>
      </c>
      <c r="D227" s="3">
        <f t="shared" si="188"/>
        <v>9.9309249865316016E-2</v>
      </c>
      <c r="E227" s="3">
        <f t="shared" si="188"/>
        <v>9.9309249865316002E-2</v>
      </c>
      <c r="F227" s="3">
        <f t="shared" si="188"/>
        <v>9.930924986531596E-2</v>
      </c>
      <c r="G227" s="3">
        <f t="shared" si="188"/>
        <v>9.9309249865315447E-2</v>
      </c>
      <c r="H227" s="3">
        <f t="shared" si="188"/>
        <v>9.9309249865310339E-2</v>
      </c>
      <c r="I227" s="3">
        <f t="shared" si="188"/>
        <v>9.9309249865259186E-2</v>
      </c>
      <c r="J227" s="3">
        <f t="shared" si="188"/>
        <v>9.9309249864747817E-2</v>
      </c>
      <c r="K227" s="3">
        <f t="shared" si="188"/>
        <v>9.9309249859633963E-2</v>
      </c>
      <c r="L227" s="3">
        <f t="shared" si="188"/>
        <v>9.9309249808495453E-2</v>
      </c>
      <c r="M227" s="3">
        <f t="shared" si="188"/>
        <v>9.9309249297110436E-2</v>
      </c>
      <c r="N227" s="3">
        <f t="shared" si="188"/>
        <v>9.9309244183260384E-2</v>
      </c>
      <c r="O227" s="3">
        <f t="shared" si="188"/>
        <v>9.9309193044774327E-2</v>
      </c>
      <c r="P227" s="3">
        <f t="shared" si="188"/>
        <v>9.9308681661362155E-2</v>
      </c>
      <c r="Q227" s="3">
        <f t="shared" si="188"/>
        <v>9.9303567972070697E-2</v>
      </c>
      <c r="R227" s="3">
        <f t="shared" si="188"/>
        <v>9.925244555943942E-2</v>
      </c>
      <c r="S227" s="3">
        <f t="shared" si="188"/>
        <v>9.8742666706346002E-2</v>
      </c>
      <c r="T227" s="3">
        <f t="shared" si="188"/>
        <v>9.3786689356968211E-2</v>
      </c>
      <c r="U227" s="3">
        <f t="shared" si="188"/>
        <v>5.6040853835911932E-2</v>
      </c>
      <c r="V227" s="3">
        <f t="shared" si="188"/>
        <v>3.2519220177006325E-4</v>
      </c>
      <c r="W227" s="3">
        <f t="shared" si="188"/>
        <v>1.4076474955905226E-26</v>
      </c>
      <c r="X227" s="3">
        <f t="shared" si="188"/>
        <v>3.2511110698558645E-250</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7.4938076557470937E-2</v>
      </c>
      <c r="C228" s="3">
        <f t="shared" si="189"/>
        <v>7.4938076557470937E-2</v>
      </c>
      <c r="D228" s="3">
        <f t="shared" si="189"/>
        <v>7.4938076557470937E-2</v>
      </c>
      <c r="E228" s="3">
        <f t="shared" si="189"/>
        <v>7.4938076557470937E-2</v>
      </c>
      <c r="F228" s="3">
        <f t="shared" si="189"/>
        <v>7.4938076557470937E-2</v>
      </c>
      <c r="G228" s="3">
        <f t="shared" si="189"/>
        <v>7.4938076557470895E-2</v>
      </c>
      <c r="H228" s="3">
        <f t="shared" si="189"/>
        <v>7.4938076557470548E-2</v>
      </c>
      <c r="I228" s="3">
        <f t="shared" si="189"/>
        <v>7.4938076557467065E-2</v>
      </c>
      <c r="J228" s="3">
        <f t="shared" si="189"/>
        <v>7.4938076557432259E-2</v>
      </c>
      <c r="K228" s="3">
        <f t="shared" si="189"/>
        <v>7.4938076557084163E-2</v>
      </c>
      <c r="L228" s="3">
        <f t="shared" si="189"/>
        <v>7.4938076553603128E-2</v>
      </c>
      <c r="M228" s="3">
        <f t="shared" si="189"/>
        <v>7.4938076518792848E-2</v>
      </c>
      <c r="N228" s="3">
        <f t="shared" si="189"/>
        <v>7.4938076170690121E-2</v>
      </c>
      <c r="O228" s="3">
        <f t="shared" si="189"/>
        <v>7.4938072689662877E-2</v>
      </c>
      <c r="P228" s="3">
        <f t="shared" si="189"/>
        <v>7.493803787939933E-2</v>
      </c>
      <c r="Q228" s="3">
        <f t="shared" si="189"/>
        <v>7.4937689777653194E-2</v>
      </c>
      <c r="R228" s="3">
        <f t="shared" si="189"/>
        <v>7.4934208849125689E-2</v>
      </c>
      <c r="S228" s="3">
        <f t="shared" si="189"/>
        <v>7.4899408455699687E-2</v>
      </c>
      <c r="T228" s="3">
        <f t="shared" si="189"/>
        <v>7.4552292179979496E-2</v>
      </c>
      <c r="U228" s="3">
        <f t="shared" si="189"/>
        <v>7.1168388406057534E-2</v>
      </c>
      <c r="V228" s="3">
        <f t="shared" si="189"/>
        <v>4.4724803159197836E-2</v>
      </c>
      <c r="W228" s="3">
        <f t="shared" si="189"/>
        <v>4.2969618912353842E-4</v>
      </c>
      <c r="X228" s="3">
        <f t="shared" si="189"/>
        <v>2.8793346528378592E-24</v>
      </c>
      <c r="Y228" s="3">
        <f t="shared" si="189"/>
        <v>5.2553127162076065E-226</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6.9322857874701022E-2</v>
      </c>
      <c r="C229" s="3">
        <f t="shared" si="190"/>
        <v>6.9322857874701022E-2</v>
      </c>
      <c r="D229" s="3">
        <f t="shared" si="190"/>
        <v>6.9322857874701022E-2</v>
      </c>
      <c r="E229" s="3">
        <f t="shared" si="190"/>
        <v>6.9322857874701022E-2</v>
      </c>
      <c r="F229" s="3">
        <f t="shared" si="190"/>
        <v>6.9322857874701022E-2</v>
      </c>
      <c r="G229" s="3">
        <f t="shared" si="190"/>
        <v>6.9322857874701022E-2</v>
      </c>
      <c r="H229" s="3">
        <f t="shared" si="190"/>
        <v>6.9322857874700994E-2</v>
      </c>
      <c r="I229" s="3">
        <f t="shared" si="190"/>
        <v>6.9322857874700702E-2</v>
      </c>
      <c r="J229" s="3">
        <f t="shared" si="190"/>
        <v>6.9322857874697802E-2</v>
      </c>
      <c r="K229" s="3">
        <f t="shared" si="190"/>
        <v>6.9322857874668742E-2</v>
      </c>
      <c r="L229" s="3">
        <f t="shared" si="190"/>
        <v>6.9322857874378252E-2</v>
      </c>
      <c r="M229" s="3">
        <f t="shared" si="190"/>
        <v>6.9322857871473381E-2</v>
      </c>
      <c r="N229" s="3">
        <f t="shared" si="190"/>
        <v>6.9322857842424604E-2</v>
      </c>
      <c r="O229" s="3">
        <f t="shared" si="190"/>
        <v>6.9322857551936762E-2</v>
      </c>
      <c r="P229" s="3">
        <f t="shared" si="190"/>
        <v>6.9322854647058535E-2</v>
      </c>
      <c r="Q229" s="3">
        <f t="shared" si="190"/>
        <v>6.9322825598282983E-2</v>
      </c>
      <c r="R229" s="3">
        <f t="shared" si="190"/>
        <v>6.9322535111196959E-2</v>
      </c>
      <c r="S229" s="3">
        <f t="shared" si="190"/>
        <v>6.9319630307284219E-2</v>
      </c>
      <c r="T229" s="3">
        <f t="shared" si="190"/>
        <v>6.9290588961873067E-2</v>
      </c>
      <c r="U229" s="3">
        <f t="shared" si="190"/>
        <v>6.9000843842737358E-2</v>
      </c>
      <c r="V229" s="3">
        <f t="shared" si="190"/>
        <v>6.6169201451806367E-2</v>
      </c>
      <c r="W229" s="3">
        <f t="shared" si="190"/>
        <v>4.3518188483149166E-2</v>
      </c>
      <c r="X229" s="3">
        <f t="shared" si="190"/>
        <v>6.5890068996514407E-4</v>
      </c>
      <c r="Y229" s="3">
        <f t="shared" si="190"/>
        <v>4.1716848971355913E-22</v>
      </c>
      <c r="Z229" s="3">
        <f t="shared" si="190"/>
        <v>4.3174453113863192E-204</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2.2465875921068256E-2</v>
      </c>
      <c r="C230" s="3">
        <f t="shared" si="191"/>
        <v>2.2465875921068256E-2</v>
      </c>
      <c r="D230" s="3">
        <f t="shared" si="191"/>
        <v>2.2465875921068256E-2</v>
      </c>
      <c r="E230" s="3">
        <f t="shared" si="191"/>
        <v>2.2465875921068256E-2</v>
      </c>
      <c r="F230" s="3">
        <f t="shared" si="191"/>
        <v>2.2465875921068256E-2</v>
      </c>
      <c r="G230" s="3">
        <f t="shared" si="191"/>
        <v>2.2465875921068256E-2</v>
      </c>
      <c r="H230" s="3">
        <f t="shared" si="191"/>
        <v>2.2465875921068256E-2</v>
      </c>
      <c r="I230" s="3">
        <f t="shared" si="191"/>
        <v>2.2465875921068246E-2</v>
      </c>
      <c r="J230" s="3">
        <f t="shared" si="191"/>
        <v>2.2465875921068162E-2</v>
      </c>
      <c r="K230" s="3">
        <f t="shared" si="191"/>
        <v>2.2465875921067312E-2</v>
      </c>
      <c r="L230" s="3">
        <f t="shared" si="191"/>
        <v>2.2465875921058819E-2</v>
      </c>
      <c r="M230" s="3">
        <f t="shared" si="191"/>
        <v>2.2465875920973898E-2</v>
      </c>
      <c r="N230" s="3">
        <f t="shared" si="191"/>
        <v>2.2465875920124674E-2</v>
      </c>
      <c r="O230" s="3">
        <f t="shared" si="191"/>
        <v>2.2465875911632453E-2</v>
      </c>
      <c r="P230" s="3">
        <f t="shared" si="191"/>
        <v>2.2465875826710214E-2</v>
      </c>
      <c r="Q230" s="3">
        <f t="shared" si="191"/>
        <v>2.2465874977487855E-2</v>
      </c>
      <c r="R230" s="3">
        <f t="shared" si="191"/>
        <v>2.2465866485266019E-2</v>
      </c>
      <c r="S230" s="3">
        <f t="shared" si="191"/>
        <v>2.2465781563224239E-2</v>
      </c>
      <c r="T230" s="3">
        <f t="shared" si="191"/>
        <v>2.246493236046174E-2</v>
      </c>
      <c r="U230" s="3">
        <f t="shared" si="191"/>
        <v>2.2456442098121223E-2</v>
      </c>
      <c r="V230" s="3">
        <f t="shared" si="191"/>
        <v>2.2371715756518615E-2</v>
      </c>
      <c r="W230" s="3">
        <f t="shared" si="191"/>
        <v>2.1541836442506058E-2</v>
      </c>
      <c r="X230" s="3">
        <f t="shared" si="191"/>
        <v>1.4761042753173741E-2</v>
      </c>
      <c r="Y230" s="3">
        <f t="shared" si="191"/>
        <v>3.3686832531784551E-4</v>
      </c>
      <c r="Z230" s="3">
        <f t="shared" si="191"/>
        <v>1.2908969415867717E-20</v>
      </c>
      <c r="AA230" s="3">
        <f t="shared" si="191"/>
        <v>8.8146589816043667E-185</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5.8329528880761261E-2</v>
      </c>
      <c r="C231" s="3">
        <f t="shared" si="192"/>
        <v>5.8329528880761261E-2</v>
      </c>
      <c r="D231" s="3">
        <f t="shared" si="192"/>
        <v>5.8329528880761261E-2</v>
      </c>
      <c r="E231" s="3">
        <f t="shared" si="192"/>
        <v>5.8329528880761261E-2</v>
      </c>
      <c r="F231" s="3">
        <f t="shared" si="192"/>
        <v>5.8329528880761261E-2</v>
      </c>
      <c r="G231" s="3">
        <f t="shared" si="192"/>
        <v>5.8329528880761261E-2</v>
      </c>
      <c r="H231" s="3">
        <f t="shared" si="192"/>
        <v>5.8329528880761261E-2</v>
      </c>
      <c r="I231" s="3">
        <f t="shared" si="192"/>
        <v>5.8329528880761254E-2</v>
      </c>
      <c r="J231" s="3">
        <f t="shared" si="192"/>
        <v>5.8329528880761199E-2</v>
      </c>
      <c r="K231" s="3">
        <f t="shared" si="192"/>
        <v>5.8329528880760581E-2</v>
      </c>
      <c r="L231" s="3">
        <f t="shared" si="192"/>
        <v>5.8329528880754489E-2</v>
      </c>
      <c r="M231" s="3">
        <f t="shared" si="192"/>
        <v>5.8329528880693503E-2</v>
      </c>
      <c r="N231" s="3">
        <f t="shared" si="192"/>
        <v>5.8329528880083692E-2</v>
      </c>
      <c r="O231" s="3">
        <f t="shared" si="192"/>
        <v>5.8329528873985514E-2</v>
      </c>
      <c r="P231" s="3">
        <f t="shared" si="192"/>
        <v>5.8329528813003836E-2</v>
      </c>
      <c r="Q231" s="3">
        <f t="shared" si="192"/>
        <v>5.8329528203187014E-2</v>
      </c>
      <c r="R231" s="3">
        <f t="shared" si="192"/>
        <v>5.8329522105019113E-2</v>
      </c>
      <c r="S231" s="3">
        <f t="shared" si="192"/>
        <v>5.8329461123375205E-2</v>
      </c>
      <c r="T231" s="3">
        <f t="shared" si="192"/>
        <v>5.8328851310442575E-2</v>
      </c>
      <c r="U231" s="3">
        <f t="shared" si="192"/>
        <v>5.8322753531750607E-2</v>
      </c>
      <c r="V231" s="3">
        <f t="shared" si="192"/>
        <v>5.8261810794698707E-2</v>
      </c>
      <c r="W231" s="3">
        <f t="shared" si="192"/>
        <v>5.7655874890686062E-2</v>
      </c>
      <c r="X231" s="3">
        <f t="shared" si="192"/>
        <v>5.193252612342223E-2</v>
      </c>
      <c r="Y231" s="3">
        <f t="shared" si="192"/>
        <v>1.8255690489239352E-2</v>
      </c>
      <c r="Z231" s="3">
        <f t="shared" si="192"/>
        <v>5.2600082072571129E-7</v>
      </c>
      <c r="AA231" s="3">
        <f t="shared" si="192"/>
        <v>2.0742829591490141E-52</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3.4551716494444183E-2</v>
      </c>
      <c r="C232" s="3">
        <f t="shared" si="193"/>
        <v>3.4551716494444183E-2</v>
      </c>
      <c r="D232" s="3">
        <f t="shared" si="193"/>
        <v>3.4551716494444183E-2</v>
      </c>
      <c r="E232" s="3">
        <f t="shared" si="193"/>
        <v>3.4551716494444183E-2</v>
      </c>
      <c r="F232" s="3">
        <f t="shared" si="193"/>
        <v>3.4551716494444183E-2</v>
      </c>
      <c r="G232" s="3">
        <f t="shared" si="193"/>
        <v>3.4551716494444183E-2</v>
      </c>
      <c r="H232" s="3">
        <f t="shared" si="193"/>
        <v>3.4551716494444183E-2</v>
      </c>
      <c r="I232" s="3">
        <f t="shared" si="193"/>
        <v>3.4551716494444183E-2</v>
      </c>
      <c r="J232" s="3">
        <f t="shared" si="193"/>
        <v>3.4551716494444176E-2</v>
      </c>
      <c r="K232" s="3">
        <f t="shared" si="193"/>
        <v>3.4551716494444142E-2</v>
      </c>
      <c r="L232" s="3">
        <f t="shared" si="193"/>
        <v>3.4551716494443781E-2</v>
      </c>
      <c r="M232" s="3">
        <f t="shared" si="193"/>
        <v>3.4551716494440173E-2</v>
      </c>
      <c r="N232" s="3">
        <f t="shared" si="193"/>
        <v>3.4551716494404049E-2</v>
      </c>
      <c r="O232" s="3">
        <f t="shared" si="193"/>
        <v>3.4551716494042824E-2</v>
      </c>
      <c r="P232" s="3">
        <f t="shared" si="193"/>
        <v>3.4551716490430547E-2</v>
      </c>
      <c r="Q232" s="3">
        <f t="shared" si="193"/>
        <v>3.4551716454307817E-2</v>
      </c>
      <c r="R232" s="3">
        <f t="shared" si="193"/>
        <v>3.4551716093080519E-2</v>
      </c>
      <c r="S232" s="3">
        <f t="shared" si="193"/>
        <v>3.455171248080776E-2</v>
      </c>
      <c r="T232" s="3">
        <f t="shared" si="193"/>
        <v>3.455167635810092E-2</v>
      </c>
      <c r="U232" s="3">
        <f t="shared" si="193"/>
        <v>3.4551315133109613E-2</v>
      </c>
      <c r="V232" s="3">
        <f t="shared" si="193"/>
        <v>3.4547703090896116E-2</v>
      </c>
      <c r="W232" s="3">
        <f t="shared" si="193"/>
        <v>3.4511603430682554E-2</v>
      </c>
      <c r="X232" s="3">
        <f t="shared" si="193"/>
        <v>3.4152675011904339E-2</v>
      </c>
      <c r="Y232" s="3">
        <f t="shared" si="193"/>
        <v>3.0762427776930522E-2</v>
      </c>
      <c r="Z232" s="3">
        <f t="shared" si="193"/>
        <v>1.0813827135205329E-2</v>
      </c>
      <c r="AA232" s="3">
        <f t="shared" si="193"/>
        <v>3.1157857061921368E-7</v>
      </c>
      <c r="AB232" s="3">
        <f t="shared" si="193"/>
        <v>1.2287093365743316E-52</v>
      </c>
      <c r="AC232" s="3">
        <f t="shared" si="193"/>
        <v>0</v>
      </c>
      <c r="AD232" s="3">
        <f t="shared" si="193"/>
        <v>0</v>
      </c>
      <c r="AE232" s="3">
        <f t="shared" si="193"/>
        <v>0</v>
      </c>
      <c r="AF232" s="3">
        <f t="shared" si="193"/>
        <v>0</v>
      </c>
      <c r="AG232" s="3"/>
      <c r="AH232" s="3"/>
    </row>
    <row r="233" spans="2:34" x14ac:dyDescent="0.25">
      <c r="B233" s="3">
        <f t="shared" ref="B233:AF233" si="194">$C41*EXP(-B$207/$A41/EXP(-$D$126))</f>
        <v>3.2785105338059839E-2</v>
      </c>
      <c r="C233" s="3">
        <f t="shared" si="194"/>
        <v>3.2785105338059839E-2</v>
      </c>
      <c r="D233" s="3">
        <f t="shared" si="194"/>
        <v>3.2785105338059839E-2</v>
      </c>
      <c r="E233" s="3">
        <f t="shared" si="194"/>
        <v>3.2785105338059839E-2</v>
      </c>
      <c r="F233" s="3">
        <f t="shared" si="194"/>
        <v>3.2785105338059839E-2</v>
      </c>
      <c r="G233" s="3">
        <f t="shared" si="194"/>
        <v>3.2785105338059839E-2</v>
      </c>
      <c r="H233" s="3">
        <f t="shared" si="194"/>
        <v>3.2785105338059839E-2</v>
      </c>
      <c r="I233" s="3">
        <f t="shared" si="194"/>
        <v>3.2785105338059839E-2</v>
      </c>
      <c r="J233" s="3">
        <f t="shared" si="194"/>
        <v>3.2785105338059839E-2</v>
      </c>
      <c r="K233" s="3">
        <f t="shared" si="194"/>
        <v>3.2785105338059832E-2</v>
      </c>
      <c r="L233" s="3">
        <f t="shared" si="194"/>
        <v>3.2785105338059804E-2</v>
      </c>
      <c r="M233" s="3">
        <f t="shared" si="194"/>
        <v>3.2785105338059457E-2</v>
      </c>
      <c r="N233" s="3">
        <f t="shared" si="194"/>
        <v>3.278510533805603E-2</v>
      </c>
      <c r="O233" s="3">
        <f t="shared" si="194"/>
        <v>3.2785105338021758E-2</v>
      </c>
      <c r="P233" s="3">
        <f t="shared" si="194"/>
        <v>3.2785105337678998E-2</v>
      </c>
      <c r="Q233" s="3">
        <f t="shared" si="194"/>
        <v>3.2785105334251413E-2</v>
      </c>
      <c r="R233" s="3">
        <f t="shared" si="194"/>
        <v>3.2785105299975623E-2</v>
      </c>
      <c r="S233" s="3">
        <f t="shared" si="194"/>
        <v>3.2785104957217689E-2</v>
      </c>
      <c r="T233" s="3">
        <f t="shared" si="194"/>
        <v>3.2785101529638538E-2</v>
      </c>
      <c r="U233" s="3">
        <f t="shared" si="194"/>
        <v>3.2785067253866776E-2</v>
      </c>
      <c r="V233" s="3">
        <f t="shared" si="194"/>
        <v>3.2784724498119963E-2</v>
      </c>
      <c r="W233" s="3">
        <f t="shared" si="194"/>
        <v>3.2781297137731827E-2</v>
      </c>
      <c r="X233" s="3">
        <f t="shared" si="194"/>
        <v>3.2747043234225753E-2</v>
      </c>
      <c r="Y233" s="3">
        <f t="shared" si="194"/>
        <v>3.2406466637391294E-2</v>
      </c>
      <c r="Z233" s="3">
        <f t="shared" si="194"/>
        <v>2.9189560966769827E-2</v>
      </c>
      <c r="AA233" s="3">
        <f t="shared" si="194"/>
        <v>1.0260921821128173E-2</v>
      </c>
      <c r="AB233" s="3">
        <f t="shared" si="194"/>
        <v>2.9564772159656961E-7</v>
      </c>
      <c r="AC233" s="3">
        <f t="shared" si="194"/>
        <v>1.1658860721412938E-52</v>
      </c>
      <c r="AD233" s="3">
        <f t="shared" si="194"/>
        <v>0</v>
      </c>
      <c r="AE233" s="3">
        <f t="shared" si="194"/>
        <v>0</v>
      </c>
      <c r="AF233" s="3">
        <f t="shared" si="194"/>
        <v>0</v>
      </c>
      <c r="AG233" s="3"/>
      <c r="AH233" s="3"/>
    </row>
    <row r="234" spans="2:34" x14ac:dyDescent="0.25">
      <c r="B234" s="3">
        <f t="shared" ref="B234:AF234" si="195">$C42*EXP(-B$207/$A42/EXP(-$D$126))</f>
        <v>1.3184627495592977E-2</v>
      </c>
      <c r="C234" s="3">
        <f t="shared" si="195"/>
        <v>1.3184627495592977E-2</v>
      </c>
      <c r="D234" s="3">
        <f t="shared" si="195"/>
        <v>1.3184627495592977E-2</v>
      </c>
      <c r="E234" s="3">
        <f t="shared" si="195"/>
        <v>1.3184627495592977E-2</v>
      </c>
      <c r="F234" s="3">
        <f t="shared" si="195"/>
        <v>1.3184627495592977E-2</v>
      </c>
      <c r="G234" s="3">
        <f t="shared" si="195"/>
        <v>1.3184627495592977E-2</v>
      </c>
      <c r="H234" s="3">
        <f t="shared" si="195"/>
        <v>1.3184627495592977E-2</v>
      </c>
      <c r="I234" s="3">
        <f t="shared" si="195"/>
        <v>1.3184627495592977E-2</v>
      </c>
      <c r="J234" s="3">
        <f t="shared" si="195"/>
        <v>1.3184627495592977E-2</v>
      </c>
      <c r="K234" s="3">
        <f t="shared" si="195"/>
        <v>1.3184627495592977E-2</v>
      </c>
      <c r="L234" s="3">
        <f t="shared" si="195"/>
        <v>1.3184627495592975E-2</v>
      </c>
      <c r="M234" s="3">
        <f t="shared" si="195"/>
        <v>1.3184627495592963E-2</v>
      </c>
      <c r="N234" s="3">
        <f t="shared" si="195"/>
        <v>1.3184627495592823E-2</v>
      </c>
      <c r="O234" s="3">
        <f t="shared" si="195"/>
        <v>1.3184627495591445E-2</v>
      </c>
      <c r="P234" s="3">
        <f t="shared" si="195"/>
        <v>1.3184627495577661E-2</v>
      </c>
      <c r="Q234" s="3">
        <f t="shared" si="195"/>
        <v>1.3184627495439822E-2</v>
      </c>
      <c r="R234" s="3">
        <f t="shared" si="195"/>
        <v>1.3184627494061409E-2</v>
      </c>
      <c r="S234" s="3">
        <f t="shared" si="195"/>
        <v>1.3184627480277298E-2</v>
      </c>
      <c r="T234" s="3">
        <f t="shared" si="195"/>
        <v>1.3184627342436176E-2</v>
      </c>
      <c r="U234" s="3">
        <f t="shared" si="195"/>
        <v>1.3184625964025041E-2</v>
      </c>
      <c r="V234" s="3">
        <f t="shared" si="195"/>
        <v>1.3184612179921611E-2</v>
      </c>
      <c r="W234" s="3">
        <f t="shared" si="195"/>
        <v>1.3184474339679919E-2</v>
      </c>
      <c r="X234" s="3">
        <f t="shared" si="195"/>
        <v>1.3183096016519303E-2</v>
      </c>
      <c r="Y234" s="3">
        <f t="shared" si="195"/>
        <v>1.3169320707477571E-2</v>
      </c>
      <c r="Z234" s="3">
        <f t="shared" si="195"/>
        <v>1.3032356817422097E-2</v>
      </c>
      <c r="AA234" s="3">
        <f t="shared" si="195"/>
        <v>1.1738668646581688E-2</v>
      </c>
      <c r="AB234" s="3">
        <f t="shared" si="195"/>
        <v>4.126460189100691E-3</v>
      </c>
      <c r="AC234" s="3">
        <f t="shared" si="195"/>
        <v>1.1889560942317307E-7</v>
      </c>
      <c r="AD234" s="3">
        <f t="shared" si="195"/>
        <v>4.6886454702459317E-53</v>
      </c>
      <c r="AE234" s="3">
        <f t="shared" si="195"/>
        <v>0</v>
      </c>
      <c r="AF234" s="3">
        <f t="shared" si="195"/>
        <v>0</v>
      </c>
      <c r="AG234" s="3"/>
      <c r="AH234" s="3"/>
    </row>
    <row r="235" spans="2:34" x14ac:dyDescent="0.25">
      <c r="B235" s="3">
        <f t="shared" ref="B235:AF235" si="196">$C43*EXP(-B$207/$A43/EXP(-$D$126))</f>
        <v>9.0966723550024858E-3</v>
      </c>
      <c r="C235" s="3">
        <f t="shared" si="196"/>
        <v>9.0966723550024858E-3</v>
      </c>
      <c r="D235" s="3">
        <f t="shared" si="196"/>
        <v>9.0966723550024858E-3</v>
      </c>
      <c r="E235" s="3">
        <f t="shared" si="196"/>
        <v>9.0966723550024858E-3</v>
      </c>
      <c r="F235" s="3">
        <f t="shared" si="196"/>
        <v>9.0966723550024858E-3</v>
      </c>
      <c r="G235" s="3">
        <f t="shared" si="196"/>
        <v>9.0966723550024858E-3</v>
      </c>
      <c r="H235" s="3">
        <f t="shared" si="196"/>
        <v>9.0966723550024858E-3</v>
      </c>
      <c r="I235" s="3">
        <f t="shared" si="196"/>
        <v>9.0966723550024858E-3</v>
      </c>
      <c r="J235" s="3">
        <f t="shared" si="196"/>
        <v>9.0966723550024858E-3</v>
      </c>
      <c r="K235" s="3">
        <f t="shared" si="196"/>
        <v>9.0966723550024858E-3</v>
      </c>
      <c r="L235" s="3">
        <f t="shared" si="196"/>
        <v>9.0966723550024858E-3</v>
      </c>
      <c r="M235" s="3">
        <f t="shared" si="196"/>
        <v>9.0966723550024841E-3</v>
      </c>
      <c r="N235" s="3">
        <f t="shared" si="196"/>
        <v>9.0966723550024754E-3</v>
      </c>
      <c r="O235" s="3">
        <f t="shared" si="196"/>
        <v>9.09667235500238E-3</v>
      </c>
      <c r="P235" s="3">
        <f t="shared" si="196"/>
        <v>9.0966723550014294E-3</v>
      </c>
      <c r="Q235" s="3">
        <f t="shared" si="196"/>
        <v>9.0966723549919196E-3</v>
      </c>
      <c r="R235" s="3">
        <f t="shared" si="196"/>
        <v>9.0966723548968169E-3</v>
      </c>
      <c r="S235" s="3">
        <f t="shared" si="196"/>
        <v>9.0966723539457877E-3</v>
      </c>
      <c r="T235" s="3">
        <f t="shared" si="196"/>
        <v>9.0966723444355045E-3</v>
      </c>
      <c r="U235" s="3">
        <f t="shared" si="196"/>
        <v>9.096672249332664E-3</v>
      </c>
      <c r="V235" s="3">
        <f t="shared" si="196"/>
        <v>9.0966712983043176E-3</v>
      </c>
      <c r="W235" s="3">
        <f t="shared" si="196"/>
        <v>9.0966617880263341E-3</v>
      </c>
      <c r="X235" s="3">
        <f t="shared" si="196"/>
        <v>9.0965666857933426E-3</v>
      </c>
      <c r="Y235" s="3">
        <f t="shared" si="196"/>
        <v>9.0956157181459347E-3</v>
      </c>
      <c r="Z235" s="3">
        <f t="shared" si="196"/>
        <v>9.0861115078082946E-3</v>
      </c>
      <c r="AA235" s="3">
        <f t="shared" si="196"/>
        <v>8.9916139095471623E-3</v>
      </c>
      <c r="AB235" s="3">
        <f t="shared" si="196"/>
        <v>8.0990397792874112E-3</v>
      </c>
      <c r="AC235" s="3">
        <f t="shared" si="196"/>
        <v>2.8470319953110184E-3</v>
      </c>
      <c r="AD235" s="3">
        <f t="shared" si="196"/>
        <v>8.2031472161990637E-8</v>
      </c>
      <c r="AE235" s="3">
        <f t="shared" si="196"/>
        <v>3.2349091125896516E-53</v>
      </c>
      <c r="AF235" s="3">
        <f t="shared" si="196"/>
        <v>0</v>
      </c>
      <c r="AG235" s="3"/>
      <c r="AH235" s="3"/>
    </row>
    <row r="236" spans="2:34" x14ac:dyDescent="0.25">
      <c r="B236" s="3">
        <f t="shared" ref="B236:AF236" si="197">$C44*EXP(-B$207/$A44/EXP(-$D$126))</f>
        <v>3.0393849329234364E-3</v>
      </c>
      <c r="C236" s="3">
        <f t="shared" si="197"/>
        <v>3.0393849329234364E-3</v>
      </c>
      <c r="D236" s="3">
        <f t="shared" si="197"/>
        <v>3.0393849329234364E-3</v>
      </c>
      <c r="E236" s="3">
        <f t="shared" si="197"/>
        <v>3.0393849329234364E-3</v>
      </c>
      <c r="F236" s="3">
        <f t="shared" si="197"/>
        <v>3.0393849329234364E-3</v>
      </c>
      <c r="G236" s="3">
        <f t="shared" si="197"/>
        <v>3.0393849329234364E-3</v>
      </c>
      <c r="H236" s="3">
        <f t="shared" si="197"/>
        <v>3.0393849329234364E-3</v>
      </c>
      <c r="I236" s="3">
        <f t="shared" si="197"/>
        <v>3.0393849329234364E-3</v>
      </c>
      <c r="J236" s="3">
        <f t="shared" si="197"/>
        <v>3.0393849329234364E-3</v>
      </c>
      <c r="K236" s="3">
        <f t="shared" si="197"/>
        <v>3.0393849329234364E-3</v>
      </c>
      <c r="L236" s="3">
        <f t="shared" si="197"/>
        <v>3.0393849329234364E-3</v>
      </c>
      <c r="M236" s="3">
        <f t="shared" si="197"/>
        <v>3.0393849329234364E-3</v>
      </c>
      <c r="N236" s="3">
        <f t="shared" si="197"/>
        <v>3.039384932923436E-3</v>
      </c>
      <c r="O236" s="3">
        <f t="shared" si="197"/>
        <v>3.039384932923433E-3</v>
      </c>
      <c r="P236" s="3">
        <f t="shared" si="197"/>
        <v>3.0393849329234009E-3</v>
      </c>
      <c r="Q236" s="3">
        <f t="shared" si="197"/>
        <v>3.0393849329230834E-3</v>
      </c>
      <c r="R236" s="3">
        <f t="shared" si="197"/>
        <v>3.0393849329199058E-3</v>
      </c>
      <c r="S236" s="3">
        <f t="shared" si="197"/>
        <v>3.03938493288813E-3</v>
      </c>
      <c r="T236" s="3">
        <f t="shared" si="197"/>
        <v>3.0393849325703716E-3</v>
      </c>
      <c r="U236" s="3">
        <f t="shared" si="197"/>
        <v>3.039384929392791E-3</v>
      </c>
      <c r="V236" s="3">
        <f t="shared" si="197"/>
        <v>3.0393848976169803E-3</v>
      </c>
      <c r="W236" s="3">
        <f t="shared" si="197"/>
        <v>3.0393845798588909E-3</v>
      </c>
      <c r="X236" s="3">
        <f t="shared" si="197"/>
        <v>3.0393814022798287E-3</v>
      </c>
      <c r="Y236" s="3">
        <f t="shared" si="197"/>
        <v>3.0393496266719181E-3</v>
      </c>
      <c r="Z236" s="3">
        <f t="shared" si="197"/>
        <v>3.039031888863362E-3</v>
      </c>
      <c r="AA236" s="3">
        <f t="shared" si="197"/>
        <v>3.0358563371261742E-3</v>
      </c>
      <c r="AB236" s="3">
        <f t="shared" si="197"/>
        <v>3.0042827500886692E-3</v>
      </c>
      <c r="AC236" s="3">
        <f t="shared" si="197"/>
        <v>2.7060554140742148E-3</v>
      </c>
      <c r="AD236" s="3">
        <f t="shared" si="197"/>
        <v>9.5125182180939307E-4</v>
      </c>
      <c r="AE236" s="3">
        <f t="shared" si="197"/>
        <v>2.7408398454361447E-8</v>
      </c>
      <c r="AF236" s="3">
        <f t="shared" si="197"/>
        <v>1.0808495274400838E-53</v>
      </c>
      <c r="AG236" s="3"/>
      <c r="AH236" s="3"/>
    </row>
    <row r="237" spans="2:34" x14ac:dyDescent="0.25">
      <c r="B237" s="3">
        <f t="shared" ref="B237:AF237" si="198">$C45*EXP(-B$207/$A45/EXP(-$D$126))</f>
        <v>2.6495422897411186E-3</v>
      </c>
      <c r="C237" s="3">
        <f t="shared" si="198"/>
        <v>2.6495422897411186E-3</v>
      </c>
      <c r="D237" s="3">
        <f t="shared" si="198"/>
        <v>2.6495422897411186E-3</v>
      </c>
      <c r="E237" s="3">
        <f t="shared" si="198"/>
        <v>2.6495422897411186E-3</v>
      </c>
      <c r="F237" s="3">
        <f t="shared" si="198"/>
        <v>2.6495422897411186E-3</v>
      </c>
      <c r="G237" s="3">
        <f t="shared" si="198"/>
        <v>2.6495422897411186E-3</v>
      </c>
      <c r="H237" s="3">
        <f t="shared" si="198"/>
        <v>2.6495422897411186E-3</v>
      </c>
      <c r="I237" s="3">
        <f t="shared" si="198"/>
        <v>2.6495422897411186E-3</v>
      </c>
      <c r="J237" s="3">
        <f t="shared" si="198"/>
        <v>2.6495422897411186E-3</v>
      </c>
      <c r="K237" s="3">
        <f t="shared" si="198"/>
        <v>2.6495422897411186E-3</v>
      </c>
      <c r="L237" s="3">
        <f t="shared" si="198"/>
        <v>2.6495422897411186E-3</v>
      </c>
      <c r="M237" s="3">
        <f t="shared" si="198"/>
        <v>2.6495422897411186E-3</v>
      </c>
      <c r="N237" s="3">
        <f t="shared" si="198"/>
        <v>2.6495422897411186E-3</v>
      </c>
      <c r="O237" s="3">
        <f t="shared" si="198"/>
        <v>2.6495422897411182E-3</v>
      </c>
      <c r="P237" s="3">
        <f t="shared" si="198"/>
        <v>2.6495422897411156E-3</v>
      </c>
      <c r="Q237" s="3">
        <f t="shared" si="198"/>
        <v>2.6495422897410878E-3</v>
      </c>
      <c r="R237" s="3">
        <f t="shared" si="198"/>
        <v>2.6495422897408112E-3</v>
      </c>
      <c r="S237" s="3">
        <f t="shared" si="198"/>
        <v>2.6495422897380408E-3</v>
      </c>
      <c r="T237" s="3">
        <f t="shared" si="198"/>
        <v>2.6495422897103407E-3</v>
      </c>
      <c r="U237" s="3">
        <f t="shared" si="198"/>
        <v>2.6495422894333392E-3</v>
      </c>
      <c r="V237" s="3">
        <f t="shared" si="198"/>
        <v>2.6495422866633267E-3</v>
      </c>
      <c r="W237" s="3">
        <f t="shared" si="198"/>
        <v>2.6495422589631976E-3</v>
      </c>
      <c r="X237" s="3">
        <f t="shared" si="198"/>
        <v>2.649541981961925E-3</v>
      </c>
      <c r="Y237" s="3">
        <f t="shared" si="198"/>
        <v>2.6495392119507909E-3</v>
      </c>
      <c r="Z237" s="3">
        <f t="shared" si="198"/>
        <v>2.6495115119987284E-3</v>
      </c>
      <c r="AA237" s="3">
        <f t="shared" si="198"/>
        <v>2.6492345284052062E-3</v>
      </c>
      <c r="AB237" s="3">
        <f t="shared" si="198"/>
        <v>2.6464662845642238E-3</v>
      </c>
      <c r="AC237" s="3">
        <f t="shared" si="198"/>
        <v>2.61894244143777E-3</v>
      </c>
      <c r="AD237" s="3">
        <f t="shared" si="198"/>
        <v>2.358966835792088E-3</v>
      </c>
      <c r="AE237" s="3">
        <f t="shared" si="198"/>
        <v>8.2924077920365198E-4</v>
      </c>
      <c r="AF237" s="3">
        <f t="shared" si="198"/>
        <v>2.3892896885902638E-8</v>
      </c>
      <c r="AG237" s="3"/>
      <c r="AH237" s="3"/>
    </row>
    <row r="238" spans="2:34" x14ac:dyDescent="0.25">
      <c r="B238" s="3">
        <f t="shared" ref="B238:AF238" si="199">$C46*EXP(-B$207/$A46/EXP(-$D$126))</f>
        <v>6.8554497859674352E-4</v>
      </c>
      <c r="C238" s="3">
        <f t="shared" si="199"/>
        <v>6.8554497859674352E-4</v>
      </c>
      <c r="D238" s="3">
        <f t="shared" si="199"/>
        <v>6.8554497859674352E-4</v>
      </c>
      <c r="E238" s="3">
        <f t="shared" si="199"/>
        <v>6.8554497859674352E-4</v>
      </c>
      <c r="F238" s="3">
        <f t="shared" si="199"/>
        <v>6.8554497859674352E-4</v>
      </c>
      <c r="G238" s="3">
        <f t="shared" si="199"/>
        <v>6.8554497859674352E-4</v>
      </c>
      <c r="H238" s="3">
        <f t="shared" si="199"/>
        <v>6.8554497859674352E-4</v>
      </c>
      <c r="I238" s="3">
        <f t="shared" si="199"/>
        <v>6.8554497859674352E-4</v>
      </c>
      <c r="J238" s="3">
        <f t="shared" si="199"/>
        <v>6.8554497859674352E-4</v>
      </c>
      <c r="K238" s="3">
        <f t="shared" si="199"/>
        <v>6.8554497859674352E-4</v>
      </c>
      <c r="L238" s="3">
        <f t="shared" si="199"/>
        <v>6.8554497859674352E-4</v>
      </c>
      <c r="M238" s="3">
        <f t="shared" si="199"/>
        <v>6.8554497859674352E-4</v>
      </c>
      <c r="N238" s="3">
        <f t="shared" si="199"/>
        <v>6.8554497859674352E-4</v>
      </c>
      <c r="O238" s="3">
        <f t="shared" si="199"/>
        <v>6.8554497859674352E-4</v>
      </c>
      <c r="P238" s="3">
        <f t="shared" si="199"/>
        <v>6.8554497859674342E-4</v>
      </c>
      <c r="Q238" s="3">
        <f t="shared" si="199"/>
        <v>6.8554497859674276E-4</v>
      </c>
      <c r="R238" s="3">
        <f t="shared" si="199"/>
        <v>6.855449785967355E-4</v>
      </c>
      <c r="S238" s="3">
        <f t="shared" si="199"/>
        <v>6.8554497859666394E-4</v>
      </c>
      <c r="T238" s="3">
        <f t="shared" si="199"/>
        <v>6.8554497859594718E-4</v>
      </c>
      <c r="U238" s="3">
        <f t="shared" si="199"/>
        <v>6.8554497858878006E-4</v>
      </c>
      <c r="V238" s="3">
        <f t="shared" si="199"/>
        <v>6.8554497851710844E-4</v>
      </c>
      <c r="W238" s="3">
        <f t="shared" si="199"/>
        <v>6.855449778003928E-4</v>
      </c>
      <c r="X238" s="3">
        <f t="shared" si="199"/>
        <v>6.8554497063323628E-4</v>
      </c>
      <c r="Y238" s="3">
        <f t="shared" si="199"/>
        <v>6.8554489896167534E-4</v>
      </c>
      <c r="Z238" s="3">
        <f t="shared" si="199"/>
        <v>6.855441822464786E-4</v>
      </c>
      <c r="AA238" s="3">
        <f t="shared" si="199"/>
        <v>6.8553701513572238E-4</v>
      </c>
      <c r="AB238" s="3">
        <f t="shared" si="199"/>
        <v>6.854653481491534E-4</v>
      </c>
      <c r="AC238" s="3">
        <f t="shared" si="199"/>
        <v>6.8474909022337316E-4</v>
      </c>
      <c r="AD238" s="3">
        <f t="shared" si="199"/>
        <v>6.7762754605324091E-4</v>
      </c>
      <c r="AE238" s="3">
        <f t="shared" si="199"/>
        <v>6.1036122171559144E-4</v>
      </c>
      <c r="AF238" s="3">
        <f t="shared" si="199"/>
        <v>2.1455851240112107E-4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1.0364161747734975E-2</v>
      </c>
      <c r="C240" s="3">
        <f t="shared" si="201"/>
        <v>1.0364161747734975E-2</v>
      </c>
      <c r="D240" s="3">
        <f t="shared" si="201"/>
        <v>1.0364161747734975E-2</v>
      </c>
      <c r="E240" s="3">
        <f t="shared" si="201"/>
        <v>1.0364161747734975E-2</v>
      </c>
      <c r="F240" s="3">
        <f t="shared" si="201"/>
        <v>1.0364161747734975E-2</v>
      </c>
      <c r="G240" s="3">
        <f t="shared" si="201"/>
        <v>1.0364161747734975E-2</v>
      </c>
      <c r="H240" s="3">
        <f t="shared" si="201"/>
        <v>1.0364161747734975E-2</v>
      </c>
      <c r="I240" s="3">
        <f t="shared" si="201"/>
        <v>1.0364161747734975E-2</v>
      </c>
      <c r="J240" s="3">
        <f t="shared" si="201"/>
        <v>1.0364161747734975E-2</v>
      </c>
      <c r="K240" s="3">
        <f t="shared" si="201"/>
        <v>1.0364161747734975E-2</v>
      </c>
      <c r="L240" s="3">
        <f t="shared" si="201"/>
        <v>1.0364161747734975E-2</v>
      </c>
      <c r="M240" s="3">
        <f t="shared" si="201"/>
        <v>1.0364161747734975E-2</v>
      </c>
      <c r="N240" s="3">
        <f t="shared" si="201"/>
        <v>1.0364161747734975E-2</v>
      </c>
      <c r="O240" s="3">
        <f t="shared" si="201"/>
        <v>1.0364161747734975E-2</v>
      </c>
      <c r="P240" s="3">
        <f t="shared" si="201"/>
        <v>1.0364161747734975E-2</v>
      </c>
      <c r="Q240" s="3">
        <f t="shared" si="201"/>
        <v>1.0364161747734975E-2</v>
      </c>
      <c r="R240" s="3">
        <f t="shared" si="201"/>
        <v>1.0364161747734973E-2</v>
      </c>
      <c r="S240" s="3">
        <f t="shared" si="201"/>
        <v>1.0364161747734963E-2</v>
      </c>
      <c r="T240" s="3">
        <f t="shared" si="201"/>
        <v>1.0364161747734853E-2</v>
      </c>
      <c r="U240" s="3">
        <f t="shared" si="201"/>
        <v>1.0364161747733771E-2</v>
      </c>
      <c r="V240" s="3">
        <f t="shared" si="201"/>
        <v>1.0364161747722936E-2</v>
      </c>
      <c r="W240" s="3">
        <f t="shared" si="201"/>
        <v>1.0364161747614582E-2</v>
      </c>
      <c r="X240" s="3">
        <f t="shared" si="201"/>
        <v>1.036416174653104E-2</v>
      </c>
      <c r="Y240" s="3">
        <f t="shared" si="201"/>
        <v>1.0364161735695637E-2</v>
      </c>
      <c r="Z240" s="3">
        <f t="shared" si="201"/>
        <v>1.0364161627341596E-2</v>
      </c>
      <c r="AA240" s="3">
        <f t="shared" si="201"/>
        <v>1.0364160543801239E-2</v>
      </c>
      <c r="AB240" s="3">
        <f t="shared" si="201"/>
        <v>1.0364149708403915E-2</v>
      </c>
      <c r="AC240" s="3">
        <f t="shared" si="201"/>
        <v>1.036404135505372E-2</v>
      </c>
      <c r="AD240" s="3">
        <f t="shared" si="201"/>
        <v>1.0362957883853486E-2</v>
      </c>
      <c r="AE240" s="3">
        <f t="shared" si="201"/>
        <v>1.0352129399614452E-2</v>
      </c>
      <c r="AF240" s="3">
        <f t="shared" si="201"/>
        <v>1.0244464931231984E-2</v>
      </c>
      <c r="AG240" s="3"/>
      <c r="AH240" s="3"/>
    </row>
    <row r="241" spans="1:34" x14ac:dyDescent="0.25">
      <c r="A241" s="79">
        <f>AVERAGE(B241:AF241)</f>
        <v>8.4872785820090876E-3</v>
      </c>
      <c r="B241" s="80">
        <f>IF($A$64&lt;=B207,IF($B$64&gt;=B207,ABS((B209-B208)/B208),0),0)</f>
        <v>2.7092607856493263E-2</v>
      </c>
      <c r="C241" s="80">
        <f t="shared" ref="C241:AF241" si="202">IF($A$64&lt;=C207,IF($B$64&gt;=C207,ABS((C209-C208)/C208),0),0)</f>
        <v>8.8786960869175566E-3</v>
      </c>
      <c r="D241" s="80">
        <f t="shared" si="202"/>
        <v>1.4816694514185164E-4</v>
      </c>
      <c r="E241" s="80">
        <f t="shared" si="202"/>
        <v>9.5909427664590489E-3</v>
      </c>
      <c r="F241" s="80">
        <f t="shared" si="202"/>
        <v>6.9413642562586629E-3</v>
      </c>
      <c r="G241" s="80">
        <f t="shared" si="202"/>
        <v>7.7139079219375488E-3</v>
      </c>
      <c r="H241" s="80">
        <f t="shared" si="202"/>
        <v>7.6738469436945008E-3</v>
      </c>
      <c r="I241" s="80">
        <f t="shared" si="202"/>
        <v>7.6907147949536389E-3</v>
      </c>
      <c r="J241" s="80">
        <f t="shared" si="202"/>
        <v>7.9010261447011176E-3</v>
      </c>
      <c r="K241" s="80">
        <f t="shared" si="202"/>
        <v>7.8979781955749121E-3</v>
      </c>
      <c r="L241" s="80">
        <f t="shared" si="202"/>
        <v>8.3060800629316135E-3</v>
      </c>
      <c r="M241" s="80">
        <f t="shared" si="202"/>
        <v>8.0417946405235627E-3</v>
      </c>
      <c r="N241" s="80">
        <f t="shared" si="202"/>
        <v>8.1025364703411016E-3</v>
      </c>
      <c r="O241" s="80">
        <f t="shared" si="202"/>
        <v>7.4838026947259056E-3</v>
      </c>
      <c r="P241" s="80">
        <f t="shared" si="202"/>
        <v>8.0962462030376298E-3</v>
      </c>
      <c r="Q241" s="80">
        <f t="shared" si="202"/>
        <v>7.1608550402859888E-3</v>
      </c>
      <c r="R241" s="80">
        <f t="shared" si="202"/>
        <v>7.2992735972148767E-3</v>
      </c>
      <c r="S241" s="80">
        <f t="shared" si="202"/>
        <v>1.9609371083654341E-3</v>
      </c>
      <c r="T241" s="80">
        <f t="shared" si="202"/>
        <v>1.3116709494981463E-2</v>
      </c>
      <c r="U241" s="80">
        <f t="shared" si="202"/>
        <v>2.7521886633403027E-2</v>
      </c>
      <c r="V241" s="80">
        <f t="shared" si="202"/>
        <v>2.5057878734714125E-2</v>
      </c>
      <c r="W241" s="80">
        <f t="shared" si="202"/>
        <v>1.690773543768832E-2</v>
      </c>
      <c r="X241" s="80">
        <f t="shared" si="202"/>
        <v>1.3646298015189405E-2</v>
      </c>
      <c r="Y241" s="80">
        <f t="shared" si="202"/>
        <v>3.3990081195973665E-3</v>
      </c>
      <c r="Z241" s="80">
        <f t="shared" si="202"/>
        <v>1.3607103151128141E-3</v>
      </c>
      <c r="AA241" s="80">
        <f t="shared" si="202"/>
        <v>7.4864666017390551E-3</v>
      </c>
      <c r="AB241" s="80">
        <f t="shared" si="202"/>
        <v>2.5233866310171512E-3</v>
      </c>
      <c r="AC241" s="80">
        <f t="shared" si="202"/>
        <v>2.4750566087149493E-3</v>
      </c>
      <c r="AD241" s="80">
        <f t="shared" si="202"/>
        <v>5.5058361878500143E-4</v>
      </c>
      <c r="AE241" s="80">
        <f t="shared" si="202"/>
        <v>6.476845805611062E-5</v>
      </c>
      <c r="AF241" s="80">
        <f t="shared" si="202"/>
        <v>1.0143696437247762E-3</v>
      </c>
    </row>
    <row r="242" spans="1:34" x14ac:dyDescent="0.25">
      <c r="B242" s="21">
        <f>(B209-B208)^2</f>
        <v>88965.60378703165</v>
      </c>
      <c r="C242" s="21">
        <f t="shared" ref="C242:AF242" si="203">(C209-C208)^2</f>
        <v>9189.204514703235</v>
      </c>
      <c r="D242" s="21">
        <f t="shared" si="203"/>
        <v>2.4713782469818892</v>
      </c>
      <c r="E242" s="21">
        <f t="shared" si="203"/>
        <v>9975.8244551305088</v>
      </c>
      <c r="F242" s="21">
        <f t="shared" si="203"/>
        <v>5007.460038342093</v>
      </c>
      <c r="G242" s="21">
        <f t="shared" si="203"/>
        <v>5900.2392052656178</v>
      </c>
      <c r="H242" s="21">
        <f t="shared" si="203"/>
        <v>5516.743809528024</v>
      </c>
      <c r="I242" s="21">
        <f t="shared" si="203"/>
        <v>5258.6531030235228</v>
      </c>
      <c r="J242" s="21">
        <f t="shared" si="203"/>
        <v>5245.7721862274047</v>
      </c>
      <c r="K242" s="21">
        <f t="shared" si="203"/>
        <v>4909.2749978748025</v>
      </c>
      <c r="L242" s="21">
        <f t="shared" si="203"/>
        <v>5009.3029585445465</v>
      </c>
      <c r="M242" s="21">
        <f t="shared" si="203"/>
        <v>4305.751313815882</v>
      </c>
      <c r="N242" s="21">
        <f t="shared" si="203"/>
        <v>4049.4920154836946</v>
      </c>
      <c r="O242" s="21">
        <f t="shared" si="203"/>
        <v>3212.2523827074319</v>
      </c>
      <c r="P242" s="21">
        <f t="shared" si="203"/>
        <v>3487.2446545381781</v>
      </c>
      <c r="Q242" s="21">
        <f t="shared" si="203"/>
        <v>2515.7586390227548</v>
      </c>
      <c r="R242" s="21">
        <f t="shared" si="203"/>
        <v>2403.2405144139384</v>
      </c>
      <c r="S242" s="21">
        <f t="shared" si="203"/>
        <v>153.46714858601752</v>
      </c>
      <c r="T242" s="21">
        <f t="shared" si="203"/>
        <v>5347.5297699996618</v>
      </c>
      <c r="U242" s="21">
        <f t="shared" si="203"/>
        <v>15457.541619924972</v>
      </c>
      <c r="V242" s="21">
        <f t="shared" si="203"/>
        <v>8043.7762300522263</v>
      </c>
      <c r="W242" s="21">
        <f t="shared" si="203"/>
        <v>2300.5362890488509</v>
      </c>
      <c r="X242" s="21">
        <f t="shared" si="203"/>
        <v>912.56076607675664</v>
      </c>
      <c r="Y242" s="21">
        <f t="shared" si="203"/>
        <v>31.477894231283532</v>
      </c>
      <c r="Z242" s="21">
        <f t="shared" si="203"/>
        <v>2.5287463104716799</v>
      </c>
      <c r="AA242" s="21">
        <f t="shared" si="203"/>
        <v>37.509512992809199</v>
      </c>
      <c r="AB242" s="21">
        <f t="shared" si="203"/>
        <v>2.2848950227060758</v>
      </c>
      <c r="AC242" s="21">
        <f t="shared" si="203"/>
        <v>1.4590310716937298</v>
      </c>
      <c r="AD242" s="21">
        <f t="shared" si="203"/>
        <v>5.6446174382662258E-2</v>
      </c>
      <c r="AE242" s="21">
        <f t="shared" si="203"/>
        <v>6.7812473394267573E-4</v>
      </c>
      <c r="AF242" s="21">
        <f t="shared" si="203"/>
        <v>0.15370112342536593</v>
      </c>
      <c r="AG242" s="3"/>
      <c r="AH242" s="3"/>
    </row>
    <row r="243" spans="1:34" x14ac:dyDescent="0.25">
      <c r="A243" s="71">
        <f>SUM(B243:AF243)</f>
        <v>197245.17268264032</v>
      </c>
      <c r="B243" s="60">
        <f>IF($A$64&lt;=B207,IF($B$64&gt;=B207,ABS(B242),0),0)</f>
        <v>88965.60378703165</v>
      </c>
      <c r="C243" s="60">
        <f t="shared" ref="C243" si="204">IF($A$64&lt;=C207,IF($B$64&gt;=C207,ABS(C242),0),0)</f>
        <v>9189.204514703235</v>
      </c>
      <c r="D243" s="60">
        <f t="shared" ref="D243" si="205">IF($A$64&lt;=D207,IF($B$64&gt;=D207,ABS(D242),0),0)</f>
        <v>2.4713782469818892</v>
      </c>
      <c r="E243" s="60">
        <f t="shared" ref="E243" si="206">IF($A$64&lt;=E207,IF($B$64&gt;=E207,ABS(E242),0),0)</f>
        <v>9975.8244551305088</v>
      </c>
      <c r="F243" s="60">
        <f t="shared" ref="F243" si="207">IF($A$64&lt;=F207,IF($B$64&gt;=F207,ABS(F242),0),0)</f>
        <v>5007.460038342093</v>
      </c>
      <c r="G243" s="60">
        <f t="shared" ref="G243" si="208">IF($A$64&lt;=G207,IF($B$64&gt;=G207,ABS(G242),0),0)</f>
        <v>5900.2392052656178</v>
      </c>
      <c r="H243" s="60">
        <f t="shared" ref="H243" si="209">IF($A$64&lt;=H207,IF($B$64&gt;=H207,ABS(H242),0),0)</f>
        <v>5516.743809528024</v>
      </c>
      <c r="I243" s="60">
        <f t="shared" ref="I243" si="210">IF($A$64&lt;=I207,IF($B$64&gt;=I207,ABS(I242),0),0)</f>
        <v>5258.6531030235228</v>
      </c>
      <c r="J243" s="60">
        <f t="shared" ref="J243" si="211">IF($A$64&lt;=J207,IF($B$64&gt;=J207,ABS(J242),0),0)</f>
        <v>5245.7721862274047</v>
      </c>
      <c r="K243" s="60">
        <f t="shared" ref="K243" si="212">IF($A$64&lt;=K207,IF($B$64&gt;=K207,ABS(K242),0),0)</f>
        <v>4909.2749978748025</v>
      </c>
      <c r="L243" s="60">
        <f t="shared" ref="L243" si="213">IF($A$64&lt;=L207,IF($B$64&gt;=L207,ABS(L242),0),0)</f>
        <v>5009.3029585445465</v>
      </c>
      <c r="M243" s="60">
        <f t="shared" ref="M243" si="214">IF($A$64&lt;=M207,IF($B$64&gt;=M207,ABS(M242),0),0)</f>
        <v>4305.751313815882</v>
      </c>
      <c r="N243" s="60">
        <f t="shared" ref="N243" si="215">IF($A$64&lt;=N207,IF($B$64&gt;=N207,ABS(N242),0),0)</f>
        <v>4049.4920154836946</v>
      </c>
      <c r="O243" s="60">
        <f t="shared" ref="O243" si="216">IF($A$64&lt;=O207,IF($B$64&gt;=O207,ABS(O242),0),0)</f>
        <v>3212.2523827074319</v>
      </c>
      <c r="P243" s="60">
        <f t="shared" ref="P243" si="217">IF($A$64&lt;=P207,IF($B$64&gt;=P207,ABS(P242),0),0)</f>
        <v>3487.2446545381781</v>
      </c>
      <c r="Q243" s="60">
        <f t="shared" ref="Q243" si="218">IF($A$64&lt;=Q207,IF($B$64&gt;=Q207,ABS(Q242),0),0)</f>
        <v>2515.7586390227548</v>
      </c>
      <c r="R243" s="60">
        <f t="shared" ref="R243" si="219">IF($A$64&lt;=R207,IF($B$64&gt;=R207,ABS(R242),0),0)</f>
        <v>2403.2405144139384</v>
      </c>
      <c r="S243" s="60">
        <f t="shared" ref="S243" si="220">IF($A$64&lt;=S207,IF($B$64&gt;=S207,ABS(S242),0),0)</f>
        <v>153.46714858601752</v>
      </c>
      <c r="T243" s="60">
        <f t="shared" ref="T243" si="221">IF($A$64&lt;=T207,IF($B$64&gt;=T207,ABS(T242),0),0)</f>
        <v>5347.5297699996618</v>
      </c>
      <c r="U243" s="60">
        <f t="shared" ref="U243" si="222">IF($A$64&lt;=U207,IF($B$64&gt;=U207,ABS(U242),0),0)</f>
        <v>15457.541619924972</v>
      </c>
      <c r="V243" s="60">
        <f t="shared" ref="V243" si="223">IF($A$64&lt;=V207,IF($B$64&gt;=V207,ABS(V242),0),0)</f>
        <v>8043.7762300522263</v>
      </c>
      <c r="W243" s="60">
        <f t="shared" ref="W243" si="224">IF($A$64&lt;=W207,IF($B$64&gt;=W207,ABS(W242),0),0)</f>
        <v>2300.5362890488509</v>
      </c>
      <c r="X243" s="60">
        <f t="shared" ref="X243" si="225">IF($A$64&lt;=X207,IF($B$64&gt;=X207,ABS(X242),0),0)</f>
        <v>912.56076607675664</v>
      </c>
      <c r="Y243" s="60">
        <f t="shared" ref="Y243" si="226">IF($A$64&lt;=Y207,IF($B$64&gt;=Y207,ABS(Y242),0),0)</f>
        <v>31.477894231283532</v>
      </c>
      <c r="Z243" s="60">
        <f t="shared" ref="Z243" si="227">IF($A$64&lt;=Z207,IF($B$64&gt;=Z207,ABS(Z242),0),0)</f>
        <v>2.5287463104716799</v>
      </c>
      <c r="AA243" s="60">
        <f t="shared" ref="AA243" si="228">IF($A$64&lt;=AA207,IF($B$64&gt;=AA207,ABS(AA242),0),0)</f>
        <v>37.509512992809199</v>
      </c>
      <c r="AB243" s="60">
        <f t="shared" ref="AB243" si="229">IF($A$64&lt;=AB207,IF($B$64&gt;=AB207,ABS(AB242),0),0)</f>
        <v>2.2848950227060758</v>
      </c>
      <c r="AC243" s="60">
        <f t="shared" ref="AC243" si="230">IF($A$64&lt;=AC207,IF($B$64&gt;=AC207,ABS(AC242),0),0)</f>
        <v>1.4590310716937298</v>
      </c>
      <c r="AD243" s="60">
        <f t="shared" ref="AD243" si="231">IF($A$64&lt;=AD207,IF($B$64&gt;=AD207,ABS(AD242),0),0)</f>
        <v>5.6446174382662258E-2</v>
      </c>
      <c r="AE243" s="60">
        <f t="shared" ref="AE243" si="232">IF($A$64&lt;=AE207,IF($B$64&gt;=AE207,ABS(AE242),0),0)</f>
        <v>6.7812473394267573E-4</v>
      </c>
      <c r="AF243" s="60">
        <f t="shared" ref="AF243" si="233">IF($A$64&lt;=AF207,IF($B$64&gt;=AF207,ABS(AF242),0),0)</f>
        <v>0.15370112342536593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10702.338134103304</v>
      </c>
      <c r="C248" s="27">
        <f t="shared" ref="C248:AF248" si="234">($C$17+SUM(C249:C279))*$B$51</f>
        <v>10623.705865073485</v>
      </c>
      <c r="D248" s="27">
        <f t="shared" si="234"/>
        <v>10329.142830246381</v>
      </c>
      <c r="E248" s="27">
        <f t="shared" si="234"/>
        <v>10136.26703991831</v>
      </c>
      <c r="F248" s="27">
        <f t="shared" si="234"/>
        <v>9897.6272648637241</v>
      </c>
      <c r="G248" s="27">
        <f t="shared" si="234"/>
        <v>9622.7558393618474</v>
      </c>
      <c r="H248" s="27">
        <f t="shared" si="234"/>
        <v>9373.5584106728238</v>
      </c>
      <c r="I248" s="27">
        <f t="shared" si="234"/>
        <v>9113.5278467648386</v>
      </c>
      <c r="J248" s="27">
        <f t="shared" si="234"/>
        <v>8823.4844489757506</v>
      </c>
      <c r="K248" s="27">
        <f t="shared" si="234"/>
        <v>8476.7327015734336</v>
      </c>
      <c r="L248" s="27">
        <f t="shared" si="234"/>
        <v>8118.8867718365227</v>
      </c>
      <c r="M248" s="27">
        <f t="shared" si="234"/>
        <v>7810.0922912806918</v>
      </c>
      <c r="N248" s="27">
        <f t="shared" si="234"/>
        <v>7535.6426895057884</v>
      </c>
      <c r="O248" s="27">
        <f t="shared" si="234"/>
        <v>7254.7017699957087</v>
      </c>
      <c r="P248" s="27">
        <f t="shared" si="234"/>
        <v>6972.4322345976052</v>
      </c>
      <c r="Q248" s="27">
        <f t="shared" si="234"/>
        <v>6686.8935517133941</v>
      </c>
      <c r="R248" s="27">
        <f t="shared" si="234"/>
        <v>6332.9633654306308</v>
      </c>
      <c r="S248" s="27">
        <f t="shared" si="234"/>
        <v>5705.9787039790044</v>
      </c>
      <c r="T248" s="27">
        <f t="shared" si="234"/>
        <v>4702.1698659650792</v>
      </c>
      <c r="U248" s="27">
        <f t="shared" si="234"/>
        <v>3715.4034759445522</v>
      </c>
      <c r="V248" s="27">
        <f t="shared" si="234"/>
        <v>2924.720840199212</v>
      </c>
      <c r="W248" s="27">
        <f t="shared" si="234"/>
        <v>2270.5453547400562</v>
      </c>
      <c r="X248" s="27">
        <f t="shared" si="234"/>
        <v>1689.8213462042859</v>
      </c>
      <c r="Y248" s="27">
        <f t="shared" si="234"/>
        <v>1193.7553500930273</v>
      </c>
      <c r="Z248" s="27">
        <f t="shared" si="234"/>
        <v>834.29810499698578</v>
      </c>
      <c r="AA248" s="27">
        <f t="shared" si="234"/>
        <v>607.11869404433094</v>
      </c>
      <c r="AB248" s="27">
        <f t="shared" si="234"/>
        <v>492.92641374894924</v>
      </c>
      <c r="AC248" s="27">
        <f t="shared" si="234"/>
        <v>433.57879832119539</v>
      </c>
      <c r="AD248" s="27">
        <f t="shared" si="234"/>
        <v>403.83602188995252</v>
      </c>
      <c r="AE248" s="27">
        <f t="shared" si="234"/>
        <v>387.4903129326978</v>
      </c>
      <c r="AF248" s="27">
        <f t="shared" si="234"/>
        <v>374.51544982691183</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3.1677970605465886E-2</v>
      </c>
      <c r="C250" s="3">
        <f t="shared" si="236"/>
        <v>2.5134588264896892E-2</v>
      </c>
      <c r="D250" s="3">
        <f t="shared" si="236"/>
        <v>2.4855128573007404E-3</v>
      </c>
      <c r="E250" s="3">
        <f t="shared" si="236"/>
        <v>2.2225851122405571E-13</v>
      </c>
      <c r="F250" s="3">
        <f t="shared" si="236"/>
        <v>7.2657804386308576E-114</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1.4749183935971013E-2</v>
      </c>
      <c r="C251" s="3">
        <f t="shared" si="237"/>
        <v>1.4444528056438564E-2</v>
      </c>
      <c r="D251" s="3">
        <f t="shared" si="237"/>
        <v>1.1723492434771634E-2</v>
      </c>
      <c r="E251" s="3">
        <f t="shared" si="237"/>
        <v>1.4540974568137573E-3</v>
      </c>
      <c r="F251" s="3">
        <f t="shared" si="237"/>
        <v>1.2530216889280817E-12</v>
      </c>
      <c r="G251" s="3">
        <f t="shared" si="237"/>
        <v>2.8288461181207255E-103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2.1838728261149177E-2</v>
      </c>
      <c r="C252" s="3">
        <f t="shared" si="238"/>
        <v>2.1797648193202738E-2</v>
      </c>
      <c r="D252" s="3">
        <f t="shared" si="238"/>
        <v>2.1391073705021194E-2</v>
      </c>
      <c r="E252" s="3">
        <f t="shared" si="238"/>
        <v>1.7719931391401877E-2</v>
      </c>
      <c r="F252" s="3">
        <f t="shared" si="238"/>
        <v>2.6962276318091036E-3</v>
      </c>
      <c r="G252" s="3">
        <f t="shared" si="238"/>
        <v>1.7935015093772774E-11</v>
      </c>
      <c r="H252" s="3">
        <f t="shared" si="238"/>
        <v>3.0419611263694551E-93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2.6597903363769024E-2</v>
      </c>
      <c r="C253" s="3">
        <f t="shared" si="239"/>
        <v>2.6593386159699198E-2</v>
      </c>
      <c r="D253" s="3">
        <f t="shared" si="239"/>
        <v>2.6548256291899715E-2</v>
      </c>
      <c r="E253" s="3">
        <f t="shared" si="239"/>
        <v>2.6101148520799942E-2</v>
      </c>
      <c r="F253" s="3">
        <f t="shared" si="239"/>
        <v>2.2023978826240718E-2</v>
      </c>
      <c r="G253" s="3">
        <f t="shared" si="239"/>
        <v>4.0295579938868578E-3</v>
      </c>
      <c r="H253" s="3">
        <f t="shared" si="239"/>
        <v>1.6938451608353522E-10</v>
      </c>
      <c r="I253" s="3">
        <f t="shared" si="239"/>
        <v>2.9176734218774614E-84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2.1793058816102367E-2</v>
      </c>
      <c r="C254" s="3">
        <f t="shared" si="240"/>
        <v>2.1792724912854704E-2</v>
      </c>
      <c r="D254" s="3">
        <f t="shared" si="240"/>
        <v>2.178938616174033E-2</v>
      </c>
      <c r="E254" s="3">
        <f t="shared" si="240"/>
        <v>2.1756026770877276E-2</v>
      </c>
      <c r="F254" s="3">
        <f t="shared" si="240"/>
        <v>2.1425229014016629E-2</v>
      </c>
      <c r="G254" s="3">
        <f t="shared" si="240"/>
        <v>1.8381644187275128E-2</v>
      </c>
      <c r="H254" s="3">
        <f t="shared" si="240"/>
        <v>3.9716702119327657E-3</v>
      </c>
      <c r="I254" s="3">
        <f t="shared" si="240"/>
        <v>8.8076778940567355E-10</v>
      </c>
      <c r="J254" s="3">
        <f t="shared" si="240"/>
        <v>2.5336339152556014E-76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2.3921657089880203E-2</v>
      </c>
      <c r="C255" s="3">
        <f t="shared" si="241"/>
        <v>2.3921624026798472E-2</v>
      </c>
      <c r="D255" s="3">
        <f t="shared" si="241"/>
        <v>2.3921293398494525E-2</v>
      </c>
      <c r="E255" s="3">
        <f t="shared" si="241"/>
        <v>2.3917987366779116E-2</v>
      </c>
      <c r="F255" s="3">
        <f t="shared" si="241"/>
        <v>2.3884952169184036E-2</v>
      </c>
      <c r="G255" s="3">
        <f t="shared" si="241"/>
        <v>2.3557099350542218E-2</v>
      </c>
      <c r="H255" s="3">
        <f t="shared" si="241"/>
        <v>2.0516165313198106E-2</v>
      </c>
      <c r="I255" s="3">
        <f t="shared" si="241"/>
        <v>5.1503880603316196E-3</v>
      </c>
      <c r="J255" s="3">
        <f t="shared" si="241"/>
        <v>5.1200898220023427E-9</v>
      </c>
      <c r="K255" s="3">
        <f t="shared" si="241"/>
        <v>4.8267394193971046E-69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2.6315528805252543E-2</v>
      </c>
      <c r="C256" s="3">
        <f t="shared" si="242"/>
        <v>2.6315525524216243E-2</v>
      </c>
      <c r="D256" s="3">
        <f t="shared" si="242"/>
        <v>2.6315492713875718E-2</v>
      </c>
      <c r="E256" s="3">
        <f t="shared" si="242"/>
        <v>2.6315164612720422E-2</v>
      </c>
      <c r="F256" s="3">
        <f t="shared" si="242"/>
        <v>2.6311883826150868E-2</v>
      </c>
      <c r="G256" s="3">
        <f t="shared" si="242"/>
        <v>2.627909844841899E-2</v>
      </c>
      <c r="H256" s="3">
        <f t="shared" si="242"/>
        <v>2.5953483127867112E-2</v>
      </c>
      <c r="I256" s="3">
        <f t="shared" si="242"/>
        <v>2.2911184625382473E-2</v>
      </c>
      <c r="J256" s="3">
        <f t="shared" si="242"/>
        <v>6.5851622894290583E-3</v>
      </c>
      <c r="K256" s="3">
        <f t="shared" si="242"/>
        <v>2.533703884547293E-8</v>
      </c>
      <c r="L256" s="3">
        <f t="shared" si="242"/>
        <v>1.8015636269344553E-62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3.415720192972891E-2</v>
      </c>
      <c r="C257" s="3">
        <f t="shared" si="243"/>
        <v>3.4157201545555023E-2</v>
      </c>
      <c r="D257" s="3">
        <f t="shared" si="243"/>
        <v>3.4157197703816436E-2</v>
      </c>
      <c r="E257" s="3">
        <f t="shared" si="243"/>
        <v>3.4157159286454318E-2</v>
      </c>
      <c r="F257" s="3">
        <f t="shared" si="243"/>
        <v>3.4156775115209571E-2</v>
      </c>
      <c r="G257" s="3">
        <f t="shared" si="243"/>
        <v>3.4152933640400195E-2</v>
      </c>
      <c r="H257" s="3">
        <f t="shared" si="243"/>
        <v>3.4114542646226299E-2</v>
      </c>
      <c r="I257" s="3">
        <f t="shared" si="243"/>
        <v>3.3732998241006659E-2</v>
      </c>
      <c r="J257" s="3">
        <f t="shared" si="243"/>
        <v>3.014455292013991E-2</v>
      </c>
      <c r="K257" s="3">
        <f t="shared" si="243"/>
        <v>9.7892153349997593E-3</v>
      </c>
      <c r="L257" s="3">
        <f t="shared" si="243"/>
        <v>1.2768451437263521E-7</v>
      </c>
      <c r="M257" s="3">
        <f t="shared" si="243"/>
        <v>1.8198755948144067E-56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3.3563265447433384E-2</v>
      </c>
      <c r="C258" s="3">
        <f t="shared" si="244"/>
        <v>3.3563265413380311E-2</v>
      </c>
      <c r="D258" s="3">
        <f t="shared" si="244"/>
        <v>3.3563265072849548E-2</v>
      </c>
      <c r="E258" s="3">
        <f t="shared" si="244"/>
        <v>3.3563261667542137E-2</v>
      </c>
      <c r="F258" s="3">
        <f t="shared" si="244"/>
        <v>3.3563227614487004E-2</v>
      </c>
      <c r="G258" s="3">
        <f t="shared" si="244"/>
        <v>3.3562887085835949E-2</v>
      </c>
      <c r="H258" s="3">
        <f t="shared" si="244"/>
        <v>3.3559481989342679E-2</v>
      </c>
      <c r="I258" s="3">
        <f t="shared" si="244"/>
        <v>3.3525450019005448E-2</v>
      </c>
      <c r="J258" s="3">
        <f t="shared" si="244"/>
        <v>3.3187022663923635E-2</v>
      </c>
      <c r="K258" s="3">
        <f t="shared" si="244"/>
        <v>2.9985068772012173E-2</v>
      </c>
      <c r="L258" s="3">
        <f t="shared" si="244"/>
        <v>1.0871078268064757E-2</v>
      </c>
      <c r="M258" s="3">
        <f t="shared" si="244"/>
        <v>4.2652879456925867E-7</v>
      </c>
      <c r="N258" s="3">
        <f t="shared" si="244"/>
        <v>3.6872763106188044E-51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2.5958709058640422E-2</v>
      </c>
      <c r="C259" s="3">
        <f t="shared" si="245"/>
        <v>2.5958709056264559E-2</v>
      </c>
      <c r="D259" s="3">
        <f t="shared" si="245"/>
        <v>2.5958709032505904E-2</v>
      </c>
      <c r="E259" s="3">
        <f t="shared" si="245"/>
        <v>2.595870879491937E-2</v>
      </c>
      <c r="F259" s="3">
        <f t="shared" si="245"/>
        <v>2.5958706419054147E-2</v>
      </c>
      <c r="G259" s="3">
        <f t="shared" si="245"/>
        <v>2.5958682660413873E-2</v>
      </c>
      <c r="H259" s="3">
        <f t="shared" si="245"/>
        <v>2.5958445075207125E-2</v>
      </c>
      <c r="I259" s="3">
        <f t="shared" si="245"/>
        <v>2.5956069342732934E-2</v>
      </c>
      <c r="J259" s="3">
        <f t="shared" si="245"/>
        <v>2.5932323973273649E-2</v>
      </c>
      <c r="K259" s="3">
        <f t="shared" si="245"/>
        <v>2.5696061768280699E-2</v>
      </c>
      <c r="L259" s="3">
        <f t="shared" si="245"/>
        <v>2.3448650683320398E-2</v>
      </c>
      <c r="M259" s="3">
        <f t="shared" si="245"/>
        <v>9.3892467170162905E-3</v>
      </c>
      <c r="N259" s="3">
        <f t="shared" si="245"/>
        <v>9.948547803003029E-7</v>
      </c>
      <c r="O259" s="3">
        <f t="shared" si="245"/>
        <v>1.7743900446870618E-46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2.4505487924839094E-2</v>
      </c>
      <c r="C260" s="3">
        <f t="shared" si="246"/>
        <v>2.4505487924636769E-2</v>
      </c>
      <c r="D260" s="3">
        <f t="shared" si="246"/>
        <v>2.4505487922613527E-2</v>
      </c>
      <c r="E260" s="3">
        <f t="shared" si="246"/>
        <v>2.4505487902381065E-2</v>
      </c>
      <c r="F260" s="3">
        <f t="shared" si="246"/>
        <v>2.4505487700056471E-2</v>
      </c>
      <c r="G260" s="3">
        <f t="shared" si="246"/>
        <v>2.4505485676810629E-2</v>
      </c>
      <c r="H260" s="3">
        <f t="shared" si="246"/>
        <v>2.4505465444361371E-2</v>
      </c>
      <c r="I260" s="3">
        <f t="shared" si="246"/>
        <v>2.450526312078756E-2</v>
      </c>
      <c r="J260" s="3">
        <f t="shared" si="246"/>
        <v>2.4503239976921179E-2</v>
      </c>
      <c r="K260" s="3">
        <f t="shared" si="246"/>
        <v>2.4483017722625681E-2</v>
      </c>
      <c r="L260" s="3">
        <f t="shared" si="246"/>
        <v>2.4281710817019648E-2</v>
      </c>
      <c r="M260" s="3">
        <f t="shared" si="246"/>
        <v>2.2357469082039231E-2</v>
      </c>
      <c r="N260" s="3">
        <f t="shared" si="246"/>
        <v>9.7916572184486052E-3</v>
      </c>
      <c r="O260" s="3">
        <f t="shared" si="246"/>
        <v>2.5420953021956975E-6</v>
      </c>
      <c r="P260" s="3">
        <f t="shared" si="246"/>
        <v>3.5362917974681651E-42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2.7040912958717581E-2</v>
      </c>
      <c r="C261" s="3">
        <f t="shared" si="247"/>
        <v>2.7040912958697441E-2</v>
      </c>
      <c r="D261" s="3">
        <f t="shared" si="247"/>
        <v>2.7040912958496047E-2</v>
      </c>
      <c r="E261" s="3">
        <f t="shared" si="247"/>
        <v>2.7040912956482074E-2</v>
      </c>
      <c r="F261" s="3">
        <f t="shared" si="247"/>
        <v>2.7040912936342362E-2</v>
      </c>
      <c r="G261" s="3">
        <f t="shared" si="247"/>
        <v>2.7040912734945237E-2</v>
      </c>
      <c r="H261" s="3">
        <f t="shared" si="247"/>
        <v>2.704091072097408E-2</v>
      </c>
      <c r="I261" s="3">
        <f t="shared" si="247"/>
        <v>2.7040890581270776E-2</v>
      </c>
      <c r="J261" s="3">
        <f t="shared" si="247"/>
        <v>2.7040689185062698E-2</v>
      </c>
      <c r="K261" s="3">
        <f t="shared" si="247"/>
        <v>2.7038675305478252E-2</v>
      </c>
      <c r="L261" s="3">
        <f t="shared" si="247"/>
        <v>2.7018544756992832E-2</v>
      </c>
      <c r="M261" s="3">
        <f t="shared" si="247"/>
        <v>2.6818061739830749E-2</v>
      </c>
      <c r="N261" s="3">
        <f t="shared" si="247"/>
        <v>2.4893256300806306E-2</v>
      </c>
      <c r="O261" s="3">
        <f t="shared" si="247"/>
        <v>1.1820203520234662E-2</v>
      </c>
      <c r="P261" s="3">
        <f t="shared" si="247"/>
        <v>6.8874330600266608E-6</v>
      </c>
      <c r="Q261" s="3">
        <f t="shared" si="247"/>
        <v>3.1072897832505131E-38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2.4600371351709064E-2</v>
      </c>
      <c r="C262" s="3">
        <f t="shared" si="248"/>
        <v>2.4600371351707413E-2</v>
      </c>
      <c r="D262" s="3">
        <f t="shared" si="248"/>
        <v>2.4600371351690884E-2</v>
      </c>
      <c r="E262" s="3">
        <f t="shared" si="248"/>
        <v>2.4600371351525603E-2</v>
      </c>
      <c r="F262" s="3">
        <f t="shared" si="248"/>
        <v>2.4600371349872804E-2</v>
      </c>
      <c r="G262" s="3">
        <f t="shared" si="248"/>
        <v>2.4600371333344809E-2</v>
      </c>
      <c r="H262" s="3">
        <f t="shared" si="248"/>
        <v>2.460037116806486E-2</v>
      </c>
      <c r="I262" s="3">
        <f t="shared" si="248"/>
        <v>2.4600369515265442E-2</v>
      </c>
      <c r="J262" s="3">
        <f t="shared" si="248"/>
        <v>2.4600352987277346E-2</v>
      </c>
      <c r="K262" s="3">
        <f t="shared" si="248"/>
        <v>2.4600187708007131E-2</v>
      </c>
      <c r="L262" s="3">
        <f t="shared" si="248"/>
        <v>2.4598534976378001E-2</v>
      </c>
      <c r="M262" s="3">
        <f t="shared" si="248"/>
        <v>2.4582013765870415E-2</v>
      </c>
      <c r="N262" s="3">
        <f t="shared" si="248"/>
        <v>2.4417410724064791E-2</v>
      </c>
      <c r="O262" s="3">
        <f t="shared" si="248"/>
        <v>2.2830799399835178E-2</v>
      </c>
      <c r="P262" s="3">
        <f t="shared" si="248"/>
        <v>1.1661011266661095E-2</v>
      </c>
      <c r="Q262" s="3">
        <f t="shared" si="248"/>
        <v>1.4089227529584302E-5</v>
      </c>
      <c r="R262" s="3">
        <f t="shared" si="248"/>
        <v>9.3410750196660681E-35</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2.629419146379728E-2</v>
      </c>
      <c r="C263" s="3">
        <f t="shared" si="249"/>
        <v>2.629419146379712E-2</v>
      </c>
      <c r="D263" s="3">
        <f t="shared" si="249"/>
        <v>2.6294191463795524E-2</v>
      </c>
      <c r="E263" s="3">
        <f t="shared" si="249"/>
        <v>2.6294191463779589E-2</v>
      </c>
      <c r="F263" s="3">
        <f t="shared" si="249"/>
        <v>2.6294191463620227E-2</v>
      </c>
      <c r="G263" s="3">
        <f t="shared" si="249"/>
        <v>2.6294191462026609E-2</v>
      </c>
      <c r="H263" s="3">
        <f t="shared" si="249"/>
        <v>2.6294191446090402E-2</v>
      </c>
      <c r="I263" s="3">
        <f t="shared" si="249"/>
        <v>2.6294191286728347E-2</v>
      </c>
      <c r="J263" s="3">
        <f t="shared" si="249"/>
        <v>2.6294189693107869E-2</v>
      </c>
      <c r="K263" s="3">
        <f t="shared" si="249"/>
        <v>2.6294173756908373E-2</v>
      </c>
      <c r="L263" s="3">
        <f t="shared" si="249"/>
        <v>2.6294014395444647E-2</v>
      </c>
      <c r="M263" s="3">
        <f t="shared" si="249"/>
        <v>2.6292420833927844E-2</v>
      </c>
      <c r="N263" s="3">
        <f t="shared" si="249"/>
        <v>2.6276490529615469E-2</v>
      </c>
      <c r="O263" s="3">
        <f t="shared" si="249"/>
        <v>2.6117717383044758E-2</v>
      </c>
      <c r="P263" s="3">
        <f t="shared" si="249"/>
        <v>2.4581806313259243E-2</v>
      </c>
      <c r="Q263" s="3">
        <f t="shared" si="249"/>
        <v>1.3409097096356447E-2</v>
      </c>
      <c r="R263" s="3">
        <f t="shared" si="249"/>
        <v>3.1279295777460138E-5</v>
      </c>
      <c r="S263" s="3">
        <f t="shared" si="249"/>
        <v>1.4922145803539269E-31</v>
      </c>
      <c r="T263" s="3">
        <f t="shared" si="249"/>
        <v>9.1111753029167633E-295</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3.2623262585065482E-2</v>
      </c>
      <c r="C264" s="3">
        <f t="shared" si="250"/>
        <v>3.2623262585065468E-2</v>
      </c>
      <c r="D264" s="3">
        <f t="shared" si="250"/>
        <v>3.2623262585065288E-2</v>
      </c>
      <c r="E264" s="3">
        <f t="shared" si="250"/>
        <v>3.2623262585063505E-2</v>
      </c>
      <c r="F264" s="3">
        <f t="shared" si="250"/>
        <v>3.2623262585045672E-2</v>
      </c>
      <c r="G264" s="3">
        <f t="shared" si="250"/>
        <v>3.2623262584867307E-2</v>
      </c>
      <c r="H264" s="3">
        <f t="shared" si="250"/>
        <v>3.2623262583083706E-2</v>
      </c>
      <c r="I264" s="3">
        <f t="shared" si="250"/>
        <v>3.262326256524764E-2</v>
      </c>
      <c r="J264" s="3">
        <f t="shared" si="250"/>
        <v>3.2623262386886974E-2</v>
      </c>
      <c r="K264" s="3">
        <f t="shared" si="250"/>
        <v>3.2623260603280399E-2</v>
      </c>
      <c r="L264" s="3">
        <f t="shared" si="250"/>
        <v>3.2623242767219958E-2</v>
      </c>
      <c r="M264" s="3">
        <f t="shared" si="250"/>
        <v>3.2623064407151937E-2</v>
      </c>
      <c r="N264" s="3">
        <f t="shared" si="250"/>
        <v>3.2621280860103692E-2</v>
      </c>
      <c r="O264" s="3">
        <f t="shared" si="250"/>
        <v>3.2603450751732814E-2</v>
      </c>
      <c r="P264" s="3">
        <f t="shared" si="250"/>
        <v>3.2425684796068423E-2</v>
      </c>
      <c r="Q264" s="3">
        <f t="shared" si="250"/>
        <v>3.0700471184454469E-2</v>
      </c>
      <c r="R264" s="3">
        <f t="shared" si="250"/>
        <v>1.7770673348633963E-2</v>
      </c>
      <c r="S264" s="3">
        <f t="shared" si="250"/>
        <v>7.5039911603832783E-5</v>
      </c>
      <c r="T264" s="3">
        <f t="shared" si="250"/>
        <v>1.3526225139790372E-28</v>
      </c>
      <c r="U264" s="3">
        <f t="shared" si="250"/>
        <v>4.8980091548359523E-266</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8.8496332073838405E-2</v>
      </c>
      <c r="C265" s="3">
        <f t="shared" si="251"/>
        <v>8.8496332073838405E-2</v>
      </c>
      <c r="D265" s="3">
        <f t="shared" si="251"/>
        <v>8.8496332073838349E-2</v>
      </c>
      <c r="E265" s="3">
        <f t="shared" si="251"/>
        <v>8.8496332073837919E-2</v>
      </c>
      <c r="F265" s="3">
        <f t="shared" si="251"/>
        <v>8.8496332073833547E-2</v>
      </c>
      <c r="G265" s="3">
        <f t="shared" si="251"/>
        <v>8.8496332073789902E-2</v>
      </c>
      <c r="H265" s="3">
        <f t="shared" si="251"/>
        <v>8.8496332073353445E-2</v>
      </c>
      <c r="I265" s="3">
        <f t="shared" si="251"/>
        <v>8.8496332068988853E-2</v>
      </c>
      <c r="J265" s="3">
        <f t="shared" si="251"/>
        <v>8.8496332025342947E-2</v>
      </c>
      <c r="K265" s="3">
        <f t="shared" si="251"/>
        <v>8.8496331588883842E-2</v>
      </c>
      <c r="L265" s="3">
        <f t="shared" si="251"/>
        <v>8.8496327224293014E-2</v>
      </c>
      <c r="M265" s="3">
        <f t="shared" si="251"/>
        <v>8.8496283578396423E-2</v>
      </c>
      <c r="N265" s="3">
        <f t="shared" si="251"/>
        <v>8.8495847120614424E-2</v>
      </c>
      <c r="O265" s="3">
        <f t="shared" si="251"/>
        <v>8.8491482661184701E-2</v>
      </c>
      <c r="P265" s="3">
        <f t="shared" si="251"/>
        <v>8.844784990374617E-2</v>
      </c>
      <c r="Q265" s="3">
        <f t="shared" si="251"/>
        <v>8.8012703858071084E-2</v>
      </c>
      <c r="R265" s="3">
        <f t="shared" si="251"/>
        <v>8.3777268343326605E-2</v>
      </c>
      <c r="S265" s="3">
        <f t="shared" si="251"/>
        <v>5.1160469192624854E-2</v>
      </c>
      <c r="T265" s="3">
        <f t="shared" si="251"/>
        <v>3.6899267966844398E-4</v>
      </c>
      <c r="U265" s="3">
        <f t="shared" si="251"/>
        <v>1.4055621936221623E-25</v>
      </c>
      <c r="V265" s="3">
        <f t="shared" si="251"/>
        <v>9.0400999933745408E-240</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9.9309249865316016E-2</v>
      </c>
      <c r="C266" s="3">
        <f t="shared" si="252"/>
        <v>9.9309249865316016E-2</v>
      </c>
      <c r="D266" s="3">
        <f t="shared" si="252"/>
        <v>9.9309249865316016E-2</v>
      </c>
      <c r="E266" s="3">
        <f t="shared" si="252"/>
        <v>9.9309249865315974E-2</v>
      </c>
      <c r="F266" s="3">
        <f t="shared" si="252"/>
        <v>9.9309249865315516E-2</v>
      </c>
      <c r="G266" s="3">
        <f t="shared" si="252"/>
        <v>9.9309249865311103E-2</v>
      </c>
      <c r="H266" s="3">
        <f t="shared" si="252"/>
        <v>9.9309249865266916E-2</v>
      </c>
      <c r="I266" s="3">
        <f t="shared" si="252"/>
        <v>9.9309249864825089E-2</v>
      </c>
      <c r="J266" s="3">
        <f t="shared" si="252"/>
        <v>9.9309249860406804E-2</v>
      </c>
      <c r="K266" s="3">
        <f t="shared" si="252"/>
        <v>9.9309249816223868E-2</v>
      </c>
      <c r="L266" s="3">
        <f t="shared" si="252"/>
        <v>9.9309249374394504E-2</v>
      </c>
      <c r="M266" s="3">
        <f t="shared" si="252"/>
        <v>9.9309244956101023E-2</v>
      </c>
      <c r="N266" s="3">
        <f t="shared" si="252"/>
        <v>9.9309200773177023E-2</v>
      </c>
      <c r="O266" s="3">
        <f t="shared" si="252"/>
        <v>9.9308758945018213E-2</v>
      </c>
      <c r="P266" s="3">
        <f t="shared" si="252"/>
        <v>9.9304340771542182E-2</v>
      </c>
      <c r="Q266" s="3">
        <f t="shared" si="252"/>
        <v>9.9260169846209431E-2</v>
      </c>
      <c r="R266" s="3">
        <f t="shared" si="252"/>
        <v>9.8819539758382868E-2</v>
      </c>
      <c r="S266" s="3">
        <f t="shared" si="252"/>
        <v>9.4519399915999433E-2</v>
      </c>
      <c r="T266" s="3">
        <f t="shared" si="252"/>
        <v>6.0576230410572009E-2</v>
      </c>
      <c r="U266" s="3">
        <f t="shared" si="252"/>
        <v>7.081334814185114E-4</v>
      </c>
      <c r="V266" s="3">
        <f t="shared" si="252"/>
        <v>3.3747684119091277E-23</v>
      </c>
      <c r="W266" s="3">
        <f t="shared" si="252"/>
        <v>2.039541004811746E-216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7.4938076557470937E-2</v>
      </c>
      <c r="C267" s="3">
        <f t="shared" si="253"/>
        <v>7.4938076557470937E-2</v>
      </c>
      <c r="D267" s="3">
        <f t="shared" si="253"/>
        <v>7.4938076557470937E-2</v>
      </c>
      <c r="E267" s="3">
        <f t="shared" si="253"/>
        <v>7.4938076557470937E-2</v>
      </c>
      <c r="F267" s="3">
        <f t="shared" si="253"/>
        <v>7.4938076557470909E-2</v>
      </c>
      <c r="G267" s="3">
        <f t="shared" si="253"/>
        <v>7.4938076557470604E-2</v>
      </c>
      <c r="H267" s="3">
        <f t="shared" si="253"/>
        <v>7.4938076557467592E-2</v>
      </c>
      <c r="I267" s="3">
        <f t="shared" si="253"/>
        <v>7.4938076557437519E-2</v>
      </c>
      <c r="J267" s="3">
        <f t="shared" si="253"/>
        <v>7.493807655713676E-2</v>
      </c>
      <c r="K267" s="3">
        <f t="shared" si="253"/>
        <v>7.4938076554129207E-2</v>
      </c>
      <c r="L267" s="3">
        <f t="shared" si="253"/>
        <v>7.4938076524053626E-2</v>
      </c>
      <c r="M267" s="3">
        <f t="shared" si="253"/>
        <v>7.4938076223297831E-2</v>
      </c>
      <c r="N267" s="3">
        <f t="shared" si="253"/>
        <v>7.4938073215739961E-2</v>
      </c>
      <c r="O267" s="3">
        <f t="shared" si="253"/>
        <v>7.4938043140167915E-2</v>
      </c>
      <c r="P267" s="3">
        <f t="shared" si="253"/>
        <v>7.4937742385111208E-2</v>
      </c>
      <c r="Q267" s="3">
        <f t="shared" si="253"/>
        <v>7.4934734900930958E-2</v>
      </c>
      <c r="R267" s="3">
        <f t="shared" si="253"/>
        <v>7.4904666696811298E-2</v>
      </c>
      <c r="S267" s="3">
        <f t="shared" si="253"/>
        <v>7.4604647439294056E-2</v>
      </c>
      <c r="T267" s="3">
        <f t="shared" si="253"/>
        <v>7.1669759504687874E-2</v>
      </c>
      <c r="U267" s="3">
        <f t="shared" si="253"/>
        <v>4.7977387427811921E-2</v>
      </c>
      <c r="V267" s="3">
        <f t="shared" si="253"/>
        <v>8.6704786779784803E-4</v>
      </c>
      <c r="W267" s="3">
        <f t="shared" si="253"/>
        <v>3.2218689344539369E-21</v>
      </c>
      <c r="X267" s="3">
        <f t="shared" si="253"/>
        <v>1.6171705248539202E-195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6.9322857874701022E-2</v>
      </c>
      <c r="C268" s="3">
        <f t="shared" si="254"/>
        <v>6.9322857874701022E-2</v>
      </c>
      <c r="D268" s="3">
        <f t="shared" si="254"/>
        <v>6.9322857874701022E-2</v>
      </c>
      <c r="E268" s="3">
        <f t="shared" si="254"/>
        <v>6.9322857874701022E-2</v>
      </c>
      <c r="F268" s="3">
        <f t="shared" si="254"/>
        <v>6.9322857874701022E-2</v>
      </c>
      <c r="G268" s="3">
        <f t="shared" si="254"/>
        <v>6.9322857874700994E-2</v>
      </c>
      <c r="H268" s="3">
        <f t="shared" si="254"/>
        <v>6.9322857874700744E-2</v>
      </c>
      <c r="I268" s="3">
        <f t="shared" si="254"/>
        <v>6.9322857874698232E-2</v>
      </c>
      <c r="J268" s="3">
        <f t="shared" si="254"/>
        <v>6.9322857874673141E-2</v>
      </c>
      <c r="K268" s="3">
        <f t="shared" si="254"/>
        <v>6.9322857874422161E-2</v>
      </c>
      <c r="L268" s="3">
        <f t="shared" si="254"/>
        <v>6.9322857871912377E-2</v>
      </c>
      <c r="M268" s="3">
        <f t="shared" si="254"/>
        <v>6.9322857846814648E-2</v>
      </c>
      <c r="N268" s="3">
        <f t="shared" si="254"/>
        <v>6.9322857595837312E-2</v>
      </c>
      <c r="O268" s="3">
        <f t="shared" si="254"/>
        <v>6.9322855086063978E-2</v>
      </c>
      <c r="P268" s="3">
        <f t="shared" si="254"/>
        <v>6.932282998833561E-2</v>
      </c>
      <c r="Q268" s="3">
        <f t="shared" si="254"/>
        <v>6.9322579011551672E-2</v>
      </c>
      <c r="R268" s="3">
        <f t="shared" si="254"/>
        <v>6.9320069293686892E-2</v>
      </c>
      <c r="S268" s="3">
        <f t="shared" si="254"/>
        <v>6.9294977111823489E-2</v>
      </c>
      <c r="T268" s="3">
        <f t="shared" si="254"/>
        <v>6.9044554302935268E-2</v>
      </c>
      <c r="U268" s="3">
        <f t="shared" si="254"/>
        <v>6.6589565162772257E-2</v>
      </c>
      <c r="V268" s="3">
        <f t="shared" si="254"/>
        <v>4.6363227714452483E-2</v>
      </c>
      <c r="W268" s="3">
        <f t="shared" si="254"/>
        <v>1.2412192558114315E-3</v>
      </c>
      <c r="X268" s="3">
        <f t="shared" si="254"/>
        <v>2.3474530686308488E-19</v>
      </c>
      <c r="Y268" s="3">
        <f t="shared" si="254"/>
        <v>1.3742984542705676E-176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2.2465875921068256E-2</v>
      </c>
      <c r="C269" s="3">
        <f t="shared" si="255"/>
        <v>2.2465875921068256E-2</v>
      </c>
      <c r="D269" s="3">
        <f t="shared" si="255"/>
        <v>2.2465875921068256E-2</v>
      </c>
      <c r="E269" s="3">
        <f t="shared" si="255"/>
        <v>2.2465875921068256E-2</v>
      </c>
      <c r="F269" s="3">
        <f t="shared" si="255"/>
        <v>2.2465875921068256E-2</v>
      </c>
      <c r="G269" s="3">
        <f t="shared" si="255"/>
        <v>2.2465875921068256E-2</v>
      </c>
      <c r="H269" s="3">
        <f t="shared" si="255"/>
        <v>2.2465875921068249E-2</v>
      </c>
      <c r="I269" s="3">
        <f t="shared" si="255"/>
        <v>2.2465875921068173E-2</v>
      </c>
      <c r="J269" s="3">
        <f t="shared" si="255"/>
        <v>2.2465875921067441E-2</v>
      </c>
      <c r="K269" s="3">
        <f t="shared" si="255"/>
        <v>2.2465875921060103E-2</v>
      </c>
      <c r="L269" s="3">
        <f t="shared" si="255"/>
        <v>2.2465875920986731E-2</v>
      </c>
      <c r="M269" s="3">
        <f t="shared" si="255"/>
        <v>2.2465875920253016E-2</v>
      </c>
      <c r="N269" s="3">
        <f t="shared" si="255"/>
        <v>2.2465875912915854E-2</v>
      </c>
      <c r="O269" s="3">
        <f t="shared" si="255"/>
        <v>2.2465875839544253E-2</v>
      </c>
      <c r="P269" s="3">
        <f t="shared" si="255"/>
        <v>2.2465875105828252E-2</v>
      </c>
      <c r="Q269" s="3">
        <f t="shared" si="255"/>
        <v>2.2465867768669559E-2</v>
      </c>
      <c r="R269" s="3">
        <f t="shared" si="255"/>
        <v>2.2465794397214408E-2</v>
      </c>
      <c r="S269" s="3">
        <f t="shared" si="255"/>
        <v>2.2465060695842115E-2</v>
      </c>
      <c r="T269" s="3">
        <f t="shared" si="255"/>
        <v>2.2457724999881322E-2</v>
      </c>
      <c r="U269" s="3">
        <f t="shared" si="255"/>
        <v>2.2384499657388611E-2</v>
      </c>
      <c r="V269" s="3">
        <f t="shared" si="255"/>
        <v>2.1665250279285467E-2</v>
      </c>
      <c r="W269" s="3">
        <f t="shared" si="255"/>
        <v>1.5628845596276558E-2</v>
      </c>
      <c r="X269" s="3">
        <f t="shared" si="255"/>
        <v>5.9642906981700124E-4</v>
      </c>
      <c r="Y269" s="3">
        <f t="shared" si="255"/>
        <v>3.9073095926716274E-18</v>
      </c>
      <c r="Z269" s="3">
        <f t="shared" si="255"/>
        <v>5.6894204865191378E-160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5.8329528880761261E-2</v>
      </c>
      <c r="C270" s="3">
        <f t="shared" si="256"/>
        <v>5.8329528880761261E-2</v>
      </c>
      <c r="D270" s="3">
        <f t="shared" si="256"/>
        <v>5.8329528880761261E-2</v>
      </c>
      <c r="E270" s="3">
        <f t="shared" si="256"/>
        <v>5.8329528880761261E-2</v>
      </c>
      <c r="F270" s="3">
        <f t="shared" si="256"/>
        <v>5.8329528880761261E-2</v>
      </c>
      <c r="G270" s="3">
        <f t="shared" si="256"/>
        <v>5.8329528880761261E-2</v>
      </c>
      <c r="H270" s="3">
        <f t="shared" si="256"/>
        <v>5.8329528880761254E-2</v>
      </c>
      <c r="I270" s="3">
        <f t="shared" si="256"/>
        <v>5.8329528880761206E-2</v>
      </c>
      <c r="J270" s="3">
        <f t="shared" si="256"/>
        <v>5.8329528880760678E-2</v>
      </c>
      <c r="K270" s="3">
        <f t="shared" si="256"/>
        <v>5.8329528880755405E-2</v>
      </c>
      <c r="L270" s="3">
        <f t="shared" si="256"/>
        <v>5.8329528880702718E-2</v>
      </c>
      <c r="M270" s="3">
        <f t="shared" si="256"/>
        <v>5.8329528880175847E-2</v>
      </c>
      <c r="N270" s="3">
        <f t="shared" si="256"/>
        <v>5.8329528874907118E-2</v>
      </c>
      <c r="O270" s="3">
        <f t="shared" si="256"/>
        <v>5.8329528822219812E-2</v>
      </c>
      <c r="P270" s="3">
        <f t="shared" si="256"/>
        <v>5.832952829534678E-2</v>
      </c>
      <c r="Q270" s="3">
        <f t="shared" si="256"/>
        <v>5.8329523026616703E-2</v>
      </c>
      <c r="R270" s="3">
        <f t="shared" si="256"/>
        <v>5.8329470339342111E-2</v>
      </c>
      <c r="S270" s="3">
        <f t="shared" si="256"/>
        <v>5.832894346921369E-2</v>
      </c>
      <c r="T270" s="3">
        <f t="shared" si="256"/>
        <v>5.8323675029669425E-2</v>
      </c>
      <c r="U270" s="3">
        <f t="shared" si="256"/>
        <v>5.827101679947784E-2</v>
      </c>
      <c r="V270" s="3">
        <f t="shared" si="256"/>
        <v>5.7747042299072841E-2</v>
      </c>
      <c r="W270" s="3">
        <f t="shared" si="256"/>
        <v>5.2759568508075047E-2</v>
      </c>
      <c r="X270" s="3">
        <f t="shared" si="256"/>
        <v>2.1380415057656733E-2</v>
      </c>
      <c r="Y270" s="3">
        <f t="shared" si="256"/>
        <v>2.5536719178666967E-6</v>
      </c>
      <c r="Z270" s="3">
        <f t="shared" si="256"/>
        <v>1.5088802998312287E-45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3.4551716494444183E-2</v>
      </c>
      <c r="C271" s="3">
        <f t="shared" si="257"/>
        <v>3.4551716494444183E-2</v>
      </c>
      <c r="D271" s="3">
        <f t="shared" si="257"/>
        <v>3.4551716494444183E-2</v>
      </c>
      <c r="E271" s="3">
        <f t="shared" si="257"/>
        <v>3.4551716494444183E-2</v>
      </c>
      <c r="F271" s="3">
        <f t="shared" si="257"/>
        <v>3.4551716494444183E-2</v>
      </c>
      <c r="G271" s="3">
        <f t="shared" si="257"/>
        <v>3.4551716494444183E-2</v>
      </c>
      <c r="H271" s="3">
        <f t="shared" si="257"/>
        <v>3.4551716494444183E-2</v>
      </c>
      <c r="I271" s="3">
        <f t="shared" si="257"/>
        <v>3.4551716494444176E-2</v>
      </c>
      <c r="J271" s="3">
        <f t="shared" si="257"/>
        <v>3.4551716494444148E-2</v>
      </c>
      <c r="K271" s="3">
        <f t="shared" si="257"/>
        <v>3.4551716494443836E-2</v>
      </c>
      <c r="L271" s="3">
        <f t="shared" si="257"/>
        <v>3.4551716494440714E-2</v>
      </c>
      <c r="M271" s="3">
        <f t="shared" si="257"/>
        <v>3.4551716494409503E-2</v>
      </c>
      <c r="N271" s="3">
        <f t="shared" si="257"/>
        <v>3.4551716494097412E-2</v>
      </c>
      <c r="O271" s="3">
        <f t="shared" si="257"/>
        <v>3.4551716490976457E-2</v>
      </c>
      <c r="P271" s="3">
        <f t="shared" si="257"/>
        <v>3.4551716459766936E-2</v>
      </c>
      <c r="Q271" s="3">
        <f t="shared" si="257"/>
        <v>3.4551716147671704E-2</v>
      </c>
      <c r="R271" s="3">
        <f t="shared" si="257"/>
        <v>3.4551713026719569E-2</v>
      </c>
      <c r="S271" s="3">
        <f t="shared" si="257"/>
        <v>3.4551681817213686E-2</v>
      </c>
      <c r="T271" s="3">
        <f t="shared" si="257"/>
        <v>3.4551369723705379E-2</v>
      </c>
      <c r="U271" s="3">
        <f t="shared" si="257"/>
        <v>3.45482489436649E-2</v>
      </c>
      <c r="V271" s="3">
        <f t="shared" si="257"/>
        <v>3.4517056642345299E-2</v>
      </c>
      <c r="W271" s="3">
        <f t="shared" si="257"/>
        <v>3.420667837021283E-2</v>
      </c>
      <c r="X271" s="3">
        <f t="shared" si="257"/>
        <v>3.1252329453692364E-2</v>
      </c>
      <c r="Y271" s="3">
        <f t="shared" si="257"/>
        <v>1.2664769522068867E-2</v>
      </c>
      <c r="Z271" s="3">
        <f t="shared" si="257"/>
        <v>1.5126771948788301E-6</v>
      </c>
      <c r="AA271" s="3">
        <f t="shared" si="257"/>
        <v>8.9379093821235982E-46</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3.2785105338059839E-2</v>
      </c>
      <c r="C272" s="3">
        <f t="shared" si="258"/>
        <v>3.2785105338059839E-2</v>
      </c>
      <c r="D272" s="3">
        <f t="shared" si="258"/>
        <v>3.2785105338059839E-2</v>
      </c>
      <c r="E272" s="3">
        <f t="shared" si="258"/>
        <v>3.2785105338059839E-2</v>
      </c>
      <c r="F272" s="3">
        <f t="shared" si="258"/>
        <v>3.2785105338059839E-2</v>
      </c>
      <c r="G272" s="3">
        <f t="shared" si="258"/>
        <v>3.2785105338059839E-2</v>
      </c>
      <c r="H272" s="3">
        <f t="shared" si="258"/>
        <v>3.2785105338059839E-2</v>
      </c>
      <c r="I272" s="3">
        <f t="shared" si="258"/>
        <v>3.2785105338059839E-2</v>
      </c>
      <c r="J272" s="3">
        <f t="shared" si="258"/>
        <v>3.2785105338059832E-2</v>
      </c>
      <c r="K272" s="3">
        <f t="shared" si="258"/>
        <v>3.2785105338059804E-2</v>
      </c>
      <c r="L272" s="3">
        <f t="shared" si="258"/>
        <v>3.2785105338059513E-2</v>
      </c>
      <c r="M272" s="3">
        <f t="shared" si="258"/>
        <v>3.278510533805655E-2</v>
      </c>
      <c r="N272" s="3">
        <f t="shared" si="258"/>
        <v>3.2785105338026935E-2</v>
      </c>
      <c r="O272" s="3">
        <f t="shared" si="258"/>
        <v>3.2785105337730797E-2</v>
      </c>
      <c r="P272" s="3">
        <f t="shared" si="258"/>
        <v>3.2785105334769415E-2</v>
      </c>
      <c r="Q272" s="3">
        <f t="shared" si="258"/>
        <v>3.2785105305155618E-2</v>
      </c>
      <c r="R272" s="3">
        <f t="shared" si="258"/>
        <v>3.2785105009017657E-2</v>
      </c>
      <c r="S272" s="3">
        <f t="shared" si="258"/>
        <v>3.2785102047638168E-2</v>
      </c>
      <c r="T272" s="3">
        <f t="shared" si="258"/>
        <v>3.2785072433857962E-2</v>
      </c>
      <c r="U272" s="3">
        <f t="shared" si="258"/>
        <v>3.2784776297527171E-2</v>
      </c>
      <c r="V272" s="3">
        <f t="shared" si="258"/>
        <v>3.2781815081334612E-2</v>
      </c>
      <c r="W272" s="3">
        <f t="shared" si="258"/>
        <v>3.2752217626034121E-2</v>
      </c>
      <c r="X272" s="3">
        <f t="shared" si="258"/>
        <v>3.245770883229173E-2</v>
      </c>
      <c r="Y272" s="3">
        <f t="shared" si="258"/>
        <v>2.9654414227548106E-2</v>
      </c>
      <c r="Z272" s="3">
        <f t="shared" si="258"/>
        <v>1.2017226493799318E-2</v>
      </c>
      <c r="AA272" s="3">
        <f t="shared" si="258"/>
        <v>1.4353348026734874E-6</v>
      </c>
      <c r="AB272" s="3">
        <f t="shared" si="258"/>
        <v>8.4809187596244E-46</v>
      </c>
      <c r="AC272" s="3">
        <f t="shared" si="258"/>
        <v>0</v>
      </c>
      <c r="AD272" s="3">
        <f t="shared" si="258"/>
        <v>0</v>
      </c>
      <c r="AE272" s="3">
        <f t="shared" si="258"/>
        <v>0</v>
      </c>
      <c r="AF272" s="3">
        <f t="shared" si="258"/>
        <v>0</v>
      </c>
      <c r="AG272" s="3"/>
      <c r="AH272" s="3"/>
    </row>
    <row r="273" spans="1:34" x14ac:dyDescent="0.25">
      <c r="B273" s="3">
        <f t="shared" ref="B273:AF273" si="259">$C42*EXP(-B$246/$A42/EXP(-$E$126))</f>
        <v>1.3184627495592977E-2</v>
      </c>
      <c r="C273" s="3">
        <f t="shared" si="259"/>
        <v>1.3184627495592977E-2</v>
      </c>
      <c r="D273" s="3">
        <f t="shared" si="259"/>
        <v>1.3184627495592977E-2</v>
      </c>
      <c r="E273" s="3">
        <f t="shared" si="259"/>
        <v>1.3184627495592977E-2</v>
      </c>
      <c r="F273" s="3">
        <f t="shared" si="259"/>
        <v>1.3184627495592977E-2</v>
      </c>
      <c r="G273" s="3">
        <f t="shared" si="259"/>
        <v>1.3184627495592977E-2</v>
      </c>
      <c r="H273" s="3">
        <f t="shared" si="259"/>
        <v>1.3184627495592977E-2</v>
      </c>
      <c r="I273" s="3">
        <f t="shared" si="259"/>
        <v>1.3184627495592977E-2</v>
      </c>
      <c r="J273" s="3">
        <f t="shared" si="259"/>
        <v>1.3184627495592977E-2</v>
      </c>
      <c r="K273" s="3">
        <f t="shared" si="259"/>
        <v>1.3184627495592975E-2</v>
      </c>
      <c r="L273" s="3">
        <f t="shared" si="259"/>
        <v>1.3184627495592963E-2</v>
      </c>
      <c r="M273" s="3">
        <f t="shared" si="259"/>
        <v>1.3184627495592845E-2</v>
      </c>
      <c r="N273" s="3">
        <f t="shared" si="259"/>
        <v>1.3184627495591654E-2</v>
      </c>
      <c r="O273" s="3">
        <f t="shared" si="259"/>
        <v>1.3184627495579745E-2</v>
      </c>
      <c r="P273" s="3">
        <f t="shared" si="259"/>
        <v>1.3184627495460653E-2</v>
      </c>
      <c r="Q273" s="3">
        <f t="shared" si="259"/>
        <v>1.3184627494269725E-2</v>
      </c>
      <c r="R273" s="3">
        <f t="shared" si="259"/>
        <v>1.3184627482360448E-2</v>
      </c>
      <c r="S273" s="3">
        <f t="shared" si="259"/>
        <v>1.3184627363267686E-2</v>
      </c>
      <c r="T273" s="3">
        <f t="shared" si="259"/>
        <v>1.3184626172340128E-2</v>
      </c>
      <c r="U273" s="3">
        <f t="shared" si="259"/>
        <v>1.3184614263070457E-2</v>
      </c>
      <c r="V273" s="3">
        <f t="shared" si="259"/>
        <v>1.3184495170965392E-2</v>
      </c>
      <c r="W273" s="3">
        <f t="shared" si="259"/>
        <v>1.3183304309077647E-2</v>
      </c>
      <c r="X273" s="3">
        <f t="shared" si="259"/>
        <v>1.3171401604513163E-2</v>
      </c>
      <c r="Y273" s="3">
        <f t="shared" si="259"/>
        <v>1.3052964018309585E-2</v>
      </c>
      <c r="Z273" s="3">
        <f t="shared" si="259"/>
        <v>1.1925610766189839E-2</v>
      </c>
      <c r="AA273" s="3">
        <f t="shared" si="259"/>
        <v>4.8327633300900424E-3</v>
      </c>
      <c r="AB273" s="3">
        <f t="shared" si="259"/>
        <v>5.7722415437053129E-7</v>
      </c>
      <c r="AC273" s="3">
        <f t="shared" si="259"/>
        <v>3.4106266706493163E-46</v>
      </c>
      <c r="AD273" s="3">
        <f t="shared" si="259"/>
        <v>0</v>
      </c>
      <c r="AE273" s="3">
        <f t="shared" si="259"/>
        <v>0</v>
      </c>
      <c r="AF273" s="3">
        <f t="shared" si="259"/>
        <v>0</v>
      </c>
      <c r="AG273" s="3"/>
      <c r="AH273" s="3"/>
    </row>
    <row r="274" spans="1:34" x14ac:dyDescent="0.25">
      <c r="B274" s="3">
        <f t="shared" ref="B274:AF274" si="260">$C43*EXP(-B$246/$A43/EXP(-$E$126))</f>
        <v>9.0966723550024858E-3</v>
      </c>
      <c r="C274" s="3">
        <f t="shared" si="260"/>
        <v>9.0966723550024858E-3</v>
      </c>
      <c r="D274" s="3">
        <f t="shared" si="260"/>
        <v>9.0966723550024858E-3</v>
      </c>
      <c r="E274" s="3">
        <f t="shared" si="260"/>
        <v>9.0966723550024858E-3</v>
      </c>
      <c r="F274" s="3">
        <f t="shared" si="260"/>
        <v>9.0966723550024858E-3</v>
      </c>
      <c r="G274" s="3">
        <f t="shared" si="260"/>
        <v>9.0966723550024858E-3</v>
      </c>
      <c r="H274" s="3">
        <f t="shared" si="260"/>
        <v>9.0966723550024858E-3</v>
      </c>
      <c r="I274" s="3">
        <f t="shared" si="260"/>
        <v>9.0966723550024858E-3</v>
      </c>
      <c r="J274" s="3">
        <f t="shared" si="260"/>
        <v>9.0966723550024858E-3</v>
      </c>
      <c r="K274" s="3">
        <f t="shared" si="260"/>
        <v>9.0966723550024858E-3</v>
      </c>
      <c r="L274" s="3">
        <f t="shared" si="260"/>
        <v>9.0966723550024841E-3</v>
      </c>
      <c r="M274" s="3">
        <f t="shared" si="260"/>
        <v>9.0966723550024772E-3</v>
      </c>
      <c r="N274" s="3">
        <f t="shared" si="260"/>
        <v>9.0966723550023956E-3</v>
      </c>
      <c r="O274" s="3">
        <f t="shared" si="260"/>
        <v>9.0966723550015734E-3</v>
      </c>
      <c r="P274" s="3">
        <f t="shared" si="260"/>
        <v>9.096672354993356E-3</v>
      </c>
      <c r="Q274" s="3">
        <f t="shared" si="260"/>
        <v>9.0966723549111891E-3</v>
      </c>
      <c r="R274" s="3">
        <f t="shared" si="260"/>
        <v>9.0966723540895147E-3</v>
      </c>
      <c r="S274" s="3">
        <f t="shared" si="260"/>
        <v>9.0966723458727628E-3</v>
      </c>
      <c r="T274" s="3">
        <f t="shared" si="260"/>
        <v>9.0966722637052678E-3</v>
      </c>
      <c r="U274" s="3">
        <f t="shared" si="260"/>
        <v>9.0966714420303435E-3</v>
      </c>
      <c r="V274" s="3">
        <f t="shared" si="260"/>
        <v>9.0966632252851808E-3</v>
      </c>
      <c r="W274" s="3">
        <f t="shared" si="260"/>
        <v>9.0965810582417667E-3</v>
      </c>
      <c r="X274" s="3">
        <f t="shared" si="260"/>
        <v>9.0957594286267852E-3</v>
      </c>
      <c r="Y274" s="3">
        <f t="shared" si="260"/>
        <v>9.0875472130296665E-3</v>
      </c>
      <c r="Z274" s="3">
        <f t="shared" si="260"/>
        <v>9.0058317518555506E-3</v>
      </c>
      <c r="AA274" s="3">
        <f t="shared" si="260"/>
        <v>8.228019624337524E-3</v>
      </c>
      <c r="AB274" s="3">
        <f t="shared" si="260"/>
        <v>3.3343425589986795E-3</v>
      </c>
      <c r="AC274" s="3">
        <f t="shared" si="260"/>
        <v>3.9825311784176E-7</v>
      </c>
      <c r="AD274" s="3">
        <f t="shared" si="260"/>
        <v>2.353145992065394E-46</v>
      </c>
      <c r="AE274" s="3">
        <f t="shared" si="260"/>
        <v>0</v>
      </c>
      <c r="AF274" s="3">
        <f t="shared" si="260"/>
        <v>0</v>
      </c>
      <c r="AG274" s="3"/>
      <c r="AH274" s="3"/>
    </row>
    <row r="275" spans="1:34" x14ac:dyDescent="0.25">
      <c r="B275" s="3">
        <f t="shared" ref="B275:AF275" si="261">$C44*EXP(-B$246/$A44/EXP(-$E$126))</f>
        <v>3.0393849329234364E-3</v>
      </c>
      <c r="C275" s="3">
        <f t="shared" si="261"/>
        <v>3.0393849329234364E-3</v>
      </c>
      <c r="D275" s="3">
        <f t="shared" si="261"/>
        <v>3.0393849329234364E-3</v>
      </c>
      <c r="E275" s="3">
        <f t="shared" si="261"/>
        <v>3.0393849329234364E-3</v>
      </c>
      <c r="F275" s="3">
        <f t="shared" si="261"/>
        <v>3.0393849329234364E-3</v>
      </c>
      <c r="G275" s="3">
        <f t="shared" si="261"/>
        <v>3.0393849329234364E-3</v>
      </c>
      <c r="H275" s="3">
        <f t="shared" si="261"/>
        <v>3.0393849329234364E-3</v>
      </c>
      <c r="I275" s="3">
        <f t="shared" si="261"/>
        <v>3.0393849329234364E-3</v>
      </c>
      <c r="J275" s="3">
        <f t="shared" si="261"/>
        <v>3.0393849329234364E-3</v>
      </c>
      <c r="K275" s="3">
        <f t="shared" si="261"/>
        <v>3.0393849329234364E-3</v>
      </c>
      <c r="L275" s="3">
        <f t="shared" si="261"/>
        <v>3.0393849329234364E-3</v>
      </c>
      <c r="M275" s="3">
        <f t="shared" si="261"/>
        <v>3.039384932923436E-3</v>
      </c>
      <c r="N275" s="3">
        <f t="shared" si="261"/>
        <v>3.0393849329234334E-3</v>
      </c>
      <c r="O275" s="3">
        <f t="shared" si="261"/>
        <v>3.0393849329234061E-3</v>
      </c>
      <c r="P275" s="3">
        <f t="shared" si="261"/>
        <v>3.0393849329231316E-3</v>
      </c>
      <c r="Q275" s="3">
        <f t="shared" si="261"/>
        <v>3.0393849329203859E-3</v>
      </c>
      <c r="R275" s="3">
        <f t="shared" si="261"/>
        <v>3.0393849328929322E-3</v>
      </c>
      <c r="S275" s="3">
        <f t="shared" si="261"/>
        <v>3.039384932618394E-3</v>
      </c>
      <c r="T275" s="3">
        <f t="shared" si="261"/>
        <v>3.0393849298730089E-3</v>
      </c>
      <c r="U275" s="3">
        <f t="shared" si="261"/>
        <v>3.039384902419162E-3</v>
      </c>
      <c r="V275" s="3">
        <f t="shared" si="261"/>
        <v>3.0393846278807058E-3</v>
      </c>
      <c r="W275" s="3">
        <f t="shared" si="261"/>
        <v>3.0393818824975076E-3</v>
      </c>
      <c r="X275" s="3">
        <f t="shared" si="261"/>
        <v>3.0393544288019152E-3</v>
      </c>
      <c r="Y275" s="3">
        <f t="shared" si="261"/>
        <v>3.039079905484513E-3</v>
      </c>
      <c r="Z275" s="3">
        <f t="shared" si="261"/>
        <v>3.0363360357068933E-3</v>
      </c>
      <c r="AA275" s="3">
        <f t="shared" si="261"/>
        <v>3.0090332230093557E-3</v>
      </c>
      <c r="AB275" s="3">
        <f t="shared" si="261"/>
        <v>2.749150227473812E-3</v>
      </c>
      <c r="AC275" s="3">
        <f t="shared" si="261"/>
        <v>1.1140722826466132E-3</v>
      </c>
      <c r="AD275" s="3">
        <f t="shared" si="261"/>
        <v>1.3306454037474194E-7</v>
      </c>
      <c r="AE275" s="3">
        <f t="shared" si="261"/>
        <v>7.8623437166224898E-47</v>
      </c>
      <c r="AF275" s="3">
        <f t="shared" si="261"/>
        <v>0</v>
      </c>
      <c r="AG275" s="3"/>
      <c r="AH275" s="3"/>
    </row>
    <row r="276" spans="1:34" x14ac:dyDescent="0.25">
      <c r="B276" s="3">
        <f t="shared" ref="B276:AF276" si="262">$C45*EXP(-B$246/$A45/EXP(-$E$126))</f>
        <v>2.6495422897411186E-3</v>
      </c>
      <c r="C276" s="3">
        <f t="shared" si="262"/>
        <v>2.6495422897411186E-3</v>
      </c>
      <c r="D276" s="3">
        <f t="shared" si="262"/>
        <v>2.6495422897411186E-3</v>
      </c>
      <c r="E276" s="3">
        <f t="shared" si="262"/>
        <v>2.6495422897411186E-3</v>
      </c>
      <c r="F276" s="3">
        <f t="shared" si="262"/>
        <v>2.6495422897411186E-3</v>
      </c>
      <c r="G276" s="3">
        <f t="shared" si="262"/>
        <v>2.6495422897411186E-3</v>
      </c>
      <c r="H276" s="3">
        <f t="shared" si="262"/>
        <v>2.6495422897411186E-3</v>
      </c>
      <c r="I276" s="3">
        <f t="shared" si="262"/>
        <v>2.6495422897411186E-3</v>
      </c>
      <c r="J276" s="3">
        <f t="shared" si="262"/>
        <v>2.6495422897411186E-3</v>
      </c>
      <c r="K276" s="3">
        <f t="shared" si="262"/>
        <v>2.6495422897411186E-3</v>
      </c>
      <c r="L276" s="3">
        <f t="shared" si="262"/>
        <v>2.6495422897411186E-3</v>
      </c>
      <c r="M276" s="3">
        <f t="shared" si="262"/>
        <v>2.6495422897411186E-3</v>
      </c>
      <c r="N276" s="3">
        <f t="shared" si="262"/>
        <v>2.6495422897411182E-3</v>
      </c>
      <c r="O276" s="3">
        <f t="shared" si="262"/>
        <v>2.649542289741116E-3</v>
      </c>
      <c r="P276" s="3">
        <f t="shared" si="262"/>
        <v>2.6495422897410922E-3</v>
      </c>
      <c r="Q276" s="3">
        <f t="shared" si="262"/>
        <v>2.6495422897408528E-3</v>
      </c>
      <c r="R276" s="3">
        <f t="shared" si="262"/>
        <v>2.6495422897384593E-3</v>
      </c>
      <c r="S276" s="3">
        <f t="shared" si="262"/>
        <v>2.6495422897145271E-3</v>
      </c>
      <c r="T276" s="3">
        <f t="shared" si="262"/>
        <v>2.649542289475202E-3</v>
      </c>
      <c r="U276" s="3">
        <f t="shared" si="262"/>
        <v>2.6495422870819502E-3</v>
      </c>
      <c r="V276" s="3">
        <f t="shared" si="262"/>
        <v>2.6495422631494341E-3</v>
      </c>
      <c r="W276" s="3">
        <f t="shared" si="262"/>
        <v>2.6495420238242858E-3</v>
      </c>
      <c r="X276" s="3">
        <f t="shared" si="262"/>
        <v>2.6495396305739917E-3</v>
      </c>
      <c r="Y276" s="3">
        <f t="shared" si="262"/>
        <v>2.6495156981899445E-3</v>
      </c>
      <c r="Z276" s="3">
        <f t="shared" si="262"/>
        <v>2.6492763862386681E-3</v>
      </c>
      <c r="AA276" s="3">
        <f t="shared" si="262"/>
        <v>2.6468844552480935E-3</v>
      </c>
      <c r="AB276" s="3">
        <f t="shared" si="262"/>
        <v>2.6230836013031388E-3</v>
      </c>
      <c r="AC276" s="3">
        <f t="shared" si="262"/>
        <v>2.3965341505911746E-3</v>
      </c>
      <c r="AD276" s="3">
        <f t="shared" si="262"/>
        <v>9.7117729140726078E-4</v>
      </c>
      <c r="AE276" s="3">
        <f t="shared" si="262"/>
        <v>1.1599719508010223E-7</v>
      </c>
      <c r="AF276" s="3">
        <f t="shared" si="262"/>
        <v>6.8538907158543864E-47</v>
      </c>
      <c r="AG276" s="3"/>
      <c r="AH276" s="3"/>
    </row>
    <row r="277" spans="1:34" x14ac:dyDescent="0.25">
      <c r="B277" s="3">
        <f t="shared" ref="B277:AF277" si="263">$C46*EXP(-B$246/$A46/EXP(-$E$126))</f>
        <v>6.8554497859674352E-4</v>
      </c>
      <c r="C277" s="3">
        <f t="shared" si="263"/>
        <v>6.8554497859674352E-4</v>
      </c>
      <c r="D277" s="3">
        <f t="shared" si="263"/>
        <v>6.8554497859674352E-4</v>
      </c>
      <c r="E277" s="3">
        <f t="shared" si="263"/>
        <v>6.8554497859674352E-4</v>
      </c>
      <c r="F277" s="3">
        <f t="shared" si="263"/>
        <v>6.8554497859674352E-4</v>
      </c>
      <c r="G277" s="3">
        <f t="shared" si="263"/>
        <v>6.8554497859674352E-4</v>
      </c>
      <c r="H277" s="3">
        <f t="shared" si="263"/>
        <v>6.8554497859674352E-4</v>
      </c>
      <c r="I277" s="3">
        <f t="shared" si="263"/>
        <v>6.8554497859674352E-4</v>
      </c>
      <c r="J277" s="3">
        <f t="shared" si="263"/>
        <v>6.8554497859674352E-4</v>
      </c>
      <c r="K277" s="3">
        <f t="shared" si="263"/>
        <v>6.8554497859674352E-4</v>
      </c>
      <c r="L277" s="3">
        <f t="shared" si="263"/>
        <v>6.8554497859674352E-4</v>
      </c>
      <c r="M277" s="3">
        <f t="shared" si="263"/>
        <v>6.8554497859674352E-4</v>
      </c>
      <c r="N277" s="3">
        <f t="shared" si="263"/>
        <v>6.8554497859674352E-4</v>
      </c>
      <c r="O277" s="3">
        <f t="shared" si="263"/>
        <v>6.8554497859674342E-4</v>
      </c>
      <c r="P277" s="3">
        <f t="shared" si="263"/>
        <v>6.8554497859674287E-4</v>
      </c>
      <c r="Q277" s="3">
        <f t="shared" si="263"/>
        <v>6.8554497859673669E-4</v>
      </c>
      <c r="R277" s="3">
        <f t="shared" si="263"/>
        <v>6.8554497859667468E-4</v>
      </c>
      <c r="S277" s="3">
        <f t="shared" si="263"/>
        <v>6.8554497859605549E-4</v>
      </c>
      <c r="T277" s="3">
        <f t="shared" si="263"/>
        <v>6.8554497858986318E-4</v>
      </c>
      <c r="U277" s="3">
        <f t="shared" si="263"/>
        <v>6.8554497852793995E-4</v>
      </c>
      <c r="V277" s="3">
        <f t="shared" si="263"/>
        <v>6.8554497790870785E-4</v>
      </c>
      <c r="W277" s="3">
        <f t="shared" si="263"/>
        <v>6.8554497171638689E-4</v>
      </c>
      <c r="X277" s="3">
        <f t="shared" si="263"/>
        <v>6.8554490979318074E-4</v>
      </c>
      <c r="Y277" s="3">
        <f t="shared" si="263"/>
        <v>6.8554429056142578E-4</v>
      </c>
      <c r="Z277" s="3">
        <f t="shared" si="263"/>
        <v>6.8553809827463991E-4</v>
      </c>
      <c r="AA277" s="3">
        <f t="shared" si="263"/>
        <v>6.8547617848300243E-4</v>
      </c>
      <c r="AB277" s="3">
        <f t="shared" si="263"/>
        <v>6.8485728808593735E-4</v>
      </c>
      <c r="AC277" s="3">
        <f t="shared" si="263"/>
        <v>6.7869903351817484E-4</v>
      </c>
      <c r="AD277" s="3">
        <f t="shared" si="263"/>
        <v>6.200814228686718E-4</v>
      </c>
      <c r="AE277" s="3">
        <f t="shared" si="263"/>
        <v>2.5128329448800249E-4</v>
      </c>
      <c r="AF277" s="3">
        <f t="shared" si="263"/>
        <v>3.0013219613958616E-8</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1.0364161747734975E-2</v>
      </c>
      <c r="C279" s="3">
        <f t="shared" si="265"/>
        <v>1.0364161747734975E-2</v>
      </c>
      <c r="D279" s="3">
        <f t="shared" si="265"/>
        <v>1.0364161747734975E-2</v>
      </c>
      <c r="E279" s="3">
        <f t="shared" si="265"/>
        <v>1.0364161747734975E-2</v>
      </c>
      <c r="F279" s="3">
        <f t="shared" si="265"/>
        <v>1.0364161747734975E-2</v>
      </c>
      <c r="G279" s="3">
        <f t="shared" si="265"/>
        <v>1.0364161747734975E-2</v>
      </c>
      <c r="H279" s="3">
        <f t="shared" si="265"/>
        <v>1.0364161747734975E-2</v>
      </c>
      <c r="I279" s="3">
        <f t="shared" si="265"/>
        <v>1.0364161747734975E-2</v>
      </c>
      <c r="J279" s="3">
        <f t="shared" si="265"/>
        <v>1.0364161747734975E-2</v>
      </c>
      <c r="K279" s="3">
        <f t="shared" si="265"/>
        <v>1.0364161747734975E-2</v>
      </c>
      <c r="L279" s="3">
        <f t="shared" si="265"/>
        <v>1.0364161747734975E-2</v>
      </c>
      <c r="M279" s="3">
        <f t="shared" si="265"/>
        <v>1.0364161747734975E-2</v>
      </c>
      <c r="N279" s="3">
        <f t="shared" si="265"/>
        <v>1.0364161747734975E-2</v>
      </c>
      <c r="O279" s="3">
        <f t="shared" si="265"/>
        <v>1.0364161747734975E-2</v>
      </c>
      <c r="P279" s="3">
        <f t="shared" si="265"/>
        <v>1.0364161747734975E-2</v>
      </c>
      <c r="Q279" s="3">
        <f t="shared" si="265"/>
        <v>1.0364161747734973E-2</v>
      </c>
      <c r="R279" s="3">
        <f t="shared" si="265"/>
        <v>1.0364161747734964E-2</v>
      </c>
      <c r="S279" s="3">
        <f t="shared" si="265"/>
        <v>1.0364161747734871E-2</v>
      </c>
      <c r="T279" s="3">
        <f t="shared" si="265"/>
        <v>1.0364161747733934E-2</v>
      </c>
      <c r="U279" s="3">
        <f t="shared" si="265"/>
        <v>1.0364161747724573E-2</v>
      </c>
      <c r="V279" s="3">
        <f t="shared" si="265"/>
        <v>1.0364161747630957E-2</v>
      </c>
      <c r="W279" s="3">
        <f t="shared" si="265"/>
        <v>1.0364161746694793E-2</v>
      </c>
      <c r="X279" s="3">
        <f t="shared" si="265"/>
        <v>1.0364161737333158E-2</v>
      </c>
      <c r="Y279" s="3">
        <f t="shared" si="265"/>
        <v>1.0364161643716813E-2</v>
      </c>
      <c r="Z279" s="3">
        <f t="shared" si="265"/>
        <v>1.0364160707553402E-2</v>
      </c>
      <c r="AA279" s="3">
        <f t="shared" si="265"/>
        <v>1.0364151345923943E-2</v>
      </c>
      <c r="AB279" s="3">
        <f t="shared" si="265"/>
        <v>1.0364057730094434E-2</v>
      </c>
      <c r="AC279" s="3">
        <f t="shared" si="265"/>
        <v>1.0363121618306071E-2</v>
      </c>
      <c r="AD279" s="3">
        <f t="shared" si="265"/>
        <v>1.0353765149540985E-2</v>
      </c>
      <c r="AE279" s="3">
        <f t="shared" si="265"/>
        <v>1.0260663823710164E-2</v>
      </c>
      <c r="AF279" s="3">
        <f t="shared" si="265"/>
        <v>9.3744748543434109E-3</v>
      </c>
      <c r="AG279" s="3"/>
      <c r="AH279" s="3"/>
    </row>
    <row r="280" spans="1:34" x14ac:dyDescent="0.25">
      <c r="A280" s="79">
        <f>AVERAGE(B280:AF280)</f>
        <v>6.2622837405627732E-4</v>
      </c>
      <c r="B280" s="80">
        <f>IF($D$61&lt;=B246,IF($E$61&gt;=B246,ABS((B248-B247)/B247),0),0)</f>
        <v>5.5253962923731345E-3</v>
      </c>
      <c r="C280" s="80">
        <f t="shared" ref="C280:AF280" si="266">IF($D$61&lt;=C246,IF($E$61&gt;=C246,ABS((C248-C247)/C247),0),0)</f>
        <v>7.2616724993697862E-3</v>
      </c>
      <c r="D280" s="80">
        <f t="shared" si="266"/>
        <v>2.0050192687605765E-3</v>
      </c>
      <c r="E280" s="80">
        <f t="shared" si="266"/>
        <v>2.9615747063149142E-4</v>
      </c>
      <c r="F280" s="80">
        <f t="shared" si="266"/>
        <v>8.8110777348044626E-5</v>
      </c>
      <c r="G280" s="80">
        <f t="shared" si="266"/>
        <v>4.4288594156831598E-5</v>
      </c>
      <c r="H280" s="80">
        <f t="shared" si="266"/>
        <v>4.003701951605969E-5</v>
      </c>
      <c r="I280" s="80">
        <f t="shared" si="266"/>
        <v>6.6734721016184625E-5</v>
      </c>
      <c r="J280" s="80">
        <f t="shared" si="266"/>
        <v>3.0927583887426849E-5</v>
      </c>
      <c r="K280" s="80">
        <f t="shared" si="266"/>
        <v>1.4170979387555057E-4</v>
      </c>
      <c r="L280" s="80">
        <f t="shared" si="266"/>
        <v>3.7438683912728489E-5</v>
      </c>
      <c r="M280" s="80">
        <f t="shared" si="266"/>
        <v>2.3083556201859988E-4</v>
      </c>
      <c r="N280" s="80">
        <f t="shared" si="266"/>
        <v>1.5077078308388029E-4</v>
      </c>
      <c r="O280" s="80">
        <f t="shared" si="266"/>
        <v>2.9779302005569731E-4</v>
      </c>
      <c r="P280" s="80">
        <f t="shared" si="266"/>
        <v>1.5243793347340326E-4</v>
      </c>
      <c r="Q280" s="80">
        <f t="shared" si="266"/>
        <v>2.4405823181409368E-4</v>
      </c>
      <c r="R280" s="80">
        <f t="shared" si="266"/>
        <v>1.6329363070329571E-5</v>
      </c>
      <c r="S280" s="80">
        <f t="shared" si="266"/>
        <v>3.2133457287865299E-4</v>
      </c>
      <c r="T280" s="80">
        <f t="shared" si="266"/>
        <v>2.6205624891275893E-4</v>
      </c>
      <c r="U280" s="80">
        <f t="shared" si="266"/>
        <v>3.4065310615545563E-4</v>
      </c>
      <c r="V280" s="80">
        <f t="shared" si="266"/>
        <v>3.150378020967832E-4</v>
      </c>
      <c r="W280" s="80">
        <f t="shared" si="266"/>
        <v>3.1430081548708812E-4</v>
      </c>
      <c r="X280" s="80">
        <f t="shared" si="266"/>
        <v>6.4485084840944847E-4</v>
      </c>
      <c r="Y280" s="80">
        <f t="shared" si="266"/>
        <v>5.8512860344058632E-4</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3535.8742100286745</v>
      </c>
      <c r="C281" s="21">
        <f t="shared" ref="C281:AF281" si="267">(C248-C247)^2</f>
        <v>5865.9826636885955</v>
      </c>
      <c r="D281" s="21">
        <f t="shared" si="267"/>
        <v>430.63463164146782</v>
      </c>
      <c r="E281" s="21">
        <f t="shared" si="267"/>
        <v>9.0062556489728056</v>
      </c>
      <c r="F281" s="21">
        <f t="shared" si="267"/>
        <v>0.76067087895018037</v>
      </c>
      <c r="G281" s="21">
        <f t="shared" si="267"/>
        <v>0.18164405645428433</v>
      </c>
      <c r="H281" s="21">
        <f t="shared" si="267"/>
        <v>0.14085336795780351</v>
      </c>
      <c r="I281" s="21">
        <f t="shared" si="267"/>
        <v>0.36994291585490063</v>
      </c>
      <c r="J281" s="21">
        <f t="shared" si="267"/>
        <v>7.447304306943342E-2</v>
      </c>
      <c r="K281" s="21">
        <f t="shared" si="267"/>
        <v>1.4433770854650489</v>
      </c>
      <c r="L281" s="21">
        <f t="shared" si="267"/>
        <v>9.2385028717079307E-2</v>
      </c>
      <c r="M281" s="21">
        <f t="shared" si="267"/>
        <v>3.251758531912623</v>
      </c>
      <c r="N281" s="21">
        <f t="shared" si="267"/>
        <v>1.2904584582422072</v>
      </c>
      <c r="O281" s="21">
        <f t="shared" si="267"/>
        <v>4.6701072508387567</v>
      </c>
      <c r="P281" s="21">
        <f t="shared" si="267"/>
        <v>1.1293337664236776</v>
      </c>
      <c r="Q281" s="21">
        <f t="shared" si="267"/>
        <v>2.6646965072409383</v>
      </c>
      <c r="R281" s="21">
        <f t="shared" si="267"/>
        <v>1.0693952698211349E-2</v>
      </c>
      <c r="S281" s="21">
        <f t="shared" si="267"/>
        <v>3.3639873526253696</v>
      </c>
      <c r="T281" s="21">
        <f t="shared" si="267"/>
        <v>1.519194282847264</v>
      </c>
      <c r="U281" s="21">
        <f t="shared" si="267"/>
        <v>1.6029966348846687</v>
      </c>
      <c r="V281" s="21">
        <f t="shared" si="267"/>
        <v>0.84950875423232286</v>
      </c>
      <c r="W281" s="21">
        <f t="shared" si="267"/>
        <v>0.50959413354943772</v>
      </c>
      <c r="X281" s="21">
        <f t="shared" si="267"/>
        <v>1.1889413346144253</v>
      </c>
      <c r="Y281" s="21">
        <f t="shared" si="267"/>
        <v>0.48847428329592218</v>
      </c>
      <c r="Z281" s="21">
        <f t="shared" si="267"/>
        <v>0.25626387279899171</v>
      </c>
      <c r="AA281" s="21">
        <f t="shared" si="267"/>
        <v>8.1479304030550578E-2</v>
      </c>
      <c r="AB281" s="21">
        <f t="shared" si="267"/>
        <v>7.1576536437083713E-3</v>
      </c>
      <c r="AC281" s="21">
        <f t="shared" si="267"/>
        <v>2.2414053602472849E-2</v>
      </c>
      <c r="AD281" s="21">
        <f t="shared" si="267"/>
        <v>5.082529363983148E-3</v>
      </c>
      <c r="AE281" s="21">
        <f t="shared" si="267"/>
        <v>2.3463825997119131E-2</v>
      </c>
      <c r="AF281" s="21">
        <f t="shared" si="267"/>
        <v>1.651266179581873E-3</v>
      </c>
      <c r="AG281" s="3"/>
      <c r="AH281" s="3"/>
    </row>
    <row r="282" spans="1:34" s="3" customFormat="1" x14ac:dyDescent="0.25">
      <c r="A282" s="71">
        <f>SUM(B282:AF282)</f>
        <v>9867.1008526275837</v>
      </c>
      <c r="B282" s="21">
        <f>IF($D$61&lt;=B246,IF($E$61&gt;=B246,ABS(B281),0),0)</f>
        <v>3535.8742100286745</v>
      </c>
      <c r="C282" s="21">
        <f t="shared" ref="C282:AF282" si="268">IF($D$61&lt;=C246,IF($E$61&gt;=C246,ABS(C281),0),0)</f>
        <v>5865.9826636885955</v>
      </c>
      <c r="D282" s="21">
        <f t="shared" si="268"/>
        <v>430.63463164146782</v>
      </c>
      <c r="E282" s="21">
        <f t="shared" si="268"/>
        <v>9.0062556489728056</v>
      </c>
      <c r="F282" s="21">
        <f t="shared" si="268"/>
        <v>0.76067087895018037</v>
      </c>
      <c r="G282" s="21">
        <f t="shared" si="268"/>
        <v>0.18164405645428433</v>
      </c>
      <c r="H282" s="21">
        <f t="shared" si="268"/>
        <v>0.14085336795780351</v>
      </c>
      <c r="I282" s="21">
        <f t="shared" si="268"/>
        <v>0.36994291585490063</v>
      </c>
      <c r="J282" s="21">
        <f t="shared" si="268"/>
        <v>7.447304306943342E-2</v>
      </c>
      <c r="K282" s="21">
        <f t="shared" si="268"/>
        <v>1.4433770854650489</v>
      </c>
      <c r="L282" s="21">
        <f t="shared" si="268"/>
        <v>9.2385028717079307E-2</v>
      </c>
      <c r="M282" s="21">
        <f t="shared" si="268"/>
        <v>3.251758531912623</v>
      </c>
      <c r="N282" s="21">
        <f t="shared" si="268"/>
        <v>1.2904584582422072</v>
      </c>
      <c r="O282" s="21">
        <f t="shared" si="268"/>
        <v>4.6701072508387567</v>
      </c>
      <c r="P282" s="21">
        <f t="shared" si="268"/>
        <v>1.1293337664236776</v>
      </c>
      <c r="Q282" s="21">
        <f t="shared" si="268"/>
        <v>2.6646965072409383</v>
      </c>
      <c r="R282" s="21">
        <f t="shared" si="268"/>
        <v>1.0693952698211349E-2</v>
      </c>
      <c r="S282" s="21">
        <f t="shared" si="268"/>
        <v>3.3639873526253696</v>
      </c>
      <c r="T282" s="21">
        <f t="shared" si="268"/>
        <v>1.519194282847264</v>
      </c>
      <c r="U282" s="21">
        <f t="shared" si="268"/>
        <v>1.6029966348846687</v>
      </c>
      <c r="V282" s="21">
        <f t="shared" si="268"/>
        <v>0.84950875423232286</v>
      </c>
      <c r="W282" s="21">
        <f t="shared" si="268"/>
        <v>0.50959413354943772</v>
      </c>
      <c r="X282" s="21">
        <f t="shared" si="268"/>
        <v>1.1889413346144253</v>
      </c>
      <c r="Y282" s="21">
        <f t="shared" si="268"/>
        <v>0.48847428329592218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10596.472021927204</v>
      </c>
      <c r="C287" s="27">
        <f t="shared" ref="C287:AF287" si="269">($C$17+SUM(C288:C318))*$B$51</f>
        <v>10298.990293464543</v>
      </c>
      <c r="D287" s="27">
        <f t="shared" si="269"/>
        <v>10109.760863184321</v>
      </c>
      <c r="E287" s="27">
        <f t="shared" si="269"/>
        <v>9862.8497275550199</v>
      </c>
      <c r="F287" s="27">
        <f t="shared" si="269"/>
        <v>9585.6221024440802</v>
      </c>
      <c r="G287" s="27">
        <f t="shared" si="269"/>
        <v>9338.2002948547051</v>
      </c>
      <c r="H287" s="27">
        <f t="shared" si="269"/>
        <v>9073.5722625294766</v>
      </c>
      <c r="I287" s="27">
        <f t="shared" si="269"/>
        <v>8776.7370417726179</v>
      </c>
      <c r="J287" s="27">
        <f t="shared" si="269"/>
        <v>8420.9403590591482</v>
      </c>
      <c r="K287" s="27">
        <f t="shared" si="269"/>
        <v>8066.362164935611</v>
      </c>
      <c r="L287" s="27">
        <f t="shared" si="269"/>
        <v>7767.5383323507858</v>
      </c>
      <c r="M287" s="27">
        <f t="shared" si="269"/>
        <v>7494.6245387403151</v>
      </c>
      <c r="N287" s="27">
        <f t="shared" si="269"/>
        <v>7211.7553853900599</v>
      </c>
      <c r="O287" s="27">
        <f t="shared" si="269"/>
        <v>6932.8452152365271</v>
      </c>
      <c r="P287" s="27">
        <f t="shared" si="269"/>
        <v>6643.5777304115845</v>
      </c>
      <c r="Q287" s="27">
        <f t="shared" si="269"/>
        <v>6271.3205238968649</v>
      </c>
      <c r="R287" s="27">
        <f t="shared" si="269"/>
        <v>5578.8477372741745</v>
      </c>
      <c r="S287" s="27">
        <f t="shared" si="269"/>
        <v>4570.2572905576317</v>
      </c>
      <c r="T287" s="27">
        <f t="shared" si="269"/>
        <v>3614.9441447485351</v>
      </c>
      <c r="U287" s="27">
        <f t="shared" si="269"/>
        <v>2838.8723646944118</v>
      </c>
      <c r="V287" s="27">
        <f t="shared" si="269"/>
        <v>2214.4029528351043</v>
      </c>
      <c r="W287" s="27">
        <f t="shared" si="269"/>
        <v>1595.9293994664822</v>
      </c>
      <c r="X287" s="27">
        <f t="shared" si="269"/>
        <v>1136.7544699340497</v>
      </c>
      <c r="Y287" s="27">
        <f t="shared" si="269"/>
        <v>787.0262252940696</v>
      </c>
      <c r="Z287" s="27">
        <f t="shared" si="269"/>
        <v>586.71296664692238</v>
      </c>
      <c r="AA287" s="27">
        <f t="shared" si="269"/>
        <v>480.03307372819023</v>
      </c>
      <c r="AB287" s="27">
        <f t="shared" si="269"/>
        <v>428.66824855903809</v>
      </c>
      <c r="AC287" s="27">
        <f t="shared" si="269"/>
        <v>400.14461106619399</v>
      </c>
      <c r="AD287" s="27">
        <f t="shared" si="269"/>
        <v>386.18397135155533</v>
      </c>
      <c r="AE287" s="27">
        <f t="shared" si="269"/>
        <v>370.67556436060732</v>
      </c>
      <c r="AF287" s="27">
        <f t="shared" si="269"/>
        <v>297.64963287158992</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2.2887022084429769E-2</v>
      </c>
      <c r="C289" s="3">
        <f t="shared" si="271"/>
        <v>9.7407219678230061E-4</v>
      </c>
      <c r="D289" s="3">
        <f t="shared" si="271"/>
        <v>1.8993706984044067E-17</v>
      </c>
      <c r="E289" s="3">
        <f t="shared" si="271"/>
        <v>1.5093696014908204E-154</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1.4322982392577973E-2</v>
      </c>
      <c r="C290" s="3">
        <f t="shared" si="272"/>
        <v>1.0773529869766598E-2</v>
      </c>
      <c r="D290" s="3">
        <f t="shared" si="272"/>
        <v>6.2460238832385293E-4</v>
      </c>
      <c r="E290" s="3">
        <f t="shared" si="272"/>
        <v>2.6795375348059218E-16</v>
      </c>
      <c r="F290" s="3">
        <f t="shared" si="272"/>
        <v>5.6574651792181778E-140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2.1781038543123573E-2</v>
      </c>
      <c r="C291" s="3">
        <f t="shared" si="273"/>
        <v>2.1228633054508023E-2</v>
      </c>
      <c r="D291" s="3">
        <f t="shared" si="273"/>
        <v>1.6419370256751456E-2</v>
      </c>
      <c r="E291" s="3">
        <f t="shared" si="273"/>
        <v>1.258059431411556E-3</v>
      </c>
      <c r="F291" s="3">
        <f t="shared" si="273"/>
        <v>8.7729928174255344E-15</v>
      </c>
      <c r="G291" s="3">
        <f t="shared" si="273"/>
        <v>2.3856895747646691E-126</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2.6591557547299464E-2</v>
      </c>
      <c r="C292" s="3">
        <f t="shared" si="274"/>
        <v>2.6530006847680726E-2</v>
      </c>
      <c r="D292" s="3">
        <f t="shared" si="274"/>
        <v>2.5922281518602111E-2</v>
      </c>
      <c r="E292" s="3">
        <f t="shared" si="274"/>
        <v>2.0560412799270251E-2</v>
      </c>
      <c r="F292" s="3">
        <f t="shared" si="274"/>
        <v>2.0258995178344453E-3</v>
      </c>
      <c r="G292" s="3">
        <f t="shared" si="274"/>
        <v>1.7477471909276142E-13</v>
      </c>
      <c r="H292" s="3">
        <f t="shared" si="274"/>
        <v>3.9910367772526147E-114</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2.179258973058527E-2</v>
      </c>
      <c r="C293" s="3">
        <f t="shared" si="275"/>
        <v>2.1788034583880043E-2</v>
      </c>
      <c r="D293" s="3">
        <f t="shared" si="275"/>
        <v>2.1742535451110941E-2</v>
      </c>
      <c r="E293" s="3">
        <f t="shared" si="275"/>
        <v>2.1292737298352609E-2</v>
      </c>
      <c r="F293" s="3">
        <f t="shared" si="275"/>
        <v>1.7276055359394395E-2</v>
      </c>
      <c r="G293" s="3">
        <f t="shared" si="275"/>
        <v>2.1358733535095011E-3</v>
      </c>
      <c r="H293" s="3">
        <f t="shared" si="275"/>
        <v>1.7819052355681897E-12</v>
      </c>
      <c r="I293" s="3">
        <f t="shared" si="275"/>
        <v>2.9105540324679902E-103</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2.3921610640926315E-2</v>
      </c>
      <c r="C294" s="3">
        <f t="shared" si="276"/>
        <v>2.3921159541960096E-2</v>
      </c>
      <c r="D294" s="3">
        <f t="shared" si="276"/>
        <v>2.3916649020131468E-2</v>
      </c>
      <c r="E294" s="3">
        <f t="shared" si="276"/>
        <v>2.3871590552574901E-2</v>
      </c>
      <c r="F294" s="3">
        <f t="shared" si="276"/>
        <v>2.342564849449149E-2</v>
      </c>
      <c r="G294" s="3">
        <f t="shared" si="276"/>
        <v>1.9399667112269571E-2</v>
      </c>
      <c r="H294" s="3">
        <f t="shared" si="276"/>
        <v>2.9432071623330587E-3</v>
      </c>
      <c r="I294" s="3">
        <f t="shared" si="276"/>
        <v>1.9014563982075696E-11</v>
      </c>
      <c r="J294" s="3">
        <f t="shared" si="276"/>
        <v>2.4084729110603623E-93</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2.6315524195859384E-2</v>
      </c>
      <c r="C295" s="3">
        <f t="shared" si="277"/>
        <v>2.6315479430326739E-2</v>
      </c>
      <c r="D295" s="3">
        <f t="shared" si="277"/>
        <v>2.6315031779188581E-2</v>
      </c>
      <c r="E295" s="3">
        <f t="shared" si="277"/>
        <v>2.6310555686608852E-2</v>
      </c>
      <c r="F295" s="3">
        <f t="shared" si="277"/>
        <v>2.626583661465207E-2</v>
      </c>
      <c r="G295" s="3">
        <f t="shared" si="277"/>
        <v>2.5822805055335581E-2</v>
      </c>
      <c r="H295" s="3">
        <f t="shared" si="277"/>
        <v>2.1783376539014871E-2</v>
      </c>
      <c r="I295" s="3">
        <f t="shared" si="277"/>
        <v>3.9750538665512154E-3</v>
      </c>
      <c r="J295" s="3">
        <f t="shared" si="277"/>
        <v>1.6275008144039212E-10</v>
      </c>
      <c r="K295" s="3">
        <f t="shared" si="277"/>
        <v>2.1542851013814674E-84</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3.4157201390018786E-2</v>
      </c>
      <c r="C296" s="3">
        <f t="shared" si="278"/>
        <v>3.4157196148454236E-2</v>
      </c>
      <c r="D296" s="3">
        <f t="shared" si="278"/>
        <v>3.4157143732853015E-2</v>
      </c>
      <c r="E296" s="3">
        <f t="shared" si="278"/>
        <v>3.4156619581264598E-2</v>
      </c>
      <c r="F296" s="3">
        <f t="shared" si="278"/>
        <v>3.4151378507739541E-2</v>
      </c>
      <c r="G296" s="3">
        <f t="shared" si="278"/>
        <v>3.4099011983292585E-2</v>
      </c>
      <c r="H296" s="3">
        <f t="shared" si="278"/>
        <v>3.3579742819859926E-2</v>
      </c>
      <c r="I296" s="3">
        <f t="shared" si="278"/>
        <v>2.8802691109190579E-2</v>
      </c>
      <c r="J296" s="3">
        <f t="shared" si="278"/>
        <v>6.2085485194136045E-3</v>
      </c>
      <c r="K296" s="3">
        <f t="shared" si="278"/>
        <v>1.3444981376275551E-9</v>
      </c>
      <c r="L296" s="3">
        <f t="shared" si="278"/>
        <v>3.0497304801762771E-76</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3.356326539959361E-2</v>
      </c>
      <c r="C297" s="3">
        <f t="shared" si="279"/>
        <v>3.3563264934982615E-2</v>
      </c>
      <c r="D297" s="3">
        <f t="shared" si="279"/>
        <v>3.3563260288872986E-2</v>
      </c>
      <c r="E297" s="3">
        <f t="shared" si="279"/>
        <v>3.3563213827812063E-2</v>
      </c>
      <c r="F297" s="3">
        <f t="shared" si="279"/>
        <v>3.3562749220740186E-2</v>
      </c>
      <c r="G297" s="3">
        <f t="shared" si="279"/>
        <v>3.3558103503735788E-2</v>
      </c>
      <c r="H297" s="3">
        <f t="shared" si="279"/>
        <v>3.3511681687022281E-2</v>
      </c>
      <c r="I297" s="3">
        <f t="shared" si="279"/>
        <v>3.3050980812333056E-2</v>
      </c>
      <c r="J297" s="3">
        <f t="shared" si="279"/>
        <v>2.8778334105953655E-2</v>
      </c>
      <c r="K297" s="3">
        <f t="shared" si="279"/>
        <v>7.2090598801536907E-3</v>
      </c>
      <c r="L297" s="3">
        <f t="shared" si="279"/>
        <v>7.0146896113414161E-9</v>
      </c>
      <c r="M297" s="3">
        <f t="shared" si="279"/>
        <v>5.337116953061234E-69</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2.5958709055302669E-2</v>
      </c>
      <c r="C298" s="3">
        <f t="shared" si="280"/>
        <v>2.5958709022887001E-2</v>
      </c>
      <c r="D298" s="3">
        <f t="shared" si="280"/>
        <v>2.5958708698730331E-2</v>
      </c>
      <c r="E298" s="3">
        <f t="shared" si="280"/>
        <v>2.5958705457163868E-2</v>
      </c>
      <c r="F298" s="3">
        <f t="shared" si="280"/>
        <v>2.5958673041521472E-2</v>
      </c>
      <c r="G298" s="3">
        <f t="shared" si="280"/>
        <v>2.5958348887323852E-2</v>
      </c>
      <c r="H298" s="3">
        <f t="shared" si="280"/>
        <v>2.5955107567969211E-2</v>
      </c>
      <c r="I298" s="3">
        <f t="shared" si="280"/>
        <v>2.592271662629687E-2</v>
      </c>
      <c r="J298" s="3">
        <f t="shared" si="280"/>
        <v>2.5601022150117191E-2</v>
      </c>
      <c r="K298" s="3">
        <f t="shared" si="280"/>
        <v>2.2595670602075683E-2</v>
      </c>
      <c r="L298" s="3">
        <f t="shared" si="280"/>
        <v>6.4819329059851829E-3</v>
      </c>
      <c r="M298" s="3">
        <f t="shared" si="280"/>
        <v>2.4462311665748664E-8</v>
      </c>
      <c r="N298" s="3">
        <f t="shared" si="280"/>
        <v>1.4335971601891808E-62</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2.4505487924554856E-2</v>
      </c>
      <c r="C299" s="3">
        <f t="shared" si="281"/>
        <v>2.4505487921794397E-2</v>
      </c>
      <c r="D299" s="3">
        <f t="shared" si="281"/>
        <v>2.450548789418977E-2</v>
      </c>
      <c r="E299" s="3">
        <f t="shared" si="281"/>
        <v>2.4505487618143546E-2</v>
      </c>
      <c r="F299" s="3">
        <f t="shared" si="281"/>
        <v>2.4505484857681451E-2</v>
      </c>
      <c r="G299" s="3">
        <f t="shared" si="281"/>
        <v>2.4505457253077591E-2</v>
      </c>
      <c r="H299" s="3">
        <f t="shared" si="281"/>
        <v>2.4505181208749272E-2</v>
      </c>
      <c r="I299" s="3">
        <f t="shared" si="281"/>
        <v>2.4502420936484474E-2</v>
      </c>
      <c r="J299" s="3">
        <f t="shared" si="281"/>
        <v>2.4474835308551518E-2</v>
      </c>
      <c r="K299" s="3">
        <f t="shared" si="281"/>
        <v>2.4200681397189235E-2</v>
      </c>
      <c r="L299" s="3">
        <f t="shared" si="281"/>
        <v>2.1622492495873738E-2</v>
      </c>
      <c r="M299" s="3">
        <f t="shared" si="281"/>
        <v>7.0095052223505807E-3</v>
      </c>
      <c r="N299" s="3">
        <f t="shared" si="281"/>
        <v>8.9846972895227006E-8</v>
      </c>
      <c r="O299" s="3">
        <f t="shared" si="281"/>
        <v>1.0756334722910656E-56</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2.7040912958689288E-2</v>
      </c>
      <c r="C300" s="3">
        <f t="shared" si="282"/>
        <v>2.7040912958414508E-2</v>
      </c>
      <c r="D300" s="3">
        <f t="shared" si="282"/>
        <v>2.7040912955666699E-2</v>
      </c>
      <c r="E300" s="3">
        <f t="shared" si="282"/>
        <v>2.7040912928188617E-2</v>
      </c>
      <c r="F300" s="3">
        <f t="shared" si="282"/>
        <v>2.7040912653407804E-2</v>
      </c>
      <c r="G300" s="3">
        <f t="shared" si="282"/>
        <v>2.704090990559984E-2</v>
      </c>
      <c r="H300" s="3">
        <f t="shared" si="282"/>
        <v>2.704088242753554E-2</v>
      </c>
      <c r="I300" s="3">
        <f t="shared" si="282"/>
        <v>2.7040607648428267E-2</v>
      </c>
      <c r="J300" s="3">
        <f t="shared" si="282"/>
        <v>2.7037860010921858E-2</v>
      </c>
      <c r="K300" s="3">
        <f t="shared" si="282"/>
        <v>2.7010398986718576E-2</v>
      </c>
      <c r="L300" s="3">
        <f t="shared" si="282"/>
        <v>2.6737318074777E-2</v>
      </c>
      <c r="M300" s="3">
        <f t="shared" si="282"/>
        <v>2.4153844930293378E-2</v>
      </c>
      <c r="N300" s="3">
        <f t="shared" si="282"/>
        <v>8.7432034770037088E-3</v>
      </c>
      <c r="O300" s="3">
        <f t="shared" si="282"/>
        <v>3.3768650454328394E-7</v>
      </c>
      <c r="P300" s="3">
        <f t="shared" si="282"/>
        <v>2.4942782195629143E-51</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2.4600371351706743E-2</v>
      </c>
      <c r="C301" s="3">
        <f t="shared" si="283"/>
        <v>2.4600371351684192E-2</v>
      </c>
      <c r="D301" s="3">
        <f t="shared" si="283"/>
        <v>2.4600371351458688E-2</v>
      </c>
      <c r="E301" s="3">
        <f t="shared" si="283"/>
        <v>2.4600371349203655E-2</v>
      </c>
      <c r="F301" s="3">
        <f t="shared" si="283"/>
        <v>2.4600371326653301E-2</v>
      </c>
      <c r="G301" s="3">
        <f t="shared" si="283"/>
        <v>2.4600371101149789E-2</v>
      </c>
      <c r="H301" s="3">
        <f t="shared" si="283"/>
        <v>2.4600368846114804E-2</v>
      </c>
      <c r="I301" s="3">
        <f t="shared" si="283"/>
        <v>2.4600346295776298E-2</v>
      </c>
      <c r="J301" s="3">
        <f t="shared" si="283"/>
        <v>2.4600120793528121E-2</v>
      </c>
      <c r="K301" s="3">
        <f t="shared" si="283"/>
        <v>2.4597865884733484E-2</v>
      </c>
      <c r="L301" s="3">
        <f t="shared" si="283"/>
        <v>2.4575328161644542E-2</v>
      </c>
      <c r="M301" s="3">
        <f t="shared" si="283"/>
        <v>2.4351083571345463E-2</v>
      </c>
      <c r="N301" s="3">
        <f t="shared" si="283"/>
        <v>2.2218152569838664E-2</v>
      </c>
      <c r="O301" s="3">
        <f t="shared" si="283"/>
        <v>8.8839167484358605E-3</v>
      </c>
      <c r="P301" s="3">
        <f t="shared" si="283"/>
        <v>9.2804670714629219E-7</v>
      </c>
      <c r="Q301" s="3">
        <f t="shared" si="283"/>
        <v>1.4362279509770474E-46</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2.6294191463797054E-2</v>
      </c>
      <c r="C302" s="3">
        <f t="shared" si="284"/>
        <v>2.6294191463794879E-2</v>
      </c>
      <c r="D302" s="3">
        <f t="shared" si="284"/>
        <v>2.6294191463773136E-2</v>
      </c>
      <c r="E302" s="3">
        <f t="shared" si="284"/>
        <v>2.6294191463555709E-2</v>
      </c>
      <c r="F302" s="3">
        <f t="shared" si="284"/>
        <v>2.6294191461381417E-2</v>
      </c>
      <c r="G302" s="3">
        <f t="shared" si="284"/>
        <v>2.6294191439638487E-2</v>
      </c>
      <c r="H302" s="3">
        <f t="shared" si="284"/>
        <v>2.6294191222209193E-2</v>
      </c>
      <c r="I302" s="3">
        <f t="shared" si="284"/>
        <v>2.6294189047916351E-2</v>
      </c>
      <c r="J302" s="3">
        <f t="shared" si="284"/>
        <v>2.6294167304997836E-2</v>
      </c>
      <c r="K302" s="3">
        <f t="shared" si="284"/>
        <v>2.6293949876801542E-2</v>
      </c>
      <c r="L302" s="3">
        <f t="shared" si="284"/>
        <v>2.6291775693722208E-2</v>
      </c>
      <c r="M302" s="3">
        <f t="shared" si="284"/>
        <v>2.6270043748262979E-2</v>
      </c>
      <c r="N302" s="3">
        <f t="shared" si="284"/>
        <v>2.6053709809279367E-2</v>
      </c>
      <c r="O302" s="3">
        <f t="shared" si="284"/>
        <v>2.3985972265587414E-2</v>
      </c>
      <c r="P302" s="3">
        <f t="shared" si="284"/>
        <v>1.0491434729571992E-2</v>
      </c>
      <c r="Q302" s="3">
        <f t="shared" si="284"/>
        <v>2.689121606967293E-6</v>
      </c>
      <c r="R302" s="3">
        <f t="shared" si="284"/>
        <v>3.2912891176463709E-42</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3.2623262585065461E-2</v>
      </c>
      <c r="C303" s="3">
        <f t="shared" si="285"/>
        <v>3.2623262585065219E-2</v>
      </c>
      <c r="D303" s="3">
        <f t="shared" si="285"/>
        <v>3.2623262585062783E-2</v>
      </c>
      <c r="E303" s="3">
        <f t="shared" si="285"/>
        <v>3.2623262585038448E-2</v>
      </c>
      <c r="F303" s="3">
        <f t="shared" si="285"/>
        <v>3.2623262584795101E-2</v>
      </c>
      <c r="G303" s="3">
        <f t="shared" si="285"/>
        <v>3.2623262582361597E-2</v>
      </c>
      <c r="H303" s="3">
        <f t="shared" si="285"/>
        <v>3.2623262558026549E-2</v>
      </c>
      <c r="I303" s="3">
        <f t="shared" si="285"/>
        <v>3.2623262314676063E-2</v>
      </c>
      <c r="J303" s="3">
        <f t="shared" si="285"/>
        <v>3.2623259881171304E-2</v>
      </c>
      <c r="K303" s="3">
        <f t="shared" si="285"/>
        <v>3.2623235546133708E-2</v>
      </c>
      <c r="L303" s="3">
        <f t="shared" si="285"/>
        <v>3.262299219675615E-2</v>
      </c>
      <c r="M303" s="3">
        <f t="shared" si="285"/>
        <v>3.2620558802816377E-2</v>
      </c>
      <c r="N303" s="3">
        <f t="shared" si="285"/>
        <v>3.2596234844246431E-2</v>
      </c>
      <c r="O303" s="3">
        <f t="shared" si="285"/>
        <v>3.2353990592119145E-2</v>
      </c>
      <c r="P303" s="3">
        <f t="shared" si="285"/>
        <v>3.0028388277275549E-2</v>
      </c>
      <c r="Q303" s="3">
        <f t="shared" si="285"/>
        <v>1.4242089221291465E-2</v>
      </c>
      <c r="R303" s="3">
        <f t="shared" si="285"/>
        <v>8.2033359100682454E-6</v>
      </c>
      <c r="S303" s="3">
        <f t="shared" si="285"/>
        <v>3.2972997378497256E-38</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8.8496332073838391E-2</v>
      </c>
      <c r="C304" s="3">
        <f t="shared" si="286"/>
        <v>8.8496332073838335E-2</v>
      </c>
      <c r="D304" s="3">
        <f t="shared" si="286"/>
        <v>8.8496332073837752E-2</v>
      </c>
      <c r="E304" s="3">
        <f t="shared" si="286"/>
        <v>8.8496332073831799E-2</v>
      </c>
      <c r="F304" s="3">
        <f t="shared" si="286"/>
        <v>8.8496332073772249E-2</v>
      </c>
      <c r="G304" s="3">
        <f t="shared" si="286"/>
        <v>8.8496332073176739E-2</v>
      </c>
      <c r="H304" s="3">
        <f t="shared" si="286"/>
        <v>8.8496332067221808E-2</v>
      </c>
      <c r="I304" s="3">
        <f t="shared" si="286"/>
        <v>8.8496332007672512E-2</v>
      </c>
      <c r="J304" s="3">
        <f t="shared" si="286"/>
        <v>8.8496331412179483E-2</v>
      </c>
      <c r="K304" s="3">
        <f t="shared" si="286"/>
        <v>8.8496325457249322E-2</v>
      </c>
      <c r="L304" s="3">
        <f t="shared" si="286"/>
        <v>8.8496265907969884E-2</v>
      </c>
      <c r="M304" s="3">
        <f t="shared" si="286"/>
        <v>8.849567041737931E-2</v>
      </c>
      <c r="N304" s="3">
        <f t="shared" si="286"/>
        <v>8.848971573185696E-2</v>
      </c>
      <c r="O304" s="3">
        <f t="shared" si="286"/>
        <v>8.8430190909482717E-2</v>
      </c>
      <c r="P304" s="3">
        <f t="shared" si="286"/>
        <v>8.7837140494922236E-2</v>
      </c>
      <c r="Q304" s="3">
        <f t="shared" si="286"/>
        <v>8.2121042402261105E-2</v>
      </c>
      <c r="R304" s="3">
        <f t="shared" si="286"/>
        <v>4.1900296623094871E-2</v>
      </c>
      <c r="S304" s="3">
        <f t="shared" si="286"/>
        <v>5.0100670446105769E-5</v>
      </c>
      <c r="T304" s="3">
        <f t="shared" si="286"/>
        <v>2.9930084245869492E-34</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9.9309249865316016E-2</v>
      </c>
      <c r="C305" s="3">
        <f t="shared" si="287"/>
        <v>9.9309249865316002E-2</v>
      </c>
      <c r="D305" s="3">
        <f t="shared" si="287"/>
        <v>9.9309249865315946E-2</v>
      </c>
      <c r="E305" s="3">
        <f t="shared" si="287"/>
        <v>9.9309249865315349E-2</v>
      </c>
      <c r="F305" s="3">
        <f t="shared" si="287"/>
        <v>9.9309249865309326E-2</v>
      </c>
      <c r="G305" s="3">
        <f t="shared" si="287"/>
        <v>9.9309249865249041E-2</v>
      </c>
      <c r="H305" s="3">
        <f t="shared" si="287"/>
        <v>9.9309249864646218E-2</v>
      </c>
      <c r="I305" s="3">
        <f t="shared" si="287"/>
        <v>9.9309249858618012E-2</v>
      </c>
      <c r="J305" s="3">
        <f t="shared" si="287"/>
        <v>9.9309249798336011E-2</v>
      </c>
      <c r="K305" s="3">
        <f t="shared" si="287"/>
        <v>9.9309249195515925E-2</v>
      </c>
      <c r="L305" s="3">
        <f t="shared" si="287"/>
        <v>9.9309243167315348E-2</v>
      </c>
      <c r="M305" s="3">
        <f t="shared" si="287"/>
        <v>9.9309182885329597E-2</v>
      </c>
      <c r="N305" s="3">
        <f t="shared" si="287"/>
        <v>9.9308580067484734E-2</v>
      </c>
      <c r="O305" s="3">
        <f t="shared" si="287"/>
        <v>9.9302552090286905E-2</v>
      </c>
      <c r="P305" s="3">
        <f t="shared" si="287"/>
        <v>9.9242292438867369E-2</v>
      </c>
      <c r="Q305" s="3">
        <f t="shared" si="287"/>
        <v>9.864170346890172E-2</v>
      </c>
      <c r="R305" s="3">
        <f t="shared" si="287"/>
        <v>9.2832131625796815E-2</v>
      </c>
      <c r="S305" s="3">
        <f t="shared" si="287"/>
        <v>5.0591308942737966E-2</v>
      </c>
      <c r="T305" s="3">
        <f t="shared" si="287"/>
        <v>1.169100501935535E-4</v>
      </c>
      <c r="U305" s="3">
        <f t="shared" si="287"/>
        <v>5.0770466821838211E-31</v>
      </c>
      <c r="V305" s="3">
        <f t="shared" si="287"/>
        <v>1.2111676251019211E-294</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7.4938076557470937E-2</v>
      </c>
      <c r="C306" s="3">
        <f t="shared" si="288"/>
        <v>7.4938076557470937E-2</v>
      </c>
      <c r="D306" s="3">
        <f t="shared" si="288"/>
        <v>7.4938076557470923E-2</v>
      </c>
      <c r="E306" s="3">
        <f t="shared" si="288"/>
        <v>7.4938076557470895E-2</v>
      </c>
      <c r="F306" s="3">
        <f t="shared" si="288"/>
        <v>7.4938076557470479E-2</v>
      </c>
      <c r="G306" s="3">
        <f t="shared" si="288"/>
        <v>7.4938076557466371E-2</v>
      </c>
      <c r="H306" s="3">
        <f t="shared" si="288"/>
        <v>7.4938076557425348E-2</v>
      </c>
      <c r="I306" s="3">
        <f t="shared" si="288"/>
        <v>7.493807655701501E-2</v>
      </c>
      <c r="J306" s="3">
        <f t="shared" si="288"/>
        <v>7.493807655291157E-2</v>
      </c>
      <c r="K306" s="3">
        <f t="shared" si="288"/>
        <v>7.4938076511877255E-2</v>
      </c>
      <c r="L306" s="3">
        <f t="shared" si="288"/>
        <v>7.4938076101534148E-2</v>
      </c>
      <c r="M306" s="3">
        <f t="shared" si="288"/>
        <v>7.493807199810322E-2</v>
      </c>
      <c r="N306" s="3">
        <f t="shared" si="288"/>
        <v>7.4938030963806274E-2</v>
      </c>
      <c r="O306" s="3">
        <f t="shared" si="288"/>
        <v>7.4937620622072543E-2</v>
      </c>
      <c r="P306" s="3">
        <f t="shared" si="288"/>
        <v>7.4933517328314311E-2</v>
      </c>
      <c r="Q306" s="3">
        <f t="shared" si="288"/>
        <v>7.4892496746128009E-2</v>
      </c>
      <c r="R306" s="3">
        <f t="shared" si="288"/>
        <v>7.4483523964286855E-2</v>
      </c>
      <c r="S306" s="3">
        <f t="shared" si="288"/>
        <v>7.0514638138123864E-2</v>
      </c>
      <c r="T306" s="3">
        <f t="shared" si="288"/>
        <v>4.0782133246718547E-2</v>
      </c>
      <c r="U306" s="3">
        <f t="shared" si="288"/>
        <v>1.7075621368913639E-4</v>
      </c>
      <c r="V306" s="3">
        <f t="shared" si="288"/>
        <v>2.8277583043339351E-28</v>
      </c>
      <c r="W306" s="3">
        <f t="shared" si="288"/>
        <v>4.3863167290502744E-266</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6.9322857874701022E-2</v>
      </c>
      <c r="C307" s="3">
        <f t="shared" si="289"/>
        <v>6.9322857874701022E-2</v>
      </c>
      <c r="D307" s="3">
        <f t="shared" si="289"/>
        <v>6.9322857874701022E-2</v>
      </c>
      <c r="E307" s="3">
        <f t="shared" si="289"/>
        <v>6.9322857874701022E-2</v>
      </c>
      <c r="F307" s="3">
        <f t="shared" si="289"/>
        <v>6.932285787470098E-2</v>
      </c>
      <c r="G307" s="3">
        <f t="shared" si="289"/>
        <v>6.9322857874700647E-2</v>
      </c>
      <c r="H307" s="3">
        <f t="shared" si="289"/>
        <v>6.9322857874697219E-2</v>
      </c>
      <c r="I307" s="3">
        <f t="shared" si="289"/>
        <v>6.9322857874662969E-2</v>
      </c>
      <c r="J307" s="3">
        <f t="shared" si="289"/>
        <v>6.9322857874320548E-2</v>
      </c>
      <c r="K307" s="3">
        <f t="shared" si="289"/>
        <v>6.9322857870896287E-2</v>
      </c>
      <c r="L307" s="3">
        <f t="shared" si="289"/>
        <v>6.9322857836653609E-2</v>
      </c>
      <c r="M307" s="3">
        <f t="shared" si="289"/>
        <v>6.9322857494226883E-2</v>
      </c>
      <c r="N307" s="3">
        <f t="shared" si="289"/>
        <v>6.9322854069959763E-2</v>
      </c>
      <c r="O307" s="3">
        <f t="shared" si="289"/>
        <v>6.932281982729778E-2</v>
      </c>
      <c r="P307" s="3">
        <f t="shared" si="289"/>
        <v>6.9322477401608296E-2</v>
      </c>
      <c r="Q307" s="3">
        <f t="shared" si="289"/>
        <v>6.9319053237741221E-2</v>
      </c>
      <c r="R307" s="3">
        <f t="shared" si="289"/>
        <v>6.9284820900149743E-2</v>
      </c>
      <c r="S307" s="3">
        <f t="shared" si="289"/>
        <v>6.8943425934484159E-2</v>
      </c>
      <c r="T307" s="3">
        <f t="shared" si="289"/>
        <v>6.5620642680412303E-2</v>
      </c>
      <c r="U307" s="3">
        <f t="shared" si="289"/>
        <v>4.0042083682374295E-2</v>
      </c>
      <c r="V307" s="3">
        <f t="shared" si="289"/>
        <v>2.8660156864011957E-4</v>
      </c>
      <c r="W307" s="3">
        <f t="shared" si="289"/>
        <v>1.0113407452809504E-25</v>
      </c>
      <c r="X307" s="3">
        <f t="shared" si="289"/>
        <v>3.0275192979017821E-240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2.2465875921068256E-2</v>
      </c>
      <c r="C308" s="3">
        <f t="shared" si="290"/>
        <v>2.2465875921068256E-2</v>
      </c>
      <c r="D308" s="3">
        <f t="shared" si="290"/>
        <v>2.2465875921068256E-2</v>
      </c>
      <c r="E308" s="3">
        <f t="shared" si="290"/>
        <v>2.2465875921068256E-2</v>
      </c>
      <c r="F308" s="3">
        <f t="shared" si="290"/>
        <v>2.2465875921068256E-2</v>
      </c>
      <c r="G308" s="3">
        <f t="shared" si="290"/>
        <v>2.2465875921068246E-2</v>
      </c>
      <c r="H308" s="3">
        <f t="shared" si="290"/>
        <v>2.2465875921068145E-2</v>
      </c>
      <c r="I308" s="3">
        <f t="shared" si="290"/>
        <v>2.2465875921067142E-2</v>
      </c>
      <c r="J308" s="3">
        <f t="shared" si="290"/>
        <v>2.2465875921057133E-2</v>
      </c>
      <c r="K308" s="3">
        <f t="shared" si="290"/>
        <v>2.2465875920957026E-2</v>
      </c>
      <c r="L308" s="3">
        <f t="shared" si="290"/>
        <v>2.2465875919955965E-2</v>
      </c>
      <c r="M308" s="3">
        <f t="shared" si="290"/>
        <v>2.2465875909945341E-2</v>
      </c>
      <c r="N308" s="3">
        <f t="shared" si="290"/>
        <v>2.2465875809839105E-2</v>
      </c>
      <c r="O308" s="3">
        <f t="shared" si="290"/>
        <v>2.2465874808776758E-2</v>
      </c>
      <c r="P308" s="3">
        <f t="shared" si="290"/>
        <v>2.2465864798155741E-2</v>
      </c>
      <c r="Q308" s="3">
        <f t="shared" si="290"/>
        <v>2.2465764692190925E-2</v>
      </c>
      <c r="R308" s="3">
        <f t="shared" si="290"/>
        <v>2.2464763657075944E-2</v>
      </c>
      <c r="S308" s="3">
        <f t="shared" si="290"/>
        <v>2.245475575883861E-2</v>
      </c>
      <c r="T308" s="3">
        <f t="shared" si="290"/>
        <v>2.2354921663786519E-2</v>
      </c>
      <c r="U308" s="3">
        <f t="shared" si="290"/>
        <v>2.1380670468678684E-2</v>
      </c>
      <c r="V308" s="3">
        <f t="shared" si="290"/>
        <v>1.3693138351364117E-2</v>
      </c>
      <c r="W308" s="3">
        <f t="shared" si="290"/>
        <v>1.5897167788477869E-4</v>
      </c>
      <c r="X308" s="3">
        <f t="shared" si="290"/>
        <v>7.0711064809353405E-24</v>
      </c>
      <c r="Y308" s="3">
        <f t="shared" si="290"/>
        <v>2.1436978286331809E-217</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5.8329528880761261E-2</v>
      </c>
      <c r="C309" s="3">
        <f t="shared" si="291"/>
        <v>5.8329528880761261E-2</v>
      </c>
      <c r="D309" s="3">
        <f t="shared" si="291"/>
        <v>5.8329528880761261E-2</v>
      </c>
      <c r="E309" s="3">
        <f t="shared" si="291"/>
        <v>5.8329528880761261E-2</v>
      </c>
      <c r="F309" s="3">
        <f t="shared" si="291"/>
        <v>5.8329528880761261E-2</v>
      </c>
      <c r="G309" s="3">
        <f t="shared" si="291"/>
        <v>5.8329528880761254E-2</v>
      </c>
      <c r="H309" s="3">
        <f t="shared" si="291"/>
        <v>5.8329528880761185E-2</v>
      </c>
      <c r="I309" s="3">
        <f t="shared" si="291"/>
        <v>5.8329528880760463E-2</v>
      </c>
      <c r="J309" s="3">
        <f t="shared" si="291"/>
        <v>5.8329528880753274E-2</v>
      </c>
      <c r="K309" s="3">
        <f t="shared" si="291"/>
        <v>5.8329528880681387E-2</v>
      </c>
      <c r="L309" s="3">
        <f t="shared" si="291"/>
        <v>5.8329528879962539E-2</v>
      </c>
      <c r="M309" s="3">
        <f t="shared" si="291"/>
        <v>5.8329528872774025E-2</v>
      </c>
      <c r="N309" s="3">
        <f t="shared" si="291"/>
        <v>5.8329528800888888E-2</v>
      </c>
      <c r="O309" s="3">
        <f t="shared" si="291"/>
        <v>5.8329528082037507E-2</v>
      </c>
      <c r="P309" s="3">
        <f t="shared" si="291"/>
        <v>5.8329520893524216E-2</v>
      </c>
      <c r="Q309" s="3">
        <f t="shared" si="291"/>
        <v>5.8329449008440011E-2</v>
      </c>
      <c r="R309" s="3">
        <f t="shared" si="291"/>
        <v>5.8328730162470518E-2</v>
      </c>
      <c r="S309" s="3">
        <f t="shared" si="291"/>
        <v>5.832154219000156E-2</v>
      </c>
      <c r="T309" s="3">
        <f t="shared" si="291"/>
        <v>5.8249711165700997E-2</v>
      </c>
      <c r="U309" s="3">
        <f t="shared" si="291"/>
        <v>5.7536248827875801E-2</v>
      </c>
      <c r="V309" s="3">
        <f t="shared" si="291"/>
        <v>5.086502014328631E-2</v>
      </c>
      <c r="W309" s="3">
        <f t="shared" si="291"/>
        <v>1.4831872716849463E-2</v>
      </c>
      <c r="X309" s="3">
        <f t="shared" si="291"/>
        <v>6.5911877058682991E-8</v>
      </c>
      <c r="Y309" s="3">
        <f t="shared" si="291"/>
        <v>1.9798877997562072E-61</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3.4551716494444183E-2</v>
      </c>
      <c r="C310" s="3">
        <f t="shared" si="292"/>
        <v>3.4551716494444183E-2</v>
      </c>
      <c r="D310" s="3">
        <f t="shared" si="292"/>
        <v>3.4551716494444183E-2</v>
      </c>
      <c r="E310" s="3">
        <f t="shared" si="292"/>
        <v>3.4551716494444183E-2</v>
      </c>
      <c r="F310" s="3">
        <f t="shared" si="292"/>
        <v>3.4551716494444183E-2</v>
      </c>
      <c r="G310" s="3">
        <f t="shared" si="292"/>
        <v>3.4551716494444183E-2</v>
      </c>
      <c r="H310" s="3">
        <f t="shared" si="292"/>
        <v>3.4551716494444176E-2</v>
      </c>
      <c r="I310" s="3">
        <f t="shared" si="292"/>
        <v>3.4551716494444135E-2</v>
      </c>
      <c r="J310" s="3">
        <f t="shared" si="292"/>
        <v>3.4551716494443711E-2</v>
      </c>
      <c r="K310" s="3">
        <f t="shared" si="292"/>
        <v>3.4551716494439451E-2</v>
      </c>
      <c r="L310" s="3">
        <f t="shared" si="292"/>
        <v>3.4551716494396867E-2</v>
      </c>
      <c r="M310" s="3">
        <f t="shared" si="292"/>
        <v>3.4551716493971055E-2</v>
      </c>
      <c r="N310" s="3">
        <f t="shared" si="292"/>
        <v>3.4551716489712912E-2</v>
      </c>
      <c r="O310" s="3">
        <f t="shared" si="292"/>
        <v>3.4551716447131481E-2</v>
      </c>
      <c r="P310" s="3">
        <f t="shared" si="292"/>
        <v>3.4551716021317153E-2</v>
      </c>
      <c r="Q310" s="3">
        <f t="shared" si="292"/>
        <v>3.4551711763174189E-2</v>
      </c>
      <c r="R310" s="3">
        <f t="shared" si="292"/>
        <v>3.4551669181773353E-2</v>
      </c>
      <c r="S310" s="3">
        <f t="shared" si="292"/>
        <v>3.4551243370651311E-2</v>
      </c>
      <c r="T310" s="3">
        <f t="shared" si="292"/>
        <v>3.4546985548040997E-2</v>
      </c>
      <c r="U310" s="3">
        <f t="shared" si="292"/>
        <v>3.4504436169797051E-2</v>
      </c>
      <c r="V310" s="3">
        <f t="shared" si="292"/>
        <v>3.4081814062281106E-2</v>
      </c>
      <c r="W310" s="3">
        <f t="shared" si="292"/>
        <v>3.0130086582178556E-2</v>
      </c>
      <c r="X310" s="3">
        <f t="shared" si="292"/>
        <v>8.7857157605689198E-3</v>
      </c>
      <c r="Y310" s="3">
        <f t="shared" si="292"/>
        <v>3.9043149043835582E-8</v>
      </c>
      <c r="Z310" s="3">
        <f t="shared" si="292"/>
        <v>1.1727940077799671E-61</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3.2785105338059839E-2</v>
      </c>
      <c r="C311" s="3">
        <f t="shared" si="293"/>
        <v>3.2785105338059839E-2</v>
      </c>
      <c r="D311" s="3">
        <f t="shared" si="293"/>
        <v>3.2785105338059839E-2</v>
      </c>
      <c r="E311" s="3">
        <f t="shared" si="293"/>
        <v>3.2785105338059839E-2</v>
      </c>
      <c r="F311" s="3">
        <f t="shared" si="293"/>
        <v>3.2785105338059839E-2</v>
      </c>
      <c r="G311" s="3">
        <f t="shared" si="293"/>
        <v>3.2785105338059839E-2</v>
      </c>
      <c r="H311" s="3">
        <f t="shared" si="293"/>
        <v>3.2785105338059839E-2</v>
      </c>
      <c r="I311" s="3">
        <f t="shared" si="293"/>
        <v>3.2785105338059832E-2</v>
      </c>
      <c r="J311" s="3">
        <f t="shared" si="293"/>
        <v>3.2785105338059797E-2</v>
      </c>
      <c r="K311" s="3">
        <f t="shared" si="293"/>
        <v>3.2785105338059388E-2</v>
      </c>
      <c r="L311" s="3">
        <f t="shared" si="293"/>
        <v>3.2785105338055349E-2</v>
      </c>
      <c r="M311" s="3">
        <f t="shared" si="293"/>
        <v>3.2785105338014944E-2</v>
      </c>
      <c r="N311" s="3">
        <f t="shared" si="293"/>
        <v>3.2785105337610906E-2</v>
      </c>
      <c r="O311" s="3">
        <f t="shared" si="293"/>
        <v>3.2785105333570479E-2</v>
      </c>
      <c r="P311" s="3">
        <f t="shared" si="293"/>
        <v>3.2785105293166208E-2</v>
      </c>
      <c r="Q311" s="3">
        <f t="shared" si="293"/>
        <v>3.2785104889123548E-2</v>
      </c>
      <c r="R311" s="3">
        <f t="shared" si="293"/>
        <v>3.27851008486972E-2</v>
      </c>
      <c r="S311" s="3">
        <f t="shared" si="293"/>
        <v>3.2785060444461077E-2</v>
      </c>
      <c r="T311" s="3">
        <f t="shared" si="293"/>
        <v>3.278465640483854E-2</v>
      </c>
      <c r="U311" s="3">
        <f t="shared" si="293"/>
        <v>3.278061628246684E-2</v>
      </c>
      <c r="V311" s="3">
        <f t="shared" si="293"/>
        <v>3.2740242431633086E-2</v>
      </c>
      <c r="W311" s="3">
        <f t="shared" si="293"/>
        <v>3.2339228770985259E-2</v>
      </c>
      <c r="X311" s="3">
        <f t="shared" si="293"/>
        <v>2.8589551045906086E-2</v>
      </c>
      <c r="Y311" s="3">
        <f t="shared" si="293"/>
        <v>8.3365067181776827E-3</v>
      </c>
      <c r="Z311" s="3">
        <f t="shared" si="293"/>
        <v>3.7046893295085516E-8</v>
      </c>
      <c r="AA311" s="3">
        <f t="shared" si="293"/>
        <v>1.1128296648038969E-61</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1.3184627495592977E-2</v>
      </c>
      <c r="C312" s="3">
        <f t="shared" si="294"/>
        <v>1.3184627495592977E-2</v>
      </c>
      <c r="D312" s="3">
        <f t="shared" si="294"/>
        <v>1.3184627495592977E-2</v>
      </c>
      <c r="E312" s="3">
        <f t="shared" si="294"/>
        <v>1.3184627495592977E-2</v>
      </c>
      <c r="F312" s="3">
        <f t="shared" si="294"/>
        <v>1.3184627495592977E-2</v>
      </c>
      <c r="G312" s="3">
        <f t="shared" si="294"/>
        <v>1.3184627495592977E-2</v>
      </c>
      <c r="H312" s="3">
        <f t="shared" si="294"/>
        <v>1.3184627495592977E-2</v>
      </c>
      <c r="I312" s="3">
        <f t="shared" si="294"/>
        <v>1.3184627495592977E-2</v>
      </c>
      <c r="J312" s="3">
        <f t="shared" si="294"/>
        <v>1.3184627495592975E-2</v>
      </c>
      <c r="K312" s="3">
        <f t="shared" si="294"/>
        <v>1.318462749559296E-2</v>
      </c>
      <c r="L312" s="3">
        <f t="shared" si="294"/>
        <v>1.3184627495592797E-2</v>
      </c>
      <c r="M312" s="3">
        <f t="shared" si="294"/>
        <v>1.3184627495591173E-2</v>
      </c>
      <c r="N312" s="3">
        <f t="shared" si="294"/>
        <v>1.3184627495574922E-2</v>
      </c>
      <c r="O312" s="3">
        <f t="shared" si="294"/>
        <v>1.3184627495412436E-2</v>
      </c>
      <c r="P312" s="3">
        <f t="shared" si="294"/>
        <v>1.3184627493787566E-2</v>
      </c>
      <c r="Q312" s="3">
        <f t="shared" si="294"/>
        <v>1.3184627477538872E-2</v>
      </c>
      <c r="R312" s="3">
        <f t="shared" si="294"/>
        <v>1.3184627315051914E-2</v>
      </c>
      <c r="S312" s="3">
        <f t="shared" si="294"/>
        <v>1.3184625690182456E-2</v>
      </c>
      <c r="T312" s="3">
        <f t="shared" si="294"/>
        <v>1.3184609441498884E-2</v>
      </c>
      <c r="U312" s="3">
        <f t="shared" si="294"/>
        <v>1.3184446955764534E-2</v>
      </c>
      <c r="V312" s="3">
        <f t="shared" si="294"/>
        <v>1.3182822208552096E-2</v>
      </c>
      <c r="W312" s="3">
        <f t="shared" si="294"/>
        <v>1.316658574451403E-2</v>
      </c>
      <c r="X312" s="3">
        <f t="shared" si="294"/>
        <v>1.300531690972557E-2</v>
      </c>
      <c r="Y312" s="3">
        <f t="shared" si="294"/>
        <v>1.1497372874654887E-2</v>
      </c>
      <c r="Z312" s="3">
        <f t="shared" si="294"/>
        <v>3.3525509392243278E-3</v>
      </c>
      <c r="AA312" s="3">
        <f t="shared" si="294"/>
        <v>1.4898518181597801E-8</v>
      </c>
      <c r="AB312" s="3">
        <f t="shared" si="294"/>
        <v>4.4752775521670022E-62</v>
      </c>
      <c r="AC312" s="3">
        <f t="shared" si="294"/>
        <v>0</v>
      </c>
      <c r="AD312" s="3">
        <f t="shared" si="294"/>
        <v>0</v>
      </c>
      <c r="AE312" s="3">
        <f t="shared" si="294"/>
        <v>0</v>
      </c>
      <c r="AF312" s="3">
        <f t="shared" si="294"/>
        <v>0</v>
      </c>
      <c r="AG312" s="3"/>
      <c r="AH312" s="3"/>
    </row>
    <row r="313" spans="1:34" x14ac:dyDescent="0.25">
      <c r="B313" s="3">
        <f t="shared" ref="B313:AF313" si="295">$C43*EXP(-B$285/$A43/EXP(-$F$126))</f>
        <v>9.0966723550024858E-3</v>
      </c>
      <c r="C313" s="3">
        <f t="shared" si="295"/>
        <v>9.0966723550024858E-3</v>
      </c>
      <c r="D313" s="3">
        <f t="shared" si="295"/>
        <v>9.0966723550024858E-3</v>
      </c>
      <c r="E313" s="3">
        <f t="shared" si="295"/>
        <v>9.0966723550024858E-3</v>
      </c>
      <c r="F313" s="3">
        <f t="shared" si="295"/>
        <v>9.0966723550024858E-3</v>
      </c>
      <c r="G313" s="3">
        <f t="shared" si="295"/>
        <v>9.0966723550024858E-3</v>
      </c>
      <c r="H313" s="3">
        <f t="shared" si="295"/>
        <v>9.0966723550024858E-3</v>
      </c>
      <c r="I313" s="3">
        <f t="shared" si="295"/>
        <v>9.0966723550024858E-3</v>
      </c>
      <c r="J313" s="3">
        <f t="shared" si="295"/>
        <v>9.0966723550024858E-3</v>
      </c>
      <c r="K313" s="3">
        <f t="shared" si="295"/>
        <v>9.0966723550024841E-3</v>
      </c>
      <c r="L313" s="3">
        <f t="shared" si="295"/>
        <v>9.0966723550024737E-3</v>
      </c>
      <c r="M313" s="3">
        <f t="shared" si="295"/>
        <v>9.0966723550023609E-3</v>
      </c>
      <c r="N313" s="3">
        <f t="shared" si="295"/>
        <v>9.0966723550012403E-3</v>
      </c>
      <c r="O313" s="3">
        <f t="shared" si="295"/>
        <v>9.0966723549900288E-3</v>
      </c>
      <c r="P313" s="3">
        <f t="shared" si="295"/>
        <v>9.0966723548779223E-3</v>
      </c>
      <c r="Q313" s="3">
        <f t="shared" si="295"/>
        <v>9.0966723537568503E-3</v>
      </c>
      <c r="R313" s="3">
        <f t="shared" si="295"/>
        <v>9.0966723425461391E-3</v>
      </c>
      <c r="S313" s="3">
        <f t="shared" si="295"/>
        <v>9.0966722304390204E-3</v>
      </c>
      <c r="T313" s="3">
        <f t="shared" si="295"/>
        <v>9.0966711093679025E-3</v>
      </c>
      <c r="U313" s="3">
        <f t="shared" si="295"/>
        <v>9.0966598986643235E-3</v>
      </c>
      <c r="V313" s="3">
        <f t="shared" si="295"/>
        <v>9.096547792388417E-3</v>
      </c>
      <c r="W313" s="3">
        <f t="shared" si="295"/>
        <v>9.0954268056137669E-3</v>
      </c>
      <c r="X313" s="3">
        <f t="shared" si="295"/>
        <v>9.0842245328451622E-3</v>
      </c>
      <c r="Y313" s="3">
        <f t="shared" si="295"/>
        <v>8.9729578511255625E-3</v>
      </c>
      <c r="Z313" s="3">
        <f t="shared" si="295"/>
        <v>7.9325588848822275E-3</v>
      </c>
      <c r="AA313" s="3">
        <f t="shared" si="295"/>
        <v>2.3130769115603262E-3</v>
      </c>
      <c r="AB313" s="3">
        <f t="shared" si="295"/>
        <v>1.0279163254202148E-8</v>
      </c>
      <c r="AC313" s="3">
        <f t="shared" si="295"/>
        <v>3.0876969109190466E-62</v>
      </c>
      <c r="AD313" s="3">
        <f t="shared" si="295"/>
        <v>0</v>
      </c>
      <c r="AE313" s="3">
        <f t="shared" si="295"/>
        <v>0</v>
      </c>
      <c r="AF313" s="3">
        <f t="shared" si="295"/>
        <v>0</v>
      </c>
      <c r="AG313" s="3"/>
      <c r="AH313" s="3"/>
    </row>
    <row r="314" spans="1:34" x14ac:dyDescent="0.25">
      <c r="B314" s="3">
        <f t="shared" ref="B314:AF314" si="296">$C44*EXP(-B$285/$A44/EXP(-$F$126))</f>
        <v>3.0393849329234364E-3</v>
      </c>
      <c r="C314" s="3">
        <f t="shared" si="296"/>
        <v>3.0393849329234364E-3</v>
      </c>
      <c r="D314" s="3">
        <f t="shared" si="296"/>
        <v>3.0393849329234364E-3</v>
      </c>
      <c r="E314" s="3">
        <f t="shared" si="296"/>
        <v>3.0393849329234364E-3</v>
      </c>
      <c r="F314" s="3">
        <f t="shared" si="296"/>
        <v>3.0393849329234364E-3</v>
      </c>
      <c r="G314" s="3">
        <f t="shared" si="296"/>
        <v>3.0393849329234364E-3</v>
      </c>
      <c r="H314" s="3">
        <f t="shared" si="296"/>
        <v>3.0393849329234364E-3</v>
      </c>
      <c r="I314" s="3">
        <f t="shared" si="296"/>
        <v>3.0393849329234364E-3</v>
      </c>
      <c r="J314" s="3">
        <f t="shared" si="296"/>
        <v>3.0393849329234364E-3</v>
      </c>
      <c r="K314" s="3">
        <f t="shared" si="296"/>
        <v>3.0393849329234364E-3</v>
      </c>
      <c r="L314" s="3">
        <f t="shared" si="296"/>
        <v>3.039384932923436E-3</v>
      </c>
      <c r="M314" s="3">
        <f t="shared" si="296"/>
        <v>3.0393849329234325E-3</v>
      </c>
      <c r="N314" s="3">
        <f t="shared" si="296"/>
        <v>3.0393849329233948E-3</v>
      </c>
      <c r="O314" s="3">
        <f t="shared" si="296"/>
        <v>3.0393849329230205E-3</v>
      </c>
      <c r="P314" s="3">
        <f t="shared" si="296"/>
        <v>3.0393849329192744E-3</v>
      </c>
      <c r="Q314" s="3">
        <f t="shared" si="296"/>
        <v>3.0393849328818174E-3</v>
      </c>
      <c r="R314" s="3">
        <f t="shared" si="296"/>
        <v>3.0393849325072442E-3</v>
      </c>
      <c r="S314" s="3">
        <f t="shared" si="296"/>
        <v>3.0393849287615156E-3</v>
      </c>
      <c r="T314" s="3">
        <f t="shared" si="296"/>
        <v>3.0393848913042257E-3</v>
      </c>
      <c r="U314" s="3">
        <f t="shared" si="296"/>
        <v>3.0393845167313569E-3</v>
      </c>
      <c r="V314" s="3">
        <f t="shared" si="296"/>
        <v>3.0393807710052036E-3</v>
      </c>
      <c r="W314" s="3">
        <f t="shared" si="296"/>
        <v>3.0393433139975661E-3</v>
      </c>
      <c r="X314" s="3">
        <f t="shared" si="296"/>
        <v>3.0389687693091446E-3</v>
      </c>
      <c r="Y314" s="3">
        <f t="shared" si="296"/>
        <v>3.0352258600629223E-3</v>
      </c>
      <c r="Z314" s="3">
        <f t="shared" si="296"/>
        <v>2.9980493780750925E-3</v>
      </c>
      <c r="AA314" s="3">
        <f t="shared" si="296"/>
        <v>2.6504307304176162E-3</v>
      </c>
      <c r="AB314" s="3">
        <f t="shared" si="296"/>
        <v>7.7284646949204213E-4</v>
      </c>
      <c r="AC314" s="3">
        <f t="shared" si="296"/>
        <v>3.4344794116610469E-9</v>
      </c>
      <c r="AD314" s="3">
        <f t="shared" si="296"/>
        <v>1.0316629094946692E-62</v>
      </c>
      <c r="AE314" s="3">
        <f t="shared" si="296"/>
        <v>0</v>
      </c>
      <c r="AF314" s="3">
        <f t="shared" si="296"/>
        <v>0</v>
      </c>
      <c r="AG314" s="3"/>
      <c r="AH314" s="3"/>
    </row>
    <row r="315" spans="1:34" x14ac:dyDescent="0.25">
      <c r="B315" s="3">
        <f t="shared" ref="B315:AF315" si="297">$C45*EXP(-B$285/$A45/EXP(-$F$126))</f>
        <v>2.6495422897411186E-3</v>
      </c>
      <c r="C315" s="3">
        <f t="shared" si="297"/>
        <v>2.6495422897411186E-3</v>
      </c>
      <c r="D315" s="3">
        <f t="shared" si="297"/>
        <v>2.6495422897411186E-3</v>
      </c>
      <c r="E315" s="3">
        <f t="shared" si="297"/>
        <v>2.6495422897411186E-3</v>
      </c>
      <c r="F315" s="3">
        <f t="shared" si="297"/>
        <v>2.6495422897411186E-3</v>
      </c>
      <c r="G315" s="3">
        <f t="shared" si="297"/>
        <v>2.6495422897411186E-3</v>
      </c>
      <c r="H315" s="3">
        <f t="shared" si="297"/>
        <v>2.6495422897411186E-3</v>
      </c>
      <c r="I315" s="3">
        <f t="shared" si="297"/>
        <v>2.6495422897411186E-3</v>
      </c>
      <c r="J315" s="3">
        <f t="shared" si="297"/>
        <v>2.6495422897411186E-3</v>
      </c>
      <c r="K315" s="3">
        <f t="shared" si="297"/>
        <v>2.6495422897411186E-3</v>
      </c>
      <c r="L315" s="3">
        <f t="shared" si="297"/>
        <v>2.6495422897411186E-3</v>
      </c>
      <c r="M315" s="3">
        <f t="shared" si="297"/>
        <v>2.6495422897411182E-3</v>
      </c>
      <c r="N315" s="3">
        <f t="shared" si="297"/>
        <v>2.6495422897411152E-3</v>
      </c>
      <c r="O315" s="3">
        <f t="shared" si="297"/>
        <v>2.6495422897410826E-3</v>
      </c>
      <c r="P315" s="3">
        <f t="shared" si="297"/>
        <v>2.6495422897407561E-3</v>
      </c>
      <c r="Q315" s="3">
        <f t="shared" si="297"/>
        <v>2.6495422897374905E-3</v>
      </c>
      <c r="R315" s="3">
        <f t="shared" si="297"/>
        <v>2.6495422897048378E-3</v>
      </c>
      <c r="S315" s="3">
        <f t="shared" si="297"/>
        <v>2.6495422893783086E-3</v>
      </c>
      <c r="T315" s="3">
        <f t="shared" si="297"/>
        <v>2.6495422861130208E-3</v>
      </c>
      <c r="U315" s="3">
        <f t="shared" si="297"/>
        <v>2.6495422534601404E-3</v>
      </c>
      <c r="V315" s="3">
        <f t="shared" si="297"/>
        <v>2.6495419269313594E-3</v>
      </c>
      <c r="W315" s="3">
        <f t="shared" si="297"/>
        <v>2.6495386616457615E-3</v>
      </c>
      <c r="X315" s="3">
        <f t="shared" si="297"/>
        <v>2.649506009011109E-3</v>
      </c>
      <c r="Y315" s="3">
        <f t="shared" si="297"/>
        <v>2.6491795047961868E-3</v>
      </c>
      <c r="Z315" s="3">
        <f t="shared" si="297"/>
        <v>2.6459166747982137E-3</v>
      </c>
      <c r="AA315" s="3">
        <f t="shared" si="297"/>
        <v>2.6135085845482527E-3</v>
      </c>
      <c r="AB315" s="3">
        <f t="shared" si="297"/>
        <v>2.3104767777855583E-3</v>
      </c>
      <c r="AC315" s="3">
        <f t="shared" si="297"/>
        <v>6.7371835078050221E-4</v>
      </c>
      <c r="AD315" s="3">
        <f t="shared" si="297"/>
        <v>2.9939605036103431E-9</v>
      </c>
      <c r="AE315" s="3">
        <f t="shared" si="297"/>
        <v>8.9933804627843988E-63</v>
      </c>
      <c r="AF315" s="3">
        <f t="shared" si="297"/>
        <v>0</v>
      </c>
      <c r="AG315" s="3"/>
      <c r="AH315" s="3"/>
    </row>
    <row r="316" spans="1:34" x14ac:dyDescent="0.25">
      <c r="B316" s="3">
        <f t="shared" ref="B316:AF316" si="298">$C46*EXP(-B$285/$A46/EXP(-$F$126))</f>
        <v>6.8554497859674352E-4</v>
      </c>
      <c r="C316" s="3">
        <f t="shared" si="298"/>
        <v>6.8554497859674352E-4</v>
      </c>
      <c r="D316" s="3">
        <f t="shared" si="298"/>
        <v>6.8554497859674352E-4</v>
      </c>
      <c r="E316" s="3">
        <f t="shared" si="298"/>
        <v>6.8554497859674352E-4</v>
      </c>
      <c r="F316" s="3">
        <f t="shared" si="298"/>
        <v>6.8554497859674352E-4</v>
      </c>
      <c r="G316" s="3">
        <f t="shared" si="298"/>
        <v>6.8554497859674352E-4</v>
      </c>
      <c r="H316" s="3">
        <f t="shared" si="298"/>
        <v>6.8554497859674352E-4</v>
      </c>
      <c r="I316" s="3">
        <f t="shared" si="298"/>
        <v>6.8554497859674352E-4</v>
      </c>
      <c r="J316" s="3">
        <f t="shared" si="298"/>
        <v>6.8554497859674352E-4</v>
      </c>
      <c r="K316" s="3">
        <f t="shared" si="298"/>
        <v>6.8554497859674352E-4</v>
      </c>
      <c r="L316" s="3">
        <f t="shared" si="298"/>
        <v>6.8554497859674352E-4</v>
      </c>
      <c r="M316" s="3">
        <f t="shared" si="298"/>
        <v>6.8554497859674352E-4</v>
      </c>
      <c r="N316" s="3">
        <f t="shared" si="298"/>
        <v>6.8554497859674342E-4</v>
      </c>
      <c r="O316" s="3">
        <f t="shared" si="298"/>
        <v>6.8554497859674266E-4</v>
      </c>
      <c r="P316" s="3">
        <f t="shared" si="298"/>
        <v>6.855449785967342E-4</v>
      </c>
      <c r="Q316" s="3">
        <f t="shared" si="298"/>
        <v>6.8554497859664963E-4</v>
      </c>
      <c r="R316" s="3">
        <f t="shared" si="298"/>
        <v>6.8554497859580482E-4</v>
      </c>
      <c r="S316" s="3">
        <f t="shared" si="298"/>
        <v>6.8554497858735618E-4</v>
      </c>
      <c r="T316" s="3">
        <f t="shared" si="298"/>
        <v>6.8554497850286983E-4</v>
      </c>
      <c r="U316" s="3">
        <f t="shared" si="298"/>
        <v>6.8554497765800626E-4</v>
      </c>
      <c r="V316" s="3">
        <f t="shared" si="298"/>
        <v>6.8554496920937027E-4</v>
      </c>
      <c r="W316" s="3">
        <f t="shared" si="298"/>
        <v>6.8554488472301691E-4</v>
      </c>
      <c r="X316" s="3">
        <f t="shared" si="298"/>
        <v>6.8554403986005542E-4</v>
      </c>
      <c r="Y316" s="3">
        <f t="shared" si="298"/>
        <v>6.8553559128770752E-4</v>
      </c>
      <c r="Z316" s="3">
        <f t="shared" si="298"/>
        <v>6.8545111129057843E-4</v>
      </c>
      <c r="AA316" s="3">
        <f t="shared" si="298"/>
        <v>6.8460688369331149E-4</v>
      </c>
      <c r="AB316" s="3">
        <f t="shared" si="298"/>
        <v>6.7622158498613686E-4</v>
      </c>
      <c r="AC316" s="3">
        <f t="shared" si="298"/>
        <v>5.9781486006401383E-4</v>
      </c>
      <c r="AD316" s="3">
        <f t="shared" si="298"/>
        <v>1.7431849801166245E-4</v>
      </c>
      <c r="AE316" s="3">
        <f t="shared" si="298"/>
        <v>7.7466006008441301E-10</v>
      </c>
      <c r="AF316" s="3">
        <f t="shared" si="298"/>
        <v>2.3269554295260211E-63</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1.0364161747734975E-2</v>
      </c>
      <c r="C318" s="3">
        <f t="shared" si="300"/>
        <v>1.0364161747734975E-2</v>
      </c>
      <c r="D318" s="3">
        <f t="shared" si="300"/>
        <v>1.0364161747734975E-2</v>
      </c>
      <c r="E318" s="3">
        <f t="shared" si="300"/>
        <v>1.0364161747734975E-2</v>
      </c>
      <c r="F318" s="3">
        <f t="shared" si="300"/>
        <v>1.0364161747734975E-2</v>
      </c>
      <c r="G318" s="3">
        <f t="shared" si="300"/>
        <v>1.0364161747734975E-2</v>
      </c>
      <c r="H318" s="3">
        <f t="shared" si="300"/>
        <v>1.0364161747734975E-2</v>
      </c>
      <c r="I318" s="3">
        <f t="shared" si="300"/>
        <v>1.0364161747734975E-2</v>
      </c>
      <c r="J318" s="3">
        <f t="shared" si="300"/>
        <v>1.0364161747734975E-2</v>
      </c>
      <c r="K318" s="3">
        <f t="shared" si="300"/>
        <v>1.0364161747734975E-2</v>
      </c>
      <c r="L318" s="3">
        <f t="shared" si="300"/>
        <v>1.0364161747734975E-2</v>
      </c>
      <c r="M318" s="3">
        <f t="shared" si="300"/>
        <v>1.0364161747734975E-2</v>
      </c>
      <c r="N318" s="3">
        <f t="shared" si="300"/>
        <v>1.0364161747734975E-2</v>
      </c>
      <c r="O318" s="3">
        <f t="shared" si="300"/>
        <v>1.0364161747734975E-2</v>
      </c>
      <c r="P318" s="3">
        <f t="shared" si="300"/>
        <v>1.0364161747734973E-2</v>
      </c>
      <c r="Q318" s="3">
        <f t="shared" si="300"/>
        <v>1.0364161747734961E-2</v>
      </c>
      <c r="R318" s="3">
        <f t="shared" si="300"/>
        <v>1.0364161747734833E-2</v>
      </c>
      <c r="S318" s="3">
        <f t="shared" si="300"/>
        <v>1.0364161747733556E-2</v>
      </c>
      <c r="T318" s="3">
        <f t="shared" si="300"/>
        <v>1.0364161747720783E-2</v>
      </c>
      <c r="U318" s="3">
        <f t="shared" si="300"/>
        <v>1.0364161747593055E-2</v>
      </c>
      <c r="V318" s="3">
        <f t="shared" si="300"/>
        <v>1.0364161746315778E-2</v>
      </c>
      <c r="W318" s="3">
        <f t="shared" si="300"/>
        <v>1.0364161733543018E-2</v>
      </c>
      <c r="X318" s="3">
        <f t="shared" si="300"/>
        <v>1.0364161605815396E-2</v>
      </c>
      <c r="Y318" s="3">
        <f t="shared" si="300"/>
        <v>1.0364160328539273E-2</v>
      </c>
      <c r="Z318" s="3">
        <f t="shared" si="300"/>
        <v>1.0364147555786704E-2</v>
      </c>
      <c r="AA318" s="3">
        <f t="shared" si="300"/>
        <v>1.0364019829126768E-2</v>
      </c>
      <c r="AB318" s="3">
        <f t="shared" si="300"/>
        <v>1.0362742649099156E-2</v>
      </c>
      <c r="AC318" s="3">
        <f t="shared" si="300"/>
        <v>1.0349979502050969E-2</v>
      </c>
      <c r="AD318" s="3">
        <f t="shared" si="300"/>
        <v>1.0223209421578464E-2</v>
      </c>
      <c r="AE318" s="3">
        <f t="shared" si="300"/>
        <v>9.0378459449668852E-3</v>
      </c>
      <c r="AF318" s="3">
        <f t="shared" si="300"/>
        <v>2.6353706400318007E-3</v>
      </c>
      <c r="AG318" s="3"/>
      <c r="AH318" s="3"/>
    </row>
    <row r="319" spans="1:34" x14ac:dyDescent="0.25">
      <c r="A319" s="79">
        <f>AVERAGE(B319:AF319)</f>
        <v>1.6752833893041712E-2</v>
      </c>
      <c r="B319" s="80">
        <f>IF($A$64&lt;=B285,IF($B$64&gt;=B285,ABS((B287-B286)/B286),0),0)</f>
        <v>1.3519330471329956E-2</v>
      </c>
      <c r="C319" s="80">
        <f t="shared" ref="C319:AF319" si="301">IF($A$64&lt;=C285,IF($B$64&gt;=C285,ABS((C287-C286)/C286),0),0)</f>
        <v>8.0487621614877113E-3</v>
      </c>
      <c r="D319" s="80">
        <f t="shared" si="301"/>
        <v>1.189832758940304E-2</v>
      </c>
      <c r="E319" s="80">
        <f t="shared" si="301"/>
        <v>1.2540870651140509E-2</v>
      </c>
      <c r="F319" s="80">
        <f t="shared" si="301"/>
        <v>1.0487831913255042E-2</v>
      </c>
      <c r="G319" s="80">
        <f t="shared" si="301"/>
        <v>1.2347858611166961E-2</v>
      </c>
      <c r="H319" s="80">
        <f t="shared" si="301"/>
        <v>1.0009027640396054E-2</v>
      </c>
      <c r="I319" s="80">
        <f t="shared" si="301"/>
        <v>1.2265137232307523E-2</v>
      </c>
      <c r="J319" s="80">
        <f t="shared" si="301"/>
        <v>1.2284782169416825E-2</v>
      </c>
      <c r="K319" s="80">
        <f t="shared" si="301"/>
        <v>1.2258961141705717E-2</v>
      </c>
      <c r="L319" s="80">
        <f t="shared" si="301"/>
        <v>1.1077748001424555E-2</v>
      </c>
      <c r="M319" s="80">
        <f t="shared" si="301"/>
        <v>1.2252169990532727E-2</v>
      </c>
      <c r="N319" s="80">
        <f t="shared" si="301"/>
        <v>1.1147637042142108E-2</v>
      </c>
      <c r="O319" s="80">
        <f t="shared" si="301"/>
        <v>1.2872181812818635E-2</v>
      </c>
      <c r="P319" s="80">
        <f t="shared" si="301"/>
        <v>1.0794506266586179E-2</v>
      </c>
      <c r="Q319" s="80">
        <f t="shared" si="301"/>
        <v>8.412565183789595E-3</v>
      </c>
      <c r="R319" s="80">
        <f t="shared" si="301"/>
        <v>1.9643209583366995E-2</v>
      </c>
      <c r="S319" s="80">
        <f t="shared" si="301"/>
        <v>4.0561562224051599E-2</v>
      </c>
      <c r="T319" s="80">
        <f t="shared" si="301"/>
        <v>3.5605568755447251E-2</v>
      </c>
      <c r="U319" s="80">
        <f t="shared" si="301"/>
        <v>2.103503238441063E-2</v>
      </c>
      <c r="V319" s="80">
        <f t="shared" si="301"/>
        <v>2.921926090983388E-3</v>
      </c>
      <c r="W319" s="80">
        <f t="shared" si="301"/>
        <v>5.109942067155232E-3</v>
      </c>
      <c r="X319" s="80">
        <f t="shared" si="301"/>
        <v>1.1881458761128562E-2</v>
      </c>
      <c r="Y319" s="80">
        <f t="shared" si="301"/>
        <v>8.0190788311019726E-3</v>
      </c>
      <c r="Z319" s="80">
        <f t="shared" si="301"/>
        <v>8.0877785668009346E-3</v>
      </c>
      <c r="AA319" s="80">
        <f t="shared" si="301"/>
        <v>5.4330473551770725E-3</v>
      </c>
      <c r="AB319" s="80">
        <f t="shared" si="301"/>
        <v>8.1852062144925522E-4</v>
      </c>
      <c r="AC319" s="80">
        <f t="shared" si="301"/>
        <v>3.7457129856568244E-3</v>
      </c>
      <c r="AD319" s="80">
        <f t="shared" si="301"/>
        <v>2.4211372697111604E-3</v>
      </c>
      <c r="AE319" s="80">
        <f t="shared" si="301"/>
        <v>5.9668415275820324E-3</v>
      </c>
      <c r="AF319" s="80">
        <f t="shared" si="301"/>
        <v>0.16586933578136689</v>
      </c>
    </row>
    <row r="320" spans="1:34" x14ac:dyDescent="0.25">
      <c r="B320" s="21">
        <f>(B287-B286)^2</f>
        <v>19978.776455085299</v>
      </c>
      <c r="C320" s="21">
        <f t="shared" ref="C320:AF320" si="302">(C287-C286)^2</f>
        <v>6762.1438460928939</v>
      </c>
      <c r="D320" s="21">
        <f t="shared" si="302"/>
        <v>14131.226366138926</v>
      </c>
      <c r="E320" s="21">
        <f t="shared" si="302"/>
        <v>14922.276561352117</v>
      </c>
      <c r="F320" s="21">
        <f t="shared" si="302"/>
        <v>9898.0551122454726</v>
      </c>
      <c r="G320" s="21">
        <f t="shared" si="302"/>
        <v>12973.29006901962</v>
      </c>
      <c r="H320" s="21">
        <f t="shared" si="302"/>
        <v>8085.1833058675611</v>
      </c>
      <c r="I320" s="21">
        <f t="shared" si="302"/>
        <v>11308.953995654114</v>
      </c>
      <c r="J320" s="21">
        <f t="shared" si="302"/>
        <v>10443.610999827988</v>
      </c>
      <c r="K320" s="21">
        <f t="shared" si="302"/>
        <v>9542.881060011201</v>
      </c>
      <c r="L320" s="21">
        <f t="shared" si="302"/>
        <v>7242.7028645378559</v>
      </c>
      <c r="M320" s="21">
        <f t="shared" si="302"/>
        <v>8229.0245114062654</v>
      </c>
      <c r="N320" s="21">
        <f t="shared" si="302"/>
        <v>6321.4756946650232</v>
      </c>
      <c r="O320" s="21">
        <f t="shared" si="302"/>
        <v>7762.7938259083894</v>
      </c>
      <c r="P320" s="21">
        <f t="shared" si="302"/>
        <v>5033.6598093490802</v>
      </c>
      <c r="Q320" s="21">
        <f t="shared" si="302"/>
        <v>2737.1486474253711</v>
      </c>
      <c r="R320" s="21">
        <f t="shared" si="302"/>
        <v>12495.268564836202</v>
      </c>
      <c r="S320" s="21">
        <f t="shared" si="302"/>
        <v>37331.584207573273</v>
      </c>
      <c r="T320" s="21">
        <f t="shared" si="302"/>
        <v>17812.695738003509</v>
      </c>
      <c r="U320" s="21">
        <f t="shared" si="302"/>
        <v>3720.8640519893579</v>
      </c>
      <c r="V320" s="21">
        <f t="shared" si="302"/>
        <v>41.621478609324463</v>
      </c>
      <c r="W320" s="21">
        <f t="shared" si="302"/>
        <v>67.190693152815058</v>
      </c>
      <c r="X320" s="21">
        <f t="shared" si="302"/>
        <v>178.16139100385723</v>
      </c>
      <c r="Y320" s="21">
        <f t="shared" si="302"/>
        <v>39.200343239449552</v>
      </c>
      <c r="Z320" s="21">
        <f t="shared" si="302"/>
        <v>22.157113286564876</v>
      </c>
      <c r="AA320" s="21">
        <f t="shared" si="302"/>
        <v>6.7285733436811332</v>
      </c>
      <c r="AB320" s="21">
        <f t="shared" si="302"/>
        <v>0.12291113143394533</v>
      </c>
      <c r="AC320" s="21">
        <f t="shared" si="302"/>
        <v>2.229746707124471</v>
      </c>
      <c r="AD320" s="21">
        <f t="shared" si="302"/>
        <v>0.87001528642955273</v>
      </c>
      <c r="AE320" s="21">
        <f t="shared" si="302"/>
        <v>4.9507976820946418</v>
      </c>
      <c r="AF320" s="21">
        <f t="shared" si="302"/>
        <v>3503.2791113938138</v>
      </c>
      <c r="AG320" s="3"/>
      <c r="AH320" s="3"/>
    </row>
    <row r="321" spans="1:34" x14ac:dyDescent="0.25">
      <c r="A321" s="71">
        <f>SUM(B321:AF321)</f>
        <v>230600.12786182616</v>
      </c>
      <c r="B321" s="60">
        <f>IF($A$64&lt;=B285,IF($B$64&gt;=B285,ABS(B320),0),0)</f>
        <v>19978.776455085299</v>
      </c>
      <c r="C321" s="60">
        <f t="shared" ref="C321" si="303">IF($A$64&lt;=C285,IF($B$64&gt;=C285,ABS(C320),0),0)</f>
        <v>6762.1438460928939</v>
      </c>
      <c r="D321" s="60">
        <f t="shared" ref="D321" si="304">IF($A$64&lt;=D285,IF($B$64&gt;=D285,ABS(D320),0),0)</f>
        <v>14131.226366138926</v>
      </c>
      <c r="E321" s="60">
        <f t="shared" ref="E321" si="305">IF($A$64&lt;=E285,IF($B$64&gt;=E285,ABS(E320),0),0)</f>
        <v>14922.276561352117</v>
      </c>
      <c r="F321" s="60">
        <f t="shared" ref="F321" si="306">IF($A$64&lt;=F285,IF($B$64&gt;=F285,ABS(F320),0),0)</f>
        <v>9898.0551122454726</v>
      </c>
      <c r="G321" s="60">
        <f t="shared" ref="G321" si="307">IF($A$64&lt;=G285,IF($B$64&gt;=G285,ABS(G320),0),0)</f>
        <v>12973.29006901962</v>
      </c>
      <c r="H321" s="60">
        <f t="shared" ref="H321" si="308">IF($A$64&lt;=H285,IF($B$64&gt;=H285,ABS(H320),0),0)</f>
        <v>8085.1833058675611</v>
      </c>
      <c r="I321" s="60">
        <f t="shared" ref="I321" si="309">IF($A$64&lt;=I285,IF($B$64&gt;=I285,ABS(I320),0),0)</f>
        <v>11308.953995654114</v>
      </c>
      <c r="J321" s="60">
        <f t="shared" ref="J321" si="310">IF($A$64&lt;=J285,IF($B$64&gt;=J285,ABS(J320),0),0)</f>
        <v>10443.610999827988</v>
      </c>
      <c r="K321" s="60">
        <f t="shared" ref="K321" si="311">IF($A$64&lt;=K285,IF($B$64&gt;=K285,ABS(K320),0),0)</f>
        <v>9542.881060011201</v>
      </c>
      <c r="L321" s="60">
        <f t="shared" ref="L321" si="312">IF($A$64&lt;=L285,IF($B$64&gt;=L285,ABS(L320),0),0)</f>
        <v>7242.7028645378559</v>
      </c>
      <c r="M321" s="60">
        <f t="shared" ref="M321" si="313">IF($A$64&lt;=M285,IF($B$64&gt;=M285,ABS(M320),0),0)</f>
        <v>8229.0245114062654</v>
      </c>
      <c r="N321" s="60">
        <f t="shared" ref="N321" si="314">IF($A$64&lt;=N285,IF($B$64&gt;=N285,ABS(N320),0),0)</f>
        <v>6321.4756946650232</v>
      </c>
      <c r="O321" s="60">
        <f t="shared" ref="O321" si="315">IF($A$64&lt;=O285,IF($B$64&gt;=O285,ABS(O320),0),0)</f>
        <v>7762.7938259083894</v>
      </c>
      <c r="P321" s="60">
        <f t="shared" ref="P321" si="316">IF($A$64&lt;=P285,IF($B$64&gt;=P285,ABS(P320),0),0)</f>
        <v>5033.6598093490802</v>
      </c>
      <c r="Q321" s="60">
        <f t="shared" ref="Q321" si="317">IF($A$64&lt;=Q285,IF($B$64&gt;=Q285,ABS(Q320),0),0)</f>
        <v>2737.1486474253711</v>
      </c>
      <c r="R321" s="60">
        <f t="shared" ref="R321" si="318">IF($A$64&lt;=R285,IF($B$64&gt;=R285,ABS(R320),0),0)</f>
        <v>12495.268564836202</v>
      </c>
      <c r="S321" s="60">
        <f t="shared" ref="S321" si="319">IF($A$64&lt;=S285,IF($B$64&gt;=S285,ABS(S320),0),0)</f>
        <v>37331.584207573273</v>
      </c>
      <c r="T321" s="60">
        <f t="shared" ref="T321" si="320">IF($A$64&lt;=T285,IF($B$64&gt;=T285,ABS(T320),0),0)</f>
        <v>17812.695738003509</v>
      </c>
      <c r="U321" s="60">
        <f t="shared" ref="U321" si="321">IF($A$64&lt;=U285,IF($B$64&gt;=U285,ABS(U320),0),0)</f>
        <v>3720.8640519893579</v>
      </c>
      <c r="V321" s="60">
        <f t="shared" ref="V321" si="322">IF($A$64&lt;=V285,IF($B$64&gt;=V285,ABS(V320),0),0)</f>
        <v>41.621478609324463</v>
      </c>
      <c r="W321" s="60">
        <f t="shared" ref="W321" si="323">IF($A$64&lt;=W285,IF($B$64&gt;=W285,ABS(W320),0),0)</f>
        <v>67.190693152815058</v>
      </c>
      <c r="X321" s="60">
        <f t="shared" ref="X321" si="324">IF($A$64&lt;=X285,IF($B$64&gt;=X285,ABS(X320),0),0)</f>
        <v>178.16139100385723</v>
      </c>
      <c r="Y321" s="60">
        <f t="shared" ref="Y321" si="325">IF($A$64&lt;=Y285,IF($B$64&gt;=Y285,ABS(Y320),0),0)</f>
        <v>39.200343239449552</v>
      </c>
      <c r="Z321" s="60">
        <f t="shared" ref="Z321" si="326">IF($A$64&lt;=Z285,IF($B$64&gt;=Z285,ABS(Z320),0),0)</f>
        <v>22.157113286564876</v>
      </c>
      <c r="AA321" s="60">
        <f t="shared" ref="AA321" si="327">IF($A$64&lt;=AA285,IF($B$64&gt;=AA285,ABS(AA320),0),0)</f>
        <v>6.7285733436811332</v>
      </c>
      <c r="AB321" s="60">
        <f t="shared" ref="AB321" si="328">IF($A$64&lt;=AB285,IF($B$64&gt;=AB285,ABS(AB320),0),0)</f>
        <v>0.12291113143394533</v>
      </c>
      <c r="AC321" s="60">
        <f t="shared" ref="AC321" si="329">IF($A$64&lt;=AC285,IF($B$64&gt;=AC285,ABS(AC320),0),0)</f>
        <v>2.229746707124471</v>
      </c>
      <c r="AD321" s="60">
        <f t="shared" ref="AD321" si="330">IF($A$64&lt;=AD285,IF($B$64&gt;=AD285,ABS(AD320),0),0)</f>
        <v>0.87001528642955273</v>
      </c>
      <c r="AE321" s="60">
        <f t="shared" ref="AE321" si="331">IF($A$64&lt;=AE285,IF($B$64&gt;=AE285,ABS(AE320),0),0)</f>
        <v>4.9507976820946418</v>
      </c>
      <c r="AF321" s="60">
        <f t="shared" ref="AF321" si="332">IF($A$64&lt;=AF285,IF($B$64&gt;=AF285,ABS(AF320),0),0)</f>
        <v>3503.2791113938138</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10078.554253328099</v>
      </c>
      <c r="C326" s="27">
        <f t="shared" ref="C326:AF326" si="333">($C$17+SUM(C327:C357))*$B$51</f>
        <v>9824.5581120356219</v>
      </c>
      <c r="D326" s="27">
        <f t="shared" si="333"/>
        <v>9547.9303914102056</v>
      </c>
      <c r="E326" s="27">
        <f t="shared" si="333"/>
        <v>9300.2039631074094</v>
      </c>
      <c r="F326" s="27">
        <f t="shared" si="333"/>
        <v>9030.2096772050445</v>
      </c>
      <c r="G326" s="27">
        <f t="shared" si="333"/>
        <v>8724.4350943796326</v>
      </c>
      <c r="H326" s="27">
        <f t="shared" si="333"/>
        <v>8359.8969426346703</v>
      </c>
      <c r="I326" s="27">
        <f t="shared" si="333"/>
        <v>8008.7524820890985</v>
      </c>
      <c r="J326" s="27">
        <f t="shared" si="333"/>
        <v>7718.6914821370483</v>
      </c>
      <c r="K326" s="27">
        <f t="shared" si="333"/>
        <v>7445.8318460958835</v>
      </c>
      <c r="L326" s="27">
        <f t="shared" si="333"/>
        <v>7160.0152789649064</v>
      </c>
      <c r="M326" s="27">
        <f t="shared" si="333"/>
        <v>6883.4794600671803</v>
      </c>
      <c r="N326" s="27">
        <f t="shared" si="333"/>
        <v>6587.6118164179088</v>
      </c>
      <c r="O326" s="27">
        <f t="shared" si="333"/>
        <v>6187.3723691663663</v>
      </c>
      <c r="P326" s="27">
        <f t="shared" si="333"/>
        <v>5410.5971224876321</v>
      </c>
      <c r="Q326" s="27">
        <f t="shared" si="333"/>
        <v>4397.5231157210756</v>
      </c>
      <c r="R326" s="27">
        <f t="shared" si="333"/>
        <v>3485.0044504530911</v>
      </c>
      <c r="S326" s="27">
        <f t="shared" si="333"/>
        <v>2729.1201839605064</v>
      </c>
      <c r="T326" s="27">
        <f t="shared" si="333"/>
        <v>2144.0344337822849</v>
      </c>
      <c r="U326" s="27">
        <f t="shared" si="333"/>
        <v>1494.9536885339626</v>
      </c>
      <c r="V326" s="27">
        <f t="shared" si="333"/>
        <v>1071.11080412153</v>
      </c>
      <c r="W326" s="27">
        <f t="shared" si="333"/>
        <v>735.48607748089819</v>
      </c>
      <c r="X326" s="27">
        <f t="shared" si="333"/>
        <v>563.80037134484473</v>
      </c>
      <c r="Y326" s="27">
        <f t="shared" si="333"/>
        <v>466.08659185482065</v>
      </c>
      <c r="Z326" s="27">
        <f t="shared" si="333"/>
        <v>423.06157155921954</v>
      </c>
      <c r="AA326" s="27">
        <f t="shared" si="333"/>
        <v>396.18176819921007</v>
      </c>
      <c r="AB326" s="27">
        <f t="shared" si="333"/>
        <v>384.57673550950051</v>
      </c>
      <c r="AC326" s="27">
        <f t="shared" si="333"/>
        <v>364.61800004178048</v>
      </c>
      <c r="AD326" s="27">
        <f t="shared" si="333"/>
        <v>283.9953180155282</v>
      </c>
      <c r="AE326" s="27">
        <f t="shared" si="333"/>
        <v>267.59088819059838</v>
      </c>
      <c r="AF326" s="27">
        <f t="shared" si="333"/>
        <v>267.5908878775283</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3.4793590790592978E-24</v>
      </c>
      <c r="C328" s="3">
        <f t="shared" si="335"/>
        <v>6.4223027499258253E-222</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1.5412043554238324E-4</v>
      </c>
      <c r="C329" s="3">
        <f t="shared" si="336"/>
        <v>2.2419489339387131E-22</v>
      </c>
      <c r="D329" s="3">
        <f t="shared" si="336"/>
        <v>9.5121918700934648E-201</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1.4472147644366816E-2</v>
      </c>
      <c r="C330" s="3">
        <f t="shared" si="337"/>
        <v>3.5601315030326893E-4</v>
      </c>
      <c r="D330" s="3">
        <f t="shared" si="337"/>
        <v>2.8893263337473884E-20</v>
      </c>
      <c r="E330" s="3">
        <f t="shared" si="337"/>
        <v>3.5818067701424549E-181</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2.5628765416162526E-2</v>
      </c>
      <c r="C331" s="3">
        <f t="shared" si="338"/>
        <v>1.8347481624112177E-2</v>
      </c>
      <c r="D331" s="3">
        <f t="shared" si="338"/>
        <v>6.4873034962917916E-4</v>
      </c>
      <c r="E331" s="3">
        <f t="shared" si="338"/>
        <v>1.9812613274863439E-18</v>
      </c>
      <c r="F331" s="3">
        <f t="shared" si="338"/>
        <v>1.3986763375502272E-163</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2.1720211921458746E-2</v>
      </c>
      <c r="C332" s="3">
        <f t="shared" si="339"/>
        <v>2.1075127480962279E-2</v>
      </c>
      <c r="D332" s="3">
        <f t="shared" si="339"/>
        <v>1.5589483631715325E-2</v>
      </c>
      <c r="E332" s="3">
        <f t="shared" si="339"/>
        <v>7.6462224878924361E-4</v>
      </c>
      <c r="F332" s="3">
        <f t="shared" si="339"/>
        <v>6.1602584901721572E-17</v>
      </c>
      <c r="G332" s="3">
        <f t="shared" si="339"/>
        <v>7.0977220277011101E-148</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2.3914432852941432E-2</v>
      </c>
      <c r="C333" s="3">
        <f t="shared" si="340"/>
        <v>2.3849479854076174E-2</v>
      </c>
      <c r="D333" s="3">
        <f t="shared" si="340"/>
        <v>2.3209574120421156E-2</v>
      </c>
      <c r="E333" s="3">
        <f t="shared" si="340"/>
        <v>1.7682748481113592E-2</v>
      </c>
      <c r="F333" s="3">
        <f t="shared" si="340"/>
        <v>1.1651336631523575E-3</v>
      </c>
      <c r="G333" s="3">
        <f t="shared" si="340"/>
        <v>1.7973619997065604E-15</v>
      </c>
      <c r="H333" s="3">
        <f t="shared" si="340"/>
        <v>1.3716193686575706E-133</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2.6314811805373321E-2</v>
      </c>
      <c r="C334" s="3">
        <f t="shared" si="341"/>
        <v>2.6308356405354588E-2</v>
      </c>
      <c r="D334" s="3">
        <f t="shared" si="341"/>
        <v>2.6243889439211129E-2</v>
      </c>
      <c r="E334" s="3">
        <f t="shared" si="341"/>
        <v>2.5607844690710566E-2</v>
      </c>
      <c r="F334" s="3">
        <f t="shared" si="341"/>
        <v>2.0036474324267053E-2</v>
      </c>
      <c r="G334" s="3">
        <f t="shared" si="341"/>
        <v>1.7230745759437662E-3</v>
      </c>
      <c r="H334" s="3">
        <f t="shared" si="341"/>
        <v>3.8118146667262943E-14</v>
      </c>
      <c r="I334" s="3">
        <f t="shared" si="341"/>
        <v>1.070061650707429E-120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3.4157117975758114E-2</v>
      </c>
      <c r="C335" s="3">
        <f t="shared" si="342"/>
        <v>3.4156362015142092E-2</v>
      </c>
      <c r="D335" s="3">
        <f t="shared" si="342"/>
        <v>3.4148803329115678E-2</v>
      </c>
      <c r="E335" s="3">
        <f t="shared" si="342"/>
        <v>3.4073308406925601E-2</v>
      </c>
      <c r="F335" s="3">
        <f t="shared" si="342"/>
        <v>3.3327478149074573E-2</v>
      </c>
      <c r="G335" s="3">
        <f t="shared" si="342"/>
        <v>2.6710617854082894E-2</v>
      </c>
      <c r="H335" s="3">
        <f t="shared" si="342"/>
        <v>2.9207793550826084E-3</v>
      </c>
      <c r="I335" s="3">
        <f t="shared" si="342"/>
        <v>7.1391566707837247E-13</v>
      </c>
      <c r="J335" s="3">
        <f t="shared" si="342"/>
        <v>5.4341114118516018E-109</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3.3563258005766268E-2</v>
      </c>
      <c r="C336" s="3">
        <f t="shared" si="343"/>
        <v>3.3563190996783489E-2</v>
      </c>
      <c r="D336" s="3">
        <f t="shared" si="343"/>
        <v>3.356252091431372E-2</v>
      </c>
      <c r="E336" s="3">
        <f t="shared" si="343"/>
        <v>3.3555820825365498E-2</v>
      </c>
      <c r="F336" s="3">
        <f t="shared" si="343"/>
        <v>3.3488893456507129E-2</v>
      </c>
      <c r="G336" s="3">
        <f t="shared" si="343"/>
        <v>3.282691780907155E-2</v>
      </c>
      <c r="H336" s="3">
        <f t="shared" si="343"/>
        <v>2.6885815122287635E-2</v>
      </c>
      <c r="I336" s="3">
        <f t="shared" si="343"/>
        <v>3.6513562640935844E-3</v>
      </c>
      <c r="J336" s="3">
        <f t="shared" si="343"/>
        <v>7.7940685803614666E-12</v>
      </c>
      <c r="K336" s="3">
        <f t="shared" si="343"/>
        <v>1.5306093379708608E-98</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2.595870853943914E-2</v>
      </c>
      <c r="C337" s="3">
        <f t="shared" si="344"/>
        <v>2.5958703864252197E-2</v>
      </c>
      <c r="D337" s="3">
        <f t="shared" si="344"/>
        <v>2.5958657112429066E-2</v>
      </c>
      <c r="E337" s="3">
        <f t="shared" si="344"/>
        <v>2.5958189598828771E-2</v>
      </c>
      <c r="F337" s="3">
        <f t="shared" si="344"/>
        <v>2.5953514925894556E-2</v>
      </c>
      <c r="G337" s="3">
        <f t="shared" si="344"/>
        <v>2.5906814472587598E-2</v>
      </c>
      <c r="H337" s="3">
        <f t="shared" si="344"/>
        <v>2.5444406853908433E-2</v>
      </c>
      <c r="I337" s="3">
        <f t="shared" si="344"/>
        <v>2.1250810290681609E-2</v>
      </c>
      <c r="J337" s="3">
        <f t="shared" si="344"/>
        <v>3.5091919491946934E-3</v>
      </c>
      <c r="K337" s="3">
        <f t="shared" si="344"/>
        <v>5.2908253369318942E-11</v>
      </c>
      <c r="L337" s="3">
        <f t="shared" si="344"/>
        <v>3.2113410278256676E-89</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2.4505487880624812E-2</v>
      </c>
      <c r="C338" s="3">
        <f t="shared" si="345"/>
        <v>2.4505487482493916E-2</v>
      </c>
      <c r="D338" s="3">
        <f t="shared" si="345"/>
        <v>2.4505483501185331E-2</v>
      </c>
      <c r="E338" s="3">
        <f t="shared" si="345"/>
        <v>2.4505443688135075E-2</v>
      </c>
      <c r="F338" s="3">
        <f t="shared" si="345"/>
        <v>2.4505045561190025E-2</v>
      </c>
      <c r="G338" s="3">
        <f t="shared" si="345"/>
        <v>2.4501064647470851E-2</v>
      </c>
      <c r="H338" s="3">
        <f t="shared" si="345"/>
        <v>2.4461291062035786E-2</v>
      </c>
      <c r="I338" s="3">
        <f t="shared" si="345"/>
        <v>2.4067089104888525E-2</v>
      </c>
      <c r="J338" s="3">
        <f t="shared" si="345"/>
        <v>2.0458108232849985E-2</v>
      </c>
      <c r="K338" s="3">
        <f t="shared" si="345"/>
        <v>4.0298096456330128E-3</v>
      </c>
      <c r="L338" s="3">
        <f t="shared" si="345"/>
        <v>3.5438483863197822E-10</v>
      </c>
      <c r="M338" s="3">
        <f t="shared" si="345"/>
        <v>9.8034998923185478E-81</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2.7040912954316421E-2</v>
      </c>
      <c r="C339" s="3">
        <f t="shared" si="346"/>
        <v>2.7040912914685834E-2</v>
      </c>
      <c r="D339" s="3">
        <f t="shared" si="346"/>
        <v>2.7040912518380002E-2</v>
      </c>
      <c r="E339" s="3">
        <f t="shared" si="346"/>
        <v>2.7040908555321975E-2</v>
      </c>
      <c r="F339" s="3">
        <f t="shared" si="346"/>
        <v>2.7040868924773635E-2</v>
      </c>
      <c r="G339" s="3">
        <f t="shared" si="346"/>
        <v>2.7040472622484723E-2</v>
      </c>
      <c r="H339" s="3">
        <f t="shared" si="346"/>
        <v>2.7036509919025918E-2</v>
      </c>
      <c r="I339" s="3">
        <f t="shared" si="346"/>
        <v>2.6996914810153382E-2</v>
      </c>
      <c r="J339" s="3">
        <f t="shared" si="346"/>
        <v>2.6604139048470594E-2</v>
      </c>
      <c r="K339" s="3">
        <f t="shared" si="346"/>
        <v>2.297734993436968E-2</v>
      </c>
      <c r="L339" s="3">
        <f t="shared" si="346"/>
        <v>5.3064885560804463E-3</v>
      </c>
      <c r="M339" s="3">
        <f t="shared" si="346"/>
        <v>2.2902356345282492E-9</v>
      </c>
      <c r="N339" s="3">
        <f t="shared" si="346"/>
        <v>5.1358168184703286E-73</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2.4600371351347877E-2</v>
      </c>
      <c r="C340" s="3">
        <f t="shared" si="347"/>
        <v>2.4600371348095527E-2</v>
      </c>
      <c r="D340" s="3">
        <f t="shared" si="347"/>
        <v>2.4600371315572016E-2</v>
      </c>
      <c r="E340" s="3">
        <f t="shared" si="347"/>
        <v>2.4600370990336944E-2</v>
      </c>
      <c r="F340" s="3">
        <f t="shared" si="347"/>
        <v>2.4600367737986472E-2</v>
      </c>
      <c r="G340" s="3">
        <f t="shared" si="347"/>
        <v>2.4600335214505394E-2</v>
      </c>
      <c r="H340" s="3">
        <f t="shared" si="347"/>
        <v>2.4600009982059499E-2</v>
      </c>
      <c r="I340" s="3">
        <f t="shared" si="347"/>
        <v>2.4596757894079346E-2</v>
      </c>
      <c r="J340" s="3">
        <f t="shared" si="347"/>
        <v>2.4564260650591779E-2</v>
      </c>
      <c r="K340" s="3">
        <f t="shared" si="347"/>
        <v>2.4241640325777507E-2</v>
      </c>
      <c r="L340" s="3">
        <f t="shared" si="347"/>
        <v>2.1239538013672343E-2</v>
      </c>
      <c r="M340" s="3">
        <f t="shared" si="347"/>
        <v>5.6620759913108753E-3</v>
      </c>
      <c r="N340" s="3">
        <f t="shared" si="347"/>
        <v>1.0263180592803838E-8</v>
      </c>
      <c r="O340" s="3">
        <f t="shared" si="347"/>
        <v>3.9295673988554324E-66</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2.6294191463762454E-2</v>
      </c>
      <c r="C341" s="3">
        <f t="shared" si="348"/>
        <v>2.6294191463448864E-2</v>
      </c>
      <c r="D341" s="3">
        <f t="shared" si="348"/>
        <v>2.6294191460312963E-2</v>
      </c>
      <c r="E341" s="3">
        <f t="shared" si="348"/>
        <v>2.6294191428953971E-2</v>
      </c>
      <c r="F341" s="3">
        <f t="shared" si="348"/>
        <v>2.6294191115364032E-2</v>
      </c>
      <c r="G341" s="3">
        <f t="shared" si="348"/>
        <v>2.6294187979464853E-2</v>
      </c>
      <c r="H341" s="3">
        <f t="shared" si="348"/>
        <v>2.6294156620493642E-2</v>
      </c>
      <c r="I341" s="3">
        <f t="shared" si="348"/>
        <v>2.6293843032838472E-2</v>
      </c>
      <c r="J341" s="3">
        <f t="shared" si="348"/>
        <v>2.6290707361973295E-2</v>
      </c>
      <c r="K341" s="3">
        <f t="shared" si="348"/>
        <v>2.6259371212899653E-2</v>
      </c>
      <c r="L341" s="3">
        <f t="shared" si="348"/>
        <v>2.594805663652916E-2</v>
      </c>
      <c r="M341" s="3">
        <f t="shared" si="348"/>
        <v>2.303085086996837E-2</v>
      </c>
      <c r="N341" s="3">
        <f t="shared" si="348"/>
        <v>6.9881375229197424E-3</v>
      </c>
      <c r="O341" s="3">
        <f t="shared" si="348"/>
        <v>4.6224906581363752E-8</v>
      </c>
      <c r="P341" s="3">
        <f t="shared" si="348"/>
        <v>7.4134785052741762E-60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3.262326258506159E-2</v>
      </c>
      <c r="C342" s="3">
        <f t="shared" si="349"/>
        <v>3.2623262585026493E-2</v>
      </c>
      <c r="D342" s="3">
        <f t="shared" si="349"/>
        <v>3.2623262584675516E-2</v>
      </c>
      <c r="E342" s="3">
        <f t="shared" si="349"/>
        <v>3.2623262581165761E-2</v>
      </c>
      <c r="F342" s="3">
        <f t="shared" si="349"/>
        <v>3.262326254606826E-2</v>
      </c>
      <c r="G342" s="3">
        <f t="shared" si="349"/>
        <v>3.2623262195093178E-2</v>
      </c>
      <c r="H342" s="3">
        <f t="shared" si="349"/>
        <v>3.2623258685342583E-2</v>
      </c>
      <c r="I342" s="3">
        <f t="shared" si="349"/>
        <v>3.2623223587857422E-2</v>
      </c>
      <c r="J342" s="3">
        <f t="shared" si="349"/>
        <v>3.262287261508251E-2</v>
      </c>
      <c r="K342" s="3">
        <f t="shared" si="349"/>
        <v>3.2619363095001026E-2</v>
      </c>
      <c r="L342" s="3">
        <f t="shared" si="349"/>
        <v>3.2584288652677984E-2</v>
      </c>
      <c r="M342" s="3">
        <f t="shared" si="349"/>
        <v>3.2235611839194517E-2</v>
      </c>
      <c r="N342" s="3">
        <f t="shared" si="349"/>
        <v>2.8947605833323387E-2</v>
      </c>
      <c r="O342" s="3">
        <f t="shared" si="349"/>
        <v>9.8714279055950455E-3</v>
      </c>
      <c r="P342" s="3">
        <f t="shared" si="349"/>
        <v>2.0991972788951033E-7</v>
      </c>
      <c r="Q342" s="3">
        <f t="shared" si="349"/>
        <v>3.969958998758611E-54</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8.8496332073837447E-2</v>
      </c>
      <c r="C343" s="3">
        <f t="shared" si="350"/>
        <v>8.8496332073828871E-2</v>
      </c>
      <c r="D343" s="3">
        <f t="shared" si="350"/>
        <v>8.8496332073742967E-2</v>
      </c>
      <c r="E343" s="3">
        <f t="shared" si="350"/>
        <v>8.8496332072884112E-2</v>
      </c>
      <c r="F343" s="3">
        <f t="shared" si="350"/>
        <v>8.8496332064295552E-2</v>
      </c>
      <c r="G343" s="3">
        <f t="shared" si="350"/>
        <v>8.8496331978409878E-2</v>
      </c>
      <c r="H343" s="3">
        <f t="shared" si="350"/>
        <v>8.8496331119553087E-2</v>
      </c>
      <c r="I343" s="3">
        <f t="shared" si="350"/>
        <v>8.8496322530985674E-2</v>
      </c>
      <c r="J343" s="3">
        <f t="shared" si="350"/>
        <v>8.8496236645357385E-2</v>
      </c>
      <c r="K343" s="3">
        <f t="shared" si="350"/>
        <v>8.8495377793658833E-2</v>
      </c>
      <c r="L343" s="3">
        <f t="shared" si="350"/>
        <v>8.8486789735091192E-2</v>
      </c>
      <c r="M343" s="3">
        <f t="shared" si="350"/>
        <v>8.8400954974751519E-2</v>
      </c>
      <c r="N343" s="3">
        <f t="shared" si="350"/>
        <v>8.7547173492463784E-2</v>
      </c>
      <c r="O343" s="3">
        <f t="shared" si="350"/>
        <v>7.9449991516301513E-2</v>
      </c>
      <c r="P343" s="3">
        <f t="shared" si="350"/>
        <v>3.0103092612218278E-2</v>
      </c>
      <c r="Q343" s="3">
        <f t="shared" si="350"/>
        <v>1.8356239275289648E-6</v>
      </c>
      <c r="R343" s="3">
        <f t="shared" si="350"/>
        <v>1.3046970015852902E-48</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9.9309249865315918E-2</v>
      </c>
      <c r="C344" s="3">
        <f t="shared" si="351"/>
        <v>9.9309249865315044E-2</v>
      </c>
      <c r="D344" s="3">
        <f t="shared" si="351"/>
        <v>9.9309249865306357E-2</v>
      </c>
      <c r="E344" s="3">
        <f t="shared" si="351"/>
        <v>9.9309249865219412E-2</v>
      </c>
      <c r="F344" s="3">
        <f t="shared" si="351"/>
        <v>9.9309249864349997E-2</v>
      </c>
      <c r="G344" s="3">
        <f t="shared" si="351"/>
        <v>9.9309249855655743E-2</v>
      </c>
      <c r="H344" s="3">
        <f t="shared" si="351"/>
        <v>9.9309249768713317E-2</v>
      </c>
      <c r="I344" s="3">
        <f t="shared" si="351"/>
        <v>9.9309248899289007E-2</v>
      </c>
      <c r="J344" s="3">
        <f t="shared" si="351"/>
        <v>9.9309240205046445E-2</v>
      </c>
      <c r="K344" s="3">
        <f t="shared" si="351"/>
        <v>9.9309153262662583E-2</v>
      </c>
      <c r="L344" s="3">
        <f t="shared" si="351"/>
        <v>9.9308283843010325E-2</v>
      </c>
      <c r="M344" s="3">
        <f t="shared" si="351"/>
        <v>9.9299590065108662E-2</v>
      </c>
      <c r="N344" s="3">
        <f t="shared" si="351"/>
        <v>9.9212694134625259E-2</v>
      </c>
      <c r="O344" s="3">
        <f t="shared" si="351"/>
        <v>9.8347906159039586E-2</v>
      </c>
      <c r="P344" s="3">
        <f t="shared" si="351"/>
        <v>9.0103957980488619E-2</v>
      </c>
      <c r="Q344" s="3">
        <f t="shared" si="351"/>
        <v>3.7543207406700863E-2</v>
      </c>
      <c r="R344" s="3">
        <f t="shared" si="351"/>
        <v>5.9211547818554113E-6</v>
      </c>
      <c r="S344" s="3">
        <f t="shared" si="351"/>
        <v>5.6384122499169361E-44</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7.4938076557470923E-2</v>
      </c>
      <c r="C345" s="3">
        <f t="shared" si="352"/>
        <v>7.4938076557470867E-2</v>
      </c>
      <c r="D345" s="3">
        <f t="shared" si="352"/>
        <v>7.4938076557470285E-2</v>
      </c>
      <c r="E345" s="3">
        <f t="shared" si="352"/>
        <v>7.4938076557464359E-2</v>
      </c>
      <c r="F345" s="3">
        <f t="shared" si="352"/>
        <v>7.4938076557405184E-2</v>
      </c>
      <c r="G345" s="3">
        <f t="shared" si="352"/>
        <v>7.4938076556813352E-2</v>
      </c>
      <c r="H345" s="3">
        <f t="shared" si="352"/>
        <v>7.4938076550895141E-2</v>
      </c>
      <c r="I345" s="3">
        <f t="shared" si="352"/>
        <v>7.4938076491712913E-2</v>
      </c>
      <c r="J345" s="3">
        <f t="shared" si="352"/>
        <v>7.493807589989078E-2</v>
      </c>
      <c r="K345" s="3">
        <f t="shared" si="352"/>
        <v>7.4938069981669672E-2</v>
      </c>
      <c r="L345" s="3">
        <f t="shared" si="352"/>
        <v>7.4938010799484311E-2</v>
      </c>
      <c r="M345" s="3">
        <f t="shared" si="352"/>
        <v>7.4937418980201273E-2</v>
      </c>
      <c r="N345" s="3">
        <f t="shared" si="352"/>
        <v>7.4931501044427293E-2</v>
      </c>
      <c r="O345" s="3">
        <f t="shared" si="352"/>
        <v>7.4872347384820181E-2</v>
      </c>
      <c r="P345" s="3">
        <f t="shared" si="352"/>
        <v>7.4283373108682382E-2</v>
      </c>
      <c r="Q345" s="3">
        <f t="shared" si="352"/>
        <v>6.8642530610252189E-2</v>
      </c>
      <c r="R345" s="3">
        <f t="shared" si="352"/>
        <v>3.1160899391061838E-2</v>
      </c>
      <c r="S345" s="3">
        <f t="shared" si="352"/>
        <v>1.1581824105821724E-5</v>
      </c>
      <c r="T345" s="3">
        <f t="shared" si="352"/>
        <v>5.8270235509528238E-40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6.9322857874701022E-2</v>
      </c>
      <c r="C346" s="3">
        <f t="shared" si="353"/>
        <v>6.9322857874701008E-2</v>
      </c>
      <c r="D346" s="3">
        <f t="shared" si="353"/>
        <v>6.9322857874700966E-2</v>
      </c>
      <c r="E346" s="3">
        <f t="shared" si="353"/>
        <v>6.932285787470048E-2</v>
      </c>
      <c r="F346" s="3">
        <f t="shared" si="353"/>
        <v>6.932285787469554E-2</v>
      </c>
      <c r="G346" s="3">
        <f t="shared" si="353"/>
        <v>6.9322857874646149E-2</v>
      </c>
      <c r="H346" s="3">
        <f t="shared" si="353"/>
        <v>6.932285787415228E-2</v>
      </c>
      <c r="I346" s="3">
        <f t="shared" si="353"/>
        <v>6.9322857869213592E-2</v>
      </c>
      <c r="J346" s="3">
        <f t="shared" si="353"/>
        <v>6.9322857819826694E-2</v>
      </c>
      <c r="K346" s="3">
        <f t="shared" si="353"/>
        <v>6.9322857325957762E-2</v>
      </c>
      <c r="L346" s="3">
        <f t="shared" si="353"/>
        <v>6.9322852387268555E-2</v>
      </c>
      <c r="M346" s="3">
        <f t="shared" si="353"/>
        <v>6.9322803000395908E-2</v>
      </c>
      <c r="N346" s="3">
        <f t="shared" si="353"/>
        <v>6.9322309133604501E-2</v>
      </c>
      <c r="O346" s="3">
        <f t="shared" si="353"/>
        <v>6.9317370659197575E-2</v>
      </c>
      <c r="P346" s="3">
        <f t="shared" si="353"/>
        <v>6.9268005260740229E-2</v>
      </c>
      <c r="Q346" s="3">
        <f t="shared" si="353"/>
        <v>6.8776280747653323E-2</v>
      </c>
      <c r="R346" s="3">
        <f t="shared" si="353"/>
        <v>6.4046992245926929E-2</v>
      </c>
      <c r="S346" s="3">
        <f t="shared" si="353"/>
        <v>3.1412266083774398E-2</v>
      </c>
      <c r="T346" s="3">
        <f t="shared" si="353"/>
        <v>2.5299069590541012E-5</v>
      </c>
      <c r="U346" s="3">
        <f t="shared" si="353"/>
        <v>2.9050751446750993E-36</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2.2465875921068256E-2</v>
      </c>
      <c r="C347" s="3">
        <f t="shared" si="354"/>
        <v>2.2465875921068256E-2</v>
      </c>
      <c r="D347" s="3">
        <f t="shared" si="354"/>
        <v>2.2465875921068253E-2</v>
      </c>
      <c r="E347" s="3">
        <f t="shared" si="354"/>
        <v>2.2465875921068242E-2</v>
      </c>
      <c r="F347" s="3">
        <f t="shared" si="354"/>
        <v>2.2465875921068097E-2</v>
      </c>
      <c r="G347" s="3">
        <f t="shared" si="354"/>
        <v>2.2465875921066653E-2</v>
      </c>
      <c r="H347" s="3">
        <f t="shared" si="354"/>
        <v>2.2465875921052213E-2</v>
      </c>
      <c r="I347" s="3">
        <f t="shared" si="354"/>
        <v>2.2465875920907836E-2</v>
      </c>
      <c r="J347" s="3">
        <f t="shared" si="354"/>
        <v>2.2465875919464039E-2</v>
      </c>
      <c r="K347" s="3">
        <f t="shared" si="354"/>
        <v>2.2465875905026102E-2</v>
      </c>
      <c r="L347" s="3">
        <f t="shared" si="354"/>
        <v>2.2465875760646712E-2</v>
      </c>
      <c r="M347" s="3">
        <f t="shared" si="354"/>
        <v>2.2465874316852864E-2</v>
      </c>
      <c r="N347" s="3">
        <f t="shared" si="354"/>
        <v>2.2465859878919508E-2</v>
      </c>
      <c r="O347" s="3">
        <f t="shared" si="354"/>
        <v>2.2465715500096232E-2</v>
      </c>
      <c r="P347" s="3">
        <f t="shared" si="354"/>
        <v>2.2464271762894995E-2</v>
      </c>
      <c r="Q347" s="3">
        <f t="shared" si="354"/>
        <v>2.2449839492818566E-2</v>
      </c>
      <c r="R347" s="3">
        <f t="shared" si="354"/>
        <v>2.2306025774571997E-2</v>
      </c>
      <c r="S347" s="3">
        <f t="shared" si="354"/>
        <v>2.0917597086126522E-2</v>
      </c>
      <c r="T347" s="3">
        <f t="shared" si="354"/>
        <v>1.1000381075715887E-2</v>
      </c>
      <c r="U347" s="3">
        <f t="shared" si="354"/>
        <v>1.7797831842574656E-5</v>
      </c>
      <c r="V347" s="3">
        <f t="shared" si="354"/>
        <v>2.1875641021685097E-33</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5.8329528880761261E-2</v>
      </c>
      <c r="C348" s="3">
        <f t="shared" si="355"/>
        <v>5.8329528880761261E-2</v>
      </c>
      <c r="D348" s="3">
        <f t="shared" si="355"/>
        <v>5.8329528880761261E-2</v>
      </c>
      <c r="E348" s="3">
        <f t="shared" si="355"/>
        <v>5.8329528880761247E-2</v>
      </c>
      <c r="F348" s="3">
        <f t="shared" si="355"/>
        <v>5.8329528880761143E-2</v>
      </c>
      <c r="G348" s="3">
        <f t="shared" si="355"/>
        <v>5.8329528880760109E-2</v>
      </c>
      <c r="H348" s="3">
        <f t="shared" si="355"/>
        <v>5.8329528880749743E-2</v>
      </c>
      <c r="I348" s="3">
        <f t="shared" si="355"/>
        <v>5.8329528880646062E-2</v>
      </c>
      <c r="J348" s="3">
        <f t="shared" si="355"/>
        <v>5.8329528879609294E-2</v>
      </c>
      <c r="K348" s="3">
        <f t="shared" si="355"/>
        <v>5.8329528869241573E-2</v>
      </c>
      <c r="L348" s="3">
        <f t="shared" si="355"/>
        <v>5.8329528765564395E-2</v>
      </c>
      <c r="M348" s="3">
        <f t="shared" si="355"/>
        <v>5.8329527728792602E-2</v>
      </c>
      <c r="N348" s="3">
        <f t="shared" si="355"/>
        <v>5.8329517361075674E-2</v>
      </c>
      <c r="O348" s="3">
        <f t="shared" si="355"/>
        <v>5.8329413684007798E-2</v>
      </c>
      <c r="P348" s="3">
        <f t="shared" si="355"/>
        <v>5.8328376923464299E-2</v>
      </c>
      <c r="Q348" s="3">
        <f t="shared" si="355"/>
        <v>5.8318010331494502E-2</v>
      </c>
      <c r="R348" s="3">
        <f t="shared" si="355"/>
        <v>5.8214445691697848E-2</v>
      </c>
      <c r="S348" s="3">
        <f t="shared" si="355"/>
        <v>5.7188860992380221E-2</v>
      </c>
      <c r="T348" s="3">
        <f t="shared" si="355"/>
        <v>4.7876043317205227E-2</v>
      </c>
      <c r="U348" s="3">
        <f t="shared" si="355"/>
        <v>8.0944304177480286E-3</v>
      </c>
      <c r="V348" s="3">
        <f t="shared" si="355"/>
        <v>1.5447803002061805E-10</v>
      </c>
      <c r="W348" s="3">
        <f t="shared" si="355"/>
        <v>9.9008163831087624E-88</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3.4551716494444183E-2</v>
      </c>
      <c r="C349" s="3">
        <f t="shared" si="356"/>
        <v>3.4551716494444183E-2</v>
      </c>
      <c r="D349" s="3">
        <f t="shared" si="356"/>
        <v>3.4551716494444183E-2</v>
      </c>
      <c r="E349" s="3">
        <f t="shared" si="356"/>
        <v>3.4551716494444183E-2</v>
      </c>
      <c r="F349" s="3">
        <f t="shared" si="356"/>
        <v>3.4551716494444176E-2</v>
      </c>
      <c r="G349" s="3">
        <f t="shared" si="356"/>
        <v>3.4551716494444114E-2</v>
      </c>
      <c r="H349" s="3">
        <f t="shared" si="356"/>
        <v>3.4551716494443503E-2</v>
      </c>
      <c r="I349" s="3">
        <f t="shared" si="356"/>
        <v>3.4551716494437362E-2</v>
      </c>
      <c r="J349" s="3">
        <f t="shared" si="356"/>
        <v>3.4551716494375946E-2</v>
      </c>
      <c r="K349" s="3">
        <f t="shared" si="356"/>
        <v>3.4551716493761812E-2</v>
      </c>
      <c r="L349" s="3">
        <f t="shared" si="356"/>
        <v>3.4551716487620454E-2</v>
      </c>
      <c r="M349" s="3">
        <f t="shared" si="356"/>
        <v>3.4551716426206885E-2</v>
      </c>
      <c r="N349" s="3">
        <f t="shared" si="356"/>
        <v>3.4551715812071206E-2</v>
      </c>
      <c r="O349" s="3">
        <f t="shared" si="356"/>
        <v>3.4551709670714963E-2</v>
      </c>
      <c r="P349" s="3">
        <f t="shared" si="356"/>
        <v>3.4551648257212665E-2</v>
      </c>
      <c r="Q349" s="3">
        <f t="shared" si="356"/>
        <v>3.4551034128193298E-2</v>
      </c>
      <c r="R349" s="3">
        <f t="shared" si="356"/>
        <v>3.4544893438329567E-2</v>
      </c>
      <c r="S349" s="3">
        <f t="shared" si="356"/>
        <v>3.4483546533223955E-2</v>
      </c>
      <c r="T349" s="3">
        <f t="shared" si="356"/>
        <v>3.3876037567322638E-2</v>
      </c>
      <c r="U349" s="3">
        <f t="shared" si="356"/>
        <v>2.8359554882628344E-2</v>
      </c>
      <c r="V349" s="3">
        <f t="shared" si="356"/>
        <v>4.7947663961037165E-3</v>
      </c>
      <c r="W349" s="3">
        <f t="shared" si="356"/>
        <v>9.1505643887569374E-11</v>
      </c>
      <c r="X349" s="3">
        <f t="shared" si="356"/>
        <v>5.8647859377028728E-88</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3.2785105338059839E-2</v>
      </c>
      <c r="C350" s="3">
        <f t="shared" si="357"/>
        <v>3.2785105338059839E-2</v>
      </c>
      <c r="D350" s="3">
        <f t="shared" si="357"/>
        <v>3.2785105338059839E-2</v>
      </c>
      <c r="E350" s="3">
        <f t="shared" si="357"/>
        <v>3.2785105338059839E-2</v>
      </c>
      <c r="F350" s="3">
        <f t="shared" si="357"/>
        <v>3.2785105338059839E-2</v>
      </c>
      <c r="G350" s="3">
        <f t="shared" si="357"/>
        <v>3.2785105338059832E-2</v>
      </c>
      <c r="H350" s="3">
        <f t="shared" si="357"/>
        <v>3.2785105338059777E-2</v>
      </c>
      <c r="I350" s="3">
        <f t="shared" si="357"/>
        <v>3.2785105338059194E-2</v>
      </c>
      <c r="J350" s="3">
        <f t="shared" si="357"/>
        <v>3.2785105338053365E-2</v>
      </c>
      <c r="K350" s="3">
        <f t="shared" si="357"/>
        <v>3.2785105337995092E-2</v>
      </c>
      <c r="L350" s="3">
        <f t="shared" si="357"/>
        <v>3.2785105337412357E-2</v>
      </c>
      <c r="M350" s="3">
        <f t="shared" si="357"/>
        <v>3.2785105331585004E-2</v>
      </c>
      <c r="N350" s="3">
        <f t="shared" si="357"/>
        <v>3.278510527331148E-2</v>
      </c>
      <c r="O350" s="3">
        <f t="shared" si="357"/>
        <v>3.2785104690576231E-2</v>
      </c>
      <c r="P350" s="3">
        <f t="shared" si="357"/>
        <v>3.2785098863224317E-2</v>
      </c>
      <c r="Q350" s="3">
        <f t="shared" si="357"/>
        <v>3.2785040589762206E-2</v>
      </c>
      <c r="R350" s="3">
        <f t="shared" si="357"/>
        <v>3.2784457860837744E-2</v>
      </c>
      <c r="S350" s="3">
        <f t="shared" si="357"/>
        <v>3.2778631141228518E-2</v>
      </c>
      <c r="T350" s="3">
        <f t="shared" si="357"/>
        <v>3.2720420871230067E-2</v>
      </c>
      <c r="U350" s="3">
        <f t="shared" si="357"/>
        <v>3.2143973520369996E-2</v>
      </c>
      <c r="V350" s="3">
        <f t="shared" si="357"/>
        <v>2.6909545704247834E-2</v>
      </c>
      <c r="W350" s="3">
        <f t="shared" si="357"/>
        <v>4.5496125031277883E-3</v>
      </c>
      <c r="X350" s="3">
        <f t="shared" si="357"/>
        <v>8.6827008272175086E-11</v>
      </c>
      <c r="Y350" s="3">
        <f t="shared" si="357"/>
        <v>5.5649225063443204E-88</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1.3184627495592977E-2</v>
      </c>
      <c r="C351" s="3">
        <f t="shared" si="358"/>
        <v>1.3184627495592977E-2</v>
      </c>
      <c r="D351" s="3">
        <f t="shared" si="358"/>
        <v>1.3184627495592977E-2</v>
      </c>
      <c r="E351" s="3">
        <f t="shared" si="358"/>
        <v>1.3184627495592977E-2</v>
      </c>
      <c r="F351" s="3">
        <f t="shared" si="358"/>
        <v>1.3184627495592977E-2</v>
      </c>
      <c r="G351" s="3">
        <f t="shared" si="358"/>
        <v>1.3184627495592977E-2</v>
      </c>
      <c r="H351" s="3">
        <f t="shared" si="358"/>
        <v>1.3184627495592974E-2</v>
      </c>
      <c r="I351" s="3">
        <f t="shared" si="358"/>
        <v>1.3184627495592951E-2</v>
      </c>
      <c r="J351" s="3">
        <f t="shared" si="358"/>
        <v>1.3184627495592717E-2</v>
      </c>
      <c r="K351" s="3">
        <f t="shared" si="358"/>
        <v>1.3184627495590373E-2</v>
      </c>
      <c r="L351" s="3">
        <f t="shared" si="358"/>
        <v>1.3184627495566937E-2</v>
      </c>
      <c r="M351" s="3">
        <f t="shared" si="358"/>
        <v>1.318462749533259E-2</v>
      </c>
      <c r="N351" s="3">
        <f t="shared" si="358"/>
        <v>1.3184627492989102E-2</v>
      </c>
      <c r="O351" s="3">
        <f t="shared" si="358"/>
        <v>1.3184627469554231E-2</v>
      </c>
      <c r="P351" s="3">
        <f t="shared" si="358"/>
        <v>1.3184627235205521E-2</v>
      </c>
      <c r="Q351" s="3">
        <f t="shared" si="358"/>
        <v>1.3184624891718641E-2</v>
      </c>
      <c r="R351" s="3">
        <f t="shared" si="358"/>
        <v>1.3184601456872757E-2</v>
      </c>
      <c r="S351" s="3">
        <f t="shared" si="358"/>
        <v>1.3184367110704864E-2</v>
      </c>
      <c r="T351" s="3">
        <f t="shared" si="358"/>
        <v>1.31820238781065E-2</v>
      </c>
      <c r="U351" s="3">
        <f t="shared" si="358"/>
        <v>1.3158614445120587E-2</v>
      </c>
      <c r="V351" s="3">
        <f t="shared" si="358"/>
        <v>1.2926794430710311E-2</v>
      </c>
      <c r="W351" s="3">
        <f t="shared" si="358"/>
        <v>1.0821753736269613E-2</v>
      </c>
      <c r="X351" s="3">
        <f t="shared" si="358"/>
        <v>1.829640182165174E-3</v>
      </c>
      <c r="Y351" s="3">
        <f t="shared" si="358"/>
        <v>3.4917739284992777E-11</v>
      </c>
      <c r="Z351" s="3">
        <f t="shared" si="358"/>
        <v>2.2379501158050419E-88</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9.0966723550024858E-3</v>
      </c>
      <c r="C352" s="3">
        <f t="shared" si="359"/>
        <v>9.0966723550024858E-3</v>
      </c>
      <c r="D352" s="3">
        <f t="shared" si="359"/>
        <v>9.0966723550024858E-3</v>
      </c>
      <c r="E352" s="3">
        <f t="shared" si="359"/>
        <v>9.0966723550024858E-3</v>
      </c>
      <c r="F352" s="3">
        <f t="shared" si="359"/>
        <v>9.0966723550024858E-3</v>
      </c>
      <c r="G352" s="3">
        <f t="shared" si="359"/>
        <v>9.0966723550024858E-3</v>
      </c>
      <c r="H352" s="3">
        <f t="shared" si="359"/>
        <v>9.0966723550024858E-3</v>
      </c>
      <c r="I352" s="3">
        <f t="shared" si="359"/>
        <v>9.0966723550024841E-3</v>
      </c>
      <c r="J352" s="3">
        <f t="shared" si="359"/>
        <v>9.0966723550024685E-3</v>
      </c>
      <c r="K352" s="3">
        <f t="shared" si="359"/>
        <v>9.0966723550023054E-3</v>
      </c>
      <c r="L352" s="3">
        <f t="shared" si="359"/>
        <v>9.0966723550006887E-3</v>
      </c>
      <c r="M352" s="3">
        <f t="shared" si="359"/>
        <v>9.0966723549845193E-3</v>
      </c>
      <c r="N352" s="3">
        <f t="shared" si="359"/>
        <v>9.0966723548228327E-3</v>
      </c>
      <c r="O352" s="3">
        <f t="shared" si="359"/>
        <v>9.0966723532059542E-3</v>
      </c>
      <c r="P352" s="3">
        <f t="shared" si="359"/>
        <v>9.0966723370371743E-3</v>
      </c>
      <c r="Q352" s="3">
        <f t="shared" si="359"/>
        <v>9.0966721753493723E-3</v>
      </c>
      <c r="R352" s="3">
        <f t="shared" si="359"/>
        <v>9.0966705584715098E-3</v>
      </c>
      <c r="S352" s="3">
        <f t="shared" si="359"/>
        <v>9.096654389708702E-3</v>
      </c>
      <c r="T352" s="3">
        <f t="shared" si="359"/>
        <v>9.0964927036612433E-3</v>
      </c>
      <c r="U352" s="3">
        <f t="shared" si="359"/>
        <v>9.0948760012397305E-3</v>
      </c>
      <c r="V352" s="3">
        <f t="shared" si="359"/>
        <v>9.0787247719417898E-3</v>
      </c>
      <c r="W352" s="3">
        <f t="shared" si="359"/>
        <v>8.9187816323174733E-3</v>
      </c>
      <c r="X352" s="3">
        <f t="shared" si="359"/>
        <v>7.4664186059312876E-3</v>
      </c>
      <c r="Y352" s="3">
        <f t="shared" si="359"/>
        <v>1.2623517251637837E-3</v>
      </c>
      <c r="Z352" s="3">
        <f t="shared" si="359"/>
        <v>2.4091331648099206E-11</v>
      </c>
      <c r="AA352" s="3">
        <f t="shared" si="359"/>
        <v>1.5440632628508509E-88</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3.0393849329234364E-3</v>
      </c>
      <c r="C353" s="3">
        <f t="shared" si="360"/>
        <v>3.0393849329234364E-3</v>
      </c>
      <c r="D353" s="3">
        <f t="shared" si="360"/>
        <v>3.0393849329234364E-3</v>
      </c>
      <c r="E353" s="3">
        <f t="shared" si="360"/>
        <v>3.0393849329234364E-3</v>
      </c>
      <c r="F353" s="3">
        <f t="shared" si="360"/>
        <v>3.0393849329234364E-3</v>
      </c>
      <c r="G353" s="3">
        <f t="shared" si="360"/>
        <v>3.0393849329234364E-3</v>
      </c>
      <c r="H353" s="3">
        <f t="shared" si="360"/>
        <v>3.0393849329234364E-3</v>
      </c>
      <c r="I353" s="3">
        <f t="shared" si="360"/>
        <v>3.0393849329234364E-3</v>
      </c>
      <c r="J353" s="3">
        <f t="shared" si="360"/>
        <v>3.0393849329234356E-3</v>
      </c>
      <c r="K353" s="3">
        <f t="shared" si="360"/>
        <v>3.0393849329234304E-3</v>
      </c>
      <c r="L353" s="3">
        <f t="shared" si="360"/>
        <v>3.0393849329233766E-3</v>
      </c>
      <c r="M353" s="3">
        <f t="shared" si="360"/>
        <v>3.0393849329228362E-3</v>
      </c>
      <c r="N353" s="3">
        <f t="shared" si="360"/>
        <v>3.0393849329174339E-3</v>
      </c>
      <c r="O353" s="3">
        <f t="shared" si="360"/>
        <v>3.0393849328634107E-3</v>
      </c>
      <c r="P353" s="3">
        <f t="shared" si="360"/>
        <v>3.0393849323231783E-3</v>
      </c>
      <c r="Q353" s="3">
        <f t="shared" si="360"/>
        <v>3.0393849269208574E-3</v>
      </c>
      <c r="R353" s="3">
        <f t="shared" si="360"/>
        <v>3.0393848728976444E-3</v>
      </c>
      <c r="S353" s="3">
        <f t="shared" si="360"/>
        <v>3.0393843326655657E-3</v>
      </c>
      <c r="T353" s="3">
        <f t="shared" si="360"/>
        <v>3.0393789303500653E-3</v>
      </c>
      <c r="U353" s="3">
        <f t="shared" si="360"/>
        <v>3.039324907723183E-3</v>
      </c>
      <c r="V353" s="3">
        <f t="shared" si="360"/>
        <v>3.03878473426313E-3</v>
      </c>
      <c r="W353" s="3">
        <f t="shared" si="360"/>
        <v>3.0333882770686095E-3</v>
      </c>
      <c r="X353" s="3">
        <f t="shared" si="360"/>
        <v>2.9799479914644693E-3</v>
      </c>
      <c r="Y353" s="3">
        <f t="shared" si="360"/>
        <v>2.494683696207564E-3</v>
      </c>
      <c r="Z353" s="3">
        <f t="shared" si="360"/>
        <v>4.2177761974715667E-4</v>
      </c>
      <c r="AA353" s="3">
        <f t="shared" si="360"/>
        <v>8.0494083515085836E-12</v>
      </c>
      <c r="AB353" s="3">
        <f t="shared" si="360"/>
        <v>5.1590322630546075E-89</v>
      </c>
      <c r="AC353" s="3">
        <f t="shared" si="360"/>
        <v>0</v>
      </c>
      <c r="AD353" s="3">
        <f t="shared" si="360"/>
        <v>0</v>
      </c>
      <c r="AE353" s="3">
        <f t="shared" si="360"/>
        <v>0</v>
      </c>
      <c r="AF353" s="3">
        <f t="shared" si="360"/>
        <v>0</v>
      </c>
      <c r="AG353" s="3"/>
      <c r="AH353" s="3"/>
    </row>
    <row r="354" spans="1:34" x14ac:dyDescent="0.25">
      <c r="B354" s="3">
        <f t="shared" ref="B354:AF354" si="361">$C45*EXP(-B$363/$A45/EXP(-$G$126))</f>
        <v>2.6495422897411186E-3</v>
      </c>
      <c r="C354" s="3">
        <f t="shared" si="361"/>
        <v>2.6495422897411186E-3</v>
      </c>
      <c r="D354" s="3">
        <f t="shared" si="361"/>
        <v>2.6495422897411186E-3</v>
      </c>
      <c r="E354" s="3">
        <f t="shared" si="361"/>
        <v>2.6495422897411186E-3</v>
      </c>
      <c r="F354" s="3">
        <f t="shared" si="361"/>
        <v>2.6495422897411186E-3</v>
      </c>
      <c r="G354" s="3">
        <f t="shared" si="361"/>
        <v>2.6495422897411186E-3</v>
      </c>
      <c r="H354" s="3">
        <f t="shared" si="361"/>
        <v>2.6495422897411186E-3</v>
      </c>
      <c r="I354" s="3">
        <f t="shared" si="361"/>
        <v>2.6495422897411186E-3</v>
      </c>
      <c r="J354" s="3">
        <f t="shared" si="361"/>
        <v>2.6495422897411186E-3</v>
      </c>
      <c r="K354" s="3">
        <f t="shared" si="361"/>
        <v>2.6495422897411182E-3</v>
      </c>
      <c r="L354" s="3">
        <f t="shared" si="361"/>
        <v>2.6495422897411134E-3</v>
      </c>
      <c r="M354" s="3">
        <f t="shared" si="361"/>
        <v>2.6495422897410662E-3</v>
      </c>
      <c r="N354" s="3">
        <f t="shared" si="361"/>
        <v>2.6495422897405952E-3</v>
      </c>
      <c r="O354" s="3">
        <f t="shared" si="361"/>
        <v>2.6495422897358858E-3</v>
      </c>
      <c r="P354" s="3">
        <f t="shared" si="361"/>
        <v>2.649542289688792E-3</v>
      </c>
      <c r="Q354" s="3">
        <f t="shared" si="361"/>
        <v>2.6495422892178519E-3</v>
      </c>
      <c r="R354" s="3">
        <f t="shared" si="361"/>
        <v>2.6495422845084523E-3</v>
      </c>
      <c r="S354" s="3">
        <f t="shared" si="361"/>
        <v>2.6495422374144544E-3</v>
      </c>
      <c r="T354" s="3">
        <f t="shared" si="361"/>
        <v>2.6495417664745211E-3</v>
      </c>
      <c r="U354" s="3">
        <f t="shared" si="361"/>
        <v>2.6495370570797927E-3</v>
      </c>
      <c r="V354" s="3">
        <f t="shared" si="361"/>
        <v>2.6494899635928909E-3</v>
      </c>
      <c r="W354" s="3">
        <f t="shared" si="361"/>
        <v>2.6490190747591987E-3</v>
      </c>
      <c r="X354" s="3">
        <f t="shared" si="361"/>
        <v>2.644314786928862E-3</v>
      </c>
      <c r="Y354" s="3">
        <f t="shared" si="361"/>
        <v>2.5977289480802689E-3</v>
      </c>
      <c r="Z354" s="3">
        <f t="shared" si="361"/>
        <v>2.174706428603635E-3</v>
      </c>
      <c r="AA354" s="3">
        <f t="shared" si="361"/>
        <v>3.6767887748642437E-4</v>
      </c>
      <c r="AB354" s="3">
        <f t="shared" si="361"/>
        <v>7.0169617555495663E-12</v>
      </c>
      <c r="AC354" s="3">
        <f t="shared" si="361"/>
        <v>4.4973158901443894E-89</v>
      </c>
      <c r="AD354" s="3">
        <f t="shared" si="361"/>
        <v>0</v>
      </c>
      <c r="AE354" s="3">
        <f t="shared" si="361"/>
        <v>0</v>
      </c>
      <c r="AF354" s="3">
        <f t="shared" si="361"/>
        <v>0</v>
      </c>
      <c r="AG354" s="3"/>
      <c r="AH354" s="3"/>
    </row>
    <row r="355" spans="1:34" x14ac:dyDescent="0.25">
      <c r="B355" s="3">
        <f t="shared" ref="B355:AF355" si="362">$C46*EXP(-B$363/$A46/EXP(-$G$126))</f>
        <v>6.8554497859674352E-4</v>
      </c>
      <c r="C355" s="3">
        <f t="shared" si="362"/>
        <v>6.8554497859674352E-4</v>
      </c>
      <c r="D355" s="3">
        <f t="shared" si="362"/>
        <v>6.8554497859674352E-4</v>
      </c>
      <c r="E355" s="3">
        <f t="shared" si="362"/>
        <v>6.8554497859674352E-4</v>
      </c>
      <c r="F355" s="3">
        <f t="shared" si="362"/>
        <v>6.8554497859674352E-4</v>
      </c>
      <c r="G355" s="3">
        <f t="shared" si="362"/>
        <v>6.8554497859674352E-4</v>
      </c>
      <c r="H355" s="3">
        <f t="shared" si="362"/>
        <v>6.8554497859674352E-4</v>
      </c>
      <c r="I355" s="3">
        <f t="shared" si="362"/>
        <v>6.8554497859674352E-4</v>
      </c>
      <c r="J355" s="3">
        <f t="shared" si="362"/>
        <v>6.8554497859674352E-4</v>
      </c>
      <c r="K355" s="3">
        <f t="shared" si="362"/>
        <v>6.8554497859674352E-4</v>
      </c>
      <c r="L355" s="3">
        <f t="shared" si="362"/>
        <v>6.8554497859674342E-4</v>
      </c>
      <c r="M355" s="3">
        <f t="shared" si="362"/>
        <v>6.8554497859674211E-4</v>
      </c>
      <c r="N355" s="3">
        <f t="shared" si="362"/>
        <v>6.8554497859672997E-4</v>
      </c>
      <c r="O355" s="3">
        <f t="shared" si="362"/>
        <v>6.8554497859660811E-4</v>
      </c>
      <c r="P355" s="3">
        <f t="shared" si="362"/>
        <v>6.8554497859538957E-4</v>
      </c>
      <c r="Q355" s="3">
        <f t="shared" si="362"/>
        <v>6.8554497858320444E-4</v>
      </c>
      <c r="R355" s="3">
        <f t="shared" si="362"/>
        <v>6.8554497846135302E-4</v>
      </c>
      <c r="S355" s="3">
        <f t="shared" si="362"/>
        <v>6.8554497724283869E-4</v>
      </c>
      <c r="T355" s="3">
        <f t="shared" si="362"/>
        <v>6.8554496505769484E-4</v>
      </c>
      <c r="U355" s="3">
        <f t="shared" si="362"/>
        <v>6.8554484320626876E-4</v>
      </c>
      <c r="V355" s="3">
        <f t="shared" si="362"/>
        <v>6.8554362469319923E-4</v>
      </c>
      <c r="W355" s="3">
        <f t="shared" si="362"/>
        <v>6.8553143968162376E-4</v>
      </c>
      <c r="X355" s="3">
        <f t="shared" si="362"/>
        <v>6.8540960147709133E-4</v>
      </c>
      <c r="Y355" s="3">
        <f t="shared" si="362"/>
        <v>6.841924097710189E-4</v>
      </c>
      <c r="Z355" s="3">
        <f t="shared" si="362"/>
        <v>6.7213874751394643E-4</v>
      </c>
      <c r="AA355" s="3">
        <f t="shared" si="362"/>
        <v>5.6268551659801908E-4</v>
      </c>
      <c r="AB355" s="3">
        <f t="shared" si="362"/>
        <v>9.5133566719379973E-5</v>
      </c>
      <c r="AC355" s="3">
        <f t="shared" si="362"/>
        <v>1.815575058057448E-12</v>
      </c>
      <c r="AD355" s="3">
        <f t="shared" si="362"/>
        <v>1.1636395982768309E-89</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1.0364161747734975E-2</v>
      </c>
      <c r="C357" s="3">
        <f t="shared" si="364"/>
        <v>1.0364161747734975E-2</v>
      </c>
      <c r="D357" s="3">
        <f t="shared" si="364"/>
        <v>1.0364161747734975E-2</v>
      </c>
      <c r="E357" s="3">
        <f t="shared" si="364"/>
        <v>1.0364161747734975E-2</v>
      </c>
      <c r="F357" s="3">
        <f t="shared" si="364"/>
        <v>1.0364161747734975E-2</v>
      </c>
      <c r="G357" s="3">
        <f t="shared" si="364"/>
        <v>1.0364161747734975E-2</v>
      </c>
      <c r="H357" s="3">
        <f t="shared" si="364"/>
        <v>1.0364161747734975E-2</v>
      </c>
      <c r="I357" s="3">
        <f t="shared" si="364"/>
        <v>1.0364161747734975E-2</v>
      </c>
      <c r="J357" s="3">
        <f t="shared" si="364"/>
        <v>1.0364161747734975E-2</v>
      </c>
      <c r="K357" s="3">
        <f t="shared" si="364"/>
        <v>1.0364161747734975E-2</v>
      </c>
      <c r="L357" s="3">
        <f t="shared" si="364"/>
        <v>1.0364161747734975E-2</v>
      </c>
      <c r="M357" s="3">
        <f t="shared" si="364"/>
        <v>1.0364161747734975E-2</v>
      </c>
      <c r="N357" s="3">
        <f t="shared" si="364"/>
        <v>1.0364161747734973E-2</v>
      </c>
      <c r="O357" s="3">
        <f t="shared" si="364"/>
        <v>1.0364161747734954E-2</v>
      </c>
      <c r="P357" s="3">
        <f t="shared" si="364"/>
        <v>1.036416174773477E-2</v>
      </c>
      <c r="Q357" s="3">
        <f t="shared" si="364"/>
        <v>1.0364161747732928E-2</v>
      </c>
      <c r="R357" s="3">
        <f t="shared" si="364"/>
        <v>1.0364161747714505E-2</v>
      </c>
      <c r="S357" s="3">
        <f t="shared" si="364"/>
        <v>1.036416174753029E-2</v>
      </c>
      <c r="T357" s="3">
        <f t="shared" si="364"/>
        <v>1.0364161745688123E-2</v>
      </c>
      <c r="U357" s="3">
        <f t="shared" si="364"/>
        <v>1.0364161727266457E-2</v>
      </c>
      <c r="V357" s="3">
        <f t="shared" si="364"/>
        <v>1.0364161543049805E-2</v>
      </c>
      <c r="W357" s="3">
        <f t="shared" si="364"/>
        <v>1.0364159700883457E-2</v>
      </c>
      <c r="X357" s="3">
        <f t="shared" si="364"/>
        <v>1.0364141279237996E-2</v>
      </c>
      <c r="Y357" s="3">
        <f t="shared" si="364"/>
        <v>1.0363957064584239E-2</v>
      </c>
      <c r="Z357" s="3">
        <f t="shared" si="364"/>
        <v>1.0362115098122151E-2</v>
      </c>
      <c r="AA357" s="3">
        <f t="shared" si="364"/>
        <v>1.034371342921115E-2</v>
      </c>
      <c r="AB357" s="3">
        <f t="shared" si="364"/>
        <v>1.016148453222385E-2</v>
      </c>
      <c r="AC357" s="3">
        <f t="shared" si="364"/>
        <v>8.5067557770853227E-3</v>
      </c>
      <c r="AD357" s="3">
        <f t="shared" si="364"/>
        <v>1.4382421342168002E-3</v>
      </c>
      <c r="AE357" s="3">
        <f t="shared" si="364"/>
        <v>2.7448109393751882E-11</v>
      </c>
      <c r="AF357" s="3">
        <f t="shared" si="364"/>
        <v>1.7592060899193801E-88</v>
      </c>
      <c r="AG357" s="3"/>
      <c r="AH357" s="3"/>
    </row>
    <row r="358" spans="1:34" x14ac:dyDescent="0.25">
      <c r="A358" s="79">
        <f>AVERAGE(B358:AF358)</f>
        <v>6.3480849682054044E-2</v>
      </c>
      <c r="B358" s="80">
        <f>IF($A$64&lt;=B324,IF($B$64&gt;=B324,ABS((B326-B325)/B325),0),0)</f>
        <v>3.2502639183627086E-2</v>
      </c>
      <c r="C358" s="80">
        <f t="shared" ref="C358:AF358" si="365">IF($A$64&lt;=C324,IF($B$64&gt;=C324,ABS((C326-C325)/C325),0),0)</f>
        <v>3.8862371955073791E-2</v>
      </c>
      <c r="D358" s="80">
        <f t="shared" si="365"/>
        <v>3.7370241085090773E-2</v>
      </c>
      <c r="E358" s="80">
        <f t="shared" si="365"/>
        <v>3.9110428311011157E-2</v>
      </c>
      <c r="F358" s="80">
        <f t="shared" si="365"/>
        <v>4.0916108620568464E-2</v>
      </c>
      <c r="G358" s="80">
        <f t="shared" si="365"/>
        <v>4.5655781602724786E-2</v>
      </c>
      <c r="H358" s="80">
        <f t="shared" si="365"/>
        <v>4.6227048189697383E-2</v>
      </c>
      <c r="I358" s="80">
        <f t="shared" si="365"/>
        <v>4.2727692755747358E-2</v>
      </c>
      <c r="J358" s="80">
        <f t="shared" si="365"/>
        <v>4.1263874953467575E-2</v>
      </c>
      <c r="K358" s="80">
        <f t="shared" si="365"/>
        <v>4.2804569247330733E-2</v>
      </c>
      <c r="L358" s="80">
        <f t="shared" si="365"/>
        <v>4.2767686678017482E-2</v>
      </c>
      <c r="M358" s="80">
        <f t="shared" si="365"/>
        <v>4.4410285916971846E-2</v>
      </c>
      <c r="N358" s="80">
        <f t="shared" si="365"/>
        <v>4.5827238057991555E-2</v>
      </c>
      <c r="O358" s="80">
        <f t="shared" si="365"/>
        <v>4.0649710933268024E-2</v>
      </c>
      <c r="P358" s="80">
        <f t="shared" si="365"/>
        <v>2.4843974743780549E-2</v>
      </c>
      <c r="Q358" s="80">
        <f t="shared" si="365"/>
        <v>0.11587949033222948</v>
      </c>
      <c r="R358" s="80">
        <f t="shared" si="365"/>
        <v>0.13773506894234502</v>
      </c>
      <c r="S358" s="80">
        <f t="shared" si="365"/>
        <v>8.9604522132924774E-2</v>
      </c>
      <c r="T358" s="80">
        <f t="shared" si="365"/>
        <v>1.1843089518118249E-2</v>
      </c>
      <c r="U358" s="80">
        <f t="shared" si="365"/>
        <v>4.4031251676273767E-2</v>
      </c>
      <c r="V358" s="80">
        <f t="shared" si="365"/>
        <v>0.10670409769161419</v>
      </c>
      <c r="W358" s="80">
        <f t="shared" si="365"/>
        <v>8.8581730268878972E-2</v>
      </c>
      <c r="X358" s="80">
        <f t="shared" si="365"/>
        <v>6.0430938898854349E-2</v>
      </c>
      <c r="Y358" s="80">
        <f t="shared" si="365"/>
        <v>2.6803900348673297E-2</v>
      </c>
      <c r="Z358" s="80">
        <f t="shared" si="365"/>
        <v>1.2460113009313609E-2</v>
      </c>
      <c r="AA358" s="80">
        <f t="shared" si="365"/>
        <v>1.0883861640111091E-2</v>
      </c>
      <c r="AB358" s="80">
        <f t="shared" si="365"/>
        <v>1.4642197750599155E-2</v>
      </c>
      <c r="AC358" s="80">
        <f t="shared" si="365"/>
        <v>8.0947303325350165E-3</v>
      </c>
      <c r="AD358" s="80">
        <f t="shared" si="365"/>
        <v>0.18429717743061269</v>
      </c>
      <c r="AE358" s="80">
        <f t="shared" si="365"/>
        <v>0.22843177864187639</v>
      </c>
      <c r="AF358" s="80">
        <f t="shared" si="365"/>
        <v>0.22154273929434665</v>
      </c>
    </row>
    <row r="359" spans="1:34" x14ac:dyDescent="0.25">
      <c r="B359" s="21">
        <f>(B326-B325)^2</f>
        <v>100658.71652696851</v>
      </c>
      <c r="C359" s="21">
        <f t="shared" ref="C359:AF359" si="366">(C326-C325)^2</f>
        <v>135073.02542218257</v>
      </c>
      <c r="D359" s="21">
        <f t="shared" si="366"/>
        <v>118304.89568463365</v>
      </c>
      <c r="E359" s="21">
        <f t="shared" si="366"/>
        <v>122531.19917833839</v>
      </c>
      <c r="F359" s="21">
        <f t="shared" si="366"/>
        <v>125994.86799510704</v>
      </c>
      <c r="G359" s="21">
        <f t="shared" si="366"/>
        <v>145107.11582389355</v>
      </c>
      <c r="H359" s="21">
        <f t="shared" si="366"/>
        <v>136440.18047656951</v>
      </c>
      <c r="I359" s="21">
        <f t="shared" si="366"/>
        <v>107697.79507444413</v>
      </c>
      <c r="J359" s="21">
        <f t="shared" si="366"/>
        <v>93563.353479736747</v>
      </c>
      <c r="K359" s="21">
        <f t="shared" si="366"/>
        <v>93411.610378001336</v>
      </c>
      <c r="L359" s="21">
        <f t="shared" si="366"/>
        <v>86235.14303025727</v>
      </c>
      <c r="M359" s="21">
        <f t="shared" si="366"/>
        <v>85672.39332303949</v>
      </c>
      <c r="N359" s="21">
        <f t="shared" si="366"/>
        <v>83326.563243802171</v>
      </c>
      <c r="O359" s="21">
        <f t="shared" si="366"/>
        <v>58414.181332352411</v>
      </c>
      <c r="P359" s="21">
        <f t="shared" si="366"/>
        <v>19001.344659464317</v>
      </c>
      <c r="Q359" s="21">
        <f t="shared" si="366"/>
        <v>332205.24430387904</v>
      </c>
      <c r="R359" s="21">
        <f t="shared" si="366"/>
        <v>309894.79992442817</v>
      </c>
      <c r="S359" s="21">
        <f t="shared" si="366"/>
        <v>72151.438681397063</v>
      </c>
      <c r="T359" s="21">
        <f t="shared" si="366"/>
        <v>629.74857863437057</v>
      </c>
      <c r="U359" s="21">
        <f t="shared" si="366"/>
        <v>3975.1227407538477</v>
      </c>
      <c r="V359" s="21">
        <f t="shared" si="366"/>
        <v>10665.174347497739</v>
      </c>
      <c r="W359" s="21">
        <f t="shared" si="366"/>
        <v>3581.9139460038696</v>
      </c>
      <c r="X359" s="21">
        <f t="shared" si="366"/>
        <v>1032.2968890438599</v>
      </c>
      <c r="Y359" s="21">
        <f t="shared" si="366"/>
        <v>148.03151675869259</v>
      </c>
      <c r="Z359" s="21">
        <f t="shared" si="366"/>
        <v>27.107862481399696</v>
      </c>
      <c r="AA359" s="21">
        <f t="shared" si="366"/>
        <v>18.195017173959677</v>
      </c>
      <c r="AB359" s="21">
        <f t="shared" si="366"/>
        <v>30.800141574780081</v>
      </c>
      <c r="AC359" s="21">
        <f t="shared" si="366"/>
        <v>8.8540217534313914</v>
      </c>
      <c r="AD359" s="21">
        <f t="shared" si="366"/>
        <v>4117.1415461565866</v>
      </c>
      <c r="AE359" s="21">
        <f t="shared" si="366"/>
        <v>6276.348074748521</v>
      </c>
      <c r="AF359" s="21">
        <f t="shared" si="366"/>
        <v>5799.4677317470432</v>
      </c>
      <c r="AG359" s="3"/>
      <c r="AH359" s="3"/>
    </row>
    <row r="360" spans="1:34" x14ac:dyDescent="0.25">
      <c r="A360" s="71">
        <f>SUM(B360:AF360)</f>
        <v>2261994.0709528239</v>
      </c>
      <c r="B360" s="60">
        <f>IF($A$64&lt;=B324,IF($B$64&gt;=B324,ABS(B359),0),0)</f>
        <v>100658.71652696851</v>
      </c>
      <c r="C360" s="60">
        <f t="shared" ref="C360:AF360" si="367">IF($A$64&lt;=C324,IF($B$64&gt;=C324,ABS(C359),0),0)</f>
        <v>135073.02542218257</v>
      </c>
      <c r="D360" s="60">
        <f t="shared" si="367"/>
        <v>118304.89568463365</v>
      </c>
      <c r="E360" s="60">
        <f t="shared" si="367"/>
        <v>122531.19917833839</v>
      </c>
      <c r="F360" s="60">
        <f t="shared" si="367"/>
        <v>125994.86799510704</v>
      </c>
      <c r="G360" s="60">
        <f t="shared" si="367"/>
        <v>145107.11582389355</v>
      </c>
      <c r="H360" s="60">
        <f t="shared" si="367"/>
        <v>136440.18047656951</v>
      </c>
      <c r="I360" s="60">
        <f t="shared" si="367"/>
        <v>107697.79507444413</v>
      </c>
      <c r="J360" s="60">
        <f t="shared" si="367"/>
        <v>93563.353479736747</v>
      </c>
      <c r="K360" s="60">
        <f t="shared" si="367"/>
        <v>93411.610378001336</v>
      </c>
      <c r="L360" s="60">
        <f t="shared" si="367"/>
        <v>86235.14303025727</v>
      </c>
      <c r="M360" s="60">
        <f t="shared" si="367"/>
        <v>85672.39332303949</v>
      </c>
      <c r="N360" s="60">
        <f t="shared" si="367"/>
        <v>83326.563243802171</v>
      </c>
      <c r="O360" s="60">
        <f t="shared" si="367"/>
        <v>58414.181332352411</v>
      </c>
      <c r="P360" s="60">
        <f t="shared" si="367"/>
        <v>19001.344659464317</v>
      </c>
      <c r="Q360" s="60">
        <f t="shared" si="367"/>
        <v>332205.24430387904</v>
      </c>
      <c r="R360" s="60">
        <f t="shared" si="367"/>
        <v>309894.79992442817</v>
      </c>
      <c r="S360" s="60">
        <f t="shared" si="367"/>
        <v>72151.438681397063</v>
      </c>
      <c r="T360" s="60">
        <f t="shared" si="367"/>
        <v>629.74857863437057</v>
      </c>
      <c r="U360" s="60">
        <f t="shared" si="367"/>
        <v>3975.1227407538477</v>
      </c>
      <c r="V360" s="60">
        <f t="shared" si="367"/>
        <v>10665.174347497739</v>
      </c>
      <c r="W360" s="60">
        <f t="shared" si="367"/>
        <v>3581.9139460038696</v>
      </c>
      <c r="X360" s="60">
        <f t="shared" si="367"/>
        <v>1032.2968890438599</v>
      </c>
      <c r="Y360" s="60">
        <f t="shared" si="367"/>
        <v>148.03151675869259</v>
      </c>
      <c r="Z360" s="60">
        <f t="shared" si="367"/>
        <v>27.107862481399696</v>
      </c>
      <c r="AA360" s="60">
        <f t="shared" si="367"/>
        <v>18.195017173959677</v>
      </c>
      <c r="AB360" s="60">
        <f t="shared" si="367"/>
        <v>30.800141574780081</v>
      </c>
      <c r="AC360" s="60">
        <f t="shared" si="367"/>
        <v>8.8540217534313914</v>
      </c>
      <c r="AD360" s="60">
        <f t="shared" si="367"/>
        <v>4117.1415461565866</v>
      </c>
      <c r="AE360" s="60">
        <f t="shared" si="367"/>
        <v>6276.348074748521</v>
      </c>
      <c r="AF360" s="60">
        <f t="shared" si="367"/>
        <v>5799.4677317470432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9522.7568835931797</v>
      </c>
      <c r="C365" s="27">
        <f t="shared" ref="C365:AF365" si="368">($C$17+SUM(C366:C396))*$B$51</f>
        <v>9273.9389958626816</v>
      </c>
      <c r="D365" s="27">
        <f t="shared" si="368"/>
        <v>9000.6479566594662</v>
      </c>
      <c r="E365" s="27">
        <f t="shared" si="368"/>
        <v>8688.3492497489297</v>
      </c>
      <c r="F365" s="27">
        <f t="shared" si="368"/>
        <v>8320.0502856053317</v>
      </c>
      <c r="G365" s="27">
        <f t="shared" si="368"/>
        <v>7972.0069703711461</v>
      </c>
      <c r="H365" s="27">
        <f t="shared" si="368"/>
        <v>7686.042591206523</v>
      </c>
      <c r="I365" s="27">
        <f t="shared" si="368"/>
        <v>7412.0671726431128</v>
      </c>
      <c r="J365" s="27">
        <f t="shared" si="368"/>
        <v>7124.0972617017978</v>
      </c>
      <c r="K365" s="27">
        <f t="shared" si="368"/>
        <v>6847.7989000293474</v>
      </c>
      <c r="L365" s="27">
        <f t="shared" si="368"/>
        <v>6545.3516237023678</v>
      </c>
      <c r="M365" s="27">
        <f t="shared" si="368"/>
        <v>6119.5838847913828</v>
      </c>
      <c r="N365" s="27">
        <f t="shared" si="368"/>
        <v>5280.9261106336971</v>
      </c>
      <c r="O365" s="27">
        <f t="shared" si="368"/>
        <v>4263.9497721588723</v>
      </c>
      <c r="P365" s="27">
        <f t="shared" si="368"/>
        <v>3382.3347295336548</v>
      </c>
      <c r="Q365" s="27">
        <f t="shared" si="368"/>
        <v>2642.1977474607311</v>
      </c>
      <c r="R365" s="27">
        <f t="shared" si="368"/>
        <v>2084.2860213856461</v>
      </c>
      <c r="S365" s="27">
        <f t="shared" si="368"/>
        <v>1431.3739113481031</v>
      </c>
      <c r="T365" s="27">
        <f t="shared" si="368"/>
        <v>1027.1760149031493</v>
      </c>
      <c r="U365" s="27">
        <f t="shared" si="368"/>
        <v>703.95478209648127</v>
      </c>
      <c r="V365" s="27">
        <f t="shared" si="368"/>
        <v>549.05919041585719</v>
      </c>
      <c r="W365" s="27">
        <f t="shared" si="368"/>
        <v>457.67157325440013</v>
      </c>
      <c r="X365" s="27">
        <f t="shared" si="368"/>
        <v>419.35677555628286</v>
      </c>
      <c r="Y365" s="27">
        <f t="shared" si="368"/>
        <v>393.82314888055095</v>
      </c>
      <c r="Z365" s="27">
        <f t="shared" si="368"/>
        <v>383.38112989176182</v>
      </c>
      <c r="AA365" s="27">
        <f t="shared" si="368"/>
        <v>358.90108349801199</v>
      </c>
      <c r="AB365" s="27">
        <f t="shared" si="368"/>
        <v>276.52852721329538</v>
      </c>
      <c r="AC365" s="27">
        <f t="shared" si="368"/>
        <v>267.59088787824982</v>
      </c>
      <c r="AD365" s="27">
        <f t="shared" si="368"/>
        <v>267.5908878775283</v>
      </c>
      <c r="AE365" s="27">
        <f t="shared" si="368"/>
        <v>267.5908878775283</v>
      </c>
      <c r="AF365" s="27">
        <f t="shared" si="368"/>
        <v>267.5908878775283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1.0853592603590578E-261</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9.1887708710200276E-26</v>
      </c>
      <c r="C369" s="3">
        <f t="shared" si="372"/>
        <v>3.7906214582668491E-236</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2.0708109247465068E-4</v>
      </c>
      <c r="C370" s="3">
        <f t="shared" si="373"/>
        <v>2.1762264114891434E-23</v>
      </c>
      <c r="D370" s="3">
        <f t="shared" si="373"/>
        <v>3.5755295329510968E-213</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1.4063560335571613E-2</v>
      </c>
      <c r="C371" s="3">
        <f t="shared" si="374"/>
        <v>2.7294958272971103E-4</v>
      </c>
      <c r="D371" s="3">
        <f t="shared" si="374"/>
        <v>2.0699219718040868E-21</v>
      </c>
      <c r="E371" s="3">
        <f t="shared" si="374"/>
        <v>1.3021750577206689E-192</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2.2994902453679054E-2</v>
      </c>
      <c r="C372" s="3">
        <f t="shared" si="375"/>
        <v>1.6113644215276727E-2</v>
      </c>
      <c r="D372" s="3">
        <f t="shared" si="375"/>
        <v>4.6006135844205219E-4</v>
      </c>
      <c r="E372" s="3">
        <f t="shared" si="375"/>
        <v>1.6559058059055374E-19</v>
      </c>
      <c r="F372" s="3">
        <f t="shared" si="375"/>
        <v>6.0427460470975524E-174</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2.6221899877412885E-2</v>
      </c>
      <c r="C373" s="3">
        <f t="shared" si="376"/>
        <v>2.5394085665489476E-2</v>
      </c>
      <c r="D373" s="3">
        <f t="shared" si="376"/>
        <v>1.8425396214463645E-2</v>
      </c>
      <c r="E373" s="3">
        <f t="shared" si="376"/>
        <v>7.4517690775046188E-4</v>
      </c>
      <c r="F373" s="3">
        <f t="shared" si="376"/>
        <v>8.7233824533341376E-18</v>
      </c>
      <c r="G373" s="3">
        <f t="shared" si="376"/>
        <v>4.2163840914362192E-157</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3.4146221211351135E-2</v>
      </c>
      <c r="C374" s="3">
        <f t="shared" si="377"/>
        <v>3.4047553078559625E-2</v>
      </c>
      <c r="D374" s="3">
        <f t="shared" si="377"/>
        <v>3.3076417602432372E-2</v>
      </c>
      <c r="E374" s="3">
        <f t="shared" si="377"/>
        <v>2.4765327453583195E-2</v>
      </c>
      <c r="F374" s="3">
        <f t="shared" si="377"/>
        <v>1.3711979571491074E-3</v>
      </c>
      <c r="G374" s="3">
        <f t="shared" si="377"/>
        <v>3.7124531867426533E-16</v>
      </c>
      <c r="H374" s="3">
        <f t="shared" si="377"/>
        <v>7.8572264584489545E-142</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3.3562291976959535E-2</v>
      </c>
      <c r="C375" s="3">
        <f t="shared" si="378"/>
        <v>3.3553531979109569E-2</v>
      </c>
      <c r="D375" s="3">
        <f t="shared" si="378"/>
        <v>3.3466057655403177E-2</v>
      </c>
      <c r="E375" s="3">
        <f t="shared" si="378"/>
        <v>3.2603759376435934E-2</v>
      </c>
      <c r="F375" s="3">
        <f t="shared" si="378"/>
        <v>2.5113018862564271E-2</v>
      </c>
      <c r="G375" s="3">
        <f t="shared" si="378"/>
        <v>1.8459135533084206E-3</v>
      </c>
      <c r="H375" s="3">
        <f t="shared" si="378"/>
        <v>8.4983715695558033E-15</v>
      </c>
      <c r="I375" s="3">
        <f t="shared" si="378"/>
        <v>3.6356267140040498E-128</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2.5958641139217423E-2</v>
      </c>
      <c r="C376" s="3">
        <f t="shared" si="379"/>
        <v>2.5958029870031357E-2</v>
      </c>
      <c r="D376" s="3">
        <f t="shared" si="379"/>
        <v>2.5951917969787613E-2</v>
      </c>
      <c r="E376" s="3">
        <f t="shared" si="379"/>
        <v>2.5890878060112622E-2</v>
      </c>
      <c r="F376" s="3">
        <f t="shared" si="379"/>
        <v>2.5288319759631066E-2</v>
      </c>
      <c r="G376" s="3">
        <f t="shared" si="379"/>
        <v>1.9982596762893757E-2</v>
      </c>
      <c r="H376" s="3">
        <f t="shared" si="379"/>
        <v>1.8965811417956196E-3</v>
      </c>
      <c r="I376" s="3">
        <f t="shared" si="379"/>
        <v>1.1250361065549944E-13</v>
      </c>
      <c r="J376" s="3">
        <f t="shared" si="379"/>
        <v>6.0689951327333011E-116</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2.4505482140931331E-2</v>
      </c>
      <c r="C377" s="3">
        <f t="shared" si="380"/>
        <v>2.4505430085620547E-2</v>
      </c>
      <c r="D377" s="3">
        <f t="shared" si="380"/>
        <v>2.4504909538594449E-2</v>
      </c>
      <c r="E377" s="3">
        <f t="shared" si="380"/>
        <v>2.449970467645813E-2</v>
      </c>
      <c r="F377" s="3">
        <f t="shared" si="380"/>
        <v>2.4447716819792863E-2</v>
      </c>
      <c r="G377" s="3">
        <f t="shared" si="380"/>
        <v>2.3933867234074951E-2</v>
      </c>
      <c r="H377" s="3">
        <f t="shared" si="380"/>
        <v>1.9353458649403698E-2</v>
      </c>
      <c r="I377" s="3">
        <f t="shared" si="380"/>
        <v>2.3132134139216354E-3</v>
      </c>
      <c r="J377" s="3">
        <f t="shared" si="380"/>
        <v>1.3765336533437678E-12</v>
      </c>
      <c r="K377" s="3">
        <f t="shared" si="380"/>
        <v>7.6647527073242023E-105</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2.7040912382978129E-2</v>
      </c>
      <c r="C378" s="3">
        <f t="shared" si="381"/>
        <v>2.7040907201303442E-2</v>
      </c>
      <c r="D378" s="3">
        <f t="shared" si="381"/>
        <v>2.7040855384611213E-2</v>
      </c>
      <c r="E378" s="3">
        <f t="shared" si="381"/>
        <v>2.7040337223149996E-2</v>
      </c>
      <c r="F378" s="3">
        <f t="shared" si="381"/>
        <v>2.7035156154606801E-2</v>
      </c>
      <c r="G378" s="3">
        <f t="shared" si="381"/>
        <v>2.6983400037377165E-2</v>
      </c>
      <c r="H378" s="3">
        <f t="shared" si="381"/>
        <v>2.6471257193577308E-2</v>
      </c>
      <c r="I378" s="3">
        <f t="shared" si="381"/>
        <v>2.1855136557177156E-2</v>
      </c>
      <c r="J378" s="3">
        <f t="shared" si="381"/>
        <v>3.2162003310946428E-3</v>
      </c>
      <c r="K378" s="3">
        <f t="shared" si="381"/>
        <v>1.5319294708427489E-11</v>
      </c>
      <c r="L378" s="3">
        <f t="shared" si="381"/>
        <v>9.2086413518620925E-95</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2.4600371304460033E-2</v>
      </c>
      <c r="C379" s="3">
        <f t="shared" si="382"/>
        <v>2.4600370879217112E-2</v>
      </c>
      <c r="D379" s="3">
        <f t="shared" si="382"/>
        <v>2.4600366626788297E-2</v>
      </c>
      <c r="E379" s="3">
        <f t="shared" si="382"/>
        <v>2.4600324102540577E-2</v>
      </c>
      <c r="F379" s="3">
        <f t="shared" si="382"/>
        <v>2.4599898864106285E-2</v>
      </c>
      <c r="G379" s="3">
        <f t="shared" si="382"/>
        <v>2.4595646884026674E-2</v>
      </c>
      <c r="H379" s="3">
        <f t="shared" si="382"/>
        <v>2.455316748372054E-2</v>
      </c>
      <c r="I379" s="3">
        <f t="shared" si="382"/>
        <v>2.4132387809218288E-2</v>
      </c>
      <c r="J379" s="3">
        <f t="shared" si="382"/>
        <v>2.0301493646761013E-2</v>
      </c>
      <c r="K379" s="3">
        <f t="shared" si="382"/>
        <v>3.604167353623389E-3</v>
      </c>
      <c r="L379" s="3">
        <f t="shared" si="382"/>
        <v>1.1209197426061251E-10</v>
      </c>
      <c r="M379" s="3">
        <f t="shared" si="382"/>
        <v>9.4900875089508749E-86</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2.6294191459241553E-2</v>
      </c>
      <c r="C380" s="3">
        <f t="shared" si="383"/>
        <v>2.6294191418239854E-2</v>
      </c>
      <c r="D380" s="3">
        <f t="shared" si="383"/>
        <v>2.6294191008222872E-2</v>
      </c>
      <c r="E380" s="3">
        <f t="shared" si="383"/>
        <v>2.6294186908053421E-2</v>
      </c>
      <c r="F380" s="3">
        <f t="shared" si="383"/>
        <v>2.6294145906394058E-2</v>
      </c>
      <c r="G380" s="3">
        <f t="shared" si="383"/>
        <v>2.6293735893316888E-2</v>
      </c>
      <c r="H380" s="3">
        <f t="shared" si="383"/>
        <v>2.6289636114169339E-2</v>
      </c>
      <c r="I380" s="3">
        <f t="shared" si="383"/>
        <v>2.6248673464832232E-2</v>
      </c>
      <c r="J380" s="3">
        <f t="shared" si="383"/>
        <v>2.5842540994077616E-2</v>
      </c>
      <c r="K380" s="3">
        <f t="shared" si="383"/>
        <v>2.2111273167087119E-2</v>
      </c>
      <c r="L380" s="3">
        <f t="shared" si="383"/>
        <v>4.6494235498894575E-3</v>
      </c>
      <c r="M380" s="3">
        <f t="shared" si="383"/>
        <v>7.8569270649165393E-10</v>
      </c>
      <c r="N380" s="3">
        <f t="shared" si="383"/>
        <v>1.4920687267288407E-77</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3.2623262584555605E-2</v>
      </c>
      <c r="C381" s="3">
        <f t="shared" si="384"/>
        <v>3.2623262579966623E-2</v>
      </c>
      <c r="D381" s="3">
        <f t="shared" si="384"/>
        <v>3.2623262534076838E-2</v>
      </c>
      <c r="E381" s="3">
        <f t="shared" si="384"/>
        <v>3.2623262075179009E-2</v>
      </c>
      <c r="F381" s="3">
        <f t="shared" si="384"/>
        <v>3.2623257486201054E-2</v>
      </c>
      <c r="G381" s="3">
        <f t="shared" si="384"/>
        <v>3.2623211596456994E-2</v>
      </c>
      <c r="H381" s="3">
        <f t="shared" si="384"/>
        <v>3.2622752702566732E-2</v>
      </c>
      <c r="I381" s="3">
        <f t="shared" si="384"/>
        <v>3.2618164118675373E-2</v>
      </c>
      <c r="J381" s="3">
        <f t="shared" si="384"/>
        <v>3.2572313762423671E-2</v>
      </c>
      <c r="K381" s="3">
        <f t="shared" si="384"/>
        <v>3.2117340067939995E-2</v>
      </c>
      <c r="L381" s="3">
        <f t="shared" si="384"/>
        <v>2.7902889284316945E-2</v>
      </c>
      <c r="M381" s="3">
        <f t="shared" si="384"/>
        <v>6.8351056638403735E-3</v>
      </c>
      <c r="N381" s="3">
        <f t="shared" si="384"/>
        <v>5.3174792171039447E-9</v>
      </c>
      <c r="O381" s="3">
        <f t="shared" si="384"/>
        <v>4.3182868309769291E-70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8.8496332073713629E-2</v>
      </c>
      <c r="C382" s="3">
        <f t="shared" si="385"/>
        <v>8.849633207259068E-2</v>
      </c>
      <c r="D382" s="3">
        <f t="shared" si="385"/>
        <v>8.8496332061361177E-2</v>
      </c>
      <c r="E382" s="3">
        <f t="shared" si="385"/>
        <v>8.8496331949066157E-2</v>
      </c>
      <c r="F382" s="3">
        <f t="shared" si="385"/>
        <v>8.8496330826116021E-2</v>
      </c>
      <c r="G382" s="3">
        <f t="shared" si="385"/>
        <v>8.8496319596615358E-2</v>
      </c>
      <c r="H382" s="3">
        <f t="shared" si="385"/>
        <v>8.8496207301687113E-2</v>
      </c>
      <c r="I382" s="3">
        <f t="shared" si="385"/>
        <v>8.8495084360241755E-2</v>
      </c>
      <c r="J382" s="3">
        <f t="shared" si="385"/>
        <v>8.848385572946274E-2</v>
      </c>
      <c r="K382" s="3">
        <f t="shared" si="385"/>
        <v>8.8371647752342353E-2</v>
      </c>
      <c r="L382" s="3">
        <f t="shared" si="385"/>
        <v>8.7257364396250037E-2</v>
      </c>
      <c r="M382" s="3">
        <f t="shared" si="385"/>
        <v>7.6858777627593827E-2</v>
      </c>
      <c r="N382" s="3">
        <f t="shared" si="385"/>
        <v>2.1607637935767057E-2</v>
      </c>
      <c r="O382" s="3">
        <f t="shared" si="385"/>
        <v>6.6641613532502834E-8</v>
      </c>
      <c r="P382" s="3">
        <f t="shared" si="385"/>
        <v>5.1895248992949257E-63</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9.9309249865303387E-2</v>
      </c>
      <c r="C383" s="3">
        <f t="shared" si="386"/>
        <v>9.9309249865189714E-2</v>
      </c>
      <c r="D383" s="3">
        <f t="shared" si="386"/>
        <v>9.9309249864052943E-2</v>
      </c>
      <c r="E383" s="3">
        <f t="shared" si="386"/>
        <v>9.9309249852685272E-2</v>
      </c>
      <c r="F383" s="3">
        <f t="shared" si="386"/>
        <v>9.9309249739008551E-2</v>
      </c>
      <c r="G383" s="3">
        <f t="shared" si="386"/>
        <v>9.9309248602241454E-2</v>
      </c>
      <c r="H383" s="3">
        <f t="shared" si="386"/>
        <v>9.9309237234571135E-2</v>
      </c>
      <c r="I383" s="3">
        <f t="shared" si="386"/>
        <v>9.9309123557939485E-2</v>
      </c>
      <c r="J383" s="3">
        <f t="shared" si="386"/>
        <v>9.9307986798779654E-2</v>
      </c>
      <c r="K383" s="3">
        <f t="shared" si="386"/>
        <v>9.9296619922823001E-2</v>
      </c>
      <c r="L383" s="3">
        <f t="shared" si="386"/>
        <v>9.9183022697111836E-2</v>
      </c>
      <c r="M383" s="3">
        <f t="shared" si="386"/>
        <v>9.8054173621393917E-2</v>
      </c>
      <c r="N383" s="3">
        <f t="shared" si="386"/>
        <v>8.744873387922393E-2</v>
      </c>
      <c r="O383" s="3">
        <f t="shared" si="386"/>
        <v>2.7837353630132403E-2</v>
      </c>
      <c r="P383" s="3">
        <f t="shared" si="386"/>
        <v>2.974213578760069E-7</v>
      </c>
      <c r="Q383" s="3">
        <f t="shared" si="386"/>
        <v>5.7651977382502102E-57</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7.4938076557470076E-2</v>
      </c>
      <c r="C384" s="3">
        <f t="shared" si="387"/>
        <v>7.4938076557462346E-2</v>
      </c>
      <c r="D384" s="3">
        <f t="shared" si="387"/>
        <v>7.4938076557384964E-2</v>
      </c>
      <c r="E384" s="3">
        <f t="shared" si="387"/>
        <v>7.4938076556611152E-2</v>
      </c>
      <c r="F384" s="3">
        <f t="shared" si="387"/>
        <v>7.493807654887312E-2</v>
      </c>
      <c r="G384" s="3">
        <f t="shared" si="387"/>
        <v>7.4938076471492726E-2</v>
      </c>
      <c r="H384" s="3">
        <f t="shared" si="387"/>
        <v>7.4938075697688802E-2</v>
      </c>
      <c r="I384" s="3">
        <f t="shared" si="387"/>
        <v>7.4938067959649982E-2</v>
      </c>
      <c r="J384" s="3">
        <f t="shared" si="387"/>
        <v>7.4937990579305697E-2</v>
      </c>
      <c r="K384" s="3">
        <f t="shared" si="387"/>
        <v>7.4937216780257582E-2</v>
      </c>
      <c r="L384" s="3">
        <f t="shared" si="387"/>
        <v>7.4929479229220511E-2</v>
      </c>
      <c r="M384" s="3">
        <f t="shared" si="387"/>
        <v>7.485214764646865E-2</v>
      </c>
      <c r="N384" s="3">
        <f t="shared" si="387"/>
        <v>7.4083207844166818E-2</v>
      </c>
      <c r="O384" s="3">
        <f t="shared" si="387"/>
        <v>6.6815145166969556E-2</v>
      </c>
      <c r="P384" s="3">
        <f t="shared" si="387"/>
        <v>2.3791744472170539E-2</v>
      </c>
      <c r="Q384" s="3">
        <f t="shared" si="387"/>
        <v>7.7972236530657865E-7</v>
      </c>
      <c r="R384" s="3">
        <f t="shared" si="387"/>
        <v>1.1144922151003183E-51</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6.9322857874700952E-2</v>
      </c>
      <c r="C385" s="3">
        <f t="shared" si="388"/>
        <v>6.93228578747003E-2</v>
      </c>
      <c r="D385" s="3">
        <f t="shared" si="388"/>
        <v>6.9322857874693847E-2</v>
      </c>
      <c r="E385" s="3">
        <f t="shared" si="388"/>
        <v>6.9322857874629273E-2</v>
      </c>
      <c r="F385" s="3">
        <f t="shared" si="388"/>
        <v>6.932285787398354E-2</v>
      </c>
      <c r="G385" s="3">
        <f t="shared" si="388"/>
        <v>6.9322857867526233E-2</v>
      </c>
      <c r="H385" s="3">
        <f t="shared" si="388"/>
        <v>6.9322857802953164E-2</v>
      </c>
      <c r="I385" s="3">
        <f t="shared" si="388"/>
        <v>6.9322857157222459E-2</v>
      </c>
      <c r="J385" s="3">
        <f t="shared" si="388"/>
        <v>6.9322850699915756E-2</v>
      </c>
      <c r="K385" s="3">
        <f t="shared" si="388"/>
        <v>6.9322786126881822E-2</v>
      </c>
      <c r="L385" s="3">
        <f t="shared" si="388"/>
        <v>6.9322140399850685E-2</v>
      </c>
      <c r="M385" s="3">
        <f t="shared" si="388"/>
        <v>6.9315683460344515E-2</v>
      </c>
      <c r="N385" s="3">
        <f t="shared" si="388"/>
        <v>6.9251147134416033E-2</v>
      </c>
      <c r="O385" s="3">
        <f t="shared" si="388"/>
        <v>6.8609079419554991E-2</v>
      </c>
      <c r="P385" s="3">
        <f t="shared" si="388"/>
        <v>6.2506876133939682E-2</v>
      </c>
      <c r="Q385" s="3">
        <f t="shared" si="388"/>
        <v>2.4625770277792523E-2</v>
      </c>
      <c r="R385" s="3">
        <f t="shared" si="388"/>
        <v>2.2182480693461438E-6</v>
      </c>
      <c r="S385" s="3">
        <f t="shared" si="388"/>
        <v>7.8021266525217005E-47</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2.2465875921068253E-2</v>
      </c>
      <c r="C386" s="3">
        <f t="shared" si="389"/>
        <v>2.2465875921068235E-2</v>
      </c>
      <c r="D386" s="3">
        <f t="shared" si="389"/>
        <v>2.2465875921068048E-2</v>
      </c>
      <c r="E386" s="3">
        <f t="shared" si="389"/>
        <v>2.2465875921066157E-2</v>
      </c>
      <c r="F386" s="3">
        <f t="shared" si="389"/>
        <v>2.2465875921047283E-2</v>
      </c>
      <c r="G386" s="3">
        <f t="shared" si="389"/>
        <v>2.2465875920858504E-2</v>
      </c>
      <c r="H386" s="3">
        <f t="shared" si="389"/>
        <v>2.2465875918970753E-2</v>
      </c>
      <c r="I386" s="3">
        <f t="shared" si="389"/>
        <v>2.2465875900093236E-2</v>
      </c>
      <c r="J386" s="3">
        <f t="shared" si="389"/>
        <v>2.2465875711318039E-2</v>
      </c>
      <c r="K386" s="3">
        <f t="shared" si="389"/>
        <v>2.2465873823566188E-2</v>
      </c>
      <c r="L386" s="3">
        <f t="shared" si="389"/>
        <v>2.2465854946056379E-2</v>
      </c>
      <c r="M386" s="3">
        <f t="shared" si="389"/>
        <v>2.2465666171830705E-2</v>
      </c>
      <c r="N386" s="3">
        <f t="shared" si="389"/>
        <v>2.2463778516813662E-2</v>
      </c>
      <c r="O386" s="3">
        <f t="shared" si="389"/>
        <v>2.2444910687902029E-2</v>
      </c>
      <c r="P386" s="3">
        <f t="shared" si="389"/>
        <v>2.2257101819291102E-2</v>
      </c>
      <c r="Q386" s="3">
        <f t="shared" si="389"/>
        <v>2.0463311822569885E-2</v>
      </c>
      <c r="R386" s="3">
        <f t="shared" si="389"/>
        <v>8.8317957726376708E-3</v>
      </c>
      <c r="S386" s="3">
        <f t="shared" si="389"/>
        <v>1.9805233853532775E-6</v>
      </c>
      <c r="T386" s="3">
        <f t="shared" si="389"/>
        <v>6.3692683095050875E-43</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5.8329528880761261E-2</v>
      </c>
      <c r="C387" s="3">
        <f t="shared" si="390"/>
        <v>5.8329528880761247E-2</v>
      </c>
      <c r="D387" s="3">
        <f t="shared" si="390"/>
        <v>5.8329528880761115E-2</v>
      </c>
      <c r="E387" s="3">
        <f t="shared" si="390"/>
        <v>5.8329528880759755E-2</v>
      </c>
      <c r="F387" s="3">
        <f t="shared" si="390"/>
        <v>5.8329528880746197E-2</v>
      </c>
      <c r="G387" s="3">
        <f t="shared" si="390"/>
        <v>5.8329528880610645E-2</v>
      </c>
      <c r="H387" s="3">
        <f t="shared" si="390"/>
        <v>5.832952887925507E-2</v>
      </c>
      <c r="I387" s="3">
        <f t="shared" si="390"/>
        <v>5.8329528865699337E-2</v>
      </c>
      <c r="J387" s="3">
        <f t="shared" si="390"/>
        <v>5.8329528730142036E-2</v>
      </c>
      <c r="K387" s="3">
        <f t="shared" si="390"/>
        <v>5.8329527374569083E-2</v>
      </c>
      <c r="L387" s="3">
        <f t="shared" si="390"/>
        <v>5.8329513818841258E-2</v>
      </c>
      <c r="M387" s="3">
        <f t="shared" si="390"/>
        <v>5.8329378261736245E-2</v>
      </c>
      <c r="N387" s="3">
        <f t="shared" si="390"/>
        <v>5.8328022708012815E-2</v>
      </c>
      <c r="O387" s="3">
        <f t="shared" si="390"/>
        <v>5.8314468903299638E-2</v>
      </c>
      <c r="P387" s="3">
        <f t="shared" si="390"/>
        <v>5.8179103959394976E-2</v>
      </c>
      <c r="Q387" s="3">
        <f t="shared" si="390"/>
        <v>5.6842616916402064E-2</v>
      </c>
      <c r="R387" s="3">
        <f t="shared" si="390"/>
        <v>4.5055147826713479E-2</v>
      </c>
      <c r="S387" s="3">
        <f t="shared" si="390"/>
        <v>4.4100952665652891E-3</v>
      </c>
      <c r="T387" s="3">
        <f t="shared" si="390"/>
        <v>3.5602745784863735E-13</v>
      </c>
      <c r="U387" s="3">
        <f t="shared" si="390"/>
        <v>4.1863806511908429E-114</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3.4551716494444183E-2</v>
      </c>
      <c r="C388" s="3">
        <f t="shared" si="391"/>
        <v>3.4551716494444183E-2</v>
      </c>
      <c r="D388" s="3">
        <f t="shared" si="391"/>
        <v>3.4551716494444176E-2</v>
      </c>
      <c r="E388" s="3">
        <f t="shared" si="391"/>
        <v>3.4551716494444093E-2</v>
      </c>
      <c r="F388" s="3">
        <f t="shared" si="391"/>
        <v>3.4551716494443288E-2</v>
      </c>
      <c r="G388" s="3">
        <f t="shared" si="391"/>
        <v>3.455171649443526E-2</v>
      </c>
      <c r="H388" s="3">
        <f t="shared" si="391"/>
        <v>3.4551716494354963E-2</v>
      </c>
      <c r="I388" s="3">
        <f t="shared" si="391"/>
        <v>3.4551716493551987E-2</v>
      </c>
      <c r="J388" s="3">
        <f t="shared" si="391"/>
        <v>3.4551716485522195E-2</v>
      </c>
      <c r="K388" s="3">
        <f t="shared" si="391"/>
        <v>3.4551716405224316E-2</v>
      </c>
      <c r="L388" s="3">
        <f t="shared" si="391"/>
        <v>3.4551715602245563E-2</v>
      </c>
      <c r="M388" s="3">
        <f t="shared" si="391"/>
        <v>3.4551707572459046E-2</v>
      </c>
      <c r="N388" s="3">
        <f t="shared" si="391"/>
        <v>3.4551627274696468E-2</v>
      </c>
      <c r="O388" s="3">
        <f t="shared" si="391"/>
        <v>3.4550824307334249E-2</v>
      </c>
      <c r="P388" s="3">
        <f t="shared" si="391"/>
        <v>3.454279565997747E-2</v>
      </c>
      <c r="Q388" s="3">
        <f t="shared" si="391"/>
        <v>3.4462611724759319E-2</v>
      </c>
      <c r="R388" s="3">
        <f t="shared" si="391"/>
        <v>3.3670938582629414E-2</v>
      </c>
      <c r="S388" s="3">
        <f t="shared" si="391"/>
        <v>2.6688586796341018E-2</v>
      </c>
      <c r="T388" s="3">
        <f t="shared" si="391"/>
        <v>2.6123365692760155E-3</v>
      </c>
      <c r="U388" s="3">
        <f t="shared" si="391"/>
        <v>2.1089420785431945E-13</v>
      </c>
      <c r="V388" s="3">
        <f t="shared" si="391"/>
        <v>2.4798183728427336E-114</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3.2785105338059839E-2</v>
      </c>
      <c r="C389" s="3">
        <f t="shared" si="392"/>
        <v>3.2785105338059839E-2</v>
      </c>
      <c r="D389" s="3">
        <f t="shared" si="392"/>
        <v>3.2785105338059839E-2</v>
      </c>
      <c r="E389" s="3">
        <f t="shared" si="392"/>
        <v>3.2785105338059832E-2</v>
      </c>
      <c r="F389" s="3">
        <f t="shared" si="392"/>
        <v>3.2785105338059756E-2</v>
      </c>
      <c r="G389" s="3">
        <f t="shared" si="392"/>
        <v>3.2785105338058992E-2</v>
      </c>
      <c r="H389" s="3">
        <f t="shared" si="392"/>
        <v>3.2785105338051374E-2</v>
      </c>
      <c r="I389" s="3">
        <f t="shared" si="392"/>
        <v>3.2785105337975184E-2</v>
      </c>
      <c r="J389" s="3">
        <f t="shared" si="392"/>
        <v>3.2785105337213259E-2</v>
      </c>
      <c r="K389" s="3">
        <f t="shared" si="392"/>
        <v>3.2785105329594028E-2</v>
      </c>
      <c r="L389" s="3">
        <f t="shared" si="392"/>
        <v>3.2785105253401739E-2</v>
      </c>
      <c r="M389" s="3">
        <f t="shared" si="392"/>
        <v>3.2785104491478867E-2</v>
      </c>
      <c r="N389" s="3">
        <f t="shared" si="392"/>
        <v>3.2785096872251125E-2</v>
      </c>
      <c r="O389" s="3">
        <f t="shared" si="392"/>
        <v>3.2785020680071067E-2</v>
      </c>
      <c r="P389" s="3">
        <f t="shared" si="392"/>
        <v>3.2784258768009257E-2</v>
      </c>
      <c r="Q389" s="3">
        <f t="shared" si="392"/>
        <v>3.2776640621184149E-2</v>
      </c>
      <c r="R389" s="3">
        <f t="shared" si="392"/>
        <v>3.270055644855064E-2</v>
      </c>
      <c r="S389" s="3">
        <f t="shared" si="392"/>
        <v>3.1949361139275191E-2</v>
      </c>
      <c r="T389" s="3">
        <f t="shared" si="392"/>
        <v>2.5324013340485958E-2</v>
      </c>
      <c r="U389" s="3">
        <f t="shared" si="392"/>
        <v>2.4787691695708257E-3</v>
      </c>
      <c r="V389" s="3">
        <f t="shared" si="392"/>
        <v>2.0011129753285429E-13</v>
      </c>
      <c r="W389" s="3">
        <f t="shared" si="392"/>
        <v>2.3530265590706083E-114</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1.3184627495592977E-2</v>
      </c>
      <c r="C390" s="3">
        <f t="shared" si="393"/>
        <v>1.3184627495592977E-2</v>
      </c>
      <c r="D390" s="3">
        <f t="shared" si="393"/>
        <v>1.3184627495592977E-2</v>
      </c>
      <c r="E390" s="3">
        <f t="shared" si="393"/>
        <v>1.3184627495592977E-2</v>
      </c>
      <c r="F390" s="3">
        <f t="shared" si="393"/>
        <v>1.3184627495592974E-2</v>
      </c>
      <c r="G390" s="3">
        <f t="shared" si="393"/>
        <v>1.3184627495592944E-2</v>
      </c>
      <c r="H390" s="3">
        <f t="shared" si="393"/>
        <v>1.3184627495592635E-2</v>
      </c>
      <c r="I390" s="3">
        <f t="shared" si="393"/>
        <v>1.3184627495589572E-2</v>
      </c>
      <c r="J390" s="3">
        <f t="shared" si="393"/>
        <v>1.3184627495558933E-2</v>
      </c>
      <c r="K390" s="3">
        <f t="shared" si="393"/>
        <v>1.3184627495252522E-2</v>
      </c>
      <c r="L390" s="3">
        <f t="shared" si="393"/>
        <v>1.3184627492188426E-2</v>
      </c>
      <c r="M390" s="3">
        <f t="shared" si="393"/>
        <v>1.3184627461547471E-2</v>
      </c>
      <c r="N390" s="3">
        <f t="shared" si="393"/>
        <v>1.3184627155137924E-2</v>
      </c>
      <c r="O390" s="3">
        <f t="shared" si="393"/>
        <v>1.3184624091042856E-2</v>
      </c>
      <c r="P390" s="3">
        <f t="shared" si="393"/>
        <v>1.3184593450131326E-2</v>
      </c>
      <c r="Q390" s="3">
        <f t="shared" si="393"/>
        <v>1.3184287044932508E-2</v>
      </c>
      <c r="R390" s="3">
        <f t="shared" si="393"/>
        <v>1.3181223384558077E-2</v>
      </c>
      <c r="S390" s="3">
        <f t="shared" si="393"/>
        <v>1.3150625908535371E-2</v>
      </c>
      <c r="T390" s="3">
        <f t="shared" si="393"/>
        <v>1.2848530483582265E-2</v>
      </c>
      <c r="U390" s="3">
        <f t="shared" si="393"/>
        <v>1.0184127186565061E-2</v>
      </c>
      <c r="V390" s="3">
        <f t="shared" si="393"/>
        <v>9.9684438440440044E-4</v>
      </c>
      <c r="W390" s="3">
        <f t="shared" si="393"/>
        <v>8.047535270742531E-14</v>
      </c>
      <c r="X390" s="3">
        <f t="shared" si="393"/>
        <v>9.4627662008966428E-115</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9.0966723550024858E-3</v>
      </c>
      <c r="C391" s="3">
        <f t="shared" si="394"/>
        <v>9.0966723550024858E-3</v>
      </c>
      <c r="D391" s="3">
        <f t="shared" si="394"/>
        <v>9.0966723550024858E-3</v>
      </c>
      <c r="E391" s="3">
        <f t="shared" si="394"/>
        <v>9.0966723550024858E-3</v>
      </c>
      <c r="F391" s="3">
        <f t="shared" si="394"/>
        <v>9.0966723550024858E-3</v>
      </c>
      <c r="G391" s="3">
        <f t="shared" si="394"/>
        <v>9.0966723550024841E-3</v>
      </c>
      <c r="H391" s="3">
        <f t="shared" si="394"/>
        <v>9.0966723550024633E-3</v>
      </c>
      <c r="I391" s="3">
        <f t="shared" si="394"/>
        <v>9.0966723550022499E-3</v>
      </c>
      <c r="J391" s="3">
        <f t="shared" si="394"/>
        <v>9.096672355000137E-3</v>
      </c>
      <c r="K391" s="3">
        <f t="shared" si="394"/>
        <v>9.0966723549789959E-3</v>
      </c>
      <c r="L391" s="3">
        <f t="shared" si="394"/>
        <v>9.0966723547675904E-3</v>
      </c>
      <c r="M391" s="3">
        <f t="shared" si="394"/>
        <v>9.0966723526535315E-3</v>
      </c>
      <c r="N391" s="3">
        <f t="shared" si="394"/>
        <v>9.0966723315129474E-3</v>
      </c>
      <c r="O391" s="3">
        <f t="shared" si="394"/>
        <v>9.0966721201071084E-3</v>
      </c>
      <c r="P391" s="3">
        <f t="shared" si="394"/>
        <v>9.0966700060489802E-3</v>
      </c>
      <c r="Q391" s="3">
        <f t="shared" si="394"/>
        <v>9.0966488654947303E-3</v>
      </c>
      <c r="R391" s="3">
        <f t="shared" si="394"/>
        <v>9.0964374626543807E-3</v>
      </c>
      <c r="S391" s="3">
        <f t="shared" si="394"/>
        <v>9.0943237044429689E-3</v>
      </c>
      <c r="T391" s="3">
        <f t="shared" si="394"/>
        <v>9.0732131183182095E-3</v>
      </c>
      <c r="U391" s="3">
        <f t="shared" si="394"/>
        <v>8.8647837863812841E-3</v>
      </c>
      <c r="V391" s="3">
        <f t="shared" si="394"/>
        <v>7.0264911366530111E-3</v>
      </c>
      <c r="W391" s="3">
        <f t="shared" si="394"/>
        <v>6.8776814186688169E-4</v>
      </c>
      <c r="X391" s="3">
        <f t="shared" si="394"/>
        <v>5.552359491972026E-14</v>
      </c>
      <c r="Y391" s="3">
        <f t="shared" si="394"/>
        <v>6.5287914831360174E-115</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3.0393849329234364E-3</v>
      </c>
      <c r="C392" s="3">
        <f t="shared" si="395"/>
        <v>3.0393849329234364E-3</v>
      </c>
      <c r="D392" s="3">
        <f t="shared" si="395"/>
        <v>3.0393849329234364E-3</v>
      </c>
      <c r="E392" s="3">
        <f t="shared" si="395"/>
        <v>3.0393849329234364E-3</v>
      </c>
      <c r="F392" s="3">
        <f t="shared" si="395"/>
        <v>3.0393849329234364E-3</v>
      </c>
      <c r="G392" s="3">
        <f t="shared" si="395"/>
        <v>3.0393849329234364E-3</v>
      </c>
      <c r="H392" s="3">
        <f t="shared" si="395"/>
        <v>3.0393849329234356E-3</v>
      </c>
      <c r="I392" s="3">
        <f t="shared" si="395"/>
        <v>3.0393849329234286E-3</v>
      </c>
      <c r="J392" s="3">
        <f t="shared" si="395"/>
        <v>3.0393849329233579E-3</v>
      </c>
      <c r="K392" s="3">
        <f t="shared" si="395"/>
        <v>3.0393849329226515E-3</v>
      </c>
      <c r="L392" s="3">
        <f t="shared" si="395"/>
        <v>3.0393849329155881E-3</v>
      </c>
      <c r="M392" s="3">
        <f t="shared" si="395"/>
        <v>3.0393849328449532E-3</v>
      </c>
      <c r="N392" s="3">
        <f t="shared" si="395"/>
        <v>3.0393849321386029E-3</v>
      </c>
      <c r="O392" s="3">
        <f t="shared" si="395"/>
        <v>3.0393849250750994E-3</v>
      </c>
      <c r="P392" s="3">
        <f t="shared" si="395"/>
        <v>3.0393848544400695E-3</v>
      </c>
      <c r="Q392" s="3">
        <f t="shared" si="395"/>
        <v>3.0393841480898607E-3</v>
      </c>
      <c r="R392" s="3">
        <f t="shared" si="395"/>
        <v>3.0393770845967994E-3</v>
      </c>
      <c r="S392" s="3">
        <f t="shared" si="395"/>
        <v>3.0393064505690294E-3</v>
      </c>
      <c r="T392" s="3">
        <f t="shared" si="395"/>
        <v>3.0386002005680524E-3</v>
      </c>
      <c r="U392" s="3">
        <f t="shared" si="395"/>
        <v>3.0315467204723896E-3</v>
      </c>
      <c r="V392" s="3">
        <f t="shared" si="395"/>
        <v>2.9619062028912535E-3</v>
      </c>
      <c r="W392" s="3">
        <f t="shared" si="395"/>
        <v>2.3476948996980114E-3</v>
      </c>
      <c r="X392" s="3">
        <f t="shared" si="395"/>
        <v>2.2979745187649749E-4</v>
      </c>
      <c r="Y392" s="3">
        <f t="shared" si="395"/>
        <v>1.8551572622920516E-14</v>
      </c>
      <c r="Z392" s="3">
        <f t="shared" si="395"/>
        <v>2.1814032307242582E-115</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2.6495422897411186E-3</v>
      </c>
      <c r="C393" s="3">
        <f t="shared" si="396"/>
        <v>2.6495422897411186E-3</v>
      </c>
      <c r="D393" s="3">
        <f t="shared" si="396"/>
        <v>2.6495422897411186E-3</v>
      </c>
      <c r="E393" s="3">
        <f t="shared" si="396"/>
        <v>2.6495422897411186E-3</v>
      </c>
      <c r="F393" s="3">
        <f t="shared" si="396"/>
        <v>2.6495422897411186E-3</v>
      </c>
      <c r="G393" s="3">
        <f t="shared" si="396"/>
        <v>2.6495422897411186E-3</v>
      </c>
      <c r="H393" s="3">
        <f t="shared" si="396"/>
        <v>2.6495422897411186E-3</v>
      </c>
      <c r="I393" s="3">
        <f t="shared" si="396"/>
        <v>2.6495422897411182E-3</v>
      </c>
      <c r="J393" s="3">
        <f t="shared" si="396"/>
        <v>2.6495422897411117E-3</v>
      </c>
      <c r="K393" s="3">
        <f t="shared" si="396"/>
        <v>2.6495422897410501E-3</v>
      </c>
      <c r="L393" s="3">
        <f t="shared" si="396"/>
        <v>2.6495422897404343E-3</v>
      </c>
      <c r="M393" s="3">
        <f t="shared" si="396"/>
        <v>2.6495422897342769E-3</v>
      </c>
      <c r="N393" s="3">
        <f t="shared" si="396"/>
        <v>2.649542289672702E-3</v>
      </c>
      <c r="O393" s="3">
        <f t="shared" si="396"/>
        <v>2.6495422890569506E-3</v>
      </c>
      <c r="P393" s="3">
        <f t="shared" si="396"/>
        <v>2.6495422828994382E-3</v>
      </c>
      <c r="Q393" s="3">
        <f t="shared" si="396"/>
        <v>2.649542221324316E-3</v>
      </c>
      <c r="R393" s="3">
        <f t="shared" si="396"/>
        <v>2.649541605573172E-3</v>
      </c>
      <c r="S393" s="3">
        <f t="shared" si="396"/>
        <v>2.6495354480696003E-3</v>
      </c>
      <c r="T393" s="3">
        <f t="shared" si="396"/>
        <v>2.6494738738209282E-3</v>
      </c>
      <c r="U393" s="3">
        <f t="shared" si="396"/>
        <v>2.6488582100317026E-3</v>
      </c>
      <c r="V393" s="3">
        <f t="shared" si="396"/>
        <v>2.6427094351263369E-3</v>
      </c>
      <c r="W393" s="3">
        <f t="shared" si="396"/>
        <v>2.5820012653871376E-3</v>
      </c>
      <c r="X393" s="3">
        <f t="shared" si="396"/>
        <v>2.0465709534778784E-3</v>
      </c>
      <c r="Y393" s="3">
        <f t="shared" si="396"/>
        <v>2.0032278907031981E-4</v>
      </c>
      <c r="Z393" s="3">
        <f t="shared" si="396"/>
        <v>1.617207997354696E-14</v>
      </c>
      <c r="AA393" s="3">
        <f t="shared" si="396"/>
        <v>1.9016084630065574E-115</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6.8554497859674352E-4</v>
      </c>
      <c r="C394" s="3">
        <f t="shared" si="397"/>
        <v>6.8554497859674352E-4</v>
      </c>
      <c r="D394" s="3">
        <f t="shared" si="397"/>
        <v>6.8554497859674352E-4</v>
      </c>
      <c r="E394" s="3">
        <f t="shared" si="397"/>
        <v>6.8554497859674352E-4</v>
      </c>
      <c r="F394" s="3">
        <f t="shared" si="397"/>
        <v>6.8554497859674352E-4</v>
      </c>
      <c r="G394" s="3">
        <f t="shared" si="397"/>
        <v>6.8554497859674352E-4</v>
      </c>
      <c r="H394" s="3">
        <f t="shared" si="397"/>
        <v>6.8554497859674352E-4</v>
      </c>
      <c r="I394" s="3">
        <f t="shared" si="397"/>
        <v>6.8554497859674352E-4</v>
      </c>
      <c r="J394" s="3">
        <f t="shared" si="397"/>
        <v>6.8554497859674342E-4</v>
      </c>
      <c r="K394" s="3">
        <f t="shared" si="397"/>
        <v>6.8554497859674179E-4</v>
      </c>
      <c r="L394" s="3">
        <f t="shared" si="397"/>
        <v>6.8554497859672574E-4</v>
      </c>
      <c r="M394" s="3">
        <f t="shared" si="397"/>
        <v>6.8554497859656647E-4</v>
      </c>
      <c r="N394" s="3">
        <f t="shared" si="397"/>
        <v>6.8554497859497335E-4</v>
      </c>
      <c r="O394" s="3">
        <f t="shared" si="397"/>
        <v>6.8554497857904132E-4</v>
      </c>
      <c r="P394" s="3">
        <f t="shared" si="397"/>
        <v>6.8554497841972128E-4</v>
      </c>
      <c r="Q394" s="3">
        <f t="shared" si="397"/>
        <v>6.8554497682652088E-4</v>
      </c>
      <c r="R394" s="3">
        <f t="shared" si="397"/>
        <v>6.8554496089451788E-4</v>
      </c>
      <c r="S394" s="3">
        <f t="shared" si="397"/>
        <v>6.8554480157450757E-4</v>
      </c>
      <c r="T394" s="3">
        <f t="shared" si="397"/>
        <v>6.8554320837644061E-4</v>
      </c>
      <c r="U394" s="3">
        <f t="shared" si="397"/>
        <v>6.8552727659941201E-4</v>
      </c>
      <c r="V394" s="3">
        <f t="shared" si="397"/>
        <v>6.8536797919138746E-4</v>
      </c>
      <c r="W394" s="3">
        <f t="shared" si="397"/>
        <v>6.8377703958751078E-4</v>
      </c>
      <c r="X394" s="3">
        <f t="shared" si="397"/>
        <v>6.6806935260865026E-4</v>
      </c>
      <c r="Y394" s="3">
        <f t="shared" si="397"/>
        <v>5.2953162737998604E-4</v>
      </c>
      <c r="Z394" s="3">
        <f t="shared" si="397"/>
        <v>5.1831700394965433E-5</v>
      </c>
      <c r="AA394" s="3">
        <f t="shared" si="397"/>
        <v>4.1843786612718432E-15</v>
      </c>
      <c r="AB394" s="3">
        <f t="shared" si="397"/>
        <v>4.9202390092765515E-116</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1.0364161747734975E-2</v>
      </c>
      <c r="C396" s="3">
        <f t="shared" si="399"/>
        <v>1.0364161747734975E-2</v>
      </c>
      <c r="D396" s="3">
        <f t="shared" si="399"/>
        <v>1.0364161747734975E-2</v>
      </c>
      <c r="E396" s="3">
        <f t="shared" si="399"/>
        <v>1.0364161747734975E-2</v>
      </c>
      <c r="F396" s="3">
        <f t="shared" si="399"/>
        <v>1.0364161747734975E-2</v>
      </c>
      <c r="G396" s="3">
        <f t="shared" si="399"/>
        <v>1.0364161747734975E-2</v>
      </c>
      <c r="H396" s="3">
        <f t="shared" si="399"/>
        <v>1.0364161747734975E-2</v>
      </c>
      <c r="I396" s="3">
        <f t="shared" si="399"/>
        <v>1.0364161747734975E-2</v>
      </c>
      <c r="J396" s="3">
        <f t="shared" si="399"/>
        <v>1.0364161747734975E-2</v>
      </c>
      <c r="K396" s="3">
        <f t="shared" si="399"/>
        <v>1.0364161747734975E-2</v>
      </c>
      <c r="L396" s="3">
        <f t="shared" si="399"/>
        <v>1.0364161747734973E-2</v>
      </c>
      <c r="M396" s="3">
        <f t="shared" si="399"/>
        <v>1.0364161747734949E-2</v>
      </c>
      <c r="N396" s="3">
        <f t="shared" si="399"/>
        <v>1.0364161747734706E-2</v>
      </c>
      <c r="O396" s="3">
        <f t="shared" si="399"/>
        <v>1.0364161747732298E-2</v>
      </c>
      <c r="P396" s="3">
        <f t="shared" si="399"/>
        <v>1.0364161747708213E-2</v>
      </c>
      <c r="Q396" s="3">
        <f t="shared" si="399"/>
        <v>1.036416174746735E-2</v>
      </c>
      <c r="R396" s="3">
        <f t="shared" si="399"/>
        <v>1.0364161745058728E-2</v>
      </c>
      <c r="S396" s="3">
        <f t="shared" si="399"/>
        <v>1.0364161720972509E-2</v>
      </c>
      <c r="T396" s="3">
        <f t="shared" si="399"/>
        <v>1.0364161480110332E-2</v>
      </c>
      <c r="U396" s="3">
        <f t="shared" si="399"/>
        <v>1.0364159071488858E-2</v>
      </c>
      <c r="V396" s="3">
        <f t="shared" si="399"/>
        <v>1.0364134985304908E-2</v>
      </c>
      <c r="W396" s="3">
        <f t="shared" si="399"/>
        <v>1.0363894126544053E-2</v>
      </c>
      <c r="X396" s="3">
        <f t="shared" si="399"/>
        <v>1.0361485846774956E-2</v>
      </c>
      <c r="Y396" s="3">
        <f t="shared" si="399"/>
        <v>1.0337433806573003E-2</v>
      </c>
      <c r="Z396" s="3">
        <f t="shared" si="399"/>
        <v>1.0099962869414463E-2</v>
      </c>
      <c r="AA396" s="3">
        <f t="shared" si="399"/>
        <v>8.00553079382379E-3</v>
      </c>
      <c r="AB396" s="3">
        <f t="shared" si="399"/>
        <v>7.8359865993497672E-4</v>
      </c>
      <c r="AC396" s="3">
        <f t="shared" si="399"/>
        <v>6.3260002790717139E-14</v>
      </c>
      <c r="AD396" s="3">
        <f t="shared" si="399"/>
        <v>7.4384839101350385E-115</v>
      </c>
      <c r="AE396" s="3">
        <f t="shared" si="399"/>
        <v>0</v>
      </c>
      <c r="AF396" s="3">
        <f t="shared" si="399"/>
        <v>0</v>
      </c>
      <c r="AG396" s="3"/>
      <c r="AH396" s="3"/>
    </row>
    <row r="397" spans="1:34" x14ac:dyDescent="0.25">
      <c r="A397" s="79">
        <f>AVERAGE(B397:AF397)</f>
        <v>8.9055887352336882E-2</v>
      </c>
      <c r="B397" s="80">
        <f>IF($A$64&lt;=B363,IF($B$64&gt;=B363,ABS((B365-B364)/B364),0),0)</f>
        <v>5.3417803404621933E-2</v>
      </c>
      <c r="C397" s="80">
        <f t="shared" ref="C397:AF397" si="400">IF($A$64&lt;=C363,IF($B$64&gt;=C363,ABS((C365-C364)/C364),0),0)</f>
        <v>6.314289334237716E-2</v>
      </c>
      <c r="D397" s="80">
        <f t="shared" si="400"/>
        <v>6.9921063618923224E-2</v>
      </c>
      <c r="E397" s="80">
        <f t="shared" si="400"/>
        <v>7.7395114502744083E-2</v>
      </c>
      <c r="F397" s="80">
        <f t="shared" si="400"/>
        <v>7.6545864165316585E-2</v>
      </c>
      <c r="G397" s="80">
        <f t="shared" si="400"/>
        <v>6.879503928436681E-2</v>
      </c>
      <c r="H397" s="80">
        <f t="shared" si="400"/>
        <v>6.9521101140240238E-2</v>
      </c>
      <c r="I397" s="80">
        <f t="shared" si="400"/>
        <v>7.0587063812557818E-2</v>
      </c>
      <c r="J397" s="80">
        <f t="shared" si="400"/>
        <v>7.2483039202977398E-2</v>
      </c>
      <c r="K397" s="80">
        <f t="shared" si="400"/>
        <v>7.311301694997599E-2</v>
      </c>
      <c r="L397" s="80">
        <f t="shared" si="400"/>
        <v>8.2145235547671044E-2</v>
      </c>
      <c r="M397" s="80">
        <f t="shared" si="400"/>
        <v>7.4261087176065249E-2</v>
      </c>
      <c r="N397" s="80">
        <f t="shared" si="400"/>
        <v>5.8825820354254223E-4</v>
      </c>
      <c r="O397" s="80">
        <f t="shared" si="400"/>
        <v>0.11323008404832062</v>
      </c>
      <c r="P397" s="80">
        <f t="shared" si="400"/>
        <v>0.19093973054191668</v>
      </c>
      <c r="Q397" s="80">
        <f t="shared" si="400"/>
        <v>0.19567718147982816</v>
      </c>
      <c r="R397" s="80">
        <f t="shared" si="400"/>
        <v>7.17097435516965E-2</v>
      </c>
      <c r="S397" s="80">
        <f t="shared" si="400"/>
        <v>1.6263692511858822E-2</v>
      </c>
      <c r="T397" s="80">
        <f t="shared" si="400"/>
        <v>9.3026484867113013E-2</v>
      </c>
      <c r="U397" s="80">
        <f t="shared" si="400"/>
        <v>5.4357253325425632E-2</v>
      </c>
      <c r="V397" s="80">
        <f t="shared" si="400"/>
        <v>4.6352120290094487E-2</v>
      </c>
      <c r="W397" s="80">
        <f t="shared" si="400"/>
        <v>9.5074172842438197E-4</v>
      </c>
      <c r="X397" s="80">
        <f t="shared" si="400"/>
        <v>7.7219088396010193E-3</v>
      </c>
      <c r="Y397" s="80">
        <f t="shared" si="400"/>
        <v>1.6386842987410495E-3</v>
      </c>
      <c r="Z397" s="80">
        <f t="shared" si="400"/>
        <v>1.058896479134146E-2</v>
      </c>
      <c r="AA397" s="80">
        <f t="shared" si="400"/>
        <v>4.499768416052723E-3</v>
      </c>
      <c r="AB397" s="80">
        <f t="shared" si="400"/>
        <v>0.21118873299662369</v>
      </c>
      <c r="AC397" s="80">
        <f t="shared" si="400"/>
        <v>0.22592748358102069</v>
      </c>
      <c r="AD397" s="80">
        <f t="shared" si="400"/>
        <v>0.22529115245173503</v>
      </c>
      <c r="AE397" s="80">
        <f t="shared" si="400"/>
        <v>0.22103658883629007</v>
      </c>
      <c r="AF397" s="80">
        <f t="shared" si="400"/>
        <v>0.21841561101497833</v>
      </c>
    </row>
    <row r="398" spans="1:34" x14ac:dyDescent="0.25">
      <c r="B398" s="21">
        <f>(B365-B364)^2</f>
        <v>233182.5980690002</v>
      </c>
      <c r="C398" s="21">
        <f t="shared" ref="C398:AF398" si="401">(C365-C364)^2</f>
        <v>303385.02844336024</v>
      </c>
      <c r="D398" s="21">
        <f t="shared" si="401"/>
        <v>345987.27618644806</v>
      </c>
      <c r="E398" s="21">
        <f t="shared" si="401"/>
        <v>389539.61501231213</v>
      </c>
      <c r="F398" s="21">
        <f t="shared" si="401"/>
        <v>349969.57440652896</v>
      </c>
      <c r="G398" s="21">
        <f t="shared" si="401"/>
        <v>263305.98249572288</v>
      </c>
      <c r="H398" s="21">
        <f t="shared" si="401"/>
        <v>249608.94410221814</v>
      </c>
      <c r="I398" s="21">
        <f t="shared" si="401"/>
        <v>238827.83645031691</v>
      </c>
      <c r="J398" s="21">
        <f t="shared" si="401"/>
        <v>231820.37523629234</v>
      </c>
      <c r="K398" s="21">
        <f t="shared" si="401"/>
        <v>217670.95370857778</v>
      </c>
      <c r="L398" s="21">
        <f t="shared" si="401"/>
        <v>246865.05618953408</v>
      </c>
      <c r="M398" s="21">
        <f t="shared" si="401"/>
        <v>178956.18022866684</v>
      </c>
      <c r="N398" s="21">
        <f t="shared" si="401"/>
        <v>9.6620053046252856</v>
      </c>
      <c r="O398" s="21">
        <f t="shared" si="401"/>
        <v>296432.56890331069</v>
      </c>
      <c r="P398" s="21">
        <f t="shared" si="401"/>
        <v>637182.78085655486</v>
      </c>
      <c r="Q398" s="21">
        <f t="shared" si="401"/>
        <v>413190.40209884511</v>
      </c>
      <c r="R398" s="21">
        <f t="shared" si="401"/>
        <v>25924.081997912632</v>
      </c>
      <c r="S398" s="21">
        <f t="shared" si="401"/>
        <v>559.99880882437117</v>
      </c>
      <c r="T398" s="21">
        <f t="shared" si="401"/>
        <v>7642.6081069260308</v>
      </c>
      <c r="U398" s="21">
        <f t="shared" si="401"/>
        <v>1317.1309480875052</v>
      </c>
      <c r="V398" s="21">
        <f t="shared" si="401"/>
        <v>591.59136076186314</v>
      </c>
      <c r="W398" s="21">
        <f t="shared" si="401"/>
        <v>0.18969644189205481</v>
      </c>
      <c r="X398" s="21">
        <f t="shared" si="401"/>
        <v>10.326074829935592</v>
      </c>
      <c r="Y398" s="21">
        <f t="shared" si="401"/>
        <v>0.41511735209891493</v>
      </c>
      <c r="Z398" s="21">
        <f t="shared" si="401"/>
        <v>16.13687263748422</v>
      </c>
      <c r="AA398" s="21">
        <f t="shared" si="401"/>
        <v>2.5848192721871373</v>
      </c>
      <c r="AB398" s="21">
        <f t="shared" si="401"/>
        <v>5481.1938293616568</v>
      </c>
      <c r="AC398" s="21">
        <f t="shared" si="401"/>
        <v>6099.8264004221483</v>
      </c>
      <c r="AD398" s="21">
        <f t="shared" si="401"/>
        <v>6055.5540191718283</v>
      </c>
      <c r="AE398" s="21">
        <f t="shared" si="401"/>
        <v>5765.4984913042381</v>
      </c>
      <c r="AF398" s="21">
        <f t="shared" si="401"/>
        <v>5591.8851122244596</v>
      </c>
      <c r="AG398" s="3"/>
      <c r="AH398" s="3"/>
    </row>
    <row r="399" spans="1:34" x14ac:dyDescent="0.25">
      <c r="A399" s="71">
        <f>SUM(B399:AF399)</f>
        <v>4660993.8560485234</v>
      </c>
      <c r="B399" s="60">
        <f>IF($A$64&lt;=B363,IF($B$64&gt;=B363,ABS(B398),0),0)</f>
        <v>233182.5980690002</v>
      </c>
      <c r="C399" s="60">
        <f t="shared" ref="C399" si="402">IF($A$64&lt;=C363,IF($B$64&gt;=C363,ABS(C398),0),0)</f>
        <v>303385.02844336024</v>
      </c>
      <c r="D399" s="60">
        <f t="shared" ref="D399" si="403">IF($A$64&lt;=D363,IF($B$64&gt;=D363,ABS(D398),0),0)</f>
        <v>345987.27618644806</v>
      </c>
      <c r="E399" s="60">
        <f t="shared" ref="E399" si="404">IF($A$64&lt;=E363,IF($B$64&gt;=E363,ABS(E398),0),0)</f>
        <v>389539.61501231213</v>
      </c>
      <c r="F399" s="60">
        <f t="shared" ref="F399" si="405">IF($A$64&lt;=F363,IF($B$64&gt;=F363,ABS(F398),0),0)</f>
        <v>349969.57440652896</v>
      </c>
      <c r="G399" s="60">
        <f t="shared" ref="G399" si="406">IF($A$64&lt;=G363,IF($B$64&gt;=G363,ABS(G398),0),0)</f>
        <v>263305.98249572288</v>
      </c>
      <c r="H399" s="60">
        <f t="shared" ref="H399" si="407">IF($A$64&lt;=H363,IF($B$64&gt;=H363,ABS(H398),0),0)</f>
        <v>249608.94410221814</v>
      </c>
      <c r="I399" s="60">
        <f t="shared" ref="I399" si="408">IF($A$64&lt;=I363,IF($B$64&gt;=I363,ABS(I398),0),0)</f>
        <v>238827.83645031691</v>
      </c>
      <c r="J399" s="60">
        <f t="shared" ref="J399" si="409">IF($A$64&lt;=J363,IF($B$64&gt;=J363,ABS(J398),0),0)</f>
        <v>231820.37523629234</v>
      </c>
      <c r="K399" s="60">
        <f t="shared" ref="K399" si="410">IF($A$64&lt;=K363,IF($B$64&gt;=K363,ABS(K398),0),0)</f>
        <v>217670.95370857778</v>
      </c>
      <c r="L399" s="60">
        <f t="shared" ref="L399" si="411">IF($A$64&lt;=L363,IF($B$64&gt;=L363,ABS(L398),0),0)</f>
        <v>246865.05618953408</v>
      </c>
      <c r="M399" s="60">
        <f t="shared" ref="M399" si="412">IF($A$64&lt;=M363,IF($B$64&gt;=M363,ABS(M398),0),0)</f>
        <v>178956.18022866684</v>
      </c>
      <c r="N399" s="60">
        <f t="shared" ref="N399" si="413">IF($A$64&lt;=N363,IF($B$64&gt;=N363,ABS(N398),0),0)</f>
        <v>9.6620053046252856</v>
      </c>
      <c r="O399" s="60">
        <f t="shared" ref="O399" si="414">IF($A$64&lt;=O363,IF($B$64&gt;=O363,ABS(O398),0),0)</f>
        <v>296432.56890331069</v>
      </c>
      <c r="P399" s="60">
        <f t="shared" ref="P399" si="415">IF($A$64&lt;=P363,IF($B$64&gt;=P363,ABS(P398),0),0)</f>
        <v>637182.78085655486</v>
      </c>
      <c r="Q399" s="60">
        <f t="shared" ref="Q399" si="416">IF($A$64&lt;=Q363,IF($B$64&gt;=Q363,ABS(Q398),0),0)</f>
        <v>413190.40209884511</v>
      </c>
      <c r="R399" s="60">
        <f t="shared" ref="R399" si="417">IF($A$64&lt;=R363,IF($B$64&gt;=R363,ABS(R398),0),0)</f>
        <v>25924.081997912632</v>
      </c>
      <c r="S399" s="60">
        <f t="shared" ref="S399" si="418">IF($A$64&lt;=S363,IF($B$64&gt;=S363,ABS(S398),0),0)</f>
        <v>559.99880882437117</v>
      </c>
      <c r="T399" s="60">
        <f t="shared" ref="T399" si="419">IF($A$64&lt;=T363,IF($B$64&gt;=T363,ABS(T398),0),0)</f>
        <v>7642.6081069260308</v>
      </c>
      <c r="U399" s="60">
        <f t="shared" ref="U399" si="420">IF($A$64&lt;=U363,IF($B$64&gt;=U363,ABS(U398),0),0)</f>
        <v>1317.1309480875052</v>
      </c>
      <c r="V399" s="60">
        <f t="shared" ref="V399" si="421">IF($A$64&lt;=V363,IF($B$64&gt;=V363,ABS(V398),0),0)</f>
        <v>591.59136076186314</v>
      </c>
      <c r="W399" s="60">
        <f t="shared" ref="W399" si="422">IF($A$64&lt;=W363,IF($B$64&gt;=W363,ABS(W398),0),0)</f>
        <v>0.18969644189205481</v>
      </c>
      <c r="X399" s="60">
        <f t="shared" ref="X399" si="423">IF($A$64&lt;=X363,IF($B$64&gt;=X363,ABS(X398),0),0)</f>
        <v>10.326074829935592</v>
      </c>
      <c r="Y399" s="60">
        <f t="shared" ref="Y399" si="424">IF($A$64&lt;=Y363,IF($B$64&gt;=Y363,ABS(Y398),0),0)</f>
        <v>0.41511735209891493</v>
      </c>
      <c r="Z399" s="60">
        <f t="shared" ref="Z399" si="425">IF($A$64&lt;=Z363,IF($B$64&gt;=Z363,ABS(Z398),0),0)</f>
        <v>16.13687263748422</v>
      </c>
      <c r="AA399" s="60">
        <f t="shared" ref="AA399" si="426">IF($A$64&lt;=AA363,IF($B$64&gt;=AA363,ABS(AA398),0),0)</f>
        <v>2.5848192721871373</v>
      </c>
      <c r="AB399" s="60">
        <f t="shared" ref="AB399" si="427">IF($A$64&lt;=AB363,IF($B$64&gt;=AB363,ABS(AB398),0),0)</f>
        <v>5481.1938293616568</v>
      </c>
      <c r="AC399" s="60">
        <f t="shared" ref="AC399" si="428">IF($A$64&lt;=AC363,IF($B$64&gt;=AC363,ABS(AC398),0),0)</f>
        <v>6099.8264004221483</v>
      </c>
      <c r="AD399" s="60">
        <f t="shared" ref="AD399" si="429">IF($A$64&lt;=AD363,IF($B$64&gt;=AD363,ABS(AD398),0),0)</f>
        <v>6055.5540191718283</v>
      </c>
      <c r="AE399" s="60">
        <f t="shared" ref="AE399" si="430">IF($A$64&lt;=AE363,IF($B$64&gt;=AE363,ABS(AE398),0),0)</f>
        <v>5765.4984913042381</v>
      </c>
      <c r="AF399" s="60">
        <f t="shared" ref="AF399" si="431">IF($A$64&lt;=AF363,IF($B$64&gt;=AF363,ABS(AF398),0),0)</f>
        <v>5591.8851122244596</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-8.2939414517803574</v>
      </c>
      <c r="C403" s="107">
        <f t="shared" ref="C403:H403" si="432">IF(C125=$B$2,0,C126)</f>
        <v>-4.6253003761591289</v>
      </c>
      <c r="D403" s="107">
        <f t="shared" si="432"/>
        <v>-2.1527595029960929</v>
      </c>
      <c r="E403" s="107">
        <f t="shared" si="432"/>
        <v>0</v>
      </c>
      <c r="F403" s="107">
        <f t="shared" si="432"/>
        <v>2.6169066889985411</v>
      </c>
      <c r="G403" s="107">
        <f t="shared" si="432"/>
        <v>7.588289368654304</v>
      </c>
      <c r="H403" s="107">
        <f t="shared" si="432"/>
        <v>12.461571927651612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2.5002704854355948E-19</v>
      </c>
      <c r="C404" s="3">
        <f t="shared" ref="C404:H419" si="433">$A404/EXP(-C$403)</f>
        <v>9.8007106938039553E-18</v>
      </c>
      <c r="D404" s="3">
        <f t="shared" si="433"/>
        <v>1.1616316248854334E-16</v>
      </c>
      <c r="E404" s="3">
        <f t="shared" si="433"/>
        <v>1.0000000000000001E-15</v>
      </c>
      <c r="F404" s="3">
        <f t="shared" si="433"/>
        <v>1.3693300368128524E-14</v>
      </c>
      <c r="G404" s="3">
        <f t="shared" si="433"/>
        <v>1.9749322415175452E-12</v>
      </c>
      <c r="H404" s="3">
        <f t="shared" si="433"/>
        <v>2.5822121723204074E-10</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2.5002704854355945E-18</v>
      </c>
      <c r="C405" s="3">
        <f t="shared" si="433"/>
        <v>9.8007106938039544E-17</v>
      </c>
      <c r="D405" s="3">
        <f t="shared" si="433"/>
        <v>1.1616316248854331E-15</v>
      </c>
      <c r="E405" s="3">
        <f t="shared" si="433"/>
        <v>1E-14</v>
      </c>
      <c r="F405" s="3">
        <f t="shared" si="433"/>
        <v>1.3693300368128522E-13</v>
      </c>
      <c r="G405" s="3">
        <f t="shared" si="433"/>
        <v>1.9749322415175452E-11</v>
      </c>
      <c r="H405" s="3">
        <f t="shared" si="433"/>
        <v>2.5822121723204073E-9</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2.5002704854355948E-17</v>
      </c>
      <c r="C406" s="3">
        <f t="shared" si="433"/>
        <v>9.8007106938039549E-16</v>
      </c>
      <c r="D406" s="3">
        <f t="shared" si="433"/>
        <v>1.1616316248854333E-14</v>
      </c>
      <c r="E406" s="3">
        <f t="shared" si="433"/>
        <v>1E-13</v>
      </c>
      <c r="F406" s="3">
        <f t="shared" si="433"/>
        <v>1.3693300368128522E-12</v>
      </c>
      <c r="G406" s="3">
        <f t="shared" si="433"/>
        <v>1.9749322415175451E-10</v>
      </c>
      <c r="H406" s="3">
        <f t="shared" si="433"/>
        <v>2.5822121723204072E-8</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2.5002704854355947E-16</v>
      </c>
      <c r="C407" s="3">
        <f t="shared" si="433"/>
        <v>9.8007106938039549E-15</v>
      </c>
      <c r="D407" s="3">
        <f t="shared" si="433"/>
        <v>1.1616316248854333E-13</v>
      </c>
      <c r="E407" s="3">
        <f t="shared" si="433"/>
        <v>9.9999999999999998E-13</v>
      </c>
      <c r="F407" s="3">
        <f t="shared" si="433"/>
        <v>1.3693300368128523E-11</v>
      </c>
      <c r="G407" s="3">
        <f t="shared" si="433"/>
        <v>1.9749322415175451E-9</v>
      </c>
      <c r="H407" s="3">
        <f t="shared" si="433"/>
        <v>2.5822121723204072E-7</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2.5002704854355946E-15</v>
      </c>
      <c r="C408" s="3">
        <f t="shared" si="433"/>
        <v>9.8007106938039533E-14</v>
      </c>
      <c r="D408" s="3">
        <f t="shared" si="433"/>
        <v>1.1616316248854332E-12</v>
      </c>
      <c r="E408" s="3">
        <f t="shared" si="433"/>
        <v>9.9999999999999994E-12</v>
      </c>
      <c r="F408" s="3">
        <f t="shared" si="433"/>
        <v>1.3693300368128523E-10</v>
      </c>
      <c r="G408" s="3">
        <f t="shared" si="433"/>
        <v>1.9749322415175449E-8</v>
      </c>
      <c r="H408" s="3">
        <f t="shared" si="433"/>
        <v>2.5822121723204073E-6</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2.5002704854355946E-14</v>
      </c>
      <c r="C409" s="3">
        <f t="shared" si="433"/>
        <v>9.8007106938039553E-13</v>
      </c>
      <c r="D409" s="3">
        <f t="shared" si="433"/>
        <v>1.1616316248854333E-11</v>
      </c>
      <c r="E409" s="3">
        <f t="shared" si="433"/>
        <v>1E-10</v>
      </c>
      <c r="F409" s="3">
        <f t="shared" si="433"/>
        <v>1.3693300368128523E-9</v>
      </c>
      <c r="G409" s="3">
        <f t="shared" si="433"/>
        <v>1.9749322415175453E-7</v>
      </c>
      <c r="H409" s="3">
        <f t="shared" si="433"/>
        <v>2.5822121723204075E-5</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2.5002704854355947E-13</v>
      </c>
      <c r="C410" s="3">
        <f t="shared" si="433"/>
        <v>9.8007106938039545E-12</v>
      </c>
      <c r="D410" s="3">
        <f t="shared" si="433"/>
        <v>1.1616316248854333E-10</v>
      </c>
      <c r="E410" s="3">
        <f t="shared" si="433"/>
        <v>1.0000000000000001E-9</v>
      </c>
      <c r="F410" s="3">
        <f t="shared" si="433"/>
        <v>1.3693300368128523E-8</v>
      </c>
      <c r="G410" s="3">
        <f t="shared" si="433"/>
        <v>1.9749322415175451E-6</v>
      </c>
      <c r="H410" s="3">
        <f t="shared" si="433"/>
        <v>2.5822121723204073E-4</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2.5002704854355948E-12</v>
      </c>
      <c r="C411" s="3">
        <f t="shared" si="433"/>
        <v>9.8007106938039542E-11</v>
      </c>
      <c r="D411" s="3">
        <f t="shared" si="433"/>
        <v>1.1616316248854332E-9</v>
      </c>
      <c r="E411" s="3">
        <f t="shared" si="433"/>
        <v>1E-8</v>
      </c>
      <c r="F411" s="3">
        <f t="shared" si="433"/>
        <v>1.3693300368128523E-7</v>
      </c>
      <c r="G411" s="3">
        <f t="shared" si="433"/>
        <v>1.9749322415175453E-5</v>
      </c>
      <c r="H411" s="3">
        <f t="shared" si="433"/>
        <v>2.5822121723204075E-3</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2.5002704854355946E-11</v>
      </c>
      <c r="C412" s="3">
        <f t="shared" si="433"/>
        <v>9.8007106938039531E-10</v>
      </c>
      <c r="D412" s="3">
        <f t="shared" si="433"/>
        <v>1.1616316248854332E-8</v>
      </c>
      <c r="E412" s="3">
        <f t="shared" si="433"/>
        <v>9.9999999999999995E-8</v>
      </c>
      <c r="F412" s="3">
        <f t="shared" si="433"/>
        <v>1.3693300368128523E-6</v>
      </c>
      <c r="G412" s="3">
        <f t="shared" si="433"/>
        <v>1.974932241517545E-4</v>
      </c>
      <c r="H412" s="3">
        <f t="shared" si="433"/>
        <v>2.5822121723204073E-2</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2.5002704854355942E-10</v>
      </c>
      <c r="C413" s="3">
        <f t="shared" si="433"/>
        <v>9.800710693803954E-9</v>
      </c>
      <c r="D413" s="3">
        <f t="shared" si="433"/>
        <v>1.1616316248854332E-7</v>
      </c>
      <c r="E413" s="3">
        <f t="shared" si="433"/>
        <v>9.9999999999999995E-7</v>
      </c>
      <c r="F413" s="3">
        <f t="shared" si="433"/>
        <v>1.3693300368128521E-5</v>
      </c>
      <c r="G413" s="3">
        <f t="shared" si="433"/>
        <v>1.9749322415175451E-3</v>
      </c>
      <c r="H413" s="3">
        <f t="shared" si="433"/>
        <v>0.25822121723204072</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2.5002704854355946E-9</v>
      </c>
      <c r="C414" s="3">
        <f t="shared" si="433"/>
        <v>9.8007106938039556E-8</v>
      </c>
      <c r="D414" s="3">
        <f t="shared" si="433"/>
        <v>1.1616316248854334E-6</v>
      </c>
      <c r="E414" s="3">
        <f t="shared" si="433"/>
        <v>1.0000000000000001E-5</v>
      </c>
      <c r="F414" s="3">
        <f t="shared" si="433"/>
        <v>1.3693300368128523E-4</v>
      </c>
      <c r="G414" s="3">
        <f t="shared" si="433"/>
        <v>1.9749322415175453E-2</v>
      </c>
      <c r="H414" s="3">
        <f t="shared" si="433"/>
        <v>2.5822121723204075</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2.5002704854355948E-8</v>
      </c>
      <c r="C415" s="3">
        <f t="shared" si="433"/>
        <v>9.8007106938039543E-7</v>
      </c>
      <c r="D415" s="3">
        <f t="shared" si="433"/>
        <v>1.1616316248854332E-5</v>
      </c>
      <c r="E415" s="3">
        <f t="shared" si="433"/>
        <v>1E-4</v>
      </c>
      <c r="F415" s="3">
        <f t="shared" si="433"/>
        <v>1.3693300368128522E-3</v>
      </c>
      <c r="G415" s="3">
        <f t="shared" si="433"/>
        <v>0.19749322415175452</v>
      </c>
      <c r="H415" s="3">
        <f t="shared" si="433"/>
        <v>25.822121723204074</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2.5002704854355947E-7</v>
      </c>
      <c r="C416" s="3">
        <f t="shared" si="433"/>
        <v>9.8007106938039551E-6</v>
      </c>
      <c r="D416" s="3">
        <f t="shared" si="433"/>
        <v>1.1616316248854332E-4</v>
      </c>
      <c r="E416" s="3">
        <f t="shared" si="433"/>
        <v>1E-3</v>
      </c>
      <c r="F416" s="3">
        <f t="shared" si="433"/>
        <v>1.3693300368128523E-2</v>
      </c>
      <c r="G416" s="3">
        <f t="shared" si="433"/>
        <v>1.9749322415175452</v>
      </c>
      <c r="H416" s="3">
        <f t="shared" si="433"/>
        <v>258.22121723204071</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2.5002704854355947E-6</v>
      </c>
      <c r="C417" s="3">
        <f t="shared" si="433"/>
        <v>9.8007106938039545E-5</v>
      </c>
      <c r="D417" s="3">
        <f t="shared" si="433"/>
        <v>1.1616316248854333E-3</v>
      </c>
      <c r="E417" s="3">
        <f t="shared" si="433"/>
        <v>0.01</v>
      </c>
      <c r="F417" s="3">
        <f t="shared" si="433"/>
        <v>0.13693300368128522</v>
      </c>
      <c r="G417" s="3">
        <f t="shared" si="433"/>
        <v>19.749322415175453</v>
      </c>
      <c r="H417" s="3">
        <f t="shared" si="433"/>
        <v>2582.2121723204073</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2.5002704854355948E-5</v>
      </c>
      <c r="C418" s="3">
        <f t="shared" si="433"/>
        <v>9.8007106938039542E-4</v>
      </c>
      <c r="D418" s="3">
        <f t="shared" si="433"/>
        <v>1.1616316248854333E-2</v>
      </c>
      <c r="E418" s="3">
        <f t="shared" si="433"/>
        <v>0.1</v>
      </c>
      <c r="F418" s="3">
        <f t="shared" si="433"/>
        <v>1.3693300368128523</v>
      </c>
      <c r="G418" s="3">
        <f t="shared" si="433"/>
        <v>197.49322415175453</v>
      </c>
      <c r="H418" s="3">
        <f t="shared" si="433"/>
        <v>25822.121723204076</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2.5002704854355947E-4</v>
      </c>
      <c r="C419" s="3">
        <f t="shared" si="433"/>
        <v>9.8007106938039542E-3</v>
      </c>
      <c r="D419" s="3">
        <f t="shared" si="433"/>
        <v>0.11616316248854332</v>
      </c>
      <c r="E419" s="3">
        <f t="shared" si="433"/>
        <v>1</v>
      </c>
      <c r="F419" s="3">
        <f t="shared" si="433"/>
        <v>13.693300368128522</v>
      </c>
      <c r="G419" s="3">
        <f t="shared" si="433"/>
        <v>1974.9322415175452</v>
      </c>
      <c r="H419" s="3">
        <f t="shared" si="433"/>
        <v>258221.21723204074</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2.5002704854355947E-3</v>
      </c>
      <c r="C420" s="3">
        <f t="shared" si="434"/>
        <v>9.8007106938039545E-2</v>
      </c>
      <c r="D420" s="3">
        <f t="shared" si="434"/>
        <v>1.1616316248854333</v>
      </c>
      <c r="E420" s="3">
        <f t="shared" si="434"/>
        <v>10</v>
      </c>
      <c r="F420" s="3">
        <f t="shared" si="434"/>
        <v>136.93300368128521</v>
      </c>
      <c r="G420" s="3">
        <f t="shared" si="434"/>
        <v>19749.322415175451</v>
      </c>
      <c r="H420" s="3">
        <f t="shared" si="434"/>
        <v>2582212.1723204073</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2.5002704854355944E-2</v>
      </c>
      <c r="C421" s="3">
        <f t="shared" si="434"/>
        <v>0.98007106938039545</v>
      </c>
      <c r="D421" s="3">
        <f t="shared" si="434"/>
        <v>11.616316248854332</v>
      </c>
      <c r="E421" s="3">
        <f t="shared" si="434"/>
        <v>100</v>
      </c>
      <c r="F421" s="3">
        <f t="shared" si="434"/>
        <v>1369.3300368128523</v>
      </c>
      <c r="G421" s="3">
        <f t="shared" si="434"/>
        <v>197493.22415175452</v>
      </c>
      <c r="H421" s="3">
        <f t="shared" si="434"/>
        <v>25822121.723204073</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0.25002704854355945</v>
      </c>
      <c r="C422" s="3">
        <f t="shared" si="434"/>
        <v>9.8007106938039552</v>
      </c>
      <c r="D422" s="3">
        <f t="shared" si="434"/>
        <v>116.16316248854332</v>
      </c>
      <c r="E422" s="3">
        <f t="shared" si="434"/>
        <v>1000</v>
      </c>
      <c r="F422" s="3">
        <f t="shared" si="434"/>
        <v>13693.300368128523</v>
      </c>
      <c r="G422" s="3">
        <f t="shared" si="434"/>
        <v>1974932.2415175452</v>
      </c>
      <c r="H422" s="3">
        <f t="shared" si="434"/>
        <v>258221217.23204073</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2.5002704854355944</v>
      </c>
      <c r="C423" s="3">
        <f t="shared" si="434"/>
        <v>98.007106938039541</v>
      </c>
      <c r="D423" s="3">
        <f t="shared" si="434"/>
        <v>1161.6316248854332</v>
      </c>
      <c r="E423" s="3">
        <f t="shared" si="434"/>
        <v>10000</v>
      </c>
      <c r="F423" s="3">
        <f t="shared" si="434"/>
        <v>136933.00368128522</v>
      </c>
      <c r="G423" s="3">
        <f t="shared" si="434"/>
        <v>19749322.415175453</v>
      </c>
      <c r="H423" s="3">
        <f t="shared" si="434"/>
        <v>2582212172.3204074</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25.002704854355947</v>
      </c>
      <c r="C424" s="3">
        <f t="shared" si="434"/>
        <v>980.07106938039544</v>
      </c>
      <c r="D424" s="3">
        <f t="shared" si="434"/>
        <v>11616.316248854333</v>
      </c>
      <c r="E424" s="3">
        <f t="shared" si="434"/>
        <v>100000</v>
      </c>
      <c r="F424" s="3">
        <f t="shared" si="434"/>
        <v>1369330.0368128524</v>
      </c>
      <c r="G424" s="3">
        <f t="shared" si="434"/>
        <v>197493224.1517545</v>
      </c>
      <c r="H424" s="3">
        <f t="shared" si="434"/>
        <v>25822121723.204075</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250.02704854355946</v>
      </c>
      <c r="C425" s="3">
        <f t="shared" si="434"/>
        <v>9800.7106938039542</v>
      </c>
      <c r="D425" s="3">
        <f t="shared" si="434"/>
        <v>116163.16248854333</v>
      </c>
      <c r="E425" s="3">
        <f t="shared" si="434"/>
        <v>1000000</v>
      </c>
      <c r="F425" s="3">
        <f t="shared" si="434"/>
        <v>13693300.368128523</v>
      </c>
      <c r="G425" s="3">
        <f t="shared" si="434"/>
        <v>1974932241.5175452</v>
      </c>
      <c r="H425" s="3">
        <f t="shared" si="434"/>
        <v>258221217232.04074</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2500.2704854355948</v>
      </c>
      <c r="C426" s="3">
        <f t="shared" si="434"/>
        <v>98007.106938039549</v>
      </c>
      <c r="D426" s="3">
        <f t="shared" si="434"/>
        <v>1161631.6248854331</v>
      </c>
      <c r="E426" s="3">
        <f t="shared" si="434"/>
        <v>10000000</v>
      </c>
      <c r="F426" s="3">
        <f t="shared" si="434"/>
        <v>136933003.68128523</v>
      </c>
      <c r="G426" s="3">
        <f t="shared" si="434"/>
        <v>19749322415.175449</v>
      </c>
      <c r="H426" s="3">
        <f t="shared" si="434"/>
        <v>2582212172320.4072</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25002.704854355947</v>
      </c>
      <c r="C427" s="3">
        <f t="shared" si="434"/>
        <v>980071.06938039546</v>
      </c>
      <c r="D427" s="3">
        <f t="shared" si="434"/>
        <v>11616316.248854332</v>
      </c>
      <c r="E427" s="3">
        <f t="shared" si="434"/>
        <v>100000000</v>
      </c>
      <c r="F427" s="3">
        <f t="shared" si="434"/>
        <v>1369330036.8128524</v>
      </c>
      <c r="G427" s="3">
        <f t="shared" si="434"/>
        <v>197493224151.75452</v>
      </c>
      <c r="H427" s="3">
        <f t="shared" si="434"/>
        <v>25822121723204.074</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250027.04854355945</v>
      </c>
      <c r="C428" s="3">
        <f t="shared" si="434"/>
        <v>9800710.6938039549</v>
      </c>
      <c r="D428" s="3">
        <f t="shared" si="434"/>
        <v>116163162.48854332</v>
      </c>
      <c r="E428" s="3">
        <f t="shared" si="434"/>
        <v>1000000000</v>
      </c>
      <c r="F428" s="3">
        <f t="shared" si="434"/>
        <v>13693300368.128523</v>
      </c>
      <c r="G428" s="3">
        <f t="shared" si="434"/>
        <v>1974932241517.5452</v>
      </c>
      <c r="H428" s="3">
        <f t="shared" si="434"/>
        <v>258221217232040.72</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2500270.4854355948</v>
      </c>
      <c r="C429" s="3">
        <f t="shared" si="434"/>
        <v>98007106.938039541</v>
      </c>
      <c r="D429" s="3">
        <f t="shared" si="434"/>
        <v>1161631624.8854332</v>
      </c>
      <c r="E429" s="3">
        <f t="shared" si="434"/>
        <v>10000000000</v>
      </c>
      <c r="F429" s="3">
        <f t="shared" si="434"/>
        <v>136933003681.28523</v>
      </c>
      <c r="G429" s="3">
        <f t="shared" si="434"/>
        <v>19749322415175.453</v>
      </c>
      <c r="H429" s="3">
        <f t="shared" si="434"/>
        <v>2582212172320407.5</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25002704.854355946</v>
      </c>
      <c r="C430" s="3">
        <f t="shared" si="434"/>
        <v>980071069.38039541</v>
      </c>
      <c r="D430" s="3">
        <f t="shared" si="434"/>
        <v>11616316248.854332</v>
      </c>
      <c r="E430" s="3">
        <f t="shared" si="434"/>
        <v>100000000000</v>
      </c>
      <c r="F430" s="3">
        <f t="shared" si="434"/>
        <v>1369330036812.8523</v>
      </c>
      <c r="G430" s="3">
        <f t="shared" si="434"/>
        <v>197493224151754.5</v>
      </c>
      <c r="H430" s="3">
        <f t="shared" si="434"/>
        <v>2.5822121723204072E+16</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250027048.54355946</v>
      </c>
      <c r="C431" s="3">
        <f t="shared" si="434"/>
        <v>9800710693.8039551</v>
      </c>
      <c r="D431" s="3">
        <f t="shared" si="434"/>
        <v>116163162488.54332</v>
      </c>
      <c r="E431" s="3">
        <f t="shared" si="434"/>
        <v>1000000000000</v>
      </c>
      <c r="F431" s="3">
        <f t="shared" si="434"/>
        <v>13693300368128.523</v>
      </c>
      <c r="G431" s="3">
        <f t="shared" si="434"/>
        <v>1974932241517545</v>
      </c>
      <c r="H431" s="3">
        <f t="shared" si="434"/>
        <v>2.5822121723204074E+17</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2500270485.4355946</v>
      </c>
      <c r="C432" s="3">
        <f t="shared" si="434"/>
        <v>98007106938.039551</v>
      </c>
      <c r="D432" s="3">
        <f t="shared" si="434"/>
        <v>1161631624885.4333</v>
      </c>
      <c r="E432" s="3">
        <f t="shared" si="434"/>
        <v>10000000000000</v>
      </c>
      <c r="F432" s="3">
        <f t="shared" si="434"/>
        <v>136933003681285.22</v>
      </c>
      <c r="G432" s="3">
        <f t="shared" si="434"/>
        <v>1.9749322415175452E+16</v>
      </c>
      <c r="H432" s="3">
        <f t="shared" si="434"/>
        <v>2.5822121723204076E+18</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25002704854.355946</v>
      </c>
      <c r="C433" s="3">
        <f t="shared" si="434"/>
        <v>980071069380.39539</v>
      </c>
      <c r="D433" s="3">
        <f t="shared" si="434"/>
        <v>11616316248854.332</v>
      </c>
      <c r="E433" s="3">
        <f t="shared" si="434"/>
        <v>100000000000000</v>
      </c>
      <c r="F433" s="3">
        <f t="shared" si="434"/>
        <v>1369330036812852.2</v>
      </c>
      <c r="G433" s="3">
        <f t="shared" si="434"/>
        <v>1.974932241517545E+17</v>
      </c>
      <c r="H433" s="3">
        <f t="shared" si="434"/>
        <v>2.5822121723204071E+19</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250027048543.55945</v>
      </c>
      <c r="C434" s="3">
        <f t="shared" si="434"/>
        <v>9800710693803.9551</v>
      </c>
      <c r="D434" s="3">
        <f t="shared" si="434"/>
        <v>116163162488543.33</v>
      </c>
      <c r="E434" s="3">
        <f t="shared" si="434"/>
        <v>1000000000000000</v>
      </c>
      <c r="F434" s="3">
        <f t="shared" si="434"/>
        <v>1.3693300368128522E+16</v>
      </c>
      <c r="G434" s="3">
        <f t="shared" si="434"/>
        <v>1.9749322415175452E+18</v>
      </c>
      <c r="H434" s="3">
        <f t="shared" si="434"/>
        <v>2.5822121723204072E+20</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-8.2939414517803574</v>
      </c>
      <c r="M1" s="54">
        <v>1</v>
      </c>
      <c r="N1" s="56">
        <f>INDEX($H$217:$P$217,1,Q1)</f>
        <v>8.2347123078193529E-2</v>
      </c>
      <c r="O1" s="11"/>
      <c r="P1" s="55">
        <v>1</v>
      </c>
      <c r="Q1" s="11">
        <v>2</v>
      </c>
    </row>
    <row r="2" spans="1:17" x14ac:dyDescent="0.25">
      <c r="A2" s="11">
        <f>'Mastercurve bestimmen'!M119</f>
        <v>0</v>
      </c>
      <c r="B2" s="11">
        <f>'Mastercurve bestimmen'!N119</f>
        <v>-4.6253003761591289</v>
      </c>
      <c r="M2" s="54">
        <v>2</v>
      </c>
      <c r="N2" s="56">
        <f t="shared" ref="N2:N9" si="0">INDEX($H$217:$P$217,1,Q2)</f>
        <v>-1.276960078135309E-5</v>
      </c>
      <c r="O2" s="11"/>
      <c r="P2" s="55">
        <v>2</v>
      </c>
      <c r="Q2" s="11">
        <f>Q1+1</f>
        <v>3</v>
      </c>
    </row>
    <row r="3" spans="1:17" x14ac:dyDescent="0.25">
      <c r="A3" s="11">
        <f>'Mastercurve bestimmen'!M120</f>
        <v>25</v>
      </c>
      <c r="B3" s="11">
        <f>'Mastercurve bestimmen'!N120</f>
        <v>-2.1527595029960929</v>
      </c>
      <c r="M3" s="54">
        <v>3</v>
      </c>
      <c r="N3" s="56">
        <f t="shared" si="0"/>
        <v>6.5873338909537383E-6</v>
      </c>
      <c r="O3" s="11"/>
      <c r="P3" s="55">
        <v>3</v>
      </c>
      <c r="Q3" s="11">
        <f t="shared" ref="Q3:Q8" si="1">Q2+1</f>
        <v>4</v>
      </c>
    </row>
    <row r="4" spans="1:17" x14ac:dyDescent="0.25">
      <c r="A4" s="11">
        <f>'Mastercurve bestimmen'!M121</f>
        <v>50</v>
      </c>
      <c r="B4" s="11">
        <f>'Mastercurve bestimmen'!N121</f>
        <v>0</v>
      </c>
      <c r="M4" s="54">
        <v>4</v>
      </c>
      <c r="N4" s="56">
        <f t="shared" si="0"/>
        <v>-1.8345497636686333E-8</v>
      </c>
      <c r="O4" s="11"/>
      <c r="P4" s="55">
        <v>4</v>
      </c>
      <c r="Q4" s="11">
        <f t="shared" si="1"/>
        <v>5</v>
      </c>
    </row>
    <row r="5" spans="1:17" x14ac:dyDescent="0.25">
      <c r="A5" s="11">
        <f>'Mastercurve bestimmen'!M122</f>
        <v>80</v>
      </c>
      <c r="B5" s="11">
        <f>'Mastercurve bestimmen'!N122</f>
        <v>2.6169066889985411</v>
      </c>
      <c r="M5" s="54">
        <v>5</v>
      </c>
      <c r="N5" s="56">
        <f t="shared" si="0"/>
        <v>-8.5799376682551262E-10</v>
      </c>
      <c r="O5" s="11"/>
      <c r="P5" s="55">
        <v>5</v>
      </c>
      <c r="Q5" s="11">
        <f t="shared" si="1"/>
        <v>6</v>
      </c>
    </row>
    <row r="6" spans="1:17" x14ac:dyDescent="0.25">
      <c r="A6" s="11">
        <f>'Mastercurve bestimmen'!M123</f>
        <v>125</v>
      </c>
      <c r="B6" s="11">
        <f>'Mastercurve bestimmen'!N123</f>
        <v>7.588289368654304</v>
      </c>
      <c r="M6" s="54">
        <v>6</v>
      </c>
      <c r="N6" s="56">
        <f t="shared" si="0"/>
        <v>6.6591312592772244E-12</v>
      </c>
      <c r="O6" s="11"/>
      <c r="P6" s="55">
        <v>6</v>
      </c>
      <c r="Q6" s="11">
        <f t="shared" si="1"/>
        <v>7</v>
      </c>
    </row>
    <row r="7" spans="1:17" x14ac:dyDescent="0.25">
      <c r="A7" s="11">
        <f>'Mastercurve bestimmen'!M124</f>
        <v>160</v>
      </c>
      <c r="B7" s="11">
        <f>'Mastercurve bestimmen'!N124</f>
        <v>12.461571927651612</v>
      </c>
      <c r="M7" s="54">
        <v>7</v>
      </c>
      <c r="N7" s="56">
        <f t="shared" si="0"/>
        <v>3.7353319810798176E-14</v>
      </c>
      <c r="O7" s="11"/>
      <c r="P7" s="55">
        <v>7</v>
      </c>
      <c r="Q7" s="11">
        <f t="shared" si="1"/>
        <v>8</v>
      </c>
    </row>
    <row r="8" spans="1:17" x14ac:dyDescent="0.25">
      <c r="A8" s="11"/>
      <c r="B8" s="11"/>
      <c r="M8" s="54">
        <v>8</v>
      </c>
      <c r="N8" s="56">
        <f t="shared" si="0"/>
        <v>-3.6422481548848338E-16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-8.2939414517803574</v>
      </c>
      <c r="E15" s="11">
        <f>A15-'Mastercurve bestimmen'!$B$2</f>
        <v>-90</v>
      </c>
      <c r="F15" s="11">
        <f>B15</f>
        <v>-8.2939414517803574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-8.2271585633235365</v>
      </c>
      <c r="E16" s="11">
        <f>A16-'Mastercurve bestimmen'!$B$2</f>
        <v>-89</v>
      </c>
      <c r="F16" s="11">
        <f t="shared" ref="F16:F79" si="4">B16</f>
        <v>-8.2271585633235365</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-8.1602821171240016</v>
      </c>
      <c r="E17" s="11">
        <f>A17-'Mastercurve bestimmen'!$B$2</f>
        <v>-88</v>
      </c>
      <c r="F17" s="11">
        <f t="shared" si="4"/>
        <v>-8.1602821171240016</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-8.0932185554390337</v>
      </c>
      <c r="E18" s="11">
        <f>A18-'Mastercurve bestimmen'!$B$2</f>
        <v>-87</v>
      </c>
      <c r="F18" s="11">
        <f t="shared" si="4"/>
        <v>-8.0932185554390337</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-8.0258743205259204</v>
      </c>
      <c r="E19" s="11">
        <f>A19-'Mastercurve bestimmen'!$B$2</f>
        <v>-86</v>
      </c>
      <c r="F19" s="11">
        <f t="shared" si="4"/>
        <v>-8.0258743205259204</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-7.9581558546419453</v>
      </c>
      <c r="E20" s="11">
        <f>A20-'Mastercurve bestimmen'!$B$2</f>
        <v>-85</v>
      </c>
      <c r="F20" s="11">
        <f t="shared" si="4"/>
        <v>-7.9581558546419453</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-7.8899696000443909</v>
      </c>
      <c r="E21" s="11">
        <f>A21-'Mastercurve bestimmen'!$B$2</f>
        <v>-84</v>
      </c>
      <c r="F21" s="11">
        <f t="shared" si="4"/>
        <v>-7.8899696000443909</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-7.8212219989905432</v>
      </c>
      <c r="E22" s="11">
        <f>A22-'Mastercurve bestimmen'!$B$2</f>
        <v>-83</v>
      </c>
      <c r="F22" s="11">
        <f t="shared" si="4"/>
        <v>-7.8212219989905432</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-7.7518194937376848</v>
      </c>
      <c r="E23" s="11">
        <f>A23-'Mastercurve bestimmen'!$B$2</f>
        <v>-82</v>
      </c>
      <c r="F23" s="11">
        <f t="shared" si="4"/>
        <v>-7.7518194937376848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-7.6816685265431026</v>
      </c>
      <c r="E24" s="11">
        <f>A24-'Mastercurve bestimmen'!$B$2</f>
        <v>-81</v>
      </c>
      <c r="F24" s="11">
        <f t="shared" si="4"/>
        <v>-7.6816685265431026</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-7.6106755396640811</v>
      </c>
      <c r="E25" s="11">
        <f>A25-'Mastercurve bestimmen'!$B$2</f>
        <v>-80</v>
      </c>
      <c r="F25" s="11">
        <f t="shared" si="4"/>
        <v>-7.6106755396640811</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-7.5387469753579017</v>
      </c>
      <c r="E26" s="11">
        <f>A26-'Mastercurve bestimmen'!$B$2</f>
        <v>-79</v>
      </c>
      <c r="F26" s="11">
        <f t="shared" si="4"/>
        <v>-7.5387469753579017</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-7.4657892758818516</v>
      </c>
      <c r="E27" s="11">
        <f>A27-'Mastercurve bestimmen'!$B$2</f>
        <v>-78</v>
      </c>
      <c r="F27" s="11">
        <f t="shared" si="4"/>
        <v>-7.4657892758818516</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-7.3917088834932141</v>
      </c>
      <c r="E28" s="11">
        <f>A28-'Mastercurve bestimmen'!$B$2</f>
        <v>-77</v>
      </c>
      <c r="F28" s="11">
        <f t="shared" si="4"/>
        <v>-7.3917088834932141</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-7.3164122404492726</v>
      </c>
      <c r="E29" s="11">
        <f>A29-'Mastercurve bestimmen'!$B$2</f>
        <v>-76</v>
      </c>
      <c r="F29" s="11">
        <f t="shared" si="4"/>
        <v>-7.3164122404492726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-7.2398057890073133</v>
      </c>
      <c r="E30" s="11">
        <f>A30-'Mastercurve bestimmen'!$B$2</f>
        <v>-75</v>
      </c>
      <c r="F30" s="11">
        <f t="shared" si="4"/>
        <v>-7.2398057890073133</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-7.1617959714246204</v>
      </c>
      <c r="E31" s="11">
        <f>A31-'Mastercurve bestimmen'!$B$2</f>
        <v>-74</v>
      </c>
      <c r="F31" s="11">
        <f t="shared" si="4"/>
        <v>-7.1617959714246204</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-7.0822892299584765</v>
      </c>
      <c r="E32" s="11">
        <f>A32-'Mastercurve bestimmen'!$B$2</f>
        <v>-73</v>
      </c>
      <c r="F32" s="11">
        <f t="shared" si="4"/>
        <v>-7.0822892299584765</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-7.0011920068661677</v>
      </c>
      <c r="E33" s="11">
        <f>A33-'Mastercurve bestimmen'!$B$2</f>
        <v>-72</v>
      </c>
      <c r="F33" s="11">
        <f t="shared" si="4"/>
        <v>-7.0011920068661677</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-6.9184107444049783</v>
      </c>
      <c r="E34" s="11">
        <f>A34-'Mastercurve bestimmen'!$B$2</f>
        <v>-71</v>
      </c>
      <c r="F34" s="11">
        <f t="shared" si="4"/>
        <v>-6.9184107444049783</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-6.8338518848321916</v>
      </c>
      <c r="E35" s="11">
        <f>A35-'Mastercurve bestimmen'!$B$2</f>
        <v>-70</v>
      </c>
      <c r="F35" s="11">
        <f t="shared" si="4"/>
        <v>-6.8338518848321916</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-6.747421870405093</v>
      </c>
      <c r="E36" s="11">
        <f>A36-'Mastercurve bestimmen'!$B$2</f>
        <v>-69</v>
      </c>
      <c r="F36" s="11">
        <f t="shared" si="4"/>
        <v>-6.747421870405093</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-6.6590271433809658</v>
      </c>
      <c r="E37" s="11">
        <f>A37-'Mastercurve bestimmen'!$B$2</f>
        <v>-68</v>
      </c>
      <c r="F37" s="11">
        <f t="shared" si="4"/>
        <v>-6.6590271433809658</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-6.568574146017097</v>
      </c>
      <c r="E38" s="11">
        <f>A38-'Mastercurve bestimmen'!$B$2</f>
        <v>-67</v>
      </c>
      <c r="F38" s="11">
        <f t="shared" si="4"/>
        <v>-6.568574146017097</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-6.4759693205707674</v>
      </c>
      <c r="E39" s="11">
        <f>A39-'Mastercurve bestimmen'!$B$2</f>
        <v>-66</v>
      </c>
      <c r="F39" s="11">
        <f t="shared" si="4"/>
        <v>-6.4759693205707674</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-6.3811191092992638</v>
      </c>
      <c r="E40" s="11">
        <f>A40-'Mastercurve bestimmen'!$B$2</f>
        <v>-65</v>
      </c>
      <c r="F40" s="11">
        <f t="shared" si="4"/>
        <v>-6.3811191092992638</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-6.2839299544598699</v>
      </c>
      <c r="E41" s="11">
        <f>A41-'Mastercurve bestimmen'!$B$2</f>
        <v>-64</v>
      </c>
      <c r="F41" s="11">
        <f t="shared" si="4"/>
        <v>-6.2839299544598699</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-6.1843082983098707</v>
      </c>
      <c r="E42" s="11">
        <f>A42-'Mastercurve bestimmen'!$B$2</f>
        <v>-63</v>
      </c>
      <c r="F42" s="11">
        <f t="shared" si="4"/>
        <v>-6.1843082983098707</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-6.0821605831065479</v>
      </c>
      <c r="E43" s="11">
        <f>A43-'Mastercurve bestimmen'!$B$2</f>
        <v>-62</v>
      </c>
      <c r="F43" s="11">
        <f t="shared" si="4"/>
        <v>-6.0821605831065479</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-5.9773932511071894</v>
      </c>
      <c r="E44" s="11">
        <f>A44-'Mastercurve bestimmen'!$B$2</f>
        <v>-61</v>
      </c>
      <c r="F44" s="11">
        <f t="shared" si="4"/>
        <v>-5.9773932511071894</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-5.8699127445690777</v>
      </c>
      <c r="E45" s="11">
        <f>A45-'Mastercurve bestimmen'!$B$2</f>
        <v>-60</v>
      </c>
      <c r="F45" s="11">
        <f t="shared" si="4"/>
        <v>-5.8699127445690777</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-5.7596255057494989</v>
      </c>
      <c r="E46" s="11">
        <f>A46-'Mastercurve bestimmen'!$B$2</f>
        <v>-59</v>
      </c>
      <c r="F46" s="11">
        <f t="shared" si="4"/>
        <v>-5.7596255057494989</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-5.6464379769057356</v>
      </c>
      <c r="E47" s="11">
        <f>A47-'Mastercurve bestimmen'!$B$2</f>
        <v>-58</v>
      </c>
      <c r="F47" s="11">
        <f t="shared" si="4"/>
        <v>-5.6464379769057356</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-5.5302566002950719</v>
      </c>
      <c r="E48" s="11">
        <f>A48-'Mastercurve bestimmen'!$B$2</f>
        <v>-57</v>
      </c>
      <c r="F48" s="11">
        <f t="shared" si="4"/>
        <v>-5.5302566002950719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-5.4109878181747932</v>
      </c>
      <c r="E49" s="11">
        <f>A49-'Mastercurve bestimmen'!$B$2</f>
        <v>-56</v>
      </c>
      <c r="F49" s="11">
        <f t="shared" si="4"/>
        <v>-5.4109878181747932</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-5.2885380728021838</v>
      </c>
      <c r="E50" s="11">
        <f>A50-'Mastercurve bestimmen'!$B$2</f>
        <v>-55</v>
      </c>
      <c r="F50" s="11">
        <f t="shared" si="4"/>
        <v>-5.2885380728021838</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-5.1628138064345288</v>
      </c>
      <c r="E51" s="11">
        <f>A51-'Mastercurve bestimmen'!$B$2</f>
        <v>-54</v>
      </c>
      <c r="F51" s="11">
        <f t="shared" si="4"/>
        <v>-5.1628138064345288</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-5.0337214613291108</v>
      </c>
      <c r="E52" s="11">
        <f>A52-'Mastercurve bestimmen'!$B$2</f>
        <v>-53</v>
      </c>
      <c r="F52" s="11">
        <f t="shared" si="4"/>
        <v>-5.0337214613291108</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-4.9011674797432159</v>
      </c>
      <c r="E53" s="11">
        <f>A53-'Mastercurve bestimmen'!$B$2</f>
        <v>-52</v>
      </c>
      <c r="F53" s="11">
        <f t="shared" si="4"/>
        <v>-4.9011674797432159</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-4.7650583039341274</v>
      </c>
      <c r="E54" s="11">
        <f>A54-'Mastercurve bestimmen'!$B$2</f>
        <v>-51</v>
      </c>
      <c r="F54" s="11">
        <f t="shared" si="4"/>
        <v>-4.7650583039341274</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-4.6253003761591298</v>
      </c>
      <c r="E55" s="11">
        <f>A55-'Mastercurve bestimmen'!$B$2</f>
        <v>-50</v>
      </c>
      <c r="F55" s="11">
        <f t="shared" si="4"/>
        <v>-4.6253003761591298</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-4.5483388249548335</v>
      </c>
      <c r="E56" s="11">
        <f>A56-'Mastercurve bestimmen'!$B$2</f>
        <v>-49</v>
      </c>
      <c r="F56" s="11">
        <f t="shared" si="4"/>
        <v>-4.5483388249548335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-4.4678558066648089</v>
      </c>
      <c r="E57" s="11">
        <f>A57-'Mastercurve bestimmen'!$B$2</f>
        <v>-48</v>
      </c>
      <c r="F57" s="11">
        <f t="shared" si="4"/>
        <v>-4.4678558066648089</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-4.3840721639119549</v>
      </c>
      <c r="E58" s="11">
        <f>A58-'Mastercurve bestimmen'!$B$2</f>
        <v>-47</v>
      </c>
      <c r="F58" s="11">
        <f t="shared" si="4"/>
        <v>-4.3840721639119549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-4.2972087393191662</v>
      </c>
      <c r="E59" s="11">
        <f>A59-'Mastercurve bestimmen'!$B$2</f>
        <v>-46</v>
      </c>
      <c r="F59" s="11">
        <f t="shared" si="4"/>
        <v>-4.2972087393191662</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-4.2074863755093403</v>
      </c>
      <c r="E60" s="11">
        <f>A60-'Mastercurve bestimmen'!$B$2</f>
        <v>-45</v>
      </c>
      <c r="F60" s="11">
        <f t="shared" si="4"/>
        <v>-4.2074863755093403</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-4.1151259151053736</v>
      </c>
      <c r="E61" s="11">
        <f>A61-'Mastercurve bestimmen'!$B$2</f>
        <v>-44</v>
      </c>
      <c r="F61" s="11">
        <f t="shared" si="4"/>
        <v>-4.1151259151053736</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-4.0203482007301634</v>
      </c>
      <c r="E62" s="11">
        <f>A62-'Mastercurve bestimmen'!$B$2</f>
        <v>-43</v>
      </c>
      <c r="F62" s="11">
        <f t="shared" si="4"/>
        <v>-4.0203482007301634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-3.9233740750066075</v>
      </c>
      <c r="E63" s="11">
        <f>A63-'Mastercurve bestimmen'!$B$2</f>
        <v>-42</v>
      </c>
      <c r="F63" s="11">
        <f t="shared" si="4"/>
        <v>-3.9233740750066075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-3.8244243805576006</v>
      </c>
      <c r="E64" s="11">
        <f>A64-'Mastercurve bestimmen'!$B$2</f>
        <v>-41</v>
      </c>
      <c r="F64" s="11">
        <f t="shared" si="4"/>
        <v>-3.8244243805576006</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-3.7237199600060404</v>
      </c>
      <c r="E65" s="11">
        <f>A65-'Mastercurve bestimmen'!$B$2</f>
        <v>-40</v>
      </c>
      <c r="F65" s="11">
        <f t="shared" si="4"/>
        <v>-3.7237199600060404</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-3.6214816559748249</v>
      </c>
      <c r="E66" s="11">
        <f>A66-'Mastercurve bestimmen'!$B$2</f>
        <v>-39</v>
      </c>
      <c r="F66" s="11">
        <f t="shared" si="4"/>
        <v>-3.6214816559748249</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-3.5179303110868485</v>
      </c>
      <c r="E67" s="11">
        <f>A67-'Mastercurve bestimmen'!$B$2</f>
        <v>-38</v>
      </c>
      <c r="F67" s="11">
        <f t="shared" si="4"/>
        <v>-3.5179303110868485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-3.4132867679650101</v>
      </c>
      <c r="E68" s="11">
        <f>A68-'Mastercurve bestimmen'!$B$2</f>
        <v>-37</v>
      </c>
      <c r="F68" s="11">
        <f t="shared" si="4"/>
        <v>-3.4132867679650101</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-3.307771869232206</v>
      </c>
      <c r="E69" s="11">
        <f>A69-'Mastercurve bestimmen'!$B$2</f>
        <v>-36</v>
      </c>
      <c r="F69" s="11">
        <f t="shared" si="4"/>
        <v>-3.307771869232206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-3.2016064575113319</v>
      </c>
      <c r="E70" s="11">
        <f>A70-'Mastercurve bestimmen'!$B$2</f>
        <v>-35</v>
      </c>
      <c r="F70" s="11">
        <f t="shared" si="4"/>
        <v>-3.2016064575113319</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-3.0950113754252859</v>
      </c>
      <c r="E71" s="11">
        <f>A71-'Mastercurve bestimmen'!$B$2</f>
        <v>-34</v>
      </c>
      <c r="F71" s="11">
        <f t="shared" si="4"/>
        <v>-3.0950113754252859</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-2.9882074655969646</v>
      </c>
      <c r="E72" s="11">
        <f>A72-'Mastercurve bestimmen'!$B$2</f>
        <v>-33</v>
      </c>
      <c r="F72" s="11">
        <f t="shared" si="4"/>
        <v>-2.9882074655969646</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-2.8814155706492648</v>
      </c>
      <c r="E73" s="11">
        <f>A73-'Mastercurve bestimmen'!$B$2</f>
        <v>-32</v>
      </c>
      <c r="F73" s="11">
        <f t="shared" si="4"/>
        <v>-2.8814155706492648</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-2.7748565332050825</v>
      </c>
      <c r="E74" s="11">
        <f>A74-'Mastercurve bestimmen'!$B$2</f>
        <v>-31</v>
      </c>
      <c r="F74" s="11">
        <f t="shared" si="4"/>
        <v>-2.7748565332050825</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-2.6687511958873156</v>
      </c>
      <c r="E75" s="11">
        <f>A75-'Mastercurve bestimmen'!$B$2</f>
        <v>-30</v>
      </c>
      <c r="F75" s="11">
        <f t="shared" si="4"/>
        <v>-2.6687511958873156</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-2.5633204013188604</v>
      </c>
      <c r="E76" s="11">
        <f>A76-'Mastercurve bestimmen'!$B$2</f>
        <v>-29</v>
      </c>
      <c r="F76" s="11">
        <f t="shared" si="4"/>
        <v>-2.5633204013188604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-2.4587849921226139</v>
      </c>
      <c r="E77" s="11">
        <f>A77-'Mastercurve bestimmen'!$B$2</f>
        <v>-28</v>
      </c>
      <c r="F77" s="11">
        <f t="shared" si="4"/>
        <v>-2.4587849921226139</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-2.3553658109214721</v>
      </c>
      <c r="E78" s="11">
        <f>A78-'Mastercurve bestimmen'!$B$2</f>
        <v>-27</v>
      </c>
      <c r="F78" s="11">
        <f t="shared" si="4"/>
        <v>-2.3553658109214721</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-2.2532837003383333</v>
      </c>
      <c r="E79" s="11">
        <f>A79-'Mastercurve bestimmen'!$B$2</f>
        <v>-26</v>
      </c>
      <c r="F79" s="11">
        <f t="shared" si="4"/>
        <v>-2.2532837003383333</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-2.1527595029960929</v>
      </c>
      <c r="E80" s="11">
        <f>A80-'Mastercurve bestimmen'!$B$2</f>
        <v>-25</v>
      </c>
      <c r="F80" s="11">
        <f t="shared" ref="F80:F143" si="10">B80</f>
        <v>-2.1527595029960929</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-2.0539633772907875</v>
      </c>
      <c r="E81" s="11">
        <f>A81-'Mastercurve bestimmen'!$B$2</f>
        <v>-24</v>
      </c>
      <c r="F81" s="11">
        <f t="shared" si="10"/>
        <v>-2.0539633772907875</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-1.9568627447110076</v>
      </c>
      <c r="E82" s="11">
        <f>A82-'Mastercurve bestimmen'!$B$2</f>
        <v>-23</v>
      </c>
      <c r="F82" s="11">
        <f t="shared" si="10"/>
        <v>-1.9568627447110076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-1.8613743425184834</v>
      </c>
      <c r="E83" s="11">
        <f>A83-'Mastercurve bestimmen'!$B$2</f>
        <v>-22</v>
      </c>
      <c r="F83" s="11">
        <f t="shared" si="10"/>
        <v>-1.8613743425184834</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-1.7674149079749448</v>
      </c>
      <c r="E84" s="11">
        <f>A84-'Mastercurve bestimmen'!$B$2</f>
        <v>-21</v>
      </c>
      <c r="F84" s="11">
        <f t="shared" si="10"/>
        <v>-1.7674149079749448</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-1.6749011783421217</v>
      </c>
      <c r="E85" s="11">
        <f>A85-'Mastercurve bestimmen'!$B$2</f>
        <v>-20</v>
      </c>
      <c r="F85" s="11">
        <f t="shared" si="10"/>
        <v>-1.6749011783421217</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-1.583749890881744</v>
      </c>
      <c r="E86" s="11">
        <f>A86-'Mastercurve bestimmen'!$B$2</f>
        <v>-19</v>
      </c>
      <c r="F86" s="11">
        <f t="shared" si="10"/>
        <v>-1.583749890881744</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-1.4938777828555418</v>
      </c>
      <c r="E87" s="11">
        <f>A87-'Mastercurve bestimmen'!$B$2</f>
        <v>-18</v>
      </c>
      <c r="F87" s="11">
        <f t="shared" si="10"/>
        <v>-1.4938777828555418</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-1.4052015915252447</v>
      </c>
      <c r="E88" s="11">
        <f>A88-'Mastercurve bestimmen'!$B$2</f>
        <v>-17</v>
      </c>
      <c r="F88" s="11">
        <f t="shared" si="10"/>
        <v>-1.4052015915252447</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-1.3176380541525829</v>
      </c>
      <c r="E89" s="11">
        <f>A89-'Mastercurve bestimmen'!$B$2</f>
        <v>-16</v>
      </c>
      <c r="F89" s="11">
        <f t="shared" si="10"/>
        <v>-1.3176380541525829</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-1.2311039079992865</v>
      </c>
      <c r="E90" s="11">
        <f>A90-'Mastercurve bestimmen'!$B$2</f>
        <v>-15</v>
      </c>
      <c r="F90" s="11">
        <f t="shared" si="10"/>
        <v>-1.2311039079992865</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-1.1455158903270848</v>
      </c>
      <c r="E91" s="11">
        <f>A91-'Mastercurve bestimmen'!$B$2</f>
        <v>-14</v>
      </c>
      <c r="F91" s="11">
        <f t="shared" si="10"/>
        <v>-1.1455158903270848</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-1.0607907383977082</v>
      </c>
      <c r="E92" s="11">
        <f>A92-'Mastercurve bestimmen'!$B$2</f>
        <v>-13</v>
      </c>
      <c r="F92" s="11">
        <f t="shared" si="10"/>
        <v>-1.0607907383977082</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-0.97684518947288634</v>
      </c>
      <c r="E93" s="11">
        <f>A93-'Mastercurve bestimmen'!$B$2</f>
        <v>-12</v>
      </c>
      <c r="F93" s="11">
        <f t="shared" si="10"/>
        <v>-0.97684518947288634</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-0.89359598081434932</v>
      </c>
      <c r="E94" s="11">
        <f>A94-'Mastercurve bestimmen'!$B$2</f>
        <v>-11</v>
      </c>
      <c r="F94" s="11">
        <f t="shared" si="10"/>
        <v>-0.89359598081434932</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-0.81095984968382706</v>
      </c>
      <c r="E95" s="11">
        <f>A95-'Mastercurve bestimmen'!$B$2</f>
        <v>-10</v>
      </c>
      <c r="F95" s="11">
        <f t="shared" si="10"/>
        <v>-0.81095984968382706</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-0.72885353334304981</v>
      </c>
      <c r="E96" s="11">
        <f>A96-'Mastercurve bestimmen'!$B$2</f>
        <v>-9</v>
      </c>
      <c r="F96" s="11">
        <f t="shared" si="10"/>
        <v>-0.72885353334304981</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-0.64719376905374681</v>
      </c>
      <c r="E97" s="11">
        <f>A97-'Mastercurve bestimmen'!$B$2</f>
        <v>-8</v>
      </c>
      <c r="F97" s="11">
        <f t="shared" si="10"/>
        <v>-0.64719376905374681</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-0.56589729407764833</v>
      </c>
      <c r="E98" s="11">
        <f>A98-'Mastercurve bestimmen'!$B$2</f>
        <v>-7</v>
      </c>
      <c r="F98" s="11">
        <f t="shared" si="10"/>
        <v>-0.56589729407764833</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-0.48488084567648448</v>
      </c>
      <c r="E99" s="11">
        <f>A99-'Mastercurve bestimmen'!$B$2</f>
        <v>-6</v>
      </c>
      <c r="F99" s="11">
        <f t="shared" si="10"/>
        <v>-0.48488084567648448</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-0.40406116111198487</v>
      </c>
      <c r="E100" s="11">
        <f>A100-'Mastercurve bestimmen'!$B$2</f>
        <v>-5</v>
      </c>
      <c r="F100" s="11">
        <f t="shared" si="10"/>
        <v>-0.40406116111198487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-0.32335497764587962</v>
      </c>
      <c r="E101" s="11">
        <f>A101-'Mastercurve bestimmen'!$B$2</f>
        <v>-4</v>
      </c>
      <c r="F101" s="11">
        <f t="shared" si="10"/>
        <v>-0.32335497764587962</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-0.24267903253989859</v>
      </c>
      <c r="E102" s="11">
        <f>A102-'Mastercurve bestimmen'!$B$2</f>
        <v>-3</v>
      </c>
      <c r="F102" s="11">
        <f t="shared" si="10"/>
        <v>-0.24267903253989859</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-0.16195006305577167</v>
      </c>
      <c r="E103" s="11">
        <f>A103-'Mastercurve bestimmen'!$B$2</f>
        <v>-2</v>
      </c>
      <c r="F103" s="11">
        <f t="shared" si="10"/>
        <v>-0.16195006305577167</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-8.1084806455228836E-2</v>
      </c>
      <c r="E104" s="11">
        <f>A104-'Mastercurve bestimmen'!$B$2</f>
        <v>-1</v>
      </c>
      <c r="F104" s="11">
        <f t="shared" si="10"/>
        <v>-8.1084806455228836E-2</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8.1375370478966147E-2</v>
      </c>
      <c r="E106" s="11">
        <f>A106-'Mastercurve bestimmen'!$B$2</f>
        <v>1</v>
      </c>
      <c r="F106" s="11">
        <f t="shared" si="10"/>
        <v>8.1375370478966147E-2</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0.16306332487384578</v>
      </c>
      <c r="E107" s="11">
        <f>A107-'Mastercurve bestimmen'!$B$2</f>
        <v>2</v>
      </c>
      <c r="F107" s="11">
        <f t="shared" si="10"/>
        <v>0.16306332487384578</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0.24507363450759639</v>
      </c>
      <c r="E108" s="11">
        <f>A108-'Mastercurve bestimmen'!$B$2</f>
        <v>3</v>
      </c>
      <c r="F108" s="11">
        <f t="shared" si="10"/>
        <v>0.24507363450759639</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0.32741607070317535</v>
      </c>
      <c r="E109" s="11">
        <f>A109-'Mastercurve bestimmen'!$B$2</f>
        <v>4</v>
      </c>
      <c r="F109" s="11">
        <f t="shared" si="10"/>
        <v>0.32741607070317535</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0.4101004047835401</v>
      </c>
      <c r="E110" s="11">
        <f>A110-'Mastercurve bestimmen'!$B$2</f>
        <v>5</v>
      </c>
      <c r="F110" s="11">
        <f t="shared" si="10"/>
        <v>0.4101004047835401</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0.49313640807164816</v>
      </c>
      <c r="E111" s="11">
        <f>A111-'Mastercurve bestimmen'!$B$2</f>
        <v>6</v>
      </c>
      <c r="F111" s="11">
        <f t="shared" si="10"/>
        <v>0.49313640807164816</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0.57653385189045681</v>
      </c>
      <c r="E112" s="11">
        <f>A112-'Mastercurve bestimmen'!$B$2</f>
        <v>7</v>
      </c>
      <c r="F112" s="11">
        <f t="shared" si="10"/>
        <v>0.57653385189045681</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0.66030250756292364</v>
      </c>
      <c r="E113" s="11">
        <f>A113-'Mastercurve bestimmen'!$B$2</f>
        <v>8</v>
      </c>
      <c r="F113" s="11">
        <f t="shared" si="10"/>
        <v>0.66030250756292364</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0.74445214641200608</v>
      </c>
      <c r="E114" s="11">
        <f>A114-'Mastercurve bestimmen'!$B$2</f>
        <v>9</v>
      </c>
      <c r="F114" s="11">
        <f t="shared" si="10"/>
        <v>0.74445214641200608</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0.82899253976066134</v>
      </c>
      <c r="E115" s="11">
        <f>A115-'Mastercurve bestimmen'!$B$2</f>
        <v>10</v>
      </c>
      <c r="F115" s="11">
        <f t="shared" si="10"/>
        <v>0.82899253976066134</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0.91393345893184719</v>
      </c>
      <c r="E116" s="11">
        <f>A116-'Mastercurve bestimmen'!$B$2</f>
        <v>11</v>
      </c>
      <c r="F116" s="11">
        <f t="shared" si="10"/>
        <v>0.91393345893184719</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0.99928467524852083</v>
      </c>
      <c r="E117" s="11">
        <f>A117-'Mastercurve bestimmen'!$B$2</f>
        <v>12</v>
      </c>
      <c r="F117" s="11">
        <f t="shared" si="10"/>
        <v>0.99928467524852083</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1.0850559600336398</v>
      </c>
      <c r="E118" s="11">
        <f>A118-'Mastercurve bestimmen'!$B$2</f>
        <v>13</v>
      </c>
      <c r="F118" s="11">
        <f t="shared" si="10"/>
        <v>1.0850559600336398</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1.1712570846101611</v>
      </c>
      <c r="E119" s="11">
        <f>A119-'Mastercurve bestimmen'!$B$2</f>
        <v>14</v>
      </c>
      <c r="F119" s="11">
        <f t="shared" si="10"/>
        <v>1.1712570846101611</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1.2578978203010429</v>
      </c>
      <c r="E120" s="11">
        <f>A120-'Mastercurve bestimmen'!$B$2</f>
        <v>15</v>
      </c>
      <c r="F120" s="11">
        <f t="shared" si="10"/>
        <v>1.2578978203010429</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1.3449879384292422</v>
      </c>
      <c r="E121" s="11">
        <f>A121-'Mastercurve bestimmen'!$B$2</f>
        <v>16</v>
      </c>
      <c r="F121" s="11">
        <f t="shared" si="10"/>
        <v>1.3449879384292422</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1.4325372103177165</v>
      </c>
      <c r="E122" s="11">
        <f>A122-'Mastercurve bestimmen'!$B$2</f>
        <v>17</v>
      </c>
      <c r="F122" s="11">
        <f t="shared" si="10"/>
        <v>1.4325372103177165</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1.5205554072894234</v>
      </c>
      <c r="E123" s="11">
        <f>A123-'Mastercurve bestimmen'!$B$2</f>
        <v>18</v>
      </c>
      <c r="F123" s="11">
        <f t="shared" si="10"/>
        <v>1.5205554072894234</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1.6090523006673199</v>
      </c>
      <c r="E124" s="11">
        <f>A124-'Mastercurve bestimmen'!$B$2</f>
        <v>19</v>
      </c>
      <c r="F124" s="11">
        <f t="shared" si="10"/>
        <v>1.6090523006673199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1.6980376617743638</v>
      </c>
      <c r="E125" s="11">
        <f>A125-'Mastercurve bestimmen'!$B$2</f>
        <v>20</v>
      </c>
      <c r="F125" s="11">
        <f t="shared" si="10"/>
        <v>1.6980376617743638</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1.7875212619335126</v>
      </c>
      <c r="E126" s="11">
        <f>A126-'Mastercurve bestimmen'!$B$2</f>
        <v>21</v>
      </c>
      <c r="F126" s="11">
        <f t="shared" si="10"/>
        <v>1.7875212619335126</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1.8775128724677235</v>
      </c>
      <c r="E127" s="11">
        <f>A127-'Mastercurve bestimmen'!$B$2</f>
        <v>22</v>
      </c>
      <c r="F127" s="11">
        <f t="shared" si="10"/>
        <v>1.8775128724677235</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1.9680222646999541</v>
      </c>
      <c r="E128" s="11">
        <f>A128-'Mastercurve bestimmen'!$B$2</f>
        <v>23</v>
      </c>
      <c r="F128" s="11">
        <f t="shared" si="10"/>
        <v>1.9680222646999541</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2.0590592099531615</v>
      </c>
      <c r="E129" s="11">
        <f>A129-'Mastercurve bestimmen'!$B$2</f>
        <v>24</v>
      </c>
      <c r="F129" s="11">
        <f t="shared" si="10"/>
        <v>2.0590592099531615</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2.1506334795503035</v>
      </c>
      <c r="E130" s="11">
        <f>A130-'Mastercurve bestimmen'!$B$2</f>
        <v>25</v>
      </c>
      <c r="F130" s="11">
        <f t="shared" si="10"/>
        <v>2.1506334795503035</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2.2427548448143377</v>
      </c>
      <c r="E131" s="11">
        <f>A131-'Mastercurve bestimmen'!$B$2</f>
        <v>26</v>
      </c>
      <c r="F131" s="11">
        <f t="shared" si="10"/>
        <v>2.2427548448143377</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2.3354330770682203</v>
      </c>
      <c r="E132" s="11">
        <f>A132-'Mastercurve bestimmen'!$B$2</f>
        <v>27</v>
      </c>
      <c r="F132" s="11">
        <f t="shared" si="10"/>
        <v>2.3354330770682203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2.4286779476349105</v>
      </c>
      <c r="E133" s="11">
        <f>A133-'Mastercurve bestimmen'!$B$2</f>
        <v>28</v>
      </c>
      <c r="F133" s="11">
        <f t="shared" si="10"/>
        <v>2.4286779476349105</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2.5224992278373648</v>
      </c>
      <c r="E134" s="11">
        <f>A134-'Mastercurve bestimmen'!$B$2</f>
        <v>29</v>
      </c>
      <c r="F134" s="11">
        <f t="shared" si="10"/>
        <v>2.5224992278373648</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2.6169066889985406</v>
      </c>
      <c r="E135" s="11">
        <f>A135-'Mastercurve bestimmen'!$B$2</f>
        <v>30</v>
      </c>
      <c r="F135" s="11">
        <f t="shared" si="10"/>
        <v>2.6169066889985406</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2.7119096405224208</v>
      </c>
      <c r="E136" s="11">
        <f>A136-'Mastercurve bestimmen'!$B$2</f>
        <v>31</v>
      </c>
      <c r="F136" s="11">
        <f t="shared" si="10"/>
        <v>2.7119096405224208</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2.8075155441370847</v>
      </c>
      <c r="E137" s="11">
        <f>A137-'Mastercurve bestimmen'!$B$2</f>
        <v>32</v>
      </c>
      <c r="F137" s="11">
        <f t="shared" si="10"/>
        <v>2.8075155441370847</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2.9037313996516385</v>
      </c>
      <c r="E138" s="11">
        <f>A138-'Mastercurve bestimmen'!$B$2</f>
        <v>33</v>
      </c>
      <c r="F138" s="11">
        <f t="shared" si="10"/>
        <v>2.9037313996516385</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3.000564206875187</v>
      </c>
      <c r="E139" s="11">
        <f>A139-'Mastercurve bestimmen'!$B$2</f>
        <v>34</v>
      </c>
      <c r="F139" s="11">
        <f t="shared" si="10"/>
        <v>3.000564206875187</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3.0980209656168363</v>
      </c>
      <c r="E140" s="11">
        <f>A140-'Mastercurve bestimmen'!$B$2</f>
        <v>35</v>
      </c>
      <c r="F140" s="11">
        <f t="shared" si="10"/>
        <v>3.0980209656168363</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3.1961086756856916</v>
      </c>
      <c r="E141" s="11">
        <f>A141-'Mastercurve bestimmen'!$B$2</f>
        <v>36</v>
      </c>
      <c r="F141" s="11">
        <f t="shared" si="10"/>
        <v>3.1961086756856916</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3.2948343368908573</v>
      </c>
      <c r="E142" s="11">
        <f>A142-'Mastercurve bestimmen'!$B$2</f>
        <v>37</v>
      </c>
      <c r="F142" s="11">
        <f t="shared" si="10"/>
        <v>3.2948343368908573</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3.3942049490414394</v>
      </c>
      <c r="E143" s="11">
        <f>A143-'Mastercurve bestimmen'!$B$2</f>
        <v>38</v>
      </c>
      <c r="F143" s="11">
        <f t="shared" si="10"/>
        <v>3.3942049490414394</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3.4942275119465442</v>
      </c>
      <c r="E144" s="11">
        <f>A144-'Mastercurve bestimmen'!$B$2</f>
        <v>39</v>
      </c>
      <c r="F144" s="11">
        <f t="shared" ref="F144:F207" si="15">B144</f>
        <v>3.4942275119465442</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3.5949090254152747</v>
      </c>
      <c r="E145" s="11">
        <f>A145-'Mastercurve bestimmen'!$B$2</f>
        <v>40</v>
      </c>
      <c r="F145" s="11">
        <f t="shared" si="15"/>
        <v>3.5949090254152747</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3.6962564892567382</v>
      </c>
      <c r="E146" s="11">
        <f>A146-'Mastercurve bestimmen'!$B$2</f>
        <v>41</v>
      </c>
      <c r="F146" s="11">
        <f t="shared" si="15"/>
        <v>3.6962564892567382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3.7982769032800396</v>
      </c>
      <c r="E147" s="11">
        <f>A147-'Mastercurve bestimmen'!$B$2</f>
        <v>42</v>
      </c>
      <c r="F147" s="11">
        <f t="shared" si="15"/>
        <v>3.7982769032800396</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3.9009772672942837</v>
      </c>
      <c r="E148" s="11">
        <f>A148-'Mastercurve bestimmen'!$B$2</f>
        <v>43</v>
      </c>
      <c r="F148" s="11">
        <f t="shared" si="15"/>
        <v>3.9009772672942837</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4.0043645811085762</v>
      </c>
      <c r="E149" s="11">
        <f>A149-'Mastercurve bestimmen'!$B$2</f>
        <v>44</v>
      </c>
      <c r="F149" s="11">
        <f t="shared" si="15"/>
        <v>4.0043645811085762</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4.1084458445320227</v>
      </c>
      <c r="E150" s="11">
        <f>A150-'Mastercurve bestimmen'!$B$2</f>
        <v>45</v>
      </c>
      <c r="F150" s="11">
        <f t="shared" si="15"/>
        <v>4.1084458445320227</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4.213228057373728</v>
      </c>
      <c r="E151" s="11">
        <f>A151-'Mastercurve bestimmen'!$B$2</f>
        <v>46</v>
      </c>
      <c r="F151" s="11">
        <f t="shared" si="15"/>
        <v>4.213228057373728</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4.3187182194427969</v>
      </c>
      <c r="E152" s="11">
        <f>A152-'Mastercurve bestimmen'!$B$2</f>
        <v>47</v>
      </c>
      <c r="F152" s="11">
        <f t="shared" si="15"/>
        <v>4.3187182194427969</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4.4249233305483369</v>
      </c>
      <c r="E153" s="11">
        <f>A153-'Mastercurve bestimmen'!$B$2</f>
        <v>48</v>
      </c>
      <c r="F153" s="11">
        <f t="shared" si="15"/>
        <v>4.4249233305483369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4.5318503904994509</v>
      </c>
      <c r="E154" s="11">
        <f>A154-'Mastercurve bestimmen'!$B$2</f>
        <v>49</v>
      </c>
      <c r="F154" s="11">
        <f t="shared" si="15"/>
        <v>4.5318503904994509</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4.6395063991052456</v>
      </c>
      <c r="E155" s="11">
        <f>A155-'Mastercurve bestimmen'!$B$2</f>
        <v>50</v>
      </c>
      <c r="F155" s="11">
        <f t="shared" si="15"/>
        <v>4.6395063991052456</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4.7478983561748258</v>
      </c>
      <c r="E156" s="11">
        <f>A156-'Mastercurve bestimmen'!$B$2</f>
        <v>51</v>
      </c>
      <c r="F156" s="11">
        <f t="shared" si="15"/>
        <v>4.7478983561748258</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4.8570332615172971</v>
      </c>
      <c r="E157" s="11">
        <f>A157-'Mastercurve bestimmen'!$B$2</f>
        <v>52</v>
      </c>
      <c r="F157" s="11">
        <f t="shared" si="15"/>
        <v>4.8570332615172971</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4.9669181149417643</v>
      </c>
      <c r="E158" s="11">
        <f>A158-'Mastercurve bestimmen'!$B$2</f>
        <v>53</v>
      </c>
      <c r="F158" s="11">
        <f t="shared" si="15"/>
        <v>4.9669181149417643</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5.0775599162573339</v>
      </c>
      <c r="E159" s="11">
        <f>A159-'Mastercurve bestimmen'!$B$2</f>
        <v>54</v>
      </c>
      <c r="F159" s="11">
        <f t="shared" si="15"/>
        <v>5.0775599162573339</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5.1889656652731091</v>
      </c>
      <c r="E160" s="11">
        <f>A160-'Mastercurve bestimmen'!$B$2</f>
        <v>55</v>
      </c>
      <c r="F160" s="11">
        <f t="shared" si="15"/>
        <v>5.1889656652731091</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5.3011423617981981</v>
      </c>
      <c r="E161" s="11">
        <f>A161-'Mastercurve bestimmen'!$B$2</f>
        <v>56</v>
      </c>
      <c r="F161" s="11">
        <f t="shared" si="15"/>
        <v>5.3011423617981981</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5.4140970056417039</v>
      </c>
      <c r="E162" s="11">
        <f>A162-'Mastercurve bestimmen'!$B$2</f>
        <v>57</v>
      </c>
      <c r="F162" s="11">
        <f t="shared" si="15"/>
        <v>5.4140970056417039</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5.5278365966127332</v>
      </c>
      <c r="E163" s="11">
        <f>A163-'Mastercurve bestimmen'!$B$2</f>
        <v>58</v>
      </c>
      <c r="F163" s="11">
        <f t="shared" si="15"/>
        <v>5.5278365966127332</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5.6423681345203907</v>
      </c>
      <c r="E164" s="11">
        <f>A164-'Mastercurve bestimmen'!$B$2</f>
        <v>59</v>
      </c>
      <c r="F164" s="11">
        <f t="shared" si="15"/>
        <v>5.6423681345203907</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5.7576986191737811</v>
      </c>
      <c r="E165" s="11">
        <f>A165-'Mastercurve bestimmen'!$B$2</f>
        <v>60</v>
      </c>
      <c r="F165" s="11">
        <f t="shared" si="15"/>
        <v>5.7576986191737811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5.8738350503820111</v>
      </c>
      <c r="E166" s="11">
        <f>A166-'Mastercurve bestimmen'!$B$2</f>
        <v>61</v>
      </c>
      <c r="F166" s="11">
        <f t="shared" si="15"/>
        <v>5.8738350503820111</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5.9907844279541855</v>
      </c>
      <c r="E167" s="11">
        <f>A167-'Mastercurve bestimmen'!$B$2</f>
        <v>62</v>
      </c>
      <c r="F167" s="11">
        <f t="shared" si="15"/>
        <v>5.9907844279541855</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6.1085537516994091</v>
      </c>
      <c r="E168" s="11">
        <f>A168-'Mastercurve bestimmen'!$B$2</f>
        <v>63</v>
      </c>
      <c r="F168" s="11">
        <f t="shared" si="15"/>
        <v>6.1085537516994091</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6.2271500214267883</v>
      </c>
      <c r="E169" s="11">
        <f>A169-'Mastercurve bestimmen'!$B$2</f>
        <v>64</v>
      </c>
      <c r="F169" s="11">
        <f t="shared" si="15"/>
        <v>6.2271500214267883</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6.3465802369454263</v>
      </c>
      <c r="E170" s="11">
        <f>A170-'Mastercurve bestimmen'!$B$2</f>
        <v>65</v>
      </c>
      <c r="F170" s="11">
        <f t="shared" si="15"/>
        <v>6.3465802369454263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6.4668513980644313</v>
      </c>
      <c r="E171" s="11">
        <f>A171-'Mastercurve bestimmen'!$B$2</f>
        <v>66</v>
      </c>
      <c r="F171" s="11">
        <f t="shared" si="15"/>
        <v>6.4668513980644313</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6.5879705045929065</v>
      </c>
      <c r="E172" s="11">
        <f>A172-'Mastercurve bestimmen'!$B$2</f>
        <v>67</v>
      </c>
      <c r="F172" s="11">
        <f t="shared" si="15"/>
        <v>6.5879705045929065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6.7099445563399582</v>
      </c>
      <c r="E173" s="11">
        <f>A173-'Mastercurve bestimmen'!$B$2</f>
        <v>68</v>
      </c>
      <c r="F173" s="11">
        <f t="shared" si="15"/>
        <v>6.7099445563399582</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6.8327805531146923</v>
      </c>
      <c r="E174" s="11">
        <f>A174-'Mastercurve bestimmen'!$B$2</f>
        <v>69</v>
      </c>
      <c r="F174" s="11">
        <f t="shared" si="15"/>
        <v>6.8327805531146923</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6.9564854947262118</v>
      </c>
      <c r="E175" s="11">
        <f>A175-'Mastercurve bestimmen'!$B$2</f>
        <v>70</v>
      </c>
      <c r="F175" s="11">
        <f t="shared" si="15"/>
        <v>6.9564854947262118</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7.081066380983625</v>
      </c>
      <c r="E176" s="11">
        <f>A176-'Mastercurve bestimmen'!$B$2</f>
        <v>71</v>
      </c>
      <c r="F176" s="11">
        <f t="shared" si="15"/>
        <v>7.081066380983625</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7.2065302116960348</v>
      </c>
      <c r="E177" s="11">
        <f>A177-'Mastercurve bestimmen'!$B$2</f>
        <v>72</v>
      </c>
      <c r="F177" s="11">
        <f t="shared" si="15"/>
        <v>7.2065302116960348</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7.332883986672547</v>
      </c>
      <c r="E178" s="11">
        <f>A178-'Mastercurve bestimmen'!$B$2</f>
        <v>73</v>
      </c>
      <c r="F178" s="11">
        <f t="shared" si="15"/>
        <v>7.332883986672547</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7.4601347057222691</v>
      </c>
      <c r="E179" s="11">
        <f>A179-'Mastercurve bestimmen'!$B$2</f>
        <v>74</v>
      </c>
      <c r="F179" s="11">
        <f t="shared" si="15"/>
        <v>7.4601347057222691</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7.5882893686543031</v>
      </c>
      <c r="E180" s="11">
        <f>A180-'Mastercurve bestimmen'!$B$2</f>
        <v>75</v>
      </c>
      <c r="F180" s="11">
        <f t="shared" si="15"/>
        <v>7.5882893686543031</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7.7173494708158037</v>
      </c>
      <c r="E181" s="11">
        <f>A181-'Mastercurve bestimmen'!$B$2</f>
        <v>76</v>
      </c>
      <c r="F181" s="11">
        <f t="shared" si="15"/>
        <v>7.7173494708158037</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7.8472944897061119</v>
      </c>
      <c r="E182" s="11">
        <f>A182-'Mastercurve bestimmen'!$B$2</f>
        <v>77</v>
      </c>
      <c r="F182" s="11">
        <f t="shared" si="15"/>
        <v>7.8472944897061119</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7.9780983983626141</v>
      </c>
      <c r="E183" s="11">
        <f>A183-'Mastercurve bestimmen'!$B$2</f>
        <v>78</v>
      </c>
      <c r="F183" s="11">
        <f t="shared" si="15"/>
        <v>7.9780983983626141</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8.1097351698226987</v>
      </c>
      <c r="E184" s="11">
        <f>A184-'Mastercurve bestimmen'!$B$2</f>
        <v>79</v>
      </c>
      <c r="F184" s="11">
        <f t="shared" si="15"/>
        <v>8.1097351698226987</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8.2421787771237565</v>
      </c>
      <c r="E185" s="11">
        <f>A185-'Mastercurve bestimmen'!$B$2</f>
        <v>80</v>
      </c>
      <c r="F185" s="11">
        <f t="shared" si="15"/>
        <v>8.2421787771237565</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8.3754031933031712</v>
      </c>
      <c r="E186" s="11">
        <f>A186-'Mastercurve bestimmen'!$B$2</f>
        <v>81</v>
      </c>
      <c r="F186" s="11">
        <f t="shared" si="15"/>
        <v>8.3754031933031712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8.5093823913983346</v>
      </c>
      <c r="E187" s="11">
        <f>A187-'Mastercurve bestimmen'!$B$2</f>
        <v>82</v>
      </c>
      <c r="F187" s="11">
        <f t="shared" si="15"/>
        <v>8.5093823913983346</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8.6440903444466333</v>
      </c>
      <c r="E188" s="11">
        <f>A188-'Mastercurve bestimmen'!$B$2</f>
        <v>83</v>
      </c>
      <c r="F188" s="11">
        <f t="shared" si="15"/>
        <v>8.6440903444466333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8.7795010254854535</v>
      </c>
      <c r="E189" s="11">
        <f>A189-'Mastercurve bestimmen'!$B$2</f>
        <v>84</v>
      </c>
      <c r="F189" s="11">
        <f t="shared" si="15"/>
        <v>8.7795010254854535</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8.9155884075521854</v>
      </c>
      <c r="E190" s="11">
        <f>A190-'Mastercurve bestimmen'!$B$2</f>
        <v>85</v>
      </c>
      <c r="F190" s="11">
        <f t="shared" si="15"/>
        <v>8.9155884075521854</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9.0523264636842171</v>
      </c>
      <c r="E191" s="11">
        <f>A191-'Mastercurve bestimmen'!$B$2</f>
        <v>86</v>
      </c>
      <c r="F191" s="11">
        <f t="shared" si="15"/>
        <v>9.0523264636842171</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9.1896891669189351</v>
      </c>
      <c r="E192" s="11">
        <f>A192-'Mastercurve bestimmen'!$B$2</f>
        <v>87</v>
      </c>
      <c r="F192" s="11">
        <f t="shared" si="15"/>
        <v>9.1896891669189351</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9.3276504902937294</v>
      </c>
      <c r="E193" s="11">
        <f>A193-'Mastercurve bestimmen'!$B$2</f>
        <v>88</v>
      </c>
      <c r="F193" s="11">
        <f t="shared" si="15"/>
        <v>9.3276504902937294</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9.4661844068459864</v>
      </c>
      <c r="E194" s="11">
        <f>A194-'Mastercurve bestimmen'!$B$2</f>
        <v>89</v>
      </c>
      <c r="F194" s="11">
        <f t="shared" si="15"/>
        <v>9.4661844068459864</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9.6052648896130961</v>
      </c>
      <c r="E195" s="11">
        <f>A195-'Mastercurve bestimmen'!$B$2</f>
        <v>90</v>
      </c>
      <c r="F195" s="11">
        <f t="shared" si="15"/>
        <v>9.6052648896130961</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9.7448659116324432</v>
      </c>
      <c r="E196" s="11">
        <f>A196-'Mastercurve bestimmen'!$B$2</f>
        <v>91</v>
      </c>
      <c r="F196" s="11">
        <f t="shared" si="15"/>
        <v>9.7448659116324432</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9.8849614459414177</v>
      </c>
      <c r="E197" s="11">
        <f>A197-'Mastercurve bestimmen'!$B$2</f>
        <v>92</v>
      </c>
      <c r="F197" s="11">
        <f t="shared" si="15"/>
        <v>9.8849614459414177</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10.025525465577408</v>
      </c>
      <c r="E198" s="11">
        <f>A198-'Mastercurve bestimmen'!$B$2</f>
        <v>93</v>
      </c>
      <c r="F198" s="11">
        <f t="shared" si="15"/>
        <v>10.025525465577408</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10.166531943577802</v>
      </c>
      <c r="E199" s="11">
        <f>A199-'Mastercurve bestimmen'!$B$2</f>
        <v>94</v>
      </c>
      <c r="F199" s="11">
        <f t="shared" si="15"/>
        <v>10.166531943577802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10.307954852979989</v>
      </c>
      <c r="E200" s="11">
        <f>A200-'Mastercurve bestimmen'!$B$2</f>
        <v>95</v>
      </c>
      <c r="F200" s="11">
        <f t="shared" si="15"/>
        <v>10.307954852979989</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10.449768166821354</v>
      </c>
      <c r="E201" s="11">
        <f>A201-'Mastercurve bestimmen'!$B$2</f>
        <v>96</v>
      </c>
      <c r="F201" s="11">
        <f t="shared" si="15"/>
        <v>10.449768166821354</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10.591945858139287</v>
      </c>
      <c r="E202" s="11">
        <f>A202-'Mastercurve bestimmen'!$B$2</f>
        <v>97</v>
      </c>
      <c r="F202" s="11">
        <f t="shared" si="15"/>
        <v>10.591945858139287</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10.734461899971173</v>
      </c>
      <c r="E203" s="11">
        <f>A203-'Mastercurve bestimmen'!$B$2</f>
        <v>98</v>
      </c>
      <c r="F203" s="11">
        <f t="shared" si="15"/>
        <v>10.734461899971173</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10.877290265354405</v>
      </c>
      <c r="E204" s="11">
        <f>A204-'Mastercurve bestimmen'!$B$2</f>
        <v>99</v>
      </c>
      <c r="F204" s="11">
        <f t="shared" si="15"/>
        <v>10.877290265354405</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11.02040492732637</v>
      </c>
      <c r="E205" s="11">
        <f>A205-'Mastercurve bestimmen'!$B$2</f>
        <v>100</v>
      </c>
      <c r="F205" s="11">
        <f t="shared" si="15"/>
        <v>11.02040492732637</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11.163779858924453</v>
      </c>
      <c r="E206" s="11">
        <f>A206-'Mastercurve bestimmen'!$B$2</f>
        <v>101</v>
      </c>
      <c r="F206" s="11">
        <f t="shared" si="15"/>
        <v>11.163779858924453</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11.307389033186045</v>
      </c>
      <c r="E207" s="11">
        <f>A207-'Mastercurve bestimmen'!$B$2</f>
        <v>102</v>
      </c>
      <c r="F207" s="11">
        <f t="shared" si="15"/>
        <v>11.307389033186045</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11.45120642314853</v>
      </c>
      <c r="E208" s="11">
        <f>A208-'Mastercurve bestimmen'!$B$2</f>
        <v>103</v>
      </c>
      <c r="F208" s="11">
        <f t="shared" ref="F208:F215" si="21">B208</f>
        <v>11.45120642314853</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11.5952060018493</v>
      </c>
      <c r="E209" s="11">
        <f>A209-'Mastercurve bestimmen'!$B$2</f>
        <v>104</v>
      </c>
      <c r="F209" s="11">
        <f t="shared" si="21"/>
        <v>11.5952060018493</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11.739361742325743</v>
      </c>
      <c r="E210" s="11">
        <f>A210-'Mastercurve bestimmen'!$B$2</f>
        <v>105</v>
      </c>
      <c r="F210" s="11">
        <f t="shared" si="21"/>
        <v>11.739361742325743</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11.883647617615246</v>
      </c>
      <c r="E211" s="11">
        <f>A211-'Mastercurve bestimmen'!$B$2</f>
        <v>106</v>
      </c>
      <c r="F211" s="11">
        <f t="shared" si="21"/>
        <v>11.883647617615246</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12.028037600755194</v>
      </c>
      <c r="E212" s="11">
        <f>A212-'Mastercurve bestimmen'!$B$2</f>
        <v>107</v>
      </c>
      <c r="F212" s="11">
        <f t="shared" si="21"/>
        <v>12.028037600755194</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12.172505664782982</v>
      </c>
      <c r="E213" s="11">
        <f>A213-'Mastercurve bestimmen'!$B$2</f>
        <v>108</v>
      </c>
      <c r="F213" s="11">
        <f t="shared" si="21"/>
        <v>12.172505664782982</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12.317025782735991</v>
      </c>
      <c r="E214" s="11">
        <f>A214-'Mastercurve bestimmen'!$B$2</f>
        <v>109</v>
      </c>
      <c r="F214" s="11">
        <f t="shared" si="21"/>
        <v>12.317025782735991</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12.461571927651613</v>
      </c>
      <c r="E215" s="11">
        <f>A215-'Mastercurve bestimmen'!$B$2</f>
        <v>110</v>
      </c>
      <c r="F215" s="11">
        <f t="shared" si="21"/>
        <v>12.461571927651613</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8.2347123078193529E-2</v>
      </c>
      <c r="J217" s="98">
        <v>-1.276960078135309E-5</v>
      </c>
      <c r="K217" s="98">
        <v>6.5873338909537383E-6</v>
      </c>
      <c r="L217" s="98">
        <v>-1.8345497636686333E-8</v>
      </c>
      <c r="M217" s="98">
        <v>-8.5799376682551262E-10</v>
      </c>
      <c r="N217" s="98">
        <v>6.6591312592772244E-12</v>
      </c>
      <c r="O217" s="98">
        <v>3.7353319810798176E-14</v>
      </c>
      <c r="P217" s="98">
        <v>-3.6422481548848338E-16</v>
      </c>
    </row>
    <row r="218" spans="1:16" x14ac:dyDescent="0.25">
      <c r="G218" s="11"/>
      <c r="H218" s="11">
        <v>0</v>
      </c>
      <c r="I218" s="11">
        <v>2.1992775984353062E-4</v>
      </c>
      <c r="J218" s="11">
        <v>4.9395960112973358E-6</v>
      </c>
      <c r="K218" s="3">
        <v>1.8472740732589461E-7</v>
      </c>
      <c r="L218" s="3">
        <v>2.7732600194304962E-9</v>
      </c>
      <c r="M218" s="3">
        <v>4.5102923963967934E-11</v>
      </c>
      <c r="N218" s="3">
        <v>5.2146346943955951E-13</v>
      </c>
      <c r="O218" s="11">
        <v>3.2662740408645531E-15</v>
      </c>
      <c r="P218" s="11">
        <v>3.2968868860508322E-17</v>
      </c>
    </row>
    <row r="219" spans="1:16" x14ac:dyDescent="0.25">
      <c r="G219" s="11"/>
      <c r="H219" s="11">
        <v>0.99998363768177412</v>
      </c>
      <c r="I219" s="11">
        <v>2.4647249421922698E-2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-8.2696526889073834</v>
      </c>
      <c r="G222">
        <f>F15</f>
        <v>-8.2939414517803574</v>
      </c>
    </row>
    <row r="223" spans="1:16" x14ac:dyDescent="0.25">
      <c r="E223" s="11">
        <f t="shared" ref="E223:E286" si="25">E16</f>
        <v>-89</v>
      </c>
      <c r="F223" s="11">
        <f t="shared" ref="F223:F286" si="26">$H$217*0+E223*$I$217+E223^2*$J$217+E223^3*$K$217+E223^4*$L$217+E223^5*$M$217+E223^6*$N$217+E223^7*$O$217+E223^8*$P$217</f>
        <v>-8.2103844601886244</v>
      </c>
      <c r="G223" s="11">
        <f t="shared" ref="G223:G286" si="27">F16</f>
        <v>-8.2271585633235365</v>
      </c>
    </row>
    <row r="224" spans="1:16" x14ac:dyDescent="0.25">
      <c r="E224" s="11">
        <f t="shared" si="25"/>
        <v>-88</v>
      </c>
      <c r="F224" s="11">
        <f t="shared" si="26"/>
        <v>-8.1506716881100587</v>
      </c>
      <c r="G224" s="11">
        <f t="shared" si="27"/>
        <v>-8.1602821171240016</v>
      </c>
    </row>
    <row r="225" spans="5:7" x14ac:dyDescent="0.25">
      <c r="E225" s="11">
        <f t="shared" si="25"/>
        <v>-87</v>
      </c>
      <c r="F225" s="11">
        <f t="shared" si="26"/>
        <v>-8.0902471536170566</v>
      </c>
      <c r="G225" s="11">
        <f t="shared" si="27"/>
        <v>-8.0932185554390337</v>
      </c>
    </row>
    <row r="226" spans="5:7" x14ac:dyDescent="0.25">
      <c r="E226" s="11">
        <f t="shared" si="25"/>
        <v>-86</v>
      </c>
      <c r="F226" s="11">
        <f t="shared" si="26"/>
        <v>-8.0288745420030505</v>
      </c>
      <c r="G226" s="11">
        <f t="shared" si="27"/>
        <v>-8.0258743205259204</v>
      </c>
    </row>
    <row r="227" spans="5:7" x14ac:dyDescent="0.25">
      <c r="E227" s="11">
        <f t="shared" si="25"/>
        <v>-85</v>
      </c>
      <c r="F227" s="11">
        <f t="shared" si="26"/>
        <v>-7.966346604706902</v>
      </c>
      <c r="G227" s="11">
        <f t="shared" si="27"/>
        <v>-7.9581558546419453</v>
      </c>
    </row>
    <row r="228" spans="5:7" x14ac:dyDescent="0.25">
      <c r="E228" s="11">
        <f t="shared" si="25"/>
        <v>-84</v>
      </c>
      <c r="F228" s="11">
        <f t="shared" si="26"/>
        <v>-7.9024833882755301</v>
      </c>
      <c r="G228" s="11">
        <f t="shared" si="27"/>
        <v>-7.8899696000443909</v>
      </c>
    </row>
    <row r="229" spans="5:7" x14ac:dyDescent="0.25">
      <c r="E229" s="11">
        <f t="shared" si="25"/>
        <v>-83</v>
      </c>
      <c r="F229" s="11">
        <f t="shared" si="26"/>
        <v>-7.837130529033189</v>
      </c>
      <c r="G229" s="11">
        <f t="shared" si="27"/>
        <v>-7.8212219989905432</v>
      </c>
    </row>
    <row r="230" spans="5:7" x14ac:dyDescent="0.25">
      <c r="E230" s="11">
        <f t="shared" si="25"/>
        <v>-82</v>
      </c>
      <c r="F230" s="11">
        <f t="shared" si="26"/>
        <v>-7.7701576120135227</v>
      </c>
      <c r="G230" s="11">
        <f t="shared" si="27"/>
        <v>-7.7518194937376848</v>
      </c>
    </row>
    <row r="231" spans="5:7" x14ac:dyDescent="0.25">
      <c r="E231" s="11">
        <f t="shared" si="25"/>
        <v>-81</v>
      </c>
      <c r="F231" s="11">
        <f t="shared" si="26"/>
        <v>-7.7014565927252496</v>
      </c>
      <c r="G231" s="11">
        <f t="shared" si="27"/>
        <v>-7.6816685265431026</v>
      </c>
    </row>
    <row r="232" spans="5:7" x14ac:dyDescent="0.25">
      <c r="E232" s="11">
        <f t="shared" si="25"/>
        <v>-80</v>
      </c>
      <c r="F232" s="11">
        <f t="shared" si="26"/>
        <v>-7.6309402803369135</v>
      </c>
      <c r="G232" s="11">
        <f t="shared" si="27"/>
        <v>-7.6106755396640811</v>
      </c>
    </row>
    <row r="233" spans="5:7" x14ac:dyDescent="0.25">
      <c r="E233" s="11">
        <f t="shared" si="25"/>
        <v>-79</v>
      </c>
      <c r="F233" s="11">
        <f t="shared" si="26"/>
        <v>-7.5585408808809129</v>
      </c>
      <c r="G233" s="11">
        <f t="shared" si="27"/>
        <v>-7.5387469753579017</v>
      </c>
    </row>
    <row r="234" spans="5:7" x14ac:dyDescent="0.25">
      <c r="E234" s="11">
        <f t="shared" si="25"/>
        <v>-78</v>
      </c>
      <c r="F234" s="11">
        <f t="shared" si="26"/>
        <v>-7.4842085990917031</v>
      </c>
      <c r="G234" s="11">
        <f t="shared" si="27"/>
        <v>-7.4657892758818516</v>
      </c>
    </row>
    <row r="235" spans="5:7" x14ac:dyDescent="0.25">
      <c r="E235" s="11">
        <f t="shared" si="25"/>
        <v>-77</v>
      </c>
      <c r="F235" s="11">
        <f t="shared" si="26"/>
        <v>-7.4079102975076694</v>
      </c>
      <c r="G235" s="11">
        <f t="shared" si="27"/>
        <v>-7.3917088834932141</v>
      </c>
    </row>
    <row r="236" spans="5:7" x14ac:dyDescent="0.25">
      <c r="E236" s="11">
        <f t="shared" si="25"/>
        <v>-76</v>
      </c>
      <c r="F236" s="11">
        <f t="shared" si="26"/>
        <v>-7.329628211480947</v>
      </c>
      <c r="G236" s="11">
        <f t="shared" si="27"/>
        <v>-7.3164122404492726</v>
      </c>
    </row>
    <row r="237" spans="5:7" x14ac:dyDescent="0.25">
      <c r="E237" s="11">
        <f t="shared" si="25"/>
        <v>-75</v>
      </c>
      <c r="F237" s="11">
        <f t="shared" si="26"/>
        <v>-7.2493587187541033</v>
      </c>
      <c r="G237" s="11">
        <f t="shared" si="27"/>
        <v>-7.2398057890073133</v>
      </c>
    </row>
    <row r="238" spans="5:7" x14ac:dyDescent="0.25">
      <c r="E238" s="11">
        <f t="shared" si="25"/>
        <v>-74</v>
      </c>
      <c r="F238" s="11">
        <f t="shared" si="26"/>
        <v>-7.1671111622772825</v>
      </c>
      <c r="G238" s="11">
        <f t="shared" si="27"/>
        <v>-7.1617959714246204</v>
      </c>
    </row>
    <row r="239" spans="5:7" x14ac:dyDescent="0.25">
      <c r="E239" s="11">
        <f t="shared" si="25"/>
        <v>-73</v>
      </c>
      <c r="F239" s="11">
        <f t="shared" si="26"/>
        <v>-7.0829067249541247</v>
      </c>
      <c r="G239" s="11">
        <f t="shared" si="27"/>
        <v>-7.0822892299584765</v>
      </c>
    </row>
    <row r="240" spans="5:7" x14ac:dyDescent="0.25">
      <c r="E240" s="11">
        <f t="shared" si="25"/>
        <v>-72</v>
      </c>
      <c r="F240" s="11">
        <f t="shared" si="26"/>
        <v>-6.9967773550194217</v>
      </c>
      <c r="G240" s="11">
        <f t="shared" si="27"/>
        <v>-7.0011920068661677</v>
      </c>
    </row>
    <row r="241" spans="5:7" x14ac:dyDescent="0.25">
      <c r="E241" s="11">
        <f t="shared" si="25"/>
        <v>-71</v>
      </c>
      <c r="F241" s="11">
        <f t="shared" si="26"/>
        <v>-6.908764740766193</v>
      </c>
      <c r="G241" s="11">
        <f t="shared" si="27"/>
        <v>-6.9184107444049783</v>
      </c>
    </row>
    <row r="242" spans="5:7" x14ac:dyDescent="0.25">
      <c r="E242" s="11">
        <f t="shared" si="25"/>
        <v>-70</v>
      </c>
      <c r="F242" s="11">
        <f t="shared" si="26"/>
        <v>-6.8189193333545255</v>
      </c>
      <c r="G242" s="11">
        <f t="shared" si="27"/>
        <v>-6.8338518848321916</v>
      </c>
    </row>
    <row r="243" spans="5:7" x14ac:dyDescent="0.25">
      <c r="E243" s="11">
        <f t="shared" si="25"/>
        <v>-69</v>
      </c>
      <c r="F243" s="11">
        <f t="shared" si="26"/>
        <v>-6.7272994164492053</v>
      </c>
      <c r="G243" s="11">
        <f t="shared" si="27"/>
        <v>-6.747421870405093</v>
      </c>
    </row>
    <row r="244" spans="5:7" x14ac:dyDescent="0.25">
      <c r="E244" s="11">
        <f t="shared" si="25"/>
        <v>-68</v>
      </c>
      <c r="F244" s="11">
        <f t="shared" si="26"/>
        <v>-6.6339702214478784</v>
      </c>
      <c r="G244" s="11">
        <f t="shared" si="27"/>
        <v>-6.6590271433809658</v>
      </c>
    </row>
    <row r="245" spans="5:7" x14ac:dyDescent="0.25">
      <c r="E245" s="11">
        <f t="shared" si="25"/>
        <v>-67</v>
      </c>
      <c r="F245" s="11">
        <f t="shared" si="26"/>
        <v>-6.5390030870761491</v>
      </c>
      <c r="G245" s="11">
        <f t="shared" si="27"/>
        <v>-6.568574146017097</v>
      </c>
    </row>
    <row r="246" spans="5:7" x14ac:dyDescent="0.25">
      <c r="E246" s="11">
        <f t="shared" si="25"/>
        <v>-66</v>
      </c>
      <c r="F246" s="11">
        <f t="shared" si="26"/>
        <v>-6.4424746621406932</v>
      </c>
      <c r="G246" s="11">
        <f t="shared" si="27"/>
        <v>-6.4759693205707674</v>
      </c>
    </row>
    <row r="247" spans="5:7" x14ac:dyDescent="0.25">
      <c r="E247" s="11">
        <f t="shared" si="25"/>
        <v>-65</v>
      </c>
      <c r="F247" s="11">
        <f t="shared" si="26"/>
        <v>-6.3444661502461948</v>
      </c>
      <c r="G247" s="11">
        <f t="shared" si="27"/>
        <v>-6.3811191092992638</v>
      </c>
    </row>
    <row r="248" spans="5:7" x14ac:dyDescent="0.25">
      <c r="E248" s="11">
        <f t="shared" si="25"/>
        <v>-64</v>
      </c>
      <c r="F248" s="11">
        <f t="shared" si="26"/>
        <v>-6.2450625952965284</v>
      </c>
      <c r="G248" s="11">
        <f t="shared" si="27"/>
        <v>-6.2839299544598699</v>
      </c>
    </row>
    <row r="249" spans="5:7" x14ac:dyDescent="0.25">
      <c r="E249" s="11">
        <f t="shared" si="25"/>
        <v>-63</v>
      </c>
      <c r="F249" s="11">
        <f t="shared" si="26"/>
        <v>-6.1443522066153893</v>
      </c>
      <c r="G249" s="11">
        <f t="shared" si="27"/>
        <v>-6.1843082983098707</v>
      </c>
    </row>
    <row r="250" spans="5:7" x14ac:dyDescent="0.25">
      <c r="E250" s="11">
        <f t="shared" si="25"/>
        <v>-62</v>
      </c>
      <c r="F250" s="11">
        <f t="shared" si="26"/>
        <v>-6.0424257225361568</v>
      </c>
      <c r="G250" s="11">
        <f t="shared" si="27"/>
        <v>-6.0821605831065479</v>
      </c>
    </row>
    <row r="251" spans="5:7" x14ac:dyDescent="0.25">
      <c r="E251" s="11">
        <f t="shared" si="25"/>
        <v>-61</v>
      </c>
      <c r="F251" s="11">
        <f t="shared" si="26"/>
        <v>-5.9393758113255553</v>
      </c>
      <c r="G251" s="11">
        <f t="shared" si="27"/>
        <v>-5.9773932511071894</v>
      </c>
    </row>
    <row r="252" spans="5:7" x14ac:dyDescent="0.25">
      <c r="E252" s="11">
        <f t="shared" si="25"/>
        <v>-60</v>
      </c>
      <c r="F252" s="11">
        <f t="shared" si="26"/>
        <v>-5.8352965083202948</v>
      </c>
      <c r="G252" s="11">
        <f t="shared" si="27"/>
        <v>-5.8699127445690777</v>
      </c>
    </row>
    <row r="253" spans="5:7" x14ac:dyDescent="0.25">
      <c r="E253" s="11">
        <f t="shared" si="25"/>
        <v>-59</v>
      </c>
      <c r="F253" s="11">
        <f t="shared" si="26"/>
        <v>-5.7302826881705826</v>
      </c>
      <c r="G253" s="11">
        <f t="shared" si="27"/>
        <v>-5.7596255057494989</v>
      </c>
    </row>
    <row r="254" spans="5:7" x14ac:dyDescent="0.25">
      <c r="E254" s="11">
        <f t="shared" si="25"/>
        <v>-58</v>
      </c>
      <c r="F254" s="11">
        <f t="shared" si="26"/>
        <v>-5.6244295710991095</v>
      </c>
      <c r="G254" s="11">
        <f t="shared" si="27"/>
        <v>-5.6464379769057356</v>
      </c>
    </row>
    <row r="255" spans="5:7" x14ac:dyDescent="0.25">
      <c r="E255" s="11">
        <f t="shared" si="25"/>
        <v>-57</v>
      </c>
      <c r="F255" s="11">
        <f t="shared" si="26"/>
        <v>-5.5178322620987341</v>
      </c>
      <c r="G255" s="11">
        <f t="shared" si="27"/>
        <v>-5.5302566002950719</v>
      </c>
    </row>
    <row r="256" spans="5:7" x14ac:dyDescent="0.25">
      <c r="E256" s="11">
        <f t="shared" si="25"/>
        <v>-56</v>
      </c>
      <c r="F256" s="11">
        <f t="shared" si="26"/>
        <v>-5.4105853220068614</v>
      </c>
      <c r="G256" s="11">
        <f t="shared" si="27"/>
        <v>-5.4109878181747932</v>
      </c>
    </row>
    <row r="257" spans="5:7" x14ac:dyDescent="0.25">
      <c r="E257" s="11">
        <f t="shared" si="25"/>
        <v>-55</v>
      </c>
      <c r="F257" s="11">
        <f t="shared" si="26"/>
        <v>-5.302782369409111</v>
      </c>
      <c r="G257" s="11">
        <f t="shared" si="27"/>
        <v>-5.2885380728021838</v>
      </c>
    </row>
    <row r="258" spans="5:7" x14ac:dyDescent="0.25">
      <c r="E258" s="11">
        <f t="shared" si="25"/>
        <v>-54</v>
      </c>
      <c r="F258" s="11">
        <f t="shared" si="26"/>
        <v>-5.1945157123396157</v>
      </c>
      <c r="G258" s="11">
        <f t="shared" si="27"/>
        <v>-5.1628138064345288</v>
      </c>
    </row>
    <row r="259" spans="5:7" x14ac:dyDescent="0.25">
      <c r="E259" s="11">
        <f t="shared" si="25"/>
        <v>-53</v>
      </c>
      <c r="F259" s="11">
        <f t="shared" si="26"/>
        <v>-5.0858760087599482</v>
      </c>
      <c r="G259" s="11">
        <f t="shared" si="27"/>
        <v>-5.0337214613291108</v>
      </c>
    </row>
    <row r="260" spans="5:7" x14ac:dyDescent="0.25">
      <c r="E260" s="11">
        <f t="shared" si="25"/>
        <v>-52</v>
      </c>
      <c r="F260" s="11">
        <f t="shared" si="26"/>
        <v>-4.9769519548133792</v>
      </c>
      <c r="G260" s="11">
        <f t="shared" si="27"/>
        <v>-4.9011674797432159</v>
      </c>
    </row>
    <row r="261" spans="5:7" x14ac:dyDescent="0.25">
      <c r="E261" s="11">
        <f t="shared" si="25"/>
        <v>-51</v>
      </c>
      <c r="F261" s="11">
        <f t="shared" si="26"/>
        <v>-4.8678299998658323</v>
      </c>
      <c r="G261" s="11">
        <f t="shared" si="27"/>
        <v>-4.7650583039341274</v>
      </c>
    </row>
    <row r="262" spans="5:7" x14ac:dyDescent="0.25">
      <c r="E262" s="11">
        <f t="shared" si="25"/>
        <v>-50</v>
      </c>
      <c r="F262" s="11">
        <f t="shared" si="26"/>
        <v>-4.7585940873595911</v>
      </c>
      <c r="G262" s="11">
        <f t="shared" si="27"/>
        <v>-4.6253003761591298</v>
      </c>
    </row>
    <row r="263" spans="5:7" x14ac:dyDescent="0.25">
      <c r="E263" s="11">
        <f t="shared" si="25"/>
        <v>-49</v>
      </c>
      <c r="F263" s="11">
        <f t="shared" si="26"/>
        <v>-4.649325420520543</v>
      </c>
      <c r="G263" s="11">
        <f t="shared" si="27"/>
        <v>-4.5483388249548335</v>
      </c>
    </row>
    <row r="264" spans="5:7" x14ac:dyDescent="0.25">
      <c r="E264" s="11">
        <f t="shared" si="25"/>
        <v>-48</v>
      </c>
      <c r="F264" s="11">
        <f t="shared" si="26"/>
        <v>-4.5401022519743357</v>
      </c>
      <c r="G264" s="11">
        <f t="shared" si="27"/>
        <v>-4.4678558066648089</v>
      </c>
    </row>
    <row r="265" spans="5:7" x14ac:dyDescent="0.25">
      <c r="E265" s="11">
        <f t="shared" si="25"/>
        <v>-47</v>
      </c>
      <c r="F265" s="11">
        <f t="shared" si="26"/>
        <v>-4.4309996963416225</v>
      </c>
      <c r="G265" s="11">
        <f t="shared" si="27"/>
        <v>-4.3840721639119549</v>
      </c>
    </row>
    <row r="266" spans="5:7" x14ac:dyDescent="0.25">
      <c r="E266" s="11">
        <f t="shared" si="25"/>
        <v>-46</v>
      </c>
      <c r="F266" s="11">
        <f t="shared" si="26"/>
        <v>-4.32208956489717</v>
      </c>
      <c r="G266" s="11">
        <f t="shared" si="27"/>
        <v>-4.2972087393191662</v>
      </c>
    </row>
    <row r="267" spans="5:7" x14ac:dyDescent="0.25">
      <c r="E267" s="11">
        <f t="shared" si="25"/>
        <v>-45</v>
      </c>
      <c r="F267" s="11">
        <f t="shared" si="26"/>
        <v>-4.2134402213923181</v>
      </c>
      <c r="G267" s="11">
        <f t="shared" si="27"/>
        <v>-4.2074863755093403</v>
      </c>
    </row>
    <row r="268" spans="5:7" x14ac:dyDescent="0.25">
      <c r="E268" s="11">
        <f t="shared" si="25"/>
        <v>-44</v>
      </c>
      <c r="F268" s="11">
        <f t="shared" si="26"/>
        <v>-4.1051164581549804</v>
      </c>
      <c r="G268" s="11">
        <f t="shared" si="27"/>
        <v>-4.1151259151053736</v>
      </c>
    </row>
    <row r="269" spans="5:7" x14ac:dyDescent="0.25">
      <c r="E269" s="11">
        <f t="shared" si="25"/>
        <v>-43</v>
      </c>
      <c r="F269" s="11">
        <f t="shared" si="26"/>
        <v>-3.9971793915960512</v>
      </c>
      <c r="G269" s="11">
        <f t="shared" si="27"/>
        <v>-4.0203482007301634</v>
      </c>
    </row>
    <row r="270" spans="5:7" x14ac:dyDescent="0.25">
      <c r="E270" s="11">
        <f t="shared" si="25"/>
        <v>-42</v>
      </c>
      <c r="F270" s="11">
        <f t="shared" si="26"/>
        <v>-3.8896863762657339</v>
      </c>
      <c r="G270" s="11">
        <f t="shared" si="27"/>
        <v>-3.9233740750066075</v>
      </c>
    </row>
    <row r="271" spans="5:7" x14ac:dyDescent="0.25">
      <c r="E271" s="11">
        <f t="shared" si="25"/>
        <v>-41</v>
      </c>
      <c r="F271" s="11">
        <f t="shared" si="26"/>
        <v>-3.7826909366180632</v>
      </c>
      <c r="G271" s="11">
        <f t="shared" si="27"/>
        <v>-3.8244243805576006</v>
      </c>
    </row>
    <row r="272" spans="5:7" x14ac:dyDescent="0.25">
      <c r="E272" s="11">
        <f t="shared" si="25"/>
        <v>-40</v>
      </c>
      <c r="F272" s="11">
        <f t="shared" si="26"/>
        <v>-3.6762427156565169</v>
      </c>
      <c r="G272" s="11">
        <f t="shared" si="27"/>
        <v>-3.7237199600060404</v>
      </c>
    </row>
    <row r="273" spans="5:7" x14ac:dyDescent="0.25">
      <c r="E273" s="11">
        <f t="shared" si="25"/>
        <v>-39</v>
      </c>
      <c r="F273" s="11">
        <f t="shared" si="26"/>
        <v>-3.5703874396483277</v>
      </c>
      <c r="G273" s="11">
        <f t="shared" si="27"/>
        <v>-3.6214816559748249</v>
      </c>
    </row>
    <row r="274" spans="5:7" x14ac:dyDescent="0.25">
      <c r="E274" s="11">
        <f t="shared" si="25"/>
        <v>-38</v>
      </c>
      <c r="F274" s="11">
        <f t="shared" si="26"/>
        <v>-3.4651668981097732</v>
      </c>
      <c r="G274" s="11">
        <f t="shared" si="27"/>
        <v>-3.5179303110868485</v>
      </c>
    </row>
    <row r="275" spans="5:7" x14ac:dyDescent="0.25">
      <c r="E275" s="11">
        <f t="shared" si="25"/>
        <v>-37</v>
      </c>
      <c r="F275" s="11">
        <f t="shared" si="26"/>
        <v>-3.3606189382794405</v>
      </c>
      <c r="G275" s="11">
        <f t="shared" si="27"/>
        <v>-3.4132867679650101</v>
      </c>
    </row>
    <row r="276" spans="5:7" x14ac:dyDescent="0.25">
      <c r="E276" s="11">
        <f t="shared" si="25"/>
        <v>-36</v>
      </c>
      <c r="F276" s="11">
        <f t="shared" si="26"/>
        <v>-3.2567774733111046</v>
      </c>
      <c r="G276" s="11">
        <f t="shared" si="27"/>
        <v>-3.307771869232206</v>
      </c>
    </row>
    <row r="277" spans="5:7" x14ac:dyDescent="0.25">
      <c r="E277" s="11">
        <f t="shared" si="25"/>
        <v>-35</v>
      </c>
      <c r="F277" s="11">
        <f t="shared" si="26"/>
        <v>-3.1536725034325714</v>
      </c>
      <c r="G277" s="11">
        <f t="shared" si="27"/>
        <v>-3.2016064575113319</v>
      </c>
    </row>
    <row r="278" spans="5:7" x14ac:dyDescent="0.25">
      <c r="E278" s="11">
        <f t="shared" si="25"/>
        <v>-34</v>
      </c>
      <c r="F278" s="11">
        <f t="shared" si="26"/>
        <v>-3.0513301493315335</v>
      </c>
      <c r="G278" s="11">
        <f t="shared" si="27"/>
        <v>-3.0950113754252859</v>
      </c>
    </row>
    <row r="279" spans="5:7" x14ac:dyDescent="0.25">
      <c r="E279" s="11">
        <f t="shared" si="25"/>
        <v>-33</v>
      </c>
      <c r="F279" s="11">
        <f t="shared" si="26"/>
        <v>-2.9497726970441294</v>
      </c>
      <c r="G279" s="11">
        <f t="shared" si="27"/>
        <v>-2.9882074655969646</v>
      </c>
    </row>
    <row r="280" spans="5:7" x14ac:dyDescent="0.25">
      <c r="E280" s="11">
        <f t="shared" si="25"/>
        <v>-32</v>
      </c>
      <c r="F280" s="11">
        <f t="shared" si="26"/>
        <v>-2.849018653636624</v>
      </c>
      <c r="G280" s="11">
        <f t="shared" si="27"/>
        <v>-2.8814155706492648</v>
      </c>
    </row>
    <row r="281" spans="5:7" x14ac:dyDescent="0.25">
      <c r="E281" s="11">
        <f t="shared" si="25"/>
        <v>-31</v>
      </c>
      <c r="F281" s="11">
        <f t="shared" si="26"/>
        <v>-2.7490828129852987</v>
      </c>
      <c r="G281" s="11">
        <f t="shared" si="27"/>
        <v>-2.7748565332050825</v>
      </c>
    </row>
    <row r="282" spans="5:7" x14ac:dyDescent="0.25">
      <c r="E282" s="11">
        <f t="shared" si="25"/>
        <v>-30</v>
      </c>
      <c r="F282" s="11">
        <f t="shared" si="26"/>
        <v>-2.6499763309743214</v>
      </c>
      <c r="G282" s="11">
        <f t="shared" si="27"/>
        <v>-2.6687511958873156</v>
      </c>
    </row>
    <row r="283" spans="5:7" x14ac:dyDescent="0.25">
      <c r="E283" s="11">
        <f t="shared" si="25"/>
        <v>-29</v>
      </c>
      <c r="F283" s="11">
        <f t="shared" si="26"/>
        <v>-2.5517068094460527</v>
      </c>
      <c r="G283" s="11">
        <f t="shared" si="27"/>
        <v>-2.5633204013188604</v>
      </c>
    </row>
    <row r="284" spans="5:7" x14ac:dyDescent="0.25">
      <c r="E284" s="11">
        <f t="shared" si="25"/>
        <v>-28</v>
      </c>
      <c r="F284" s="11">
        <f t="shared" si="26"/>
        <v>-2.4542783882529369</v>
      </c>
      <c r="G284" s="11">
        <f t="shared" si="27"/>
        <v>-2.4587849921226139</v>
      </c>
    </row>
    <row r="285" spans="5:7" x14ac:dyDescent="0.25">
      <c r="E285" s="11">
        <f t="shared" si="25"/>
        <v>-27</v>
      </c>
      <c r="F285" s="11">
        <f t="shared" si="26"/>
        <v>-2.3576918447748079</v>
      </c>
      <c r="G285" s="11">
        <f t="shared" si="27"/>
        <v>-2.3553658109214721</v>
      </c>
    </row>
    <row r="286" spans="5:7" x14ac:dyDescent="0.25">
      <c r="E286" s="11">
        <f t="shared" si="25"/>
        <v>-26</v>
      </c>
      <c r="F286" s="11">
        <f t="shared" si="26"/>
        <v>-2.2619447002801243</v>
      </c>
      <c r="G286" s="11">
        <f t="shared" si="27"/>
        <v>-2.2532837003383333</v>
      </c>
    </row>
    <row r="287" spans="5:7" x14ac:dyDescent="0.25">
      <c r="E287" s="11">
        <f t="shared" ref="E287:E350" si="28">E80</f>
        <v>-25</v>
      </c>
      <c r="F287" s="11">
        <f t="shared" ref="F287:F350" si="29">$H$217*0+E287*$I$217+E287^2*$J$217+E287^3*$K$217+E287^4*$L$217+E287^5*$M$217+E287^6*$N$217+E287^7*$O$217+E287^8*$P$217</f>
        <v>-2.1670313325243336</v>
      </c>
      <c r="G287" s="11">
        <f t="shared" ref="G287:G350" si="30">F80</f>
        <v>-2.1527595029960929</v>
      </c>
    </row>
    <row r="288" spans="5:7" x14ac:dyDescent="0.25">
      <c r="E288" s="11">
        <f t="shared" si="28"/>
        <v>-24</v>
      </c>
      <c r="F288" s="11">
        <f t="shared" si="29"/>
        <v>-2.0729430939932594</v>
      </c>
      <c r="G288" s="11">
        <f t="shared" si="30"/>
        <v>-2.0539633772907875</v>
      </c>
    </row>
    <row r="289" spans="5:7" x14ac:dyDescent="0.25">
      <c r="E289" s="11">
        <f t="shared" si="28"/>
        <v>-23</v>
      </c>
      <c r="F289" s="11">
        <f t="shared" si="29"/>
        <v>-1.9796684352140697</v>
      </c>
      <c r="G289" s="11">
        <f t="shared" si="30"/>
        <v>-1.9568627447110076</v>
      </c>
    </row>
    <row r="290" spans="5:7" x14ac:dyDescent="0.25">
      <c r="E290" s="11">
        <f t="shared" si="28"/>
        <v>-22</v>
      </c>
      <c r="F290" s="11">
        <f t="shared" si="29"/>
        <v>-1.887193032571101</v>
      </c>
      <c r="G290" s="11">
        <f t="shared" si="30"/>
        <v>-1.8613743425184834</v>
      </c>
    </row>
    <row r="291" spans="5:7" x14ac:dyDescent="0.25">
      <c r="E291" s="11">
        <f t="shared" si="28"/>
        <v>-21</v>
      </c>
      <c r="F291" s="11">
        <f t="shared" si="29"/>
        <v>-1.7954999200784711</v>
      </c>
      <c r="G291" s="11">
        <f t="shared" si="30"/>
        <v>-1.7674149079749448</v>
      </c>
    </row>
    <row r="292" spans="5:7" x14ac:dyDescent="0.25">
      <c r="E292" s="11">
        <f t="shared" si="28"/>
        <v>-20</v>
      </c>
      <c r="F292" s="11">
        <f t="shared" si="29"/>
        <v>-1.7045696245761106</v>
      </c>
      <c r="G292" s="11">
        <f t="shared" si="30"/>
        <v>-1.6749011783421217</v>
      </c>
    </row>
    <row r="293" spans="5:7" x14ac:dyDescent="0.25">
      <c r="E293" s="11">
        <f t="shared" si="28"/>
        <v>-19</v>
      </c>
      <c r="F293" s="11">
        <f t="shared" si="29"/>
        <v>-1.6143803038305291</v>
      </c>
      <c r="G293" s="11">
        <f t="shared" si="30"/>
        <v>-1.583749890881744</v>
      </c>
    </row>
    <row r="294" spans="5:7" x14ac:dyDescent="0.25">
      <c r="E294" s="11">
        <f t="shared" si="28"/>
        <v>-18</v>
      </c>
      <c r="F294" s="11">
        <f t="shared" si="29"/>
        <v>-1.5249078870363213</v>
      </c>
      <c r="G294" s="11">
        <f t="shared" si="30"/>
        <v>-1.4938777828555418</v>
      </c>
    </row>
    <row r="295" spans="5:7" x14ac:dyDescent="0.25">
      <c r="E295" s="11">
        <f t="shared" si="28"/>
        <v>-17</v>
      </c>
      <c r="F295" s="11">
        <f t="shared" si="29"/>
        <v>-1.4361262172290861</v>
      </c>
      <c r="G295" s="11">
        <f t="shared" si="30"/>
        <v>-1.4052015915252447</v>
      </c>
    </row>
    <row r="296" spans="5:7" x14ac:dyDescent="0.25">
      <c r="E296" s="11">
        <f t="shared" si="28"/>
        <v>-16</v>
      </c>
      <c r="F296" s="11">
        <f t="shared" si="29"/>
        <v>-1.3480071951351427</v>
      </c>
      <c r="G296" s="11">
        <f t="shared" si="30"/>
        <v>-1.3176380541525829</v>
      </c>
    </row>
    <row r="297" spans="5:7" x14ac:dyDescent="0.25">
      <c r="E297" s="11">
        <f t="shared" si="28"/>
        <v>-15</v>
      </c>
      <c r="F297" s="11">
        <f t="shared" si="29"/>
        <v>-1.2605209239980923</v>
      </c>
      <c r="G297" s="11">
        <f t="shared" si="30"/>
        <v>-1.2311039079992865</v>
      </c>
    </row>
    <row r="298" spans="5:7" x14ac:dyDescent="0.25">
      <c r="E298" s="11">
        <f t="shared" si="28"/>
        <v>-14</v>
      </c>
      <c r="F298" s="11">
        <f t="shared" si="29"/>
        <v>-1.1736358549369719</v>
      </c>
      <c r="G298" s="11">
        <f t="shared" si="30"/>
        <v>-1.1455158903270848</v>
      </c>
    </row>
    <row r="299" spans="5:7" x14ac:dyDescent="0.25">
      <c r="E299" s="11">
        <f t="shared" si="28"/>
        <v>-13</v>
      </c>
      <c r="F299" s="11">
        <f t="shared" si="29"/>
        <v>-1.0873189324054253</v>
      </c>
      <c r="G299" s="11">
        <f t="shared" si="30"/>
        <v>-1.0607907383977082</v>
      </c>
    </row>
    <row r="300" spans="5:7" x14ac:dyDescent="0.25">
      <c r="E300" s="11">
        <f t="shared" si="28"/>
        <v>-12</v>
      </c>
      <c r="F300" s="11">
        <f t="shared" si="29"/>
        <v>-1.0015357393360063</v>
      </c>
      <c r="G300" s="11">
        <f t="shared" si="30"/>
        <v>-0.97684518947288634</v>
      </c>
    </row>
    <row r="301" spans="5:7" x14ac:dyDescent="0.25">
      <c r="E301" s="11">
        <f t="shared" si="28"/>
        <v>-11</v>
      </c>
      <c r="F301" s="11">
        <f t="shared" si="29"/>
        <v>-0.91625064156841096</v>
      </c>
      <c r="G301" s="11">
        <f t="shared" si="30"/>
        <v>-0.89359598081434932</v>
      </c>
    </row>
    <row r="302" spans="5:7" x14ac:dyDescent="0.25">
      <c r="E302" s="11">
        <f t="shared" si="28"/>
        <v>-10</v>
      </c>
      <c r="F302" s="11">
        <f t="shared" si="29"/>
        <v>-0.83142693117512911</v>
      </c>
      <c r="G302" s="11">
        <f t="shared" si="30"/>
        <v>-0.81095984968382706</v>
      </c>
    </row>
    <row r="303" spans="5:7" x14ac:dyDescent="0.25">
      <c r="E303" s="11">
        <f t="shared" si="28"/>
        <v>-9</v>
      </c>
      <c r="F303" s="11">
        <f t="shared" si="29"/>
        <v>-0.74702696831267312</v>
      </c>
      <c r="G303" s="11">
        <f t="shared" si="30"/>
        <v>-0.72885353334304981</v>
      </c>
    </row>
    <row r="304" spans="5:7" x14ac:dyDescent="0.25">
      <c r="E304" s="11">
        <f t="shared" si="28"/>
        <v>-8</v>
      </c>
      <c r="F304" s="11">
        <f t="shared" si="29"/>
        <v>-0.66301232124125464</v>
      </c>
      <c r="G304" s="11">
        <f t="shared" si="30"/>
        <v>-0.64719376905374681</v>
      </c>
    </row>
    <row r="305" spans="5:7" x14ac:dyDescent="0.25">
      <c r="E305" s="11">
        <f t="shared" si="28"/>
        <v>-7</v>
      </c>
      <c r="F305" s="11">
        <f t="shared" si="29"/>
        <v>-0.57934390417043979</v>
      </c>
      <c r="G305" s="11">
        <f t="shared" si="30"/>
        <v>-0.56589729407764833</v>
      </c>
    </row>
    <row r="306" spans="5:7" x14ac:dyDescent="0.25">
      <c r="E306" s="11">
        <f t="shared" si="28"/>
        <v>-6</v>
      </c>
      <c r="F306" s="11">
        <f t="shared" si="29"/>
        <v>-0.49598211260301089</v>
      </c>
      <c r="G306" s="11">
        <f t="shared" si="30"/>
        <v>-0.48488084567648448</v>
      </c>
    </row>
    <row r="307" spans="5:7" x14ac:dyDescent="0.25">
      <c r="E307" s="11">
        <f t="shared" si="28"/>
        <v>-5</v>
      </c>
      <c r="F307" s="11">
        <f t="shared" si="29"/>
        <v>-0.41288695586394975</v>
      </c>
      <c r="G307" s="11">
        <f t="shared" si="30"/>
        <v>-0.40406116111198487</v>
      </c>
    </row>
    <row r="308" spans="5:7" x14ac:dyDescent="0.25">
      <c r="E308" s="11">
        <f t="shared" si="28"/>
        <v>-4</v>
      </c>
      <c r="F308" s="11">
        <f t="shared" si="29"/>
        <v>-0.33001818651613962</v>
      </c>
      <c r="G308" s="11">
        <f t="shared" si="30"/>
        <v>-0.32335497764587962</v>
      </c>
    </row>
    <row r="309" spans="5:7" x14ac:dyDescent="0.25">
      <c r="E309" s="11">
        <f t="shared" si="28"/>
        <v>-3</v>
      </c>
      <c r="F309" s="11">
        <f t="shared" si="29"/>
        <v>-0.24733542637906644</v>
      </c>
      <c r="G309" s="11">
        <f t="shared" si="30"/>
        <v>-0.24267903253989859</v>
      </c>
    </row>
    <row r="310" spans="5:7" x14ac:dyDescent="0.25">
      <c r="E310" s="11">
        <f t="shared" si="28"/>
        <v>-2</v>
      </c>
      <c r="F310" s="11">
        <f t="shared" si="29"/>
        <v>-0.16479828888149181</v>
      </c>
      <c r="G310" s="11">
        <f t="shared" si="30"/>
        <v>-0.16195006305577167</v>
      </c>
    </row>
    <row r="311" spans="5:7" x14ac:dyDescent="0.25">
      <c r="E311" s="11">
        <f t="shared" si="28"/>
        <v>-1</v>
      </c>
      <c r="F311" s="11">
        <f t="shared" si="29"/>
        <v>-8.2366497493748289E-2</v>
      </c>
      <c r="G311" s="11">
        <f t="shared" si="30"/>
        <v>-8.1084806455228836E-2</v>
      </c>
    </row>
    <row r="312" spans="5:7" x14ac:dyDescent="0.25">
      <c r="E312" s="11">
        <f t="shared" si="28"/>
        <v>0</v>
      </c>
      <c r="F312" s="11">
        <f t="shared" si="29"/>
        <v>0</v>
      </c>
      <c r="G312" s="11">
        <f t="shared" si="30"/>
        <v>0</v>
      </c>
    </row>
    <row r="313" spans="5:7" x14ac:dyDescent="0.25">
      <c r="E313" s="11">
        <f t="shared" si="28"/>
        <v>1</v>
      </c>
      <c r="F313" s="11">
        <f t="shared" si="29"/>
        <v>8.2340921614507859E-2</v>
      </c>
      <c r="G313" s="11">
        <f t="shared" si="30"/>
        <v>8.1375370478966147E-2</v>
      </c>
    </row>
    <row r="314" spans="5:7" x14ac:dyDescent="0.25">
      <c r="E314" s="11">
        <f t="shared" si="28"/>
        <v>2</v>
      </c>
      <c r="F314" s="11">
        <f t="shared" si="29"/>
        <v>0.16469554587149896</v>
      </c>
      <c r="G314" s="11">
        <f t="shared" si="30"/>
        <v>0.16306332487384578</v>
      </c>
    </row>
    <row r="315" spans="5:7" x14ac:dyDescent="0.25">
      <c r="E315" s="11">
        <f t="shared" si="28"/>
        <v>3</v>
      </c>
      <c r="F315" s="11">
        <f t="shared" si="29"/>
        <v>0.24710261129861896</v>
      </c>
      <c r="G315" s="11">
        <f t="shared" si="30"/>
        <v>0.24507363450759639</v>
      </c>
    </row>
    <row r="316" spans="5:7" x14ac:dyDescent="0.25">
      <c r="E316" s="11">
        <f t="shared" si="28"/>
        <v>4</v>
      </c>
      <c r="F316" s="11">
        <f t="shared" si="29"/>
        <v>0.32960022090020985</v>
      </c>
      <c r="G316" s="11">
        <f t="shared" si="30"/>
        <v>0.32741607070317535</v>
      </c>
    </row>
    <row r="317" spans="5:7" x14ac:dyDescent="0.25">
      <c r="E317" s="11">
        <f t="shared" si="28"/>
        <v>5</v>
      </c>
      <c r="F317" s="11">
        <f t="shared" si="29"/>
        <v>0.41222575176613752</v>
      </c>
      <c r="G317" s="11">
        <f t="shared" si="30"/>
        <v>0.4101004047835401</v>
      </c>
    </row>
    <row r="318" spans="5:7" x14ac:dyDescent="0.25">
      <c r="E318" s="11">
        <f t="shared" si="28"/>
        <v>6</v>
      </c>
      <c r="F318" s="11">
        <f t="shared" si="29"/>
        <v>0.49501576997021962</v>
      </c>
      <c r="G318" s="11">
        <f t="shared" si="30"/>
        <v>0.49313640807164816</v>
      </c>
    </row>
    <row r="319" spans="5:7" x14ac:dyDescent="0.25">
      <c r="E319" s="11">
        <f t="shared" si="28"/>
        <v>7</v>
      </c>
      <c r="F319" s="11">
        <f t="shared" si="29"/>
        <v>0.57800595089511586</v>
      </c>
      <c r="G319" s="11">
        <f t="shared" si="30"/>
        <v>0.57653385189045681</v>
      </c>
    </row>
    <row r="320" spans="5:7" x14ac:dyDescent="0.25">
      <c r="E320" s="11">
        <f t="shared" si="28"/>
        <v>8</v>
      </c>
      <c r="F320" s="11">
        <f t="shared" si="29"/>
        <v>0.66123100510585453</v>
      </c>
      <c r="G320" s="11">
        <f t="shared" si="30"/>
        <v>0.66030250756292364</v>
      </c>
    </row>
    <row r="321" spans="5:7" x14ac:dyDescent="0.25">
      <c r="E321" s="11">
        <f t="shared" si="28"/>
        <v>9</v>
      </c>
      <c r="F321" s="11">
        <f t="shared" si="29"/>
        <v>0.74472460987948819</v>
      </c>
      <c r="G321" s="11">
        <f t="shared" si="30"/>
        <v>0.74445214641200608</v>
      </c>
    </row>
    <row r="322" spans="5:7" x14ac:dyDescent="0.25">
      <c r="E322" s="11">
        <f t="shared" si="28"/>
        <v>10</v>
      </c>
      <c r="F322" s="11">
        <f t="shared" si="29"/>
        <v>0.82851934648368031</v>
      </c>
      <c r="G322" s="11">
        <f t="shared" si="30"/>
        <v>0.82899253976066134</v>
      </c>
    </row>
    <row r="323" spans="5:7" x14ac:dyDescent="0.25">
      <c r="E323" s="11">
        <f t="shared" si="28"/>
        <v>11</v>
      </c>
      <c r="F323" s="11">
        <f t="shared" si="29"/>
        <v>0.91264664328234424</v>
      </c>
      <c r="G323" s="11">
        <f t="shared" si="30"/>
        <v>0.91393345893184719</v>
      </c>
    </row>
    <row r="324" spans="5:7" x14ac:dyDescent="0.25">
      <c r="E324" s="11">
        <f t="shared" si="28"/>
        <v>12</v>
      </c>
      <c r="F324" s="11">
        <f t="shared" si="29"/>
        <v>0.9971367247317684</v>
      </c>
      <c r="G324" s="11">
        <f t="shared" si="30"/>
        <v>0.99928467524852083</v>
      </c>
    </row>
    <row r="325" spans="5:7" x14ac:dyDescent="0.25">
      <c r="E325" s="11">
        <f t="shared" si="28"/>
        <v>13</v>
      </c>
      <c r="F325" s="11">
        <f t="shared" si="29"/>
        <v>1.0820185663159714</v>
      </c>
      <c r="G325" s="11">
        <f t="shared" si="30"/>
        <v>1.0850559600336398</v>
      </c>
    </row>
    <row r="326" spans="5:7" x14ac:dyDescent="0.25">
      <c r="E326" s="11">
        <f t="shared" si="28"/>
        <v>14</v>
      </c>
      <c r="F326" s="11">
        <f t="shared" si="29"/>
        <v>1.1673198554553572</v>
      </c>
      <c r="G326" s="11">
        <f t="shared" si="30"/>
        <v>1.1712570846101611</v>
      </c>
    </row>
    <row r="327" spans="5:7" x14ac:dyDescent="0.25">
      <c r="E327" s="11">
        <f t="shared" si="28"/>
        <v>15</v>
      </c>
      <c r="F327" s="11">
        <f t="shared" si="29"/>
        <v>1.2530669584080392</v>
      </c>
      <c r="G327" s="11">
        <f t="shared" si="30"/>
        <v>1.2578978203010429</v>
      </c>
    </row>
    <row r="328" spans="5:7" x14ac:dyDescent="0.25">
      <c r="E328" s="11">
        <f t="shared" si="28"/>
        <v>16</v>
      </c>
      <c r="F328" s="11">
        <f t="shared" si="29"/>
        <v>1.3392848931685308</v>
      </c>
      <c r="G328" s="11">
        <f t="shared" si="30"/>
        <v>1.3449879384292422</v>
      </c>
    </row>
    <row r="329" spans="5:7" x14ac:dyDescent="0.25">
      <c r="E329" s="11">
        <f t="shared" si="28"/>
        <v>17</v>
      </c>
      <c r="F329" s="11">
        <f t="shared" si="29"/>
        <v>1.4259973083538049</v>
      </c>
      <c r="G329" s="11">
        <f t="shared" si="30"/>
        <v>1.4325372103177165</v>
      </c>
    </row>
    <row r="330" spans="5:7" x14ac:dyDescent="0.25">
      <c r="E330" s="11">
        <f t="shared" si="28"/>
        <v>18</v>
      </c>
      <c r="F330" s="11">
        <f t="shared" si="29"/>
        <v>1.513226468052044</v>
      </c>
      <c r="G330" s="11">
        <f t="shared" si="30"/>
        <v>1.5205554072894234</v>
      </c>
    </row>
    <row r="331" spans="5:7" x14ac:dyDescent="0.25">
      <c r="E331" s="11">
        <f t="shared" si="28"/>
        <v>19</v>
      </c>
      <c r="F331" s="11">
        <f t="shared" si="29"/>
        <v>1.6009932425947155</v>
      </c>
      <c r="G331" s="11">
        <f t="shared" si="30"/>
        <v>1.6090523006673199</v>
      </c>
    </row>
    <row r="332" spans="5:7" x14ac:dyDescent="0.25">
      <c r="E332" s="11">
        <f t="shared" si="28"/>
        <v>20</v>
      </c>
      <c r="F332" s="11">
        <f t="shared" si="29"/>
        <v>1.6893171051979228</v>
      </c>
      <c r="G332" s="11">
        <f t="shared" si="30"/>
        <v>1.6980376617743638</v>
      </c>
    </row>
    <row r="333" spans="5:7" x14ac:dyDescent="0.25">
      <c r="E333" s="11">
        <f t="shared" si="28"/>
        <v>21</v>
      </c>
      <c r="F333" s="11">
        <f t="shared" si="29"/>
        <v>1.7782161344042895</v>
      </c>
      <c r="G333" s="11">
        <f t="shared" si="30"/>
        <v>1.7875212619335126</v>
      </c>
    </row>
    <row r="334" spans="5:7" x14ac:dyDescent="0.25">
      <c r="E334" s="11">
        <f t="shared" si="28"/>
        <v>22</v>
      </c>
      <c r="F334" s="11">
        <f t="shared" si="29"/>
        <v>1.8677070222419656</v>
      </c>
      <c r="G334" s="11">
        <f t="shared" si="30"/>
        <v>1.8775128724677235</v>
      </c>
    </row>
    <row r="335" spans="5:7" x14ac:dyDescent="0.25">
      <c r="E335" s="11">
        <f t="shared" si="28"/>
        <v>23</v>
      </c>
      <c r="F335" s="11">
        <f t="shared" si="29"/>
        <v>1.9578050880026423</v>
      </c>
      <c r="G335" s="11">
        <f t="shared" si="30"/>
        <v>1.9680222646999541</v>
      </c>
    </row>
    <row r="336" spans="5:7" x14ac:dyDescent="0.25">
      <c r="E336" s="11">
        <f t="shared" si="28"/>
        <v>24</v>
      </c>
      <c r="F336" s="11">
        <f t="shared" si="29"/>
        <v>2.048524297525776</v>
      </c>
      <c r="G336" s="11">
        <f t="shared" si="30"/>
        <v>2.0590592099531615</v>
      </c>
    </row>
    <row r="337" spans="5:7" x14ac:dyDescent="0.25">
      <c r="E337" s="11">
        <f t="shared" si="28"/>
        <v>25</v>
      </c>
      <c r="F337" s="11">
        <f t="shared" si="29"/>
        <v>2.1398772878615575</v>
      </c>
      <c r="G337" s="11">
        <f t="shared" si="30"/>
        <v>2.1506334795503035</v>
      </c>
    </row>
    <row r="338" spans="5:7" x14ac:dyDescent="0.25">
      <c r="E338" s="11">
        <f t="shared" si="28"/>
        <v>26</v>
      </c>
      <c r="F338" s="11">
        <f t="shared" si="29"/>
        <v>2.2318753971704526</v>
      </c>
      <c r="G338" s="11">
        <f t="shared" si="30"/>
        <v>2.2427548448143377</v>
      </c>
    </row>
    <row r="339" spans="5:7" x14ac:dyDescent="0.25">
      <c r="E339" s="11">
        <f t="shared" si="28"/>
        <v>27</v>
      </c>
      <c r="F339" s="11">
        <f t="shared" si="29"/>
        <v>2.3245286997024608</v>
      </c>
      <c r="G339" s="11">
        <f t="shared" si="30"/>
        <v>2.3354330770682203</v>
      </c>
    </row>
    <row r="340" spans="5:7" x14ac:dyDescent="0.25">
      <c r="E340" s="11">
        <f t="shared" si="28"/>
        <v>28</v>
      </c>
      <c r="F340" s="11">
        <f t="shared" si="29"/>
        <v>2.4178460456845725</v>
      </c>
      <c r="G340" s="11">
        <f t="shared" si="30"/>
        <v>2.4286779476349105</v>
      </c>
    </row>
    <row r="341" spans="5:7" x14ac:dyDescent="0.25">
      <c r="E341" s="11">
        <f t="shared" si="28"/>
        <v>29</v>
      </c>
      <c r="F341" s="11">
        <f t="shared" si="29"/>
        <v>2.5118351059301887</v>
      </c>
      <c r="G341" s="11">
        <f t="shared" si="30"/>
        <v>2.5224992278373648</v>
      </c>
    </row>
    <row r="342" spans="5:7" x14ac:dyDescent="0.25">
      <c r="E342" s="11">
        <f t="shared" si="28"/>
        <v>30</v>
      </c>
      <c r="F342" s="11">
        <f t="shared" si="29"/>
        <v>2.6065024209695968</v>
      </c>
      <c r="G342" s="11">
        <f t="shared" si="30"/>
        <v>2.6169066889985406</v>
      </c>
    </row>
    <row r="343" spans="5:7" x14ac:dyDescent="0.25">
      <c r="E343" s="11">
        <f t="shared" si="28"/>
        <v>31</v>
      </c>
      <c r="F343" s="11">
        <f t="shared" si="29"/>
        <v>2.7018534544859318</v>
      </c>
      <c r="G343" s="11">
        <f t="shared" si="30"/>
        <v>2.7119096405224208</v>
      </c>
    </row>
    <row r="344" spans="5:7" x14ac:dyDescent="0.25">
      <c r="E344" s="11">
        <f t="shared" si="28"/>
        <v>32</v>
      </c>
      <c r="F344" s="11">
        <f t="shared" si="29"/>
        <v>2.7978926508263156</v>
      </c>
      <c r="G344" s="11">
        <f t="shared" si="30"/>
        <v>2.8075155441370847</v>
      </c>
    </row>
    <row r="345" spans="5:7" x14ac:dyDescent="0.25">
      <c r="E345" s="11">
        <f t="shared" si="28"/>
        <v>33</v>
      </c>
      <c r="F345" s="11">
        <f t="shared" si="29"/>
        <v>2.8946234963432351</v>
      </c>
      <c r="G345" s="11">
        <f t="shared" si="30"/>
        <v>2.9037313996516385</v>
      </c>
    </row>
    <row r="346" spans="5:7" x14ac:dyDescent="0.25">
      <c r="E346" s="11">
        <f t="shared" si="28"/>
        <v>34</v>
      </c>
      <c r="F346" s="11">
        <f t="shared" si="29"/>
        <v>2.9920485843064966</v>
      </c>
      <c r="G346" s="11">
        <f t="shared" si="30"/>
        <v>3.000564206875187</v>
      </c>
    </row>
    <row r="347" spans="5:7" x14ac:dyDescent="0.25">
      <c r="E347" s="11">
        <f t="shared" si="28"/>
        <v>35</v>
      </c>
      <c r="F347" s="11">
        <f t="shared" si="29"/>
        <v>3.0901696831114291</v>
      </c>
      <c r="G347" s="11">
        <f t="shared" si="30"/>
        <v>3.0980209656168363</v>
      </c>
    </row>
    <row r="348" spans="5:7" x14ac:dyDescent="0.25">
      <c r="E348" s="11">
        <f t="shared" si="28"/>
        <v>36</v>
      </c>
      <c r="F348" s="11">
        <f t="shared" si="29"/>
        <v>3.1889878074943248</v>
      </c>
      <c r="G348" s="11">
        <f t="shared" si="30"/>
        <v>3.1961086756856916</v>
      </c>
    </row>
    <row r="349" spans="5:7" x14ac:dyDescent="0.25">
      <c r="E349" s="11">
        <f t="shared" si="28"/>
        <v>37</v>
      </c>
      <c r="F349" s="11">
        <f t="shared" si="29"/>
        <v>3.2885032924513835</v>
      </c>
      <c r="G349" s="11">
        <f t="shared" si="30"/>
        <v>3.2948343368908573</v>
      </c>
    </row>
    <row r="350" spans="5:7" x14ac:dyDescent="0.25">
      <c r="E350" s="11">
        <f t="shared" si="28"/>
        <v>38</v>
      </c>
      <c r="F350" s="11">
        <f t="shared" si="29"/>
        <v>3.3887158695428132</v>
      </c>
      <c r="G350" s="11">
        <f t="shared" si="30"/>
        <v>3.3942049490414394</v>
      </c>
    </row>
    <row r="351" spans="5:7" x14ac:dyDescent="0.25">
      <c r="E351" s="11">
        <f t="shared" ref="E351:E414" si="31">E144</f>
        <v>39</v>
      </c>
      <c r="F351" s="11">
        <f t="shared" ref="F351:F414" si="32">$H$217*0+E351*$I$217+E351^2*$J$217+E351^3*$K$217+E351^4*$L$217+E351^5*$M$217+E351^6*$N$217+E351^7*$O$217+E351^8*$P$217</f>
        <v>3.4896247452489657</v>
      </c>
      <c r="G351" s="11">
        <f t="shared" ref="G351:G414" si="33">F144</f>
        <v>3.4942275119465442</v>
      </c>
    </row>
    <row r="352" spans="5:7" x14ac:dyDescent="0.25">
      <c r="E352" s="11">
        <f t="shared" si="31"/>
        <v>40</v>
      </c>
      <c r="F352" s="11">
        <f t="shared" si="32"/>
        <v>3.5912286810307816</v>
      </c>
      <c r="G352" s="11">
        <f t="shared" si="33"/>
        <v>3.5949090254152747</v>
      </c>
    </row>
    <row r="353" spans="5:7" x14ac:dyDescent="0.25">
      <c r="E353" s="11">
        <f t="shared" si="31"/>
        <v>41</v>
      </c>
      <c r="F353" s="11">
        <f t="shared" si="32"/>
        <v>3.6935260747320773</v>
      </c>
      <c r="G353" s="11">
        <f t="shared" si="33"/>
        <v>3.6962564892567382</v>
      </c>
    </row>
    <row r="354" spans="5:7" x14ac:dyDescent="0.25">
      <c r="E354" s="11">
        <f t="shared" si="31"/>
        <v>42</v>
      </c>
      <c r="F354" s="11">
        <f t="shared" si="32"/>
        <v>3.7965150429465511</v>
      </c>
      <c r="G354" s="11">
        <f t="shared" si="33"/>
        <v>3.7982769032800396</v>
      </c>
    </row>
    <row r="355" spans="5:7" x14ac:dyDescent="0.25">
      <c r="E355" s="11">
        <f t="shared" si="31"/>
        <v>43</v>
      </c>
      <c r="F355" s="11">
        <f t="shared" si="32"/>
        <v>3.9001935039576758</v>
      </c>
      <c r="G355" s="11">
        <f t="shared" si="33"/>
        <v>3.9009772672942837</v>
      </c>
    </row>
    <row r="356" spans="5:7" x14ac:dyDescent="0.25">
      <c r="E356" s="11">
        <f t="shared" si="31"/>
        <v>44</v>
      </c>
      <c r="F356" s="11">
        <f t="shared" si="32"/>
        <v>4.0045592608449967</v>
      </c>
      <c r="G356" s="11">
        <f t="shared" si="33"/>
        <v>4.0043645811085762</v>
      </c>
    </row>
    <row r="357" spans="5:7" x14ac:dyDescent="0.25">
      <c r="E357" s="11">
        <f t="shared" si="31"/>
        <v>45</v>
      </c>
      <c r="F357" s="11">
        <f t="shared" si="32"/>
        <v>4.1096100843356282</v>
      </c>
      <c r="G357" s="11">
        <f t="shared" si="33"/>
        <v>4.1084458445320227</v>
      </c>
    </row>
    <row r="358" spans="5:7" x14ac:dyDescent="0.25">
      <c r="E358" s="11">
        <f t="shared" si="31"/>
        <v>46</v>
      </c>
      <c r="F358" s="11">
        <f t="shared" si="32"/>
        <v>4.2153437949650794</v>
      </c>
      <c r="G358" s="11">
        <f t="shared" si="33"/>
        <v>4.213228057373728</v>
      </c>
    </row>
    <row r="359" spans="5:7" x14ac:dyDescent="0.25">
      <c r="E359" s="11">
        <f t="shared" si="31"/>
        <v>47</v>
      </c>
      <c r="F359" s="11">
        <f t="shared" si="32"/>
        <v>4.321758344096839</v>
      </c>
      <c r="G359" s="11">
        <f t="shared" si="33"/>
        <v>4.3187182194427969</v>
      </c>
    </row>
    <row r="360" spans="5:7" x14ac:dyDescent="0.25">
      <c r="E360" s="11">
        <f t="shared" si="31"/>
        <v>48</v>
      </c>
      <c r="F360" s="11">
        <f t="shared" si="32"/>
        <v>4.4288518933355023</v>
      </c>
      <c r="G360" s="11">
        <f t="shared" si="33"/>
        <v>4.4249233305483369</v>
      </c>
    </row>
    <row r="361" spans="5:7" x14ac:dyDescent="0.25">
      <c r="E361" s="11">
        <f t="shared" si="31"/>
        <v>49</v>
      </c>
      <c r="F361" s="11">
        <f t="shared" si="32"/>
        <v>4.5366228918534679</v>
      </c>
      <c r="G361" s="11">
        <f t="shared" si="33"/>
        <v>4.5318503904994509</v>
      </c>
    </row>
    <row r="362" spans="5:7" x14ac:dyDescent="0.25">
      <c r="E362" s="11">
        <f t="shared" si="31"/>
        <v>50</v>
      </c>
      <c r="F362" s="11">
        <f t="shared" si="32"/>
        <v>4.6450701511366228</v>
      </c>
      <c r="G362" s="11">
        <f t="shared" si="33"/>
        <v>4.6395063991052456</v>
      </c>
    </row>
    <row r="363" spans="5:7" x14ac:dyDescent="0.25">
      <c r="E363" s="11">
        <f t="shared" si="31"/>
        <v>51</v>
      </c>
      <c r="F363" s="11">
        <f t="shared" si="32"/>
        <v>4.7541929166396892</v>
      </c>
      <c r="G363" s="11">
        <f t="shared" si="33"/>
        <v>4.7478983561748258</v>
      </c>
    </row>
    <row r="364" spans="5:7" x14ac:dyDescent="0.25">
      <c r="E364" s="11">
        <f t="shared" si="31"/>
        <v>52</v>
      </c>
      <c r="F364" s="11">
        <f t="shared" si="32"/>
        <v>4.8639909358272577</v>
      </c>
      <c r="G364" s="11">
        <f t="shared" si="33"/>
        <v>4.8570332615172971</v>
      </c>
    </row>
    <row r="365" spans="5:7" x14ac:dyDescent="0.25">
      <c r="E365" s="11">
        <f t="shared" si="31"/>
        <v>53</v>
      </c>
      <c r="F365" s="11">
        <f t="shared" si="32"/>
        <v>4.9744645220618384</v>
      </c>
      <c r="G365" s="11">
        <f t="shared" si="33"/>
        <v>4.9669181149417643</v>
      </c>
    </row>
    <row r="366" spans="5:7" x14ac:dyDescent="0.25">
      <c r="E366" s="11">
        <f t="shared" si="31"/>
        <v>54</v>
      </c>
      <c r="F366" s="11">
        <f t="shared" si="32"/>
        <v>5.0856146137855358</v>
      </c>
      <c r="G366" s="11">
        <f t="shared" si="33"/>
        <v>5.0775599162573339</v>
      </c>
    </row>
    <row r="367" spans="5:7" x14ac:dyDescent="0.25">
      <c r="E367" s="11">
        <f t="shared" si="31"/>
        <v>55</v>
      </c>
      <c r="F367" s="11">
        <f t="shared" si="32"/>
        <v>5.1974428284273584</v>
      </c>
      <c r="G367" s="11">
        <f t="shared" si="33"/>
        <v>5.1889656652731091</v>
      </c>
    </row>
    <row r="368" spans="5:7" x14ac:dyDescent="0.25">
      <c r="E368" s="11">
        <f t="shared" si="31"/>
        <v>56</v>
      </c>
      <c r="F368" s="11">
        <f t="shared" si="32"/>
        <v>5.3099515104533879</v>
      </c>
      <c r="G368" s="11">
        <f t="shared" si="33"/>
        <v>5.3011423617981981</v>
      </c>
    </row>
    <row r="369" spans="5:7" x14ac:dyDescent="0.25">
      <c r="E369" s="11">
        <f t="shared" si="31"/>
        <v>57</v>
      </c>
      <c r="F369" s="11">
        <f t="shared" si="32"/>
        <v>5.4231437729624101</v>
      </c>
      <c r="G369" s="11">
        <f t="shared" si="33"/>
        <v>5.4140970056417039</v>
      </c>
    </row>
    <row r="370" spans="5:7" x14ac:dyDescent="0.25">
      <c r="E370" s="11">
        <f t="shared" si="31"/>
        <v>58</v>
      </c>
      <c r="F370" s="11">
        <f t="shared" si="32"/>
        <v>5.5370235322148913</v>
      </c>
      <c r="G370" s="11">
        <f t="shared" si="33"/>
        <v>5.5278365966127332</v>
      </c>
    </row>
    <row r="371" spans="5:7" x14ac:dyDescent="0.25">
      <c r="E371" s="11">
        <f t="shared" si="31"/>
        <v>59</v>
      </c>
      <c r="F371" s="11">
        <f t="shared" si="32"/>
        <v>5.6515955344685533</v>
      </c>
      <c r="G371" s="11">
        <f t="shared" si="33"/>
        <v>5.6423681345203907</v>
      </c>
    </row>
    <row r="372" spans="5:7" x14ac:dyDescent="0.25">
      <c r="E372" s="11">
        <f t="shared" si="31"/>
        <v>60</v>
      </c>
      <c r="F372" s="11">
        <f t="shared" si="32"/>
        <v>5.7668653744790186</v>
      </c>
      <c r="G372" s="11">
        <f t="shared" si="33"/>
        <v>5.7576986191737811</v>
      </c>
    </row>
    <row r="373" spans="5:7" x14ac:dyDescent="0.25">
      <c r="E373" s="11">
        <f t="shared" si="31"/>
        <v>61</v>
      </c>
      <c r="F373" s="11">
        <f t="shared" si="32"/>
        <v>5.8828395050094011</v>
      </c>
      <c r="G373" s="11">
        <f t="shared" si="33"/>
        <v>5.8738350503820111</v>
      </c>
    </row>
    <row r="374" spans="5:7" x14ac:dyDescent="0.25">
      <c r="E374" s="11">
        <f t="shared" si="31"/>
        <v>62</v>
      </c>
      <c r="F374" s="11">
        <f t="shared" si="32"/>
        <v>5.999525236678009</v>
      </c>
      <c r="G374" s="11">
        <f t="shared" si="33"/>
        <v>5.9907844279541855</v>
      </c>
    </row>
    <row r="375" spans="5:7" x14ac:dyDescent="0.25">
      <c r="E375" s="11">
        <f t="shared" si="31"/>
        <v>63</v>
      </c>
      <c r="F375" s="11">
        <f t="shared" si="32"/>
        <v>6.1169307274585893</v>
      </c>
      <c r="G375" s="11">
        <f t="shared" si="33"/>
        <v>6.1085537516994091</v>
      </c>
    </row>
    <row r="376" spans="5:7" x14ac:dyDescent="0.25">
      <c r="E376" s="11">
        <f t="shared" si="31"/>
        <v>64</v>
      </c>
      <c r="F376" s="11">
        <f t="shared" si="32"/>
        <v>6.2350649611329478</v>
      </c>
      <c r="G376" s="11">
        <f t="shared" si="33"/>
        <v>6.2271500214267883</v>
      </c>
    </row>
    <row r="377" spans="5:7" x14ac:dyDescent="0.25">
      <c r="E377" s="11">
        <f t="shared" si="31"/>
        <v>65</v>
      </c>
      <c r="F377" s="11">
        <f t="shared" si="32"/>
        <v>6.3539377139810078</v>
      </c>
      <c r="G377" s="11">
        <f t="shared" si="33"/>
        <v>6.3465802369454263</v>
      </c>
    </row>
    <row r="378" spans="5:7" x14ac:dyDescent="0.25">
      <c r="E378" s="11">
        <f t="shared" si="31"/>
        <v>66</v>
      </c>
      <c r="F378" s="11">
        <f t="shared" si="32"/>
        <v>6.4735595089787328</v>
      </c>
      <c r="G378" s="11">
        <f t="shared" si="33"/>
        <v>6.4668513980644313</v>
      </c>
    </row>
    <row r="379" spans="5:7" x14ac:dyDescent="0.25">
      <c r="E379" s="11">
        <f t="shared" si="31"/>
        <v>67</v>
      </c>
      <c r="F379" s="11">
        <f t="shared" si="32"/>
        <v>6.5939415567596589</v>
      </c>
      <c r="G379" s="11">
        <f t="shared" si="33"/>
        <v>6.5879705045929065</v>
      </c>
    </row>
    <row r="380" spans="5:7" x14ac:dyDescent="0.25">
      <c r="E380" s="11">
        <f t="shared" si="31"/>
        <v>68</v>
      </c>
      <c r="F380" s="11">
        <f t="shared" si="32"/>
        <v>6.7150956825810386</v>
      </c>
      <c r="G380" s="11">
        <f t="shared" si="33"/>
        <v>6.7099445563399582</v>
      </c>
    </row>
    <row r="381" spans="5:7" x14ac:dyDescent="0.25">
      <c r="E381" s="11">
        <f t="shared" si="31"/>
        <v>69</v>
      </c>
      <c r="F381" s="11">
        <f t="shared" si="32"/>
        <v>6.8370342385210146</v>
      </c>
      <c r="G381" s="11">
        <f t="shared" si="33"/>
        <v>6.8327805531146923</v>
      </c>
    </row>
    <row r="382" spans="5:7" x14ac:dyDescent="0.25">
      <c r="E382" s="11">
        <f t="shared" si="31"/>
        <v>70</v>
      </c>
      <c r="F382" s="11">
        <f t="shared" si="32"/>
        <v>6.9597700001184366</v>
      </c>
      <c r="G382" s="11">
        <f t="shared" si="33"/>
        <v>6.9564854947262118</v>
      </c>
    </row>
    <row r="383" spans="5:7" x14ac:dyDescent="0.25">
      <c r="E383" s="11">
        <f t="shared" si="31"/>
        <v>71</v>
      </c>
      <c r="F383" s="11">
        <f t="shared" si="32"/>
        <v>7.0833160466523273</v>
      </c>
      <c r="G383" s="11">
        <f t="shared" si="33"/>
        <v>7.081066380983625</v>
      </c>
    </row>
    <row r="384" spans="5:7" x14ac:dyDescent="0.25">
      <c r="E384" s="11">
        <f t="shared" si="31"/>
        <v>72</v>
      </c>
      <c r="F384" s="11">
        <f t="shared" si="32"/>
        <v>7.2076856242433305</v>
      </c>
      <c r="G384" s="11">
        <f t="shared" si="33"/>
        <v>7.2065302116960348</v>
      </c>
    </row>
    <row r="385" spans="5:7" x14ac:dyDescent="0.25">
      <c r="E385" s="11">
        <f t="shared" si="31"/>
        <v>73</v>
      </c>
      <c r="F385" s="11">
        <f t="shared" si="32"/>
        <v>7.332891990944697</v>
      </c>
      <c r="G385" s="11">
        <f t="shared" si="33"/>
        <v>7.332883986672547</v>
      </c>
    </row>
    <row r="386" spans="5:7" x14ac:dyDescent="0.25">
      <c r="E386" s="11">
        <f t="shared" si="31"/>
        <v>74</v>
      </c>
      <c r="F386" s="11">
        <f t="shared" si="32"/>
        <v>7.4589482429758034</v>
      </c>
      <c r="G386" s="11">
        <f t="shared" si="33"/>
        <v>7.4601347057222691</v>
      </c>
    </row>
    <row r="387" spans="5:7" x14ac:dyDescent="0.25">
      <c r="E387" s="11">
        <f t="shared" si="31"/>
        <v>75</v>
      </c>
      <c r="F387" s="11">
        <f t="shared" si="32"/>
        <v>7.585867121236384</v>
      </c>
      <c r="G387" s="11">
        <f t="shared" si="33"/>
        <v>7.5882893686543031</v>
      </c>
    </row>
    <row r="388" spans="5:7" x14ac:dyDescent="0.25">
      <c r="E388" s="11">
        <f t="shared" si="31"/>
        <v>76</v>
      </c>
      <c r="F388" s="11">
        <f t="shared" si="32"/>
        <v>7.7136607972250841</v>
      </c>
      <c r="G388" s="11">
        <f t="shared" si="33"/>
        <v>7.7173494708158037</v>
      </c>
    </row>
    <row r="389" spans="5:7" x14ac:dyDescent="0.25">
      <c r="E389" s="11">
        <f t="shared" si="31"/>
        <v>77</v>
      </c>
      <c r="F389" s="11">
        <f t="shared" si="32"/>
        <v>7.8423406374711924</v>
      </c>
      <c r="G389" s="11">
        <f t="shared" si="33"/>
        <v>7.8472944897061119</v>
      </c>
    </row>
    <row r="390" spans="5:7" x14ac:dyDescent="0.25">
      <c r="E390" s="11">
        <f t="shared" si="31"/>
        <v>78</v>
      </c>
      <c r="F390" s="11">
        <f t="shared" si="32"/>
        <v>7.9719169455737147</v>
      </c>
      <c r="G390" s="11">
        <f t="shared" si="33"/>
        <v>7.9780983983626141</v>
      </c>
    </row>
    <row r="391" spans="5:7" x14ac:dyDescent="0.25">
      <c r="E391" s="11">
        <f t="shared" si="31"/>
        <v>79</v>
      </c>
      <c r="F391" s="11">
        <f t="shared" si="32"/>
        <v>8.1023986809273492</v>
      </c>
      <c r="G391" s="11">
        <f t="shared" si="33"/>
        <v>8.1097351698226987</v>
      </c>
    </row>
    <row r="392" spans="5:7" x14ac:dyDescent="0.25">
      <c r="E392" s="11">
        <f t="shared" si="31"/>
        <v>80</v>
      </c>
      <c r="F392" s="11">
        <f t="shared" si="32"/>
        <v>8.2337931532001001</v>
      </c>
      <c r="G392" s="11">
        <f t="shared" si="33"/>
        <v>8.2421787771237565</v>
      </c>
    </row>
    <row r="393" spans="5:7" x14ac:dyDescent="0.25">
      <c r="E393" s="11">
        <f t="shared" si="31"/>
        <v>81</v>
      </c>
      <c r="F393" s="11">
        <f t="shared" si="32"/>
        <v>8.366105691612761</v>
      </c>
      <c r="G393" s="11">
        <f t="shared" si="33"/>
        <v>8.3754031933031712</v>
      </c>
    </row>
    <row r="394" spans="5:7" x14ac:dyDescent="0.25">
      <c r="E394" s="11">
        <f t="shared" si="31"/>
        <v>82</v>
      </c>
      <c r="F394" s="11">
        <f t="shared" si="32"/>
        <v>8.4993392880555927</v>
      </c>
      <c r="G394" s="11">
        <f t="shared" si="33"/>
        <v>8.5093823913983346</v>
      </c>
    </row>
    <row r="395" spans="5:7" x14ac:dyDescent="0.25">
      <c r="E395" s="11">
        <f t="shared" si="31"/>
        <v>83</v>
      </c>
      <c r="F395" s="11">
        <f t="shared" si="32"/>
        <v>8.633494213063079</v>
      </c>
      <c r="G395" s="11">
        <f t="shared" si="33"/>
        <v>8.6440903444466333</v>
      </c>
    </row>
    <row r="396" spans="5:7" x14ac:dyDescent="0.25">
      <c r="E396" s="11">
        <f t="shared" si="31"/>
        <v>84</v>
      </c>
      <c r="F396" s="11">
        <f t="shared" si="32"/>
        <v>8.7685676036527287</v>
      </c>
      <c r="G396" s="11">
        <f t="shared" si="33"/>
        <v>8.7795010254854535</v>
      </c>
    </row>
    <row r="397" spans="5:7" x14ac:dyDescent="0.25">
      <c r="E397" s="11">
        <f t="shared" si="31"/>
        <v>85</v>
      </c>
      <c r="F397" s="11">
        <f t="shared" si="32"/>
        <v>8.9045530220194031</v>
      </c>
      <c r="G397" s="11">
        <f t="shared" si="33"/>
        <v>8.9155884075521854</v>
      </c>
    </row>
    <row r="398" spans="5:7" x14ac:dyDescent="0.25">
      <c r="E398" s="11">
        <f t="shared" si="31"/>
        <v>86</v>
      </c>
      <c r="F398" s="11">
        <f t="shared" si="32"/>
        <v>9.0414399840617907</v>
      </c>
      <c r="G398" s="11">
        <f t="shared" si="33"/>
        <v>9.0523264636842171</v>
      </c>
    </row>
    <row r="399" spans="5:7" x14ac:dyDescent="0.25">
      <c r="E399" s="11">
        <f t="shared" si="31"/>
        <v>87</v>
      </c>
      <c r="F399" s="11">
        <f t="shared" si="32"/>
        <v>9.1792134567031027</v>
      </c>
      <c r="G399" s="11">
        <f t="shared" si="33"/>
        <v>9.1896891669189351</v>
      </c>
    </row>
    <row r="400" spans="5:7" x14ac:dyDescent="0.25">
      <c r="E400" s="11">
        <f t="shared" si="31"/>
        <v>88</v>
      </c>
      <c r="F400" s="11">
        <f t="shared" si="32"/>
        <v>9.3178533229533151</v>
      </c>
      <c r="G400" s="11">
        <f t="shared" si="33"/>
        <v>9.3276504902937294</v>
      </c>
    </row>
    <row r="401" spans="5:7" x14ac:dyDescent="0.25">
      <c r="E401" s="11">
        <f t="shared" si="31"/>
        <v>89</v>
      </c>
      <c r="F401" s="11">
        <f t="shared" si="32"/>
        <v>9.4573338136455707</v>
      </c>
      <c r="G401" s="11">
        <f t="shared" si="33"/>
        <v>9.4661844068459864</v>
      </c>
    </row>
    <row r="402" spans="5:7" x14ac:dyDescent="0.25">
      <c r="E402" s="11">
        <f t="shared" si="31"/>
        <v>90</v>
      </c>
      <c r="F402" s="11">
        <f t="shared" si="32"/>
        <v>9.5976229047647355</v>
      </c>
      <c r="G402" s="11">
        <f t="shared" si="33"/>
        <v>9.6052648896130961</v>
      </c>
    </row>
    <row r="403" spans="5:7" x14ac:dyDescent="0.25">
      <c r="E403" s="11">
        <f t="shared" si="31"/>
        <v>91</v>
      </c>
      <c r="F403" s="11">
        <f t="shared" si="32"/>
        <v>9.7386816792713784</v>
      </c>
      <c r="G403" s="11">
        <f t="shared" si="33"/>
        <v>9.7448659116324432</v>
      </c>
    </row>
    <row r="404" spans="5:7" x14ac:dyDescent="0.25">
      <c r="E404" s="11">
        <f t="shared" si="31"/>
        <v>92</v>
      </c>
      <c r="F404" s="11">
        <f t="shared" si="32"/>
        <v>9.8804636523097606</v>
      </c>
      <c r="G404" s="11">
        <f t="shared" si="33"/>
        <v>9.8849614459414177</v>
      </c>
    </row>
    <row r="405" spans="5:7" x14ac:dyDescent="0.25">
      <c r="E405" s="11">
        <f t="shared" si="31"/>
        <v>93</v>
      </c>
      <c r="F405" s="11">
        <f t="shared" si="32"/>
        <v>10.02291405867371</v>
      </c>
      <c r="G405" s="11">
        <f t="shared" si="33"/>
        <v>10.025525465577408</v>
      </c>
    </row>
    <row r="406" spans="5:7" x14ac:dyDescent="0.25">
      <c r="E406" s="11">
        <f t="shared" si="31"/>
        <v>94</v>
      </c>
      <c r="F406" s="11">
        <f t="shared" si="32"/>
        <v>10.165969101389681</v>
      </c>
      <c r="G406" s="11">
        <f t="shared" si="33"/>
        <v>10.166531943577802</v>
      </c>
    </row>
    <row r="407" spans="5:7" x14ac:dyDescent="0.25">
      <c r="E407" s="11">
        <f t="shared" si="31"/>
        <v>95</v>
      </c>
      <c r="F407" s="11">
        <f t="shared" si="32"/>
        <v>10.309555160261429</v>
      </c>
      <c r="G407" s="11">
        <f t="shared" si="33"/>
        <v>10.307954852979989</v>
      </c>
    </row>
    <row r="408" spans="5:7" x14ac:dyDescent="0.25">
      <c r="E408" s="11">
        <f t="shared" si="31"/>
        <v>96</v>
      </c>
      <c r="F408" s="11">
        <f t="shared" si="32"/>
        <v>10.453587959206224</v>
      </c>
      <c r="G408" s="11">
        <f t="shared" si="33"/>
        <v>10.449768166821354</v>
      </c>
    </row>
    <row r="409" spans="5:7" x14ac:dyDescent="0.25">
      <c r="E409" s="11">
        <f t="shared" si="31"/>
        <v>97</v>
      </c>
      <c r="F409" s="11">
        <f t="shared" si="32"/>
        <v>10.597971691197747</v>
      </c>
      <c r="G409" s="11">
        <f t="shared" si="33"/>
        <v>10.591945858139287</v>
      </c>
    </row>
    <row r="410" spans="5:7" x14ac:dyDescent="0.25">
      <c r="E410" s="11">
        <f t="shared" si="31"/>
        <v>98</v>
      </c>
      <c r="F410" s="11">
        <f t="shared" si="32"/>
        <v>10.742598099616114</v>
      </c>
      <c r="G410" s="11">
        <f t="shared" si="33"/>
        <v>10.734461899971173</v>
      </c>
    </row>
    <row r="411" spans="5:7" x14ac:dyDescent="0.25">
      <c r="E411" s="11">
        <f t="shared" si="31"/>
        <v>99</v>
      </c>
      <c r="F411" s="11">
        <f t="shared" si="32"/>
        <v>10.887345514790871</v>
      </c>
      <c r="G411" s="11">
        <f t="shared" si="33"/>
        <v>10.877290265354405</v>
      </c>
    </row>
    <row r="412" spans="5:7" x14ac:dyDescent="0.25">
      <c r="E412" s="11">
        <f t="shared" si="31"/>
        <v>100</v>
      </c>
      <c r="F412" s="11">
        <f t="shared" si="32"/>
        <v>11.032077844508008</v>
      </c>
      <c r="G412" s="11">
        <f t="shared" si="33"/>
        <v>11.02040492732637</v>
      </c>
    </row>
    <row r="413" spans="5:7" x14ac:dyDescent="0.25">
      <c r="E413" s="11">
        <f t="shared" si="31"/>
        <v>101</v>
      </c>
      <c r="F413" s="11">
        <f t="shared" si="32"/>
        <v>11.176643517237489</v>
      </c>
      <c r="G413" s="11">
        <f t="shared" si="33"/>
        <v>11.163779858924453</v>
      </c>
    </row>
    <row r="414" spans="5:7" x14ac:dyDescent="0.25">
      <c r="E414" s="11">
        <f t="shared" si="31"/>
        <v>102</v>
      </c>
      <c r="F414" s="11">
        <f t="shared" si="32"/>
        <v>11.32087437682293</v>
      </c>
      <c r="G414" s="11">
        <f t="shared" si="33"/>
        <v>11.307389033186045</v>
      </c>
    </row>
    <row r="415" spans="5:7" x14ac:dyDescent="0.25">
      <c r="E415" s="11">
        <f t="shared" ref="E415:E422" si="34">E208</f>
        <v>103</v>
      </c>
      <c r="F415" s="11">
        <f t="shared" ref="F415:F422" si="35">$H$217*0+E415*$I$217+E415^2*$J$217+E415^3*$K$217+E415^4*$L$217+E415^5*$M$217+E415^6*$N$217+E415^7*$O$217+E415^8*$P$217</f>
        <v>11.464584527360575</v>
      </c>
      <c r="G415" s="11">
        <f t="shared" ref="G415:G422" si="36">F208</f>
        <v>11.45120642314853</v>
      </c>
    </row>
    <row r="416" spans="5:7" x14ac:dyDescent="0.25">
      <c r="E416" s="11">
        <f t="shared" si="34"/>
        <v>104</v>
      </c>
      <c r="F416" s="11">
        <f t="shared" si="35"/>
        <v>11.607569126979875</v>
      </c>
      <c r="G416" s="11">
        <f t="shared" si="36"/>
        <v>11.5952060018493</v>
      </c>
    </row>
    <row r="417" spans="5:7" x14ac:dyDescent="0.25">
      <c r="E417" s="11">
        <f t="shared" si="34"/>
        <v>105</v>
      </c>
      <c r="F417" s="11">
        <f t="shared" si="35"/>
        <v>11.749603129223345</v>
      </c>
      <c r="G417" s="11">
        <f t="shared" si="36"/>
        <v>11.739361742325743</v>
      </c>
    </row>
    <row r="418" spans="5:7" x14ac:dyDescent="0.25">
      <c r="E418" s="11">
        <f t="shared" si="34"/>
        <v>106</v>
      </c>
      <c r="F418" s="11">
        <f t="shared" si="35"/>
        <v>11.890439970708742</v>
      </c>
      <c r="G418" s="11">
        <f t="shared" si="36"/>
        <v>11.883647617615246</v>
      </c>
    </row>
    <row r="419" spans="5:7" x14ac:dyDescent="0.25">
      <c r="E419" s="11">
        <f t="shared" si="34"/>
        <v>107</v>
      </c>
      <c r="F419" s="11">
        <f t="shared" si="35"/>
        <v>12.029810203741802</v>
      </c>
      <c r="G419" s="11">
        <f t="shared" si="36"/>
        <v>12.028037600755194</v>
      </c>
    </row>
    <row r="420" spans="5:7" x14ac:dyDescent="0.25">
      <c r="E420" s="11">
        <f t="shared" si="34"/>
        <v>108</v>
      </c>
      <c r="F420" s="11">
        <f t="shared" si="35"/>
        <v>12.167420072533215</v>
      </c>
      <c r="G420" s="11">
        <f t="shared" si="36"/>
        <v>12.172505664782982</v>
      </c>
    </row>
    <row r="421" spans="5:7" x14ac:dyDescent="0.25">
      <c r="E421" s="11">
        <f t="shared" si="34"/>
        <v>109</v>
      </c>
      <c r="F421" s="11">
        <f t="shared" si="35"/>
        <v>12.302950031658755</v>
      </c>
      <c r="G421" s="11">
        <f t="shared" si="36"/>
        <v>12.317025782735991</v>
      </c>
    </row>
    <row r="422" spans="5:7" x14ac:dyDescent="0.25">
      <c r="E422" s="11">
        <f t="shared" si="34"/>
        <v>110</v>
      </c>
      <c r="F422" s="11">
        <f t="shared" si="35"/>
        <v>12.43605320538679</v>
      </c>
      <c r="G422" s="11">
        <f t="shared" si="36"/>
        <v>12.461571927651613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2022-01-12T17:32:32Z</dcterms:modified>
</cp:coreProperties>
</file>