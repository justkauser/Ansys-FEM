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C403" i="43"/>
  <c r="C406" i="43" s="1"/>
  <c r="D403" i="43"/>
  <c r="E403" i="43"/>
  <c r="E405" i="43" s="1"/>
  <c r="F403" i="43"/>
  <c r="F415" i="43" s="1"/>
  <c r="G403" i="43"/>
  <c r="G410" i="43" s="1"/>
  <c r="H403" i="43"/>
  <c r="H434" i="43" s="1"/>
  <c r="B403" i="43"/>
  <c r="B405" i="43" s="1"/>
  <c r="C405" i="43"/>
  <c r="D405" i="43"/>
  <c r="D406" i="43"/>
  <c r="E406" i="43"/>
  <c r="C407" i="43"/>
  <c r="D407" i="43"/>
  <c r="C408" i="43"/>
  <c r="D408" i="43"/>
  <c r="E408" i="43"/>
  <c r="C409" i="43"/>
  <c r="D409" i="43"/>
  <c r="C410" i="43"/>
  <c r="D410" i="43"/>
  <c r="E410" i="43"/>
  <c r="F410" i="43"/>
  <c r="D411" i="43"/>
  <c r="E411" i="43"/>
  <c r="C412" i="43"/>
  <c r="D412" i="43"/>
  <c r="D413" i="43"/>
  <c r="E413" i="43"/>
  <c r="G413" i="43"/>
  <c r="C414" i="43"/>
  <c r="D414" i="43"/>
  <c r="C415" i="43"/>
  <c r="D415" i="43"/>
  <c r="E415" i="43"/>
  <c r="D416" i="43"/>
  <c r="E416" i="43"/>
  <c r="F416" i="43"/>
  <c r="G416" i="43"/>
  <c r="C417" i="43"/>
  <c r="D417" i="43"/>
  <c r="E417" i="43"/>
  <c r="C418" i="43"/>
  <c r="D418" i="43"/>
  <c r="E418" i="43"/>
  <c r="C419" i="43"/>
  <c r="D419" i="43"/>
  <c r="E419" i="43"/>
  <c r="F419" i="43"/>
  <c r="C420" i="43"/>
  <c r="D420" i="43"/>
  <c r="E420" i="43"/>
  <c r="F420" i="43"/>
  <c r="C421" i="43"/>
  <c r="D421" i="43"/>
  <c r="C422" i="43"/>
  <c r="D422" i="43"/>
  <c r="E422" i="43"/>
  <c r="C423" i="43"/>
  <c r="D423" i="43"/>
  <c r="E423" i="43"/>
  <c r="F423" i="43"/>
  <c r="C424" i="43"/>
  <c r="D424" i="43"/>
  <c r="E424" i="43"/>
  <c r="F424" i="43"/>
  <c r="C425" i="43"/>
  <c r="D425" i="43"/>
  <c r="E425" i="43"/>
  <c r="C426" i="43"/>
  <c r="D426" i="43"/>
  <c r="E426" i="43"/>
  <c r="C427" i="43"/>
  <c r="D427" i="43"/>
  <c r="E427" i="43"/>
  <c r="F427" i="43"/>
  <c r="C428" i="43"/>
  <c r="D428" i="43"/>
  <c r="C429" i="43"/>
  <c r="D429" i="43"/>
  <c r="E429" i="43"/>
  <c r="C430" i="43"/>
  <c r="D430" i="43"/>
  <c r="E430" i="43"/>
  <c r="F430" i="43"/>
  <c r="C431" i="43"/>
  <c r="D431" i="43"/>
  <c r="E431" i="43"/>
  <c r="F431" i="43"/>
  <c r="G431" i="43"/>
  <c r="C432" i="43"/>
  <c r="D432" i="43"/>
  <c r="C433" i="43"/>
  <c r="D433" i="43"/>
  <c r="E433" i="43"/>
  <c r="C434" i="43"/>
  <c r="D434" i="43"/>
  <c r="E434" i="43"/>
  <c r="F434" i="43"/>
  <c r="G434" i="43"/>
  <c r="C404" i="43"/>
  <c r="D404" i="43"/>
  <c r="E404" i="43"/>
  <c r="F404" i="43"/>
  <c r="B65" i="43"/>
  <c r="A65" i="43"/>
  <c r="A67" i="43"/>
  <c r="G428" i="43" l="1"/>
  <c r="F417" i="43"/>
  <c r="G406" i="43"/>
  <c r="F432" i="43"/>
  <c r="F428" i="43"/>
  <c r="G425" i="43"/>
  <c r="F421" i="43"/>
  <c r="F414" i="43"/>
  <c r="H416" i="43"/>
  <c r="E432" i="43"/>
  <c r="F429" i="43"/>
  <c r="E428" i="43"/>
  <c r="F425" i="43"/>
  <c r="G422" i="43"/>
  <c r="E421" i="43"/>
  <c r="F418" i="43"/>
  <c r="C416" i="43"/>
  <c r="E414" i="43"/>
  <c r="C413" i="43"/>
  <c r="C411" i="43"/>
  <c r="E409" i="43"/>
  <c r="G407" i="43"/>
  <c r="F406" i="43"/>
  <c r="F433" i="43"/>
  <c r="F426" i="43"/>
  <c r="F422" i="43"/>
  <c r="G419" i="43"/>
  <c r="E412" i="43"/>
  <c r="E407" i="43"/>
  <c r="B433" i="43"/>
  <c r="B424" i="43"/>
  <c r="B415" i="43"/>
  <c r="B411" i="43"/>
  <c r="B410" i="43"/>
  <c r="B434" i="43"/>
  <c r="B426" i="43"/>
  <c r="B425" i="43"/>
  <c r="B417" i="43"/>
  <c r="B416" i="43"/>
  <c r="B407" i="43"/>
  <c r="B430" i="43"/>
  <c r="B421" i="43"/>
  <c r="B413" i="43"/>
  <c r="B409" i="43"/>
  <c r="B432" i="43"/>
  <c r="B431" i="43"/>
  <c r="B423" i="43"/>
  <c r="B422" i="43"/>
  <c r="B414" i="43"/>
  <c r="B406" i="43"/>
  <c r="B404" i="43"/>
  <c r="B427" i="43"/>
  <c r="B418" i="43"/>
  <c r="B412" i="43"/>
  <c r="B408" i="43"/>
  <c r="B429" i="43"/>
  <c r="B428" i="43"/>
  <c r="B420" i="43"/>
  <c r="B419" i="43"/>
  <c r="H419" i="43"/>
  <c r="H418" i="43"/>
  <c r="H417" i="43"/>
  <c r="H404" i="43"/>
  <c r="H433" i="43"/>
  <c r="H432" i="43"/>
  <c r="H431" i="43"/>
  <c r="H415" i="43"/>
  <c r="H414" i="43"/>
  <c r="H413" i="43"/>
  <c r="H428" i="43"/>
  <c r="H412" i="43"/>
  <c r="H411" i="43"/>
  <c r="H410" i="43"/>
  <c r="H430" i="43"/>
  <c r="H427" i="43"/>
  <c r="H426" i="43"/>
  <c r="H425" i="43"/>
  <c r="F413" i="43"/>
  <c r="F412" i="43"/>
  <c r="F411" i="43"/>
  <c r="H409" i="43"/>
  <c r="H408" i="43"/>
  <c r="H407" i="43"/>
  <c r="H429" i="43"/>
  <c r="H424" i="43"/>
  <c r="H423" i="43"/>
  <c r="H422" i="43"/>
  <c r="F409" i="43"/>
  <c r="F408" i="43"/>
  <c r="H406" i="43"/>
  <c r="H405" i="43"/>
  <c r="F405" i="43"/>
  <c r="H421" i="43"/>
  <c r="H420" i="43"/>
  <c r="F407" i="43"/>
  <c r="G432" i="43"/>
  <c r="G429" i="43"/>
  <c r="G426" i="43"/>
  <c r="G423" i="43"/>
  <c r="G420" i="43"/>
  <c r="G417" i="43"/>
  <c r="G414" i="43"/>
  <c r="G411" i="43"/>
  <c r="G408" i="43"/>
  <c r="G405" i="43"/>
  <c r="G404" i="43"/>
  <c r="G433" i="43"/>
  <c r="G430" i="43"/>
  <c r="G427" i="43"/>
  <c r="G424" i="43"/>
  <c r="G421" i="43"/>
  <c r="G418" i="43"/>
  <c r="G415" i="43"/>
  <c r="G412" i="43"/>
  <c r="G409" i="43"/>
  <c r="N122" i="43"/>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P398" i="43" l="1"/>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<sst xmlns="http://schemas.openxmlformats.org/spreadsheetml/2006/main" count="311" uniqueCount="164">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</sst>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39907192"/>
        <c:axId val="4399056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9907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5624"/>
        <c:crossesAt val="-8.0000000000000019E-3"/>
        <c:crossBetween val="midCat"/>
      </c:valAx>
      <c:valAx>
        <c:axId val="439905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71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39908368"/>
        <c:axId val="4399107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99083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10720"/>
        <c:crosses val="autoZero"/>
        <c:crossBetween val="midCat"/>
      </c:valAx>
      <c:valAx>
        <c:axId val="43991072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83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39911504"/>
        <c:axId val="439906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399115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6016"/>
        <c:crosses val="autoZero"/>
        <c:crossBetween val="midCat"/>
        <c:majorUnit val="10000"/>
      </c:valAx>
      <c:valAx>
        <c:axId val="43990601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11504"/>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4359248"/>
        <c:axId val="4443545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3592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354544"/>
        <c:crosses val="autoZero"/>
        <c:crossBetween val="midCat"/>
        <c:majorUnit val="10000"/>
      </c:valAx>
      <c:valAx>
        <c:axId val="44435454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35924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4359640"/>
        <c:axId val="444352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35964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2584"/>
        <c:crosses val="autoZero"/>
        <c:crossBetween val="midCat"/>
        <c:majorUnit val="10000"/>
      </c:valAx>
      <c:valAx>
        <c:axId val="444352584"/>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9640"/>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5.8761851024628345E-2</c:v>
                </c:pt>
                <c:pt idx="1">
                  <c:v>8.0312811998341324E-2</c:v>
                </c:pt>
                <c:pt idx="2">
                  <c:v>0.10089862688992124</c:v>
                </c:pt>
                <c:pt idx="3">
                  <c:v>0.12443359497104345</c:v>
                </c:pt>
                <c:pt idx="4">
                  <c:v>0.15110222033660281</c:v>
                </c:pt>
                <c:pt idx="5">
                  <c:v>0.18403498919871419</c:v>
                </c:pt>
                <c:pt idx="6">
                  <c:v>0.21551744029853534</c:v>
                </c:pt>
                <c:pt idx="7">
                  <c:v>0.2501609134567897</c:v>
                </c:pt>
                <c:pt idx="8">
                  <c:v>0.29125320863908882</c:v>
                </c:pt>
                <c:pt idx="9">
                  <c:v>0.34342270986119922</c:v>
                </c:pt>
                <c:pt idx="10">
                  <c:v>0.39823081183687548</c:v>
                </c:pt>
                <c:pt idx="11">
                  <c:v>0.42533262503876995</c:v>
                </c:pt>
                <c:pt idx="12">
                  <c:v>0.44149222436874314</c:v>
                </c:pt>
                <c:pt idx="13">
                  <c:v>0.45602534874973694</c:v>
                </c:pt>
                <c:pt idx="14">
                  <c:v>0.46480984707070888</c:v>
                </c:pt>
                <c:pt idx="15">
                  <c:v>0.47151904630678704</c:v>
                </c:pt>
                <c:pt idx="16">
                  <c:v>0.48468848446609364</c:v>
                </c:pt>
                <c:pt idx="17">
                  <c:v>0.5497797649459456</c:v>
                </c:pt>
                <c:pt idx="18">
                  <c:v>0.74700340063453108</c:v>
                </c:pt>
                <c:pt idx="19">
                  <c:v>1.0394717984979476</c:v>
                </c:pt>
                <c:pt idx="20">
                  <c:v>1.3721808211621438</c:v>
                </c:pt>
                <c:pt idx="21">
                  <c:v>1.7627082020401297</c:v>
                </c:pt>
                <c:pt idx="22">
                  <c:v>2.2317872957765772</c:v>
                </c:pt>
                <c:pt idx="23">
                  <c:v>2.7845714827649521</c:v>
                </c:pt>
                <c:pt idx="24">
                  <c:v>3.1338208068544215</c:v>
                </c:pt>
                <c:pt idx="25">
                  <c:v>2.776714997665982</c:v>
                </c:pt>
                <c:pt idx="26">
                  <c:v>1.7797912160656859</c:v>
                </c:pt>
                <c:pt idx="27">
                  <c:v>0.79943436099854348</c:v>
                </c:pt>
                <c:pt idx="28">
                  <c:v>8.486496353221365E-2</c:v>
                </c:pt>
                <c:pt idx="29">
                  <c:v>0.21966392397080964</c:v>
                </c:pt>
                <c:pt idx="30">
                  <c:v>0.29469294040920674</c:v>
                </c:pt>
              </c:numCache>
            </c:numRef>
          </c:yVal>
          <c:smooth val="1"/>
        </c:ser>
        <c:dLbls>
          <c:showLegendKey val="0"/>
          <c:showVal val="0"/>
          <c:showCatName val="0"/>
          <c:showSerName val="0"/>
          <c:showPercent val="0"/>
          <c:showBubbleSize val="0"/>
        </c:dLbls>
        <c:axId val="444354936"/>
        <c:axId val="444355328"/>
      </c:scatterChart>
      <c:valAx>
        <c:axId val="4443549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5328"/>
        <c:crossesAt val="-1.5000000000000005E-3"/>
        <c:crossBetween val="midCat"/>
      </c:valAx>
      <c:valAx>
        <c:axId val="44435532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493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11394.184719156523</c:v>
                </c:pt>
                <c:pt idx="1">
                  <c:v>11394.184719113284</c:v>
                </c:pt>
                <c:pt idx="2">
                  <c:v>11394.184718680888</c:v>
                </c:pt>
                <c:pt idx="3">
                  <c:v>11394.18471435693</c:v>
                </c:pt>
                <c:pt idx="4">
                  <c:v>11394.184671117349</c:v>
                </c:pt>
                <c:pt idx="5">
                  <c:v>11394.184238722166</c:v>
                </c:pt>
                <c:pt idx="6">
                  <c:v>11394.179914833458</c:v>
                </c:pt>
                <c:pt idx="7">
                  <c:v>11394.136682258131</c:v>
                </c:pt>
                <c:pt idx="8">
                  <c:v>11393.70498588378</c:v>
                </c:pt>
                <c:pt idx="9">
                  <c:v>11389.449213217187</c:v>
                </c:pt>
                <c:pt idx="10">
                  <c:v>11351.652651261153</c:v>
                </c:pt>
                <c:pt idx="11">
                  <c:v>11134.549597340296</c:v>
                </c:pt>
                <c:pt idx="12">
                  <c:v>10860.932831195776</c:v>
                </c:pt>
                <c:pt idx="13">
                  <c:v>10566.176208256833</c:v>
                </c:pt>
                <c:pt idx="14">
                  <c:v>10211.730740140585</c:v>
                </c:pt>
                <c:pt idx="15">
                  <c:v>9842.2933146756732</c:v>
                </c:pt>
                <c:pt idx="16">
                  <c:v>9402.3242472341572</c:v>
                </c:pt>
                <c:pt idx="17">
                  <c:v>8845.8528129745573</c:v>
                </c:pt>
                <c:pt idx="18">
                  <c:v>8216.8600257183916</c:v>
                </c:pt>
                <c:pt idx="19">
                  <c:v>7580.0427743460341</c:v>
                </c:pt>
                <c:pt idx="20">
                  <c:v>6940.1530949510507</c:v>
                </c:pt>
                <c:pt idx="21">
                  <c:v>6274.8264577171694</c:v>
                </c:pt>
                <c:pt idx="22">
                  <c:v>5464.6670539811194</c:v>
                </c:pt>
                <c:pt idx="23">
                  <c:v>4520.4975277654412</c:v>
                </c:pt>
                <c:pt idx="24">
                  <c:v>3450.9315094925391</c:v>
                </c:pt>
                <c:pt idx="25">
                  <c:v>2293.9923245898121</c:v>
                </c:pt>
                <c:pt idx="26">
                  <c:v>1370.4676935529137</c:v>
                </c:pt>
                <c:pt idx="27">
                  <c:v>780.46598704419</c:v>
                </c:pt>
                <c:pt idx="28">
                  <c:v>438.0302091190689</c:v>
                </c:pt>
                <c:pt idx="29">
                  <c:v>302.49220144384549</c:v>
                </c:pt>
                <c:pt idx="30">
                  <c:v>264.11972999002569</c:v>
                </c:pt>
              </c:numCache>
            </c:numRef>
          </c:yVal>
          <c:smooth val="1"/>
        </c:ser>
        <c:dLbls>
          <c:showLegendKey val="0"/>
          <c:showVal val="0"/>
          <c:showCatName val="0"/>
          <c:showSerName val="0"/>
          <c:showPercent val="0"/>
          <c:showBubbleSize val="0"/>
        </c:dLbls>
        <c:axId val="444358856"/>
        <c:axId val="444360032"/>
      </c:scatterChart>
      <c:valAx>
        <c:axId val="4443588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60032"/>
        <c:crosses val="autoZero"/>
        <c:crossBetween val="midCat"/>
      </c:valAx>
      <c:valAx>
        <c:axId val="4443600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885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1.7239389506012791E-2</c:v>
                </c:pt>
                <c:pt idx="1">
                  <c:v>1.0793868247552433E-2</c:v>
                </c:pt>
                <c:pt idx="2">
                  <c:v>1.1652464884983036E-2</c:v>
                </c:pt>
                <c:pt idx="3">
                  <c:v>2.9046442329920735E-2</c:v>
                </c:pt>
                <c:pt idx="4">
                  <c:v>4.5930345246771941E-2</c:v>
                </c:pt>
                <c:pt idx="5">
                  <c:v>6.5082810808299488E-2</c:v>
                </c:pt>
                <c:pt idx="6">
                  <c:v>8.6082722969023223E-2</c:v>
                </c:pt>
                <c:pt idx="7">
                  <c:v>0.11124498940420903</c:v>
                </c:pt>
                <c:pt idx="8">
                  <c:v>0.14054809787352934</c:v>
                </c:pt>
                <c:pt idx="9">
                  <c:v>0.17211931299720082</c:v>
                </c:pt>
                <c:pt idx="10">
                  <c:v>0.20480709082190543</c:v>
                </c:pt>
                <c:pt idx="11">
                  <c:v>0.23891466466892444</c:v>
                </c:pt>
                <c:pt idx="12">
                  <c:v>0.2869969802100929</c:v>
                </c:pt>
                <c:pt idx="13">
                  <c:v>0.34366423540531549</c:v>
                </c:pt>
                <c:pt idx="14">
                  <c:v>0.40164437424236327</c:v>
                </c:pt>
                <c:pt idx="15">
                  <c:v>0.45180080253617805</c:v>
                </c:pt>
                <c:pt idx="16">
                  <c:v>0.50502033413089387</c:v>
                </c:pt>
                <c:pt idx="17">
                  <c:v>0.54288393275574365</c:v>
                </c:pt>
                <c:pt idx="18">
                  <c:v>0.5673092594071697</c:v>
                </c:pt>
                <c:pt idx="19">
                  <c:v>0.59931975360352652</c:v>
                </c:pt>
                <c:pt idx="20">
                  <c:v>0.68244029654419913</c:v>
                </c:pt>
                <c:pt idx="21">
                  <c:v>0.91753597978003398</c:v>
                </c:pt>
                <c:pt idx="22">
                  <c:v>1.3153898567846749</c:v>
                </c:pt>
                <c:pt idx="23">
                  <c:v>1.767886703906604</c:v>
                </c:pt>
                <c:pt idx="24">
                  <c:v>2.28621033680299</c:v>
                </c:pt>
                <c:pt idx="25">
                  <c:v>2.9714635833162619</c:v>
                </c:pt>
                <c:pt idx="26">
                  <c:v>4.0776759677235122</c:v>
                </c:pt>
                <c:pt idx="27">
                  <c:v>5.5446308554023265</c:v>
                </c:pt>
                <c:pt idx="28">
                  <c:v>7.3029727337415915</c:v>
                </c:pt>
                <c:pt idx="29">
                  <c:v>7.9008153708788784</c:v>
                </c:pt>
                <c:pt idx="30">
                  <c:v>7.2640063997858109</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5.8761851024628345E-2</c:v>
                </c:pt>
                <c:pt idx="1">
                  <c:v>8.0312811998340977E-2</c:v>
                </c:pt>
                <c:pt idx="2">
                  <c:v>0.10089862688991509</c:v>
                </c:pt>
                <c:pt idx="3">
                  <c:v>0.12443359497097972</c:v>
                </c:pt>
                <c:pt idx="4">
                  <c:v>0.151102220335951</c:v>
                </c:pt>
                <c:pt idx="5">
                  <c:v>0.18403498919200961</c:v>
                </c:pt>
                <c:pt idx="6">
                  <c:v>0.21551744022970704</c:v>
                </c:pt>
                <c:pt idx="7">
                  <c:v>0.25016091274907487</c:v>
                </c:pt>
                <c:pt idx="8">
                  <c:v>0.29125320134836541</c:v>
                </c:pt>
                <c:pt idx="9">
                  <c:v>0.34342263590885758</c:v>
                </c:pt>
                <c:pt idx="10">
                  <c:v>0.39823017940458122</c:v>
                </c:pt>
                <c:pt idx="11">
                  <c:v>0.42532997911071979</c:v>
                </c:pt>
                <c:pt idx="12">
                  <c:v>0.44149020630485958</c:v>
                </c:pt>
                <c:pt idx="13">
                  <c:v>0.45602234053965268</c:v>
                </c:pt>
                <c:pt idx="14">
                  <c:v>0.4648067973219086</c:v>
                </c:pt>
                <c:pt idx="15">
                  <c:v>0.47151567020231044</c:v>
                </c:pt>
                <c:pt idx="16">
                  <c:v>0.48468393733235343</c:v>
                </c:pt>
                <c:pt idx="17">
                  <c:v>0.54977396569032511</c:v>
                </c:pt>
                <c:pt idx="18">
                  <c:v>0.7469963508853813</c:v>
                </c:pt>
                <c:pt idx="19">
                  <c:v>1.0394632423228087</c:v>
                </c:pt>
                <c:pt idx="20">
                  <c:v>1.3721693095606387</c:v>
                </c:pt>
                <c:pt idx="21">
                  <c:v>1.762694131860689</c:v>
                </c:pt>
                <c:pt idx="22">
                  <c:v>2.2317526111071242</c:v>
                </c:pt>
                <c:pt idx="23">
                  <c:v>2.7845177864995385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8.9817969519717475E-2</c:v>
                </c:pt>
                <c:pt idx="1">
                  <c:v>0.11524383189812649</c:v>
                </c:pt>
                <c:pt idx="2">
                  <c:v>0.14044954098196402</c:v>
                </c:pt>
                <c:pt idx="3">
                  <c:v>0.16966558097346765</c:v>
                </c:pt>
                <c:pt idx="4">
                  <c:v>0.2002838494799789</c:v>
                </c:pt>
                <c:pt idx="5">
                  <c:v>0.22775121381891961</c:v>
                </c:pt>
                <c:pt idx="6">
                  <c:v>0.23006411788381359</c:v>
                </c:pt>
                <c:pt idx="7">
                  <c:v>0.24501728472411463</c:v>
                </c:pt>
                <c:pt idx="8">
                  <c:v>0.2588411113211091</c:v>
                </c:pt>
                <c:pt idx="9">
                  <c:v>0.2697456902108068</c:v>
                </c:pt>
                <c:pt idx="10">
                  <c:v>0.26791676404284981</c:v>
                </c:pt>
                <c:pt idx="11">
                  <c:v>0.25227892153391479</c:v>
                </c:pt>
                <c:pt idx="12">
                  <c:v>0.21923494000636792</c:v>
                </c:pt>
                <c:pt idx="13">
                  <c:v>0.1786997397935918</c:v>
                </c:pt>
                <c:pt idx="14">
                  <c:v>0.13179601558872669</c:v>
                </c:pt>
                <c:pt idx="15">
                  <c:v>9.2208243832773637E-2</c:v>
                </c:pt>
                <c:pt idx="16">
                  <c:v>7.847745128651705E-2</c:v>
                </c:pt>
                <c:pt idx="17">
                  <c:v>9.7563959678370116E-2</c:v>
                </c:pt>
                <c:pt idx="18">
                  <c:v>0.13395743150693276</c:v>
                </c:pt>
                <c:pt idx="19">
                  <c:v>8.7364914567204285E-2</c:v>
                </c:pt>
                <c:pt idx="20">
                  <c:v>9.5321419813262934E-2</c:v>
                </c:pt>
                <c:pt idx="21">
                  <c:v>0.25885579870039055</c:v>
                </c:pt>
                <c:pt idx="22">
                  <c:v>0.41206035541129943</c:v>
                </c:pt>
                <c:pt idx="23">
                  <c:v>0.50838307229212842</c:v>
                </c:pt>
                <c:pt idx="24">
                  <c:v>0.50615990108638342</c:v>
                </c:pt>
                <c:pt idx="25">
                  <c:v>0.46413743002886548</c:v>
                </c:pt>
                <c:pt idx="26">
                  <c:v>0.59810808380869063</c:v>
                </c:pt>
                <c:pt idx="27">
                  <c:v>0.62382429697635322</c:v>
                </c:pt>
                <c:pt idx="28">
                  <c:v>0.61073982724312326</c:v>
                </c:pt>
                <c:pt idx="29">
                  <c:v>0.59784736945061423</c:v>
                </c:pt>
                <c:pt idx="30">
                  <c:v>0.57974514877793271</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6.0719735581084983E-2</c:v>
                </c:pt>
                <c:pt idx="1">
                  <c:v>4.0112447626359918E-2</c:v>
                </c:pt>
                <c:pt idx="2">
                  <c:v>6.1243522905219333E-3</c:v>
                </c:pt>
                <c:pt idx="3">
                  <c:v>2.8899480658389157E-2</c:v>
                </c:pt>
                <c:pt idx="4">
                  <c:v>6.7612307130290317E-2</c:v>
                </c:pt>
                <c:pt idx="5">
                  <c:v>0.12221431029308188</c:v>
                </c:pt>
                <c:pt idx="6">
                  <c:v>0.18185806542932675</c:v>
                </c:pt>
                <c:pt idx="7">
                  <c:v>0.28821585576448294</c:v>
                </c:pt>
                <c:pt idx="8">
                  <c:v>0.41233317083081988</c:v>
                </c:pt>
                <c:pt idx="9">
                  <c:v>0.56534188118105144</c:v>
                </c:pt>
                <c:pt idx="10">
                  <c:v>0.72304691421410483</c:v>
                </c:pt>
                <c:pt idx="11">
                  <c:v>0.82706278192124116</c:v>
                </c:pt>
                <c:pt idx="12">
                  <c:v>0.89832995342342192</c:v>
                </c:pt>
                <c:pt idx="13">
                  <c:v>0.93078120546043086</c:v>
                </c:pt>
                <c:pt idx="14">
                  <c:v>0.93457160636111514</c:v>
                </c:pt>
                <c:pt idx="15">
                  <c:v>0.92805134716668847</c:v>
                </c:pt>
                <c:pt idx="16">
                  <c:v>0.93189846327862547</c:v>
                </c:pt>
                <c:pt idx="17">
                  <c:v>0.896935380838221</c:v>
                </c:pt>
                <c:pt idx="18">
                  <c:v>0.84042317674152967</c:v>
                </c:pt>
                <c:pt idx="19">
                  <c:v>0.77539106624167042</c:v>
                </c:pt>
                <c:pt idx="20">
                  <c:v>0.71421285295527759</c:v>
                </c:pt>
                <c:pt idx="21">
                  <c:v>0.67264651944919407</c:v>
                </c:pt>
                <c:pt idx="22">
                  <c:v>0.63963630111684011</c:v>
                </c:pt>
                <c:pt idx="23">
                  <c:v>0.61858844288660275</c:v>
                </c:pt>
                <c:pt idx="24">
                  <c:v>0.60469908618960611</c:v>
                </c:pt>
                <c:pt idx="25">
                  <c:v>0.58028057309722325</c:v>
                </c:pt>
                <c:pt idx="26">
                  <c:v>0.57222326214525077</c:v>
                </c:pt>
                <c:pt idx="27">
                  <c:v>0.56619522595357741</c:v>
                </c:pt>
                <c:pt idx="28">
                  <c:v>0.56583861403827307</c:v>
                </c:pt>
                <c:pt idx="29">
                  <c:v>0.56345427669426351</c:v>
                </c:pt>
                <c:pt idx="30">
                  <c:v>0.56198543150542024</c:v>
                </c:pt>
              </c:numCache>
            </c:numRef>
          </c:yVal>
          <c:smooth val="1"/>
        </c:ser>
        <c:dLbls>
          <c:showLegendKey val="0"/>
          <c:showVal val="0"/>
          <c:showCatName val="0"/>
          <c:showSerName val="0"/>
          <c:showPercent val="0"/>
          <c:showBubbleSize val="0"/>
        </c:dLbls>
        <c:axId val="444353368"/>
        <c:axId val="444356112"/>
      </c:scatterChart>
      <c:valAx>
        <c:axId val="444353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6112"/>
        <c:crossesAt val="1.0000000000000005E-9"/>
        <c:crossBetween val="midCat"/>
      </c:valAx>
      <c:valAx>
        <c:axId val="444356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33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-14.406800109604639</c:v>
                </c:pt>
                <c:pt idx="1">
                  <c:v>-10.950515452938541</c:v>
                </c:pt>
                <c:pt idx="2">
                  <c:v>-6.5770330385822291</c:v>
                </c:pt>
                <c:pt idx="3">
                  <c:v>0</c:v>
                </c:pt>
                <c:pt idx="4">
                  <c:v>12.063922953615501</c:v>
                </c:pt>
                <c:pt idx="5">
                  <c:v>31.8000897176249</c:v>
                </c:pt>
                <c:pt idx="6">
                  <c:v>35.861537922668312</c:v>
                </c:pt>
              </c:numCache>
            </c:numRef>
          </c:yVal>
          <c:smooth val="0"/>
        </c:ser>
        <c:dLbls>
          <c:showLegendKey val="0"/>
          <c:showVal val="0"/>
          <c:showCatName val="0"/>
          <c:showSerName val="0"/>
          <c:showPercent val="0"/>
          <c:showBubbleSize val="0"/>
        </c:dLbls>
        <c:axId val="444353760"/>
        <c:axId val="444358072"/>
      </c:scatterChart>
      <c:valAx>
        <c:axId val="444353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8072"/>
        <c:crossesAt val="-100"/>
        <c:crossBetween val="midCat"/>
      </c:valAx>
      <c:valAx>
        <c:axId val="444358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376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44354152"/>
        <c:axId val="439907976"/>
      </c:scatterChart>
      <c:valAx>
        <c:axId val="4443541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907976"/>
        <c:crosses val="autoZero"/>
        <c:crossBetween val="midCat"/>
      </c:valAx>
      <c:valAx>
        <c:axId val="43990797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354152"/>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816392"/>
        <c:axId val="445815216"/>
      </c:scatterChart>
      <c:valAx>
        <c:axId val="4458163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5216"/>
        <c:crosses val="autoZero"/>
        <c:crossBetween val="midCat"/>
      </c:valAx>
      <c:valAx>
        <c:axId val="44581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39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1.73498278063804E-10</c:v>
                </c:pt>
                <c:pt idx="1">
                  <c:v>1.7349827806380399E-9</c:v>
                </c:pt>
                <c:pt idx="2">
                  <c:v>1.7349827806380399E-8</c:v>
                </c:pt>
                <c:pt idx="3">
                  <c:v>1.7349827806380399E-7</c:v>
                </c:pt>
                <c:pt idx="4">
                  <c:v>1.7349827806380398E-6</c:v>
                </c:pt>
                <c:pt idx="5">
                  <c:v>1.7349827806380399E-5</c:v>
                </c:pt>
                <c:pt idx="6">
                  <c:v>1.7349827806380401E-4</c:v>
                </c:pt>
                <c:pt idx="7">
                  <c:v>1.73498278063804E-3</c:v>
                </c:pt>
                <c:pt idx="8">
                  <c:v>1.7349827806380398E-2</c:v>
                </c:pt>
                <c:pt idx="9">
                  <c:v>0.173498278063804</c:v>
                </c:pt>
                <c:pt idx="10">
                  <c:v>1.73498278063804</c:v>
                </c:pt>
                <c:pt idx="11">
                  <c:v>17.3498278063804</c:v>
                </c:pt>
                <c:pt idx="12">
                  <c:v>173.49827806380401</c:v>
                </c:pt>
                <c:pt idx="13">
                  <c:v>1734.9827806380399</c:v>
                </c:pt>
                <c:pt idx="14">
                  <c:v>17349.827806380399</c:v>
                </c:pt>
                <c:pt idx="15">
                  <c:v>173498.278063804</c:v>
                </c:pt>
                <c:pt idx="16">
                  <c:v>1734982.78063804</c:v>
                </c:pt>
                <c:pt idx="17">
                  <c:v>17349827.806380399</c:v>
                </c:pt>
                <c:pt idx="18">
                  <c:v>173498278.063804</c:v>
                </c:pt>
                <c:pt idx="19">
                  <c:v>1734982780.6380401</c:v>
                </c:pt>
                <c:pt idx="20">
                  <c:v>17349827806.380398</c:v>
                </c:pt>
                <c:pt idx="21">
                  <c:v>173498278063.80399</c:v>
                </c:pt>
                <c:pt idx="22">
                  <c:v>1734982780638.04</c:v>
                </c:pt>
                <c:pt idx="23">
                  <c:v>17349827806380.4</c:v>
                </c:pt>
                <c:pt idx="24">
                  <c:v>173498278063804</c:v>
                </c:pt>
                <c:pt idx="25">
                  <c:v>1734982780638040</c:v>
                </c:pt>
                <c:pt idx="26">
                  <c:v>1.73498278063804E+16</c:v>
                </c:pt>
                <c:pt idx="27">
                  <c:v>1.73498278063804E+17</c:v>
                </c:pt>
                <c:pt idx="28">
                  <c:v>1.7349827806380401E+18</c:v>
                </c:pt>
                <c:pt idx="29">
                  <c:v>1.7349827806380401E+19</c:v>
                </c:pt>
                <c:pt idx="30">
                  <c:v>1.7349827806380399E+20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816000"/>
        <c:axId val="445817176"/>
      </c:scatterChart>
      <c:valAx>
        <c:axId val="4458160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7176"/>
        <c:crosses val="autoZero"/>
        <c:crossBetween val="midCat"/>
      </c:valAx>
      <c:valAx>
        <c:axId val="445817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00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-14.406800109604639</c:v>
                </c:pt>
                <c:pt idx="1">
                  <c:v>-10.950515452938541</c:v>
                </c:pt>
                <c:pt idx="2">
                  <c:v>-6.5770330385822291</c:v>
                </c:pt>
                <c:pt idx="3">
                  <c:v>0</c:v>
                </c:pt>
                <c:pt idx="4">
                  <c:v>12.063922953615501</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-47.415745212709396</c:v>
                </c:pt>
                <c:pt idx="1">
                  <c:v>-47.475947395315245</c:v>
                </c:pt>
                <c:pt idx="2">
                  <c:v>-47.362952852895148</c:v>
                </c:pt>
                <c:pt idx="3">
                  <c:v>-47.113737422063565</c:v>
                </c:pt>
                <c:pt idx="4">
                  <c:v>-46.761183583043703</c:v>
                </c:pt>
                <c:pt idx="5">
                  <c:v>-46.334353342722551</c:v>
                </c:pt>
                <c:pt idx="6">
                  <c:v>-45.858749765387756</c:v>
                </c:pt>
                <c:pt idx="7">
                  <c:v>-45.356567428183752</c:v>
                </c:pt>
                <c:pt idx="8">
                  <c:v>-44.846932075239607</c:v>
                </c:pt>
                <c:pt idx="9">
                  <c:v>-44.346129741353366</c:v>
                </c:pt>
                <c:pt idx="10">
                  <c:v>-43.867825613032181</c:v>
                </c:pt>
                <c:pt idx="11">
                  <c:v>-43.423272891616307</c:v>
                </c:pt>
                <c:pt idx="12">
                  <c:v>-43.021511920134046</c:v>
                </c:pt>
                <c:pt idx="13">
                  <c:v>-42.669559832462085</c:v>
                </c:pt>
                <c:pt idx="14">
                  <c:v>-42.372590980283519</c:v>
                </c:pt>
                <c:pt idx="15">
                  <c:v>-42.134108390262938</c:v>
                </c:pt>
                <c:pt idx="16">
                  <c:v>-41.956106500779029</c:v>
                </c:pt>
                <c:pt idx="17">
                  <c:v>-41.839225424479444</c:v>
                </c:pt>
                <c:pt idx="18">
                  <c:v>-41.78289697984281</c:v>
                </c:pt>
                <c:pt idx="19">
                  <c:v>-41.785482731859574</c:v>
                </c:pt>
                <c:pt idx="20">
                  <c:v>-41.844404278864836</c:v>
                </c:pt>
                <c:pt idx="21">
                  <c:v>-41.956266019476502</c:v>
                </c:pt>
                <c:pt idx="22">
                  <c:v>-42.116970630520505</c:v>
                </c:pt>
                <c:pt idx="23">
                  <c:v>-42.32182748374322</c:v>
                </c:pt>
                <c:pt idx="24">
                  <c:v>-42.565654226036578</c:v>
                </c:pt>
                <c:pt idx="25">
                  <c:v>-42.842871744823206</c:v>
                </c:pt>
                <c:pt idx="26">
                  <c:v>-43.147592737173014</c:v>
                </c:pt>
                <c:pt idx="27">
                  <c:v>-43.473704098144609</c:v>
                </c:pt>
                <c:pt idx="28">
                  <c:v>-43.814943340768146</c:v>
                </c:pt>
                <c:pt idx="29">
                  <c:v>-44.164969257010583</c:v>
                </c:pt>
                <c:pt idx="30">
                  <c:v>-44.517427025984112</c:v>
                </c:pt>
                <c:pt idx="31">
                  <c:v>-44.866007972585635</c:v>
                </c:pt>
                <c:pt idx="32">
                  <c:v>-45.204504176674618</c:v>
                </c:pt>
                <c:pt idx="33">
                  <c:v>-45.526858129821797</c:v>
                </c:pt>
                <c:pt idx="34">
                  <c:v>-45.827207633582987</c:v>
                </c:pt>
                <c:pt idx="35">
                  <c:v>-46.099926130176542</c:v>
                </c:pt>
                <c:pt idx="36">
                  <c:v>-46.339658653364175</c:v>
                </c:pt>
                <c:pt idx="37">
                  <c:v>-46.541353584259596</c:v>
                </c:pt>
                <c:pt idx="38">
                  <c:v>-46.700290393711498</c:v>
                </c:pt>
                <c:pt idx="39">
                  <c:v>-46.81210354983056</c:v>
                </c:pt>
                <c:pt idx="40">
                  <c:v>-46.872802766153285</c:v>
                </c:pt>
                <c:pt idx="41">
                  <c:v>-46.878789762858041</c:v>
                </c:pt>
                <c:pt idx="42">
                  <c:v>-46.826871710372565</c:v>
                </c:pt>
                <c:pt idx="43">
                  <c:v>-46.714271521633989</c:v>
                </c:pt>
                <c:pt idx="44">
                  <c:v>-46.538635156186757</c:v>
                </c:pt>
                <c:pt idx="45">
                  <c:v>-46.298036096225204</c:v>
                </c:pt>
                <c:pt idx="46">
                  <c:v>-45.990977151612526</c:v>
                </c:pt>
                <c:pt idx="47">
                  <c:v>-45.616389747828755</c:v>
                </c:pt>
                <c:pt idx="48">
                  <c:v>-45.173630847725271</c:v>
                </c:pt>
                <c:pt idx="49">
                  <c:v>-44.662477654884718</c:v>
                </c:pt>
                <c:pt idx="50">
                  <c:v>-44.083120243309644</c:v>
                </c:pt>
                <c:pt idx="51">
                  <c:v>-43.436152255085027</c:v>
                </c:pt>
                <c:pt idx="52">
                  <c:v>-42.722559804583319</c:v>
                </c:pt>
                <c:pt idx="53">
                  <c:v>-41.943708724704052</c:v>
                </c:pt>
                <c:pt idx="54">
                  <c:v>-41.101330287561986</c:v>
                </c:pt>
                <c:pt idx="55">
                  <c:v>-40.197505528961855</c:v>
                </c:pt>
                <c:pt idx="56">
                  <c:v>-39.234648302920093</c:v>
                </c:pt>
                <c:pt idx="57">
                  <c:v>-38.215487189417203</c:v>
                </c:pt>
                <c:pt idx="58">
                  <c:v>-37.143046375487224</c:v>
                </c:pt>
                <c:pt idx="59">
                  <c:v>-36.020625626673976</c:v>
                </c:pt>
                <c:pt idx="60">
                  <c:v>-34.851779462806583</c:v>
                </c:pt>
                <c:pt idx="61">
                  <c:v>-33.640295648969804</c:v>
                </c:pt>
                <c:pt idx="62">
                  <c:v>-32.390173109467725</c:v>
                </c:pt>
                <c:pt idx="63">
                  <c:v>-31.105599369502425</c:v>
                </c:pt>
                <c:pt idx="64">
                  <c:v>-29.790927626211872</c:v>
                </c:pt>
                <c:pt idx="65">
                  <c:v>-28.45065354763501</c:v>
                </c:pt>
                <c:pt idx="66">
                  <c:v>-27.089391895094</c:v>
                </c:pt>
                <c:pt idx="67">
                  <c:v>-25.711853061407652</c:v>
                </c:pt>
                <c:pt idx="68">
                  <c:v>-24.322819614272092</c:v>
                </c:pt>
                <c:pt idx="69">
                  <c:v>-22.927122931068453</c:v>
                </c:pt>
                <c:pt idx="70">
                  <c:v>-21.529620008279867</c:v>
                </c:pt>
                <c:pt idx="71">
                  <c:v>-20.135170525623419</c:v>
                </c:pt>
                <c:pt idx="72">
                  <c:v>-18.748614241925264</c:v>
                </c:pt>
                <c:pt idx="73">
                  <c:v>-17.374748796690639</c:v>
                </c:pt>
                <c:pt idx="74">
                  <c:v>-16.018307988243023</c:v>
                </c:pt>
                <c:pt idx="75">
                  <c:v>-14.683940596229945</c:v>
                </c:pt>
                <c:pt idx="76">
                  <c:v>-13.376189813215868</c:v>
                </c:pt>
                <c:pt idx="77">
                  <c:v>-12.099473347005583</c:v>
                </c:pt>
                <c:pt idx="78">
                  <c:v>-10.858064252264485</c:v>
                </c:pt>
                <c:pt idx="79">
                  <c:v>-9.6560725469251789</c:v>
                </c:pt>
                <c:pt idx="80">
                  <c:v>-8.4974276657927934</c:v>
                </c:pt>
                <c:pt idx="81">
                  <c:v>-7.3858618006844159</c:v>
                </c:pt>
                <c:pt idx="82">
                  <c:v>-6.3248941733609643</c:v>
                </c:pt>
                <c:pt idx="83">
                  <c:v>-5.3178162844329604</c:v>
                </c:pt>
                <c:pt idx="84">
                  <c:v>-4.3676781783445122</c:v>
                </c:pt>
                <c:pt idx="85">
                  <c:v>-3.4772757614628818</c:v>
                </c:pt>
                <c:pt idx="86">
                  <c:v>-2.6491392072239903</c:v>
                </c:pt>
                <c:pt idx="87">
                  <c:v>-1.8855224792071983</c:v>
                </c:pt>
                <c:pt idx="88">
                  <c:v>-1.1883939999357116</c:v>
                </c:pt>
                <c:pt idx="89">
                  <c:v>-0.55942849012191875</c:v>
                </c:pt>
                <c:pt idx="90">
                  <c:v>0</c:v>
                </c:pt>
                <c:pt idx="91">
                  <c:v>0.48882384868888967</c:v>
                </c:pt>
                <c:pt idx="92">
                  <c:v>0.90628639457055582</c:v>
                </c:pt>
                <c:pt idx="93">
                  <c:v>1.2519452299595217</c:v>
                </c:pt>
                <c:pt idx="94">
                  <c:v>1.5256742462943162</c:v>
                </c:pt>
                <c:pt idx="95">
                  <c:v>1.7276644254290132</c:v>
                </c:pt>
                <c:pt idx="96">
                  <c:v>1.8584233736007487</c:v>
                </c:pt>
                <c:pt idx="97">
                  <c:v>1.9187735979699458</c:v>
                </c:pt>
                <c:pt idx="98">
                  <c:v>1.9098495287069925</c:v>
                </c:pt>
                <c:pt idx="99">
                  <c:v>1.8330932926761228</c:v>
                </c:pt>
                <c:pt idx="100">
                  <c:v>1.6902492478442541</c:v>
                </c:pt>
                <c:pt idx="101">
                  <c:v>1.4833572906195498</c:v>
                </c:pt>
                <c:pt idx="102">
                  <c:v>1.2147449514014743</c:v>
                </c:pt>
                <c:pt idx="103">
                  <c:v>0.8870182967011323</c:v>
                </c:pt>
                <c:pt idx="104">
                  <c:v>0.50305165926766104</c:v>
                </c:pt>
                <c:pt idx="105">
                  <c:v>6.5976220733492144E-2</c:v>
                </c:pt>
                <c:pt idx="106">
                  <c:v>-0.42083252563172369</c:v>
                </c:pt>
                <c:pt idx="107">
                  <c:v>-0.95376840139172059</c:v>
                </c:pt>
                <c:pt idx="108">
                  <c:v>-1.5290092248949285</c:v>
                </c:pt>
                <c:pt idx="109">
                  <c:v>-2.14253251188565</c:v>
                </c:pt>
                <c:pt idx="110">
                  <c:v>-2.7901321548772979</c:v>
                </c:pt>
                <c:pt idx="111">
                  <c:v>-3.4674360383128278</c:v>
                </c:pt>
                <c:pt idx="112">
                  <c:v>-4.1699245434605219</c:v>
                </c:pt>
                <c:pt idx="113">
                  <c:v>-4.8929498939162546</c:v>
                </c:pt>
                <c:pt idx="114">
                  <c:v>-5.6317562895064128</c:v>
                </c:pt>
                <c:pt idx="115">
                  <c:v>-6.3815007733085523</c:v>
                </c:pt>
                <c:pt idx="116">
                  <c:v>-7.137274773429934</c:v>
                </c:pt>
                <c:pt idx="117">
                  <c:v>-7.8941262581070299</c:v>
                </c:pt>
                <c:pt idx="118">
                  <c:v>-8.6470824396121451</c:v>
                </c:pt>
                <c:pt idx="119">
                  <c:v>-9.3911729593762097</c:v>
                </c:pt>
                <c:pt idx="120">
                  <c:v>-10.121453483659824</c:v>
                </c:pt>
                <c:pt idx="121">
                  <c:v>-10.833029636027705</c:v>
                </c:pt>
                <c:pt idx="122">
                  <c:v>-11.521081189804487</c:v>
                </c:pt>
                <c:pt idx="123">
                  <c:v>-12.180886440613079</c:v>
                </c:pt>
                <c:pt idx="124">
                  <c:v>-12.807846676019533</c:v>
                </c:pt>
                <c:pt idx="125">
                  <c:v>-13.397510656231505</c:v>
                </c:pt>
                <c:pt idx="126">
                  <c:v>-13.945599016720379</c:v>
                </c:pt>
                <c:pt idx="127">
                  <c:v>-14.448028500559998</c:v>
                </c:pt>
                <c:pt idx="128">
                  <c:v>-14.900935925198233</c:v>
                </c:pt>
                <c:pt idx="129">
                  <c:v>-15.30070178530003</c:v>
                </c:pt>
                <c:pt idx="130">
                  <c:v>-15.643973390224449</c:v>
                </c:pt>
                <c:pt idx="131">
                  <c:v>-15.927687431620239</c:v>
                </c:pt>
                <c:pt idx="132">
                  <c:v>-16.149091873548201</c:v>
                </c:pt>
                <c:pt idx="133">
                  <c:v>-16.305767054461292</c:v>
                </c:pt>
                <c:pt idx="134">
                  <c:v>-16.395645887296343</c:v>
                </c:pt>
                <c:pt idx="135">
                  <c:v>-16.417033040854463</c:v>
                </c:pt>
                <c:pt idx="136">
                  <c:v>-16.368622982570191</c:v>
                </c:pt>
                <c:pt idx="137">
                  <c:v>-16.249516759691964</c:v>
                </c:pt>
                <c:pt idx="138">
                  <c:v>-16.059237392820414</c:v>
                </c:pt>
                <c:pt idx="139">
                  <c:v>-15.797743752672861</c:v>
                </c:pt>
                <c:pt idx="140">
                  <c:v>-15.465442787866511</c:v>
                </c:pt>
                <c:pt idx="141">
                  <c:v>-15.063199968434597</c:v>
                </c:pt>
                <c:pt idx="142">
                  <c:v>-14.59234780671412</c:v>
                </c:pt>
                <c:pt idx="143">
                  <c:v>-14.05469231416558</c:v>
                </c:pt>
                <c:pt idx="144">
                  <c:v>-13.45251724960878</c:v>
                </c:pt>
                <c:pt idx="145">
                  <c:v>-12.788586011281492</c:v>
                </c:pt>
                <c:pt idx="146">
                  <c:v>-12.066141022051283</c:v>
                </c:pt>
                <c:pt idx="147">
                  <c:v>-11.288900454032595</c:v>
                </c:pt>
                <c:pt idx="148">
                  <c:v>-10.461052135785714</c:v>
                </c:pt>
                <c:pt idx="149">
                  <c:v>-9.5872444821962706</c:v>
                </c:pt>
                <c:pt idx="150">
                  <c:v>-8.672574284056596</c:v>
                </c:pt>
                <c:pt idx="151">
                  <c:v>-7.7225711912948327</c:v>
                </c:pt>
                <c:pt idx="152">
                  <c:v>-6.7431787207186282</c:v>
                </c:pt>
                <c:pt idx="153">
                  <c:v>-5.7407316160646076</c:v>
                </c:pt>
                <c:pt idx="154">
                  <c:v>-4.7219293850679485</c:v>
                </c:pt>
                <c:pt idx="155">
                  <c:v>-3.6938058351878702</c:v>
                </c:pt>
                <c:pt idx="156">
                  <c:v>-2.6636944265498101</c:v>
                </c:pt>
                <c:pt idx="157">
                  <c:v>-1.6391892575863416</c:v>
                </c:pt>
                <c:pt idx="158">
                  <c:v>-0.62810149578346142</c:v>
                </c:pt>
                <c:pt idx="159">
                  <c:v>0.36158893714010532</c:v>
                </c:pt>
                <c:pt idx="160">
                  <c:v>1.3217866193679058</c:v>
                </c:pt>
                <c:pt idx="161">
                  <c:v>2.2443390192599253</c:v>
                </c:pt>
                <c:pt idx="162">
                  <c:v>3.1211002216700976</c:v>
                </c:pt>
                <c:pt idx="163">
                  <c:v>3.9440001932839337</c:v>
                </c:pt>
                <c:pt idx="164">
                  <c:v>4.705119793034207</c:v>
                </c:pt>
                <c:pt idx="165">
                  <c:v>5.396771736727132</c:v>
                </c:pt>
                <c:pt idx="166">
                  <c:v>6.011587728090376</c:v>
                </c:pt>
                <c:pt idx="167">
                  <c:v>6.542611971528288</c:v>
                </c:pt>
                <c:pt idx="168">
                  <c:v>6.9834012849501619</c:v>
                </c:pt>
                <c:pt idx="169">
                  <c:v>7.3281320341133949</c:v>
                </c:pt>
                <c:pt idx="170">
                  <c:v>7.571714112997185</c:v>
                </c:pt>
                <c:pt idx="171">
                  <c:v>7.7099121978047265</c:v>
                </c:pt>
                <c:pt idx="172">
                  <c:v>7.7394745052654628</c:v>
                </c:pt>
                <c:pt idx="173">
                  <c:v>7.6582692889858492</c:v>
                </c:pt>
                <c:pt idx="174">
                  <c:v>7.4654293106760861</c:v>
                </c:pt>
                <c:pt idx="175">
                  <c:v>7.161504526154971</c:v>
                </c:pt>
                <c:pt idx="176">
                  <c:v>6.7486232291150543</c:v>
                </c:pt>
                <c:pt idx="177">
                  <c:v>6.230661898703346</c:v>
                </c:pt>
                <c:pt idx="178">
                  <c:v>5.6134240000534419</c:v>
                </c:pt>
                <c:pt idx="179">
                  <c:v>4.9048279899793101</c:v>
                </c:pt>
                <c:pt idx="180">
                  <c:v>4.115104783121069</c:v>
                </c:pt>
                <c:pt idx="181">
                  <c:v>3.2570049369044227</c:v>
                </c:pt>
                <c:pt idx="182">
                  <c:v>2.3460158167612235</c:v>
                </c:pt>
                <c:pt idx="183">
                  <c:v>1.4005890061264381</c:v>
                </c:pt>
                <c:pt idx="184">
                  <c:v>0.44237822880808153</c:v>
                </c:pt>
                <c:pt idx="185">
                  <c:v>-0.5035119455919812</c:v>
                </c:pt>
                <c:pt idx="186">
                  <c:v>-1.4082663394622159</c:v>
                </c:pt>
                <c:pt idx="187">
                  <c:v>-2.2390880713381875</c:v>
                </c:pt>
                <c:pt idx="188">
                  <c:v>-2.9589158465313403</c:v>
                </c:pt>
                <c:pt idx="189">
                  <c:v>-3.526129351244208</c:v>
                </c:pt>
                <c:pt idx="190">
                  <c:v>-3.8942424641161324</c:v>
                </c:pt>
                <c:pt idx="191">
                  <c:v>-4.0115839960662925</c:v>
                </c:pt>
                <c:pt idx="192">
                  <c:v>-3.8209656662148745</c:v>
                </c:pt>
                <c:pt idx="193">
                  <c:v>-3.2593370186016273</c:v>
                </c:pt>
                <c:pt idx="194">
                  <c:v>-2.2574269813246701</c:v>
                </c:pt>
                <c:pt idx="195">
                  <c:v>-0.73937176666936466</c:v>
                </c:pt>
                <c:pt idx="196">
                  <c:v>1.3776711923060247</c:v>
                </c:pt>
                <c:pt idx="197">
                  <c:v>4.1839235763193301</c:v>
                </c:pt>
                <c:pt idx="198">
                  <c:v>7.7774010962193643</c:v>
                </c:pt>
                <c:pt idx="199">
                  <c:v>12.26434330490747</c:v>
                </c:pt>
                <c:pt idx="200">
                  <c:v>17.759658621644348</c:v>
                </c:pt>
              </c:numCache>
            </c:numRef>
          </c:yVal>
          <c:smooth val="1"/>
        </c:ser>
        <c:dLbls>
          <c:showLegendKey val="0"/>
          <c:showVal val="0"/>
          <c:showCatName val="0"/>
          <c:showSerName val="0"/>
          <c:showPercent val="0"/>
          <c:showBubbleSize val="0"/>
        </c:dLbls>
        <c:axId val="445819920"/>
        <c:axId val="445816784"/>
      </c:scatterChart>
      <c:valAx>
        <c:axId val="44581992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6784"/>
        <c:crossesAt val="-1000"/>
        <c:crossBetween val="midCat"/>
      </c:valAx>
      <c:valAx>
        <c:axId val="44581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81992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0.52427832349594095</v>
      </c>
      <c r="D59" s="55">
        <v>1</v>
      </c>
    </row>
    <row r="60" spans="1:4" s="11" customFormat="1" x14ac:dyDescent="0.25">
      <c r="A60" s="54">
        <v>2</v>
      </c>
      <c r="B60" s="56">
        <f>'Shiftfunktion bestimmen'!N2</f>
        <v>-3.5315284282063972E-2</v>
      </c>
      <c r="D60" s="55">
        <v>2</v>
      </c>
    </row>
    <row r="61" spans="1:4" s="11" customFormat="1" x14ac:dyDescent="0.25">
      <c r="A61" s="54">
        <v>3</v>
      </c>
      <c r="B61" s="56">
        <f>'Shiftfunktion bestimmen'!N3</f>
        <v>-1.5218672356373552E-4</v>
      </c>
      <c r="D61" s="55">
        <v>3</v>
      </c>
    </row>
    <row r="62" spans="1:4" s="11" customFormat="1" x14ac:dyDescent="0.25">
      <c r="A62" s="54">
        <v>4</v>
      </c>
      <c r="B62" s="56">
        <f>'Shiftfunktion bestimmen'!N4</f>
        <v>1.2965286752905169E-5</v>
      </c>
      <c r="D62" s="55">
        <v>4</v>
      </c>
    </row>
    <row r="63" spans="1:4" s="11" customFormat="1" x14ac:dyDescent="0.25">
      <c r="A63" s="54">
        <v>5</v>
      </c>
      <c r="B63" s="56">
        <f>'Shiftfunktion bestimmen'!N5</f>
        <v>3.2635184253375725E-8</v>
      </c>
      <c r="D63" s="55">
        <v>5</v>
      </c>
    </row>
    <row r="64" spans="1:4" s="11" customFormat="1" x14ac:dyDescent="0.25">
      <c r="A64" s="54">
        <v>6</v>
      </c>
      <c r="B64" s="56">
        <f>'Shiftfunktion bestimmen'!N6</f>
        <v>-1.7212797645557277E-9</v>
      </c>
      <c r="D64" s="55">
        <v>6</v>
      </c>
    </row>
    <row r="65" spans="1:5" s="11" customFormat="1" x14ac:dyDescent="0.25">
      <c r="A65" s="54">
        <v>7</v>
      </c>
      <c r="B65" s="56">
        <f>'Shiftfunktion bestimmen'!N7</f>
        <v>-2.1573002487892906E-12</v>
      </c>
      <c r="D65" s="55">
        <v>7</v>
      </c>
    </row>
    <row r="66" spans="1:5" x14ac:dyDescent="0.25">
      <c r="A66" s="54">
        <v>8</v>
      </c>
      <c r="B66" s="56">
        <f>'Shiftfunktion bestimmen'!N8</f>
        <v>7.6314676318104761E-14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22" zoomScale="120" zoomScaleNormal="120" zoomScaleSheetLayoutView="110" workbookViewId="0">
      <selection activeCell="H113" sqref="H113"/>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110</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10761.801351389528</v>
      </c>
      <c r="G16" s="26">
        <f>INDEX(Comparison!$AM$3:$AS$33,G14,$B$3)</f>
        <v>10547.11616169445</v>
      </c>
      <c r="H16" s="26">
        <f>INDEX(Comparison!$AM$3:$AS$33,H14,$B$3)</f>
        <v>10349.894568285434</v>
      </c>
      <c r="I16" s="26">
        <f>INDEX(Comparison!$AM$3:$AS$33,I14,$B$3)</f>
        <v>10133.265997491257</v>
      </c>
      <c r="J16" s="26">
        <f>INDEX(Comparison!$AM$3:$AS$33,J14,$B$3)</f>
        <v>9898.4994293430227</v>
      </c>
      <c r="K16" s="26">
        <f>INDEX(Comparison!$AM$3:$AS$33,K14,$B$3)</f>
        <v>9623.1820365655622</v>
      </c>
      <c r="L16" s="26">
        <f>INDEX(Comparison!$AM$3:$AS$33,L14,$B$3)</f>
        <v>9373.9337150399151</v>
      </c>
      <c r="M16" s="26">
        <f>INDEX(Comparison!$AM$3:$AS$33,M14,$B$3)</f>
        <v>9114.1360760931802</v>
      </c>
      <c r="N16" s="26">
        <f>INDEX(Comparison!$AM$3:$AS$33,N14,$B$3)</f>
        <v>8823.7573464712859</v>
      </c>
      <c r="O16" s="26">
        <f>INDEX(Comparison!$AM$3:$AS$33,O14,$B$3)</f>
        <v>8477.9341078683501</v>
      </c>
      <c r="P16" s="26">
        <f>INDEX(Comparison!$AM$3:$AS$33,P14,$B$3)</f>
        <v>8118.5828227804013</v>
      </c>
      <c r="Q16" s="26">
        <f>INDEX(Comparison!$AM$3:$AS$33,Q14,$B$3)</f>
        <v>7811.8955545814642</v>
      </c>
      <c r="R16" s="26">
        <f>INDEX(Comparison!$AM$3:$AS$33,R14,$B$3)</f>
        <v>7534.5067060295696</v>
      </c>
      <c r="S16" s="26">
        <f>INDEX(Comparison!$AM$3:$AS$33,S14,$B$3)</f>
        <v>7256.8628130889483</v>
      </c>
      <c r="T16" s="26">
        <f>INDEX(Comparison!$AM$3:$AS$33,T14,$B$3)</f>
        <v>6971.3695334324493</v>
      </c>
      <c r="U16" s="26">
        <f>INDEX(Comparison!$AM$3:$AS$33,U14,$B$3)</f>
        <v>6688.5259415281262</v>
      </c>
      <c r="V16" s="26">
        <f>INDEX(Comparison!$AM$3:$AS$33,V14,$B$3)</f>
        <v>6332.8599538611707</v>
      </c>
      <c r="W16" s="26">
        <f>INDEX(Comparison!$AM$3:$AS$33,W14,$B$3)</f>
        <v>5707.8128215740962</v>
      </c>
      <c r="X16" s="26">
        <f>INDEX(Comparison!$AM$3:$AS$33,X14,$B$3)</f>
        <v>4703.4024219609055</v>
      </c>
      <c r="Y16" s="26">
        <f>INDEX(Comparison!$AM$3:$AS$33,Y14,$B$3)</f>
        <v>3716.6695709784594</v>
      </c>
      <c r="Z16" s="26">
        <f>INDEX(Comparison!$AM$3:$AS$33,Z14,$B$3)</f>
        <v>2925.6425281910142</v>
      </c>
      <c r="AA16" s="26">
        <f>INDEX(Comparison!$AM$3:$AS$33,AA14,$B$3)</f>
        <v>2271.2592133629987</v>
      </c>
      <c r="AB16" s="26">
        <f>INDEX(Comparison!$AM$3:$AS$33,AB14,$B$3)</f>
        <v>1690.9117320692962</v>
      </c>
      <c r="AC16" s="26">
        <f>INDEX(Comparison!$AM$3:$AS$33,AC14,$B$3)</f>
        <v>1194.4542594457305</v>
      </c>
      <c r="AD16" s="26">
        <f>INDEX(Comparison!$AM$3:$AS$33,AD14,$B$3)</f>
        <v>834.8043301176574</v>
      </c>
      <c r="AE16" s="26">
        <f>INDEX(Comparison!$AM$3:$AS$33,AE14,$B$3)</f>
        <v>607.40413984309237</v>
      </c>
      <c r="AF16" s="26">
        <f>INDEX(Comparison!$AM$3:$AS$33,AF14,$B$3)</f>
        <v>493.01101666641495</v>
      </c>
      <c r="AG16" s="26">
        <f>INDEX(Comparison!$AM$3:$AS$33,AG14,$B$3)</f>
        <v>433.7285115590953</v>
      </c>
      <c r="AH16" s="26">
        <f>INDEX(Comparison!$AM$3:$AS$33,AH14,$B$3)</f>
        <v>403.76473002951963</v>
      </c>
      <c r="AI16" s="26">
        <f>INDEX(Comparison!$AM$3:$AS$33,AI14,$B$3)</f>
        <v>387.64349199783766</v>
      </c>
      <c r="AJ16" s="26">
        <f>INDEX(Comparison!$AM$3:$AS$33,AJ14,$B$3)</f>
        <v>374.47481405228427</v>
      </c>
    </row>
    <row r="17" spans="1:36" x14ac:dyDescent="0.25">
      <c r="A17" s="14" t="s">
        <v>20</v>
      </c>
      <c r="B17" s="105">
        <v>1.6109766939938219E-2</v>
      </c>
      <c r="C17" s="18">
        <f t="shared" ref="C17:C48" si="3">ABS(B17/$B$49)</f>
        <v>1.3147853577774735E-2</v>
      </c>
      <c r="D17" s="66"/>
      <c r="E17" s="65" t="s">
        <v>22</v>
      </c>
      <c r="F17" s="27">
        <f>($C$17+SUM(F18:F48))*$B$51</f>
        <v>11394.184719156523</v>
      </c>
      <c r="G17" s="27">
        <f t="shared" ref="G17:M17" si="4">($C$17+SUM(G18:G48))*$B$51</f>
        <v>11394.184719113284</v>
      </c>
      <c r="H17" s="27">
        <f t="shared" si="4"/>
        <v>11394.184718680888</v>
      </c>
      <c r="I17" s="27">
        <f t="shared" si="4"/>
        <v>11394.18471435693</v>
      </c>
      <c r="J17" s="27">
        <f t="shared" si="4"/>
        <v>11394.184671117349</v>
      </c>
      <c r="K17" s="27">
        <f t="shared" si="4"/>
        <v>11394.184238722166</v>
      </c>
      <c r="L17" s="27">
        <f t="shared" si="4"/>
        <v>11394.179914833458</v>
      </c>
      <c r="M17" s="27">
        <f t="shared" si="4"/>
        <v>11394.136682258131</v>
      </c>
      <c r="N17" s="27">
        <f t="shared" ref="N17" si="5">($C$17+SUM(N18:N48))*$B$51</f>
        <v>11393.70498588378</v>
      </c>
      <c r="O17" s="27">
        <f t="shared" ref="O17" si="6">($C$17+SUM(O18:O48))*$B$51</f>
        <v>11389.449213217187</v>
      </c>
      <c r="P17" s="27">
        <f t="shared" ref="P17" si="7">($C$17+SUM(P18:P48))*$B$51</f>
        <v>11351.652651261153</v>
      </c>
      <c r="Q17" s="27">
        <f t="shared" ref="Q17" si="8">($C$17+SUM(Q18:Q48))*$B$51</f>
        <v>11134.549597340296</v>
      </c>
      <c r="R17" s="27">
        <f t="shared" ref="R17" si="9">($C$17+SUM(R18:R48))*$B$51</f>
        <v>10860.932831195776</v>
      </c>
      <c r="S17" s="27">
        <f t="shared" ref="S17:T17" si="10">($C$17+SUM(S18:S48))*$B$51</f>
        <v>10566.176208256833</v>
      </c>
      <c r="T17" s="27">
        <f t="shared" si="10"/>
        <v>10211.730740140585</v>
      </c>
      <c r="U17" s="27">
        <f t="shared" ref="U17" si="11">($C$17+SUM(U18:U48))*$B$51</f>
        <v>9842.2933146756732</v>
      </c>
      <c r="V17" s="27">
        <f t="shared" ref="V17" si="12">($C$17+SUM(V18:V48))*$B$51</f>
        <v>9402.3242472341572</v>
      </c>
      <c r="W17" s="27">
        <f t="shared" ref="W17" si="13">($C$17+SUM(W18:W48))*$B$51</f>
        <v>8845.8528129745573</v>
      </c>
      <c r="X17" s="27">
        <f t="shared" ref="X17" si="14">($C$17+SUM(X18:X48))*$B$51</f>
        <v>8216.8600257183916</v>
      </c>
      <c r="Y17" s="27">
        <f t="shared" ref="Y17" si="15">($C$17+SUM(Y18:Y48))*$B$51</f>
        <v>7580.0427743460341</v>
      </c>
      <c r="Z17" s="27">
        <f t="shared" ref="Z17:AA17" si="16">($C$17+SUM(Z18:Z48))*$B$51</f>
        <v>6940.1530949510507</v>
      </c>
      <c r="AA17" s="27">
        <f t="shared" si="16"/>
        <v>6274.8264577171694</v>
      </c>
      <c r="AB17" s="27">
        <f t="shared" ref="AB17" si="17">($C$17+SUM(AB18:AB48))*$B$51</f>
        <v>5464.6670539811194</v>
      </c>
      <c r="AC17" s="27">
        <f t="shared" ref="AC17" si="18">($C$17+SUM(AC18:AC48))*$B$51</f>
        <v>4520.4975277654412</v>
      </c>
      <c r="AD17" s="27">
        <f t="shared" ref="AD17" si="19">($C$17+SUM(AD18:AD48))*$B$51</f>
        <v>3450.9315094925391</v>
      </c>
      <c r="AE17" s="27">
        <f t="shared" ref="AE17" si="20">($C$17+SUM(AE18:AE48))*$B$51</f>
        <v>2293.9923245898121</v>
      </c>
      <c r="AF17" s="27">
        <f t="shared" ref="AF17" si="21">($C$17+SUM(AF18:AF48))*$B$51</f>
        <v>1370.4676935529137</v>
      </c>
      <c r="AG17" s="27">
        <f t="shared" ref="AG17:AH17" si="22">($C$17+SUM(AG18:AG48))*$B$51</f>
        <v>780.46598704419</v>
      </c>
      <c r="AH17" s="27">
        <f t="shared" si="22"/>
        <v>438.0302091190689</v>
      </c>
      <c r="AI17" s="27">
        <f t="shared" ref="AI17" si="23">($C$17+SUM(AI18:AI48))*$B$51</f>
        <v>302.49220144384549</v>
      </c>
      <c r="AJ17" s="27">
        <f t="shared" ref="AJ17" si="24">($C$17+SUM(AJ18:AJ48))*$B$51</f>
        <v>264.11972999002569</v>
      </c>
    </row>
    <row r="18" spans="1:36" x14ac:dyDescent="0.25">
      <c r="A18" s="3">
        <f>0.000000000000001/10^5</f>
        <v>1.0000000000000001E-20</v>
      </c>
      <c r="B18" s="106">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06">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06">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06">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06">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06">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06">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06">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06">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-632.38336776699543</v>
      </c>
      <c r="G49" s="3">
        <f t="shared" si="31"/>
        <v>-847.06855741883373</v>
      </c>
      <c r="H49" s="3">
        <f t="shared" si="31"/>
        <v>-1044.2901503954545</v>
      </c>
      <c r="I49" s="3">
        <f t="shared" si="31"/>
        <v>-1260.9187168656736</v>
      </c>
      <c r="J49" s="3">
        <f t="shared" si="31"/>
        <v>-1495.6852417743266</v>
      </c>
      <c r="K49" s="3">
        <f t="shared" si="31"/>
        <v>-1771.0022021566037</v>
      </c>
      <c r="L49" s="3">
        <f t="shared" si="31"/>
        <v>-2020.2461997935425</v>
      </c>
      <c r="M49" s="3">
        <f t="shared" si="31"/>
        <v>-2280.000606164951</v>
      </c>
      <c r="N49" s="3">
        <f t="shared" si="31"/>
        <v>-2569.947639412494</v>
      </c>
      <c r="O49" s="3">
        <f t="shared" si="31"/>
        <v>-2911.5151053488371</v>
      </c>
      <c r="P49" s="3">
        <f t="shared" si="31"/>
        <v>-3233.0698284807513</v>
      </c>
      <c r="Q49" s="3">
        <f t="shared" si="31"/>
        <v>-3322.6540427588316</v>
      </c>
      <c r="R49" s="3">
        <f t="shared" si="31"/>
        <v>-3326.4261251662065</v>
      </c>
      <c r="S49" s="3">
        <f t="shared" si="31"/>
        <v>-3309.3133951678847</v>
      </c>
      <c r="T49" s="3">
        <f t="shared" si="31"/>
        <v>-3240.3612067081358</v>
      </c>
      <c r="U49" s="3">
        <f t="shared" si="31"/>
        <v>-3153.767373147547</v>
      </c>
      <c r="V49" s="3">
        <f t="shared" si="31"/>
        <v>-3069.4642933729865</v>
      </c>
      <c r="W49" s="3">
        <f t="shared" si="31"/>
        <v>-3138.0399914004611</v>
      </c>
      <c r="X49" s="3">
        <f t="shared" si="31"/>
        <v>-3513.4576037574861</v>
      </c>
      <c r="Y49" s="3">
        <f t="shared" si="31"/>
        <v>-3863.3732033675747</v>
      </c>
      <c r="Z49" s="3">
        <f t="shared" si="31"/>
        <v>-4014.5105667600365</v>
      </c>
      <c r="AA49" s="3">
        <f t="shared" si="31"/>
        <v>-4003.5672443541707</v>
      </c>
      <c r="AB49" s="3">
        <f t="shared" si="31"/>
        <v>-3773.7553219118231</v>
      </c>
      <c r="AC49" s="3">
        <f t="shared" si="31"/>
        <v>-3326.0432683197105</v>
      </c>
      <c r="AD49" s="3">
        <f t="shared" si="31"/>
        <v>-2616.127179374882</v>
      </c>
      <c r="AE49" s="3">
        <f t="shared" si="31"/>
        <v>-1686.5881847467199</v>
      </c>
      <c r="AF49" s="3">
        <f t="shared" si="31"/>
        <v>-877.45667688649883</v>
      </c>
      <c r="AG49" s="3">
        <f t="shared" si="31"/>
        <v>-346.73747548509471</v>
      </c>
      <c r="AH49" s="3">
        <f t="shared" si="31"/>
        <v>-34.265479089549274</v>
      </c>
      <c r="AI49" s="3">
        <f t="shared" si="31"/>
        <v>85.151290553992169</v>
      </c>
      <c r="AJ49" s="3">
        <f t="shared" si="31"/>
        <v>110.35508406225858</v>
      </c>
    </row>
    <row r="50" spans="1:36" x14ac:dyDescent="0.25">
      <c r="F50" s="57">
        <f t="shared" ref="F50:AJ50" si="32">F49/F17</f>
        <v>-5.5500536752208181E-2</v>
      </c>
      <c r="G50" s="57">
        <f t="shared" si="32"/>
        <v>-7.4342182288646808E-2</v>
      </c>
      <c r="H50" s="57">
        <f t="shared" si="32"/>
        <v>-9.1651151546045195E-2</v>
      </c>
      <c r="I50" s="57">
        <f t="shared" si="32"/>
        <v>-0.11066335577980296</v>
      </c>
      <c r="J50" s="57">
        <f t="shared" si="32"/>
        <v>-0.13126742149139267</v>
      </c>
      <c r="K50" s="57">
        <f t="shared" si="32"/>
        <v>-0.15543036386387393</v>
      </c>
      <c r="L50" s="57">
        <f t="shared" si="32"/>
        <v>-0.17730509917291148</v>
      </c>
      <c r="M50" s="57">
        <f t="shared" si="32"/>
        <v>-0.20010297135676383</v>
      </c>
      <c r="N50" s="57">
        <f t="shared" si="32"/>
        <v>-0.22555855558806623</v>
      </c>
      <c r="O50" s="57">
        <f t="shared" si="32"/>
        <v>-0.25563265183799166</v>
      </c>
      <c r="P50" s="57">
        <f t="shared" si="32"/>
        <v>-0.28481049656867025</v>
      </c>
      <c r="Q50" s="57">
        <f t="shared" si="32"/>
        <v>-0.29840938007519519</v>
      </c>
      <c r="R50" s="57">
        <f t="shared" si="32"/>
        <v>-0.30627444040642049</v>
      </c>
      <c r="S50" s="57">
        <f t="shared" si="32"/>
        <v>-0.31319877029704035</v>
      </c>
      <c r="T50" s="57">
        <f t="shared" si="32"/>
        <v>-0.31731753305743016</v>
      </c>
      <c r="U50" s="57">
        <f t="shared" si="32"/>
        <v>-0.32043013475782306</v>
      </c>
      <c r="V50" s="57">
        <f t="shared" si="32"/>
        <v>-0.32645803448821903</v>
      </c>
      <c r="W50" s="57">
        <f t="shared" si="32"/>
        <v>-0.35474702753337423</v>
      </c>
      <c r="X50" s="57">
        <f t="shared" si="32"/>
        <v>-0.42759126877670139</v>
      </c>
      <c r="Y50" s="57">
        <f t="shared" si="32"/>
        <v>-0.50967696599850465</v>
      </c>
      <c r="Z50" s="57">
        <f t="shared" si="32"/>
        <v>-0.57844697542487733</v>
      </c>
      <c r="AA50" s="57">
        <f t="shared" si="32"/>
        <v>-0.63803632998173776</v>
      </c>
      <c r="AB50" s="57">
        <f t="shared" si="32"/>
        <v>-0.69057369545735947</v>
      </c>
      <c r="AC50" s="57">
        <f t="shared" si="32"/>
        <v>-0.73576929262559077</v>
      </c>
      <c r="AD50" s="57">
        <f t="shared" si="32"/>
        <v>-0.75809304594387172</v>
      </c>
      <c r="AE50" s="57">
        <f t="shared" si="32"/>
        <v>-0.73521962853485046</v>
      </c>
      <c r="AF50" s="57">
        <f t="shared" si="32"/>
        <v>-0.64026075259877713</v>
      </c>
      <c r="AG50" s="57">
        <f t="shared" si="32"/>
        <v>-0.44426980962779922</v>
      </c>
      <c r="AH50" s="57">
        <f t="shared" si="32"/>
        <v>-7.8226292105426351E-2</v>
      </c>
      <c r="AI50" s="57">
        <f t="shared" si="32"/>
        <v>0.28149912674624644</v>
      </c>
      <c r="AJ50" s="57">
        <f t="shared" si="32"/>
        <v>0.41782219021057637</v>
      </c>
    </row>
    <row r="51" spans="1:36" x14ac:dyDescent="0.25">
      <c r="A51" s="13" t="s">
        <v>21</v>
      </c>
      <c r="B51" s="3">
        <f>STUTT!D8</f>
        <v>11405.888999999999</v>
      </c>
      <c r="E51" s="11" t="s">
        <v>24</v>
      </c>
      <c r="F51" s="20">
        <f t="shared" ref="F51:AJ51" si="33">(F16-F17)^2</f>
        <v>399908.72382832703</v>
      </c>
      <c r="G51" s="20">
        <f t="shared" si="33"/>
        <v>717525.14096762403</v>
      </c>
      <c r="H51" s="20">
        <f t="shared" si="33"/>
        <v>1090541.9182129609</v>
      </c>
      <c r="I51" s="20">
        <f t="shared" si="33"/>
        <v>1589916.0105421767</v>
      </c>
      <c r="J51" s="20">
        <f t="shared" si="33"/>
        <v>2237074.3424615259</v>
      </c>
      <c r="K51" s="20">
        <f t="shared" si="33"/>
        <v>3136448.8000435401</v>
      </c>
      <c r="L51" s="20">
        <f t="shared" si="33"/>
        <v>4081394.7077802499</v>
      </c>
      <c r="M51" s="20">
        <f t="shared" si="33"/>
        <v>5198402.7641125442</v>
      </c>
      <c r="N51" s="20">
        <f t="shared" si="33"/>
        <v>6604630.8693218501</v>
      </c>
      <c r="O51" s="20">
        <f t="shared" si="33"/>
        <v>8476920.2086744495</v>
      </c>
      <c r="P51" s="20">
        <f t="shared" si="33"/>
        <v>10452740.515832555</v>
      </c>
      <c r="Q51" s="20">
        <f t="shared" si="33"/>
        <v>11040029.887861608</v>
      </c>
      <c r="R51" s="20">
        <f t="shared" si="33"/>
        <v>11065110.766188262</v>
      </c>
      <c r="S51" s="20">
        <f t="shared" si="33"/>
        <v>10951555.147437591</v>
      </c>
      <c r="T51" s="20">
        <f t="shared" si="33"/>
        <v>10499940.749939006</v>
      </c>
      <c r="U51" s="20">
        <f t="shared" si="33"/>
        <v>9946248.6439299788</v>
      </c>
      <c r="V51" s="20">
        <f t="shared" si="33"/>
        <v>9421611.0482917279</v>
      </c>
      <c r="W51" s="20">
        <f t="shared" si="33"/>
        <v>9847294.9876286052</v>
      </c>
      <c r="X51" s="20">
        <f t="shared" si="33"/>
        <v>12344384.333401296</v>
      </c>
      <c r="Y51" s="20">
        <f t="shared" si="33"/>
        <v>14925652.508498635</v>
      </c>
      <c r="Z51" s="20">
        <f t="shared" si="33"/>
        <v>16116295.090627989</v>
      </c>
      <c r="AA51" s="20">
        <f t="shared" si="33"/>
        <v>16028550.680065649</v>
      </c>
      <c r="AB51" s="20">
        <f t="shared" si="33"/>
        <v>14241229.229657808</v>
      </c>
      <c r="AC51" s="20">
        <f t="shared" si="33"/>
        <v>11062563.822734861</v>
      </c>
      <c r="AD51" s="20">
        <f t="shared" si="33"/>
        <v>6844121.4186639758</v>
      </c>
      <c r="AE51" s="20">
        <f t="shared" si="33"/>
        <v>2844579.7049272358</v>
      </c>
      <c r="AF51" s="20">
        <f t="shared" si="33"/>
        <v>769930.21981269761</v>
      </c>
      <c r="AG51" s="20">
        <f t="shared" si="33"/>
        <v>120226.87690577665</v>
      </c>
      <c r="AH51" s="20">
        <f t="shared" si="33"/>
        <v>1174.1230572363386</v>
      </c>
      <c r="AI51" s="20">
        <f t="shared" si="33"/>
        <v>7250.742283010396</v>
      </c>
      <c r="AJ51" s="20">
        <f t="shared" si="33"/>
        <v>12178.244578388158</v>
      </c>
    </row>
    <row r="52" spans="1:36" x14ac:dyDescent="0.25">
      <c r="A52" s="13"/>
    </row>
    <row r="53" spans="1:36" x14ac:dyDescent="0.25">
      <c r="E53" s="119" t="s">
        <v>25</v>
      </c>
      <c r="F53" s="119"/>
      <c r="G53" s="104">
        <f>SUM(F51:AJ51)</f>
        <v>212075432.22826916</v>
      </c>
      <c r="I53" s="3">
        <f>G53+C123</f>
        <v>212075432.22826916</v>
      </c>
      <c r="K53" s="3">
        <f>SUM(Z51:AJ51)</f>
        <v>68048100.153314635</v>
      </c>
    </row>
    <row r="55" spans="1:36" x14ac:dyDescent="0.25">
      <c r="E55" s="30" t="s">
        <v>30</v>
      </c>
      <c r="F55" s="31">
        <f t="shared" ref="F55:AJ55" si="34">ABS(F17-F16)/F16</f>
        <v>5.8761851024628345E-2</v>
      </c>
      <c r="G55" s="31">
        <f t="shared" si="34"/>
        <v>8.0312811998341324E-2</v>
      </c>
      <c r="H55" s="31">
        <f t="shared" si="34"/>
        <v>0.10089862688992124</v>
      </c>
      <c r="I55" s="31">
        <f t="shared" si="34"/>
        <v>0.12443359497104345</v>
      </c>
      <c r="J55" s="31">
        <f t="shared" si="34"/>
        <v>0.15110222033660281</v>
      </c>
      <c r="K55" s="31">
        <f t="shared" si="34"/>
        <v>0.18403498919871419</v>
      </c>
      <c r="L55" s="31">
        <f t="shared" si="34"/>
        <v>0.21551744029853534</v>
      </c>
      <c r="M55" s="31">
        <f t="shared" si="34"/>
        <v>0.2501609134567897</v>
      </c>
      <c r="N55" s="31">
        <f t="shared" si="34"/>
        <v>0.29125320863908882</v>
      </c>
      <c r="O55" s="31">
        <f t="shared" si="34"/>
        <v>0.34342270986119922</v>
      </c>
      <c r="P55" s="31">
        <f t="shared" si="34"/>
        <v>0.39823081183687548</v>
      </c>
      <c r="Q55" s="31">
        <f t="shared" si="34"/>
        <v>0.42533262503876995</v>
      </c>
      <c r="R55" s="31">
        <f t="shared" si="34"/>
        <v>0.44149222436874314</v>
      </c>
      <c r="S55" s="31">
        <f t="shared" si="34"/>
        <v>0.45602534874973694</v>
      </c>
      <c r="T55" s="31">
        <f t="shared" si="34"/>
        <v>0.46480984707070888</v>
      </c>
      <c r="U55" s="31">
        <f t="shared" si="34"/>
        <v>0.47151904630678704</v>
      </c>
      <c r="V55" s="31">
        <f t="shared" si="34"/>
        <v>0.48468848446609364</v>
      </c>
      <c r="W55" s="31">
        <f t="shared" si="34"/>
        <v>0.5497797649459456</v>
      </c>
      <c r="X55" s="31">
        <f t="shared" si="34"/>
        <v>0.74700340063453108</v>
      </c>
      <c r="Y55" s="31">
        <f t="shared" si="34"/>
        <v>1.0394717984979476</v>
      </c>
      <c r="Z55" s="31">
        <f t="shared" si="34"/>
        <v>1.3721808211621438</v>
      </c>
      <c r="AA55" s="31">
        <f t="shared" si="34"/>
        <v>1.7627082020401297</v>
      </c>
      <c r="AB55" s="31">
        <f t="shared" si="34"/>
        <v>2.2317872957765772</v>
      </c>
      <c r="AC55" s="31">
        <f t="shared" si="34"/>
        <v>2.7845714827649521</v>
      </c>
      <c r="AD55" s="31">
        <f t="shared" si="34"/>
        <v>3.1338208068544215</v>
      </c>
      <c r="AE55" s="31">
        <f t="shared" si="34"/>
        <v>2.776714997665982</v>
      </c>
      <c r="AF55" s="31">
        <f t="shared" si="34"/>
        <v>1.7797912160656859</v>
      </c>
      <c r="AG55" s="31">
        <f t="shared" si="34"/>
        <v>0.79943436099854348</v>
      </c>
      <c r="AH55" s="31">
        <f t="shared" si="34"/>
        <v>8.486496353221365E-2</v>
      </c>
      <c r="AI55" s="31">
        <f t="shared" si="34"/>
        <v>0.21966392397080964</v>
      </c>
      <c r="AJ55" s="31">
        <f t="shared" si="34"/>
        <v>0.29469294040920674</v>
      </c>
    </row>
    <row r="56" spans="1:36" x14ac:dyDescent="0.25">
      <c r="E56" s="13" t="s">
        <v>31</v>
      </c>
      <c r="F56" s="32">
        <f>AVERAGE(F55:AJ55)</f>
        <v>0.79091879773650564</v>
      </c>
    </row>
    <row r="57" spans="1:36" x14ac:dyDescent="0.25">
      <c r="A57" s="42"/>
      <c r="B57" s="15"/>
      <c r="C57" s="15"/>
      <c r="D57" s="15"/>
      <c r="F57" s="60">
        <f>AVERAGE(S55:X55)</f>
        <v>0.5289709820289672</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0</v>
      </c>
      <c r="N119" s="11">
        <f t="shared" ref="N119:N124" si="36">IF(L119=$B$3,0,INDEX($B$125:$K$126,2,L119))</f>
        <v>-10.950515452938541</v>
      </c>
    </row>
    <row r="120" spans="1:14" x14ac:dyDescent="0.25">
      <c r="L120" s="11">
        <f t="shared" ref="L120:L124" si="37">L119+1</f>
        <v>3</v>
      </c>
      <c r="M120" s="11">
        <f t="shared" si="35"/>
        <v>25</v>
      </c>
      <c r="N120" s="11">
        <f t="shared" si="36"/>
        <v>-6.5770330385822291</v>
      </c>
    </row>
    <row r="121" spans="1:14" x14ac:dyDescent="0.25">
      <c r="A121" s="103">
        <f>(A165+A204+A243+A282+A321+A360+A399)*10^9</f>
        <v>1.7245282996077635E+18</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12.063922953615501</v>
      </c>
    </row>
    <row r="123" spans="1:14" x14ac:dyDescent="0.25">
      <c r="A123" s="119"/>
      <c r="B123" s="119"/>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160</v>
      </c>
      <c r="N124" s="11">
        <f t="shared" si="36"/>
        <v>35.861537922668312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-14.406800109604639</v>
      </c>
      <c r="C126" s="107">
        <v>-10.950515452938541</v>
      </c>
      <c r="D126" s="107">
        <v>-6.5770330385822291</v>
      </c>
      <c r="E126" s="107">
        <v>1.3428687777918219E-4</v>
      </c>
      <c r="F126" s="107">
        <v>12.063922953615501</v>
      </c>
      <c r="G126" s="107">
        <v>31.8000897176249</v>
      </c>
      <c r="H126" s="10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11405.258645507871</v>
      </c>
      <c r="C131" s="27">
        <f t="shared" ref="C131:AF131" si="40">($C$17+SUM(C132:C162))*$B$51</f>
        <v>11400.913148583419</v>
      </c>
      <c r="D131" s="27">
        <f t="shared" si="40"/>
        <v>11394.230854573712</v>
      </c>
      <c r="E131" s="27">
        <f t="shared" si="40"/>
        <v>11394.184719161325</v>
      </c>
      <c r="F131" s="27">
        <f t="shared" si="40"/>
        <v>11394.184719161303</v>
      </c>
      <c r="G131" s="27">
        <f t="shared" si="40"/>
        <v>11394.184719161061</v>
      </c>
      <c r="H131" s="27">
        <f t="shared" si="40"/>
        <v>11394.184719158669</v>
      </c>
      <c r="I131" s="27">
        <f t="shared" si="40"/>
        <v>11394.184719134731</v>
      </c>
      <c r="J131" s="27">
        <f t="shared" si="40"/>
        <v>11394.184718895351</v>
      </c>
      <c r="K131" s="27">
        <f t="shared" si="40"/>
        <v>11394.184716501552</v>
      </c>
      <c r="L131" s="27">
        <f t="shared" si="40"/>
        <v>11394.184692563558</v>
      </c>
      <c r="M131" s="27">
        <f t="shared" si="40"/>
        <v>11394.184453183831</v>
      </c>
      <c r="N131" s="27">
        <f t="shared" si="40"/>
        <v>11394.182059405877</v>
      </c>
      <c r="O131" s="27">
        <f t="shared" si="40"/>
        <v>11394.158123561088</v>
      </c>
      <c r="P131" s="27">
        <f t="shared" si="40"/>
        <v>11393.918958282324</v>
      </c>
      <c r="Q131" s="27">
        <f t="shared" si="40"/>
        <v>11391.546322020989</v>
      </c>
      <c r="R131" s="27">
        <f t="shared" si="40"/>
        <v>11369.461629558069</v>
      </c>
      <c r="S131" s="27">
        <f t="shared" si="40"/>
        <v>11219.024964999126</v>
      </c>
      <c r="T131" s="27">
        <f t="shared" si="40"/>
        <v>10921.533958026321</v>
      </c>
      <c r="U131" s="27">
        <f t="shared" si="40"/>
        <v>10652.728719812862</v>
      </c>
      <c r="V131" s="27">
        <f t="shared" si="40"/>
        <v>10296.744491451796</v>
      </c>
      <c r="W131" s="27">
        <f t="shared" si="40"/>
        <v>9932.4006638866194</v>
      </c>
      <c r="X131" s="27">
        <f t="shared" si="40"/>
        <v>9517.2897197848852</v>
      </c>
      <c r="Y131" s="27">
        <f t="shared" si="40"/>
        <v>8982.0166876912499</v>
      </c>
      <c r="Z131" s="27">
        <f t="shared" si="40"/>
        <v>8359.8648805013891</v>
      </c>
      <c r="AA131" s="27">
        <f t="shared" si="40"/>
        <v>7722.7727167617732</v>
      </c>
      <c r="AB131" s="27">
        <f t="shared" si="40"/>
        <v>7092.6923577396365</v>
      </c>
      <c r="AC131" s="27">
        <f t="shared" si="40"/>
        <v>6427.6535116607811</v>
      </c>
      <c r="AD131" s="27">
        <f t="shared" si="40"/>
        <v>5721.040440959131</v>
      </c>
      <c r="AE131" s="27">
        <f t="shared" si="40"/>
        <v>4780.0655331718181</v>
      </c>
      <c r="AF131" s="27">
        <f t="shared" si="40"/>
        <v>3738.1427209236808</v>
      </c>
    </row>
    <row r="132" spans="1:33" x14ac:dyDescent="0.25">
      <c r="B132" s="3">
        <f t="shared" ref="B132:Z133" si="41">$C18*EXP(-B$129/$A18/EXP(-$B$126))</f>
        <v>9.7089550376501196E-4</v>
      </c>
      <c r="C132" s="3">
        <f t="shared" ref="C132:AF132" si="42">$C18*EXP(-C$129/$A18/EXP(-$B$126))</f>
        <v>5.8990837295444824E-4</v>
      </c>
      <c r="D132" s="3">
        <f t="shared" si="42"/>
        <v>4.0448765007162145E-6</v>
      </c>
      <c r="E132" s="3">
        <f t="shared" si="42"/>
        <v>9.2920668008895392E-28</v>
      </c>
      <c r="F132" s="3">
        <f t="shared" si="42"/>
        <v>3.8034953943228884E-244</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7.2761897872501702E-4</v>
      </c>
      <c r="C141" s="3">
        <f t="shared" si="59"/>
        <v>7.2761897872501669E-4</v>
      </c>
      <c r="D141" s="3">
        <f t="shared" si="59"/>
        <v>7.2761897872501257E-4</v>
      </c>
      <c r="E141" s="3">
        <f t="shared" si="59"/>
        <v>7.2761897872497192E-4</v>
      </c>
      <c r="F141" s="3">
        <f t="shared" si="59"/>
        <v>7.2761897872456469E-4</v>
      </c>
      <c r="G141" s="3">
        <f t="shared" si="59"/>
        <v>7.2761897872049243E-4</v>
      </c>
      <c r="H141" s="3">
        <f t="shared" si="59"/>
        <v>7.2761897867977055E-4</v>
      </c>
      <c r="I141" s="3">
        <f t="shared" si="59"/>
        <v>7.2761897827255224E-4</v>
      </c>
      <c r="J141" s="3">
        <f t="shared" si="59"/>
        <v>7.2761897420036835E-4</v>
      </c>
      <c r="K141" s="3">
        <f t="shared" si="59"/>
        <v>7.2761893347853142E-4</v>
      </c>
      <c r="L141" s="3">
        <f t="shared" si="59"/>
        <v>7.2761852626028641E-4</v>
      </c>
      <c r="M141" s="3">
        <f t="shared" si="59"/>
        <v>7.2761445409037166E-4</v>
      </c>
      <c r="N141" s="3">
        <f t="shared" si="59"/>
        <v>7.2757373364466403E-4</v>
      </c>
      <c r="O141" s="3">
        <f t="shared" si="59"/>
        <v>7.2716665450560088E-4</v>
      </c>
      <c r="P141" s="3">
        <f t="shared" si="59"/>
        <v>7.2310836900512851E-4</v>
      </c>
      <c r="Q141" s="3">
        <f t="shared" si="59"/>
        <v>6.8375058970298686E-4</v>
      </c>
      <c r="R141" s="3">
        <f t="shared" si="59"/>
        <v>3.9069780701572336E-4</v>
      </c>
      <c r="S141" s="3">
        <f t="shared" si="59"/>
        <v>1.449684748571527E-6</v>
      </c>
      <c r="T141" s="3">
        <f t="shared" si="59"/>
        <v>7.1713271290970387E-31</v>
      </c>
      <c r="U141" s="3">
        <f t="shared" si="59"/>
        <v>6.2930208833870769E-274</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3.1446025257017014E-2</v>
      </c>
      <c r="D142" s="3">
        <f t="shared" si="61"/>
        <v>3.1446025257017E-2</v>
      </c>
      <c r="E142" s="3">
        <f t="shared" si="61"/>
        <v>3.1446025257016841E-2</v>
      </c>
      <c r="F142" s="3">
        <f t="shared" si="61"/>
        <v>3.1446025257015259E-2</v>
      </c>
      <c r="G142" s="3">
        <f t="shared" si="61"/>
        <v>3.1446025256999383E-2</v>
      </c>
      <c r="H142" s="3">
        <f t="shared" si="61"/>
        <v>3.1446025256840628E-2</v>
      </c>
      <c r="I142" s="3">
        <f t="shared" si="61"/>
        <v>3.1446025255253043E-2</v>
      </c>
      <c r="J142" s="3">
        <f t="shared" si="61"/>
        <v>3.1446025239377236E-2</v>
      </c>
      <c r="K142" s="3">
        <f t="shared" si="61"/>
        <v>3.1446025080619208E-2</v>
      </c>
      <c r="L142" s="3">
        <f t="shared" si="61"/>
        <v>3.1446023493038933E-2</v>
      </c>
      <c r="M142" s="3">
        <f t="shared" si="61"/>
        <v>3.144600761724059E-2</v>
      </c>
      <c r="N142" s="3">
        <f t="shared" si="61"/>
        <v>3.1445848859697971E-2</v>
      </c>
      <c r="O142" s="3">
        <f t="shared" si="61"/>
        <v>3.1444261328353644E-2</v>
      </c>
      <c r="P142" s="3">
        <f t="shared" si="61"/>
        <v>3.1428390422267118E-2</v>
      </c>
      <c r="Q142" s="3">
        <f t="shared" si="61"/>
        <v>3.1270121274908094E-2</v>
      </c>
      <c r="R142" s="3">
        <f t="shared" si="61"/>
        <v>2.9730610382466501E-2</v>
      </c>
      <c r="S142" s="3">
        <f t="shared" si="61"/>
        <v>1.7945122419054948E-2</v>
      </c>
      <c r="T142" s="3">
        <f t="shared" si="61"/>
        <v>1.1517876661162853E-4</v>
      </c>
      <c r="U142" s="3">
        <f t="shared" si="61"/>
        <v>1.3665716463819422E-26</v>
      </c>
      <c r="V142" s="3">
        <f t="shared" si="61"/>
        <v>7.5549610084418059E-246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1.9599632072183442E-2</v>
      </c>
      <c r="F143" s="3">
        <f t="shared" si="63"/>
        <v>1.9599632072183352E-2</v>
      </c>
      <c r="G143" s="3">
        <f t="shared" si="63"/>
        <v>1.959963207218246E-2</v>
      </c>
      <c r="H143" s="3">
        <f t="shared" si="63"/>
        <v>1.9599632072173533E-2</v>
      </c>
      <c r="I143" s="3">
        <f t="shared" si="63"/>
        <v>1.9599632072084271E-2</v>
      </c>
      <c r="J143" s="3">
        <f t="shared" si="63"/>
        <v>1.9599632071191659E-2</v>
      </c>
      <c r="K143" s="3">
        <f t="shared" si="63"/>
        <v>1.9599632062265501E-2</v>
      </c>
      <c r="L143" s="3">
        <f t="shared" si="63"/>
        <v>1.9599631973003944E-2</v>
      </c>
      <c r="M143" s="3">
        <f t="shared" si="63"/>
        <v>1.95996310803884E-2</v>
      </c>
      <c r="N143" s="3">
        <f t="shared" si="63"/>
        <v>1.959962215423517E-2</v>
      </c>
      <c r="O143" s="3">
        <f t="shared" si="63"/>
        <v>1.9599532892926479E-2</v>
      </c>
      <c r="P143" s="3">
        <f t="shared" si="63"/>
        <v>1.9598640302197684E-2</v>
      </c>
      <c r="Q143" s="3">
        <f t="shared" si="63"/>
        <v>1.9589716630346449E-2</v>
      </c>
      <c r="R143" s="3">
        <f t="shared" si="63"/>
        <v>1.9500703079276094E-2</v>
      </c>
      <c r="S143" s="3">
        <f t="shared" si="63"/>
        <v>1.8632512796848272E-2</v>
      </c>
      <c r="T143" s="3">
        <f t="shared" si="63"/>
        <v>1.1816340925289225E-2</v>
      </c>
      <c r="U143" s="3">
        <f t="shared" si="63"/>
        <v>1.2433656312636526E-4</v>
      </c>
      <c r="V143" s="3">
        <f t="shared" si="63"/>
        <v>2.0689848786730264E-24</v>
      </c>
      <c r="W143" s="3">
        <f t="shared" si="63"/>
        <v>3.3677659140880428E-222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3.2516214564493023E-2</v>
      </c>
      <c r="G144" s="3">
        <f t="shared" si="65"/>
        <v>3.2516214564492892E-2</v>
      </c>
      <c r="H144" s="3">
        <f t="shared" si="65"/>
        <v>3.2516214564491552E-2</v>
      </c>
      <c r="I144" s="3">
        <f t="shared" si="65"/>
        <v>3.2516214564478195E-2</v>
      </c>
      <c r="J144" s="3">
        <f t="shared" si="65"/>
        <v>3.2516214564344607E-2</v>
      </c>
      <c r="K144" s="3">
        <f t="shared" si="65"/>
        <v>3.2516214563008738E-2</v>
      </c>
      <c r="L144" s="3">
        <f t="shared" si="65"/>
        <v>3.251621454965007E-2</v>
      </c>
      <c r="M144" s="3">
        <f t="shared" si="65"/>
        <v>3.2516214416063408E-2</v>
      </c>
      <c r="N144" s="3">
        <f t="shared" si="65"/>
        <v>3.2516213080196782E-2</v>
      </c>
      <c r="O144" s="3">
        <f t="shared" si="65"/>
        <v>3.2516199721533523E-2</v>
      </c>
      <c r="P144" s="3">
        <f t="shared" si="65"/>
        <v>3.2516066135202797E-2</v>
      </c>
      <c r="Q144" s="3">
        <f t="shared" si="65"/>
        <v>3.2514730302079832E-2</v>
      </c>
      <c r="R144" s="3">
        <f t="shared" si="65"/>
        <v>3.2501374988824841E-2</v>
      </c>
      <c r="S144" s="3">
        <f t="shared" si="65"/>
        <v>3.2368123195485765E-2</v>
      </c>
      <c r="T144" s="3">
        <f t="shared" si="65"/>
        <v>3.1065286115241231E-2</v>
      </c>
      <c r="U144" s="3">
        <f t="shared" si="65"/>
        <v>2.0599361197179505E-2</v>
      </c>
      <c r="V144" s="3">
        <f t="shared" si="65"/>
        <v>3.3856160242783545E-4</v>
      </c>
      <c r="W144" s="3">
        <f t="shared" si="65"/>
        <v>4.86941948902407E-22</v>
      </c>
      <c r="X144" s="3">
        <f t="shared" si="65"/>
        <v>1.8444720137773943E-200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3.2163923063268547E-2</v>
      </c>
      <c r="H145" s="3">
        <f t="shared" si="68"/>
        <v>3.2163923063268429E-2</v>
      </c>
      <c r="I145" s="3">
        <f t="shared" si="68"/>
        <v>3.2163923063267236E-2</v>
      </c>
      <c r="J145" s="3">
        <f t="shared" si="68"/>
        <v>3.2163923063255315E-2</v>
      </c>
      <c r="K145" s="3">
        <f t="shared" si="68"/>
        <v>3.2163923063136118E-2</v>
      </c>
      <c r="L145" s="3">
        <f t="shared" si="68"/>
        <v>3.2163923061944107E-2</v>
      </c>
      <c r="M145" s="3">
        <f t="shared" si="68"/>
        <v>3.2163923050024044E-2</v>
      </c>
      <c r="N145" s="3">
        <f t="shared" si="68"/>
        <v>3.216392293082336E-2</v>
      </c>
      <c r="O145" s="3">
        <f t="shared" si="68"/>
        <v>3.2163921738816575E-2</v>
      </c>
      <c r="P145" s="3">
        <f t="shared" si="68"/>
        <v>3.2163909818751182E-2</v>
      </c>
      <c r="Q145" s="3">
        <f t="shared" si="68"/>
        <v>3.2163790618340224E-2</v>
      </c>
      <c r="R145" s="3">
        <f t="shared" si="68"/>
        <v>3.2162598638527162E-2</v>
      </c>
      <c r="S145" s="3">
        <f t="shared" si="68"/>
        <v>3.2150681269717957E-2</v>
      </c>
      <c r="T145" s="3">
        <f t="shared" si="68"/>
        <v>3.2031750180981727E-2</v>
      </c>
      <c r="U145" s="3">
        <f t="shared" si="68"/>
        <v>3.0866369840766149E-2</v>
      </c>
      <c r="V145" s="3">
        <f t="shared" si="68"/>
        <v>2.1307594563781149E-2</v>
      </c>
      <c r="W145" s="3">
        <f t="shared" si="68"/>
        <v>5.2362830421547968E-4</v>
      </c>
      <c r="X145" s="3">
        <f t="shared" si="68"/>
        <v>4.2063945621388239E-20</v>
      </c>
      <c r="Y145" s="3">
        <f t="shared" si="68"/>
        <v>4.707376574343268E-181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3.3900572605001074E-2</v>
      </c>
      <c r="I146" s="3">
        <f t="shared" si="70"/>
        <v>3.3900572605000963E-2</v>
      </c>
      <c r="J146" s="3">
        <f t="shared" si="70"/>
        <v>3.3900572604999825E-2</v>
      </c>
      <c r="K146" s="3">
        <f t="shared" si="70"/>
        <v>3.3900572604988494E-2</v>
      </c>
      <c r="L146" s="3">
        <f t="shared" si="70"/>
        <v>3.3900572604875161E-2</v>
      </c>
      <c r="M146" s="3">
        <f t="shared" si="70"/>
        <v>3.390057260374181E-2</v>
      </c>
      <c r="N146" s="3">
        <f t="shared" si="70"/>
        <v>3.3900572592408328E-2</v>
      </c>
      <c r="O146" s="3">
        <f t="shared" si="70"/>
        <v>3.3900572479073514E-2</v>
      </c>
      <c r="P146" s="3">
        <f t="shared" si="70"/>
        <v>3.3900571345725369E-2</v>
      </c>
      <c r="Q146" s="3">
        <f t="shared" si="70"/>
        <v>3.390056001224602E-2</v>
      </c>
      <c r="R146" s="3">
        <f t="shared" si="70"/>
        <v>3.39004466776609E-2</v>
      </c>
      <c r="S146" s="3">
        <f t="shared" si="70"/>
        <v>3.3899313352648709E-2</v>
      </c>
      <c r="T146" s="3">
        <f t="shared" si="70"/>
        <v>3.3887982186166614E-2</v>
      </c>
      <c r="U146" s="3">
        <f t="shared" si="70"/>
        <v>3.3774878627824315E-2</v>
      </c>
      <c r="V146" s="3">
        <f t="shared" si="70"/>
        <v>3.2664398557222855E-2</v>
      </c>
      <c r="W146" s="3">
        <f t="shared" si="70"/>
        <v>2.3382091514914317E-2</v>
      </c>
      <c r="X146" s="3">
        <f t="shared" si="70"/>
        <v>8.2598137643331859E-4</v>
      </c>
      <c r="Y146" s="3">
        <f t="shared" si="70"/>
        <v>2.4994200466634358E-18</v>
      </c>
      <c r="Z146" s="3">
        <f t="shared" si="70"/>
        <v>1.6089004880147802E-163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4.6234934193755545E-2</v>
      </c>
      <c r="J147" s="3">
        <f t="shared" si="72"/>
        <v>4.6234934193755406E-2</v>
      </c>
      <c r="K147" s="3">
        <f t="shared" si="72"/>
        <v>4.6234934193754011E-2</v>
      </c>
      <c r="L147" s="3">
        <f t="shared" si="72"/>
        <v>4.6234934193740064E-2</v>
      </c>
      <c r="M147" s="3">
        <f t="shared" si="72"/>
        <v>4.6234934193600634E-2</v>
      </c>
      <c r="N147" s="3">
        <f t="shared" si="72"/>
        <v>4.6234934192206277E-2</v>
      </c>
      <c r="O147" s="3">
        <f t="shared" si="72"/>
        <v>4.6234934178262729E-2</v>
      </c>
      <c r="P147" s="3">
        <f t="shared" si="72"/>
        <v>4.6234934038827301E-2</v>
      </c>
      <c r="Q147" s="3">
        <f t="shared" si="72"/>
        <v>4.6234932644473002E-2</v>
      </c>
      <c r="R147" s="3">
        <f t="shared" si="72"/>
        <v>4.6234918700932347E-2</v>
      </c>
      <c r="S147" s="3">
        <f t="shared" si="72"/>
        <v>4.6234779265757059E-2</v>
      </c>
      <c r="T147" s="3">
        <f t="shared" si="72"/>
        <v>4.6233384937131937E-2</v>
      </c>
      <c r="U147" s="3">
        <f t="shared" si="72"/>
        <v>4.6219443963397527E-2</v>
      </c>
      <c r="V147" s="3">
        <f t="shared" si="72"/>
        <v>4.6080265219899948E-2</v>
      </c>
      <c r="W147" s="3">
        <f t="shared" si="72"/>
        <v>4.4711321481853229E-2</v>
      </c>
      <c r="X147" s="3">
        <f t="shared" si="72"/>
        <v>3.3070660247013696E-2</v>
      </c>
      <c r="Y147" s="3">
        <f t="shared" si="72"/>
        <v>1.6206769717159028E-3</v>
      </c>
      <c r="Z147" s="3">
        <f t="shared" si="72"/>
        <v>1.2948886315671937E-16</v>
      </c>
      <c r="AA147" s="3">
        <f t="shared" ref="AA147" si="73">$C33*EXP(-AA$129/$A33/EXP(-$B$126))</f>
        <v>1.3727516854802753E-147</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5.6671396993887131E-2</v>
      </c>
      <c r="K148" s="3">
        <f t="shared" si="74"/>
        <v>5.6671396993886985E-2</v>
      </c>
      <c r="L148" s="3">
        <f t="shared" si="74"/>
        <v>5.6671396993885438E-2</v>
      </c>
      <c r="M148" s="3">
        <f t="shared" si="74"/>
        <v>5.667139699387002E-2</v>
      </c>
      <c r="N148" s="3">
        <f t="shared" si="74"/>
        <v>5.6671396993715845E-2</v>
      </c>
      <c r="O148" s="3">
        <f t="shared" si="74"/>
        <v>5.6671396992174099E-2</v>
      </c>
      <c r="P148" s="3">
        <f t="shared" si="74"/>
        <v>5.6671396976756619E-2</v>
      </c>
      <c r="Q148" s="3">
        <f t="shared" si="74"/>
        <v>5.6671396822581807E-2</v>
      </c>
      <c r="R148" s="3">
        <f t="shared" si="74"/>
        <v>5.6671395280833772E-2</v>
      </c>
      <c r="S148" s="3">
        <f t="shared" si="74"/>
        <v>5.6671379863355652E-2</v>
      </c>
      <c r="T148" s="3">
        <f t="shared" si="74"/>
        <v>5.6671225688805144E-2</v>
      </c>
      <c r="U148" s="3">
        <f t="shared" si="74"/>
        <v>5.6669683966368692E-2</v>
      </c>
      <c r="V148" s="3">
        <f t="shared" si="74"/>
        <v>5.6654269048629247E-2</v>
      </c>
      <c r="W148" s="3">
        <f t="shared" si="74"/>
        <v>5.6500350301738035E-2</v>
      </c>
      <c r="X148" s="3">
        <f t="shared" si="74"/>
        <v>5.4983975613055486E-2</v>
      </c>
      <c r="Y148" s="3">
        <f t="shared" si="74"/>
        <v>4.1887661623242041E-2</v>
      </c>
      <c r="Z148" s="3">
        <f t="shared" si="74"/>
        <v>2.7579468949943918E-3</v>
      </c>
      <c r="AA148" s="3">
        <f>$C34*EXP(-AA$129/$A34/EXP(-$B$126))</f>
        <v>4.2226368017957473E-15</v>
      </c>
      <c r="AB148" s="3">
        <f t="shared" si="67"/>
        <v>2.9892484858352057E-133</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5.8705737383098616E-2</v>
      </c>
      <c r="L149" s="3">
        <f t="shared" si="75"/>
        <v>5.8705737383098471E-2</v>
      </c>
      <c r="M149" s="3">
        <f t="shared" si="75"/>
        <v>5.8705737383097027E-2</v>
      </c>
      <c r="N149" s="3">
        <f t="shared" si="75"/>
        <v>5.8705737383082622E-2</v>
      </c>
      <c r="O149" s="3">
        <f t="shared" si="75"/>
        <v>5.870573738293855E-2</v>
      </c>
      <c r="P149" s="3">
        <f t="shared" si="75"/>
        <v>5.8705737381497841E-2</v>
      </c>
      <c r="Q149" s="3">
        <f t="shared" si="75"/>
        <v>5.8705737367090741E-2</v>
      </c>
      <c r="R149" s="3">
        <f t="shared" si="75"/>
        <v>5.8705737223019722E-2</v>
      </c>
      <c r="S149" s="3">
        <f t="shared" si="75"/>
        <v>5.8705735782309539E-2</v>
      </c>
      <c r="T149" s="3">
        <f t="shared" si="75"/>
        <v>5.870572137520963E-2</v>
      </c>
      <c r="U149" s="3">
        <f t="shared" si="75"/>
        <v>5.8705577304405059E-2</v>
      </c>
      <c r="V149" s="3">
        <f t="shared" si="75"/>
        <v>5.8704136615805383E-2</v>
      </c>
      <c r="W149" s="3">
        <f t="shared" si="75"/>
        <v>5.8689731674235378E-2</v>
      </c>
      <c r="X149" s="3">
        <f t="shared" si="75"/>
        <v>5.8545876524769461E-2</v>
      </c>
      <c r="Y149" s="3">
        <f t="shared" si="75"/>
        <v>5.7126576406900519E-2</v>
      </c>
      <c r="Z149" s="3">
        <f t="shared" si="75"/>
        <v>4.4694805210961482E-2</v>
      </c>
      <c r="AA149" s="3">
        <f t="shared" ref="AA149" si="76">$C35*EXP(-AA$129/$A35/EXP(-$B$126))</f>
        <v>3.841011095375125E-3</v>
      </c>
      <c r="AB149" s="3">
        <f t="shared" si="67"/>
        <v>8.4397715253030266E-14</v>
      </c>
      <c r="AC149" s="3">
        <f t="shared" si="67"/>
        <v>2.2140222043947349E-120</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5.6202356064972106E-2</v>
      </c>
      <c r="M150" s="3">
        <f t="shared" si="77"/>
        <v>5.6202356064971981E-2</v>
      </c>
      <c r="N150" s="3">
        <f t="shared" si="77"/>
        <v>5.6202356064970732E-2</v>
      </c>
      <c r="O150" s="3">
        <f t="shared" si="77"/>
        <v>5.6202356064958291E-2</v>
      </c>
      <c r="P150" s="3">
        <f t="shared" si="77"/>
        <v>5.6202356064833869E-2</v>
      </c>
      <c r="Q150" s="3">
        <f t="shared" si="77"/>
        <v>5.6202356063589656E-2</v>
      </c>
      <c r="R150" s="3">
        <f t="shared" si="77"/>
        <v>5.6202356051147449E-2</v>
      </c>
      <c r="S150" s="3">
        <f t="shared" si="77"/>
        <v>5.6202355926725442E-2</v>
      </c>
      <c r="T150" s="3">
        <f t="shared" si="77"/>
        <v>5.6202354682505409E-2</v>
      </c>
      <c r="U150" s="3">
        <f t="shared" si="77"/>
        <v>5.6202342240306506E-2</v>
      </c>
      <c r="V150" s="3">
        <f t="shared" si="77"/>
        <v>5.6202217818469007E-2</v>
      </c>
      <c r="W150" s="3">
        <f t="shared" si="77"/>
        <v>5.6200973615243573E-2</v>
      </c>
      <c r="X150" s="3">
        <f t="shared" si="77"/>
        <v>5.6188533097816212E-2</v>
      </c>
      <c r="Y150" s="3">
        <f t="shared" si="77"/>
        <v>5.60642792822348E-2</v>
      </c>
      <c r="Z150" s="3">
        <f t="shared" si="77"/>
        <v>5.4836753746358248E-2</v>
      </c>
      <c r="AA150" s="3">
        <f t="shared" ref="AA150" si="78">$C36*EXP(-AA$129/$A36/EXP(-$B$126))</f>
        <v>4.3946741024023642E-2</v>
      </c>
      <c r="AB150" s="3">
        <f t="shared" si="67"/>
        <v>4.8025959030276273E-3</v>
      </c>
      <c r="AC150" s="3">
        <f t="shared" si="67"/>
        <v>1.1667283799854471E-12</v>
      </c>
      <c r="AD150" s="3">
        <f t="shared" si="67"/>
        <v>8.3542394913058739E-109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6.3415296184233028E-2</v>
      </c>
      <c r="O151" s="3">
        <f t="shared" si="79"/>
        <v>6.3415296184231765E-2</v>
      </c>
      <c r="P151" s="3">
        <f t="shared" si="79"/>
        <v>6.3415296184219094E-2</v>
      </c>
      <c r="Q151" s="3">
        <f t="shared" si="79"/>
        <v>6.3415296184092459E-2</v>
      </c>
      <c r="R151" s="3">
        <f t="shared" si="79"/>
        <v>6.3415296182826014E-2</v>
      </c>
      <c r="S151" s="3">
        <f t="shared" si="79"/>
        <v>6.3415296170161659E-2</v>
      </c>
      <c r="T151" s="3">
        <f t="shared" si="79"/>
        <v>6.3415296043518046E-2</v>
      </c>
      <c r="U151" s="3">
        <f t="shared" si="79"/>
        <v>6.3415294777081924E-2</v>
      </c>
      <c r="V151" s="3">
        <f t="shared" si="79"/>
        <v>6.3415282112722154E-2</v>
      </c>
      <c r="W151" s="3">
        <f t="shared" si="79"/>
        <v>6.3415155469263573E-2</v>
      </c>
      <c r="X151" s="3">
        <f t="shared" si="79"/>
        <v>6.3413889048587913E-2</v>
      </c>
      <c r="Y151" s="3">
        <f t="shared" si="79"/>
        <v>6.3401226232743052E-2</v>
      </c>
      <c r="Z151" s="3">
        <f t="shared" si="79"/>
        <v>6.327473706275441E-2</v>
      </c>
      <c r="AA151" s="3">
        <f t="shared" ref="AA151" si="80">$C37*EXP(-AA$129/$A37/EXP(-$B$126))</f>
        <v>6.2023642055322799E-2</v>
      </c>
      <c r="AB151" s="3">
        <f t="shared" si="67"/>
        <v>5.0795637992870873E-2</v>
      </c>
      <c r="AC151" s="3">
        <f t="shared" si="67"/>
        <v>6.8947411748294871E-3</v>
      </c>
      <c r="AD151" s="3">
        <f t="shared" si="67"/>
        <v>1.4636372352287467E-11</v>
      </c>
      <c r="AE151" s="3">
        <f t="shared" si="67"/>
        <v>2.7201212814896373E-98</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3.5348869965799494E-2</v>
      </c>
      <c r="P152" s="3">
        <f t="shared" si="81"/>
        <v>3.5348869965798856E-2</v>
      </c>
      <c r="Q152" s="3">
        <f t="shared" si="81"/>
        <v>3.5348869965792486E-2</v>
      </c>
      <c r="R152" s="3">
        <f t="shared" si="81"/>
        <v>3.5348869965728807E-2</v>
      </c>
      <c r="S152" s="3">
        <f t="shared" si="81"/>
        <v>3.534886996509199E-2</v>
      </c>
      <c r="T152" s="3">
        <f t="shared" si="81"/>
        <v>3.5348869958723869E-2</v>
      </c>
      <c r="U152" s="3">
        <f t="shared" si="81"/>
        <v>3.5348869895042649E-2</v>
      </c>
      <c r="V152" s="3">
        <f t="shared" si="81"/>
        <v>3.5348869258230428E-2</v>
      </c>
      <c r="W152" s="3">
        <f t="shared" si="81"/>
        <v>3.534886289010887E-2</v>
      </c>
      <c r="X152" s="3">
        <f t="shared" si="81"/>
        <v>3.5348799208956339E-2</v>
      </c>
      <c r="Y152" s="3">
        <f t="shared" si="81"/>
        <v>3.5348162403740682E-2</v>
      </c>
      <c r="Z152" s="3">
        <f t="shared" si="81"/>
        <v>3.534179498250925E-2</v>
      </c>
      <c r="AA152" s="3">
        <f t="shared" ref="AA152" si="82">$C38*EXP(-AA$129/$A38/EXP(-$B$126))</f>
        <v>3.5278183820666227E-2</v>
      </c>
      <c r="AB152" s="3">
        <f t="shared" si="67"/>
        <v>3.464833542435608E-2</v>
      </c>
      <c r="AC152" s="3">
        <f t="shared" si="67"/>
        <v>2.8936362566447618E-2</v>
      </c>
      <c r="AD152" s="3">
        <f t="shared" si="67"/>
        <v>4.7759476828600402E-3</v>
      </c>
      <c r="AE152" s="3">
        <f t="shared" si="67"/>
        <v>7.164993393381231E-11</v>
      </c>
      <c r="AF152" s="3">
        <f t="shared" si="67"/>
        <v>4.1378822650738599E-89</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7.0460456800535365E-2</v>
      </c>
      <c r="P153" s="3">
        <f t="shared" si="83"/>
        <v>7.0460456800535018E-2</v>
      </c>
      <c r="Q153" s="3">
        <f t="shared" si="83"/>
        <v>7.0460456800531507E-2</v>
      </c>
      <c r="R153" s="3">
        <f t="shared" si="83"/>
        <v>7.0460456800496396E-2</v>
      </c>
      <c r="S153" s="3">
        <f t="shared" si="83"/>
        <v>7.046045680014533E-2</v>
      </c>
      <c r="T153" s="3">
        <f t="shared" si="83"/>
        <v>7.0460456796634624E-2</v>
      </c>
      <c r="U153" s="3">
        <f t="shared" si="83"/>
        <v>7.0460456761527582E-2</v>
      </c>
      <c r="V153" s="3">
        <f t="shared" si="83"/>
        <v>7.0460456410457215E-2</v>
      </c>
      <c r="W153" s="3">
        <f t="shared" si="83"/>
        <v>7.0460452899753653E-2</v>
      </c>
      <c r="X153" s="3">
        <f t="shared" si="83"/>
        <v>7.0460417792727548E-2</v>
      </c>
      <c r="Y153" s="3">
        <f t="shared" si="83"/>
        <v>7.046006672342861E-2</v>
      </c>
      <c r="Z153" s="3">
        <f t="shared" si="83"/>
        <v>7.0456556126644074E-2</v>
      </c>
      <c r="AA153" s="3">
        <f t="shared" ref="AA153" si="84">$C39*EXP(-AA$129/$A39/EXP(-$B$126))</f>
        <v>7.0421459777504136E-2</v>
      </c>
      <c r="AB153" s="3">
        <f t="shared" si="67"/>
        <v>7.0071456385776817E-2</v>
      </c>
      <c r="AC153" s="3">
        <f t="shared" si="67"/>
        <v>6.6665685804034078E-2</v>
      </c>
      <c r="AD153" s="3">
        <f t="shared" si="67"/>
        <v>4.0505539568415308E-2</v>
      </c>
      <c r="AE153" s="3">
        <f t="shared" si="67"/>
        <v>2.7773788720534962E-4</v>
      </c>
      <c r="AF153" s="3">
        <f t="shared" si="67"/>
        <v>6.3803159394187404E-26</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8.6875447409324652E-2</v>
      </c>
      <c r="Q154" s="3">
        <f t="shared" si="85"/>
        <v>8.6875447409324208E-2</v>
      </c>
      <c r="R154" s="3">
        <f t="shared" si="85"/>
        <v>8.6875447409319878E-2</v>
      </c>
      <c r="S154" s="3">
        <f t="shared" si="85"/>
        <v>8.6875447409276593E-2</v>
      </c>
      <c r="T154" s="3">
        <f t="shared" si="85"/>
        <v>8.6875447408843745E-2</v>
      </c>
      <c r="U154" s="3">
        <f t="shared" si="85"/>
        <v>8.6875447404515152E-2</v>
      </c>
      <c r="V154" s="3">
        <f t="shared" si="85"/>
        <v>8.6875447361229319E-2</v>
      </c>
      <c r="W154" s="3">
        <f t="shared" si="85"/>
        <v>8.6875446928371E-2</v>
      </c>
      <c r="X154" s="3">
        <f t="shared" si="85"/>
        <v>8.6875442599787883E-2</v>
      </c>
      <c r="Y154" s="3">
        <f t="shared" si="85"/>
        <v>8.6875399313968607E-2</v>
      </c>
      <c r="Z154" s="3">
        <f t="shared" si="85"/>
        <v>8.687496645696198E-2</v>
      </c>
      <c r="AA154" s="3">
        <f t="shared" ref="AA154:AF154" si="86">$C40*EXP(-AA$129/$A40/EXP(-$B$126))</f>
        <v>8.6870638005513034E-2</v>
      </c>
      <c r="AB154" s="3">
        <f t="shared" si="86"/>
        <v>8.6827365350574143E-2</v>
      </c>
      <c r="AC154" s="3">
        <f t="shared" si="86"/>
        <v>8.6395822572797834E-2</v>
      </c>
      <c r="AD154" s="3">
        <f t="shared" si="86"/>
        <v>8.2196618416344389E-2</v>
      </c>
      <c r="AE154" s="3">
        <f t="shared" si="86"/>
        <v>4.9942010488575841E-2</v>
      </c>
      <c r="AF154" s="3">
        <f t="shared" si="86"/>
        <v>3.4244176534066917E-4</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9.6215979999175666E-2</v>
      </c>
      <c r="R155" s="3">
        <f t="shared" si="87"/>
        <v>9.6215979999175194E-2</v>
      </c>
      <c r="S155" s="3">
        <f t="shared" si="87"/>
        <v>9.6215979999170392E-2</v>
      </c>
      <c r="T155" s="3">
        <f t="shared" si="87"/>
        <v>9.6215979999122445E-2</v>
      </c>
      <c r="U155" s="3">
        <f t="shared" si="87"/>
        <v>9.6215979998643064E-2</v>
      </c>
      <c r="V155" s="3">
        <f t="shared" si="87"/>
        <v>9.621597999384908E-2</v>
      </c>
      <c r="W155" s="3">
        <f t="shared" si="87"/>
        <v>9.6215979945909316E-2</v>
      </c>
      <c r="X155" s="3">
        <f t="shared" si="87"/>
        <v>9.6215979466511628E-2</v>
      </c>
      <c r="Y155" s="3">
        <f t="shared" si="87"/>
        <v>9.6215974672534982E-2</v>
      </c>
      <c r="Z155" s="3">
        <f t="shared" si="87"/>
        <v>9.621592673278162E-2</v>
      </c>
      <c r="AA155" s="3">
        <f t="shared" ref="AA155:AF155" si="88">$C41*EXP(-AA$129/$A41/EXP(-$B$126))</f>
        <v>9.6215447336561691E-2</v>
      </c>
      <c r="AB155" s="3">
        <f t="shared" si="88"/>
        <v>9.6210653505733101E-2</v>
      </c>
      <c r="AC155" s="3">
        <f t="shared" si="88"/>
        <v>9.6162728332093481E-2</v>
      </c>
      <c r="AD155" s="3">
        <f t="shared" si="88"/>
        <v>9.5684787642134422E-2</v>
      </c>
      <c r="AE155" s="3">
        <f t="shared" si="88"/>
        <v>9.1034100305513996E-2</v>
      </c>
      <c r="AF155" s="3">
        <f t="shared" si="88"/>
        <v>5.5311594076137942E-2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v>
      </c>
      <c r="S156" s="3">
        <f t="shared" si="89"/>
        <v>0.11161416834614343</v>
      </c>
      <c r="T156" s="3">
        <f t="shared" si="89"/>
        <v>0.11161416834613787</v>
      </c>
      <c r="U156" s="3">
        <f t="shared" si="89"/>
        <v>0.11161416834608226</v>
      </c>
      <c r="V156" s="3">
        <f t="shared" si="89"/>
        <v>0.11161416834552615</v>
      </c>
      <c r="W156" s="3">
        <f t="shared" si="89"/>
        <v>0.11161416833996496</v>
      </c>
      <c r="X156" s="3">
        <f t="shared" si="89"/>
        <v>0.11161416828435301</v>
      </c>
      <c r="Y156" s="3">
        <f t="shared" si="89"/>
        <v>0.11161416772823361</v>
      </c>
      <c r="Z156" s="3">
        <f t="shared" si="89"/>
        <v>0.11161416216703976</v>
      </c>
      <c r="AA156" s="3">
        <f t="shared" ref="AA156:AF156" si="90">$C42*EXP(-AA$129/$A42/EXP(-$B$126))</f>
        <v>0.11161410655511643</v>
      </c>
      <c r="AB156" s="3">
        <f t="shared" si="90"/>
        <v>0.11161355043740713</v>
      </c>
      <c r="AC156" s="3">
        <f t="shared" si="90"/>
        <v>0.11160798941270905</v>
      </c>
      <c r="AD156" s="3">
        <f t="shared" si="90"/>
        <v>0.11155239440241371</v>
      </c>
      <c r="AE156" s="3">
        <f t="shared" si="90"/>
        <v>0.1109979651628111</v>
      </c>
      <c r="AF156" s="3">
        <f t="shared" si="90"/>
        <v>0.10560299231818301</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6.6462351022397934E-2</v>
      </c>
      <c r="T157" s="3">
        <f t="shared" si="91"/>
        <v>6.6462351022397601E-2</v>
      </c>
      <c r="U157" s="3">
        <f t="shared" si="91"/>
        <v>6.6462351022394298E-2</v>
      </c>
      <c r="V157" s="3">
        <f t="shared" si="91"/>
        <v>6.6462351022361171E-2</v>
      </c>
      <c r="W157" s="3">
        <f t="shared" si="91"/>
        <v>6.6462351022030033E-2</v>
      </c>
      <c r="X157" s="3">
        <f t="shared" si="91"/>
        <v>6.646235101871853E-2</v>
      </c>
      <c r="Y157" s="3">
        <f t="shared" si="91"/>
        <v>6.646235098560356E-2</v>
      </c>
      <c r="Z157" s="3">
        <f t="shared" si="91"/>
        <v>6.6462350654453814E-2</v>
      </c>
      <c r="AA157" s="3">
        <f t="shared" ref="AA157:AF157" si="92">$C43*EXP(-AA$129/$A43/EXP(-$B$126))</f>
        <v>6.6462347342956515E-2</v>
      </c>
      <c r="AB157" s="3">
        <f t="shared" si="92"/>
        <v>6.6462314227992494E-2</v>
      </c>
      <c r="AC157" s="3">
        <f t="shared" si="92"/>
        <v>6.6461983079259726E-2</v>
      </c>
      <c r="AD157" s="3">
        <f t="shared" si="92"/>
        <v>6.6458671682678064E-2</v>
      </c>
      <c r="AE157" s="3">
        <f t="shared" si="92"/>
        <v>6.6425566789776971E-2</v>
      </c>
      <c r="AF157" s="3">
        <f t="shared" si="92"/>
        <v>6.6095423481937476E-2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4.7100906601755685E-2</v>
      </c>
      <c r="U158" s="3">
        <f t="shared" si="93"/>
        <v>4.7100906601755449E-2</v>
      </c>
      <c r="V158" s="3">
        <f t="shared" si="93"/>
        <v>4.7100906601753104E-2</v>
      </c>
      <c r="W158" s="3">
        <f t="shared" si="93"/>
        <v>4.7100906601729636E-2</v>
      </c>
      <c r="X158" s="3">
        <f t="shared" si="93"/>
        <v>4.7100906601494956E-2</v>
      </c>
      <c r="Y158" s="3">
        <f t="shared" si="93"/>
        <v>4.7100906599148146E-2</v>
      </c>
      <c r="Z158" s="3">
        <f t="shared" si="93"/>
        <v>4.7100906575680043E-2</v>
      </c>
      <c r="AA158" s="3">
        <f t="shared" ref="AA158:AF158" si="94">$C44*EXP(-AA$129/$A44/EXP(-$B$126))</f>
        <v>4.7100906340999012E-2</v>
      </c>
      <c r="AB158" s="3">
        <f t="shared" si="94"/>
        <v>4.7100903994188779E-2</v>
      </c>
      <c r="AC158" s="3">
        <f t="shared" si="94"/>
        <v>4.7100880526092882E-2</v>
      </c>
      <c r="AD158" s="3">
        <f t="shared" si="94"/>
        <v>4.7100645845776987E-2</v>
      </c>
      <c r="AE158" s="3">
        <f t="shared" si="94"/>
        <v>4.7098299106928372E-2</v>
      </c>
      <c r="AF158" s="3">
        <f t="shared" si="94"/>
        <v>4.7074838148286238E-2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2.2598128773559222E-2</v>
      </c>
      <c r="V159" s="3">
        <f t="shared" si="95"/>
        <v>2.2598128773559111E-2</v>
      </c>
      <c r="W159" s="3">
        <f t="shared" si="95"/>
        <v>2.2598128773557984E-2</v>
      </c>
      <c r="X159" s="3">
        <f t="shared" si="95"/>
        <v>2.2598128773546725E-2</v>
      </c>
      <c r="Y159" s="3">
        <f t="shared" si="95"/>
        <v>2.2598128773434131E-2</v>
      </c>
      <c r="Z159" s="3">
        <f t="shared" si="95"/>
        <v>2.2598128772308174E-2</v>
      </c>
      <c r="AA159" s="3">
        <f t="shared" ref="AA159:AF159" si="96">$C45*EXP(-AA$129/$A45/EXP(-$B$126))</f>
        <v>2.2598128761048619E-2</v>
      </c>
      <c r="AB159" s="3">
        <f t="shared" si="96"/>
        <v>2.2598128648453078E-2</v>
      </c>
      <c r="AC159" s="3">
        <f t="shared" si="96"/>
        <v>2.2598127522497683E-2</v>
      </c>
      <c r="AD159" s="3">
        <f t="shared" si="96"/>
        <v>2.2598116262946829E-2</v>
      </c>
      <c r="AE159" s="3">
        <f t="shared" si="96"/>
        <v>2.2598003667746825E-2</v>
      </c>
      <c r="AF159" s="3">
        <f t="shared" si="96"/>
        <v>2.2596877746601667E-2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6.4467605952010475E-3</v>
      </c>
      <c r="W160" s="3">
        <f t="shared" si="97"/>
        <v>6.4467605952010154E-3</v>
      </c>
      <c r="X160" s="3">
        <f t="shared" si="97"/>
        <v>6.4467605952006936E-3</v>
      </c>
      <c r="Y160" s="3">
        <f t="shared" si="97"/>
        <v>6.4467605951974817E-3</v>
      </c>
      <c r="Z160" s="3">
        <f t="shared" si="97"/>
        <v>6.4467605951653607E-3</v>
      </c>
      <c r="AA160" s="3">
        <f t="shared" ref="AA160:AF160" si="98">$C46*EXP(-AA$129/$A46/EXP(-$B$126))</f>
        <v>6.4467605948441498E-3</v>
      </c>
      <c r="AB160" s="3">
        <f t="shared" si="98"/>
        <v>6.4467605916320413E-3</v>
      </c>
      <c r="AC160" s="3">
        <f t="shared" si="98"/>
        <v>6.4467605595109516E-3</v>
      </c>
      <c r="AD160" s="3">
        <f t="shared" si="98"/>
        <v>6.4467602383000699E-3</v>
      </c>
      <c r="AE160" s="3">
        <f t="shared" si="98"/>
        <v>6.4467570261921344E-3</v>
      </c>
      <c r="AF160" s="3">
        <f t="shared" si="98"/>
        <v>6.4467249052007963E-3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9.830710463669073E-5</v>
      </c>
      <c r="X161" s="3">
        <f t="shared" si="99"/>
        <v>9.8307104636690242E-5</v>
      </c>
      <c r="Y161" s="3">
        <f t="shared" si="99"/>
        <v>9.8307104636685336E-5</v>
      </c>
      <c r="Z161" s="3">
        <f t="shared" si="99"/>
        <v>9.8307104636636357E-5</v>
      </c>
      <c r="AA161" s="3">
        <f t="shared" ref="AA161:AF161" si="100">$C47*EXP(-AA$129/$A47/EXP(-$B$126))</f>
        <v>9.8307104636146541E-5</v>
      </c>
      <c r="AB161" s="3">
        <f t="shared" si="100"/>
        <v>9.8307104631248374E-5</v>
      </c>
      <c r="AC161" s="3">
        <f t="shared" si="100"/>
        <v>9.8307104582266694E-5</v>
      </c>
      <c r="AD161" s="3">
        <f t="shared" si="100"/>
        <v>9.8307104092449957E-5</v>
      </c>
      <c r="AE161" s="3">
        <f t="shared" si="100"/>
        <v>9.830709919428269E-5</v>
      </c>
      <c r="AF161" s="3">
        <f t="shared" si="100"/>
        <v>9.8307050212623399E-5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1.1020901234699515E-2</v>
      </c>
      <c r="Y162" s="3">
        <f t="shared" si="101"/>
        <v>1.1020901234699461E-2</v>
      </c>
      <c r="Z162" s="3">
        <f t="shared" si="101"/>
        <v>1.1020901234698911E-2</v>
      </c>
      <c r="AA162" s="3">
        <f t="shared" ref="AA162:AF162" si="102">$C48*EXP(-AA$129/$A48/EXP(-$B$126))</f>
        <v>1.1020901234693419E-2</v>
      </c>
      <c r="AB162" s="3">
        <f t="shared" si="102"/>
        <v>1.1020901234638508E-2</v>
      </c>
      <c r="AC162" s="3">
        <f t="shared" si="102"/>
        <v>1.102090123408939E-2</v>
      </c>
      <c r="AD162" s="3">
        <f t="shared" si="102"/>
        <v>1.1020901228598208E-2</v>
      </c>
      <c r="AE162" s="3">
        <f t="shared" si="102"/>
        <v>1.102090117368639E-2</v>
      </c>
      <c r="AF162" s="3">
        <f t="shared" si="102"/>
        <v>1.1020900624568217E-2</v>
      </c>
    </row>
    <row r="163" spans="1:34" x14ac:dyDescent="0.25">
      <c r="A163" s="79">
        <f>AVERAGE(B163:AF163)</f>
        <v>1.5117138695715002</v>
      </c>
      <c r="B163" s="80">
        <f>IF($A$64&lt;=B129,IF($B$64&gt;=B129,ABS((B131-B130)/B130),0),0)</f>
        <v>1.7239389506012791E-2</v>
      </c>
      <c r="C163" s="80">
        <f t="shared" ref="C163:AF163" si="103">IF($A$64&lt;=C129,IF($B$64&gt;=C129,ABS((C131-C130)/C130),0),0)</f>
        <v>1.0793868247552433E-2</v>
      </c>
      <c r="D163" s="80">
        <f t="shared" si="103"/>
        <v>1.1652464884983036E-2</v>
      </c>
      <c r="E163" s="80">
        <f t="shared" si="103"/>
        <v>2.9046442329920735E-2</v>
      </c>
      <c r="F163" s="80">
        <f t="shared" si="103"/>
        <v>4.5930345246771941E-2</v>
      </c>
      <c r="G163" s="80">
        <f t="shared" si="103"/>
        <v>6.5082810808299488E-2</v>
      </c>
      <c r="H163" s="80">
        <f t="shared" si="103"/>
        <v>8.6082722969023223E-2</v>
      </c>
      <c r="I163" s="80">
        <f t="shared" si="103"/>
        <v>0.11124498940420903</v>
      </c>
      <c r="J163" s="80">
        <f t="shared" si="103"/>
        <v>0.14054809787352934</v>
      </c>
      <c r="K163" s="80">
        <f t="shared" si="103"/>
        <v>0.17211931299720082</v>
      </c>
      <c r="L163" s="80">
        <f t="shared" si="103"/>
        <v>0.20480709082190543</v>
      </c>
      <c r="M163" s="80">
        <f t="shared" si="103"/>
        <v>0.23891466466892444</v>
      </c>
      <c r="N163" s="80">
        <f t="shared" si="103"/>
        <v>0.2869969802100929</v>
      </c>
      <c r="O163" s="80">
        <f t="shared" si="103"/>
        <v>0.34366423540531549</v>
      </c>
      <c r="P163" s="80">
        <f t="shared" si="103"/>
        <v>0.40164437424236327</v>
      </c>
      <c r="Q163" s="80">
        <f t="shared" si="103"/>
        <v>0.45180080253617805</v>
      </c>
      <c r="R163" s="80">
        <f t="shared" si="103"/>
        <v>0.50502033413089387</v>
      </c>
      <c r="S163" s="80">
        <f t="shared" si="103"/>
        <v>0.54288393275574365</v>
      </c>
      <c r="T163" s="80">
        <f t="shared" si="103"/>
        <v>0.5673092594071697</v>
      </c>
      <c r="U163" s="80">
        <f t="shared" si="103"/>
        <v>0.59931975360352652</v>
      </c>
      <c r="V163" s="80">
        <f t="shared" si="103"/>
        <v>0.68244029654419913</v>
      </c>
      <c r="W163" s="80">
        <f t="shared" si="103"/>
        <v>0.91753597978003398</v>
      </c>
      <c r="X163" s="80">
        <f t="shared" si="103"/>
        <v>1.3153898567846749</v>
      </c>
      <c r="Y163" s="80">
        <f t="shared" si="103"/>
        <v>1.767886703906604</v>
      </c>
      <c r="Z163" s="80">
        <f t="shared" si="103"/>
        <v>2.28621033680299</v>
      </c>
      <c r="AA163" s="80">
        <f t="shared" si="103"/>
        <v>2.9714635833162619</v>
      </c>
      <c r="AB163" s="80">
        <f t="shared" si="103"/>
        <v>4.0776759677235122</v>
      </c>
      <c r="AC163" s="80">
        <f t="shared" si="103"/>
        <v>5.5446308554023265</v>
      </c>
      <c r="AD163" s="80">
        <f t="shared" si="103"/>
        <v>7.3029727337415915</v>
      </c>
      <c r="AE163" s="80">
        <f t="shared" si="103"/>
        <v>7.9008153708788784</v>
      </c>
      <c r="AF163" s="80">
        <f t="shared" si="103"/>
        <v>7.2640063997858109</v>
      </c>
    </row>
    <row r="164" spans="1:34" x14ac:dyDescent="0.25">
      <c r="B164" s="21">
        <f>(B131-B130)^2</f>
        <v>40027.508519617957</v>
      </c>
      <c r="C164" s="21">
        <f t="shared" ref="C164:AF164" si="104">(C131-C130)^2</f>
        <v>15476.04202454951</v>
      </c>
      <c r="D164" s="21">
        <f t="shared" si="104"/>
        <v>17224.354142800097</v>
      </c>
      <c r="E164" s="21">
        <f t="shared" si="104"/>
        <v>103438.55713554812</v>
      </c>
      <c r="F164" s="21">
        <f t="shared" si="104"/>
        <v>250357.38405451635</v>
      </c>
      <c r="G164" s="21">
        <f t="shared" si="104"/>
        <v>484766.23458999605</v>
      </c>
      <c r="H164" s="21">
        <f t="shared" si="104"/>
        <v>815591.50507594552</v>
      </c>
      <c r="I164" s="21">
        <f t="shared" si="104"/>
        <v>1301091.3756925459</v>
      </c>
      <c r="J164" s="21">
        <f t="shared" si="104"/>
        <v>1971465.7989447981</v>
      </c>
      <c r="K164" s="21">
        <f t="shared" si="104"/>
        <v>2799510.3382845996</v>
      </c>
      <c r="L164" s="21">
        <f t="shared" si="104"/>
        <v>3751642.5880231629</v>
      </c>
      <c r="M164" s="21">
        <f t="shared" si="104"/>
        <v>4828022.8810535846</v>
      </c>
      <c r="N164" s="21">
        <f t="shared" si="104"/>
        <v>6456035.4635993503</v>
      </c>
      <c r="O164" s="21">
        <f t="shared" si="104"/>
        <v>8492814.6368446797</v>
      </c>
      <c r="P164" s="21">
        <f t="shared" si="104"/>
        <v>10659920.167921938</v>
      </c>
      <c r="Q164" s="21">
        <f t="shared" si="104"/>
        <v>12567395.791394239</v>
      </c>
      <c r="R164" s="21">
        <f t="shared" si="104"/>
        <v>14555019.616895206</v>
      </c>
      <c r="S164" s="21">
        <f t="shared" si="104"/>
        <v>15583237.614410121</v>
      </c>
      <c r="T164" s="21">
        <f t="shared" si="104"/>
        <v>15627792.141952688</v>
      </c>
      <c r="U164" s="21">
        <f t="shared" si="104"/>
        <v>15935596.217490878</v>
      </c>
      <c r="V164" s="21">
        <f t="shared" si="104"/>
        <v>17444152.503539097</v>
      </c>
      <c r="W164" s="21">
        <f t="shared" si="104"/>
        <v>22587471.846559409</v>
      </c>
      <c r="X164" s="21">
        <f t="shared" si="104"/>
        <v>29233936.851581823</v>
      </c>
      <c r="Y164" s="21">
        <f t="shared" si="104"/>
        <v>32912430.526362285</v>
      </c>
      <c r="Z164" s="21">
        <f t="shared" si="104"/>
        <v>33825184.127482176</v>
      </c>
      <c r="AA164" s="21">
        <f t="shared" si="104"/>
        <v>33387673.843980704</v>
      </c>
      <c r="AB164" s="21">
        <f t="shared" si="104"/>
        <v>32442753.24283563</v>
      </c>
      <c r="AC164" s="21">
        <f t="shared" si="104"/>
        <v>29653767.570175674</v>
      </c>
      <c r="AD164" s="21">
        <f t="shared" si="104"/>
        <v>25321076.790165398</v>
      </c>
      <c r="AE164" s="21">
        <f t="shared" si="104"/>
        <v>18003292.707528736</v>
      </c>
      <c r="AF164" s="21">
        <f t="shared" si="104"/>
        <v>10796497.877893999</v>
      </c>
    </row>
    <row r="165" spans="1:34" x14ac:dyDescent="0.25">
      <c r="A165" s="71">
        <f>SUM(B165:AF165)</f>
        <v>401864664.10615569</v>
      </c>
      <c r="B165" s="60">
        <f>IF($A$64&lt;=B129,IF($B$64&gt;=B129,ABS(B164),0),0)</f>
        <v>40027.508519617957</v>
      </c>
      <c r="C165" s="60">
        <f t="shared" ref="C165:AF165" si="105">IF($A$64&lt;=C129,IF($B$64&gt;=C129,ABS(C164),0),0)</f>
        <v>15476.04202454951</v>
      </c>
      <c r="D165" s="60">
        <f t="shared" si="105"/>
        <v>17224.354142800097</v>
      </c>
      <c r="E165" s="60">
        <f t="shared" si="105"/>
        <v>103438.55713554812</v>
      </c>
      <c r="F165" s="60">
        <f t="shared" si="105"/>
        <v>250357.38405451635</v>
      </c>
      <c r="G165" s="60">
        <f t="shared" si="105"/>
        <v>484766.23458999605</v>
      </c>
      <c r="H165" s="60">
        <f t="shared" si="105"/>
        <v>815591.50507594552</v>
      </c>
      <c r="I165" s="60">
        <f t="shared" si="105"/>
        <v>1301091.3756925459</v>
      </c>
      <c r="J165" s="60">
        <f t="shared" si="105"/>
        <v>1971465.7989447981</v>
      </c>
      <c r="K165" s="60">
        <f t="shared" si="105"/>
        <v>2799510.3382845996</v>
      </c>
      <c r="L165" s="60">
        <f t="shared" si="105"/>
        <v>3751642.5880231629</v>
      </c>
      <c r="M165" s="60">
        <f t="shared" si="105"/>
        <v>4828022.8810535846</v>
      </c>
      <c r="N165" s="60">
        <f t="shared" si="105"/>
        <v>6456035.4635993503</v>
      </c>
      <c r="O165" s="60">
        <f t="shared" si="105"/>
        <v>8492814.6368446797</v>
      </c>
      <c r="P165" s="60">
        <f t="shared" si="105"/>
        <v>10659920.167921938</v>
      </c>
      <c r="Q165" s="60">
        <f t="shared" si="105"/>
        <v>12567395.791394239</v>
      </c>
      <c r="R165" s="60">
        <f t="shared" si="105"/>
        <v>14555019.616895206</v>
      </c>
      <c r="S165" s="60">
        <f t="shared" si="105"/>
        <v>15583237.614410121</v>
      </c>
      <c r="T165" s="60">
        <f t="shared" si="105"/>
        <v>15627792.141952688</v>
      </c>
      <c r="U165" s="60">
        <f t="shared" si="105"/>
        <v>15935596.217490878</v>
      </c>
      <c r="V165" s="60">
        <f t="shared" si="105"/>
        <v>17444152.503539097</v>
      </c>
      <c r="W165" s="60">
        <f t="shared" si="105"/>
        <v>22587471.846559409</v>
      </c>
      <c r="X165" s="60">
        <f t="shared" si="105"/>
        <v>29233936.851581823</v>
      </c>
      <c r="Y165" s="60">
        <f t="shared" si="105"/>
        <v>32912430.526362285</v>
      </c>
      <c r="Z165" s="60">
        <f t="shared" si="105"/>
        <v>33825184.127482176</v>
      </c>
      <c r="AA165" s="60">
        <f t="shared" si="105"/>
        <v>33387673.843980704</v>
      </c>
      <c r="AB165" s="60">
        <f t="shared" si="105"/>
        <v>32442753.24283563</v>
      </c>
      <c r="AC165" s="60">
        <f t="shared" si="105"/>
        <v>29653767.570175674</v>
      </c>
      <c r="AD165" s="60">
        <f t="shared" si="105"/>
        <v>25321076.790165398</v>
      </c>
      <c r="AE165" s="60">
        <f t="shared" si="105"/>
        <v>18003292.707528736</v>
      </c>
      <c r="AF165" s="60">
        <f t="shared" si="105"/>
        <v>10796497.877893999</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11396.20868308758</v>
      </c>
      <c r="C170" s="27">
        <f t="shared" ref="C170:AF170" si="106">($C$17+SUM(C171:C201))*$B$51</f>
        <v>11394.184719441177</v>
      </c>
      <c r="D170" s="27">
        <f t="shared" si="106"/>
        <v>11394.184719161321</v>
      </c>
      <c r="E170" s="27">
        <f t="shared" si="106"/>
        <v>11394.184719161245</v>
      </c>
      <c r="F170" s="27">
        <f t="shared" si="106"/>
        <v>11394.184719160485</v>
      </c>
      <c r="G170" s="27">
        <f t="shared" si="106"/>
        <v>11394.184719152898</v>
      </c>
      <c r="H170" s="27">
        <f t="shared" si="106"/>
        <v>11394.184719077017</v>
      </c>
      <c r="I170" s="27">
        <f t="shared" si="106"/>
        <v>11394.184718318207</v>
      </c>
      <c r="J170" s="27">
        <f t="shared" si="106"/>
        <v>11394.184710730106</v>
      </c>
      <c r="K170" s="27">
        <f t="shared" si="106"/>
        <v>11394.184634849114</v>
      </c>
      <c r="L170" s="27">
        <f t="shared" si="106"/>
        <v>11394.18387604115</v>
      </c>
      <c r="M170" s="27">
        <f t="shared" si="106"/>
        <v>11394.176288155926</v>
      </c>
      <c r="N170" s="27">
        <f t="shared" si="106"/>
        <v>11394.100428737052</v>
      </c>
      <c r="O170" s="27">
        <f t="shared" si="106"/>
        <v>11393.343768208006</v>
      </c>
      <c r="P170" s="27">
        <f t="shared" si="106"/>
        <v>11385.961297609636</v>
      </c>
      <c r="Q170" s="27">
        <f t="shared" si="106"/>
        <v>11324.466133513486</v>
      </c>
      <c r="R170" s="27">
        <f t="shared" si="106"/>
        <v>11048.823089329037</v>
      </c>
      <c r="S170" s="27">
        <f t="shared" si="106"/>
        <v>10793.377147181171</v>
      </c>
      <c r="T170" s="27">
        <f t="shared" si="106"/>
        <v>10469.999869244482</v>
      </c>
      <c r="U170" s="27">
        <f t="shared" si="106"/>
        <v>10116.175798586868</v>
      </c>
      <c r="V170" s="27">
        <f t="shared" si="106"/>
        <v>9738.4360911230979</v>
      </c>
      <c r="W170" s="27">
        <f t="shared" si="106"/>
        <v>9268.839678301938</v>
      </c>
      <c r="X170" s="27">
        <f t="shared" si="106"/>
        <v>8692.5080430129165</v>
      </c>
      <c r="Y170" s="27">
        <f t="shared" si="106"/>
        <v>8064.518717218828</v>
      </c>
      <c r="Z170" s="27">
        <f t="shared" si="106"/>
        <v>7435.6659736036618</v>
      </c>
      <c r="AA170" s="27">
        <f t="shared" si="106"/>
        <v>6789.101072634664</v>
      </c>
      <c r="AB170" s="27">
        <f t="shared" si="106"/>
        <v>6134.0558293666863</v>
      </c>
      <c r="AC170" s="27">
        <f t="shared" si="106"/>
        <v>5223.4671403356888</v>
      </c>
      <c r="AD170" s="27">
        <f t="shared" si="106"/>
        <v>4244.9882357352208</v>
      </c>
      <c r="AE170" s="27">
        <f t="shared" si="106"/>
        <v>3147.1124454214046</v>
      </c>
      <c r="AF170" s="27">
        <f t="shared" si="106"/>
        <v>1991.6802383110257</v>
      </c>
      <c r="AG170" s="27"/>
      <c r="AH170" s="27"/>
    </row>
    <row r="171" spans="1:34" x14ac:dyDescent="0.25">
      <c r="B171" s="3">
        <f t="shared" ref="B171:AF171" si="107">$C18*EXP(-B$168/$A18/EXP(-$C$126))</f>
        <v>1.7744902885270559E-4</v>
      </c>
      <c r="C171" s="3">
        <f t="shared" si="107"/>
        <v>2.4535557498853858E-11</v>
      </c>
      <c r="D171" s="3">
        <f t="shared" si="107"/>
        <v>6.2664123116422647E-80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7.2761897872501572E-4</v>
      </c>
      <c r="C180" s="3">
        <f t="shared" si="116"/>
        <v>7.2761897872500271E-4</v>
      </c>
      <c r="D180" s="3">
        <f t="shared" si="116"/>
        <v>7.2761897872487369E-4</v>
      </c>
      <c r="E180" s="3">
        <f t="shared" si="116"/>
        <v>7.2761897872358284E-4</v>
      </c>
      <c r="F180" s="3">
        <f t="shared" si="116"/>
        <v>7.2761897871067443E-4</v>
      </c>
      <c r="G180" s="3">
        <f t="shared" si="116"/>
        <v>7.276189785815903E-4</v>
      </c>
      <c r="H180" s="3">
        <f t="shared" si="116"/>
        <v>7.2761897729074938E-4</v>
      </c>
      <c r="I180" s="3">
        <f t="shared" si="116"/>
        <v>7.2761896438234023E-4</v>
      </c>
      <c r="J180" s="3">
        <f t="shared" si="116"/>
        <v>7.2761883529826022E-4</v>
      </c>
      <c r="K180" s="3">
        <f t="shared" si="116"/>
        <v>7.2761754445872058E-4</v>
      </c>
      <c r="L180" s="3">
        <f t="shared" si="116"/>
        <v>7.2760463618927473E-4</v>
      </c>
      <c r="M180" s="3">
        <f t="shared" si="116"/>
        <v>7.2747556608907091E-4</v>
      </c>
      <c r="N180" s="3">
        <f t="shared" si="116"/>
        <v>7.2618612368616372E-4</v>
      </c>
      <c r="O180" s="3">
        <f t="shared" si="116"/>
        <v>7.1341673732799914E-4</v>
      </c>
      <c r="P180" s="3">
        <f t="shared" si="116"/>
        <v>5.9744340950376924E-4</v>
      </c>
      <c r="Q180" s="3">
        <f t="shared" si="116"/>
        <v>1.0135182697306648E-4</v>
      </c>
      <c r="R180" s="3">
        <f t="shared" si="116"/>
        <v>2.0006893101395275E-12</v>
      </c>
      <c r="S180" s="3">
        <f t="shared" si="116"/>
        <v>1.7974646218308895E-89</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3.1446025257016966E-2</v>
      </c>
      <c r="D181" s="3">
        <f t="shared" si="117"/>
        <v>3.1446025257016459E-2</v>
      </c>
      <c r="E181" s="3">
        <f t="shared" si="117"/>
        <v>3.1446025257011428E-2</v>
      </c>
      <c r="F181" s="3">
        <f t="shared" si="117"/>
        <v>3.1446025256961108E-2</v>
      </c>
      <c r="G181" s="3">
        <f t="shared" si="117"/>
        <v>3.1446025256457857E-2</v>
      </c>
      <c r="H181" s="3">
        <f t="shared" si="117"/>
        <v>3.144602525142539E-2</v>
      </c>
      <c r="I181" s="3">
        <f t="shared" si="117"/>
        <v>3.1446025201100701E-2</v>
      </c>
      <c r="J181" s="3">
        <f t="shared" si="117"/>
        <v>3.1446024697853861E-2</v>
      </c>
      <c r="K181" s="3">
        <f t="shared" si="117"/>
        <v>3.1446019665385891E-2</v>
      </c>
      <c r="L181" s="3">
        <f t="shared" si="117"/>
        <v>3.1445969340750467E-2</v>
      </c>
      <c r="M181" s="3">
        <f t="shared" si="117"/>
        <v>3.1445466098825724E-2</v>
      </c>
      <c r="N181" s="3">
        <f t="shared" si="117"/>
        <v>3.1440434122503601E-2</v>
      </c>
      <c r="O181" s="3">
        <f t="shared" si="117"/>
        <v>3.1390158625596021E-2</v>
      </c>
      <c r="P181" s="3">
        <f t="shared" si="117"/>
        <v>3.0891804188304173E-2</v>
      </c>
      <c r="Q181" s="3">
        <f t="shared" si="117"/>
        <v>2.6323334544838685E-2</v>
      </c>
      <c r="R181" s="3">
        <f t="shared" si="117"/>
        <v>5.3127233649909456E-3</v>
      </c>
      <c r="S181" s="3">
        <f t="shared" si="117"/>
        <v>5.9577214817417102E-10</v>
      </c>
      <c r="T181" s="3">
        <f t="shared" si="117"/>
        <v>1.8737434793959943E-79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1.959963207218314E-2</v>
      </c>
      <c r="F182" s="3">
        <f t="shared" si="118"/>
        <v>1.9599632072180309E-2</v>
      </c>
      <c r="G182" s="3">
        <f t="shared" si="118"/>
        <v>1.9599632072152012E-2</v>
      </c>
      <c r="H182" s="3">
        <f t="shared" si="118"/>
        <v>1.9599632071869065E-2</v>
      </c>
      <c r="I182" s="3">
        <f t="shared" si="118"/>
        <v>1.9599632069039561E-2</v>
      </c>
      <c r="J182" s="3">
        <f t="shared" si="118"/>
        <v>1.9599632040744556E-2</v>
      </c>
      <c r="K182" s="3">
        <f t="shared" si="118"/>
        <v>1.9599631757794483E-2</v>
      </c>
      <c r="L182" s="3">
        <f t="shared" si="118"/>
        <v>1.9599628928293988E-2</v>
      </c>
      <c r="M182" s="3">
        <f t="shared" si="118"/>
        <v>1.9599600633311481E-2</v>
      </c>
      <c r="N182" s="3">
        <f t="shared" si="118"/>
        <v>1.9599317685733066E-2</v>
      </c>
      <c r="O182" s="3">
        <f t="shared" si="118"/>
        <v>1.9596488434600056E-2</v>
      </c>
      <c r="P182" s="3">
        <f t="shared" si="118"/>
        <v>1.9568218376388564E-2</v>
      </c>
      <c r="Q182" s="3">
        <f t="shared" si="118"/>
        <v>1.9287751158962894E-2</v>
      </c>
      <c r="R182" s="3">
        <f t="shared" si="118"/>
        <v>1.669493277052711E-2</v>
      </c>
      <c r="S182" s="3">
        <f t="shared" si="118"/>
        <v>3.9410820459321533E-3</v>
      </c>
      <c r="T182" s="3">
        <f t="shared" si="118"/>
        <v>2.1179879871999299E-9</v>
      </c>
      <c r="U182" s="3">
        <f t="shared" si="118"/>
        <v>4.2560199640224414E-72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3.2516214564492565E-2</v>
      </c>
      <c r="G183" s="3">
        <f t="shared" si="119"/>
        <v>3.2516214564488333E-2</v>
      </c>
      <c r="H183" s="3">
        <f t="shared" si="119"/>
        <v>3.2516214564445985E-2</v>
      </c>
      <c r="I183" s="3">
        <f t="shared" si="119"/>
        <v>3.2516214564022532E-2</v>
      </c>
      <c r="J183" s="3">
        <f t="shared" si="119"/>
        <v>3.2516214559787968E-2</v>
      </c>
      <c r="K183" s="3">
        <f t="shared" si="119"/>
        <v>3.2516214517442348E-2</v>
      </c>
      <c r="L183" s="3">
        <f t="shared" si="119"/>
        <v>3.2516214093986189E-2</v>
      </c>
      <c r="M183" s="3">
        <f t="shared" si="119"/>
        <v>3.2516209859424813E-2</v>
      </c>
      <c r="N183" s="3">
        <f t="shared" si="119"/>
        <v>3.2516167513841461E-2</v>
      </c>
      <c r="O183" s="3">
        <f t="shared" si="119"/>
        <v>3.2515744061040984E-2</v>
      </c>
      <c r="P183" s="3">
        <f t="shared" si="119"/>
        <v>3.251150983632501E-2</v>
      </c>
      <c r="Q183" s="3">
        <f t="shared" si="119"/>
        <v>3.2469197903437524E-2</v>
      </c>
      <c r="R183" s="3">
        <f t="shared" si="119"/>
        <v>3.2049095445660147E-2</v>
      </c>
      <c r="S183" s="3">
        <f t="shared" si="119"/>
        <v>2.8135713883202355E-2</v>
      </c>
      <c r="T183" s="3">
        <f t="shared" si="119"/>
        <v>7.6503193278512262E-3</v>
      </c>
      <c r="U183" s="3">
        <f t="shared" si="119"/>
        <v>1.6900354166034422E-8</v>
      </c>
      <c r="V183" s="3">
        <f t="shared" si="119"/>
        <v>4.6779786180159862E-65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3.2163923063268519E-2</v>
      </c>
      <c r="G184" s="3">
        <f t="shared" si="120"/>
        <v>3.2163923063268138E-2</v>
      </c>
      <c r="H184" s="3">
        <f t="shared" si="120"/>
        <v>3.2163923063264363E-2</v>
      </c>
      <c r="I184" s="3">
        <f t="shared" si="120"/>
        <v>3.2163923063226581E-2</v>
      </c>
      <c r="J184" s="3">
        <f t="shared" si="120"/>
        <v>3.2163923062848723E-2</v>
      </c>
      <c r="K184" s="3">
        <f t="shared" si="120"/>
        <v>3.2163923059070183E-2</v>
      </c>
      <c r="L184" s="3">
        <f t="shared" si="120"/>
        <v>3.2163923021284777E-2</v>
      </c>
      <c r="M184" s="3">
        <f t="shared" si="120"/>
        <v>3.2163922643430723E-2</v>
      </c>
      <c r="N184" s="3">
        <f t="shared" si="120"/>
        <v>3.2163918864890416E-2</v>
      </c>
      <c r="O184" s="3">
        <f t="shared" si="120"/>
        <v>3.2163881079511757E-2</v>
      </c>
      <c r="P184" s="3">
        <f t="shared" si="120"/>
        <v>3.2163503228166565E-2</v>
      </c>
      <c r="Q184" s="3">
        <f t="shared" si="120"/>
        <v>3.2159724958844525E-2</v>
      </c>
      <c r="R184" s="3">
        <f t="shared" si="120"/>
        <v>3.2121966668000747E-2</v>
      </c>
      <c r="S184" s="3">
        <f t="shared" si="120"/>
        <v>3.1746813423565848E-2</v>
      </c>
      <c r="T184" s="3">
        <f t="shared" si="120"/>
        <v>2.8228010154615169E-2</v>
      </c>
      <c r="U184" s="3">
        <f t="shared" si="120"/>
        <v>8.7192979531281484E-3</v>
      </c>
      <c r="V184" s="3">
        <f t="shared" si="120"/>
        <v>6.8943615310216147E-8</v>
      </c>
      <c r="W184" s="3">
        <f t="shared" si="120"/>
        <v>6.5859647728845167E-59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3.3900572605000692E-2</v>
      </c>
      <c r="I185" s="3">
        <f t="shared" si="121"/>
        <v>3.3900572604997098E-2</v>
      </c>
      <c r="J185" s="3">
        <f t="shared" si="121"/>
        <v>3.3900572604961168E-2</v>
      </c>
      <c r="K185" s="3">
        <f t="shared" si="121"/>
        <v>3.3900572604601914E-2</v>
      </c>
      <c r="L185" s="3">
        <f t="shared" si="121"/>
        <v>3.3900572601009316E-2</v>
      </c>
      <c r="M185" s="3">
        <f t="shared" si="121"/>
        <v>3.3900572565083324E-2</v>
      </c>
      <c r="N185" s="3">
        <f t="shared" si="121"/>
        <v>3.3900572205823466E-2</v>
      </c>
      <c r="O185" s="3">
        <f t="shared" si="121"/>
        <v>3.390056861322506E-2</v>
      </c>
      <c r="P185" s="3">
        <f t="shared" si="121"/>
        <v>3.3900532687261967E-2</v>
      </c>
      <c r="Q185" s="3">
        <f t="shared" si="121"/>
        <v>3.3900173429724977E-2</v>
      </c>
      <c r="R185" s="3">
        <f t="shared" si="121"/>
        <v>3.3896581063744227E-2</v>
      </c>
      <c r="S185" s="3">
        <f t="shared" si="121"/>
        <v>3.3860678334641986E-2</v>
      </c>
      <c r="T185" s="3">
        <f t="shared" si="121"/>
        <v>3.3503735930302918E-2</v>
      </c>
      <c r="U185" s="3">
        <f t="shared" si="121"/>
        <v>3.0134852189718626E-2</v>
      </c>
      <c r="V185" s="3">
        <f t="shared" si="121"/>
        <v>1.0443049866907493E-2</v>
      </c>
      <c r="W185" s="3">
        <f t="shared" si="121"/>
        <v>2.6086163616522053E-7</v>
      </c>
      <c r="X185" s="3">
        <f t="shared" si="121"/>
        <v>2.4673958779032481E-53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4.6234934193755066E-2</v>
      </c>
      <c r="J186" s="3">
        <f t="shared" si="122"/>
        <v>4.6234934193750646E-2</v>
      </c>
      <c r="K186" s="3">
        <f t="shared" si="122"/>
        <v>4.6234934193706452E-2</v>
      </c>
      <c r="L186" s="3">
        <f t="shared" si="122"/>
        <v>4.6234934193264451E-2</v>
      </c>
      <c r="M186" s="3">
        <f t="shared" si="122"/>
        <v>4.6234934188844494E-2</v>
      </c>
      <c r="N186" s="3">
        <f t="shared" si="122"/>
        <v>4.6234934144644871E-2</v>
      </c>
      <c r="O186" s="3">
        <f t="shared" si="122"/>
        <v>4.6234933702648709E-2</v>
      </c>
      <c r="P186" s="3">
        <f t="shared" si="122"/>
        <v>4.6234929282687312E-2</v>
      </c>
      <c r="Q186" s="3">
        <f t="shared" si="122"/>
        <v>4.6234885083096589E-2</v>
      </c>
      <c r="R186" s="3">
        <f t="shared" si="122"/>
        <v>4.6234443089513293E-2</v>
      </c>
      <c r="S186" s="3">
        <f t="shared" si="122"/>
        <v>4.6230023386067604E-2</v>
      </c>
      <c r="T186" s="3">
        <f t="shared" si="122"/>
        <v>4.6185849582122483E-2</v>
      </c>
      <c r="U186" s="3">
        <f t="shared" si="122"/>
        <v>4.5746426397904619E-2</v>
      </c>
      <c r="V186" s="3">
        <f t="shared" si="122"/>
        <v>4.1575697337179231E-2</v>
      </c>
      <c r="W186" s="3">
        <f t="shared" si="122"/>
        <v>1.5983181381903151E-2</v>
      </c>
      <c r="X186" s="3">
        <f t="shared" si="122"/>
        <v>1.1269381607823358E-6</v>
      </c>
      <c r="Y186" s="3">
        <f t="shared" si="122"/>
        <v>3.4219106012213539E-48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5.6671396993886611E-2</v>
      </c>
      <c r="K187" s="3">
        <f t="shared" si="123"/>
        <v>5.6671396993881719E-2</v>
      </c>
      <c r="L187" s="3">
        <f t="shared" si="123"/>
        <v>5.6671396993832848E-2</v>
      </c>
      <c r="M187" s="3">
        <f t="shared" si="123"/>
        <v>5.6671396993344135E-2</v>
      </c>
      <c r="N187" s="3">
        <f t="shared" si="123"/>
        <v>5.6671396988456947E-2</v>
      </c>
      <c r="O187" s="3">
        <f t="shared" si="123"/>
        <v>5.6671396939585103E-2</v>
      </c>
      <c r="P187" s="3">
        <f t="shared" si="123"/>
        <v>5.6671396450866614E-2</v>
      </c>
      <c r="Q187" s="3">
        <f t="shared" si="123"/>
        <v>5.6671391563682012E-2</v>
      </c>
      <c r="R187" s="3">
        <f t="shared" si="123"/>
        <v>5.6671342691859111E-2</v>
      </c>
      <c r="S187" s="3">
        <f t="shared" si="123"/>
        <v>5.6670853975948121E-2</v>
      </c>
      <c r="T187" s="3">
        <f t="shared" si="123"/>
        <v>5.6665967048631548E-2</v>
      </c>
      <c r="U187" s="3">
        <f t="shared" si="123"/>
        <v>5.661712094740317E-2</v>
      </c>
      <c r="V187" s="3">
        <f t="shared" si="123"/>
        <v>5.6130969752223064E-2</v>
      </c>
      <c r="W187" s="3">
        <f t="shared" si="123"/>
        <v>5.1493236331175439E-2</v>
      </c>
      <c r="X187" s="3">
        <f t="shared" si="123"/>
        <v>2.1738351815107339E-2</v>
      </c>
      <c r="Y187" s="3">
        <f t="shared" si="123"/>
        <v>3.9083267494983508E-6</v>
      </c>
      <c r="Z187" s="3">
        <f t="shared" si="123"/>
        <v>1.3792194863853702E-43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5.8705737383098124E-2</v>
      </c>
      <c r="L188" s="3">
        <f t="shared" si="124"/>
        <v>5.8705737383093551E-2</v>
      </c>
      <c r="M188" s="3">
        <f t="shared" si="124"/>
        <v>5.8705737383047886E-2</v>
      </c>
      <c r="N188" s="3">
        <f t="shared" si="124"/>
        <v>5.8705737382591196E-2</v>
      </c>
      <c r="O188" s="3">
        <f t="shared" si="124"/>
        <v>5.8705737378024293E-2</v>
      </c>
      <c r="P188" s="3">
        <f t="shared" si="124"/>
        <v>5.8705737332355241E-2</v>
      </c>
      <c r="Q188" s="3">
        <f t="shared" si="124"/>
        <v>5.870573687566473E-2</v>
      </c>
      <c r="R188" s="3">
        <f t="shared" si="124"/>
        <v>5.8705732308759848E-2</v>
      </c>
      <c r="S188" s="3">
        <f t="shared" si="124"/>
        <v>5.8705686639730553E-2</v>
      </c>
      <c r="T188" s="3">
        <f t="shared" si="124"/>
        <v>5.870522995139163E-2</v>
      </c>
      <c r="U188" s="3">
        <f t="shared" si="124"/>
        <v>5.8700663263396818E-2</v>
      </c>
      <c r="V188" s="3">
        <f t="shared" si="124"/>
        <v>5.8655015917270875E-2</v>
      </c>
      <c r="W188" s="3">
        <f t="shared" si="124"/>
        <v>5.820049022739824E-2</v>
      </c>
      <c r="X188" s="3">
        <f t="shared" si="124"/>
        <v>5.3844518860236459E-2</v>
      </c>
      <c r="Y188" s="3">
        <f t="shared" si="124"/>
        <v>2.4733756376564255E-2</v>
      </c>
      <c r="Z188" s="3">
        <f t="shared" si="124"/>
        <v>1.0346080671114907E-5</v>
      </c>
      <c r="AA188" s="3">
        <f t="shared" si="124"/>
        <v>1.6968118046986209E-39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5.6202356064971683E-2</v>
      </c>
      <c r="M189" s="3">
        <f t="shared" si="125"/>
        <v>5.6202356064967741E-2</v>
      </c>
      <c r="N189" s="3">
        <f t="shared" si="125"/>
        <v>5.6202356064928301E-2</v>
      </c>
      <c r="O189" s="3">
        <f t="shared" si="125"/>
        <v>5.6202356064533894E-2</v>
      </c>
      <c r="P189" s="3">
        <f t="shared" si="125"/>
        <v>5.6202356060589841E-2</v>
      </c>
      <c r="Q189" s="3">
        <f t="shared" si="125"/>
        <v>5.6202356021149327E-2</v>
      </c>
      <c r="R189" s="3">
        <f t="shared" si="125"/>
        <v>5.6202355626744201E-2</v>
      </c>
      <c r="S189" s="3">
        <f t="shared" si="125"/>
        <v>5.6202351682693094E-2</v>
      </c>
      <c r="T189" s="3">
        <f t="shared" si="125"/>
        <v>5.6202312242197232E-2</v>
      </c>
      <c r="U189" s="3">
        <f t="shared" si="125"/>
        <v>5.6201917838760898E-2</v>
      </c>
      <c r="V189" s="3">
        <f t="shared" si="125"/>
        <v>5.6197973956620746E-2</v>
      </c>
      <c r="W189" s="3">
        <f t="shared" si="125"/>
        <v>5.615855035358381E-2</v>
      </c>
      <c r="X189" s="3">
        <f t="shared" si="125"/>
        <v>5.5765832215620759E-2</v>
      </c>
      <c r="Y189" s="3">
        <f t="shared" si="125"/>
        <v>5.1986571745849759E-2</v>
      </c>
      <c r="Z189" s="3">
        <f t="shared" si="125"/>
        <v>2.5770395859369469E-2</v>
      </c>
      <c r="AA189" s="3">
        <f t="shared" si="125"/>
        <v>2.3089801509869365E-5</v>
      </c>
      <c r="AB189" s="3">
        <f t="shared" si="125"/>
        <v>7.698591874024102E-36</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6.3415296184233125E-2</v>
      </c>
      <c r="M190" s="3">
        <f t="shared" si="126"/>
        <v>6.3415296184232722E-2</v>
      </c>
      <c r="N190" s="3">
        <f t="shared" si="126"/>
        <v>6.3415296184228698E-2</v>
      </c>
      <c r="O190" s="3">
        <f t="shared" si="126"/>
        <v>6.3415296184188563E-2</v>
      </c>
      <c r="P190" s="3">
        <f t="shared" si="126"/>
        <v>6.341529618378712E-2</v>
      </c>
      <c r="Q190" s="3">
        <f t="shared" si="126"/>
        <v>6.3415296179772637E-2</v>
      </c>
      <c r="R190" s="3">
        <f t="shared" si="126"/>
        <v>6.3415296139627902E-2</v>
      </c>
      <c r="S190" s="3">
        <f t="shared" si="126"/>
        <v>6.3415295738180499E-2</v>
      </c>
      <c r="T190" s="3">
        <f t="shared" si="126"/>
        <v>6.3415291723706677E-2</v>
      </c>
      <c r="U190" s="3">
        <f t="shared" si="126"/>
        <v>6.3415251578982479E-2</v>
      </c>
      <c r="V190" s="3">
        <f t="shared" si="126"/>
        <v>6.3414850133138106E-2</v>
      </c>
      <c r="W190" s="3">
        <f t="shared" si="126"/>
        <v>6.3410835814464647E-2</v>
      </c>
      <c r="X190" s="3">
        <f t="shared" si="126"/>
        <v>6.337070660147899E-2</v>
      </c>
      <c r="Y190" s="3">
        <f t="shared" si="126"/>
        <v>6.2970808579029841E-2</v>
      </c>
      <c r="Z190" s="3">
        <f t="shared" si="126"/>
        <v>5.9108028280412651E-2</v>
      </c>
      <c r="AA190" s="3">
        <f t="shared" si="126"/>
        <v>3.1384737291821445E-2</v>
      </c>
      <c r="AB190" s="3">
        <f t="shared" si="126"/>
        <v>5.5903468000615912E-5</v>
      </c>
      <c r="AC190" s="3">
        <f t="shared" si="126"/>
        <v>1.7973856803316964E-32</v>
      </c>
      <c r="AD190" s="3">
        <f t="shared" si="126"/>
        <v>2.121614852333546E-307</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3.5348869965799341E-2</v>
      </c>
      <c r="O191" s="3">
        <f t="shared" si="127"/>
        <v>3.5348869965797315E-2</v>
      </c>
      <c r="P191" s="3">
        <f t="shared" si="127"/>
        <v>3.5348869965777137E-2</v>
      </c>
      <c r="Q191" s="3">
        <f t="shared" si="127"/>
        <v>3.5348869965575271E-2</v>
      </c>
      <c r="R191" s="3">
        <f t="shared" si="127"/>
        <v>3.5348869963556642E-2</v>
      </c>
      <c r="S191" s="3">
        <f t="shared" si="127"/>
        <v>3.5348869943370338E-2</v>
      </c>
      <c r="T191" s="3">
        <f t="shared" si="127"/>
        <v>3.5348869741507333E-2</v>
      </c>
      <c r="U191" s="3">
        <f t="shared" si="127"/>
        <v>3.5348867722877292E-2</v>
      </c>
      <c r="V191" s="3">
        <f t="shared" si="127"/>
        <v>3.5348847536583218E-2</v>
      </c>
      <c r="W191" s="3">
        <f t="shared" si="127"/>
        <v>3.5348645674276515E-2</v>
      </c>
      <c r="X191" s="3">
        <f t="shared" si="127"/>
        <v>3.5346627114609709E-2</v>
      </c>
      <c r="Y191" s="3">
        <f t="shared" si="127"/>
        <v>3.5326447856619633E-2</v>
      </c>
      <c r="Z191" s="3">
        <f t="shared" si="127"/>
        <v>3.5125287807256989E-2</v>
      </c>
      <c r="AA191" s="3">
        <f t="shared" si="127"/>
        <v>3.3175624050864175E-2</v>
      </c>
      <c r="AB191" s="3">
        <f t="shared" si="127"/>
        <v>1.8741795548277308E-2</v>
      </c>
      <c r="AC191" s="3">
        <f t="shared" si="127"/>
        <v>6.2048622691219252E-5</v>
      </c>
      <c r="AD191" s="3">
        <f t="shared" si="127"/>
        <v>9.8161603632100815E-30</v>
      </c>
      <c r="AE191" s="3">
        <f t="shared" si="127"/>
        <v>9.6391032807979644E-278</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7.0460456800535282E-2</v>
      </c>
      <c r="O192" s="3">
        <f t="shared" si="128"/>
        <v>7.0460456800534171E-2</v>
      </c>
      <c r="P192" s="3">
        <f t="shared" si="128"/>
        <v>7.0460456800523041E-2</v>
      </c>
      <c r="Q192" s="3">
        <f t="shared" si="128"/>
        <v>7.0460456800411755E-2</v>
      </c>
      <c r="R192" s="3">
        <f t="shared" si="128"/>
        <v>7.0460456799298896E-2</v>
      </c>
      <c r="S192" s="3">
        <f t="shared" si="128"/>
        <v>7.0460456788170325E-2</v>
      </c>
      <c r="T192" s="3">
        <f t="shared" si="128"/>
        <v>7.0460456676884581E-2</v>
      </c>
      <c r="U192" s="3">
        <f t="shared" si="128"/>
        <v>7.0460455564027163E-2</v>
      </c>
      <c r="V192" s="3">
        <f t="shared" si="128"/>
        <v>7.0460444435453976E-2</v>
      </c>
      <c r="W192" s="3">
        <f t="shared" si="128"/>
        <v>7.0460333149818657E-2</v>
      </c>
      <c r="X192" s="3">
        <f t="shared" si="128"/>
        <v>7.045922030313255E-2</v>
      </c>
      <c r="Y192" s="3">
        <f t="shared" si="128"/>
        <v>7.0448092802918874E-2</v>
      </c>
      <c r="Z192" s="3">
        <f t="shared" si="128"/>
        <v>7.0336914409058454E-2</v>
      </c>
      <c r="AA192" s="3">
        <f t="shared" si="128"/>
        <v>6.92347350797963E-2</v>
      </c>
      <c r="AB192" s="3">
        <f t="shared" si="128"/>
        <v>5.9119568800652472E-2</v>
      </c>
      <c r="AC192" s="3">
        <f t="shared" si="128"/>
        <v>1.2184381488894641E-2</v>
      </c>
      <c r="AD192" s="3">
        <f t="shared" si="128"/>
        <v>1.6847124751350019E-9</v>
      </c>
      <c r="AE192" s="3">
        <f t="shared" si="128"/>
        <v>4.3027768968593788E-78</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8.6875447409324541E-2</v>
      </c>
      <c r="P193" s="3">
        <f t="shared" si="129"/>
        <v>8.6875447409323167E-2</v>
      </c>
      <c r="Q193" s="3">
        <f t="shared" si="129"/>
        <v>8.6875447409309442E-2</v>
      </c>
      <c r="R193" s="3">
        <f t="shared" si="129"/>
        <v>8.6875447409172232E-2</v>
      </c>
      <c r="S193" s="3">
        <f t="shared" si="129"/>
        <v>8.6875447407800122E-2</v>
      </c>
      <c r="T193" s="3">
        <f t="shared" si="129"/>
        <v>8.6875447394078958E-2</v>
      </c>
      <c r="U193" s="3">
        <f t="shared" si="129"/>
        <v>8.6875447256867244E-2</v>
      </c>
      <c r="V193" s="3">
        <f t="shared" si="129"/>
        <v>8.6875445884750324E-2</v>
      </c>
      <c r="W193" s="3">
        <f t="shared" si="129"/>
        <v>8.6875432163582178E-2</v>
      </c>
      <c r="X193" s="3">
        <f t="shared" si="129"/>
        <v>8.6875294952019871E-2</v>
      </c>
      <c r="Y193" s="3">
        <f t="shared" si="129"/>
        <v>8.6873922848315979E-2</v>
      </c>
      <c r="Z193" s="3">
        <f t="shared" si="129"/>
        <v>8.6860203003121875E-2</v>
      </c>
      <c r="AA193" s="3">
        <f t="shared" si="129"/>
        <v>8.6723123666037571E-2</v>
      </c>
      <c r="AB193" s="3">
        <f t="shared" si="129"/>
        <v>8.5364172465564631E-2</v>
      </c>
      <c r="AC193" s="3">
        <f t="shared" si="129"/>
        <v>7.2892502027662273E-2</v>
      </c>
      <c r="AD193" s="3">
        <f t="shared" si="129"/>
        <v>1.5022945369913814E-2</v>
      </c>
      <c r="AE193" s="3">
        <f t="shared" si="129"/>
        <v>2.0771955885519031E-9</v>
      </c>
      <c r="AF193" s="3">
        <f t="shared" si="129"/>
        <v>5.3051837156741771E-78</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9.6215979999175555E-2</v>
      </c>
      <c r="Q194" s="3">
        <f t="shared" si="130"/>
        <v>9.6215979999174028E-2</v>
      </c>
      <c r="R194" s="3">
        <f t="shared" si="130"/>
        <v>9.6215979999158832E-2</v>
      </c>
      <c r="S194" s="3">
        <f t="shared" si="130"/>
        <v>9.621597999900687E-2</v>
      </c>
      <c r="T194" s="3">
        <f t="shared" si="130"/>
        <v>9.6215979997487225E-2</v>
      </c>
      <c r="U194" s="3">
        <f t="shared" si="130"/>
        <v>9.6215979982290811E-2</v>
      </c>
      <c r="V194" s="3">
        <f t="shared" si="130"/>
        <v>9.6215979830326606E-2</v>
      </c>
      <c r="W194" s="3">
        <f t="shared" si="130"/>
        <v>9.6215978310684652E-2</v>
      </c>
      <c r="X194" s="3">
        <f t="shared" si="130"/>
        <v>9.6215963114266334E-2</v>
      </c>
      <c r="Y194" s="3">
        <f t="shared" si="130"/>
        <v>9.6215811150215186E-2</v>
      </c>
      <c r="Z194" s="3">
        <f t="shared" si="130"/>
        <v>9.6214291522904283E-2</v>
      </c>
      <c r="AA194" s="3">
        <f t="shared" si="130"/>
        <v>9.6199096569782844E-2</v>
      </c>
      <c r="AB194" s="3">
        <f t="shared" si="130"/>
        <v>9.6047278960222096E-2</v>
      </c>
      <c r="AC194" s="3">
        <f t="shared" si="130"/>
        <v>9.4542218262134395E-2</v>
      </c>
      <c r="AD194" s="3">
        <f t="shared" si="130"/>
        <v>8.0729639113555227E-2</v>
      </c>
      <c r="AE194" s="3">
        <f t="shared" si="130"/>
        <v>1.6638157895520561E-2</v>
      </c>
      <c r="AF194" s="3">
        <f t="shared" si="130"/>
        <v>2.3005281142417948E-9</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0.11161416834614386</v>
      </c>
      <c r="R195" s="3">
        <f t="shared" si="131"/>
        <v>0.1116141683461421</v>
      </c>
      <c r="S195" s="3">
        <f t="shared" si="131"/>
        <v>0.11161416834612446</v>
      </c>
      <c r="T195" s="3">
        <f t="shared" si="131"/>
        <v>0.11161416834594819</v>
      </c>
      <c r="U195" s="3">
        <f t="shared" si="131"/>
        <v>0.11161416834418535</v>
      </c>
      <c r="V195" s="3">
        <f t="shared" si="131"/>
        <v>0.11161416832655693</v>
      </c>
      <c r="W195" s="3">
        <f t="shared" si="131"/>
        <v>0.11161416815027271</v>
      </c>
      <c r="X195" s="3">
        <f t="shared" si="131"/>
        <v>0.11161416638743069</v>
      </c>
      <c r="Y195" s="3">
        <f t="shared" si="131"/>
        <v>0.11161414875901188</v>
      </c>
      <c r="Z195" s="3">
        <f t="shared" si="131"/>
        <v>0.11161397247497684</v>
      </c>
      <c r="AA195" s="3">
        <f t="shared" si="131"/>
        <v>0.11161220964993984</v>
      </c>
      <c r="AB195" s="3">
        <f t="shared" si="131"/>
        <v>0.11159458293080522</v>
      </c>
      <c r="AC195" s="3">
        <f t="shared" si="131"/>
        <v>0.11141846877355643</v>
      </c>
      <c r="AD195" s="3">
        <f t="shared" si="131"/>
        <v>0.10967254155721497</v>
      </c>
      <c r="AE195" s="3">
        <f t="shared" si="131"/>
        <v>9.3649428407017232E-2</v>
      </c>
      <c r="AF195" s="3">
        <f t="shared" si="131"/>
        <v>1.9300891144446768E-2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6.6462351022396809E-2</v>
      </c>
      <c r="T196" s="3">
        <f t="shared" si="132"/>
        <v>6.6462351022386304E-2</v>
      </c>
      <c r="U196" s="3">
        <f t="shared" si="132"/>
        <v>6.6462351022281332E-2</v>
      </c>
      <c r="V196" s="3">
        <f t="shared" si="132"/>
        <v>6.646235102123163E-2</v>
      </c>
      <c r="W196" s="3">
        <f t="shared" si="132"/>
        <v>6.6462351010734527E-2</v>
      </c>
      <c r="X196" s="3">
        <f t="shared" si="132"/>
        <v>6.6462350905763412E-2</v>
      </c>
      <c r="Y196" s="3">
        <f t="shared" si="132"/>
        <v>6.6462349856052358E-2</v>
      </c>
      <c r="Z196" s="3">
        <f t="shared" si="132"/>
        <v>6.6462339358942746E-2</v>
      </c>
      <c r="AA196" s="3">
        <f t="shared" si="132"/>
        <v>6.646223438793783E-2</v>
      </c>
      <c r="AB196" s="3">
        <f t="shared" si="132"/>
        <v>6.6461184687007055E-2</v>
      </c>
      <c r="AC196" s="3">
        <f t="shared" si="132"/>
        <v>6.6450688589496695E-2</v>
      </c>
      <c r="AD196" s="3">
        <f t="shared" si="132"/>
        <v>6.6345818740869741E-2</v>
      </c>
      <c r="AE196" s="3">
        <f t="shared" si="132"/>
        <v>6.5306179873945797E-2</v>
      </c>
      <c r="AF196" s="3">
        <f t="shared" si="132"/>
        <v>5.576497389230544E-2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4.7100906601755629E-2</v>
      </c>
      <c r="T197" s="3">
        <f t="shared" si="133"/>
        <v>4.7100906601754887E-2</v>
      </c>
      <c r="U197" s="3">
        <f t="shared" si="133"/>
        <v>4.7100906601747448E-2</v>
      </c>
      <c r="V197" s="3">
        <f t="shared" si="133"/>
        <v>4.7100906601673057E-2</v>
      </c>
      <c r="W197" s="3">
        <f t="shared" si="133"/>
        <v>4.7100906600929138E-2</v>
      </c>
      <c r="X197" s="3">
        <f t="shared" si="133"/>
        <v>4.7100906593489991E-2</v>
      </c>
      <c r="Y197" s="3">
        <f t="shared" si="133"/>
        <v>4.7100906519098484E-2</v>
      </c>
      <c r="Z197" s="3">
        <f t="shared" si="133"/>
        <v>4.7100905775183451E-2</v>
      </c>
      <c r="AA197" s="3">
        <f t="shared" si="133"/>
        <v>4.7100898336033745E-2</v>
      </c>
      <c r="AB197" s="3">
        <f t="shared" si="133"/>
        <v>4.7100823944601251E-2</v>
      </c>
      <c r="AC197" s="3">
        <f t="shared" si="133"/>
        <v>4.7100080036738538E-2</v>
      </c>
      <c r="AD197" s="3">
        <f t="shared" si="133"/>
        <v>4.7092641604288991E-2</v>
      </c>
      <c r="AE197" s="3">
        <f t="shared" si="133"/>
        <v>4.7018321859809087E-2</v>
      </c>
      <c r="AF197" s="3">
        <f t="shared" si="133"/>
        <v>4.628154483616697E-2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2.2598128773558841E-2</v>
      </c>
      <c r="V198" s="3">
        <f t="shared" si="134"/>
        <v>2.259812877355527E-2</v>
      </c>
      <c r="W198" s="3">
        <f t="shared" si="134"/>
        <v>2.2598128773519577E-2</v>
      </c>
      <c r="X198" s="3">
        <f t="shared" si="134"/>
        <v>2.2598128773162661E-2</v>
      </c>
      <c r="Y198" s="3">
        <f t="shared" si="134"/>
        <v>2.2598128769593499E-2</v>
      </c>
      <c r="Z198" s="3">
        <f t="shared" si="134"/>
        <v>2.2598128733901851E-2</v>
      </c>
      <c r="AA198" s="3">
        <f t="shared" si="134"/>
        <v>2.2598128376985417E-2</v>
      </c>
      <c r="AB198" s="3">
        <f t="shared" si="134"/>
        <v>2.2598124807821356E-2</v>
      </c>
      <c r="AC198" s="3">
        <f t="shared" si="134"/>
        <v>2.259808911621174E-2</v>
      </c>
      <c r="AD198" s="3">
        <f t="shared" si="134"/>
        <v>2.2597732203215998E-2</v>
      </c>
      <c r="AE198" s="3">
        <f t="shared" si="134"/>
        <v>2.2594163383282455E-2</v>
      </c>
      <c r="AF198" s="3">
        <f t="shared" si="134"/>
        <v>2.255850616822341E-2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6.4467605952010397E-3</v>
      </c>
      <c r="V199" s="3">
        <f t="shared" si="135"/>
        <v>6.4467605952009382E-3</v>
      </c>
      <c r="W199" s="3">
        <f t="shared" si="135"/>
        <v>6.446760595199919E-3</v>
      </c>
      <c r="X199" s="3">
        <f t="shared" si="135"/>
        <v>6.4467605951897371E-3</v>
      </c>
      <c r="Y199" s="3">
        <f t="shared" si="135"/>
        <v>6.4467605950879166E-3</v>
      </c>
      <c r="Z199" s="3">
        <f t="shared" si="135"/>
        <v>6.4467605940697111E-3</v>
      </c>
      <c r="AA199" s="3">
        <f t="shared" si="135"/>
        <v>6.4467605838876519E-3</v>
      </c>
      <c r="AB199" s="3">
        <f t="shared" si="135"/>
        <v>6.4467604820670609E-3</v>
      </c>
      <c r="AC199" s="3">
        <f t="shared" si="135"/>
        <v>6.4467594638612418E-3</v>
      </c>
      <c r="AD199" s="3">
        <f t="shared" si="135"/>
        <v>6.4467492818118888E-3</v>
      </c>
      <c r="AE199" s="3">
        <f t="shared" si="135"/>
        <v>6.4466474622028444E-3</v>
      </c>
      <c r="AF199" s="3">
        <f t="shared" si="135"/>
        <v>6.4456293545555486E-3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9.8307104636690608E-5</v>
      </c>
      <c r="W200" s="3">
        <f t="shared" si="136"/>
        <v>9.8307104636689063E-5</v>
      </c>
      <c r="X200" s="3">
        <f t="shared" si="136"/>
        <v>9.8307104636673531E-5</v>
      </c>
      <c r="Y200" s="3">
        <f t="shared" si="136"/>
        <v>9.830710463651826E-5</v>
      </c>
      <c r="Z200" s="3">
        <f t="shared" si="136"/>
        <v>9.8307104634965601E-5</v>
      </c>
      <c r="AA200" s="3">
        <f t="shared" si="136"/>
        <v>9.8307104619438905E-5</v>
      </c>
      <c r="AB200" s="3">
        <f t="shared" si="136"/>
        <v>9.8307104464171965E-5</v>
      </c>
      <c r="AC200" s="3">
        <f t="shared" si="136"/>
        <v>9.8307102911502636E-5</v>
      </c>
      <c r="AD200" s="3">
        <f t="shared" si="136"/>
        <v>9.8307087384810656E-5</v>
      </c>
      <c r="AE200" s="3">
        <f t="shared" si="136"/>
        <v>9.8306932118025672E-5</v>
      </c>
      <c r="AF200" s="3">
        <f t="shared" si="136"/>
        <v>9.8305379463663442E-5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1.1020901234699503E-2</v>
      </c>
      <c r="X201" s="3">
        <f t="shared" si="137"/>
        <v>1.1020901234699329E-2</v>
      </c>
      <c r="Y201" s="3">
        <f t="shared" si="137"/>
        <v>1.1020901234697587E-2</v>
      </c>
      <c r="Z201" s="3">
        <f t="shared" si="137"/>
        <v>1.1020901234680181E-2</v>
      </c>
      <c r="AA201" s="3">
        <f t="shared" si="137"/>
        <v>1.1020901234506116E-2</v>
      </c>
      <c r="AB201" s="3">
        <f t="shared" si="137"/>
        <v>1.1020901232765468E-2</v>
      </c>
      <c r="AC201" s="3">
        <f t="shared" si="137"/>
        <v>1.1020901215358977E-2</v>
      </c>
      <c r="AD201" s="3">
        <f t="shared" si="137"/>
        <v>1.1020901041294088E-2</v>
      </c>
      <c r="AE201" s="3">
        <f t="shared" si="137"/>
        <v>1.1020899300645337E-2</v>
      </c>
      <c r="AF201" s="3">
        <f t="shared" si="137"/>
        <v>1.1020881894172951E-2</v>
      </c>
      <c r="AG201" s="3"/>
      <c r="AH201" s="3"/>
    </row>
    <row r="202" spans="1:34" x14ac:dyDescent="0.25">
      <c r="A202" s="79">
        <f>AVERAGE(B202:AF202)</f>
        <v>1.7191403970259773</v>
      </c>
      <c r="B202" s="80">
        <f>IF($A$64&lt;=B168,IF($B$64&gt;=B168,ABS((B170-B169)/B169),0),0)</f>
        <v>2.548885274153906E-3</v>
      </c>
      <c r="C202" s="80">
        <f t="shared" ref="C202:AF202" si="138">IF($A$64&lt;=C168,IF($B$64&gt;=C168,ABS((C170-C169)/C169),0),0)</f>
        <v>2.9392864636442043E-2</v>
      </c>
      <c r="D202" s="80">
        <f t="shared" si="138"/>
        <v>4.6719161399399786E-2</v>
      </c>
      <c r="E202" s="80">
        <f t="shared" si="138"/>
        <v>6.4728445152588188E-2</v>
      </c>
      <c r="F202" s="80">
        <f t="shared" si="138"/>
        <v>8.4672344273695826E-2</v>
      </c>
      <c r="G202" s="80">
        <f t="shared" si="138"/>
        <v>0.1076196332887797</v>
      </c>
      <c r="H202" s="80">
        <f t="shared" si="138"/>
        <v>0.1338349177156668</v>
      </c>
      <c r="I202" s="80">
        <f t="shared" si="138"/>
        <v>0.16592083763153881</v>
      </c>
      <c r="J202" s="80">
        <f t="shared" si="138"/>
        <v>0.19718472174139559</v>
      </c>
      <c r="K202" s="80">
        <f t="shared" si="138"/>
        <v>0.23114928064367099</v>
      </c>
      <c r="L202" s="80">
        <f t="shared" si="138"/>
        <v>0.27116219974819139</v>
      </c>
      <c r="M202" s="80">
        <f t="shared" si="138"/>
        <v>0.32265779523803445</v>
      </c>
      <c r="N202" s="80">
        <f t="shared" si="138"/>
        <v>0.38136991178125368</v>
      </c>
      <c r="O202" s="80">
        <f t="shared" si="138"/>
        <v>0.43631539790009227</v>
      </c>
      <c r="P202" s="80">
        <f t="shared" si="138"/>
        <v>0.48810439937492522</v>
      </c>
      <c r="Q202" s="80">
        <f t="shared" si="138"/>
        <v>0.53697651352758669</v>
      </c>
      <c r="R202" s="80">
        <f t="shared" si="138"/>
        <v>0.56095002192571197</v>
      </c>
      <c r="S202" s="80">
        <f t="shared" si="138"/>
        <v>0.5917673076679022</v>
      </c>
      <c r="T202" s="80">
        <f t="shared" si="138"/>
        <v>0.64626569769189424</v>
      </c>
      <c r="U202" s="80">
        <f t="shared" si="138"/>
        <v>0.82816635227716306</v>
      </c>
      <c r="V202" s="80">
        <f t="shared" si="138"/>
        <v>1.1775221007239973</v>
      </c>
      <c r="W202" s="80">
        <f t="shared" si="138"/>
        <v>1.6036664923846591</v>
      </c>
      <c r="X202" s="80">
        <f t="shared" si="138"/>
        <v>2.056153095809099</v>
      </c>
      <c r="Y202" s="80">
        <f t="shared" si="138"/>
        <v>2.6045900047654755</v>
      </c>
      <c r="Z202" s="80">
        <f t="shared" si="138"/>
        <v>3.413815825820238</v>
      </c>
      <c r="AA202" s="80">
        <f t="shared" si="138"/>
        <v>4.6712878402021616</v>
      </c>
      <c r="AB202" s="80">
        <f t="shared" si="138"/>
        <v>6.3013754867355622</v>
      </c>
      <c r="AC202" s="80">
        <f t="shared" si="138"/>
        <v>7.5688810847585648</v>
      </c>
      <c r="AD202" s="80">
        <f t="shared" si="138"/>
        <v>7.5843206800686174</v>
      </c>
      <c r="AE202" s="80">
        <f t="shared" si="138"/>
        <v>6.2565032563145584</v>
      </c>
      <c r="AF202" s="80">
        <f t="shared" si="138"/>
        <v>3.9277297513322811</v>
      </c>
    </row>
    <row r="203" spans="1:34" x14ac:dyDescent="0.25">
      <c r="B203" s="21">
        <f>(B170-B169)^2</f>
        <v>839.4797917924285</v>
      </c>
      <c r="C203" s="21">
        <f t="shared" ref="C203:AF203" si="139">(C170-C169)^2</f>
        <v>105849.31059019327</v>
      </c>
      <c r="D203" s="21">
        <f t="shared" si="139"/>
        <v>258640.32658858655</v>
      </c>
      <c r="E203" s="21">
        <f t="shared" si="139"/>
        <v>479820.88556507521</v>
      </c>
      <c r="F203" s="21">
        <f t="shared" si="139"/>
        <v>791138.54697323521</v>
      </c>
      <c r="G203" s="21">
        <f t="shared" si="139"/>
        <v>1225654.9874590179</v>
      </c>
      <c r="H203" s="21">
        <f t="shared" si="139"/>
        <v>1808863.2242154269</v>
      </c>
      <c r="I203" s="21">
        <f t="shared" si="139"/>
        <v>2629240.0937134069</v>
      </c>
      <c r="J203" s="21">
        <f t="shared" si="139"/>
        <v>3522010.9611193361</v>
      </c>
      <c r="K203" s="21">
        <f t="shared" si="139"/>
        <v>4576465.2215682399</v>
      </c>
      <c r="L203" s="21">
        <f t="shared" si="139"/>
        <v>5907759.4613523744</v>
      </c>
      <c r="M203" s="21">
        <f t="shared" si="139"/>
        <v>7726008.8459908646</v>
      </c>
      <c r="N203" s="21">
        <f t="shared" si="139"/>
        <v>9895390.8876672219</v>
      </c>
      <c r="O203" s="21">
        <f t="shared" si="139"/>
        <v>11978538.963886064</v>
      </c>
      <c r="P203" s="21">
        <f t="shared" si="139"/>
        <v>13947553.930885432</v>
      </c>
      <c r="Q203" s="21">
        <f t="shared" si="139"/>
        <v>15653504.917037459</v>
      </c>
      <c r="R203" s="21">
        <f t="shared" si="139"/>
        <v>15765305.176094206</v>
      </c>
      <c r="S203" s="21">
        <f t="shared" si="139"/>
        <v>16101171.703023102</v>
      </c>
      <c r="T203" s="21">
        <f t="shared" si="139"/>
        <v>16893347.068473555</v>
      </c>
      <c r="U203" s="21">
        <f t="shared" si="139"/>
        <v>21000830.801862694</v>
      </c>
      <c r="V203" s="21">
        <f t="shared" si="139"/>
        <v>27732653.666173533</v>
      </c>
      <c r="W203" s="21">
        <f t="shared" si="139"/>
        <v>32591784.685154065</v>
      </c>
      <c r="X203" s="21">
        <f t="shared" si="139"/>
        <v>34201951.443669714</v>
      </c>
      <c r="Y203" s="21">
        <f t="shared" si="139"/>
        <v>33956576.59306106</v>
      </c>
      <c r="Z203" s="21">
        <f t="shared" si="139"/>
        <v>33074364.165374648</v>
      </c>
      <c r="AA203" s="21">
        <f t="shared" si="139"/>
        <v>31270471.265171565</v>
      </c>
      <c r="AB203" s="21">
        <f t="shared" si="139"/>
        <v>28025721.392146192</v>
      </c>
      <c r="AC203" s="21">
        <f t="shared" si="139"/>
        <v>21287902.197395466</v>
      </c>
      <c r="AD203" s="21">
        <f t="shared" si="139"/>
        <v>14066125.604406303</v>
      </c>
      <c r="AE203" s="21">
        <f t="shared" si="139"/>
        <v>7362631.7908565551</v>
      </c>
      <c r="AF203" s="21">
        <f t="shared" si="139"/>
        <v>2520163.1743809236</v>
      </c>
      <c r="AG203" s="3"/>
      <c r="AH203" s="3"/>
    </row>
    <row r="204" spans="1:34" x14ac:dyDescent="0.25">
      <c r="A204" s="71">
        <f>SUM(B204:AF204)</f>
        <v>416358280.77164721</v>
      </c>
      <c r="B204" s="60">
        <f>IF($A$64&lt;=B168,IF($B$64&gt;=B168,ABS(B203),0),0)</f>
        <v>839.4797917924285</v>
      </c>
      <c r="C204" s="60">
        <f t="shared" ref="C204" si="140">IF($A$64&lt;=C168,IF($B$64&gt;=C168,ABS(C203),0),0)</f>
        <v>105849.31059019327</v>
      </c>
      <c r="D204" s="60">
        <f t="shared" ref="D204" si="141">IF($A$64&lt;=D168,IF($B$64&gt;=D168,ABS(D203),0),0)</f>
        <v>258640.32658858655</v>
      </c>
      <c r="E204" s="60">
        <f t="shared" ref="E204" si="142">IF($A$64&lt;=E168,IF($B$64&gt;=E168,ABS(E203),0),0)</f>
        <v>479820.88556507521</v>
      </c>
      <c r="F204" s="60">
        <f t="shared" ref="F204" si="143">IF($A$64&lt;=F168,IF($B$64&gt;=F168,ABS(F203),0),0)</f>
        <v>791138.54697323521</v>
      </c>
      <c r="G204" s="60">
        <f t="shared" ref="G204" si="144">IF($A$64&lt;=G168,IF($B$64&gt;=G168,ABS(G203),0),0)</f>
        <v>1225654.9874590179</v>
      </c>
      <c r="H204" s="60">
        <f t="shared" ref="H204" si="145">IF($A$64&lt;=H168,IF($B$64&gt;=H168,ABS(H203),0),0)</f>
        <v>1808863.2242154269</v>
      </c>
      <c r="I204" s="60">
        <f t="shared" ref="I204" si="146">IF($A$64&lt;=I168,IF($B$64&gt;=I168,ABS(I203),0),0)</f>
        <v>2629240.0937134069</v>
      </c>
      <c r="J204" s="60">
        <f t="shared" ref="J204" si="147">IF($A$64&lt;=J168,IF($B$64&gt;=J168,ABS(J203),0),0)</f>
        <v>3522010.9611193361</v>
      </c>
      <c r="K204" s="60">
        <f t="shared" ref="K204" si="148">IF($A$64&lt;=K168,IF($B$64&gt;=K168,ABS(K203),0),0)</f>
        <v>4576465.2215682399</v>
      </c>
      <c r="L204" s="60">
        <f t="shared" ref="L204" si="149">IF($A$64&lt;=L168,IF($B$64&gt;=L168,ABS(L203),0),0)</f>
        <v>5907759.4613523744</v>
      </c>
      <c r="M204" s="60">
        <f t="shared" ref="M204" si="150">IF($A$64&lt;=M168,IF($B$64&gt;=M168,ABS(M203),0),0)</f>
        <v>7726008.8459908646</v>
      </c>
      <c r="N204" s="60">
        <f t="shared" ref="N204" si="151">IF($A$64&lt;=N168,IF($B$64&gt;=N168,ABS(N203),0),0)</f>
        <v>9895390.8876672219</v>
      </c>
      <c r="O204" s="60">
        <f t="shared" ref="O204" si="152">IF($A$64&lt;=O168,IF($B$64&gt;=O168,ABS(O203),0),0)</f>
        <v>11978538.963886064</v>
      </c>
      <c r="P204" s="60">
        <f t="shared" ref="P204" si="153">IF($A$64&lt;=P168,IF($B$64&gt;=P168,ABS(P203),0),0)</f>
        <v>13947553.930885432</v>
      </c>
      <c r="Q204" s="60">
        <f t="shared" ref="Q204" si="154">IF($A$64&lt;=Q168,IF($B$64&gt;=Q168,ABS(Q203),0),0)</f>
        <v>15653504.917037459</v>
      </c>
      <c r="R204" s="60">
        <f t="shared" ref="R204" si="155">IF($A$64&lt;=R168,IF($B$64&gt;=R168,ABS(R203),0),0)</f>
        <v>15765305.176094206</v>
      </c>
      <c r="S204" s="60">
        <f t="shared" ref="S204" si="156">IF($A$64&lt;=S168,IF($B$64&gt;=S168,ABS(S203),0),0)</f>
        <v>16101171.703023102</v>
      </c>
      <c r="T204" s="60">
        <f t="shared" ref="T204" si="157">IF($A$64&lt;=T168,IF($B$64&gt;=T168,ABS(T203),0),0)</f>
        <v>16893347.068473555</v>
      </c>
      <c r="U204" s="60">
        <f t="shared" ref="U204" si="158">IF($A$64&lt;=U168,IF($B$64&gt;=U168,ABS(U203),0),0)</f>
        <v>21000830.801862694</v>
      </c>
      <c r="V204" s="60">
        <f t="shared" ref="V204" si="159">IF($A$64&lt;=V168,IF($B$64&gt;=V168,ABS(V203),0),0)</f>
        <v>27732653.666173533</v>
      </c>
      <c r="W204" s="60">
        <f t="shared" ref="W204" si="160">IF($A$64&lt;=W168,IF($B$64&gt;=W168,ABS(W203),0),0)</f>
        <v>32591784.685154065</v>
      </c>
      <c r="X204" s="60">
        <f t="shared" ref="X204" si="161">IF($A$64&lt;=X168,IF($B$64&gt;=X168,ABS(X203),0),0)</f>
        <v>34201951.443669714</v>
      </c>
      <c r="Y204" s="60">
        <f t="shared" ref="Y204" si="162">IF($A$64&lt;=Y168,IF($B$64&gt;=Y168,ABS(Y203),0),0)</f>
        <v>33956576.59306106</v>
      </c>
      <c r="Z204" s="60">
        <f t="shared" ref="Z204" si="163">IF($A$64&lt;=Z168,IF($B$64&gt;=Z168,ABS(Z203),0),0)</f>
        <v>33074364.165374648</v>
      </c>
      <c r="AA204" s="60">
        <f t="shared" ref="AA204" si="164">IF($A$64&lt;=AA168,IF($B$64&gt;=AA168,ABS(AA203),0),0)</f>
        <v>31270471.265171565</v>
      </c>
      <c r="AB204" s="60">
        <f t="shared" ref="AB204" si="165">IF($A$64&lt;=AB168,IF($B$64&gt;=AB168,ABS(AB203),0),0)</f>
        <v>28025721.392146192</v>
      </c>
      <c r="AC204" s="60">
        <f t="shared" ref="AC204" si="166">IF($A$64&lt;=AC168,IF($B$64&gt;=AC168,ABS(AC203),0),0)</f>
        <v>21287902.197395466</v>
      </c>
      <c r="AD204" s="60">
        <f t="shared" ref="AD204" si="167">IF($A$64&lt;=AD168,IF($B$64&gt;=AD168,ABS(AD203),0),0)</f>
        <v>14066125.604406303</v>
      </c>
      <c r="AE204" s="60">
        <f t="shared" ref="AE204" si="168">IF($A$64&lt;=AE168,IF($B$64&gt;=AE168,ABS(AE203),0),0)</f>
        <v>7362631.7908565551</v>
      </c>
      <c r="AF204" s="60">
        <f t="shared" ref="AF204" si="169">IF($A$64&lt;=AF168,IF($B$64&gt;=AF168,ABS(AF203),0),0)</f>
        <v>2520163.1743809236</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11394.184719161323</v>
      </c>
      <c r="C209" s="27">
        <f t="shared" ref="C209:AF209" si="170">($C$17+SUM(C210:C240))*$B$51</f>
        <v>11394.184719161261</v>
      </c>
      <c r="D209" s="27">
        <f t="shared" si="170"/>
        <v>11394.184719160659</v>
      </c>
      <c r="E209" s="27">
        <f t="shared" si="170"/>
        <v>11394.184719154642</v>
      </c>
      <c r="F209" s="27">
        <f t="shared" si="170"/>
        <v>11394.184719094452</v>
      </c>
      <c r="G209" s="27">
        <f t="shared" si="170"/>
        <v>11394.18471849257</v>
      </c>
      <c r="H209" s="27">
        <f t="shared" si="170"/>
        <v>11394.184712473734</v>
      </c>
      <c r="I209" s="27">
        <f t="shared" si="170"/>
        <v>11394.184652285403</v>
      </c>
      <c r="J209" s="27">
        <f t="shared" si="170"/>
        <v>11394.184050403321</v>
      </c>
      <c r="K209" s="27">
        <f t="shared" si="170"/>
        <v>11394.178031704807</v>
      </c>
      <c r="L209" s="27">
        <f t="shared" si="170"/>
        <v>11394.117856947707</v>
      </c>
      <c r="M209" s="27">
        <f t="shared" si="170"/>
        <v>11393.517327345317</v>
      </c>
      <c r="N209" s="27">
        <f t="shared" si="170"/>
        <v>11387.629171586461</v>
      </c>
      <c r="O209" s="27">
        <f t="shared" si="170"/>
        <v>11337.147213435323</v>
      </c>
      <c r="P209" s="27">
        <f t="shared" si="170"/>
        <v>11083.383698856558</v>
      </c>
      <c r="Q209" s="27">
        <f t="shared" si="170"/>
        <v>10821.894410266894</v>
      </c>
      <c r="R209" s="27">
        <f t="shared" si="170"/>
        <v>10510.311298796563</v>
      </c>
      <c r="S209" s="27">
        <f t="shared" si="170"/>
        <v>10156.759940303376</v>
      </c>
      <c r="T209" s="27">
        <f t="shared" si="170"/>
        <v>9783.2221849209782</v>
      </c>
      <c r="U209" s="27">
        <f t="shared" si="170"/>
        <v>9326.7128604339323</v>
      </c>
      <c r="V209" s="27">
        <f t="shared" si="170"/>
        <v>8759.1670741882444</v>
      </c>
      <c r="W209" s="27">
        <f t="shared" si="170"/>
        <v>8130.7856911742374</v>
      </c>
      <c r="X209" s="27">
        <f t="shared" si="170"/>
        <v>7498.4227575497389</v>
      </c>
      <c r="Y209" s="27">
        <f t="shared" si="170"/>
        <v>6854.4813335542294</v>
      </c>
      <c r="Z209" s="27">
        <f t="shared" si="170"/>
        <v>6195.0320874095551</v>
      </c>
      <c r="AA209" s="27">
        <f t="shared" si="170"/>
        <v>5321.332097219044</v>
      </c>
      <c r="AB209" s="27">
        <f t="shared" si="170"/>
        <v>4358.8338739945284</v>
      </c>
      <c r="AC209" s="27">
        <f t="shared" si="170"/>
        <v>3272.5343786505487</v>
      </c>
      <c r="AD209" s="27">
        <f t="shared" si="170"/>
        <v>2113.5229855658708</v>
      </c>
      <c r="AE209" s="27">
        <f t="shared" si="170"/>
        <v>1260.2649451658281</v>
      </c>
      <c r="AF209" s="27">
        <f t="shared" si="170"/>
        <v>707.08857372378714</v>
      </c>
      <c r="AG209" s="27"/>
      <c r="AH209" s="27"/>
    </row>
    <row r="210" spans="1:34" x14ac:dyDescent="0.25">
      <c r="B210" s="3">
        <f t="shared" ref="B210:AF210" si="171">$C18*EXP(-B$207/$A18/EXP(-$D$126))</f>
        <v>3.6190264700123432E-64</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7.2761897872490339E-4</v>
      </c>
      <c r="C219" s="3">
        <f t="shared" si="180"/>
        <v>7.2761897872387947E-4</v>
      </c>
      <c r="D219" s="3">
        <f t="shared" si="180"/>
        <v>7.2761897871364059E-4</v>
      </c>
      <c r="E219" s="3">
        <f t="shared" si="180"/>
        <v>7.276189786112519E-4</v>
      </c>
      <c r="F219" s="3">
        <f t="shared" si="180"/>
        <v>7.2761897758736498E-4</v>
      </c>
      <c r="G219" s="3">
        <f t="shared" si="180"/>
        <v>7.2761896734849544E-4</v>
      </c>
      <c r="H219" s="3">
        <f t="shared" si="180"/>
        <v>7.2761886495980872E-4</v>
      </c>
      <c r="I219" s="3">
        <f t="shared" si="180"/>
        <v>7.2761784107373416E-4</v>
      </c>
      <c r="J219" s="3">
        <f t="shared" si="180"/>
        <v>7.2760760229223043E-4</v>
      </c>
      <c r="K219" s="3">
        <f t="shared" si="180"/>
        <v>7.2750522240106765E-4</v>
      </c>
      <c r="L219" s="3">
        <f t="shared" si="180"/>
        <v>7.264822154644465E-4</v>
      </c>
      <c r="M219" s="3">
        <f t="shared" si="180"/>
        <v>7.1633093280088476E-4</v>
      </c>
      <c r="N219" s="3">
        <f t="shared" si="180"/>
        <v>6.2230155818418899E-4</v>
      </c>
      <c r="O219" s="3">
        <f t="shared" si="180"/>
        <v>1.523606155981201E-4</v>
      </c>
      <c r="P219" s="3">
        <f t="shared" si="180"/>
        <v>1.1792096422539855E-10</v>
      </c>
      <c r="Q219" s="3">
        <f t="shared" si="180"/>
        <v>9.094399992701303E-72</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3.1446025257016577E-2</v>
      </c>
      <c r="C220" s="3">
        <f t="shared" si="181"/>
        <v>3.1446025257012587E-2</v>
      </c>
      <c r="D220" s="3">
        <f t="shared" si="181"/>
        <v>3.1446025256972668E-2</v>
      </c>
      <c r="E220" s="3">
        <f t="shared" si="181"/>
        <v>3.1446025256573501E-2</v>
      </c>
      <c r="F220" s="3">
        <f t="shared" si="181"/>
        <v>3.144602525258177E-2</v>
      </c>
      <c r="G220" s="3">
        <f t="shared" si="181"/>
        <v>3.1446025212664548E-2</v>
      </c>
      <c r="H220" s="3">
        <f t="shared" si="181"/>
        <v>3.1446024813492304E-2</v>
      </c>
      <c r="I220" s="3">
        <f t="shared" si="181"/>
        <v>3.1446020821770122E-2</v>
      </c>
      <c r="J220" s="3">
        <f t="shared" si="181"/>
        <v>3.1445980904576148E-2</v>
      </c>
      <c r="K220" s="3">
        <f t="shared" si="181"/>
        <v>3.1445581735423271E-2</v>
      </c>
      <c r="L220" s="3">
        <f t="shared" si="181"/>
        <v>3.1441590322567582E-2</v>
      </c>
      <c r="M220" s="3">
        <f t="shared" si="181"/>
        <v>3.1401704048230186E-2</v>
      </c>
      <c r="N220" s="3">
        <f t="shared" si="181"/>
        <v>3.1005613688715045E-2</v>
      </c>
      <c r="O220" s="3">
        <f t="shared" si="181"/>
        <v>2.730935774841195E-2</v>
      </c>
      <c r="P220" s="3">
        <f t="shared" si="181"/>
        <v>7.6740219423365218E-3</v>
      </c>
      <c r="Q220" s="3">
        <f t="shared" si="181"/>
        <v>2.3558006445728361E-8</v>
      </c>
      <c r="R220" s="3">
        <f t="shared" si="181"/>
        <v>1.7510297813655705E-63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1.9599632072183428E-2</v>
      </c>
      <c r="C221" s="3">
        <f t="shared" si="182"/>
        <v>1.9599632072183203E-2</v>
      </c>
      <c r="D221" s="3">
        <f t="shared" si="182"/>
        <v>1.9599632072180958E-2</v>
      </c>
      <c r="E221" s="3">
        <f t="shared" si="182"/>
        <v>1.9599632072158514E-2</v>
      </c>
      <c r="F221" s="3">
        <f t="shared" si="182"/>
        <v>1.9599632071934082E-2</v>
      </c>
      <c r="G221" s="3">
        <f t="shared" si="182"/>
        <v>1.9599632069689739E-2</v>
      </c>
      <c r="H221" s="3">
        <f t="shared" si="182"/>
        <v>1.9599632047246317E-2</v>
      </c>
      <c r="I221" s="3">
        <f t="shared" si="182"/>
        <v>1.9599631822812089E-2</v>
      </c>
      <c r="J221" s="3">
        <f t="shared" si="182"/>
        <v>1.959962957846996E-2</v>
      </c>
      <c r="K221" s="3">
        <f t="shared" si="182"/>
        <v>1.9599607135062806E-2</v>
      </c>
      <c r="L221" s="3">
        <f t="shared" si="182"/>
        <v>1.9599382702404747E-2</v>
      </c>
      <c r="M221" s="3">
        <f t="shared" si="182"/>
        <v>1.9597138517166591E-2</v>
      </c>
      <c r="N221" s="3">
        <f t="shared" si="182"/>
        <v>1.957471079303998E-2</v>
      </c>
      <c r="O221" s="3">
        <f t="shared" si="182"/>
        <v>1.935184040963394E-2</v>
      </c>
      <c r="P221" s="3">
        <f t="shared" si="182"/>
        <v>1.7258039925347572E-2</v>
      </c>
      <c r="Q221" s="3">
        <f t="shared" si="182"/>
        <v>5.4914043657673262E-3</v>
      </c>
      <c r="R221" s="3">
        <f t="shared" si="182"/>
        <v>5.8425572616074312E-8</v>
      </c>
      <c r="S221" s="3">
        <f t="shared" si="182"/>
        <v>1.0859216858672089E-57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3.2516214564493003E-2</v>
      </c>
      <c r="D222" s="3">
        <f t="shared" si="183"/>
        <v>3.2516214564492663E-2</v>
      </c>
      <c r="E222" s="3">
        <f t="shared" si="183"/>
        <v>3.2516214564489304E-2</v>
      </c>
      <c r="F222" s="3">
        <f t="shared" si="183"/>
        <v>3.251621456445572E-2</v>
      </c>
      <c r="G222" s="3">
        <f t="shared" si="183"/>
        <v>3.2516214564119836E-2</v>
      </c>
      <c r="H222" s="3">
        <f t="shared" si="183"/>
        <v>3.2516214560761009E-2</v>
      </c>
      <c r="I222" s="3">
        <f t="shared" si="183"/>
        <v>3.2516214527172731E-2</v>
      </c>
      <c r="J222" s="3">
        <f t="shared" si="183"/>
        <v>3.2516214191289944E-2</v>
      </c>
      <c r="K222" s="3">
        <f t="shared" si="183"/>
        <v>3.2516210832462311E-2</v>
      </c>
      <c r="L222" s="3">
        <f t="shared" si="183"/>
        <v>3.2516177244205059E-2</v>
      </c>
      <c r="M222" s="3">
        <f t="shared" si="183"/>
        <v>3.2515841363540778E-2</v>
      </c>
      <c r="N222" s="3">
        <f t="shared" si="183"/>
        <v>3.2512482747716134E-2</v>
      </c>
      <c r="O222" s="3">
        <f t="shared" si="183"/>
        <v>3.2478915663996959E-2</v>
      </c>
      <c r="P222" s="3">
        <f t="shared" si="183"/>
        <v>3.2145145009366452E-2</v>
      </c>
      <c r="Q222" s="3">
        <f t="shared" si="183"/>
        <v>2.8990390571385277E-2</v>
      </c>
      <c r="R222" s="3">
        <f t="shared" si="183"/>
        <v>1.0319076641094414E-2</v>
      </c>
      <c r="S222" s="3">
        <f t="shared" si="183"/>
        <v>3.3690585168371425E-7</v>
      </c>
      <c r="T222" s="3">
        <f t="shared" si="183"/>
        <v>4.6364514516752158E-52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3.2163923063268526E-2</v>
      </c>
      <c r="E223" s="3">
        <f t="shared" si="184"/>
        <v>3.2163923063268228E-2</v>
      </c>
      <c r="F223" s="3">
        <f t="shared" si="184"/>
        <v>3.216392306326523E-2</v>
      </c>
      <c r="G223" s="3">
        <f t="shared" si="184"/>
        <v>3.2163923063235261E-2</v>
      </c>
      <c r="H223" s="3">
        <f t="shared" si="184"/>
        <v>3.216392306293555E-2</v>
      </c>
      <c r="I223" s="3">
        <f t="shared" si="184"/>
        <v>3.2163923059938433E-2</v>
      </c>
      <c r="J223" s="3">
        <f t="shared" si="184"/>
        <v>3.2163923029967283E-2</v>
      </c>
      <c r="K223" s="3">
        <f t="shared" si="184"/>
        <v>3.2163922730255812E-2</v>
      </c>
      <c r="L223" s="3">
        <f t="shared" si="184"/>
        <v>3.2163919733141241E-2</v>
      </c>
      <c r="M223" s="3">
        <f t="shared" si="184"/>
        <v>3.2163889762010893E-2</v>
      </c>
      <c r="N223" s="3">
        <f t="shared" si="184"/>
        <v>3.2163590052243417E-2</v>
      </c>
      <c r="O223" s="3">
        <f t="shared" si="184"/>
        <v>3.2160593108166005E-2</v>
      </c>
      <c r="P223" s="3">
        <f t="shared" si="184"/>
        <v>3.213063902183453E-2</v>
      </c>
      <c r="Q223" s="3">
        <f t="shared" si="184"/>
        <v>3.1832628322116828E-2</v>
      </c>
      <c r="R223" s="3">
        <f t="shared" si="184"/>
        <v>2.9000390987346612E-2</v>
      </c>
      <c r="S223" s="3">
        <f t="shared" si="184"/>
        <v>1.1421348940717037E-2</v>
      </c>
      <c r="T223" s="3">
        <f t="shared" si="184"/>
        <v>1.0253045152471158E-6</v>
      </c>
      <c r="U223" s="3">
        <f t="shared" si="184"/>
        <v>3.4850384008169812E-47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3.390057260500106E-2</v>
      </c>
      <c r="F224" s="3">
        <f t="shared" si="185"/>
        <v>3.3900572605000769E-2</v>
      </c>
      <c r="G224" s="3">
        <f t="shared" si="185"/>
        <v>3.3900572604997924E-2</v>
      </c>
      <c r="H224" s="3">
        <f t="shared" si="185"/>
        <v>3.3900572604969426E-2</v>
      </c>
      <c r="I224" s="3">
        <f t="shared" si="185"/>
        <v>3.3900572604684459E-2</v>
      </c>
      <c r="J224" s="3">
        <f t="shared" si="185"/>
        <v>3.3900572601834836E-2</v>
      </c>
      <c r="K224" s="3">
        <f t="shared" si="185"/>
        <v>3.3900572573338568E-2</v>
      </c>
      <c r="L224" s="3">
        <f t="shared" si="185"/>
        <v>3.3900572288375896E-2</v>
      </c>
      <c r="M224" s="3">
        <f t="shared" si="185"/>
        <v>3.3900569438749285E-2</v>
      </c>
      <c r="N224" s="3">
        <f t="shared" si="185"/>
        <v>3.3900540942496352E-2</v>
      </c>
      <c r="O224" s="3">
        <f t="shared" si="185"/>
        <v>3.3900255981284509E-2</v>
      </c>
      <c r="P224" s="3">
        <f t="shared" si="185"/>
        <v>3.3897406500905745E-2</v>
      </c>
      <c r="Q224" s="3">
        <f t="shared" si="185"/>
        <v>3.3868924866989836E-2</v>
      </c>
      <c r="R224" s="3">
        <f t="shared" si="185"/>
        <v>3.3585421428155286E-2</v>
      </c>
      <c r="S224" s="3">
        <f t="shared" si="185"/>
        <v>3.087768393518794E-2</v>
      </c>
      <c r="T224" s="3">
        <f t="shared" si="185"/>
        <v>1.3322442980354879E-2</v>
      </c>
      <c r="U224" s="3">
        <f t="shared" si="185"/>
        <v>2.9783477011643198E-6</v>
      </c>
      <c r="V224" s="3">
        <f t="shared" si="185"/>
        <v>9.2873255189635173E-43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4.6234934193755517E-2</v>
      </c>
      <c r="G225" s="3">
        <f t="shared" si="186"/>
        <v>4.623493419375517E-2</v>
      </c>
      <c r="H225" s="3">
        <f t="shared" si="186"/>
        <v>4.6234934193751666E-2</v>
      </c>
      <c r="I225" s="3">
        <f t="shared" si="186"/>
        <v>4.6234934193716604E-2</v>
      </c>
      <c r="J225" s="3">
        <f t="shared" si="186"/>
        <v>4.6234934193366016E-2</v>
      </c>
      <c r="K225" s="3">
        <f t="shared" si="186"/>
        <v>4.6234934189860133E-2</v>
      </c>
      <c r="L225" s="3">
        <f t="shared" si="186"/>
        <v>4.6234934154801267E-2</v>
      </c>
      <c r="M225" s="3">
        <f t="shared" si="186"/>
        <v>4.6234933804212681E-2</v>
      </c>
      <c r="N225" s="3">
        <f t="shared" si="186"/>
        <v>4.6234930298326919E-2</v>
      </c>
      <c r="O225" s="3">
        <f t="shared" si="186"/>
        <v>4.623489523948391E-2</v>
      </c>
      <c r="P225" s="3">
        <f t="shared" si="186"/>
        <v>4.6234544652515953E-2</v>
      </c>
      <c r="Q225" s="3">
        <f t="shared" si="186"/>
        <v>4.6231038929045551E-2</v>
      </c>
      <c r="R225" s="3">
        <f t="shared" si="186"/>
        <v>4.6195996311152468E-2</v>
      </c>
      <c r="S225" s="3">
        <f t="shared" si="186"/>
        <v>4.5847027720696078E-2</v>
      </c>
      <c r="T225" s="3">
        <f t="shared" si="186"/>
        <v>4.2499092844919192E-2</v>
      </c>
      <c r="U225" s="3">
        <f t="shared" si="186"/>
        <v>1.9909685765576113E-2</v>
      </c>
      <c r="V225" s="3">
        <f t="shared" si="186"/>
        <v>1.0137056373014129E-5</v>
      </c>
      <c r="W225" s="3">
        <f t="shared" si="186"/>
        <v>1.1868242785706465E-38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5.667139699388711E-2</v>
      </c>
      <c r="H226" s="3">
        <f t="shared" si="187"/>
        <v>5.6671396993886722E-2</v>
      </c>
      <c r="I226" s="3">
        <f t="shared" si="187"/>
        <v>5.6671396993882843E-2</v>
      </c>
      <c r="J226" s="3">
        <f t="shared" si="187"/>
        <v>5.6671396993844075E-2</v>
      </c>
      <c r="K226" s="3">
        <f t="shared" si="187"/>
        <v>5.6671396993456427E-2</v>
      </c>
      <c r="L226" s="3">
        <f t="shared" si="187"/>
        <v>5.6671396989579945E-2</v>
      </c>
      <c r="M226" s="3">
        <f t="shared" si="187"/>
        <v>5.6671396950815099E-2</v>
      </c>
      <c r="N226" s="3">
        <f t="shared" si="187"/>
        <v>5.6671396563166665E-2</v>
      </c>
      <c r="O226" s="3">
        <f t="shared" si="187"/>
        <v>5.6671392686682372E-2</v>
      </c>
      <c r="P226" s="3">
        <f t="shared" si="187"/>
        <v>5.6671353921854052E-2</v>
      </c>
      <c r="Q226" s="3">
        <f t="shared" si="187"/>
        <v>5.6670966275029232E-2</v>
      </c>
      <c r="R226" s="3">
        <f t="shared" si="187"/>
        <v>5.6667089952616385E-2</v>
      </c>
      <c r="S226" s="3">
        <f t="shared" si="187"/>
        <v>5.6628341308327314E-2</v>
      </c>
      <c r="T226" s="3">
        <f t="shared" si="187"/>
        <v>5.624230916610444E-2</v>
      </c>
      <c r="U226" s="3">
        <f t="shared" si="187"/>
        <v>5.2523803490368198E-2</v>
      </c>
      <c r="V226" s="3">
        <f t="shared" si="187"/>
        <v>2.6502473685189726E-2</v>
      </c>
      <c r="W226" s="3">
        <f t="shared" si="187"/>
        <v>2.8352336417674323E-5</v>
      </c>
      <c r="X226" s="3">
        <f t="shared" si="187"/>
        <v>5.5668980493266527E-35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5.8705737383098588E-2</v>
      </c>
      <c r="I227" s="3">
        <f t="shared" si="188"/>
        <v>5.8705737383098228E-2</v>
      </c>
      <c r="J227" s="3">
        <f t="shared" si="188"/>
        <v>5.8705737383094606E-2</v>
      </c>
      <c r="K227" s="3">
        <f t="shared" si="188"/>
        <v>5.8705737383058385E-2</v>
      </c>
      <c r="L227" s="3">
        <f t="shared" si="188"/>
        <v>5.870573738269614E-2</v>
      </c>
      <c r="M227" s="3">
        <f t="shared" si="188"/>
        <v>5.8705737379073697E-2</v>
      </c>
      <c r="N227" s="3">
        <f t="shared" si="188"/>
        <v>5.8705737342849292E-2</v>
      </c>
      <c r="O227" s="3">
        <f t="shared" si="188"/>
        <v>5.8705736980605237E-2</v>
      </c>
      <c r="P227" s="3">
        <f t="shared" si="188"/>
        <v>5.8705733358164827E-2</v>
      </c>
      <c r="Q227" s="3">
        <f t="shared" si="188"/>
        <v>5.8705697133773015E-2</v>
      </c>
      <c r="R227" s="3">
        <f t="shared" si="188"/>
        <v>5.8705334891084288E-2</v>
      </c>
      <c r="S227" s="3">
        <f t="shared" si="188"/>
        <v>5.8701712587131437E-2</v>
      </c>
      <c r="T227" s="3">
        <f t="shared" si="188"/>
        <v>5.8665501838243296E-2</v>
      </c>
      <c r="U227" s="3">
        <f t="shared" si="188"/>
        <v>5.8304620611960178E-2</v>
      </c>
      <c r="V227" s="3">
        <f t="shared" si="188"/>
        <v>5.4815680554137193E-2</v>
      </c>
      <c r="W227" s="3">
        <f t="shared" si="188"/>
        <v>2.9574892640663694E-2</v>
      </c>
      <c r="X227" s="3">
        <f t="shared" si="188"/>
        <v>6.1816845697489311E-5</v>
      </c>
      <c r="Y227" s="3">
        <f t="shared" si="188"/>
        <v>9.8388305335325551E-32</v>
      </c>
      <c r="Z227" s="3">
        <f t="shared" si="188"/>
        <v>1.0263840047480318E-299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5.6202356064972085E-2</v>
      </c>
      <c r="J228" s="3">
        <f t="shared" si="189"/>
        <v>5.6202356064971773E-2</v>
      </c>
      <c r="K228" s="3">
        <f t="shared" si="189"/>
        <v>5.6202356064968644E-2</v>
      </c>
      <c r="L228" s="3">
        <f t="shared" si="189"/>
        <v>5.6202356064937356E-2</v>
      </c>
      <c r="M228" s="3">
        <f t="shared" si="189"/>
        <v>5.6202356064624516E-2</v>
      </c>
      <c r="N228" s="3">
        <f t="shared" si="189"/>
        <v>5.6202356061496123E-2</v>
      </c>
      <c r="O228" s="3">
        <f t="shared" si="189"/>
        <v>5.6202356030212154E-2</v>
      </c>
      <c r="P228" s="3">
        <f t="shared" si="189"/>
        <v>5.6202355717372483E-2</v>
      </c>
      <c r="Q228" s="3">
        <f t="shared" si="189"/>
        <v>5.6202352588975796E-2</v>
      </c>
      <c r="R228" s="3">
        <f t="shared" si="189"/>
        <v>5.620232130501851E-2</v>
      </c>
      <c r="S228" s="3">
        <f t="shared" si="189"/>
        <v>5.6202008466403441E-2</v>
      </c>
      <c r="T228" s="3">
        <f t="shared" si="189"/>
        <v>5.6198880176025486E-2</v>
      </c>
      <c r="U228" s="3">
        <f t="shared" si="189"/>
        <v>5.6167606847547326E-2</v>
      </c>
      <c r="V228" s="3">
        <f t="shared" si="189"/>
        <v>5.5855829123771641E-2</v>
      </c>
      <c r="W228" s="3">
        <f t="shared" si="189"/>
        <v>5.2831668934466336E-2</v>
      </c>
      <c r="X228" s="3">
        <f t="shared" si="189"/>
        <v>3.0279772138329265E-2</v>
      </c>
      <c r="Y228" s="3">
        <f t="shared" si="189"/>
        <v>1.1580713787067057E-4</v>
      </c>
      <c r="Z228" s="3">
        <f t="shared" si="189"/>
        <v>7.7546568507977925E-29</v>
      </c>
      <c r="AA228" s="3">
        <f t="shared" si="189"/>
        <v>1.4055139123178386E-270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6.3415296184233125E-2</v>
      </c>
      <c r="K229" s="3">
        <f t="shared" si="190"/>
        <v>6.3415296184232819E-2</v>
      </c>
      <c r="L229" s="3">
        <f t="shared" si="190"/>
        <v>6.3415296184229628E-2</v>
      </c>
      <c r="M229" s="3">
        <f t="shared" si="190"/>
        <v>6.3415296184197792E-2</v>
      </c>
      <c r="N229" s="3">
        <f t="shared" si="190"/>
        <v>6.3415296183879366E-2</v>
      </c>
      <c r="O229" s="3">
        <f t="shared" si="190"/>
        <v>6.3415296180695108E-2</v>
      </c>
      <c r="P229" s="3">
        <f t="shared" si="190"/>
        <v>6.3415296148852551E-2</v>
      </c>
      <c r="Q229" s="3">
        <f t="shared" si="190"/>
        <v>6.3415295830426988E-2</v>
      </c>
      <c r="R229" s="3">
        <f t="shared" si="190"/>
        <v>6.3415292646171448E-2</v>
      </c>
      <c r="S229" s="3">
        <f t="shared" si="190"/>
        <v>6.3415260803624876E-2</v>
      </c>
      <c r="T229" s="3">
        <f t="shared" si="190"/>
        <v>6.3414942379038525E-2</v>
      </c>
      <c r="U229" s="3">
        <f t="shared" si="190"/>
        <v>6.3411758221112752E-2</v>
      </c>
      <c r="V229" s="3">
        <f t="shared" si="190"/>
        <v>6.3379925434000631E-2</v>
      </c>
      <c r="W229" s="3">
        <f t="shared" si="190"/>
        <v>6.3062475146156871E-2</v>
      </c>
      <c r="X229" s="3">
        <f t="shared" si="190"/>
        <v>5.9974121825824803E-2</v>
      </c>
      <c r="Y229" s="3">
        <f t="shared" si="190"/>
        <v>3.62988401547929E-2</v>
      </c>
      <c r="Z229" s="3">
        <f t="shared" si="190"/>
        <v>2.394314839275621E-4</v>
      </c>
      <c r="AA229" s="3">
        <f t="shared" si="190"/>
        <v>3.7330718171809497E-26</v>
      </c>
      <c r="AB229" s="3">
        <f t="shared" si="190"/>
        <v>3.1689634002078192E-244</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3.5348869965799563E-2</v>
      </c>
      <c r="K230" s="3">
        <f t="shared" si="191"/>
        <v>3.5348869965799543E-2</v>
      </c>
      <c r="L230" s="3">
        <f t="shared" si="191"/>
        <v>3.534886996579939E-2</v>
      </c>
      <c r="M230" s="3">
        <f t="shared" si="191"/>
        <v>3.5348869965797787E-2</v>
      </c>
      <c r="N230" s="3">
        <f t="shared" si="191"/>
        <v>3.5348869965781772E-2</v>
      </c>
      <c r="O230" s="3">
        <f t="shared" si="191"/>
        <v>3.5348869965621657E-2</v>
      </c>
      <c r="P230" s="3">
        <f t="shared" si="191"/>
        <v>3.5348869964020493E-2</v>
      </c>
      <c r="Q230" s="3">
        <f t="shared" si="191"/>
        <v>3.5348869948008843E-2</v>
      </c>
      <c r="R230" s="3">
        <f t="shared" si="191"/>
        <v>3.5348869787892367E-2</v>
      </c>
      <c r="S230" s="3">
        <f t="shared" si="191"/>
        <v>3.5348868186727639E-2</v>
      </c>
      <c r="T230" s="3">
        <f t="shared" si="191"/>
        <v>3.534885217508435E-2</v>
      </c>
      <c r="U230" s="3">
        <f t="shared" si="191"/>
        <v>3.5348692059050321E-2</v>
      </c>
      <c r="V230" s="3">
        <f t="shared" si="191"/>
        <v>3.5347090938598891E-2</v>
      </c>
      <c r="W230" s="3">
        <f t="shared" si="191"/>
        <v>3.5331083722297506E-2</v>
      </c>
      <c r="X230" s="3">
        <f t="shared" si="191"/>
        <v>3.51714097129796E-2</v>
      </c>
      <c r="Y230" s="3">
        <f t="shared" si="191"/>
        <v>3.3613825709674847E-2</v>
      </c>
      <c r="Z230" s="3">
        <f t="shared" si="191"/>
        <v>2.1369759060346005E-2</v>
      </c>
      <c r="AA230" s="3">
        <f t="shared" si="191"/>
        <v>2.3047108311052483E-4</v>
      </c>
      <c r="AB230" s="3">
        <f t="shared" si="191"/>
        <v>4.9066447435727837E-24</v>
      </c>
      <c r="AC230" s="3">
        <f t="shared" si="191"/>
        <v>9.3856927946245317E-221</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7.0460456800535309E-2</v>
      </c>
      <c r="M231" s="3">
        <f t="shared" si="192"/>
        <v>7.0460456800534435E-2</v>
      </c>
      <c r="N231" s="3">
        <f t="shared" si="192"/>
        <v>7.0460456800525595E-2</v>
      </c>
      <c r="O231" s="3">
        <f t="shared" si="192"/>
        <v>7.0460456800437332E-2</v>
      </c>
      <c r="P231" s="3">
        <f t="shared" si="192"/>
        <v>7.0460456799554608E-2</v>
      </c>
      <c r="Q231" s="3">
        <f t="shared" si="192"/>
        <v>7.0460456790727502E-2</v>
      </c>
      <c r="R231" s="3">
        <f t="shared" si="192"/>
        <v>7.0460456702456348E-2</v>
      </c>
      <c r="S231" s="3">
        <f t="shared" si="192"/>
        <v>7.0460455819744805E-2</v>
      </c>
      <c r="T231" s="3">
        <f t="shared" si="192"/>
        <v>7.0460446992630002E-2</v>
      </c>
      <c r="U231" s="3">
        <f t="shared" si="192"/>
        <v>7.0460358721542854E-2</v>
      </c>
      <c r="V231" s="3">
        <f t="shared" si="192"/>
        <v>7.0459476016753425E-2</v>
      </c>
      <c r="W231" s="3">
        <f t="shared" si="192"/>
        <v>7.0450649577039587E-2</v>
      </c>
      <c r="X231" s="3">
        <f t="shared" si="192"/>
        <v>7.0362445969768747E-2</v>
      </c>
      <c r="Y231" s="3">
        <f t="shared" si="192"/>
        <v>6.9486460800245051E-2</v>
      </c>
      <c r="Z231" s="3">
        <f t="shared" si="192"/>
        <v>6.1304567179328952E-2</v>
      </c>
      <c r="AA231" s="3">
        <f t="shared" si="192"/>
        <v>1.7515365973557399E-2</v>
      </c>
      <c r="AB231" s="3">
        <f t="shared" si="192"/>
        <v>6.3486746452337071E-8</v>
      </c>
      <c r="AC231" s="3">
        <f t="shared" si="192"/>
        <v>2.4849726940822186E-62</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8.6875447409324569E-2</v>
      </c>
      <c r="N232" s="3">
        <f t="shared" si="193"/>
        <v>8.6875447409323486E-2</v>
      </c>
      <c r="O232" s="3">
        <f t="shared" si="193"/>
        <v>8.6875447409312592E-2</v>
      </c>
      <c r="P232" s="3">
        <f t="shared" si="193"/>
        <v>8.6875447409203763E-2</v>
      </c>
      <c r="Q232" s="3">
        <f t="shared" si="193"/>
        <v>8.6875447408115411E-2</v>
      </c>
      <c r="R232" s="3">
        <f t="shared" si="193"/>
        <v>8.6875447397231867E-2</v>
      </c>
      <c r="S232" s="3">
        <f t="shared" si="193"/>
        <v>8.6875447288396412E-2</v>
      </c>
      <c r="T232" s="3">
        <f t="shared" si="193"/>
        <v>8.6875446200041839E-2</v>
      </c>
      <c r="U232" s="3">
        <f t="shared" si="193"/>
        <v>8.6875435316496913E-2</v>
      </c>
      <c r="V232" s="3">
        <f t="shared" si="193"/>
        <v>8.6875326481122603E-2</v>
      </c>
      <c r="W232" s="3">
        <f t="shared" si="193"/>
        <v>8.6874238134878559E-2</v>
      </c>
      <c r="X232" s="3">
        <f t="shared" si="193"/>
        <v>8.6863355422304861E-2</v>
      </c>
      <c r="Y232" s="3">
        <f t="shared" si="193"/>
        <v>8.6754603248493919E-2</v>
      </c>
      <c r="Z232" s="3">
        <f t="shared" si="193"/>
        <v>8.567454207685353E-2</v>
      </c>
      <c r="AA232" s="3">
        <f t="shared" si="193"/>
        <v>7.5586533834375247E-2</v>
      </c>
      <c r="AB232" s="3">
        <f t="shared" si="193"/>
        <v>2.1595875539076811E-2</v>
      </c>
      <c r="AC232" s="3">
        <f t="shared" si="193"/>
        <v>7.8277089775654565E-8</v>
      </c>
      <c r="AD232" s="3">
        <f t="shared" si="193"/>
        <v>3.0638903634911893E-62</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9.6215979999175708E-2</v>
      </c>
      <c r="N233" s="3">
        <f t="shared" si="194"/>
        <v>9.6215979999175583E-2</v>
      </c>
      <c r="O233" s="3">
        <f t="shared" si="194"/>
        <v>9.6215979999174389E-2</v>
      </c>
      <c r="P233" s="3">
        <f t="shared" si="194"/>
        <v>9.6215979999162329E-2</v>
      </c>
      <c r="Q233" s="3">
        <f t="shared" si="194"/>
        <v>9.6215979999041787E-2</v>
      </c>
      <c r="R233" s="3">
        <f t="shared" si="194"/>
        <v>9.6215979997836418E-2</v>
      </c>
      <c r="S233" s="3">
        <f t="shared" si="194"/>
        <v>9.6215979985782712E-2</v>
      </c>
      <c r="T233" s="3">
        <f t="shared" si="194"/>
        <v>9.621597986524566E-2</v>
      </c>
      <c r="U233" s="3">
        <f t="shared" si="194"/>
        <v>9.6215978659875176E-2</v>
      </c>
      <c r="V233" s="3">
        <f t="shared" si="194"/>
        <v>9.6215966606171016E-2</v>
      </c>
      <c r="W233" s="3">
        <f t="shared" si="194"/>
        <v>9.6215846069212532E-2</v>
      </c>
      <c r="X233" s="3">
        <f t="shared" si="194"/>
        <v>9.6214640707932994E-2</v>
      </c>
      <c r="Y233" s="3">
        <f t="shared" si="194"/>
        <v>9.6202587925627386E-2</v>
      </c>
      <c r="Z233" s="3">
        <f t="shared" si="194"/>
        <v>9.6082143113056129E-2</v>
      </c>
      <c r="AA233" s="3">
        <f t="shared" si="194"/>
        <v>9.488595768682391E-2</v>
      </c>
      <c r="AB233" s="3">
        <f t="shared" si="194"/>
        <v>8.371332343589942E-2</v>
      </c>
      <c r="AC233" s="3">
        <f t="shared" si="194"/>
        <v>2.3917785644802063E-2</v>
      </c>
      <c r="AD233" s="3">
        <f t="shared" si="194"/>
        <v>8.6693158180382216E-8</v>
      </c>
      <c r="AE233" s="3">
        <f t="shared" si="194"/>
        <v>3.3933087278891409E-62</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0.11161416834614404</v>
      </c>
      <c r="O234" s="3">
        <f t="shared" si="195"/>
        <v>0.11161416834614389</v>
      </c>
      <c r="P234" s="3">
        <f t="shared" si="195"/>
        <v>0.1116141683461425</v>
      </c>
      <c r="Q234" s="3">
        <f t="shared" si="195"/>
        <v>0.11161416834612851</v>
      </c>
      <c r="R234" s="3">
        <f t="shared" si="195"/>
        <v>0.1116141683459887</v>
      </c>
      <c r="S234" s="3">
        <f t="shared" si="195"/>
        <v>0.11161416834459041</v>
      </c>
      <c r="T234" s="3">
        <f t="shared" si="195"/>
        <v>0.11161416833060767</v>
      </c>
      <c r="U234" s="3">
        <f t="shared" si="195"/>
        <v>0.11161416819078014</v>
      </c>
      <c r="V234" s="3">
        <f t="shared" si="195"/>
        <v>0.11161416679250487</v>
      </c>
      <c r="W234" s="3">
        <f t="shared" si="195"/>
        <v>0.11161415280975309</v>
      </c>
      <c r="X234" s="3">
        <f t="shared" si="195"/>
        <v>0.11161401298233176</v>
      </c>
      <c r="Y234" s="3">
        <f t="shared" si="195"/>
        <v>0.11161261471775269</v>
      </c>
      <c r="Z234" s="3">
        <f t="shared" si="195"/>
        <v>0.11159863303536158</v>
      </c>
      <c r="AA234" s="3">
        <f t="shared" si="195"/>
        <v>0.11145891250674603</v>
      </c>
      <c r="AB234" s="3">
        <f t="shared" si="195"/>
        <v>0.11007129226385258</v>
      </c>
      <c r="AC234" s="3">
        <f t="shared" si="195"/>
        <v>9.711061483622295E-2</v>
      </c>
      <c r="AD234" s="3">
        <f t="shared" si="195"/>
        <v>2.7745534093700393E-2</v>
      </c>
      <c r="AE234" s="3">
        <f t="shared" si="195"/>
        <v>1.0056733560981213E-7</v>
      </c>
      <c r="AF234" s="3">
        <f t="shared" si="195"/>
        <v>3.936366200378598E-62</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6.6462351022397878E-2</v>
      </c>
      <c r="Q235" s="3">
        <f t="shared" si="196"/>
        <v>6.6462351022397059E-2</v>
      </c>
      <c r="R235" s="3">
        <f t="shared" si="196"/>
        <v>6.6462351022388719E-2</v>
      </c>
      <c r="S235" s="3">
        <f t="shared" si="196"/>
        <v>6.6462351022305466E-2</v>
      </c>
      <c r="T235" s="3">
        <f t="shared" si="196"/>
        <v>6.646235102147284E-2</v>
      </c>
      <c r="U235" s="3">
        <f t="shared" si="196"/>
        <v>6.6462351013146598E-2</v>
      </c>
      <c r="V235" s="3">
        <f t="shared" si="196"/>
        <v>6.6462350929884173E-2</v>
      </c>
      <c r="W235" s="3">
        <f t="shared" si="196"/>
        <v>6.6462350097259926E-2</v>
      </c>
      <c r="X235" s="3">
        <f t="shared" si="196"/>
        <v>6.6462341771018105E-2</v>
      </c>
      <c r="Y235" s="3">
        <f t="shared" si="196"/>
        <v>6.6462258508657265E-2</v>
      </c>
      <c r="Z235" s="3">
        <f t="shared" si="196"/>
        <v>6.6461425890785783E-2</v>
      </c>
      <c r="AA235" s="3">
        <f t="shared" si="196"/>
        <v>6.6453100285741806E-2</v>
      </c>
      <c r="AB235" s="3">
        <f t="shared" si="196"/>
        <v>6.6369901575797724E-2</v>
      </c>
      <c r="AC235" s="3">
        <f t="shared" si="196"/>
        <v>6.5543622035883417E-2</v>
      </c>
      <c r="AD235" s="3">
        <f t="shared" si="196"/>
        <v>5.7825989897893747E-2</v>
      </c>
      <c r="AE235" s="3">
        <f t="shared" si="196"/>
        <v>1.6521499497452755E-2</v>
      </c>
      <c r="AF235" s="3">
        <f t="shared" si="196"/>
        <v>5.9884346761049422E-8</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4.7100906601755706E-2</v>
      </c>
      <c r="Q236" s="3">
        <f t="shared" si="197"/>
        <v>4.7100906601755643E-2</v>
      </c>
      <c r="R236" s="3">
        <f t="shared" si="197"/>
        <v>4.710090660175506E-2</v>
      </c>
      <c r="S236" s="3">
        <f t="shared" si="197"/>
        <v>4.7100906601749155E-2</v>
      </c>
      <c r="T236" s="3">
        <f t="shared" si="197"/>
        <v>4.7100906601690147E-2</v>
      </c>
      <c r="U236" s="3">
        <f t="shared" si="197"/>
        <v>4.7100906601100077E-2</v>
      </c>
      <c r="V236" s="3">
        <f t="shared" si="197"/>
        <v>4.7100906595199395E-2</v>
      </c>
      <c r="W236" s="3">
        <f t="shared" si="197"/>
        <v>4.7100906536192519E-2</v>
      </c>
      <c r="X236" s="3">
        <f t="shared" si="197"/>
        <v>4.7100905946123768E-2</v>
      </c>
      <c r="Y236" s="3">
        <f t="shared" si="197"/>
        <v>4.7100900045436649E-2</v>
      </c>
      <c r="Z236" s="3">
        <f t="shared" si="197"/>
        <v>4.710084103860615E-2</v>
      </c>
      <c r="AA236" s="3">
        <f t="shared" si="197"/>
        <v>4.7100250974366827E-2</v>
      </c>
      <c r="AB236" s="3">
        <f t="shared" si="197"/>
        <v>4.7094350738525831E-2</v>
      </c>
      <c r="AC236" s="3">
        <f t="shared" si="197"/>
        <v>4.7035389016495524E-2</v>
      </c>
      <c r="AD236" s="3">
        <f t="shared" si="197"/>
        <v>4.6449816661052822E-2</v>
      </c>
      <c r="AE236" s="3">
        <f t="shared" si="197"/>
        <v>4.0980442422460857E-2</v>
      </c>
      <c r="AF236" s="3">
        <f t="shared" si="197"/>
        <v>1.1708547663145837E-2</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2.2598128773559205E-2</v>
      </c>
      <c r="S237" s="3">
        <f t="shared" si="198"/>
        <v>2.2598128773558924E-2</v>
      </c>
      <c r="T237" s="3">
        <f t="shared" si="198"/>
        <v>2.2598128773556089E-2</v>
      </c>
      <c r="U237" s="3">
        <f t="shared" si="198"/>
        <v>2.2598128773527779E-2</v>
      </c>
      <c r="V237" s="3">
        <f t="shared" si="198"/>
        <v>2.2598128773244675E-2</v>
      </c>
      <c r="W237" s="3">
        <f t="shared" si="198"/>
        <v>2.2598128770413638E-2</v>
      </c>
      <c r="X237" s="3">
        <f t="shared" si="198"/>
        <v>2.2598128742103249E-2</v>
      </c>
      <c r="Y237" s="3">
        <f t="shared" si="198"/>
        <v>2.2598128458999365E-2</v>
      </c>
      <c r="Z237" s="3">
        <f t="shared" si="198"/>
        <v>2.2598125627960708E-2</v>
      </c>
      <c r="AA237" s="3">
        <f t="shared" si="198"/>
        <v>2.2598097317593661E-2</v>
      </c>
      <c r="AB237" s="3">
        <f t="shared" si="198"/>
        <v>2.2597814215873823E-2</v>
      </c>
      <c r="AC237" s="3">
        <f t="shared" si="198"/>
        <v>2.2594983393731553E-2</v>
      </c>
      <c r="AD237" s="3">
        <f t="shared" si="198"/>
        <v>2.2566694668879238E-2</v>
      </c>
      <c r="AE237" s="3">
        <f t="shared" si="198"/>
        <v>2.228574807041106E-2</v>
      </c>
      <c r="AF237" s="3">
        <f t="shared" si="198"/>
        <v>1.9661645218219219E-2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6.4467605952010501E-3</v>
      </c>
      <c r="S238" s="3">
        <f t="shared" si="199"/>
        <v>6.4467605952010414E-3</v>
      </c>
      <c r="T238" s="3">
        <f t="shared" si="199"/>
        <v>6.4467605952009616E-3</v>
      </c>
      <c r="U238" s="3">
        <f t="shared" si="199"/>
        <v>6.4467605952001532E-3</v>
      </c>
      <c r="V238" s="3">
        <f t="shared" si="199"/>
        <v>6.4467605951920772E-3</v>
      </c>
      <c r="W238" s="3">
        <f t="shared" si="199"/>
        <v>6.4467605951113137E-3</v>
      </c>
      <c r="X238" s="3">
        <f t="shared" si="199"/>
        <v>6.4467605943036793E-3</v>
      </c>
      <c r="Y238" s="3">
        <f t="shared" si="199"/>
        <v>6.4467605862273333E-3</v>
      </c>
      <c r="Z238" s="3">
        <f t="shared" si="199"/>
        <v>6.4467605054638784E-3</v>
      </c>
      <c r="AA238" s="3">
        <f t="shared" si="199"/>
        <v>6.4467596978293774E-3</v>
      </c>
      <c r="AB238" s="3">
        <f t="shared" si="199"/>
        <v>6.4467516214899356E-3</v>
      </c>
      <c r="AC238" s="3">
        <f t="shared" si="199"/>
        <v>6.4466708586519957E-3</v>
      </c>
      <c r="AD238" s="3">
        <f t="shared" si="199"/>
        <v>6.4458632859179139E-3</v>
      </c>
      <c r="AE238" s="3">
        <f t="shared" si="199"/>
        <v>6.4377931205297171E-3</v>
      </c>
      <c r="AF238" s="3">
        <f t="shared" si="199"/>
        <v>6.3576450924115839E-3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9.830710463669077E-5</v>
      </c>
      <c r="T239" s="3">
        <f t="shared" si="200"/>
        <v>9.8307104636690648E-5</v>
      </c>
      <c r="U239" s="3">
        <f t="shared" si="200"/>
        <v>9.8307104636689415E-5</v>
      </c>
      <c r="V239" s="3">
        <f t="shared" si="200"/>
        <v>9.8307104636677096E-5</v>
      </c>
      <c r="W239" s="3">
        <f t="shared" si="200"/>
        <v>9.8307104636553944E-5</v>
      </c>
      <c r="X239" s="3">
        <f t="shared" si="200"/>
        <v>9.8307104635322372E-5</v>
      </c>
      <c r="Y239" s="3">
        <f t="shared" si="200"/>
        <v>9.8307104623006702E-5</v>
      </c>
      <c r="Z239" s="3">
        <f t="shared" si="200"/>
        <v>9.8307104499849941E-5</v>
      </c>
      <c r="AA239" s="3">
        <f t="shared" si="200"/>
        <v>9.8307103268282346E-5</v>
      </c>
      <c r="AB239" s="3">
        <f t="shared" si="200"/>
        <v>9.8307090952607173E-5</v>
      </c>
      <c r="AC239" s="3">
        <f t="shared" si="200"/>
        <v>9.8306967795940369E-5</v>
      </c>
      <c r="AD239" s="3">
        <f t="shared" si="200"/>
        <v>9.8305736237758111E-5</v>
      </c>
      <c r="AE239" s="3">
        <f t="shared" si="200"/>
        <v>9.8293421504474813E-5</v>
      </c>
      <c r="AF239" s="3">
        <f t="shared" si="200"/>
        <v>9.8170358986247687E-5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1.1020901234699506E-2</v>
      </c>
      <c r="V240" s="3">
        <f t="shared" si="201"/>
        <v>1.1020901234699369E-2</v>
      </c>
      <c r="W240" s="3">
        <f t="shared" si="201"/>
        <v>1.1020901234697988E-2</v>
      </c>
      <c r="X240" s="3">
        <f t="shared" si="201"/>
        <v>1.102090123468418E-2</v>
      </c>
      <c r="Y240" s="3">
        <f t="shared" si="201"/>
        <v>1.1020901234546113E-2</v>
      </c>
      <c r="Z240" s="3">
        <f t="shared" si="201"/>
        <v>1.1020901233165441E-2</v>
      </c>
      <c r="AA240" s="3">
        <f t="shared" si="201"/>
        <v>1.1020901219358724E-2</v>
      </c>
      <c r="AB240" s="3">
        <f t="shared" si="201"/>
        <v>1.1020901081291543E-2</v>
      </c>
      <c r="AC240" s="3">
        <f t="shared" si="201"/>
        <v>1.1020899700619818E-2</v>
      </c>
      <c r="AD240" s="3">
        <f t="shared" si="201"/>
        <v>1.1020885893912091E-2</v>
      </c>
      <c r="AE240" s="3">
        <f t="shared" si="201"/>
        <v>1.102074782778613E-2</v>
      </c>
      <c r="AF240" s="3">
        <f t="shared" si="201"/>
        <v>1.1019367261653618E-2</v>
      </c>
      <c r="AG240" s="3"/>
      <c r="AH240" s="3"/>
    </row>
    <row r="241" spans="1:34" x14ac:dyDescent="0.25">
      <c r="A241" s="79">
        <f>AVERAGE(B241:AF241)</f>
        <v>1.4410767905405395</v>
      </c>
      <c r="B241" s="80">
        <f>IF($A$64&lt;=B207,IF($B$64&gt;=B207,ABS((B209-B208)/B208),0),0)</f>
        <v>3.4958656896998945E-2</v>
      </c>
      <c r="C241" s="80">
        <f t="shared" ref="C241:AF241" si="202">IF($A$64&lt;=C207,IF($B$64&gt;=C207,ABS((C209-C208)/C208),0),0)</f>
        <v>5.5342645008766615E-2</v>
      </c>
      <c r="D241" s="80">
        <f t="shared" si="202"/>
        <v>7.3902795271818866E-2</v>
      </c>
      <c r="E241" s="80">
        <f t="shared" si="202"/>
        <v>9.413309861952121E-2</v>
      </c>
      <c r="F241" s="80">
        <f t="shared" si="202"/>
        <v>0.11768480029655734</v>
      </c>
      <c r="G241" s="80">
        <f t="shared" si="202"/>
        <v>0.14425520559781679</v>
      </c>
      <c r="H241" s="80">
        <f t="shared" si="202"/>
        <v>0.17721281265361868</v>
      </c>
      <c r="I241" s="80">
        <f t="shared" si="202"/>
        <v>0.20840551331731283</v>
      </c>
      <c r="J241" s="80">
        <f t="shared" si="202"/>
        <v>0.24297391939447519</v>
      </c>
      <c r="K241" s="80">
        <f t="shared" si="202"/>
        <v>0.2843702909446425</v>
      </c>
      <c r="L241" s="80">
        <f t="shared" si="202"/>
        <v>0.3371747624066328</v>
      </c>
      <c r="M241" s="80">
        <f t="shared" si="202"/>
        <v>0.39632439084730581</v>
      </c>
      <c r="N241" s="80">
        <f t="shared" si="202"/>
        <v>0.44995337532442309</v>
      </c>
      <c r="O241" s="80">
        <f t="shared" si="202"/>
        <v>0.49699822414807604</v>
      </c>
      <c r="P241" s="80">
        <f t="shared" si="202"/>
        <v>0.51954954986008295</v>
      </c>
      <c r="Q241" s="80">
        <f t="shared" si="202"/>
        <v>0.54501851439763682</v>
      </c>
      <c r="R241" s="80">
        <f t="shared" si="202"/>
        <v>0.5649360800514398</v>
      </c>
      <c r="S241" s="80">
        <f t="shared" si="202"/>
        <v>0.60772268944615648</v>
      </c>
      <c r="T241" s="80">
        <f t="shared" si="202"/>
        <v>0.75481044739780723</v>
      </c>
      <c r="U241" s="80">
        <f t="shared" si="202"/>
        <v>1.0646031982776805</v>
      </c>
      <c r="V241" s="80">
        <f t="shared" si="202"/>
        <v>1.4472431592345503</v>
      </c>
      <c r="W241" s="80">
        <f t="shared" si="202"/>
        <v>1.8661796864501261</v>
      </c>
      <c r="X241" s="80">
        <f t="shared" si="202"/>
        <v>2.3873016754588035</v>
      </c>
      <c r="Y241" s="80">
        <f t="shared" si="202"/>
        <v>3.1526369523552806</v>
      </c>
      <c r="Z241" s="80">
        <f t="shared" si="202"/>
        <v>4.3009853762598551</v>
      </c>
      <c r="AA241" s="80">
        <f t="shared" si="202"/>
        <v>5.5046890775854811</v>
      </c>
      <c r="AB241" s="80">
        <f t="shared" si="202"/>
        <v>6.2764741243214681</v>
      </c>
      <c r="AC241" s="80">
        <f t="shared" si="202"/>
        <v>5.7055913558241977</v>
      </c>
      <c r="AD241" s="80">
        <f t="shared" si="202"/>
        <v>3.8979348574754598</v>
      </c>
      <c r="AE241" s="80">
        <f t="shared" si="202"/>
        <v>2.1345169430672302</v>
      </c>
      <c r="AF241" s="80">
        <f t="shared" si="202"/>
        <v>0.82949632856549982</v>
      </c>
    </row>
    <row r="242" spans="1:34" x14ac:dyDescent="0.25">
      <c r="B242" s="21">
        <f>(B209-B208)^2</f>
        <v>148125.55349606604</v>
      </c>
      <c r="C242" s="21">
        <f t="shared" ref="C242:AF242" si="203">(C209-C208)^2</f>
        <v>357025.60148679698</v>
      </c>
      <c r="D242" s="21">
        <f t="shared" si="203"/>
        <v>614834.5958597986</v>
      </c>
      <c r="E242" s="21">
        <f t="shared" si="203"/>
        <v>960972.38796367845</v>
      </c>
      <c r="F242" s="21">
        <f t="shared" si="203"/>
        <v>1439357.1560181163</v>
      </c>
      <c r="G242" s="21">
        <f t="shared" si="203"/>
        <v>2063401.3296024634</v>
      </c>
      <c r="H242" s="21">
        <f t="shared" si="203"/>
        <v>2942027.9058211446</v>
      </c>
      <c r="I242" s="21">
        <f t="shared" si="203"/>
        <v>3861530.9346204614</v>
      </c>
      <c r="J242" s="21">
        <f t="shared" si="203"/>
        <v>4960914.5546640893</v>
      </c>
      <c r="K242" s="21">
        <f t="shared" si="203"/>
        <v>6364348.3714679079</v>
      </c>
      <c r="L242" s="21">
        <f t="shared" si="203"/>
        <v>8254584.0233556638</v>
      </c>
      <c r="M242" s="21">
        <f t="shared" si="203"/>
        <v>10457902.469260352</v>
      </c>
      <c r="N242" s="21">
        <f t="shared" si="203"/>
        <v>12488020.012066064</v>
      </c>
      <c r="O242" s="21">
        <f t="shared" si="203"/>
        <v>14166895.016534124</v>
      </c>
      <c r="P242" s="21">
        <f t="shared" si="203"/>
        <v>14360479.793475036</v>
      </c>
      <c r="Q242" s="21">
        <f t="shared" si="203"/>
        <v>14573427.992397653</v>
      </c>
      <c r="R242" s="21">
        <f t="shared" si="203"/>
        <v>14395825.579380322</v>
      </c>
      <c r="S242" s="21">
        <f t="shared" si="203"/>
        <v>14740051.335863231</v>
      </c>
      <c r="T242" s="21">
        <f t="shared" si="203"/>
        <v>17708395.633101974</v>
      </c>
      <c r="U242" s="21">
        <f t="shared" si="203"/>
        <v>23129143.702184413</v>
      </c>
      <c r="V242" s="21">
        <f t="shared" si="203"/>
        <v>26832082.771226812</v>
      </c>
      <c r="W242" s="21">
        <f t="shared" si="203"/>
        <v>28026258.060931277</v>
      </c>
      <c r="X242" s="21">
        <f t="shared" si="203"/>
        <v>27928441.158721421</v>
      </c>
      <c r="Y242" s="21">
        <f t="shared" si="203"/>
        <v>27080033.110235669</v>
      </c>
      <c r="Z242" s="21">
        <f t="shared" si="203"/>
        <v>25264449.514596894</v>
      </c>
      <c r="AA242" s="21">
        <f t="shared" si="203"/>
        <v>20279312.603525415</v>
      </c>
      <c r="AB242" s="21">
        <f t="shared" si="203"/>
        <v>14136117.33835089</v>
      </c>
      <c r="AC242" s="21">
        <f t="shared" si="203"/>
        <v>7753460.7901073089</v>
      </c>
      <c r="AD242" s="21">
        <f t="shared" si="203"/>
        <v>2829157.3021073244</v>
      </c>
      <c r="AE242" s="21">
        <f t="shared" si="203"/>
        <v>736515.14580605971</v>
      </c>
      <c r="AF242" s="21">
        <f t="shared" si="203"/>
        <v>102781.1541715122</v>
      </c>
      <c r="AG242" s="3"/>
      <c r="AH242" s="3"/>
    </row>
    <row r="243" spans="1:34" x14ac:dyDescent="0.25">
      <c r="A243" s="71">
        <f>SUM(B243:AF243)</f>
        <v>348955872.89839995</v>
      </c>
      <c r="B243" s="60">
        <f>IF($A$64&lt;=B207,IF($B$64&gt;=B207,ABS(B242),0),0)</f>
        <v>148125.55349606604</v>
      </c>
      <c r="C243" s="60">
        <f t="shared" ref="C243" si="204">IF($A$64&lt;=C207,IF($B$64&gt;=C207,ABS(C242),0),0)</f>
        <v>357025.60148679698</v>
      </c>
      <c r="D243" s="60">
        <f t="shared" ref="D243" si="205">IF($A$64&lt;=D207,IF($B$64&gt;=D207,ABS(D242),0),0)</f>
        <v>614834.5958597986</v>
      </c>
      <c r="E243" s="60">
        <f t="shared" ref="E243" si="206">IF($A$64&lt;=E207,IF($B$64&gt;=E207,ABS(E242),0),0)</f>
        <v>960972.38796367845</v>
      </c>
      <c r="F243" s="60">
        <f t="shared" ref="F243" si="207">IF($A$64&lt;=F207,IF($B$64&gt;=F207,ABS(F242),0),0)</f>
        <v>1439357.1560181163</v>
      </c>
      <c r="G243" s="60">
        <f t="shared" ref="G243" si="208">IF($A$64&lt;=G207,IF($B$64&gt;=G207,ABS(G242),0),0)</f>
        <v>2063401.3296024634</v>
      </c>
      <c r="H243" s="60">
        <f t="shared" ref="H243" si="209">IF($A$64&lt;=H207,IF($B$64&gt;=H207,ABS(H242),0),0)</f>
        <v>2942027.9058211446</v>
      </c>
      <c r="I243" s="60">
        <f t="shared" ref="I243" si="210">IF($A$64&lt;=I207,IF($B$64&gt;=I207,ABS(I242),0),0)</f>
        <v>3861530.9346204614</v>
      </c>
      <c r="J243" s="60">
        <f t="shared" ref="J243" si="211">IF($A$64&lt;=J207,IF($B$64&gt;=J207,ABS(J242),0),0)</f>
        <v>4960914.5546640893</v>
      </c>
      <c r="K243" s="60">
        <f t="shared" ref="K243" si="212">IF($A$64&lt;=K207,IF($B$64&gt;=K207,ABS(K242),0),0)</f>
        <v>6364348.3714679079</v>
      </c>
      <c r="L243" s="60">
        <f t="shared" ref="L243" si="213">IF($A$64&lt;=L207,IF($B$64&gt;=L207,ABS(L242),0),0)</f>
        <v>8254584.0233556638</v>
      </c>
      <c r="M243" s="60">
        <f t="shared" ref="M243" si="214">IF($A$64&lt;=M207,IF($B$64&gt;=M207,ABS(M242),0),0)</f>
        <v>10457902.469260352</v>
      </c>
      <c r="N243" s="60">
        <f t="shared" ref="N243" si="215">IF($A$64&lt;=N207,IF($B$64&gt;=N207,ABS(N242),0),0)</f>
        <v>12488020.012066064</v>
      </c>
      <c r="O243" s="60">
        <f t="shared" ref="O243" si="216">IF($A$64&lt;=O207,IF($B$64&gt;=O207,ABS(O242),0),0)</f>
        <v>14166895.016534124</v>
      </c>
      <c r="P243" s="60">
        <f t="shared" ref="P243" si="217">IF($A$64&lt;=P207,IF($B$64&gt;=P207,ABS(P242),0),0)</f>
        <v>14360479.793475036</v>
      </c>
      <c r="Q243" s="60">
        <f t="shared" ref="Q243" si="218">IF($A$64&lt;=Q207,IF($B$64&gt;=Q207,ABS(Q242),0),0)</f>
        <v>14573427.992397653</v>
      </c>
      <c r="R243" s="60">
        <f t="shared" ref="R243" si="219">IF($A$64&lt;=R207,IF($B$64&gt;=R207,ABS(R242),0),0)</f>
        <v>14395825.579380322</v>
      </c>
      <c r="S243" s="60">
        <f t="shared" ref="S243" si="220">IF($A$64&lt;=S207,IF($B$64&gt;=S207,ABS(S242),0),0)</f>
        <v>14740051.335863231</v>
      </c>
      <c r="T243" s="60">
        <f t="shared" ref="T243" si="221">IF($A$64&lt;=T207,IF($B$64&gt;=T207,ABS(T242),0),0)</f>
        <v>17708395.633101974</v>
      </c>
      <c r="U243" s="60">
        <f t="shared" ref="U243" si="222">IF($A$64&lt;=U207,IF($B$64&gt;=U207,ABS(U242),0),0)</f>
        <v>23129143.702184413</v>
      </c>
      <c r="V243" s="60">
        <f t="shared" ref="V243" si="223">IF($A$64&lt;=V207,IF($B$64&gt;=V207,ABS(V242),0),0)</f>
        <v>26832082.771226812</v>
      </c>
      <c r="W243" s="60">
        <f t="shared" ref="W243" si="224">IF($A$64&lt;=W207,IF($B$64&gt;=W207,ABS(W242),0),0)</f>
        <v>28026258.060931277</v>
      </c>
      <c r="X243" s="60">
        <f t="shared" ref="X243" si="225">IF($A$64&lt;=X207,IF($B$64&gt;=X207,ABS(X242),0),0)</f>
        <v>27928441.158721421</v>
      </c>
      <c r="Y243" s="60">
        <f t="shared" ref="Y243" si="226">IF($A$64&lt;=Y207,IF($B$64&gt;=Y207,ABS(Y242),0),0)</f>
        <v>27080033.110235669</v>
      </c>
      <c r="Z243" s="60">
        <f t="shared" ref="Z243" si="227">IF($A$64&lt;=Z207,IF($B$64&gt;=Z207,ABS(Z242),0),0)</f>
        <v>25264449.514596894</v>
      </c>
      <c r="AA243" s="60">
        <f t="shared" ref="AA243" si="228">IF($A$64&lt;=AA207,IF($B$64&gt;=AA207,ABS(AA242),0),0)</f>
        <v>20279312.603525415</v>
      </c>
      <c r="AB243" s="60">
        <f t="shared" ref="AB243" si="229">IF($A$64&lt;=AB207,IF($B$64&gt;=AB207,ABS(AB242),0),0)</f>
        <v>14136117.33835089</v>
      </c>
      <c r="AC243" s="60">
        <f t="shared" ref="AC243" si="230">IF($A$64&lt;=AC207,IF($B$64&gt;=AC207,ABS(AC242),0),0)</f>
        <v>7753460.7901073089</v>
      </c>
      <c r="AD243" s="60">
        <f t="shared" ref="AD243" si="231">IF($A$64&lt;=AD207,IF($B$64&gt;=AD207,ABS(AD242),0),0)</f>
        <v>2829157.3021073244</v>
      </c>
      <c r="AE243" s="60">
        <f t="shared" ref="AE243" si="232">IF($A$64&lt;=AE207,IF($B$64&gt;=AE207,ABS(AE242),0),0)</f>
        <v>736515.14580605971</v>
      </c>
      <c r="AF243" s="60">
        <f t="shared" ref="AF243" si="233">IF($A$64&lt;=AF207,IF($B$64&gt;=AF207,ABS(AF242),0),0)</f>
        <v>102781.1541715122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11394.184719156523</v>
      </c>
      <c r="C248" s="27">
        <f t="shared" ref="C248:AF248" si="234">($C$17+SUM(C249:C279))*$B$51</f>
        <v>11394.18471911328</v>
      </c>
      <c r="D248" s="27">
        <f t="shared" si="234"/>
        <v>11394.184718680825</v>
      </c>
      <c r="E248" s="27">
        <f t="shared" si="234"/>
        <v>11394.184714356285</v>
      </c>
      <c r="F248" s="27">
        <f t="shared" si="234"/>
        <v>11394.184671110897</v>
      </c>
      <c r="G248" s="27">
        <f t="shared" si="234"/>
        <v>11394.184238657646</v>
      </c>
      <c r="H248" s="27">
        <f t="shared" si="234"/>
        <v>11394.179914188266</v>
      </c>
      <c r="I248" s="27">
        <f t="shared" si="234"/>
        <v>11394.136675807922</v>
      </c>
      <c r="J248" s="27">
        <f t="shared" si="234"/>
        <v>11393.704921552206</v>
      </c>
      <c r="K248" s="27">
        <f t="shared" si="234"/>
        <v>11389.448586254108</v>
      </c>
      <c r="L248" s="27">
        <f t="shared" si="234"/>
        <v>11351.647516807192</v>
      </c>
      <c r="M248" s="27">
        <f t="shared" si="234"/>
        <v>11134.528927626723</v>
      </c>
      <c r="N248" s="27">
        <f t="shared" si="234"/>
        <v>10860.917626079912</v>
      </c>
      <c r="O248" s="27">
        <f t="shared" si="234"/>
        <v>10566.154378088939</v>
      </c>
      <c r="P248" s="27">
        <f t="shared" si="234"/>
        <v>10211.709479214715</v>
      </c>
      <c r="Q248" s="27">
        <f t="shared" si="234"/>
        <v>9842.2707335133</v>
      </c>
      <c r="R248" s="27">
        <f t="shared" si="234"/>
        <v>9402.295450872989</v>
      </c>
      <c r="S248" s="27">
        <f t="shared" si="234"/>
        <v>8845.8197119089709</v>
      </c>
      <c r="T248" s="27">
        <f t="shared" si="234"/>
        <v>8216.8268679111661</v>
      </c>
      <c r="U248" s="27">
        <f t="shared" si="234"/>
        <v>7580.0109738702513</v>
      </c>
      <c r="V248" s="27">
        <f t="shared" si="234"/>
        <v>6940.1194161201192</v>
      </c>
      <c r="W248" s="27">
        <f t="shared" si="234"/>
        <v>6274.7945006924811</v>
      </c>
      <c r="X248" s="27">
        <f t="shared" si="234"/>
        <v>5464.6084052666183</v>
      </c>
      <c r="Y248" s="27">
        <f t="shared" si="234"/>
        <v>4520.4333900325018</v>
      </c>
      <c r="Z248" s="27">
        <f t="shared" si="234"/>
        <v>3450.8606814756299</v>
      </c>
      <c r="AA248" s="27">
        <f t="shared" si="234"/>
        <v>2293.9194053754704</v>
      </c>
      <c r="AB248" s="27">
        <f t="shared" si="234"/>
        <v>1370.423285782279</v>
      </c>
      <c r="AC248" s="27">
        <f t="shared" si="234"/>
        <v>780.43616938607602</v>
      </c>
      <c r="AD248" s="27">
        <f t="shared" si="234"/>
        <v>438.0165312249531</v>
      </c>
      <c r="AE248" s="27">
        <f t="shared" si="234"/>
        <v>302.48837244485253</v>
      </c>
      <c r="AF248" s="27">
        <f t="shared" si="234"/>
        <v>264.11814263321497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7.2761897864327674E-4</v>
      </c>
      <c r="C258" s="3">
        <f t="shared" si="244"/>
        <v>7.2761897790761271E-4</v>
      </c>
      <c r="D258" s="3">
        <f t="shared" si="244"/>
        <v>7.2761897055097311E-4</v>
      </c>
      <c r="E258" s="3">
        <f t="shared" si="244"/>
        <v>7.2761889698458077E-4</v>
      </c>
      <c r="F258" s="3">
        <f t="shared" si="244"/>
        <v>7.2761816132106629E-4</v>
      </c>
      <c r="G258" s="3">
        <f t="shared" si="244"/>
        <v>7.2761080472683048E-4</v>
      </c>
      <c r="H258" s="3">
        <f t="shared" si="244"/>
        <v>7.2753724287519077E-4</v>
      </c>
      <c r="I258" s="3">
        <f t="shared" si="244"/>
        <v>7.2680203327765149E-4</v>
      </c>
      <c r="J258" s="3">
        <f t="shared" si="244"/>
        <v>7.1949067662805029E-4</v>
      </c>
      <c r="K258" s="3">
        <f t="shared" si="244"/>
        <v>6.5030267500125916E-4</v>
      </c>
      <c r="L258" s="3">
        <f t="shared" si="244"/>
        <v>2.3660245099620906E-4</v>
      </c>
      <c r="M258" s="3">
        <f t="shared" si="244"/>
        <v>9.6173678355810673E-9</v>
      </c>
      <c r="N258" s="3">
        <f t="shared" si="244"/>
        <v>1.1842028523967071E-52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3.1446025256698346E-2</v>
      </c>
      <c r="C259" s="3">
        <f t="shared" si="245"/>
        <v>3.1446025253830293E-2</v>
      </c>
      <c r="D259" s="3">
        <f t="shared" si="245"/>
        <v>3.1446025225149721E-2</v>
      </c>
      <c r="E259" s="3">
        <f t="shared" si="245"/>
        <v>3.1446024938343996E-2</v>
      </c>
      <c r="F259" s="3">
        <f t="shared" si="245"/>
        <v>3.1446022070286898E-2</v>
      </c>
      <c r="G259" s="3">
        <f t="shared" si="245"/>
        <v>3.1445993389730302E-2</v>
      </c>
      <c r="H259" s="3">
        <f t="shared" si="245"/>
        <v>3.144570658560307E-2</v>
      </c>
      <c r="I259" s="3">
        <f t="shared" si="245"/>
        <v>3.1442838688196105E-2</v>
      </c>
      <c r="J259" s="3">
        <f t="shared" si="245"/>
        <v>3.1414174095810238E-2</v>
      </c>
      <c r="K259" s="3">
        <f t="shared" si="245"/>
        <v>3.1128961498885544E-2</v>
      </c>
      <c r="L259" s="3">
        <f t="shared" si="245"/>
        <v>2.8415447048842343E-2</v>
      </c>
      <c r="M259" s="3">
        <f t="shared" si="245"/>
        <v>1.1414400324471869E-2</v>
      </c>
      <c r="N259" s="3">
        <f t="shared" si="245"/>
        <v>1.2486455389129569E-6</v>
      </c>
      <c r="O259" s="3">
        <f t="shared" si="245"/>
        <v>3.0640783674772376E-46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1.959963207200428E-2</v>
      </c>
      <c r="D260" s="3">
        <f t="shared" si="246"/>
        <v>1.9599632070391716E-2</v>
      </c>
      <c r="E260" s="3">
        <f t="shared" si="246"/>
        <v>1.959963205426609E-2</v>
      </c>
      <c r="F260" s="3">
        <f t="shared" si="246"/>
        <v>1.9599631893009836E-2</v>
      </c>
      <c r="G260" s="3">
        <f t="shared" si="246"/>
        <v>1.9599630280447373E-2</v>
      </c>
      <c r="H260" s="3">
        <f t="shared" si="246"/>
        <v>1.9599614154830036E-2</v>
      </c>
      <c r="I260" s="3">
        <f t="shared" si="246"/>
        <v>1.9599452899386343E-2</v>
      </c>
      <c r="J260" s="3">
        <f t="shared" si="246"/>
        <v>1.9597840417917577E-2</v>
      </c>
      <c r="K260" s="3">
        <f t="shared" si="246"/>
        <v>1.9581722897822149E-2</v>
      </c>
      <c r="L260" s="3">
        <f t="shared" si="246"/>
        <v>1.9421274940363459E-2</v>
      </c>
      <c r="M260" s="3">
        <f t="shared" si="246"/>
        <v>1.7887353735312722E-2</v>
      </c>
      <c r="N260" s="3">
        <f t="shared" si="246"/>
        <v>7.856510343324687E-3</v>
      </c>
      <c r="O260" s="3">
        <f t="shared" si="246"/>
        <v>2.0992569371612661E-6</v>
      </c>
      <c r="P260" s="3">
        <f t="shared" si="246"/>
        <v>3.8942578246847633E-42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3.2516214564224891E-2</v>
      </c>
      <c r="E261" s="3">
        <f t="shared" si="247"/>
        <v>3.2516214561811571E-2</v>
      </c>
      <c r="F261" s="3">
        <f t="shared" si="247"/>
        <v>3.2516214537678355E-2</v>
      </c>
      <c r="G261" s="3">
        <f t="shared" si="247"/>
        <v>3.2516214296346178E-2</v>
      </c>
      <c r="H261" s="3">
        <f t="shared" si="247"/>
        <v>3.2516211883024573E-2</v>
      </c>
      <c r="I261" s="3">
        <f t="shared" si="247"/>
        <v>3.2516187749818355E-2</v>
      </c>
      <c r="J261" s="3">
        <f t="shared" si="247"/>
        <v>3.2515946418741289E-2</v>
      </c>
      <c r="K261" s="3">
        <f t="shared" si="247"/>
        <v>3.251353320648049E-2</v>
      </c>
      <c r="L261" s="3">
        <f t="shared" si="247"/>
        <v>3.2489410932158409E-2</v>
      </c>
      <c r="M261" s="3">
        <f t="shared" si="247"/>
        <v>3.224917031844033E-2</v>
      </c>
      <c r="N261" s="3">
        <f t="shared" si="247"/>
        <v>2.994233281004843E-2</v>
      </c>
      <c r="O261" s="3">
        <f t="shared" si="247"/>
        <v>1.4254648297634781E-2</v>
      </c>
      <c r="P261" s="3">
        <f t="shared" si="247"/>
        <v>8.5244278461105739E-6</v>
      </c>
      <c r="Q261" s="3">
        <f t="shared" si="247"/>
        <v>4.986003337625277E-38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3.2163923060875857E-2</v>
      </c>
      <c r="G262" s="3">
        <f t="shared" si="248"/>
        <v>3.2163923039341555E-2</v>
      </c>
      <c r="H262" s="3">
        <f t="shared" si="248"/>
        <v>3.2163922823998513E-2</v>
      </c>
      <c r="I262" s="3">
        <f t="shared" si="248"/>
        <v>3.2163920670568176E-2</v>
      </c>
      <c r="J262" s="3">
        <f t="shared" si="248"/>
        <v>3.2163899136272676E-2</v>
      </c>
      <c r="K262" s="3">
        <f t="shared" si="248"/>
        <v>3.2163683794110713E-2</v>
      </c>
      <c r="L262" s="3">
        <f t="shared" si="248"/>
        <v>3.2161530451785637E-2</v>
      </c>
      <c r="M262" s="3">
        <f t="shared" si="248"/>
        <v>3.2140004956027243E-2</v>
      </c>
      <c r="N262" s="3">
        <f t="shared" si="248"/>
        <v>3.1925540787386394E-2</v>
      </c>
      <c r="O262" s="3">
        <f t="shared" si="248"/>
        <v>2.9858053630089566E-2</v>
      </c>
      <c r="P262" s="3">
        <f t="shared" si="248"/>
        <v>1.5285998275268092E-2</v>
      </c>
      <c r="Q262" s="3">
        <f t="shared" si="248"/>
        <v>1.8906752149604896E-5</v>
      </c>
      <c r="R262" s="3">
        <f t="shared" si="248"/>
        <v>1.5843392406611798E-34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3.3900572602726137E-2</v>
      </c>
      <c r="H263" s="3">
        <f t="shared" si="249"/>
        <v>3.3900572582251529E-2</v>
      </c>
      <c r="I263" s="3">
        <f t="shared" si="249"/>
        <v>3.3900572377505517E-2</v>
      </c>
      <c r="J263" s="3">
        <f t="shared" si="249"/>
        <v>3.3900570330045447E-2</v>
      </c>
      <c r="K263" s="3">
        <f t="shared" si="249"/>
        <v>3.3900549855451594E-2</v>
      </c>
      <c r="L263" s="3">
        <f t="shared" si="249"/>
        <v>3.3900345110193145E-2</v>
      </c>
      <c r="M263" s="3">
        <f t="shared" si="249"/>
        <v>3.3898297725619093E-2</v>
      </c>
      <c r="N263" s="3">
        <f t="shared" si="249"/>
        <v>3.3877830679406154E-2</v>
      </c>
      <c r="O263" s="3">
        <f t="shared" si="249"/>
        <v>3.3673838653027428E-2</v>
      </c>
      <c r="P263" s="3">
        <f t="shared" si="249"/>
        <v>3.1700270076620081E-2</v>
      </c>
      <c r="Q263" s="3">
        <f t="shared" si="249"/>
        <v>1.7328713385261641E-2</v>
      </c>
      <c r="R263" s="3">
        <f t="shared" si="249"/>
        <v>4.1285721796078956E-5</v>
      </c>
      <c r="S263" s="3">
        <f t="shared" si="249"/>
        <v>2.4329630495320163E-31</v>
      </c>
      <c r="T263" s="3">
        <f t="shared" si="249"/>
        <v>1.2288300618863361E-293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4.6234934193727567E-2</v>
      </c>
      <c r="G264" s="3">
        <f t="shared" si="250"/>
        <v>4.6234934193475671E-2</v>
      </c>
      <c r="H264" s="3">
        <f t="shared" si="250"/>
        <v>4.6234934190956693E-2</v>
      </c>
      <c r="I264" s="3">
        <f t="shared" si="250"/>
        <v>4.6234934165766857E-2</v>
      </c>
      <c r="J264" s="3">
        <f t="shared" si="250"/>
        <v>4.6234933913868549E-2</v>
      </c>
      <c r="K264" s="3">
        <f t="shared" si="250"/>
        <v>4.6234931394885513E-2</v>
      </c>
      <c r="L264" s="3">
        <f t="shared" si="250"/>
        <v>4.6234906205062716E-2</v>
      </c>
      <c r="M264" s="3">
        <f t="shared" si="250"/>
        <v>4.62346543075896E-2</v>
      </c>
      <c r="N264" s="3">
        <f t="shared" si="250"/>
        <v>4.6232135408338662E-2</v>
      </c>
      <c r="O264" s="3">
        <f t="shared" si="250"/>
        <v>4.6206953962331265E-2</v>
      </c>
      <c r="P264" s="3">
        <f t="shared" si="250"/>
        <v>4.5955892633411141E-2</v>
      </c>
      <c r="Q264" s="3">
        <f t="shared" si="250"/>
        <v>4.3519096136541084E-2</v>
      </c>
      <c r="R264" s="3">
        <f t="shared" si="250"/>
        <v>2.5238670464253037E-2</v>
      </c>
      <c r="S264" s="3">
        <f t="shared" si="250"/>
        <v>1.0862568730097881E-4</v>
      </c>
      <c r="T264" s="3">
        <f t="shared" si="250"/>
        <v>2.3691533853078618E-28</v>
      </c>
      <c r="U264" s="3">
        <f t="shared" si="250"/>
        <v>5.7703159809901086E-265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5.6671396993577677E-2</v>
      </c>
      <c r="I265" s="3">
        <f t="shared" si="251"/>
        <v>5.6671396990792419E-2</v>
      </c>
      <c r="J265" s="3">
        <f t="shared" si="251"/>
        <v>5.6671396962939838E-2</v>
      </c>
      <c r="K265" s="3">
        <f t="shared" si="251"/>
        <v>5.6671396684413976E-2</v>
      </c>
      <c r="L265" s="3">
        <f t="shared" si="251"/>
        <v>5.6671393899155473E-2</v>
      </c>
      <c r="M265" s="3">
        <f t="shared" si="251"/>
        <v>5.667136604657793E-2</v>
      </c>
      <c r="N265" s="3">
        <f t="shared" si="251"/>
        <v>5.6671087521555356E-2</v>
      </c>
      <c r="O265" s="3">
        <f t="shared" si="251"/>
        <v>5.6668302346616878E-2</v>
      </c>
      <c r="P265" s="3">
        <f t="shared" si="251"/>
        <v>5.6640458124581343E-2</v>
      </c>
      <c r="Q265" s="3">
        <f t="shared" si="251"/>
        <v>5.63627672721368E-2</v>
      </c>
      <c r="R265" s="3">
        <f t="shared" si="251"/>
        <v>5.3659646983829842E-2</v>
      </c>
      <c r="S265" s="3">
        <f t="shared" si="251"/>
        <v>3.2824857232515318E-2</v>
      </c>
      <c r="T265" s="3">
        <f t="shared" si="251"/>
        <v>2.4085362790996056E-4</v>
      </c>
      <c r="U265" s="3">
        <f t="shared" si="251"/>
        <v>1.0895738143391743E-25</v>
      </c>
      <c r="V265" s="3">
        <f t="shared" si="251"/>
        <v>3.9110314383627556E-239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5.8705737382809438E-2</v>
      </c>
      <c r="J266" s="3">
        <f t="shared" si="252"/>
        <v>5.8705737380206714E-2</v>
      </c>
      <c r="K266" s="3">
        <f t="shared" si="252"/>
        <v>5.870573735417943E-2</v>
      </c>
      <c r="L266" s="3">
        <f t="shared" si="252"/>
        <v>5.8705737093906654E-2</v>
      </c>
      <c r="M266" s="3">
        <f t="shared" si="252"/>
        <v>5.8705734491178975E-2</v>
      </c>
      <c r="N266" s="3">
        <f t="shared" si="252"/>
        <v>5.8705708463908539E-2</v>
      </c>
      <c r="O266" s="3">
        <f t="shared" si="252"/>
        <v>5.8705448191838788E-2</v>
      </c>
      <c r="P266" s="3">
        <f t="shared" si="252"/>
        <v>5.8702845534605856E-2</v>
      </c>
      <c r="Q266" s="3">
        <f t="shared" si="252"/>
        <v>5.8676825307698049E-2</v>
      </c>
      <c r="R266" s="3">
        <f t="shared" si="252"/>
        <v>5.8417256541094517E-2</v>
      </c>
      <c r="S266" s="3">
        <f t="shared" si="252"/>
        <v>5.5883892133430639E-2</v>
      </c>
      <c r="T266" s="3">
        <f t="shared" si="252"/>
        <v>3.5870838615090564E-2</v>
      </c>
      <c r="U266" s="3">
        <f t="shared" si="252"/>
        <v>4.2588306749644864E-4</v>
      </c>
      <c r="V266" s="3">
        <f t="shared" si="252"/>
        <v>2.3701662398370074E-23</v>
      </c>
      <c r="W266" s="3">
        <f t="shared" si="252"/>
        <v>6.7555879325449911E-216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5.620235606494714E-2</v>
      </c>
      <c r="J267" s="3">
        <f t="shared" si="253"/>
        <v>5.6202356064722368E-2</v>
      </c>
      <c r="K267" s="3">
        <f t="shared" si="253"/>
        <v>5.6202356062474611E-2</v>
      </c>
      <c r="L267" s="3">
        <f t="shared" si="253"/>
        <v>5.6202356039997042E-2</v>
      </c>
      <c r="M267" s="3">
        <f t="shared" si="253"/>
        <v>5.6202355815221372E-2</v>
      </c>
      <c r="N267" s="3">
        <f t="shared" si="253"/>
        <v>5.620235356746469E-2</v>
      </c>
      <c r="O267" s="3">
        <f t="shared" si="253"/>
        <v>5.6202331089902816E-2</v>
      </c>
      <c r="P267" s="3">
        <f t="shared" si="253"/>
        <v>5.6202106314778538E-2</v>
      </c>
      <c r="Q267" s="3">
        <f t="shared" si="253"/>
        <v>5.6199858612978111E-2</v>
      </c>
      <c r="R267" s="3">
        <f t="shared" si="253"/>
        <v>5.6177386538483448E-2</v>
      </c>
      <c r="S267" s="3">
        <f t="shared" si="253"/>
        <v>5.5953159413745727E-2</v>
      </c>
      <c r="T267" s="3">
        <f t="shared" si="253"/>
        <v>5.3759527487384509E-2</v>
      </c>
      <c r="U267" s="3">
        <f t="shared" si="253"/>
        <v>3.6038253042419401E-2</v>
      </c>
      <c r="V267" s="3">
        <f t="shared" si="253"/>
        <v>6.6046012899645195E-4</v>
      </c>
      <c r="W267" s="3">
        <f t="shared" si="253"/>
        <v>2.8227690807964101E-21</v>
      </c>
      <c r="X267" s="3">
        <f t="shared" si="253"/>
        <v>5.7406731271742614E-195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6.3415296183978953E-2</v>
      </c>
      <c r="L268" s="3">
        <f t="shared" si="254"/>
        <v>6.3415296181691061E-2</v>
      </c>
      <c r="M268" s="3">
        <f t="shared" si="254"/>
        <v>6.3415296158812154E-2</v>
      </c>
      <c r="N268" s="3">
        <f t="shared" si="254"/>
        <v>6.3415295930023013E-2</v>
      </c>
      <c r="O268" s="3">
        <f t="shared" si="254"/>
        <v>6.3415293642131679E-2</v>
      </c>
      <c r="P268" s="3">
        <f t="shared" si="254"/>
        <v>6.3415270763222925E-2</v>
      </c>
      <c r="Q268" s="3">
        <f t="shared" si="254"/>
        <v>6.3415041974589387E-2</v>
      </c>
      <c r="R268" s="3">
        <f t="shared" si="254"/>
        <v>6.3412754133651536E-2</v>
      </c>
      <c r="S268" s="3">
        <f t="shared" si="254"/>
        <v>6.3389880263428497E-2</v>
      </c>
      <c r="T268" s="3">
        <f t="shared" si="254"/>
        <v>6.316159487140259E-2</v>
      </c>
      <c r="U268" s="3">
        <f t="shared" si="254"/>
        <v>6.0923472650828821E-2</v>
      </c>
      <c r="V268" s="3">
        <f t="shared" si="254"/>
        <v>4.2471761717365261E-2</v>
      </c>
      <c r="W268" s="3">
        <f t="shared" si="254"/>
        <v>1.1514803500522759E-3</v>
      </c>
      <c r="X268" s="3">
        <f t="shared" si="254"/>
        <v>2.4706947070146142E-19</v>
      </c>
      <c r="Y268" s="3">
        <f t="shared" si="254"/>
        <v>5.110279120651318E-176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3.5348869965671735E-2</v>
      </c>
      <c r="M269" s="3">
        <f t="shared" si="255"/>
        <v>3.5348869964521301E-2</v>
      </c>
      <c r="N269" s="3">
        <f t="shared" si="255"/>
        <v>3.5348869953016913E-2</v>
      </c>
      <c r="O269" s="3">
        <f t="shared" si="255"/>
        <v>3.5348869837973036E-2</v>
      </c>
      <c r="P269" s="3">
        <f t="shared" si="255"/>
        <v>3.5348868687534306E-2</v>
      </c>
      <c r="Q269" s="3">
        <f t="shared" si="255"/>
        <v>3.5348857183149063E-2</v>
      </c>
      <c r="R269" s="3">
        <f t="shared" si="255"/>
        <v>3.5348742139502613E-2</v>
      </c>
      <c r="S269" s="3">
        <f t="shared" si="255"/>
        <v>3.5347591723630542E-2</v>
      </c>
      <c r="T269" s="3">
        <f t="shared" si="255"/>
        <v>3.5336089623908412E-2</v>
      </c>
      <c r="U269" s="3">
        <f t="shared" si="255"/>
        <v>3.5221274278824509E-2</v>
      </c>
      <c r="V269" s="3">
        <f t="shared" si="255"/>
        <v>3.4093440541541752E-2</v>
      </c>
      <c r="W269" s="3">
        <f t="shared" si="255"/>
        <v>2.4622292695403662E-2</v>
      </c>
      <c r="X269" s="3">
        <f t="shared" si="255"/>
        <v>9.503970577446236E-4</v>
      </c>
      <c r="Y269" s="3">
        <f t="shared" si="255"/>
        <v>6.9770368721489845E-18</v>
      </c>
      <c r="Z269" s="3">
        <f t="shared" si="255"/>
        <v>3.17197947237923E-159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7.0460456799830706E-2</v>
      </c>
      <c r="N270" s="3">
        <f t="shared" si="256"/>
        <v>7.0460456793488419E-2</v>
      </c>
      <c r="O270" s="3">
        <f t="shared" si="256"/>
        <v>7.0460456730065485E-2</v>
      </c>
      <c r="P270" s="3">
        <f t="shared" si="256"/>
        <v>7.0460456095836219E-2</v>
      </c>
      <c r="Q270" s="3">
        <f t="shared" si="256"/>
        <v>7.0460449753543833E-2</v>
      </c>
      <c r="R270" s="3">
        <f t="shared" si="256"/>
        <v>7.0460386330651298E-2</v>
      </c>
      <c r="S270" s="3">
        <f t="shared" si="256"/>
        <v>7.0459752104865853E-2</v>
      </c>
      <c r="T270" s="3">
        <f t="shared" si="256"/>
        <v>7.0453410160985511E-2</v>
      </c>
      <c r="U270" s="3">
        <f t="shared" si="256"/>
        <v>7.0390022109131173E-2</v>
      </c>
      <c r="V270" s="3">
        <f t="shared" si="256"/>
        <v>6.9759269857362041E-2</v>
      </c>
      <c r="W270" s="3">
        <f t="shared" si="256"/>
        <v>6.3754401603841299E-2</v>
      </c>
      <c r="X270" s="3">
        <f t="shared" si="256"/>
        <v>2.5917472628565103E-2</v>
      </c>
      <c r="Y270" s="3">
        <f t="shared" si="256"/>
        <v>3.194606682063711E-6</v>
      </c>
      <c r="Z270" s="3">
        <f t="shared" si="256"/>
        <v>2.5862164364249784E-45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8.6875447408455819E-2</v>
      </c>
      <c r="O271" s="3">
        <f t="shared" si="257"/>
        <v>8.6875447400635977E-2</v>
      </c>
      <c r="P271" s="3">
        <f t="shared" si="257"/>
        <v>8.6875447322437585E-2</v>
      </c>
      <c r="Q271" s="3">
        <f t="shared" si="257"/>
        <v>8.6875446540453552E-2</v>
      </c>
      <c r="R271" s="3">
        <f t="shared" si="257"/>
        <v>8.6875438720613693E-2</v>
      </c>
      <c r="S271" s="3">
        <f t="shared" si="257"/>
        <v>8.6875360522253711E-2</v>
      </c>
      <c r="T271" s="3">
        <f t="shared" si="257"/>
        <v>8.6874578542525366E-2</v>
      </c>
      <c r="U271" s="3">
        <f t="shared" si="257"/>
        <v>8.6866759132361596E-2</v>
      </c>
      <c r="V271" s="3">
        <f t="shared" si="257"/>
        <v>8.6788603729809483E-2</v>
      </c>
      <c r="W271" s="3">
        <f t="shared" si="257"/>
        <v>8.6010906755292202E-2</v>
      </c>
      <c r="X271" s="3">
        <f t="shared" si="257"/>
        <v>7.8607099856403351E-2</v>
      </c>
      <c r="Y271" s="3">
        <f t="shared" si="257"/>
        <v>3.1955399277349146E-2</v>
      </c>
      <c r="Z271" s="3">
        <f t="shared" si="257"/>
        <v>3.9388459485405194E-6</v>
      </c>
      <c r="AA271" s="3">
        <f t="shared" si="257"/>
        <v>3.1887205989567476E-45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9.6215979998213436E-2</v>
      </c>
      <c r="P272" s="3">
        <f t="shared" si="258"/>
        <v>9.6215979989552836E-2</v>
      </c>
      <c r="Q272" s="3">
        <f t="shared" si="258"/>
        <v>9.6215979902946822E-2</v>
      </c>
      <c r="R272" s="3">
        <f t="shared" si="258"/>
        <v>9.6215979036886723E-2</v>
      </c>
      <c r="S272" s="3">
        <f t="shared" si="258"/>
        <v>9.621597037628607E-2</v>
      </c>
      <c r="T272" s="3">
        <f t="shared" si="258"/>
        <v>9.6215883770322433E-2</v>
      </c>
      <c r="U272" s="3">
        <f t="shared" si="258"/>
        <v>9.6215017714973691E-2</v>
      </c>
      <c r="V272" s="3">
        <f t="shared" si="258"/>
        <v>9.6206357590227776E-2</v>
      </c>
      <c r="W272" s="3">
        <f t="shared" si="258"/>
        <v>9.6119799202639258E-2</v>
      </c>
      <c r="X272" s="3">
        <f t="shared" si="258"/>
        <v>9.525848707387384E-2</v>
      </c>
      <c r="Y272" s="3">
        <f t="shared" si="258"/>
        <v>8.7058649746477368E-2</v>
      </c>
      <c r="Z272" s="3">
        <f t="shared" si="258"/>
        <v>3.5391127751534183E-2</v>
      </c>
      <c r="AA272" s="3">
        <f t="shared" si="258"/>
        <v>4.3623363597656881E-6</v>
      </c>
      <c r="AB272" s="3">
        <f t="shared" si="258"/>
        <v>3.5315602569115672E-45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0.11161416834502777</v>
      </c>
      <c r="Q273" s="3">
        <f t="shared" si="259"/>
        <v>0.11161416833498114</v>
      </c>
      <c r="R273" s="3">
        <f t="shared" si="259"/>
        <v>0.11161416823451489</v>
      </c>
      <c r="S273" s="3">
        <f t="shared" si="259"/>
        <v>0.11161416722985248</v>
      </c>
      <c r="T273" s="3">
        <f t="shared" si="259"/>
        <v>0.11161415718322885</v>
      </c>
      <c r="U273" s="3">
        <f t="shared" si="259"/>
        <v>0.11161405671704221</v>
      </c>
      <c r="V273" s="3">
        <f t="shared" si="259"/>
        <v>0.11161305206014954</v>
      </c>
      <c r="W273" s="3">
        <f t="shared" si="259"/>
        <v>0.11160300598857911</v>
      </c>
      <c r="X273" s="3">
        <f t="shared" si="259"/>
        <v>0.11150259499194262</v>
      </c>
      <c r="Y273" s="3">
        <f t="shared" si="259"/>
        <v>0.11050344041346799</v>
      </c>
      <c r="Z273" s="3">
        <f t="shared" si="259"/>
        <v>0.10099131962148659</v>
      </c>
      <c r="AA273" s="3">
        <f t="shared" si="259"/>
        <v>4.1055043983894028E-2</v>
      </c>
      <c r="AB273" s="3">
        <f t="shared" si="259"/>
        <v>5.0604748280437821E-6</v>
      </c>
      <c r="AC273" s="3">
        <f t="shared" si="259"/>
        <v>4.0967431921688714E-45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6.6462351021733257E-2</v>
      </c>
      <c r="R274" s="3">
        <f t="shared" si="260"/>
        <v>6.6462351015750848E-2</v>
      </c>
      <c r="S274" s="3">
        <f t="shared" si="260"/>
        <v>6.6462350955926702E-2</v>
      </c>
      <c r="T274" s="3">
        <f t="shared" si="260"/>
        <v>6.6462350357685218E-2</v>
      </c>
      <c r="U274" s="3">
        <f t="shared" si="260"/>
        <v>6.6462344375270641E-2</v>
      </c>
      <c r="V274" s="3">
        <f t="shared" si="260"/>
        <v>6.6462284551154577E-2</v>
      </c>
      <c r="W274" s="3">
        <f t="shared" si="260"/>
        <v>6.6461686312955542E-2</v>
      </c>
      <c r="X274" s="3">
        <f t="shared" si="260"/>
        <v>6.6455704227123574E-2</v>
      </c>
      <c r="Y274" s="3">
        <f t="shared" si="260"/>
        <v>6.6395912974777663E-2</v>
      </c>
      <c r="Z274" s="3">
        <f t="shared" si="260"/>
        <v>6.5800951212268505E-2</v>
      </c>
      <c r="AA274" s="3">
        <f t="shared" si="260"/>
        <v>6.0136814477552966E-2</v>
      </c>
      <c r="AB274" s="3">
        <f t="shared" si="260"/>
        <v>2.4446849221108038E-2</v>
      </c>
      <c r="AC274" s="3">
        <f t="shared" si="260"/>
        <v>3.0133365624192651E-6</v>
      </c>
      <c r="AD274" s="3">
        <f t="shared" si="260"/>
        <v>2.4394679288577361E-45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4.7100906601284638E-2</v>
      </c>
      <c r="S275" s="3">
        <f t="shared" si="261"/>
        <v>4.7100906597044988E-2</v>
      </c>
      <c r="T275" s="3">
        <f t="shared" si="261"/>
        <v>4.7100906554648478E-2</v>
      </c>
      <c r="U275" s="3">
        <f t="shared" si="261"/>
        <v>4.71009061306834E-2</v>
      </c>
      <c r="V275" s="3">
        <f t="shared" si="261"/>
        <v>4.7100901891032741E-2</v>
      </c>
      <c r="W275" s="3">
        <f t="shared" si="261"/>
        <v>4.7100859494547211E-2</v>
      </c>
      <c r="X275" s="3">
        <f t="shared" si="261"/>
        <v>4.7100435531790781E-2</v>
      </c>
      <c r="Y275" s="3">
        <f t="shared" si="261"/>
        <v>4.7096196114109638E-2</v>
      </c>
      <c r="Z275" s="3">
        <f t="shared" si="261"/>
        <v>4.7053822918623402E-2</v>
      </c>
      <c r="AA275" s="3">
        <f t="shared" si="261"/>
        <v>4.6632182125355096E-2</v>
      </c>
      <c r="AB275" s="3">
        <f t="shared" si="261"/>
        <v>4.2618090369384826E-2</v>
      </c>
      <c r="AC275" s="3">
        <f t="shared" si="261"/>
        <v>1.7325128349470607E-2</v>
      </c>
      <c r="AD275" s="3">
        <f t="shared" si="261"/>
        <v>2.1355080252628194E-6</v>
      </c>
      <c r="AE275" s="3">
        <f t="shared" si="261"/>
        <v>1.7288156273073264E-45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2.2598128773333226E-2</v>
      </c>
      <c r="T276" s="3">
        <f t="shared" si="262"/>
        <v>2.259812877129912E-2</v>
      </c>
      <c r="U276" s="3">
        <f t="shared" si="262"/>
        <v>2.2598128750958072E-2</v>
      </c>
      <c r="V276" s="3">
        <f t="shared" si="262"/>
        <v>2.2598128547547603E-2</v>
      </c>
      <c r="W276" s="3">
        <f t="shared" si="262"/>
        <v>2.2598126513442989E-2</v>
      </c>
      <c r="X276" s="3">
        <f t="shared" si="262"/>
        <v>2.2598106172406929E-2</v>
      </c>
      <c r="Y276" s="3">
        <f t="shared" si="262"/>
        <v>2.2597902763053346E-2</v>
      </c>
      <c r="Z276" s="3">
        <f t="shared" si="262"/>
        <v>2.2595868770215514E-2</v>
      </c>
      <c r="AA276" s="3">
        <f t="shared" si="262"/>
        <v>2.2575538908282251E-2</v>
      </c>
      <c r="AB276" s="3">
        <f t="shared" si="262"/>
        <v>2.2373243588936793E-2</v>
      </c>
      <c r="AC276" s="3">
        <f t="shared" si="262"/>
        <v>2.0447357890445432E-2</v>
      </c>
      <c r="AD276" s="3">
        <f t="shared" si="262"/>
        <v>8.3122706059586687E-3</v>
      </c>
      <c r="AE276" s="3">
        <f t="shared" si="262"/>
        <v>1.024576570465833E-6</v>
      </c>
      <c r="AF276" s="3">
        <f t="shared" si="262"/>
        <v>8.2945320993410072E-46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6.4467605951365747E-3</v>
      </c>
      <c r="U277" s="3">
        <f t="shared" si="263"/>
        <v>6.446760594556288E-3</v>
      </c>
      <c r="V277" s="3">
        <f t="shared" si="263"/>
        <v>6.4467605887534246E-3</v>
      </c>
      <c r="W277" s="3">
        <f t="shared" si="263"/>
        <v>6.4467605307247881E-3</v>
      </c>
      <c r="X277" s="3">
        <f t="shared" si="263"/>
        <v>6.4467599504384465E-3</v>
      </c>
      <c r="Y277" s="3">
        <f t="shared" si="263"/>
        <v>6.4467541475779063E-3</v>
      </c>
      <c r="Z277" s="3">
        <f t="shared" si="263"/>
        <v>6.4466961192597878E-3</v>
      </c>
      <c r="AA277" s="3">
        <f t="shared" si="263"/>
        <v>6.4461158648055688E-3</v>
      </c>
      <c r="AB277" s="3">
        <f t="shared" si="263"/>
        <v>6.4403161920038735E-3</v>
      </c>
      <c r="AC277" s="3">
        <f t="shared" si="263"/>
        <v>6.3826056839163267E-3</v>
      </c>
      <c r="AD277" s="3">
        <f t="shared" si="263"/>
        <v>5.8331918737595193E-3</v>
      </c>
      <c r="AE277" s="3">
        <f t="shared" si="263"/>
        <v>2.3713122062496437E-3</v>
      </c>
      <c r="AF277" s="3">
        <f t="shared" si="263"/>
        <v>2.9228968147901379E-7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9.8307104635707575E-5</v>
      </c>
      <c r="V278" s="3">
        <f t="shared" si="264"/>
        <v>9.8307104626858751E-5</v>
      </c>
      <c r="W278" s="3">
        <f t="shared" si="264"/>
        <v>9.8307104538370479E-5</v>
      </c>
      <c r="X278" s="3">
        <f t="shared" si="264"/>
        <v>9.8307103653487722E-5</v>
      </c>
      <c r="Y278" s="3">
        <f t="shared" si="264"/>
        <v>9.8307094804660588E-5</v>
      </c>
      <c r="Z278" s="3">
        <f t="shared" si="264"/>
        <v>9.8307006316433073E-5</v>
      </c>
      <c r="AA278" s="3">
        <f t="shared" si="264"/>
        <v>9.8306121438538672E-5</v>
      </c>
      <c r="AB278" s="3">
        <f t="shared" si="264"/>
        <v>9.8297273097654216E-5</v>
      </c>
      <c r="AC278" s="3">
        <f t="shared" si="264"/>
        <v>9.8208833480181945E-5</v>
      </c>
      <c r="AD278" s="3">
        <f t="shared" si="264"/>
        <v>9.7328801893244746E-5</v>
      </c>
      <c r="AE278" s="3">
        <f t="shared" si="264"/>
        <v>8.8950752153948696E-5</v>
      </c>
      <c r="AF278" s="3">
        <f t="shared" si="264"/>
        <v>3.616030621015728E-5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1.1020901234589297E-2</v>
      </c>
      <c r="W279" s="3">
        <f t="shared" si="265"/>
        <v>1.1020901233597283E-2</v>
      </c>
      <c r="X279" s="3">
        <f t="shared" si="265"/>
        <v>1.1020901223677141E-2</v>
      </c>
      <c r="Y279" s="3">
        <f t="shared" si="265"/>
        <v>1.1020901124475709E-2</v>
      </c>
      <c r="Z279" s="3">
        <f t="shared" si="265"/>
        <v>1.1020900132461448E-2</v>
      </c>
      <c r="AA279" s="3">
        <f t="shared" si="265"/>
        <v>1.1020890212323737E-2</v>
      </c>
      <c r="AB279" s="3">
        <f t="shared" si="265"/>
        <v>1.1020791011437747E-2</v>
      </c>
      <c r="AC279" s="3">
        <f t="shared" si="265"/>
        <v>1.1019799051687342E-2</v>
      </c>
      <c r="AD279" s="3">
        <f t="shared" si="265"/>
        <v>1.1009884363496711E-2</v>
      </c>
      <c r="AE279" s="3">
        <f t="shared" si="265"/>
        <v>1.0911226781840797E-2</v>
      </c>
      <c r="AF279" s="3">
        <f t="shared" si="265"/>
        <v>9.9719898970051062E-3</v>
      </c>
      <c r="AG279" s="3"/>
      <c r="AH279" s="3"/>
    </row>
    <row r="280" spans="1:34" x14ac:dyDescent="0.25">
      <c r="A280" s="79">
        <f>AVERAGE(B280:AF280)</f>
        <v>0.4977207997674426</v>
      </c>
      <c r="B280" s="80">
        <f>IF($D$61&lt;=B246,IF($E$61&gt;=B246,ABS((B248-B247)/B247),0),0)</f>
        <v>5.8761851024628345E-2</v>
      </c>
      <c r="C280" s="80">
        <f t="shared" ref="C280:AF280" si="266">IF($D$61&lt;=C246,IF($E$61&gt;=C246,ABS((C248-C247)/C247),0),0)</f>
        <v>8.0312811998340977E-2</v>
      </c>
      <c r="D280" s="80">
        <f t="shared" si="266"/>
        <v>0.10089862688991509</v>
      </c>
      <c r="E280" s="80">
        <f t="shared" si="266"/>
        <v>0.12443359497097972</v>
      </c>
      <c r="F280" s="80">
        <f t="shared" si="266"/>
        <v>0.151102220335951</v>
      </c>
      <c r="G280" s="80">
        <f t="shared" si="266"/>
        <v>0.18403498919200961</v>
      </c>
      <c r="H280" s="80">
        <f t="shared" si="266"/>
        <v>0.21551744022970704</v>
      </c>
      <c r="I280" s="80">
        <f t="shared" si="266"/>
        <v>0.25016091274907487</v>
      </c>
      <c r="J280" s="80">
        <f t="shared" si="266"/>
        <v>0.29125320134836541</v>
      </c>
      <c r="K280" s="80">
        <f t="shared" si="266"/>
        <v>0.34342263590885758</v>
      </c>
      <c r="L280" s="80">
        <f t="shared" si="266"/>
        <v>0.39823017940458122</v>
      </c>
      <c r="M280" s="80">
        <f t="shared" si="266"/>
        <v>0.42532997911071979</v>
      </c>
      <c r="N280" s="80">
        <f t="shared" si="266"/>
        <v>0.44149020630485958</v>
      </c>
      <c r="O280" s="80">
        <f t="shared" si="266"/>
        <v>0.45602234053965268</v>
      </c>
      <c r="P280" s="80">
        <f t="shared" si="266"/>
        <v>0.4648067973219086</v>
      </c>
      <c r="Q280" s="80">
        <f t="shared" si="266"/>
        <v>0.47151567020231044</v>
      </c>
      <c r="R280" s="80">
        <f t="shared" si="266"/>
        <v>0.48468393733235343</v>
      </c>
      <c r="S280" s="80">
        <f t="shared" si="266"/>
        <v>0.54977396569032511</v>
      </c>
      <c r="T280" s="80">
        <f t="shared" si="266"/>
        <v>0.7469963508853813</v>
      </c>
      <c r="U280" s="80">
        <f t="shared" si="266"/>
        <v>1.0394632423228087</v>
      </c>
      <c r="V280" s="80">
        <f t="shared" si="266"/>
        <v>1.3721693095606387</v>
      </c>
      <c r="W280" s="80">
        <f t="shared" si="266"/>
        <v>1.762694131860689</v>
      </c>
      <c r="X280" s="80">
        <f t="shared" si="266"/>
        <v>2.2317526111071242</v>
      </c>
      <c r="Y280" s="80">
        <f t="shared" si="266"/>
        <v>2.7845177864995385</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399908.72382832703</v>
      </c>
      <c r="C281" s="21">
        <f t="shared" ref="C281:AF281" si="267">(C248-C247)^2</f>
        <v>717525.14096761786</v>
      </c>
      <c r="D281" s="21">
        <f t="shared" si="267"/>
        <v>1090541.918212828</v>
      </c>
      <c r="E281" s="21">
        <f t="shared" si="267"/>
        <v>1589916.0105405482</v>
      </c>
      <c r="F281" s="21">
        <f t="shared" si="267"/>
        <v>2237074.3424422257</v>
      </c>
      <c r="G281" s="21">
        <f t="shared" si="267"/>
        <v>3136448.7998150112</v>
      </c>
      <c r="H281" s="21">
        <f t="shared" si="267"/>
        <v>4081394.7051733569</v>
      </c>
      <c r="I281" s="21">
        <f t="shared" si="267"/>
        <v>5198402.7346995827</v>
      </c>
      <c r="J281" s="21">
        <f t="shared" si="267"/>
        <v>6604630.5386642991</v>
      </c>
      <c r="K281" s="21">
        <f t="shared" si="267"/>
        <v>8476916.5578498915</v>
      </c>
      <c r="L281" s="21">
        <f t="shared" si="267"/>
        <v>10452707.315762546</v>
      </c>
      <c r="M281" s="21">
        <f t="shared" si="267"/>
        <v>11039892.531674115</v>
      </c>
      <c r="N281" s="21">
        <f t="shared" si="267"/>
        <v>11065009.609030167</v>
      </c>
      <c r="O281" s="21">
        <f t="shared" si="267"/>
        <v>10951410.662180087</v>
      </c>
      <c r="P281" s="21">
        <f t="shared" si="267"/>
        <v>10499802.964232214</v>
      </c>
      <c r="Q281" s="21">
        <f t="shared" si="267"/>
        <v>9946106.2129736077</v>
      </c>
      <c r="R281" s="21">
        <f t="shared" si="267"/>
        <v>9421434.2703161892</v>
      </c>
      <c r="S281" s="21">
        <f t="shared" si="267"/>
        <v>9847087.2437891494</v>
      </c>
      <c r="T281" s="21">
        <f t="shared" si="267"/>
        <v>12344151.337400896</v>
      </c>
      <c r="U281" s="21">
        <f t="shared" si="267"/>
        <v>14925406.795297919</v>
      </c>
      <c r="V281" s="21">
        <f t="shared" si="267"/>
        <v>16116024.683716953</v>
      </c>
      <c r="W281" s="21">
        <f t="shared" si="267"/>
        <v>16028294.79689236</v>
      </c>
      <c r="X281" s="21">
        <f t="shared" si="267"/>
        <v>14240786.581300536</v>
      </c>
      <c r="Y281" s="21">
        <f t="shared" si="267"/>
        <v>11062137.177098734</v>
      </c>
      <c r="Z281" s="21">
        <f t="shared" si="267"/>
        <v>6843750.8334803889</v>
      </c>
      <c r="AA281" s="21">
        <f t="shared" si="267"/>
        <v>2844333.740873748</v>
      </c>
      <c r="AB281" s="21">
        <f t="shared" si="267"/>
        <v>769852.28999504948</v>
      </c>
      <c r="AC281" s="21">
        <f t="shared" si="267"/>
        <v>120206.19999587075</v>
      </c>
      <c r="AD281" s="21">
        <f t="shared" si="267"/>
        <v>1173.1858851314978</v>
      </c>
      <c r="AE281" s="21">
        <f t="shared" si="267"/>
        <v>7251.3943860831896</v>
      </c>
      <c r="AF281" s="21">
        <f t="shared" si="267"/>
        <v>12178.594926696427</v>
      </c>
      <c r="AG281" s="3"/>
      <c r="AH281" s="3"/>
    </row>
    <row r="282" spans="1:34" s="3" customFormat="1" x14ac:dyDescent="0.25">
      <c r="A282" s="71">
        <f>SUM(B282:AF282)</f>
        <v>201473011.65385914</v>
      </c>
      <c r="B282" s="21">
        <f>IF($D$61&lt;=B246,IF($E$61&gt;=B246,ABS(B281),0),0)</f>
        <v>399908.72382832703</v>
      </c>
      <c r="C282" s="21">
        <f t="shared" ref="C282:AF282" si="268">IF($D$61&lt;=C246,IF($E$61&gt;=C246,ABS(C281),0),0)</f>
        <v>717525.14096761786</v>
      </c>
      <c r="D282" s="21">
        <f t="shared" si="268"/>
        <v>1090541.918212828</v>
      </c>
      <c r="E282" s="21">
        <f t="shared" si="268"/>
        <v>1589916.0105405482</v>
      </c>
      <c r="F282" s="21">
        <f t="shared" si="268"/>
        <v>2237074.3424422257</v>
      </c>
      <c r="G282" s="21">
        <f t="shared" si="268"/>
        <v>3136448.7998150112</v>
      </c>
      <c r="H282" s="21">
        <f t="shared" si="268"/>
        <v>4081394.7051733569</v>
      </c>
      <c r="I282" s="21">
        <f t="shared" si="268"/>
        <v>5198402.7346995827</v>
      </c>
      <c r="J282" s="21">
        <f t="shared" si="268"/>
        <v>6604630.5386642991</v>
      </c>
      <c r="K282" s="21">
        <f t="shared" si="268"/>
        <v>8476916.5578498915</v>
      </c>
      <c r="L282" s="21">
        <f t="shared" si="268"/>
        <v>10452707.315762546</v>
      </c>
      <c r="M282" s="21">
        <f t="shared" si="268"/>
        <v>11039892.531674115</v>
      </c>
      <c r="N282" s="21">
        <f t="shared" si="268"/>
        <v>11065009.609030167</v>
      </c>
      <c r="O282" s="21">
        <f t="shared" si="268"/>
        <v>10951410.662180087</v>
      </c>
      <c r="P282" s="21">
        <f t="shared" si="268"/>
        <v>10499802.964232214</v>
      </c>
      <c r="Q282" s="21">
        <f t="shared" si="268"/>
        <v>9946106.2129736077</v>
      </c>
      <c r="R282" s="21">
        <f t="shared" si="268"/>
        <v>9421434.2703161892</v>
      </c>
      <c r="S282" s="21">
        <f t="shared" si="268"/>
        <v>9847087.2437891494</v>
      </c>
      <c r="T282" s="21">
        <f t="shared" si="268"/>
        <v>12344151.337400896</v>
      </c>
      <c r="U282" s="21">
        <f t="shared" si="268"/>
        <v>14925406.795297919</v>
      </c>
      <c r="V282" s="21">
        <f t="shared" si="268"/>
        <v>16116024.683716953</v>
      </c>
      <c r="W282" s="21">
        <f t="shared" si="268"/>
        <v>16028294.79689236</v>
      </c>
      <c r="X282" s="21">
        <f t="shared" si="268"/>
        <v>14240786.581300536</v>
      </c>
      <c r="Y282" s="21">
        <f t="shared" si="268"/>
        <v>11062137.177098734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11394.183885608556</v>
      </c>
      <c r="C287" s="27">
        <f t="shared" ref="C287:AF287" si="269">($C$17+SUM(C288:C318))*$B$51</f>
        <v>11394.176383825556</v>
      </c>
      <c r="D287" s="27">
        <f t="shared" si="269"/>
        <v>11394.101384990496</v>
      </c>
      <c r="E287" s="27">
        <f t="shared" si="269"/>
        <v>11393.353286782365</v>
      </c>
      <c r="F287" s="27">
        <f t="shared" si="269"/>
        <v>11386.052393127315</v>
      </c>
      <c r="G287" s="27">
        <f t="shared" si="269"/>
        <v>11325.145452098643</v>
      </c>
      <c r="H287" s="27">
        <f t="shared" si="269"/>
        <v>11050.471189587379</v>
      </c>
      <c r="I287" s="27">
        <f t="shared" si="269"/>
        <v>10794.789742894793</v>
      </c>
      <c r="J287" s="27">
        <f t="shared" si="269"/>
        <v>10471.979927672832</v>
      </c>
      <c r="K287" s="27">
        <f t="shared" si="269"/>
        <v>10118.190095402573</v>
      </c>
      <c r="L287" s="27">
        <f t="shared" si="269"/>
        <v>9740.687188893733</v>
      </c>
      <c r="M287" s="27">
        <f t="shared" si="269"/>
        <v>9271.7611410634108</v>
      </c>
      <c r="N287" s="27">
        <f t="shared" si="269"/>
        <v>8695.8855685682502</v>
      </c>
      <c r="O287" s="27">
        <f t="shared" si="269"/>
        <v>8067.8914851851478</v>
      </c>
      <c r="P287" s="27">
        <f t="shared" si="269"/>
        <v>7438.8758129545331</v>
      </c>
      <c r="Q287" s="27">
        <f t="shared" si="269"/>
        <v>6792.4460805081735</v>
      </c>
      <c r="R287" s="27">
        <f t="shared" si="269"/>
        <v>6137.2161111405549</v>
      </c>
      <c r="S287" s="27">
        <f t="shared" si="269"/>
        <v>5228.2142251890509</v>
      </c>
      <c r="T287" s="27">
        <f t="shared" si="269"/>
        <v>4250.5355118341558</v>
      </c>
      <c r="U287" s="27">
        <f t="shared" si="269"/>
        <v>3153.2182543995455</v>
      </c>
      <c r="V287" s="27">
        <f t="shared" si="269"/>
        <v>1997.4864116695383</v>
      </c>
      <c r="W287" s="27">
        <f t="shared" si="269"/>
        <v>1188.8889738789524</v>
      </c>
      <c r="X287" s="27">
        <f t="shared" si="269"/>
        <v>660.49537053076426</v>
      </c>
      <c r="Y287" s="27">
        <f t="shared" si="269"/>
        <v>383.83739259504932</v>
      </c>
      <c r="Z287" s="27">
        <f t="shared" si="269"/>
        <v>287.41781781616726</v>
      </c>
      <c r="AA287" s="27">
        <f t="shared" si="269"/>
        <v>255.84175618236068</v>
      </c>
      <c r="AB287" s="27">
        <f t="shared" si="269"/>
        <v>172.13740580738818</v>
      </c>
      <c r="AC287" s="27">
        <f t="shared" si="269"/>
        <v>149.96296216420322</v>
      </c>
      <c r="AD287" s="27">
        <f t="shared" si="269"/>
        <v>149.96295849635149</v>
      </c>
      <c r="AE287" s="27">
        <f t="shared" si="269"/>
        <v>149.96295849635149</v>
      </c>
      <c r="AF287" s="27">
        <f t="shared" si="269"/>
        <v>149.96295849635149</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7.276047989417298E-4</v>
      </c>
      <c r="C297" s="3">
        <f t="shared" si="279"/>
        <v>7.2747719332655206E-4</v>
      </c>
      <c r="D297" s="3">
        <f t="shared" si="279"/>
        <v>7.2620236738187493E-4</v>
      </c>
      <c r="E297" s="3">
        <f t="shared" si="279"/>
        <v>7.135763340287445E-4</v>
      </c>
      <c r="F297" s="3">
        <f t="shared" si="279"/>
        <v>5.9878128169875704E-4</v>
      </c>
      <c r="G297" s="3">
        <f t="shared" si="279"/>
        <v>1.0364443538713485E-4</v>
      </c>
      <c r="H297" s="3">
        <f t="shared" si="279"/>
        <v>2.5022098811183614E-12</v>
      </c>
      <c r="I297" s="3">
        <f t="shared" si="279"/>
        <v>1.6830661373099442E-88</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3.1445969975267996E-2</v>
      </c>
      <c r="C298" s="3">
        <f t="shared" si="280"/>
        <v>3.1445472443900044E-2</v>
      </c>
      <c r="D298" s="3">
        <f t="shared" si="280"/>
        <v>3.1440497563150871E-2</v>
      </c>
      <c r="E298" s="3">
        <f t="shared" si="280"/>
        <v>3.1390792023358843E-2</v>
      </c>
      <c r="F298" s="3">
        <f t="shared" si="280"/>
        <v>3.0898038172877632E-2</v>
      </c>
      <c r="G298" s="3">
        <f t="shared" si="280"/>
        <v>2.6376503456461722E-2</v>
      </c>
      <c r="H298" s="3">
        <f t="shared" si="280"/>
        <v>5.4210124803027067E-3</v>
      </c>
      <c r="I298" s="3">
        <f t="shared" si="280"/>
        <v>7.2897433944892081E-10</v>
      </c>
      <c r="J298" s="3">
        <f t="shared" si="280"/>
        <v>1.4093880347690367E-78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1.9599628963969735E-2</v>
      </c>
      <c r="C299" s="3">
        <f t="shared" si="281"/>
        <v>1.9599600990068439E-2</v>
      </c>
      <c r="D299" s="3">
        <f t="shared" si="281"/>
        <v>1.9599321253251419E-2</v>
      </c>
      <c r="E299" s="3">
        <f t="shared" si="281"/>
        <v>1.9596524104662932E-2</v>
      </c>
      <c r="F299" s="3">
        <f t="shared" si="281"/>
        <v>1.9568574565355542E-2</v>
      </c>
      <c r="G299" s="3">
        <f t="shared" si="281"/>
        <v>1.929126228439627E-2</v>
      </c>
      <c r="H299" s="3">
        <f t="shared" si="281"/>
        <v>1.6725348988757622E-2</v>
      </c>
      <c r="I299" s="3">
        <f t="shared" si="281"/>
        <v>4.0134754945051745E-3</v>
      </c>
      <c r="J299" s="3">
        <f t="shared" si="281"/>
        <v>2.5408257786774118E-9</v>
      </c>
      <c r="K299" s="3">
        <f t="shared" si="281"/>
        <v>2.6273480066211141E-71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3.2516214099325327E-2</v>
      </c>
      <c r="C300" s="3">
        <f t="shared" si="282"/>
        <v>3.2516209912816271E-2</v>
      </c>
      <c r="D300" s="3">
        <f t="shared" si="282"/>
        <v>3.2516168047755298E-2</v>
      </c>
      <c r="E300" s="3">
        <f t="shared" si="282"/>
        <v>3.251574940011015E-2</v>
      </c>
      <c r="F300" s="3">
        <f t="shared" si="282"/>
        <v>3.2511563220103547E-2</v>
      </c>
      <c r="G300" s="3">
        <f t="shared" si="282"/>
        <v>3.2469731050401934E-2</v>
      </c>
      <c r="H300" s="3">
        <f t="shared" si="282"/>
        <v>3.2054358322991104E-2</v>
      </c>
      <c r="I300" s="3">
        <f t="shared" si="282"/>
        <v>2.8181950532873385E-2</v>
      </c>
      <c r="J300" s="3">
        <f t="shared" si="282"/>
        <v>7.7769741716744471E-3</v>
      </c>
      <c r="K300" s="3">
        <f t="shared" si="282"/>
        <v>1.9916211981134385E-8</v>
      </c>
      <c r="L300" s="3">
        <f t="shared" si="282"/>
        <v>2.4163930339263422E-64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3.2163923021761194E-2</v>
      </c>
      <c r="C301" s="3">
        <f t="shared" si="283"/>
        <v>3.2163922648194891E-2</v>
      </c>
      <c r="D301" s="3">
        <f t="shared" si="283"/>
        <v>3.2163918912532126E-2</v>
      </c>
      <c r="E301" s="3">
        <f t="shared" si="283"/>
        <v>3.2163881555928323E-2</v>
      </c>
      <c r="F301" s="3">
        <f t="shared" si="283"/>
        <v>3.2163507992276602E-2</v>
      </c>
      <c r="G301" s="3">
        <f t="shared" si="283"/>
        <v>3.2159772594380208E-2</v>
      </c>
      <c r="H301" s="3">
        <f t="shared" si="283"/>
        <v>3.2122442467246728E-2</v>
      </c>
      <c r="I301" s="3">
        <f t="shared" si="283"/>
        <v>3.1751516160767296E-2</v>
      </c>
      <c r="J301" s="3">
        <f t="shared" si="283"/>
        <v>2.8269852917427771E-2</v>
      </c>
      <c r="K301" s="3">
        <f t="shared" si="283"/>
        <v>8.8494108404461903E-3</v>
      </c>
      <c r="L301" s="3">
        <f t="shared" si="283"/>
        <v>7.9950732800233907E-8</v>
      </c>
      <c r="M301" s="3">
        <f t="shared" si="283"/>
        <v>2.8966989070123806E-58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3.3900572601054613E-2</v>
      </c>
      <c r="C302" s="3">
        <f t="shared" si="284"/>
        <v>3.3900572565536295E-2</v>
      </c>
      <c r="D302" s="3">
        <f t="shared" si="284"/>
        <v>3.390057221035319E-2</v>
      </c>
      <c r="E302" s="3">
        <f t="shared" si="284"/>
        <v>3.3900568658522326E-2</v>
      </c>
      <c r="F302" s="3">
        <f t="shared" si="284"/>
        <v>3.3900533140234133E-2</v>
      </c>
      <c r="G302" s="3">
        <f t="shared" si="284"/>
        <v>3.3900177959398967E-2</v>
      </c>
      <c r="H302" s="3">
        <f t="shared" si="284"/>
        <v>3.3896626355711293E-2</v>
      </c>
      <c r="I302" s="3">
        <f t="shared" si="284"/>
        <v>3.3861130777307652E-2</v>
      </c>
      <c r="J302" s="3">
        <f t="shared" si="284"/>
        <v>3.3508212931896278E-2</v>
      </c>
      <c r="K302" s="3">
        <f t="shared" si="284"/>
        <v>3.0175144692317135E-2</v>
      </c>
      <c r="L302" s="3">
        <f t="shared" si="284"/>
        <v>1.0583524225449212E-2</v>
      </c>
      <c r="M302" s="3">
        <f t="shared" si="284"/>
        <v>2.9815340809967501E-7</v>
      </c>
      <c r="N302" s="3">
        <f t="shared" si="284"/>
        <v>9.3871655200377763E-53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4.6234934193270023E-2</v>
      </c>
      <c r="C303" s="3">
        <f t="shared" si="285"/>
        <v>4.623493418890022E-2</v>
      </c>
      <c r="D303" s="3">
        <f t="shared" si="285"/>
        <v>4.6234934145202168E-2</v>
      </c>
      <c r="E303" s="3">
        <f t="shared" si="285"/>
        <v>4.6234933708221619E-2</v>
      </c>
      <c r="F303" s="3">
        <f t="shared" si="285"/>
        <v>4.6234929338416386E-2</v>
      </c>
      <c r="G303" s="3">
        <f t="shared" si="285"/>
        <v>4.6234885640386747E-2</v>
      </c>
      <c r="H303" s="3">
        <f t="shared" si="285"/>
        <v>4.6234448662361892E-2</v>
      </c>
      <c r="I303" s="3">
        <f t="shared" si="285"/>
        <v>4.6230079109256576E-2</v>
      </c>
      <c r="J303" s="3">
        <f t="shared" si="285"/>
        <v>4.6186406284584494E-2</v>
      </c>
      <c r="K303" s="3">
        <f t="shared" si="285"/>
        <v>4.5751940755622264E-2</v>
      </c>
      <c r="L303" s="3">
        <f t="shared" si="285"/>
        <v>4.1625840635067281E-2</v>
      </c>
      <c r="M303" s="3">
        <f t="shared" si="285"/>
        <v>1.6176999699535555E-2</v>
      </c>
      <c r="N303" s="3">
        <f t="shared" si="285"/>
        <v>1.2712986323169256E-6</v>
      </c>
      <c r="O303" s="3">
        <f t="shared" si="285"/>
        <v>1.1422038066077001E-47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5.6671396993833466E-2</v>
      </c>
      <c r="C304" s="3">
        <f t="shared" si="286"/>
        <v>5.667139699335029E-2</v>
      </c>
      <c r="D304" s="3">
        <f t="shared" si="286"/>
        <v>5.6671396988518564E-2</v>
      </c>
      <c r="E304" s="3">
        <f t="shared" si="286"/>
        <v>5.6671396940201298E-2</v>
      </c>
      <c r="F304" s="3">
        <f t="shared" si="286"/>
        <v>5.6671396457028615E-2</v>
      </c>
      <c r="G304" s="3">
        <f t="shared" si="286"/>
        <v>5.6671391625302062E-2</v>
      </c>
      <c r="H304" s="3">
        <f t="shared" si="286"/>
        <v>5.6671343308059091E-2</v>
      </c>
      <c r="I304" s="3">
        <f t="shared" si="286"/>
        <v>5.6670860137895129E-2</v>
      </c>
      <c r="J304" s="3">
        <f t="shared" si="286"/>
        <v>5.6666028662818155E-2</v>
      </c>
      <c r="K304" s="3">
        <f t="shared" si="286"/>
        <v>5.6617736561166691E-2</v>
      </c>
      <c r="L304" s="3">
        <f t="shared" si="286"/>
        <v>5.613707332792206E-2</v>
      </c>
      <c r="M304" s="3">
        <f t="shared" si="286"/>
        <v>5.1549256510798683E-2</v>
      </c>
      <c r="N304" s="3">
        <f t="shared" si="286"/>
        <v>2.1976007397986056E-2</v>
      </c>
      <c r="O304" s="3">
        <f t="shared" si="286"/>
        <v>4.3572518193127326E-6</v>
      </c>
      <c r="P304" s="3">
        <f t="shared" si="286"/>
        <v>4.0912058610668016E-43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5.8705737383093613E-2</v>
      </c>
      <c r="C305" s="3">
        <f t="shared" si="287"/>
        <v>5.8705737383048462E-2</v>
      </c>
      <c r="D305" s="3">
        <f t="shared" si="287"/>
        <v>5.8705737382596955E-2</v>
      </c>
      <c r="E305" s="3">
        <f t="shared" si="287"/>
        <v>5.8705737378081872E-2</v>
      </c>
      <c r="F305" s="3">
        <f t="shared" si="287"/>
        <v>5.8705737332931059E-2</v>
      </c>
      <c r="G305" s="3">
        <f t="shared" si="287"/>
        <v>5.8705736881422915E-2</v>
      </c>
      <c r="H305" s="3">
        <f t="shared" si="287"/>
        <v>5.8705732366341655E-2</v>
      </c>
      <c r="I305" s="3">
        <f t="shared" si="287"/>
        <v>5.8705687215548169E-2</v>
      </c>
      <c r="J305" s="3">
        <f t="shared" si="287"/>
        <v>5.8705235709523206E-2</v>
      </c>
      <c r="K305" s="3">
        <f t="shared" si="287"/>
        <v>5.8700720840258729E-2</v>
      </c>
      <c r="L305" s="3">
        <f t="shared" si="287"/>
        <v>5.865559124069495E-2</v>
      </c>
      <c r="M305" s="3">
        <f t="shared" si="287"/>
        <v>5.8206199131023928E-2</v>
      </c>
      <c r="N305" s="3">
        <f t="shared" si="287"/>
        <v>5.3897358430580244E-2</v>
      </c>
      <c r="O305" s="3">
        <f t="shared" si="287"/>
        <v>2.4977552327661176E-2</v>
      </c>
      <c r="P305" s="3">
        <f t="shared" si="287"/>
        <v>1.1412317558661587E-5</v>
      </c>
      <c r="Q305" s="3">
        <f t="shared" si="287"/>
        <v>4.524947566122639E-39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5.620235606497169E-2</v>
      </c>
      <c r="C306" s="3">
        <f t="shared" si="288"/>
        <v>5.620235606496779E-2</v>
      </c>
      <c r="D306" s="3">
        <f t="shared" si="288"/>
        <v>5.6202356064928793E-2</v>
      </c>
      <c r="E306" s="3">
        <f t="shared" si="288"/>
        <v>5.6202356064538862E-2</v>
      </c>
      <c r="F306" s="3">
        <f t="shared" si="288"/>
        <v>5.6202356060639565E-2</v>
      </c>
      <c r="G306" s="3">
        <f t="shared" si="288"/>
        <v>5.6202356021646617E-2</v>
      </c>
      <c r="H306" s="3">
        <f t="shared" si="288"/>
        <v>5.6202355631717056E-2</v>
      </c>
      <c r="I306" s="3">
        <f t="shared" si="288"/>
        <v>5.6202351732421649E-2</v>
      </c>
      <c r="J306" s="3">
        <f t="shared" si="288"/>
        <v>5.6202312739482445E-2</v>
      </c>
      <c r="K306" s="3">
        <f t="shared" si="288"/>
        <v>5.6201922811578334E-2</v>
      </c>
      <c r="L306" s="3">
        <f t="shared" si="288"/>
        <v>5.6198023681325308E-2</v>
      </c>
      <c r="M306" s="3">
        <f t="shared" si="288"/>
        <v>5.6159047253782658E-2</v>
      </c>
      <c r="N306" s="3">
        <f t="shared" si="288"/>
        <v>5.5770766665725419E-2</v>
      </c>
      <c r="O306" s="3">
        <f t="shared" si="288"/>
        <v>5.2032590482115525E-2</v>
      </c>
      <c r="P306" s="3">
        <f t="shared" si="288"/>
        <v>2.5999427357290314E-2</v>
      </c>
      <c r="Q306" s="3">
        <f t="shared" si="288"/>
        <v>2.5225926616255866E-5</v>
      </c>
      <c r="R306" s="3">
        <f t="shared" si="288"/>
        <v>1.8650074954762643E-35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6.3415296184232722E-2</v>
      </c>
      <c r="D307" s="3">
        <f t="shared" si="289"/>
        <v>6.3415296184228753E-2</v>
      </c>
      <c r="E307" s="3">
        <f t="shared" si="289"/>
        <v>6.3415296184189063E-2</v>
      </c>
      <c r="F307" s="3">
        <f t="shared" si="289"/>
        <v>6.3415296183792172E-2</v>
      </c>
      <c r="G307" s="3">
        <f t="shared" si="289"/>
        <v>6.3415296179823263E-2</v>
      </c>
      <c r="H307" s="3">
        <f t="shared" si="289"/>
        <v>6.3415296140134067E-2</v>
      </c>
      <c r="I307" s="3">
        <f t="shared" si="289"/>
        <v>6.3415295743242159E-2</v>
      </c>
      <c r="J307" s="3">
        <f t="shared" si="289"/>
        <v>6.341529177432316E-2</v>
      </c>
      <c r="K307" s="3">
        <f t="shared" si="289"/>
        <v>6.3415252085146964E-2</v>
      </c>
      <c r="L307" s="3">
        <f t="shared" si="289"/>
        <v>6.3414855194751138E-2</v>
      </c>
      <c r="M307" s="3">
        <f t="shared" si="289"/>
        <v>6.3410886427408969E-2</v>
      </c>
      <c r="N307" s="3">
        <f t="shared" si="289"/>
        <v>6.3371212412437691E-2</v>
      </c>
      <c r="O307" s="3">
        <f t="shared" si="289"/>
        <v>6.2975834950176168E-2</v>
      </c>
      <c r="P307" s="3">
        <f t="shared" si="289"/>
        <v>5.9155225645844918E-2</v>
      </c>
      <c r="Q307" s="3">
        <f t="shared" si="289"/>
        <v>3.1636244720028385E-2</v>
      </c>
      <c r="R307" s="3">
        <f t="shared" si="289"/>
        <v>6.0548450936776252E-5</v>
      </c>
      <c r="S307" s="3">
        <f t="shared" si="289"/>
        <v>3.992860526367616E-32</v>
      </c>
      <c r="T307" s="3">
        <f t="shared" si="289"/>
        <v>6.2100511249061322E-304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3.5348869965799341E-2</v>
      </c>
      <c r="E308" s="3">
        <f t="shared" si="290"/>
        <v>3.5348869965797343E-2</v>
      </c>
      <c r="F308" s="3">
        <f t="shared" si="290"/>
        <v>3.5348869965777387E-2</v>
      </c>
      <c r="G308" s="3">
        <f t="shared" si="290"/>
        <v>3.5348869965577817E-2</v>
      </c>
      <c r="H308" s="3">
        <f t="shared" si="290"/>
        <v>3.5348869963582094E-2</v>
      </c>
      <c r="I308" s="3">
        <f t="shared" si="290"/>
        <v>3.5348869943624864E-2</v>
      </c>
      <c r="J308" s="3">
        <f t="shared" si="290"/>
        <v>3.5348869744052519E-2</v>
      </c>
      <c r="K308" s="3">
        <f t="shared" si="290"/>
        <v>3.5348867748329182E-2</v>
      </c>
      <c r="L308" s="3">
        <f t="shared" si="290"/>
        <v>3.5348847791101978E-2</v>
      </c>
      <c r="M308" s="3">
        <f t="shared" si="290"/>
        <v>3.5348648219449691E-2</v>
      </c>
      <c r="N308" s="3">
        <f t="shared" si="290"/>
        <v>3.5346652564896289E-2</v>
      </c>
      <c r="O308" s="3">
        <f t="shared" si="290"/>
        <v>3.532670221501491E-2</v>
      </c>
      <c r="P308" s="3">
        <f t="shared" si="290"/>
        <v>3.5127816989179307E-2</v>
      </c>
      <c r="Q308" s="3">
        <f t="shared" si="290"/>
        <v>3.3199519764389639E-2</v>
      </c>
      <c r="R308" s="3">
        <f t="shared" si="290"/>
        <v>1.887722720150084E-2</v>
      </c>
      <c r="S308" s="3">
        <f t="shared" si="290"/>
        <v>6.6681017134505153E-5</v>
      </c>
      <c r="T308" s="3">
        <f t="shared" si="290"/>
        <v>2.0167048600450502E-29</v>
      </c>
      <c r="U308" s="3">
        <f t="shared" si="290"/>
        <v>1.2913490152906964E-274</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7.0460456800535282E-2</v>
      </c>
      <c r="E309" s="3">
        <f t="shared" si="291"/>
        <v>7.0460456800534185E-2</v>
      </c>
      <c r="F309" s="3">
        <f t="shared" si="291"/>
        <v>7.046045680052318E-2</v>
      </c>
      <c r="G309" s="3">
        <f t="shared" si="291"/>
        <v>7.0460456800413157E-2</v>
      </c>
      <c r="H309" s="3">
        <f t="shared" si="291"/>
        <v>7.0460456799312926E-2</v>
      </c>
      <c r="I309" s="3">
        <f t="shared" si="291"/>
        <v>7.046045678831063E-2</v>
      </c>
      <c r="J309" s="3">
        <f t="shared" si="291"/>
        <v>7.0460456678287722E-2</v>
      </c>
      <c r="K309" s="3">
        <f t="shared" si="291"/>
        <v>7.046045557805862E-2</v>
      </c>
      <c r="L309" s="3">
        <f t="shared" si="291"/>
        <v>7.0460444575768541E-2</v>
      </c>
      <c r="M309" s="3">
        <f t="shared" si="291"/>
        <v>7.0460334552962189E-2</v>
      </c>
      <c r="N309" s="3">
        <f t="shared" si="291"/>
        <v>7.0459234334347587E-2</v>
      </c>
      <c r="O309" s="3">
        <f t="shared" si="291"/>
        <v>7.0448233093035689E-2</v>
      </c>
      <c r="P309" s="3">
        <f t="shared" si="291"/>
        <v>7.0338315108775473E-2</v>
      </c>
      <c r="Q309" s="3">
        <f t="shared" si="291"/>
        <v>6.9248523822959374E-2</v>
      </c>
      <c r="R309" s="3">
        <f t="shared" si="291"/>
        <v>5.9237416513874756E-2</v>
      </c>
      <c r="S309" s="3">
        <f t="shared" si="291"/>
        <v>1.2429452717284061E-2</v>
      </c>
      <c r="T309" s="3">
        <f t="shared" si="291"/>
        <v>2.0559425561658149E-9</v>
      </c>
      <c r="U309" s="3">
        <f t="shared" si="291"/>
        <v>3.1521049689281151E-77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8.6875447409324541E-2</v>
      </c>
      <c r="F310" s="3">
        <f t="shared" si="292"/>
        <v>8.6875447409323195E-2</v>
      </c>
      <c r="G310" s="3">
        <f t="shared" si="292"/>
        <v>8.6875447409309622E-2</v>
      </c>
      <c r="H310" s="3">
        <f t="shared" si="292"/>
        <v>8.6875447409173967E-2</v>
      </c>
      <c r="I310" s="3">
        <f t="shared" si="292"/>
        <v>8.6875447407817427E-2</v>
      </c>
      <c r="J310" s="3">
        <f t="shared" si="292"/>
        <v>8.6875447394251945E-2</v>
      </c>
      <c r="K310" s="3">
        <f t="shared" si="292"/>
        <v>8.6875447258597291E-2</v>
      </c>
      <c r="L310" s="3">
        <f t="shared" si="292"/>
        <v>8.6875445902050652E-2</v>
      </c>
      <c r="M310" s="3">
        <f t="shared" si="292"/>
        <v>8.687543233658547E-2</v>
      </c>
      <c r="N310" s="3">
        <f t="shared" si="292"/>
        <v>8.6875296682050129E-2</v>
      </c>
      <c r="O310" s="3">
        <f t="shared" si="292"/>
        <v>8.6873940148346943E-2</v>
      </c>
      <c r="P310" s="3">
        <f t="shared" si="292"/>
        <v>8.6860375976264795E-2</v>
      </c>
      <c r="Q310" s="3">
        <f t="shared" si="292"/>
        <v>8.6724850683149404E-2</v>
      </c>
      <c r="R310" s="3">
        <f t="shared" si="292"/>
        <v>8.5381173536603613E-2</v>
      </c>
      <c r="S310" s="3">
        <f t="shared" si="292"/>
        <v>7.3037804418212116E-2</v>
      </c>
      <c r="T310" s="3">
        <f t="shared" si="292"/>
        <v>1.5325110209318061E-2</v>
      </c>
      <c r="U310" s="3">
        <f t="shared" si="292"/>
        <v>2.5349101826064038E-9</v>
      </c>
      <c r="V310" s="3">
        <f t="shared" si="292"/>
        <v>3.8864427210852927E-77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9.6215979999175694E-2</v>
      </c>
      <c r="F311" s="3">
        <f t="shared" si="293"/>
        <v>9.6215979999175555E-2</v>
      </c>
      <c r="G311" s="3">
        <f t="shared" si="293"/>
        <v>9.6215979999174056E-2</v>
      </c>
      <c r="H311" s="3">
        <f t="shared" si="293"/>
        <v>9.6215979999159026E-2</v>
      </c>
      <c r="I311" s="3">
        <f t="shared" si="293"/>
        <v>9.6215979999008786E-2</v>
      </c>
      <c r="J311" s="3">
        <f t="shared" si="293"/>
        <v>9.621597999750639E-2</v>
      </c>
      <c r="K311" s="3">
        <f t="shared" si="293"/>
        <v>9.6215979982482408E-2</v>
      </c>
      <c r="L311" s="3">
        <f t="shared" si="293"/>
        <v>9.6215979832242643E-2</v>
      </c>
      <c r="M311" s="3">
        <f t="shared" si="293"/>
        <v>9.6215978329845048E-2</v>
      </c>
      <c r="N311" s="3">
        <f t="shared" si="293"/>
        <v>9.6215963305870317E-2</v>
      </c>
      <c r="O311" s="3">
        <f t="shared" si="293"/>
        <v>9.6215813066252015E-2</v>
      </c>
      <c r="P311" s="3">
        <f t="shared" si="293"/>
        <v>9.6214310682971732E-2</v>
      </c>
      <c r="Q311" s="3">
        <f t="shared" si="293"/>
        <v>9.619928814036989E-2</v>
      </c>
      <c r="R311" s="3">
        <f t="shared" si="293"/>
        <v>9.6049191659941593E-2</v>
      </c>
      <c r="S311" s="3">
        <f t="shared" si="293"/>
        <v>9.4561047226586731E-2</v>
      </c>
      <c r="T311" s="3">
        <f t="shared" si="293"/>
        <v>8.0890563889425504E-2</v>
      </c>
      <c r="U311" s="3">
        <f t="shared" si="293"/>
        <v>1.6972810401050593E-2</v>
      </c>
      <c r="V311" s="3">
        <f t="shared" si="293"/>
        <v>2.807454519114062E-9</v>
      </c>
      <c r="W311" s="3">
        <f t="shared" si="293"/>
        <v>4.3042989276133302E-77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0.11161416834614403</v>
      </c>
      <c r="G312" s="3">
        <f t="shared" si="294"/>
        <v>0.11161416834614386</v>
      </c>
      <c r="H312" s="3">
        <f t="shared" si="294"/>
        <v>0.11161416834614213</v>
      </c>
      <c r="I312" s="3">
        <f t="shared" si="294"/>
        <v>0.11161416834612468</v>
      </c>
      <c r="J312" s="3">
        <f t="shared" si="294"/>
        <v>0.11161416834595041</v>
      </c>
      <c r="K312" s="3">
        <f t="shared" si="294"/>
        <v>0.11161416834420758</v>
      </c>
      <c r="L312" s="3">
        <f t="shared" si="294"/>
        <v>0.11161416832677919</v>
      </c>
      <c r="M312" s="3">
        <f t="shared" si="294"/>
        <v>0.11161416815249539</v>
      </c>
      <c r="N312" s="3">
        <f t="shared" si="294"/>
        <v>0.11161416640965748</v>
      </c>
      <c r="O312" s="3">
        <f t="shared" si="294"/>
        <v>0.11161414898127972</v>
      </c>
      <c r="P312" s="3">
        <f t="shared" si="294"/>
        <v>0.1116139746976519</v>
      </c>
      <c r="Q312" s="3">
        <f t="shared" si="294"/>
        <v>0.11161223187634126</v>
      </c>
      <c r="R312" s="3">
        <f t="shared" si="294"/>
        <v>0.11159480515991678</v>
      </c>
      <c r="S312" s="3">
        <f t="shared" si="294"/>
        <v>0.11142068757742341</v>
      </c>
      <c r="T312" s="3">
        <f t="shared" si="294"/>
        <v>0.10969438386665448</v>
      </c>
      <c r="U312" s="3">
        <f t="shared" si="294"/>
        <v>9.3836107220923254E-2</v>
      </c>
      <c r="V312" s="3">
        <f t="shared" si="294"/>
        <v>1.9689100681885435E-2</v>
      </c>
      <c r="W312" s="3">
        <f t="shared" si="294"/>
        <v>3.2567532058939097E-9</v>
      </c>
      <c r="X312" s="3">
        <f t="shared" si="294"/>
        <v>4.9931492161996094E-77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6.646235102239785E-2</v>
      </c>
      <c r="I313" s="3">
        <f t="shared" si="295"/>
        <v>6.6462351022396823E-2</v>
      </c>
      <c r="J313" s="3">
        <f t="shared" si="295"/>
        <v>6.6462351022386443E-2</v>
      </c>
      <c r="K313" s="3">
        <f t="shared" si="295"/>
        <v>6.6462351022282665E-2</v>
      </c>
      <c r="L313" s="3">
        <f t="shared" si="295"/>
        <v>6.646235102124487E-2</v>
      </c>
      <c r="M313" s="3">
        <f t="shared" si="295"/>
        <v>6.6462351010866866E-2</v>
      </c>
      <c r="N313" s="3">
        <f t="shared" si="295"/>
        <v>6.6462350907086937E-2</v>
      </c>
      <c r="O313" s="3">
        <f t="shared" si="295"/>
        <v>6.6462349869287632E-2</v>
      </c>
      <c r="P313" s="3">
        <f t="shared" si="295"/>
        <v>6.6462339491295513E-2</v>
      </c>
      <c r="Q313" s="3">
        <f t="shared" si="295"/>
        <v>6.6462235711463424E-2</v>
      </c>
      <c r="R313" s="3">
        <f t="shared" si="295"/>
        <v>6.646119792205521E-2</v>
      </c>
      <c r="S313" s="3">
        <f t="shared" si="295"/>
        <v>6.6450820919194964E-2</v>
      </c>
      <c r="T313" s="3">
        <f t="shared" si="295"/>
        <v>6.6347139961317303E-2</v>
      </c>
      <c r="U313" s="3">
        <f t="shared" si="295"/>
        <v>6.5319186208702557E-2</v>
      </c>
      <c r="V313" s="3">
        <f t="shared" si="295"/>
        <v>5.5876134626127234E-2</v>
      </c>
      <c r="W313" s="3">
        <f t="shared" si="295"/>
        <v>1.1724173912908187E-2</v>
      </c>
      <c r="X313" s="3">
        <f t="shared" si="295"/>
        <v>1.9392831391456472E-9</v>
      </c>
      <c r="Y313" s="3">
        <f t="shared" si="295"/>
        <v>2.9732465047367299E-77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4.7100906601755699E-2</v>
      </c>
      <c r="I314" s="3">
        <f t="shared" si="296"/>
        <v>4.7100906601755629E-2</v>
      </c>
      <c r="J314" s="3">
        <f t="shared" si="296"/>
        <v>4.7100906601754894E-2</v>
      </c>
      <c r="K314" s="3">
        <f t="shared" si="296"/>
        <v>4.7100906601747539E-2</v>
      </c>
      <c r="L314" s="3">
        <f t="shared" si="296"/>
        <v>4.7100906601673993E-2</v>
      </c>
      <c r="M314" s="3">
        <f t="shared" si="296"/>
        <v>4.7100906600938519E-2</v>
      </c>
      <c r="N314" s="3">
        <f t="shared" si="296"/>
        <v>4.7100906593583784E-2</v>
      </c>
      <c r="O314" s="3">
        <f t="shared" si="296"/>
        <v>4.7100906520036449E-2</v>
      </c>
      <c r="P314" s="3">
        <f t="shared" si="296"/>
        <v>4.71009057845631E-2</v>
      </c>
      <c r="Q314" s="3">
        <f t="shared" si="296"/>
        <v>4.7100898429830229E-2</v>
      </c>
      <c r="R314" s="3">
        <f t="shared" si="296"/>
        <v>4.7100824882564694E-2</v>
      </c>
      <c r="S314" s="3">
        <f t="shared" si="296"/>
        <v>4.7100089416225684E-2</v>
      </c>
      <c r="T314" s="3">
        <f t="shared" si="296"/>
        <v>4.7092735384431629E-2</v>
      </c>
      <c r="U314" s="3">
        <f t="shared" si="296"/>
        <v>4.7019258189625046E-2</v>
      </c>
      <c r="V314" s="3">
        <f t="shared" si="296"/>
        <v>4.6290762237435293E-2</v>
      </c>
      <c r="W314" s="3">
        <f t="shared" si="296"/>
        <v>3.9598608201587976E-2</v>
      </c>
      <c r="X314" s="3">
        <f t="shared" si="296"/>
        <v>8.3087524284016102E-3</v>
      </c>
      <c r="Y314" s="3">
        <f t="shared" si="296"/>
        <v>1.3743419034405852E-9</v>
      </c>
      <c r="Z314" s="3">
        <f t="shared" si="296"/>
        <v>2.107096781400445E-77</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2.2598128773559194E-2</v>
      </c>
      <c r="K315" s="3">
        <f t="shared" si="297"/>
        <v>2.2598128773558844E-2</v>
      </c>
      <c r="L315" s="3">
        <f t="shared" si="297"/>
        <v>2.2598128773555316E-2</v>
      </c>
      <c r="M315" s="3">
        <f t="shared" si="297"/>
        <v>2.2598128773520028E-2</v>
      </c>
      <c r="N315" s="3">
        <f t="shared" si="297"/>
        <v>2.2598128773167164E-2</v>
      </c>
      <c r="O315" s="3">
        <f t="shared" si="297"/>
        <v>2.2598128769638497E-2</v>
      </c>
      <c r="P315" s="3">
        <f t="shared" si="297"/>
        <v>2.259812873435187E-2</v>
      </c>
      <c r="Q315" s="3">
        <f t="shared" si="297"/>
        <v>2.2598128381485595E-2</v>
      </c>
      <c r="R315" s="3">
        <f t="shared" si="297"/>
        <v>2.2598124852823146E-2</v>
      </c>
      <c r="S315" s="3">
        <f t="shared" si="297"/>
        <v>2.2598089566228951E-2</v>
      </c>
      <c r="T315" s="3">
        <f t="shared" si="297"/>
        <v>2.2597736703317457E-2</v>
      </c>
      <c r="U315" s="3">
        <f t="shared" si="297"/>
        <v>2.2594208377230401E-2</v>
      </c>
      <c r="V315" s="3">
        <f t="shared" si="297"/>
        <v>2.2558955401651853E-2</v>
      </c>
      <c r="W315" s="3">
        <f t="shared" si="297"/>
        <v>2.2209436750603488E-2</v>
      </c>
      <c r="X315" s="3">
        <f t="shared" si="297"/>
        <v>1.8998667158560547E-2</v>
      </c>
      <c r="Y315" s="3">
        <f t="shared" si="297"/>
        <v>3.9863830841345982E-3</v>
      </c>
      <c r="Z315" s="3">
        <f t="shared" si="297"/>
        <v>6.5938338672426247E-10</v>
      </c>
      <c r="AA315" s="3">
        <f t="shared" si="297"/>
        <v>1.0109453902244956E-77</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6.4467605952010492E-3</v>
      </c>
      <c r="K316" s="3">
        <f t="shared" si="298"/>
        <v>6.4467605952010397E-3</v>
      </c>
      <c r="L316" s="3">
        <f t="shared" si="298"/>
        <v>6.446760595200939E-3</v>
      </c>
      <c r="M316" s="3">
        <f t="shared" si="298"/>
        <v>6.446760595199932E-3</v>
      </c>
      <c r="N316" s="3">
        <f t="shared" si="298"/>
        <v>6.4467605951898663E-3</v>
      </c>
      <c r="O316" s="3">
        <f t="shared" si="298"/>
        <v>6.4467605950892012E-3</v>
      </c>
      <c r="P316" s="3">
        <f t="shared" si="298"/>
        <v>6.4467605940825489E-3</v>
      </c>
      <c r="Q316" s="3">
        <f t="shared" si="298"/>
        <v>6.4467605840160319E-3</v>
      </c>
      <c r="R316" s="3">
        <f t="shared" si="298"/>
        <v>6.4467604833508656E-3</v>
      </c>
      <c r="S316" s="3">
        <f t="shared" si="298"/>
        <v>6.4467594766992858E-3</v>
      </c>
      <c r="T316" s="3">
        <f t="shared" si="298"/>
        <v>6.4467494101921301E-3</v>
      </c>
      <c r="U316" s="3">
        <f t="shared" si="298"/>
        <v>6.4466487459851011E-3</v>
      </c>
      <c r="V316" s="3">
        <f t="shared" si="298"/>
        <v>6.4456421903621563E-3</v>
      </c>
      <c r="W316" s="3">
        <f t="shared" si="298"/>
        <v>6.4355852738758115E-3</v>
      </c>
      <c r="X316" s="3">
        <f t="shared" si="298"/>
        <v>6.3358751124971916E-3</v>
      </c>
      <c r="Y316" s="3">
        <f t="shared" si="298"/>
        <v>5.4199115345539162E-3</v>
      </c>
      <c r="Z316" s="3">
        <f t="shared" si="298"/>
        <v>1.137229442388353E-3</v>
      </c>
      <c r="AA316" s="3">
        <f t="shared" si="298"/>
        <v>1.8810791270637897E-10</v>
      </c>
      <c r="AB316" s="3">
        <f t="shared" si="298"/>
        <v>2.8840099863600079E-78</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9.8307104636690757E-5</v>
      </c>
      <c r="L317" s="3">
        <f t="shared" si="299"/>
        <v>9.8307104636690608E-5</v>
      </c>
      <c r="M317" s="3">
        <f t="shared" si="299"/>
        <v>9.8307104636689076E-5</v>
      </c>
      <c r="N317" s="3">
        <f t="shared" si="299"/>
        <v>9.8307104636673721E-5</v>
      </c>
      <c r="O317" s="3">
        <f t="shared" si="299"/>
        <v>9.8307104636520225E-5</v>
      </c>
      <c r="P317" s="3">
        <f t="shared" si="299"/>
        <v>9.8307104634985171E-5</v>
      </c>
      <c r="Q317" s="3">
        <f t="shared" si="299"/>
        <v>9.8307104619634671E-5</v>
      </c>
      <c r="R317" s="3">
        <f t="shared" si="299"/>
        <v>9.8307104466129641E-5</v>
      </c>
      <c r="S317" s="3">
        <f t="shared" si="299"/>
        <v>9.8307102931079464E-5</v>
      </c>
      <c r="T317" s="3">
        <f t="shared" si="299"/>
        <v>9.830708758057889E-5</v>
      </c>
      <c r="U317" s="3">
        <f t="shared" si="299"/>
        <v>9.8306934075704984E-5</v>
      </c>
      <c r="V317" s="3">
        <f t="shared" si="299"/>
        <v>9.8305399040149138E-5</v>
      </c>
      <c r="W317" s="3">
        <f t="shared" si="299"/>
        <v>9.8290050002832464E-5</v>
      </c>
      <c r="X317" s="3">
        <f t="shared" si="299"/>
        <v>9.8136691377714367E-5</v>
      </c>
      <c r="Y317" s="3">
        <f t="shared" si="299"/>
        <v>9.6616204130943321E-5</v>
      </c>
      <c r="Z317" s="3">
        <f t="shared" si="299"/>
        <v>8.2648611264644396E-5</v>
      </c>
      <c r="AA317" s="3">
        <f t="shared" si="299"/>
        <v>1.7341691557775423E-5</v>
      </c>
      <c r="AB317" s="3">
        <f t="shared" si="299"/>
        <v>2.8684707589701932E-12</v>
      </c>
      <c r="AC317" s="3">
        <f t="shared" si="299"/>
        <v>4.397847063118877E-80</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1.1020901234699331E-2</v>
      </c>
      <c r="O318" s="3">
        <f t="shared" si="300"/>
        <v>1.102090123469761E-2</v>
      </c>
      <c r="P318" s="3">
        <f t="shared" si="300"/>
        <v>1.1020901234680401E-2</v>
      </c>
      <c r="Q318" s="3">
        <f t="shared" si="300"/>
        <v>1.1020901234508312E-2</v>
      </c>
      <c r="R318" s="3">
        <f t="shared" si="300"/>
        <v>1.1020901232787414E-2</v>
      </c>
      <c r="S318" s="3">
        <f t="shared" si="300"/>
        <v>1.1020901215578447E-2</v>
      </c>
      <c r="T318" s="3">
        <f t="shared" si="300"/>
        <v>1.1020901043488783E-2</v>
      </c>
      <c r="U318" s="3">
        <f t="shared" si="300"/>
        <v>1.1020899322592301E-2</v>
      </c>
      <c r="V318" s="3">
        <f t="shared" si="300"/>
        <v>1.1020882113642241E-2</v>
      </c>
      <c r="W318" s="3">
        <f t="shared" si="300"/>
        <v>1.1020710025619556E-2</v>
      </c>
      <c r="X318" s="3">
        <f t="shared" si="300"/>
        <v>1.1018989293176667E-2</v>
      </c>
      <c r="Y318" s="3">
        <f t="shared" si="300"/>
        <v>1.1001796738608387E-2</v>
      </c>
      <c r="Z318" s="3">
        <f t="shared" si="300"/>
        <v>1.0831339681234838E-2</v>
      </c>
      <c r="AA318" s="3">
        <f t="shared" si="300"/>
        <v>9.2654766438189113E-3</v>
      </c>
      <c r="AB318" s="3">
        <f t="shared" si="300"/>
        <v>1.9441226614005478E-3</v>
      </c>
      <c r="AC318" s="3">
        <f t="shared" si="300"/>
        <v>3.2157526199215539E-10</v>
      </c>
      <c r="AD318" s="3">
        <f t="shared" si="300"/>
        <v>4.9302884371448458E-78</v>
      </c>
      <c r="AE318" s="3">
        <f t="shared" si="300"/>
        <v>0</v>
      </c>
      <c r="AF318" s="3">
        <f t="shared" si="300"/>
        <v>0</v>
      </c>
      <c r="AG318" s="3"/>
      <c r="AH318" s="3"/>
    </row>
    <row r="319" spans="1:34" x14ac:dyDescent="0.25">
      <c r="A319" s="79">
        <f>AVERAGE(B319:AF319)</f>
        <v>0.28198584762059076</v>
      </c>
      <c r="B319" s="80">
        <f>IF($A$64&lt;=B285,IF($B$64&gt;=B285,ABS((B287-B286)/B286),0),0)</f>
        <v>8.9817969519717475E-2</v>
      </c>
      <c r="C319" s="80">
        <f t="shared" ref="C319:AF319" si="301">IF($A$64&lt;=C285,IF($B$64&gt;=C285,ABS((C287-C286)/C286),0),0)</f>
        <v>0.11524383189812649</v>
      </c>
      <c r="D319" s="80">
        <f t="shared" si="301"/>
        <v>0.14044954098196402</v>
      </c>
      <c r="E319" s="80">
        <f t="shared" si="301"/>
        <v>0.16966558097346765</v>
      </c>
      <c r="F319" s="80">
        <f t="shared" si="301"/>
        <v>0.2002838494799789</v>
      </c>
      <c r="G319" s="80">
        <f t="shared" si="301"/>
        <v>0.22775121381891961</v>
      </c>
      <c r="H319" s="80">
        <f t="shared" si="301"/>
        <v>0.23006411788381359</v>
      </c>
      <c r="I319" s="80">
        <f t="shared" si="301"/>
        <v>0.24501728472411463</v>
      </c>
      <c r="J319" s="80">
        <f t="shared" si="301"/>
        <v>0.2588411113211091</v>
      </c>
      <c r="K319" s="80">
        <f t="shared" si="301"/>
        <v>0.2697456902108068</v>
      </c>
      <c r="L319" s="80">
        <f t="shared" si="301"/>
        <v>0.26791676404284981</v>
      </c>
      <c r="M319" s="80">
        <f t="shared" si="301"/>
        <v>0.25227892153391479</v>
      </c>
      <c r="N319" s="80">
        <f t="shared" si="301"/>
        <v>0.21923494000636792</v>
      </c>
      <c r="O319" s="80">
        <f t="shared" si="301"/>
        <v>0.1786997397935918</v>
      </c>
      <c r="P319" s="80">
        <f t="shared" si="301"/>
        <v>0.13179601558872669</v>
      </c>
      <c r="Q319" s="80">
        <f t="shared" si="301"/>
        <v>9.2208243832773637E-2</v>
      </c>
      <c r="R319" s="80">
        <f t="shared" si="301"/>
        <v>7.847745128651705E-2</v>
      </c>
      <c r="S319" s="80">
        <f t="shared" si="301"/>
        <v>9.7563959678370116E-2</v>
      </c>
      <c r="T319" s="80">
        <f t="shared" si="301"/>
        <v>0.13395743150693276</v>
      </c>
      <c r="U319" s="80">
        <f t="shared" si="301"/>
        <v>8.7364914567204285E-2</v>
      </c>
      <c r="V319" s="80">
        <f t="shared" si="301"/>
        <v>9.5321419813262934E-2</v>
      </c>
      <c r="W319" s="80">
        <f t="shared" si="301"/>
        <v>0.25885579870039055</v>
      </c>
      <c r="X319" s="80">
        <f t="shared" si="301"/>
        <v>0.41206035541129943</v>
      </c>
      <c r="Y319" s="80">
        <f t="shared" si="301"/>
        <v>0.50838307229212842</v>
      </c>
      <c r="Z319" s="80">
        <f t="shared" si="301"/>
        <v>0.50615990108638342</v>
      </c>
      <c r="AA319" s="80">
        <f t="shared" si="301"/>
        <v>0.46413743002886548</v>
      </c>
      <c r="AB319" s="80">
        <f t="shared" si="301"/>
        <v>0.59810808380869063</v>
      </c>
      <c r="AC319" s="80">
        <f t="shared" si="301"/>
        <v>0.62382429697635322</v>
      </c>
      <c r="AD319" s="80">
        <f t="shared" si="301"/>
        <v>0.61073982724312326</v>
      </c>
      <c r="AE319" s="80">
        <f t="shared" si="301"/>
        <v>0.59784736945061423</v>
      </c>
      <c r="AF319" s="80">
        <f t="shared" si="301"/>
        <v>0.57974514877793271</v>
      </c>
    </row>
    <row r="320" spans="1:34" x14ac:dyDescent="0.25">
      <c r="B320" s="21">
        <f>(B287-B286)^2</f>
        <v>881830.23432080599</v>
      </c>
      <c r="C320" s="21">
        <f t="shared" ref="C320:AF320" si="302">(C287-C286)^2</f>
        <v>1386313.9611912104</v>
      </c>
      <c r="D320" s="21">
        <f t="shared" si="302"/>
        <v>1969013.3372209226</v>
      </c>
      <c r="E320" s="21">
        <f t="shared" si="302"/>
        <v>2731286.1652158787</v>
      </c>
      <c r="F320" s="21">
        <f t="shared" si="302"/>
        <v>3609693.1963624205</v>
      </c>
      <c r="G320" s="21">
        <f t="shared" si="302"/>
        <v>4413551.8515578564</v>
      </c>
      <c r="H320" s="21">
        <f t="shared" si="302"/>
        <v>4271730.7522681002</v>
      </c>
      <c r="I320" s="21">
        <f t="shared" si="302"/>
        <v>4513059.499084576</v>
      </c>
      <c r="J320" s="21">
        <f t="shared" si="302"/>
        <v>4636414.7454605168</v>
      </c>
      <c r="K320" s="21">
        <f t="shared" si="302"/>
        <v>4620417.3208312085</v>
      </c>
      <c r="L320" s="21">
        <f t="shared" si="302"/>
        <v>4236405.1128627602</v>
      </c>
      <c r="M320" s="21">
        <f t="shared" si="302"/>
        <v>3488865.7637860756</v>
      </c>
      <c r="N320" s="21">
        <f t="shared" si="302"/>
        <v>2444963.4559721183</v>
      </c>
      <c r="O320" s="21">
        <f t="shared" si="302"/>
        <v>1496103.2328879954</v>
      </c>
      <c r="P320" s="21">
        <f t="shared" si="302"/>
        <v>750382.77739957615</v>
      </c>
      <c r="Q320" s="21">
        <f t="shared" si="302"/>
        <v>328837.24433731672</v>
      </c>
      <c r="R320" s="21">
        <f t="shared" si="302"/>
        <v>199439.17741706176</v>
      </c>
      <c r="S320" s="21">
        <f t="shared" si="302"/>
        <v>215986.15305156383</v>
      </c>
      <c r="T320" s="21">
        <f t="shared" si="302"/>
        <v>252131.68042659399</v>
      </c>
      <c r="U320" s="21">
        <f t="shared" si="302"/>
        <v>64184.704457699678</v>
      </c>
      <c r="V320" s="21">
        <f t="shared" si="302"/>
        <v>44295.545742001443</v>
      </c>
      <c r="W320" s="21">
        <f t="shared" si="302"/>
        <v>172422.11374005786</v>
      </c>
      <c r="X320" s="21">
        <f t="shared" si="302"/>
        <v>214286.9534418642</v>
      </c>
      <c r="Y320" s="21">
        <f t="shared" si="302"/>
        <v>157551.69028187517</v>
      </c>
      <c r="Z320" s="21">
        <f t="shared" si="302"/>
        <v>86782.098307154505</v>
      </c>
      <c r="AA320" s="21">
        <f t="shared" si="302"/>
        <v>49105.393581637647</v>
      </c>
      <c r="AB320" s="21">
        <f t="shared" si="302"/>
        <v>65628.323519650599</v>
      </c>
      <c r="AC320" s="21">
        <f t="shared" si="302"/>
        <v>61845.927884937992</v>
      </c>
      <c r="AD320" s="21">
        <f t="shared" si="302"/>
        <v>55360.568472828309</v>
      </c>
      <c r="AE320" s="21">
        <f t="shared" si="302"/>
        <v>49701.193410508931</v>
      </c>
      <c r="AF320" s="21">
        <f t="shared" si="302"/>
        <v>42797.339797004097</v>
      </c>
      <c r="AG320" s="3"/>
      <c r="AH320" s="3"/>
    </row>
    <row r="321" spans="1:34" x14ac:dyDescent="0.25">
      <c r="A321" s="71">
        <f>SUM(B321:AF321)</f>
        <v>47510387.514291793</v>
      </c>
      <c r="B321" s="60">
        <f>IF($A$64&lt;=B285,IF($B$64&gt;=B285,ABS(B320),0),0)</f>
        <v>881830.23432080599</v>
      </c>
      <c r="C321" s="60">
        <f t="shared" ref="C321" si="303">IF($A$64&lt;=C285,IF($B$64&gt;=C285,ABS(C320),0),0)</f>
        <v>1386313.9611912104</v>
      </c>
      <c r="D321" s="60">
        <f t="shared" ref="D321" si="304">IF($A$64&lt;=D285,IF($B$64&gt;=D285,ABS(D320),0),0)</f>
        <v>1969013.3372209226</v>
      </c>
      <c r="E321" s="60">
        <f t="shared" ref="E321" si="305">IF($A$64&lt;=E285,IF($B$64&gt;=E285,ABS(E320),0),0)</f>
        <v>2731286.1652158787</v>
      </c>
      <c r="F321" s="60">
        <f t="shared" ref="F321" si="306">IF($A$64&lt;=F285,IF($B$64&gt;=F285,ABS(F320),0),0)</f>
        <v>3609693.1963624205</v>
      </c>
      <c r="G321" s="60">
        <f t="shared" ref="G321" si="307">IF($A$64&lt;=G285,IF($B$64&gt;=G285,ABS(G320),0),0)</f>
        <v>4413551.8515578564</v>
      </c>
      <c r="H321" s="60">
        <f t="shared" ref="H321" si="308">IF($A$64&lt;=H285,IF($B$64&gt;=H285,ABS(H320),0),0)</f>
        <v>4271730.7522681002</v>
      </c>
      <c r="I321" s="60">
        <f t="shared" ref="I321" si="309">IF($A$64&lt;=I285,IF($B$64&gt;=I285,ABS(I320),0),0)</f>
        <v>4513059.499084576</v>
      </c>
      <c r="J321" s="60">
        <f t="shared" ref="J321" si="310">IF($A$64&lt;=J285,IF($B$64&gt;=J285,ABS(J320),0),0)</f>
        <v>4636414.7454605168</v>
      </c>
      <c r="K321" s="60">
        <f t="shared" ref="K321" si="311">IF($A$64&lt;=K285,IF($B$64&gt;=K285,ABS(K320),0),0)</f>
        <v>4620417.3208312085</v>
      </c>
      <c r="L321" s="60">
        <f t="shared" ref="L321" si="312">IF($A$64&lt;=L285,IF($B$64&gt;=L285,ABS(L320),0),0)</f>
        <v>4236405.1128627602</v>
      </c>
      <c r="M321" s="60">
        <f t="shared" ref="M321" si="313">IF($A$64&lt;=M285,IF($B$64&gt;=M285,ABS(M320),0),0)</f>
        <v>3488865.7637860756</v>
      </c>
      <c r="N321" s="60">
        <f t="shared" ref="N321" si="314">IF($A$64&lt;=N285,IF($B$64&gt;=N285,ABS(N320),0),0)</f>
        <v>2444963.4559721183</v>
      </c>
      <c r="O321" s="60">
        <f t="shared" ref="O321" si="315">IF($A$64&lt;=O285,IF($B$64&gt;=O285,ABS(O320),0),0)</f>
        <v>1496103.2328879954</v>
      </c>
      <c r="P321" s="60">
        <f t="shared" ref="P321" si="316">IF($A$64&lt;=P285,IF($B$64&gt;=P285,ABS(P320),0),0)</f>
        <v>750382.77739957615</v>
      </c>
      <c r="Q321" s="60">
        <f t="shared" ref="Q321" si="317">IF($A$64&lt;=Q285,IF($B$64&gt;=Q285,ABS(Q320),0),0)</f>
        <v>328837.24433731672</v>
      </c>
      <c r="R321" s="60">
        <f t="shared" ref="R321" si="318">IF($A$64&lt;=R285,IF($B$64&gt;=R285,ABS(R320),0),0)</f>
        <v>199439.17741706176</v>
      </c>
      <c r="S321" s="60">
        <f t="shared" ref="S321" si="319">IF($A$64&lt;=S285,IF($B$64&gt;=S285,ABS(S320),0),0)</f>
        <v>215986.15305156383</v>
      </c>
      <c r="T321" s="60">
        <f t="shared" ref="T321" si="320">IF($A$64&lt;=T285,IF($B$64&gt;=T285,ABS(T320),0),0)</f>
        <v>252131.68042659399</v>
      </c>
      <c r="U321" s="60">
        <f t="shared" ref="U321" si="321">IF($A$64&lt;=U285,IF($B$64&gt;=U285,ABS(U320),0),0)</f>
        <v>64184.704457699678</v>
      </c>
      <c r="V321" s="60">
        <f t="shared" ref="V321" si="322">IF($A$64&lt;=V285,IF($B$64&gt;=V285,ABS(V320),0),0)</f>
        <v>44295.545742001443</v>
      </c>
      <c r="W321" s="60">
        <f t="shared" ref="W321" si="323">IF($A$64&lt;=W285,IF($B$64&gt;=W285,ABS(W320),0),0)</f>
        <v>172422.11374005786</v>
      </c>
      <c r="X321" s="60">
        <f t="shared" ref="X321" si="324">IF($A$64&lt;=X285,IF($B$64&gt;=X285,ABS(X320),0),0)</f>
        <v>214286.9534418642</v>
      </c>
      <c r="Y321" s="60">
        <f t="shared" ref="Y321" si="325">IF($A$64&lt;=Y285,IF($B$64&gt;=Y285,ABS(Y320),0),0)</f>
        <v>157551.69028187517</v>
      </c>
      <c r="Z321" s="60">
        <f t="shared" ref="Z321" si="326">IF($A$64&lt;=Z285,IF($B$64&gt;=Z285,ABS(Z320),0),0)</f>
        <v>86782.098307154505</v>
      </c>
      <c r="AA321" s="60">
        <f t="shared" ref="AA321" si="327">IF($A$64&lt;=AA285,IF($B$64&gt;=AA285,ABS(AA320),0),0)</f>
        <v>49105.393581637647</v>
      </c>
      <c r="AB321" s="60">
        <f t="shared" ref="AB321" si="328">IF($A$64&lt;=AB285,IF($B$64&gt;=AB285,ABS(AB320),0),0)</f>
        <v>65628.323519650599</v>
      </c>
      <c r="AC321" s="60">
        <f t="shared" ref="AC321" si="329">IF($A$64&lt;=AC285,IF($B$64&gt;=AC285,ABS(AC320),0),0)</f>
        <v>61845.927884937992</v>
      </c>
      <c r="AD321" s="60">
        <f t="shared" ref="AD321" si="330">IF($A$64&lt;=AD285,IF($B$64&gt;=AD285,ABS(AD320),0),0)</f>
        <v>55360.568472828309</v>
      </c>
      <c r="AE321" s="60">
        <f t="shared" ref="AE321" si="331">IF($A$64&lt;=AE285,IF($B$64&gt;=AE285,ABS(AE320),0),0)</f>
        <v>49701.193410508931</v>
      </c>
      <c r="AF321" s="60">
        <f t="shared" ref="AF321" si="332">IF($A$64&lt;=AF285,IF($B$64&gt;=AF285,ABS(AF320),0),0)</f>
        <v>42797.339797004097</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10275.796632910035</v>
      </c>
      <c r="C326" s="27">
        <f t="shared" ref="C326:AF326" si="333">($C$17+SUM(C327:C357))*$B$51</f>
        <v>9910.0756613125668</v>
      </c>
      <c r="D326" s="27">
        <f t="shared" si="333"/>
        <v>9488.7758497784998</v>
      </c>
      <c r="E326" s="27">
        <f t="shared" si="333"/>
        <v>8947.1548379336436</v>
      </c>
      <c r="F326" s="27">
        <f t="shared" si="333"/>
        <v>8321.6672616990891</v>
      </c>
      <c r="G326" s="27">
        <f t="shared" si="333"/>
        <v>7683.5530200624798</v>
      </c>
      <c r="H326" s="27">
        <f t="shared" si="333"/>
        <v>7050.8040878065513</v>
      </c>
      <c r="I326" s="27">
        <f t="shared" si="333"/>
        <v>6384.2258885004585</v>
      </c>
      <c r="J326" s="27">
        <f t="shared" si="333"/>
        <v>5654.6777434935193</v>
      </c>
      <c r="K326" s="27">
        <f t="shared" si="333"/>
        <v>4716.735673619849</v>
      </c>
      <c r="L326" s="27">
        <f t="shared" si="333"/>
        <v>3667.8925008737433</v>
      </c>
      <c r="M326" s="27">
        <f t="shared" si="333"/>
        <v>2520.8628375157855</v>
      </c>
      <c r="N326" s="27">
        <f t="shared" si="333"/>
        <v>1509.0440199991212</v>
      </c>
      <c r="O326" s="27">
        <f t="shared" si="333"/>
        <v>874.0556007132617</v>
      </c>
      <c r="P326" s="27">
        <f t="shared" si="333"/>
        <v>481.48523086303749</v>
      </c>
      <c r="Q326" s="27">
        <f t="shared" si="333"/>
        <v>314.82735597549072</v>
      </c>
      <c r="R326" s="27">
        <f t="shared" si="333"/>
        <v>268.49774506071793</v>
      </c>
      <c r="S326" s="27">
        <f t="shared" si="333"/>
        <v>215.81417080678557</v>
      </c>
      <c r="T326" s="27">
        <f t="shared" si="333"/>
        <v>150.15857541135472</v>
      </c>
      <c r="U326" s="27">
        <f t="shared" si="333"/>
        <v>149.96295849635149</v>
      </c>
      <c r="V326" s="27">
        <f t="shared" si="333"/>
        <v>149.96295849635149</v>
      </c>
      <c r="W326" s="27">
        <f t="shared" si="333"/>
        <v>149.96295849635149</v>
      </c>
      <c r="X326" s="27">
        <f t="shared" si="333"/>
        <v>149.96295849635149</v>
      </c>
      <c r="Y326" s="27">
        <f t="shared" si="333"/>
        <v>149.96295849635149</v>
      </c>
      <c r="Z326" s="27">
        <f t="shared" si="333"/>
        <v>149.96295849635149</v>
      </c>
      <c r="AA326" s="27">
        <f t="shared" si="333"/>
        <v>149.96295849635149</v>
      </c>
      <c r="AB326" s="27">
        <f t="shared" si="333"/>
        <v>149.96295849635149</v>
      </c>
      <c r="AC326" s="27">
        <f t="shared" si="333"/>
        <v>149.96295849635149</v>
      </c>
      <c r="AD326" s="27">
        <f t="shared" si="333"/>
        <v>149.96295849635149</v>
      </c>
      <c r="AE326" s="27">
        <f t="shared" si="333"/>
        <v>149.96295849635149</v>
      </c>
      <c r="AF326" s="27">
        <f t="shared" si="333"/>
        <v>149.96295849635149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9.5507285526542148E-287</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4.2305791234475265E-28</v>
      </c>
      <c r="C338" s="3">
        <f t="shared" si="345"/>
        <v>4.3029564497582251E-259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1.5733558637513544E-4</v>
      </c>
      <c r="C339" s="3">
        <f t="shared" si="346"/>
        <v>2.2875458338467119E-25</v>
      </c>
      <c r="D339" s="3">
        <f t="shared" si="346"/>
        <v>9.6560213780718278E-234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1.9884383345897906E-2</v>
      </c>
      <c r="C340" s="3">
        <f t="shared" si="347"/>
        <v>2.6230111731891749E-4</v>
      </c>
      <c r="D340" s="3">
        <f t="shared" si="347"/>
        <v>4.1848536435565031E-23</v>
      </c>
      <c r="E340" s="3">
        <f t="shared" si="347"/>
        <v>4.4717921492426608E-211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3.2461337127042779E-2</v>
      </c>
      <c r="C341" s="3">
        <f t="shared" si="348"/>
        <v>2.196851728287812E-2</v>
      </c>
      <c r="D341" s="3">
        <f t="shared" si="348"/>
        <v>4.4273530699478168E-4</v>
      </c>
      <c r="E341" s="3">
        <f t="shared" si="348"/>
        <v>4.893034387348338E-21</v>
      </c>
      <c r="F341" s="3">
        <f t="shared" si="348"/>
        <v>1.330207446949193E-190</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4.6054350553992686E-2</v>
      </c>
      <c r="C342" s="3">
        <f t="shared" si="349"/>
        <v>4.4460508892025401E-2</v>
      </c>
      <c r="D342" s="3">
        <f t="shared" si="349"/>
        <v>3.1261664539072566E-2</v>
      </c>
      <c r="E342" s="3">
        <f t="shared" si="349"/>
        <v>9.2339770370262802E-4</v>
      </c>
      <c r="F342" s="3">
        <f t="shared" si="349"/>
        <v>4.6682672177039471E-19</v>
      </c>
      <c r="G342" s="3">
        <f t="shared" si="349"/>
        <v>5.0912553818167509E-172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5.6651394160135503E-2</v>
      </c>
      <c r="C343" s="3">
        <f t="shared" si="350"/>
        <v>5.6471686068073366E-2</v>
      </c>
      <c r="D343" s="3">
        <f t="shared" si="350"/>
        <v>5.4705662250595186E-2</v>
      </c>
      <c r="E343" s="3">
        <f t="shared" si="350"/>
        <v>3.9815074454524077E-2</v>
      </c>
      <c r="F343" s="3">
        <f t="shared" si="350"/>
        <v>1.6603515645981569E-3</v>
      </c>
      <c r="G343" s="3">
        <f t="shared" si="350"/>
        <v>2.6407378560695293E-17</v>
      </c>
      <c r="H343" s="3">
        <f t="shared" si="350"/>
        <v>2.7351279439397554E-155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5.8703867887331812E-2</v>
      </c>
      <c r="C344" s="3">
        <f t="shared" si="351"/>
        <v>5.8687045104253724E-2</v>
      </c>
      <c r="D344" s="3">
        <f t="shared" si="351"/>
        <v>5.8519082195669918E-2</v>
      </c>
      <c r="E344" s="3">
        <f t="shared" si="351"/>
        <v>5.6865666530444961E-2</v>
      </c>
      <c r="F344" s="3">
        <f t="shared" si="351"/>
        <v>4.2694940468624744E-2</v>
      </c>
      <c r="G344" s="3">
        <f t="shared" si="351"/>
        <v>2.4301842189463282E-3</v>
      </c>
      <c r="H344" s="3">
        <f t="shared" si="351"/>
        <v>8.6749511174261325E-16</v>
      </c>
      <c r="I344" s="3">
        <f t="shared" si="351"/>
        <v>2.9143750184356455E-140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5.6202194610030093E-2</v>
      </c>
      <c r="C345" s="3">
        <f t="shared" si="352"/>
        <v>5.620074153642355E-2</v>
      </c>
      <c r="D345" s="3">
        <f t="shared" si="352"/>
        <v>5.6186212866456281E-2</v>
      </c>
      <c r="E345" s="3">
        <f t="shared" si="352"/>
        <v>5.6041132579091921E-2</v>
      </c>
      <c r="F345" s="3">
        <f t="shared" si="352"/>
        <v>5.461077483528036E-2</v>
      </c>
      <c r="G345" s="3">
        <f t="shared" si="352"/>
        <v>4.2168940203041835E-2</v>
      </c>
      <c r="H345" s="3">
        <f t="shared" si="352"/>
        <v>3.1778702797554486E-3</v>
      </c>
      <c r="I345" s="3">
        <f t="shared" si="352"/>
        <v>1.8774611344823283E-14</v>
      </c>
      <c r="J345" s="3">
        <f t="shared" si="352"/>
        <v>9.7256549046446051E-127</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6.3415279750432887E-2</v>
      </c>
      <c r="C346" s="3">
        <f t="shared" si="353"/>
        <v>6.3415131846422043E-2</v>
      </c>
      <c r="D346" s="3">
        <f t="shared" si="353"/>
        <v>6.341365282528609E-2</v>
      </c>
      <c r="E346" s="3">
        <f t="shared" si="353"/>
        <v>6.3398864511017644E-2</v>
      </c>
      <c r="F346" s="3">
        <f t="shared" si="353"/>
        <v>6.3251170913824831E-2</v>
      </c>
      <c r="G346" s="3">
        <f t="shared" si="353"/>
        <v>6.1793026937225687E-2</v>
      </c>
      <c r="H346" s="3">
        <f t="shared" si="353"/>
        <v>4.8938253946876162E-2</v>
      </c>
      <c r="I346" s="3">
        <f t="shared" si="353"/>
        <v>4.7504907373218958E-3</v>
      </c>
      <c r="J346" s="3">
        <f t="shared" si="353"/>
        <v>3.5288933193811081E-13</v>
      </c>
      <c r="K346" s="3">
        <f t="shared" si="353"/>
        <v>1.8056728538949551E-114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3.5348869139445523E-2</v>
      </c>
      <c r="C347" s="3">
        <f t="shared" si="354"/>
        <v>3.5348861702260002E-2</v>
      </c>
      <c r="D347" s="3">
        <f t="shared" si="354"/>
        <v>3.534878733049087E-2</v>
      </c>
      <c r="E347" s="3">
        <f t="shared" si="354"/>
        <v>3.5348043621405513E-2</v>
      </c>
      <c r="F347" s="3">
        <f t="shared" si="354"/>
        <v>3.5340607391083807E-2</v>
      </c>
      <c r="G347" s="3">
        <f t="shared" si="354"/>
        <v>3.5266331074097407E-2</v>
      </c>
      <c r="H347" s="3">
        <f t="shared" si="354"/>
        <v>3.4532099965718516E-2</v>
      </c>
      <c r="I347" s="3">
        <f t="shared" si="354"/>
        <v>2.7980152767846898E-2</v>
      </c>
      <c r="J347" s="3">
        <f t="shared" si="354"/>
        <v>3.4128798575204671E-3</v>
      </c>
      <c r="K347" s="3">
        <f t="shared" si="354"/>
        <v>2.4878843542995501E-12</v>
      </c>
      <c r="L347" s="3">
        <f t="shared" si="354"/>
        <v>1.0541977284815878E-103</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7.0460456344971875E-2</v>
      </c>
      <c r="C348" s="3">
        <f t="shared" si="355"/>
        <v>7.0460452244900329E-2</v>
      </c>
      <c r="D348" s="3">
        <f t="shared" si="355"/>
        <v>7.0460411244197829E-2</v>
      </c>
      <c r="E348" s="3">
        <f t="shared" si="355"/>
        <v>7.0460001238485129E-2</v>
      </c>
      <c r="F348" s="3">
        <f t="shared" si="355"/>
        <v>7.0455901312575009E-2</v>
      </c>
      <c r="G348" s="3">
        <f t="shared" si="355"/>
        <v>7.0414915172338374E-2</v>
      </c>
      <c r="H348" s="3">
        <f t="shared" si="355"/>
        <v>7.0006362836309441E-2</v>
      </c>
      <c r="I348" s="3">
        <f t="shared" si="355"/>
        <v>6.6048970997597337E-2</v>
      </c>
      <c r="J348" s="3">
        <f t="shared" si="355"/>
        <v>3.6910631015092336E-2</v>
      </c>
      <c r="K348" s="3">
        <f t="shared" si="355"/>
        <v>1.0964923568178579E-4</v>
      </c>
      <c r="L348" s="3">
        <f t="shared" si="355"/>
        <v>5.8687687570244925E-30</v>
      </c>
      <c r="M348" s="3">
        <f t="shared" si="355"/>
        <v>1.132298382009165E-282</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8.6875447353155194E-2</v>
      </c>
      <c r="C349" s="3">
        <f t="shared" si="356"/>
        <v>8.6875446847629711E-2</v>
      </c>
      <c r="D349" s="3">
        <f t="shared" si="356"/>
        <v>8.687544179237508E-2</v>
      </c>
      <c r="E349" s="3">
        <f t="shared" si="356"/>
        <v>8.6875391239844835E-2</v>
      </c>
      <c r="F349" s="3">
        <f t="shared" si="356"/>
        <v>8.6874885716160366E-2</v>
      </c>
      <c r="G349" s="3">
        <f t="shared" si="356"/>
        <v>8.6869830641101806E-2</v>
      </c>
      <c r="H349" s="3">
        <f t="shared" si="356"/>
        <v>8.6819296065648824E-2</v>
      </c>
      <c r="I349" s="3">
        <f t="shared" si="356"/>
        <v>8.6315564347259385E-2</v>
      </c>
      <c r="J349" s="3">
        <f t="shared" si="356"/>
        <v>8.1436229154537326E-2</v>
      </c>
      <c r="K349" s="3">
        <f t="shared" si="356"/>
        <v>4.5509605375880523E-2</v>
      </c>
      <c r="L349" s="3">
        <f t="shared" si="356"/>
        <v>1.3519393487487636E-4</v>
      </c>
      <c r="M349" s="3">
        <f t="shared" si="356"/>
        <v>7.236000654263459E-30</v>
      </c>
      <c r="N349" s="3">
        <f t="shared" si="356"/>
        <v>1.3960870111354881E-282</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9.6215979992954864E-2</v>
      </c>
      <c r="C350" s="3">
        <f t="shared" si="357"/>
        <v>9.621597993696708E-2</v>
      </c>
      <c r="D350" s="3">
        <f t="shared" si="357"/>
        <v>9.6215979377089339E-2</v>
      </c>
      <c r="E350" s="3">
        <f t="shared" si="357"/>
        <v>9.6215973778312078E-2</v>
      </c>
      <c r="F350" s="3">
        <f t="shared" si="357"/>
        <v>9.6215917790557381E-2</v>
      </c>
      <c r="G350" s="3">
        <f t="shared" si="357"/>
        <v>9.6215357914802332E-2</v>
      </c>
      <c r="H350" s="3">
        <f t="shared" si="357"/>
        <v>9.6209759336432568E-2</v>
      </c>
      <c r="I350" s="3">
        <f t="shared" si="357"/>
        <v>9.615379146695914E-2</v>
      </c>
      <c r="J350" s="3">
        <f t="shared" si="357"/>
        <v>9.5595900343669146E-2</v>
      </c>
      <c r="K350" s="3">
        <f t="shared" si="357"/>
        <v>9.0191956751870986E-2</v>
      </c>
      <c r="L350" s="3">
        <f t="shared" si="357"/>
        <v>5.0402632863403372E-2</v>
      </c>
      <c r="M350" s="3">
        <f t="shared" si="357"/>
        <v>1.4972949575319008E-4</v>
      </c>
      <c r="N350" s="3">
        <f t="shared" si="357"/>
        <v>8.0139891647902747E-30</v>
      </c>
      <c r="O350" s="3">
        <f t="shared" si="357"/>
        <v>1.5461892162422798E-282</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0.11161416834542241</v>
      </c>
      <c r="C351" s="3">
        <f t="shared" si="358"/>
        <v>0.11161416833892762</v>
      </c>
      <c r="D351" s="3">
        <f t="shared" si="358"/>
        <v>0.11161416827397969</v>
      </c>
      <c r="E351" s="3">
        <f t="shared" si="358"/>
        <v>0.11161416762450037</v>
      </c>
      <c r="F351" s="3">
        <f t="shared" si="358"/>
        <v>0.11161416112970743</v>
      </c>
      <c r="G351" s="3">
        <f t="shared" si="358"/>
        <v>0.11161409618179881</v>
      </c>
      <c r="H351" s="3">
        <f t="shared" si="358"/>
        <v>0.11161344670479116</v>
      </c>
      <c r="I351" s="3">
        <f t="shared" si="358"/>
        <v>0.11160695214257117</v>
      </c>
      <c r="J351" s="3">
        <f t="shared" si="358"/>
        <v>0.11154202730154751</v>
      </c>
      <c r="K351" s="3">
        <f t="shared" si="358"/>
        <v>0.11089485254165583</v>
      </c>
      <c r="L351" s="3">
        <f t="shared" si="358"/>
        <v>0.10462607401034332</v>
      </c>
      <c r="M351" s="3">
        <f t="shared" si="358"/>
        <v>5.846895650341026E-2</v>
      </c>
      <c r="N351" s="3">
        <f t="shared" si="358"/>
        <v>1.7369186641889411E-4</v>
      </c>
      <c r="O351" s="3">
        <f t="shared" si="358"/>
        <v>9.2965299087608844E-30</v>
      </c>
      <c r="P351" s="3">
        <f t="shared" si="358"/>
        <v>1.7936378497432214E-282</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6.6462351022354996E-2</v>
      </c>
      <c r="C352" s="3">
        <f t="shared" si="359"/>
        <v>6.6462351021968263E-2</v>
      </c>
      <c r="D352" s="3">
        <f t="shared" si="359"/>
        <v>6.6462351018100843E-2</v>
      </c>
      <c r="E352" s="3">
        <f t="shared" si="359"/>
        <v>6.6462350979426613E-2</v>
      </c>
      <c r="F352" s="3">
        <f t="shared" si="359"/>
        <v>6.646235059268428E-2</v>
      </c>
      <c r="G352" s="3">
        <f t="shared" si="359"/>
        <v>6.6462346725261232E-2</v>
      </c>
      <c r="H352" s="3">
        <f t="shared" si="359"/>
        <v>6.6462308051043029E-2</v>
      </c>
      <c r="I352" s="3">
        <f t="shared" si="359"/>
        <v>6.6461921310098732E-2</v>
      </c>
      <c r="J352" s="3">
        <f t="shared" si="359"/>
        <v>6.6458054024427046E-2</v>
      </c>
      <c r="K352" s="3">
        <f t="shared" si="359"/>
        <v>6.6419393542177102E-2</v>
      </c>
      <c r="L352" s="3">
        <f t="shared" si="359"/>
        <v>6.6034023506256909E-2</v>
      </c>
      <c r="M352" s="3">
        <f t="shared" si="359"/>
        <v>6.2301184159753296E-2</v>
      </c>
      <c r="N352" s="3">
        <f t="shared" si="359"/>
        <v>3.4816227801756687E-2</v>
      </c>
      <c r="O352" s="3">
        <f t="shared" si="359"/>
        <v>1.0342745877805764E-4</v>
      </c>
      <c r="P352" s="3">
        <f t="shared" si="359"/>
        <v>5.5357598702891997E-30</v>
      </c>
      <c r="Q352" s="3">
        <f t="shared" si="359"/>
        <v>1.0680488879064877E-282</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4.7100906601752666E-2</v>
      </c>
      <c r="C353" s="3">
        <f t="shared" si="360"/>
        <v>4.7100906601725258E-2</v>
      </c>
      <c r="D353" s="3">
        <f t="shared" si="360"/>
        <v>4.7100906601451185E-2</v>
      </c>
      <c r="E353" s="3">
        <f t="shared" si="360"/>
        <v>4.7100906598710399E-2</v>
      </c>
      <c r="F353" s="3">
        <f t="shared" si="360"/>
        <v>4.7100906571302524E-2</v>
      </c>
      <c r="G353" s="3">
        <f t="shared" si="360"/>
        <v>4.7100906297223841E-2</v>
      </c>
      <c r="H353" s="3">
        <f t="shared" si="360"/>
        <v>4.710090355643707E-2</v>
      </c>
      <c r="I353" s="3">
        <f t="shared" si="360"/>
        <v>4.7100876148578164E-2</v>
      </c>
      <c r="J353" s="3">
        <f t="shared" si="360"/>
        <v>4.7100602070866256E-2</v>
      </c>
      <c r="K353" s="3">
        <f t="shared" si="360"/>
        <v>4.7097861381462075E-2</v>
      </c>
      <c r="L353" s="3">
        <f t="shared" si="360"/>
        <v>4.707046325702588E-2</v>
      </c>
      <c r="M353" s="3">
        <f t="shared" si="360"/>
        <v>4.6797357088047969E-2</v>
      </c>
      <c r="N353" s="3">
        <f t="shared" si="360"/>
        <v>4.4151947849368253E-2</v>
      </c>
      <c r="O353" s="3">
        <f t="shared" si="360"/>
        <v>2.467375692688557E-2</v>
      </c>
      <c r="P353" s="3">
        <f t="shared" si="360"/>
        <v>7.3297543662283554E-5</v>
      </c>
      <c r="Q353" s="3">
        <f t="shared" si="360"/>
        <v>3.9231129294894958E-30</v>
      </c>
      <c r="R353" s="3">
        <f t="shared" si="360"/>
        <v>7.5691079448031063E-283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2.259812877355909E-2</v>
      </c>
      <c r="C354" s="3">
        <f t="shared" si="361"/>
        <v>2.2598128773557775E-2</v>
      </c>
      <c r="D354" s="3">
        <f t="shared" si="361"/>
        <v>2.2598128773544623E-2</v>
      </c>
      <c r="E354" s="3">
        <f t="shared" si="361"/>
        <v>2.2598128773413127E-2</v>
      </c>
      <c r="F354" s="3">
        <f t="shared" si="361"/>
        <v>2.2598128772098151E-2</v>
      </c>
      <c r="G354" s="3">
        <f t="shared" si="361"/>
        <v>2.2598128758948371E-2</v>
      </c>
      <c r="H354" s="3">
        <f t="shared" si="361"/>
        <v>2.2598128627450573E-2</v>
      </c>
      <c r="I354" s="3">
        <f t="shared" si="361"/>
        <v>2.2598127312472651E-2</v>
      </c>
      <c r="J354" s="3">
        <f t="shared" si="361"/>
        <v>2.2598114162697632E-2</v>
      </c>
      <c r="K354" s="3">
        <f t="shared" si="361"/>
        <v>2.2597982665368291E-2</v>
      </c>
      <c r="L354" s="3">
        <f t="shared" si="361"/>
        <v>2.2596667734158839E-2</v>
      </c>
      <c r="M354" s="3">
        <f t="shared" si="361"/>
        <v>2.2583522629556117E-2</v>
      </c>
      <c r="N354" s="3">
        <f t="shared" si="361"/>
        <v>2.2452491428233419E-2</v>
      </c>
      <c r="O354" s="3">
        <f t="shared" si="361"/>
        <v>2.1183273849474139E-2</v>
      </c>
      <c r="P354" s="3">
        <f t="shared" si="361"/>
        <v>1.1838004331332237E-2</v>
      </c>
      <c r="Q354" s="3">
        <f t="shared" si="361"/>
        <v>3.5166782339686891E-5</v>
      </c>
      <c r="R354" s="3">
        <f t="shared" si="361"/>
        <v>1.8822357693326051E-30</v>
      </c>
      <c r="S354" s="3">
        <f t="shared" si="361"/>
        <v>3.6315155774783958E-283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6.4467605952010466E-3</v>
      </c>
      <c r="C355" s="3">
        <f t="shared" si="362"/>
        <v>6.4467605952010093E-3</v>
      </c>
      <c r="D355" s="3">
        <f t="shared" si="362"/>
        <v>6.4467605952006346E-3</v>
      </c>
      <c r="E355" s="3">
        <f t="shared" si="362"/>
        <v>6.4467605951968824E-3</v>
      </c>
      <c r="F355" s="3">
        <f t="shared" si="362"/>
        <v>6.4467605951593699E-3</v>
      </c>
      <c r="G355" s="3">
        <f t="shared" si="362"/>
        <v>6.4467605947842342E-3</v>
      </c>
      <c r="H355" s="3">
        <f t="shared" si="362"/>
        <v>6.4467605910328851E-3</v>
      </c>
      <c r="I355" s="3">
        <f t="shared" si="362"/>
        <v>6.4467605535193885E-3</v>
      </c>
      <c r="J355" s="3">
        <f t="shared" si="362"/>
        <v>6.4467601783844411E-3</v>
      </c>
      <c r="K355" s="3">
        <f t="shared" si="362"/>
        <v>6.4467564270361639E-3</v>
      </c>
      <c r="L355" s="3">
        <f t="shared" si="362"/>
        <v>6.4467189136734578E-3</v>
      </c>
      <c r="M355" s="3">
        <f t="shared" si="362"/>
        <v>6.4463437920520431E-3</v>
      </c>
      <c r="N355" s="3">
        <f t="shared" si="362"/>
        <v>6.4425937761448948E-3</v>
      </c>
      <c r="O355" s="3">
        <f t="shared" si="362"/>
        <v>6.4052133897468232E-3</v>
      </c>
      <c r="P355" s="3">
        <f t="shared" si="362"/>
        <v>6.043132884963812E-3</v>
      </c>
      <c r="Q355" s="3">
        <f t="shared" si="362"/>
        <v>3.377128284105801E-3</v>
      </c>
      <c r="R355" s="3">
        <f t="shared" si="362"/>
        <v>1.0032327407248341E-5</v>
      </c>
      <c r="S355" s="3">
        <f t="shared" si="362"/>
        <v>5.3696142323115903E-31</v>
      </c>
      <c r="T355" s="3">
        <f t="shared" si="362"/>
        <v>1.0359933674304471E-283</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9.8307104636690716E-5</v>
      </c>
      <c r="D356" s="3">
        <f t="shared" si="363"/>
        <v>9.8307104636690147E-5</v>
      </c>
      <c r="E356" s="3">
        <f t="shared" si="363"/>
        <v>9.8307104636684428E-5</v>
      </c>
      <c r="F356" s="3">
        <f t="shared" si="363"/>
        <v>9.8307104636627222E-5</v>
      </c>
      <c r="G356" s="3">
        <f t="shared" si="363"/>
        <v>9.8307104636055184E-5</v>
      </c>
      <c r="H356" s="3">
        <f t="shared" si="363"/>
        <v>9.8307104630334716E-5</v>
      </c>
      <c r="I356" s="3">
        <f t="shared" si="363"/>
        <v>9.8307104573130123E-5</v>
      </c>
      <c r="J356" s="3">
        <f t="shared" si="363"/>
        <v>9.8307104001084186E-5</v>
      </c>
      <c r="K356" s="3">
        <f t="shared" si="363"/>
        <v>9.8307098280625059E-5</v>
      </c>
      <c r="L356" s="3">
        <f t="shared" si="363"/>
        <v>9.8307041076051976E-5</v>
      </c>
      <c r="M356" s="3">
        <f t="shared" si="363"/>
        <v>9.8306469032152042E-5</v>
      </c>
      <c r="N356" s="3">
        <f t="shared" si="363"/>
        <v>9.830074877622763E-5</v>
      </c>
      <c r="O356" s="3">
        <f t="shared" si="363"/>
        <v>9.8243564520549258E-5</v>
      </c>
      <c r="P356" s="3">
        <f t="shared" si="363"/>
        <v>9.7673548385665855E-5</v>
      </c>
      <c r="Q356" s="3">
        <f t="shared" si="363"/>
        <v>9.2152157363777087E-5</v>
      </c>
      <c r="R356" s="3">
        <f t="shared" si="363"/>
        <v>5.1498066151898609E-5</v>
      </c>
      <c r="S356" s="3">
        <f t="shared" si="363"/>
        <v>1.5298366452572541E-7</v>
      </c>
      <c r="T356" s="3">
        <f t="shared" si="363"/>
        <v>8.1881624173769579E-33</v>
      </c>
      <c r="U356" s="3">
        <f t="shared" si="363"/>
        <v>1.5797935547772022E-285</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1.1020901234699515E-2</v>
      </c>
      <c r="E357" s="3">
        <f t="shared" si="364"/>
        <v>1.102090123469945E-2</v>
      </c>
      <c r="F357" s="3">
        <f t="shared" si="364"/>
        <v>1.1020901234698809E-2</v>
      </c>
      <c r="G357" s="3">
        <f t="shared" si="364"/>
        <v>1.1020901234692395E-2</v>
      </c>
      <c r="H357" s="3">
        <f t="shared" si="364"/>
        <v>1.1020901234628266E-2</v>
      </c>
      <c r="I357" s="3">
        <f t="shared" si="364"/>
        <v>1.1020901233986963E-2</v>
      </c>
      <c r="J357" s="3">
        <f t="shared" si="364"/>
        <v>1.1020901227573935E-2</v>
      </c>
      <c r="K357" s="3">
        <f t="shared" si="364"/>
        <v>1.1020901163443659E-2</v>
      </c>
      <c r="L357" s="3">
        <f t="shared" si="364"/>
        <v>1.1020900522140924E-2</v>
      </c>
      <c r="M357" s="3">
        <f t="shared" si="364"/>
        <v>1.1020894109115616E-2</v>
      </c>
      <c r="N357" s="3">
        <f t="shared" si="364"/>
        <v>1.1020829979067778E-2</v>
      </c>
      <c r="O357" s="3">
        <f t="shared" si="364"/>
        <v>1.1020188699113363E-2</v>
      </c>
      <c r="P357" s="3">
        <f t="shared" si="364"/>
        <v>1.1013777951524566E-2</v>
      </c>
      <c r="Q357" s="3">
        <f t="shared" si="364"/>
        <v>1.094987523006866E-2</v>
      </c>
      <c r="R357" s="3">
        <f t="shared" si="364"/>
        <v>1.0330889396285068E-2</v>
      </c>
      <c r="S357" s="3">
        <f t="shared" si="364"/>
        <v>5.7732867114293042E-3</v>
      </c>
      <c r="T357" s="3">
        <f t="shared" si="364"/>
        <v>1.7150518912049808E-5</v>
      </c>
      <c r="U357" s="3">
        <f t="shared" si="364"/>
        <v>9.1794921261377134E-31</v>
      </c>
      <c r="V357" s="3">
        <f t="shared" si="364"/>
        <v>1.7710570159459531E-283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0.53269403841495133</v>
      </c>
      <c r="B358" s="80">
        <f>IF($A$64&lt;=B324,IF($B$64&gt;=B324,ABS((B326-B325)/B325),0),0)</f>
        <v>5.2709235522576996E-2</v>
      </c>
      <c r="C358" s="80">
        <f t="shared" ref="C358:AF358" si="365">IF($A$64&lt;=C324,IF($B$64&gt;=C324,ABS((C326-C325)/C325),0),0)</f>
        <v>4.7905115971906144E-2</v>
      </c>
      <c r="D358" s="80">
        <f t="shared" si="365"/>
        <v>3.0943176936302275E-2</v>
      </c>
      <c r="E358" s="80">
        <f t="shared" si="365"/>
        <v>3.356987986102413E-4</v>
      </c>
      <c r="F358" s="80">
        <f t="shared" si="365"/>
        <v>4.0757876846549967E-2</v>
      </c>
      <c r="G358" s="80">
        <f t="shared" si="365"/>
        <v>7.9097780914753127E-2</v>
      </c>
      <c r="H358" s="80">
        <f t="shared" si="365"/>
        <v>0.11760372181993947</v>
      </c>
      <c r="I358" s="80">
        <f t="shared" si="365"/>
        <v>0.16878325986032963</v>
      </c>
      <c r="J358" s="80">
        <f t="shared" si="365"/>
        <v>0.2371748926058905</v>
      </c>
      <c r="K358" s="80">
        <f t="shared" si="365"/>
        <v>0.33941114786769183</v>
      </c>
      <c r="L358" s="80">
        <f t="shared" si="365"/>
        <v>0.46581681335843589</v>
      </c>
      <c r="M358" s="80">
        <f t="shared" si="365"/>
        <v>0.61751682529729879</v>
      </c>
      <c r="N358" s="80">
        <f t="shared" si="365"/>
        <v>0.76042921417889886</v>
      </c>
      <c r="O358" s="80">
        <f t="shared" si="365"/>
        <v>0.85299321683714835</v>
      </c>
      <c r="P358" s="80">
        <f t="shared" si="365"/>
        <v>0.91322155146304818</v>
      </c>
      <c r="Q358" s="80">
        <f t="shared" si="365"/>
        <v>0.93670406838173803</v>
      </c>
      <c r="R358" s="80">
        <f t="shared" si="365"/>
        <v>0.93356789268839646</v>
      </c>
      <c r="S358" s="80">
        <f t="shared" si="365"/>
        <v>0.92800747789824223</v>
      </c>
      <c r="T358" s="80">
        <f t="shared" si="365"/>
        <v>0.92913503884644555</v>
      </c>
      <c r="U358" s="80">
        <f t="shared" si="365"/>
        <v>0.89527032411448104</v>
      </c>
      <c r="V358" s="80">
        <f t="shared" si="365"/>
        <v>0.84505373297398001</v>
      </c>
      <c r="W358" s="80">
        <f t="shared" si="365"/>
        <v>0.77804211142196888</v>
      </c>
      <c r="X358" s="80">
        <f t="shared" si="365"/>
        <v>0.71794030482986482</v>
      </c>
      <c r="Y358" s="80">
        <f t="shared" si="365"/>
        <v>0.66962673163564568</v>
      </c>
      <c r="Z358" s="80">
        <f t="shared" si="365"/>
        <v>0.64111249020599392</v>
      </c>
      <c r="AA358" s="80">
        <f t="shared" si="365"/>
        <v>0.61735963954923412</v>
      </c>
      <c r="AB358" s="80">
        <f t="shared" si="365"/>
        <v>0.60434750274653293</v>
      </c>
      <c r="AC358" s="80">
        <f t="shared" si="365"/>
        <v>0.59204140012174478</v>
      </c>
      <c r="AD358" s="80">
        <f t="shared" si="365"/>
        <v>0.56927033381711833</v>
      </c>
      <c r="AE358" s="80">
        <f t="shared" si="365"/>
        <v>0.56759868043706685</v>
      </c>
      <c r="AF358" s="80">
        <f t="shared" si="365"/>
        <v>0.56373793291565621</v>
      </c>
    </row>
    <row r="359" spans="1:34" x14ac:dyDescent="0.25">
      <c r="B359" s="21">
        <f>(B326-B325)^2</f>
        <v>264720.49722448352</v>
      </c>
      <c r="C359" s="21">
        <f t="shared" ref="C359:AF359" si="366">(C326-C325)^2</f>
        <v>205245.57890826356</v>
      </c>
      <c r="D359" s="21">
        <f t="shared" si="366"/>
        <v>81111.179914541965</v>
      </c>
      <c r="E359" s="21">
        <f t="shared" si="366"/>
        <v>9.0273673121644169</v>
      </c>
      <c r="F359" s="21">
        <f t="shared" si="366"/>
        <v>125022.25144377643</v>
      </c>
      <c r="G359" s="21">
        <f t="shared" si="366"/>
        <v>435537.6916580965</v>
      </c>
      <c r="H359" s="21">
        <f t="shared" si="366"/>
        <v>883063.82116173976</v>
      </c>
      <c r="I359" s="21">
        <f t="shared" si="366"/>
        <v>1680531.5448272377</v>
      </c>
      <c r="J359" s="21">
        <f t="shared" si="366"/>
        <v>3091029.7649815753</v>
      </c>
      <c r="K359" s="21">
        <f t="shared" si="366"/>
        <v>5873173.1164678233</v>
      </c>
      <c r="L359" s="21">
        <f t="shared" si="366"/>
        <v>10230175.607168768</v>
      </c>
      <c r="M359" s="21">
        <f t="shared" si="366"/>
        <v>16564233.782612747</v>
      </c>
      <c r="N359" s="21">
        <f t="shared" si="366"/>
        <v>22943184.048108965</v>
      </c>
      <c r="O359" s="21">
        <f t="shared" si="366"/>
        <v>25721395.450613897</v>
      </c>
      <c r="P359" s="21">
        <f t="shared" si="366"/>
        <v>25674055.840735633</v>
      </c>
      <c r="Q359" s="21">
        <f t="shared" si="366"/>
        <v>21706916.932143986</v>
      </c>
      <c r="R359" s="21">
        <f t="shared" si="366"/>
        <v>14236952.673026031</v>
      </c>
      <c r="S359" s="21">
        <f t="shared" si="366"/>
        <v>7739057.8080734015</v>
      </c>
      <c r="T359" s="21">
        <f t="shared" si="366"/>
        <v>3876098.8878411162</v>
      </c>
      <c r="U359" s="21">
        <f t="shared" si="366"/>
        <v>1643375.6902608857</v>
      </c>
      <c r="V359" s="21">
        <f t="shared" si="366"/>
        <v>668920.35744459205</v>
      </c>
      <c r="W359" s="21">
        <f t="shared" si="366"/>
        <v>276333.18147990532</v>
      </c>
      <c r="X359" s="21">
        <f t="shared" si="366"/>
        <v>145701.02436239438</v>
      </c>
      <c r="Y359" s="21">
        <f t="shared" si="366"/>
        <v>92389.744191015736</v>
      </c>
      <c r="Z359" s="21">
        <f t="shared" si="366"/>
        <v>71766.172909658257</v>
      </c>
      <c r="AA359" s="21">
        <f t="shared" si="366"/>
        <v>58541.37418751268</v>
      </c>
      <c r="AB359" s="21">
        <f t="shared" si="366"/>
        <v>52470.311280138747</v>
      </c>
      <c r="AC359" s="21">
        <f t="shared" si="366"/>
        <v>47363.083442105875</v>
      </c>
      <c r="AD359" s="21">
        <f t="shared" si="366"/>
        <v>39282.175779159232</v>
      </c>
      <c r="AE359" s="21">
        <f t="shared" si="366"/>
        <v>38750.448405626754</v>
      </c>
      <c r="AF359" s="21">
        <f t="shared" si="366"/>
        <v>37551.527800492964</v>
      </c>
      <c r="AG359" s="3"/>
      <c r="AH359" s="3"/>
    </row>
    <row r="360" spans="1:34" x14ac:dyDescent="0.25">
      <c r="A360" s="71">
        <f>SUM(B360:AF360)</f>
        <v>164503960.59582281</v>
      </c>
      <c r="B360" s="60">
        <f>IF($A$64&lt;=B324,IF($B$64&gt;=B324,ABS(B359),0),0)</f>
        <v>264720.49722448352</v>
      </c>
      <c r="C360" s="60">
        <f t="shared" ref="C360:AF360" si="367">IF($A$64&lt;=C324,IF($B$64&gt;=C324,ABS(C359),0),0)</f>
        <v>205245.57890826356</v>
      </c>
      <c r="D360" s="60">
        <f t="shared" si="367"/>
        <v>81111.179914541965</v>
      </c>
      <c r="E360" s="60">
        <f t="shared" si="367"/>
        <v>9.0273673121644169</v>
      </c>
      <c r="F360" s="60">
        <f t="shared" si="367"/>
        <v>125022.25144377643</v>
      </c>
      <c r="G360" s="60">
        <f t="shared" si="367"/>
        <v>435537.6916580965</v>
      </c>
      <c r="H360" s="60">
        <f t="shared" si="367"/>
        <v>883063.82116173976</v>
      </c>
      <c r="I360" s="60">
        <f t="shared" si="367"/>
        <v>1680531.5448272377</v>
      </c>
      <c r="J360" s="60">
        <f t="shared" si="367"/>
        <v>3091029.7649815753</v>
      </c>
      <c r="K360" s="60">
        <f t="shared" si="367"/>
        <v>5873173.1164678233</v>
      </c>
      <c r="L360" s="60">
        <f t="shared" si="367"/>
        <v>10230175.607168768</v>
      </c>
      <c r="M360" s="60">
        <f t="shared" si="367"/>
        <v>16564233.782612747</v>
      </c>
      <c r="N360" s="60">
        <f t="shared" si="367"/>
        <v>22943184.048108965</v>
      </c>
      <c r="O360" s="60">
        <f t="shared" si="367"/>
        <v>25721395.450613897</v>
      </c>
      <c r="P360" s="60">
        <f t="shared" si="367"/>
        <v>25674055.840735633</v>
      </c>
      <c r="Q360" s="60">
        <f t="shared" si="367"/>
        <v>21706916.932143986</v>
      </c>
      <c r="R360" s="60">
        <f t="shared" si="367"/>
        <v>14236952.673026031</v>
      </c>
      <c r="S360" s="60">
        <f t="shared" si="367"/>
        <v>7739057.8080734015</v>
      </c>
      <c r="T360" s="60">
        <f t="shared" si="367"/>
        <v>3876098.8878411162</v>
      </c>
      <c r="U360" s="60">
        <f t="shared" si="367"/>
        <v>1643375.6902608857</v>
      </c>
      <c r="V360" s="60">
        <f t="shared" si="367"/>
        <v>668920.35744459205</v>
      </c>
      <c r="W360" s="60">
        <f t="shared" si="367"/>
        <v>276333.18147990532</v>
      </c>
      <c r="X360" s="60">
        <f t="shared" si="367"/>
        <v>145701.02436239438</v>
      </c>
      <c r="Y360" s="60">
        <f t="shared" si="367"/>
        <v>92389.744191015736</v>
      </c>
      <c r="Z360" s="60">
        <f t="shared" si="367"/>
        <v>71766.172909658257</v>
      </c>
      <c r="AA360" s="60">
        <f t="shared" si="367"/>
        <v>58541.37418751268</v>
      </c>
      <c r="AB360" s="60">
        <f t="shared" si="367"/>
        <v>52470.311280138747</v>
      </c>
      <c r="AC360" s="60">
        <f t="shared" si="367"/>
        <v>47363.083442105875</v>
      </c>
      <c r="AD360" s="60">
        <f t="shared" si="367"/>
        <v>39282.175779159232</v>
      </c>
      <c r="AE360" s="60">
        <f t="shared" si="367"/>
        <v>38750.448405626754</v>
      </c>
      <c r="AF360" s="60">
        <f t="shared" si="367"/>
        <v>37551.527800492964</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9588.7653796260074</v>
      </c>
      <c r="C365" s="27">
        <f t="shared" ref="C365:AF365" si="368">($C$17+SUM(C366:C396))*$B$51</f>
        <v>9073.0413084912361</v>
      </c>
      <c r="D365" s="27">
        <f t="shared" si="368"/>
        <v>8463.9618786068077</v>
      </c>
      <c r="E365" s="27">
        <f t="shared" si="368"/>
        <v>7831.1664449551308</v>
      </c>
      <c r="F365" s="27">
        <f t="shared" si="368"/>
        <v>7205.9284686121509</v>
      </c>
      <c r="G365" s="27">
        <f t="shared" si="368"/>
        <v>6547.2923990375693</v>
      </c>
      <c r="H365" s="27">
        <f t="shared" si="368"/>
        <v>5879.5228519177663</v>
      </c>
      <c r="I365" s="27">
        <f t="shared" si="368"/>
        <v>4927.9428715567319</v>
      </c>
      <c r="J365" s="27">
        <f t="shared" si="368"/>
        <v>3903.6474195325545</v>
      </c>
      <c r="K365" s="27">
        <f t="shared" si="368"/>
        <v>2773.6606871072659</v>
      </c>
      <c r="L365" s="27">
        <f t="shared" si="368"/>
        <v>1675.1497582675752</v>
      </c>
      <c r="M365" s="27">
        <f t="shared" si="368"/>
        <v>985.14581368428151</v>
      </c>
      <c r="N365" s="27">
        <f t="shared" si="368"/>
        <v>537.22803243284636</v>
      </c>
      <c r="O365" s="27">
        <f t="shared" si="368"/>
        <v>332.83206601495766</v>
      </c>
      <c r="P365" s="27">
        <f t="shared" si="368"/>
        <v>273.52811212770149</v>
      </c>
      <c r="Q365" s="27">
        <f t="shared" si="368"/>
        <v>236.3510820179998</v>
      </c>
      <c r="R365" s="27">
        <f t="shared" si="368"/>
        <v>152.90808024456189</v>
      </c>
      <c r="S365" s="27">
        <f t="shared" si="368"/>
        <v>149.96295849635149</v>
      </c>
      <c r="T365" s="27">
        <f t="shared" si="368"/>
        <v>149.96295849635149</v>
      </c>
      <c r="U365" s="27">
        <f t="shared" si="368"/>
        <v>149.96295849635149</v>
      </c>
      <c r="V365" s="27">
        <f t="shared" si="368"/>
        <v>149.96295849635149</v>
      </c>
      <c r="W365" s="27">
        <f t="shared" si="368"/>
        <v>149.96295849635149</v>
      </c>
      <c r="X365" s="27">
        <f t="shared" si="368"/>
        <v>149.96295849635149</v>
      </c>
      <c r="Y365" s="27">
        <f t="shared" si="368"/>
        <v>149.96295849635149</v>
      </c>
      <c r="Z365" s="27">
        <f t="shared" si="368"/>
        <v>149.96295849635149</v>
      </c>
      <c r="AA365" s="27">
        <f t="shared" si="368"/>
        <v>149.96295849635149</v>
      </c>
      <c r="AB365" s="27">
        <f t="shared" si="368"/>
        <v>149.96295849635149</v>
      </c>
      <c r="AC365" s="27">
        <f t="shared" si="368"/>
        <v>149.96295849635149</v>
      </c>
      <c r="AD365" s="27">
        <f t="shared" si="368"/>
        <v>149.96295849635149</v>
      </c>
      <c r="AE365" s="27">
        <f t="shared" si="368"/>
        <v>149.96295849635149</v>
      </c>
      <c r="AF365" s="27">
        <f t="shared" si="368"/>
        <v>149.96295849635149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1.2337117791089249E-136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2.4070593522408619E-14</v>
      </c>
      <c r="C379" s="3">
        <f t="shared" si="382"/>
        <v>1.7723392650576598E-123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2.7311879039514462E-3</v>
      </c>
      <c r="C380" s="3">
        <f t="shared" si="383"/>
        <v>3.9052828943344146E-13</v>
      </c>
      <c r="D380" s="3">
        <f t="shared" si="383"/>
        <v>1.3952810223887099E-111</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3.6837943879580018E-2</v>
      </c>
      <c r="C381" s="3">
        <f t="shared" si="384"/>
        <v>4.7667417632956104E-3</v>
      </c>
      <c r="D381" s="3">
        <f t="shared" si="384"/>
        <v>6.2731266178958748E-12</v>
      </c>
      <c r="E381" s="3">
        <f t="shared" si="384"/>
        <v>9.7748103616322278E-101</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5.5521683363066107E-2</v>
      </c>
      <c r="C382" s="3">
        <f t="shared" si="385"/>
        <v>4.616905485998099E-2</v>
      </c>
      <c r="D382" s="3">
        <f t="shared" si="385"/>
        <v>7.2985161696080313E-3</v>
      </c>
      <c r="E382" s="3">
        <f t="shared" si="385"/>
        <v>7.1132894154603088E-11</v>
      </c>
      <c r="F382" s="3">
        <f t="shared" si="385"/>
        <v>5.5008464712136805E-91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5.8597296131417773E-2</v>
      </c>
      <c r="C383" s="3">
        <f t="shared" si="386"/>
        <v>5.7630294679119766E-2</v>
      </c>
      <c r="D383" s="3">
        <f t="shared" si="386"/>
        <v>4.8795916050066876E-2</v>
      </c>
      <c r="E383" s="3">
        <f t="shared" si="386"/>
        <v>9.2408054627766394E-3</v>
      </c>
      <c r="F383" s="3">
        <f t="shared" si="386"/>
        <v>5.4824332000912976E-10</v>
      </c>
      <c r="G383" s="3">
        <f t="shared" si="386"/>
        <v>2.9621603254461042E-82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5.6192983028779564E-2</v>
      </c>
      <c r="C384" s="3">
        <f t="shared" si="387"/>
        <v>5.6108696014398773E-2</v>
      </c>
      <c r="D384" s="3">
        <f t="shared" si="387"/>
        <v>5.5272748150261945E-2</v>
      </c>
      <c r="E384" s="3">
        <f t="shared" si="387"/>
        <v>4.7568546685062114E-2</v>
      </c>
      <c r="F384" s="3">
        <f t="shared" si="387"/>
        <v>1.0602496359405853E-2</v>
      </c>
      <c r="G384" s="3">
        <f t="shared" si="387"/>
        <v>3.2084156167311595E-9</v>
      </c>
      <c r="H384" s="3">
        <f t="shared" si="387"/>
        <v>2.0659295955817299E-74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6.3414342072277752E-2</v>
      </c>
      <c r="C385" s="3">
        <f t="shared" si="388"/>
        <v>6.340575571063034E-2</v>
      </c>
      <c r="D385" s="3">
        <f t="shared" si="388"/>
        <v>6.3319956011269343E-2</v>
      </c>
      <c r="E385" s="3">
        <f t="shared" si="388"/>
        <v>6.2468318821053019E-2</v>
      </c>
      <c r="F385" s="3">
        <f t="shared" si="388"/>
        <v>5.4557185124635164E-2</v>
      </c>
      <c r="G385" s="3">
        <f t="shared" si="388"/>
        <v>1.4085534171060078E-2</v>
      </c>
      <c r="H385" s="3">
        <f t="shared" si="388"/>
        <v>1.8534760935648588E-8</v>
      </c>
      <c r="I385" s="3">
        <f t="shared" si="388"/>
        <v>2.8848528212732625E-67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3.5348821989095336E-2</v>
      </c>
      <c r="C386" s="3">
        <f t="shared" si="389"/>
        <v>3.5348390201687459E-2</v>
      </c>
      <c r="D386" s="3">
        <f t="shared" si="389"/>
        <v>3.5344072617684734E-2</v>
      </c>
      <c r="E386" s="3">
        <f t="shared" si="389"/>
        <v>3.5300925772149917E-2</v>
      </c>
      <c r="F386" s="3">
        <f t="shared" si="389"/>
        <v>3.4872343704427072E-2</v>
      </c>
      <c r="G386" s="3">
        <f t="shared" si="389"/>
        <v>3.0862531869544158E-2</v>
      </c>
      <c r="H386" s="3">
        <f t="shared" si="389"/>
        <v>9.0977856587990576E-3</v>
      </c>
      <c r="I386" s="3">
        <f t="shared" si="389"/>
        <v>4.507930318770578E-8</v>
      </c>
      <c r="J386" s="3">
        <f t="shared" si="389"/>
        <v>4.0215375670028477E-61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7.0460430351282743E-2</v>
      </c>
      <c r="C387" s="3">
        <f t="shared" si="390"/>
        <v>7.0460192308455585E-2</v>
      </c>
      <c r="D387" s="3">
        <f t="shared" si="390"/>
        <v>7.0457811924414609E-2</v>
      </c>
      <c r="E387" s="3">
        <f t="shared" si="390"/>
        <v>7.043401250651582E-2</v>
      </c>
      <c r="F387" s="3">
        <f t="shared" si="390"/>
        <v>7.0196460026298424E-2</v>
      </c>
      <c r="G387" s="3">
        <f t="shared" si="390"/>
        <v>6.7864557928755204E-2</v>
      </c>
      <c r="H387" s="3">
        <f t="shared" si="390"/>
        <v>4.8408447489121632E-2</v>
      </c>
      <c r="I387" s="3">
        <f t="shared" si="390"/>
        <v>1.6508303930451193E-3</v>
      </c>
      <c r="J387" s="3">
        <f t="shared" si="390"/>
        <v>3.5116843321582909E-18</v>
      </c>
      <c r="K387" s="3">
        <f t="shared" si="390"/>
        <v>6.6626286757304946E-165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8.6875444148217462E-2</v>
      </c>
      <c r="C388" s="3">
        <f t="shared" si="391"/>
        <v>8.6875414798257958E-2</v>
      </c>
      <c r="D388" s="3">
        <f t="shared" si="391"/>
        <v>8.6875121299208269E-2</v>
      </c>
      <c r="E388" s="3">
        <f t="shared" si="391"/>
        <v>8.6872186363246229E-2</v>
      </c>
      <c r="F388" s="3">
        <f t="shared" si="391"/>
        <v>8.6842842456437724E-2</v>
      </c>
      <c r="G388" s="3">
        <f t="shared" si="391"/>
        <v>8.6549947988544873E-2</v>
      </c>
      <c r="H388" s="3">
        <f t="shared" si="391"/>
        <v>8.3674788683059498E-2</v>
      </c>
      <c r="I388" s="3">
        <f t="shared" si="391"/>
        <v>5.9686038452936706E-2</v>
      </c>
      <c r="J388" s="3">
        <f t="shared" si="391"/>
        <v>2.0354200853210528E-3</v>
      </c>
      <c r="K388" s="3">
        <f t="shared" si="391"/>
        <v>4.3297923597090402E-18</v>
      </c>
      <c r="L388" s="3">
        <f t="shared" si="391"/>
        <v>8.2148040675468909E-165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9.6215979638002755E-2</v>
      </c>
      <c r="C389" s="3">
        <f t="shared" si="392"/>
        <v>9.6215976387446084E-2</v>
      </c>
      <c r="D389" s="3">
        <f t="shared" si="392"/>
        <v>9.6215943881885535E-2</v>
      </c>
      <c r="E389" s="3">
        <f t="shared" si="392"/>
        <v>9.6215618826883953E-2</v>
      </c>
      <c r="F389" s="3">
        <f t="shared" si="392"/>
        <v>9.6212368337266416E-2</v>
      </c>
      <c r="G389" s="3">
        <f t="shared" si="392"/>
        <v>9.617986948016953E-2</v>
      </c>
      <c r="H389" s="3">
        <f t="shared" si="392"/>
        <v>9.5855484062827498E-2</v>
      </c>
      <c r="I389" s="3">
        <f t="shared" si="392"/>
        <v>9.2671198070864574E-2</v>
      </c>
      <c r="J389" s="3">
        <f t="shared" si="392"/>
        <v>6.6103264538714748E-2</v>
      </c>
      <c r="K389" s="3">
        <f t="shared" si="392"/>
        <v>2.2542610606244851E-3</v>
      </c>
      <c r="L389" s="3">
        <f t="shared" si="392"/>
        <v>4.7953159092177646E-18</v>
      </c>
      <c r="M389" s="3">
        <f t="shared" si="392"/>
        <v>9.0980299662364992E-165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0.11161416830424663</v>
      </c>
      <c r="C390" s="3">
        <f t="shared" si="393"/>
        <v>0.11161416792716979</v>
      </c>
      <c r="D390" s="3">
        <f t="shared" si="393"/>
        <v>0.11161416415640137</v>
      </c>
      <c r="E390" s="3">
        <f t="shared" si="393"/>
        <v>0.11161412644872425</v>
      </c>
      <c r="F390" s="3">
        <f t="shared" si="393"/>
        <v>0.11161374937265363</v>
      </c>
      <c r="G390" s="3">
        <f t="shared" si="393"/>
        <v>0.11160997868201178</v>
      </c>
      <c r="H390" s="3">
        <f t="shared" si="393"/>
        <v>0.11157227878115226</v>
      </c>
      <c r="I390" s="3">
        <f t="shared" si="393"/>
        <v>0.11119597945352959</v>
      </c>
      <c r="J390" s="3">
        <f t="shared" si="393"/>
        <v>0.10750208751611687</v>
      </c>
      <c r="K390" s="3">
        <f t="shared" si="393"/>
        <v>7.6682281846705821E-2</v>
      </c>
      <c r="L390" s="3">
        <f t="shared" si="393"/>
        <v>2.6150279144779684E-3</v>
      </c>
      <c r="M390" s="3">
        <f t="shared" si="393"/>
        <v>5.5627474476585231E-18</v>
      </c>
      <c r="N390" s="3">
        <f t="shared" si="393"/>
        <v>1.055405815414948E-164</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6.6462351019903124E-2</v>
      </c>
      <c r="C391" s="3">
        <f t="shared" si="394"/>
        <v>6.6462350997449515E-2</v>
      </c>
      <c r="D391" s="3">
        <f t="shared" si="394"/>
        <v>6.6462350772913389E-2</v>
      </c>
      <c r="E391" s="3">
        <f t="shared" si="394"/>
        <v>6.6462348527552076E-2</v>
      </c>
      <c r="F391" s="3">
        <f t="shared" si="394"/>
        <v>6.646232607394327E-2</v>
      </c>
      <c r="G391" s="3">
        <f t="shared" si="394"/>
        <v>6.6462101538272408E-2</v>
      </c>
      <c r="H391" s="3">
        <f t="shared" si="394"/>
        <v>6.6459856223284638E-2</v>
      </c>
      <c r="I391" s="3">
        <f t="shared" si="394"/>
        <v>6.6437407244973351E-2</v>
      </c>
      <c r="J391" s="3">
        <f t="shared" si="394"/>
        <v>6.621333409751784E-2</v>
      </c>
      <c r="K391" s="3">
        <f t="shared" si="394"/>
        <v>6.4013750064227756E-2</v>
      </c>
      <c r="L391" s="3">
        <f t="shared" si="394"/>
        <v>4.5661628884683503E-2</v>
      </c>
      <c r="M391" s="3">
        <f t="shared" si="394"/>
        <v>1.5571580719609273E-3</v>
      </c>
      <c r="N391" s="3">
        <f t="shared" si="394"/>
        <v>3.3124224190664919E-18</v>
      </c>
      <c r="O391" s="3">
        <f t="shared" si="394"/>
        <v>6.2845741552857021E-165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4.710090660157891E-2</v>
      </c>
      <c r="C392" s="3">
        <f t="shared" si="395"/>
        <v>4.7100906599987648E-2</v>
      </c>
      <c r="D392" s="3">
        <f t="shared" si="395"/>
        <v>4.7100906584075106E-2</v>
      </c>
      <c r="E392" s="3">
        <f t="shared" si="395"/>
        <v>4.7100906424949594E-2</v>
      </c>
      <c r="F392" s="3">
        <f t="shared" si="395"/>
        <v>4.7100904833694522E-2</v>
      </c>
      <c r="G392" s="3">
        <f t="shared" si="395"/>
        <v>4.7100888921146819E-2</v>
      </c>
      <c r="H392" s="3">
        <f t="shared" si="395"/>
        <v>4.7100729795965426E-2</v>
      </c>
      <c r="I392" s="3">
        <f t="shared" si="395"/>
        <v>4.7099138573718495E-2</v>
      </c>
      <c r="J392" s="3">
        <f t="shared" si="395"/>
        <v>4.7083229307577898E-2</v>
      </c>
      <c r="K392" s="3">
        <f t="shared" si="395"/>
        <v>4.6924431909834523E-2</v>
      </c>
      <c r="L392" s="3">
        <f t="shared" si="395"/>
        <v>4.5365618528709996E-2</v>
      </c>
      <c r="M392" s="3">
        <f t="shared" si="395"/>
        <v>3.235973576463938E-2</v>
      </c>
      <c r="N392" s="3">
        <f t="shared" si="395"/>
        <v>1.1035353968577592E-3</v>
      </c>
      <c r="O392" s="3">
        <f t="shared" si="395"/>
        <v>2.3474658447371817E-18</v>
      </c>
      <c r="P392" s="3">
        <f t="shared" si="395"/>
        <v>4.4537867795282153E-165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2.2598128773550753E-2</v>
      </c>
      <c r="C393" s="3">
        <f t="shared" si="396"/>
        <v>2.2598128773474408E-2</v>
      </c>
      <c r="D393" s="3">
        <f t="shared" si="396"/>
        <v>2.2598128772710953E-2</v>
      </c>
      <c r="E393" s="3">
        <f t="shared" si="396"/>
        <v>2.2598128765076411E-2</v>
      </c>
      <c r="F393" s="3">
        <f t="shared" si="396"/>
        <v>2.2598128688730987E-2</v>
      </c>
      <c r="G393" s="3">
        <f t="shared" si="396"/>
        <v>2.2598127925276743E-2</v>
      </c>
      <c r="H393" s="3">
        <f t="shared" si="396"/>
        <v>2.2598120290735754E-2</v>
      </c>
      <c r="I393" s="3">
        <f t="shared" si="396"/>
        <v>2.2598043945467695E-2</v>
      </c>
      <c r="J393" s="3">
        <f t="shared" si="396"/>
        <v>2.2597280506972815E-2</v>
      </c>
      <c r="K393" s="3">
        <f t="shared" si="396"/>
        <v>2.2589647540414919E-2</v>
      </c>
      <c r="L393" s="3">
        <f t="shared" si="396"/>
        <v>2.2513459536785765E-2</v>
      </c>
      <c r="M393" s="3">
        <f t="shared" si="396"/>
        <v>2.1765570205940353E-2</v>
      </c>
      <c r="N393" s="3">
        <f t="shared" si="396"/>
        <v>1.5525592364296712E-2</v>
      </c>
      <c r="O393" s="3">
        <f t="shared" si="396"/>
        <v>5.2945552015007001E-4</v>
      </c>
      <c r="P393" s="3">
        <f t="shared" si="396"/>
        <v>1.1262699442164333E-18</v>
      </c>
      <c r="Q393" s="3">
        <f t="shared" si="396"/>
        <v>2.1368430978354588E-165</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6.4467605952008089E-3</v>
      </c>
      <c r="C394" s="3">
        <f t="shared" si="397"/>
        <v>6.446760595198631E-3</v>
      </c>
      <c r="D394" s="3">
        <f t="shared" si="397"/>
        <v>6.4467605951768515E-3</v>
      </c>
      <c r="E394" s="3">
        <f t="shared" si="397"/>
        <v>6.4467605949590544E-3</v>
      </c>
      <c r="F394" s="3">
        <f t="shared" si="397"/>
        <v>6.4467605927810831E-3</v>
      </c>
      <c r="G394" s="3">
        <f t="shared" si="397"/>
        <v>6.446760571001374E-3</v>
      </c>
      <c r="H394" s="3">
        <f t="shared" si="397"/>
        <v>6.446760353204282E-3</v>
      </c>
      <c r="I394" s="3">
        <f t="shared" si="397"/>
        <v>6.4467581752337732E-3</v>
      </c>
      <c r="J394" s="3">
        <f t="shared" si="397"/>
        <v>6.4467363955691527E-3</v>
      </c>
      <c r="K394" s="3">
        <f t="shared" si="397"/>
        <v>6.4465186029698199E-3</v>
      </c>
      <c r="L394" s="3">
        <f t="shared" si="397"/>
        <v>6.4443410816129396E-3</v>
      </c>
      <c r="M394" s="3">
        <f t="shared" si="397"/>
        <v>6.4226062811546759E-3</v>
      </c>
      <c r="N394" s="3">
        <f t="shared" si="397"/>
        <v>6.2092495242312088E-3</v>
      </c>
      <c r="O394" s="3">
        <f t="shared" si="397"/>
        <v>4.4291179183124059E-3</v>
      </c>
      <c r="P394" s="3">
        <f t="shared" si="397"/>
        <v>1.5104228400578107E-4</v>
      </c>
      <c r="Q394" s="3">
        <f t="shared" si="397"/>
        <v>3.2130061602397904E-19</v>
      </c>
      <c r="R394" s="3">
        <f t="shared" si="397"/>
        <v>6.0959542355432313E-166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9.8307104636690418E-5</v>
      </c>
      <c r="C395" s="3">
        <f t="shared" si="398"/>
        <v>9.8307104636687098E-5</v>
      </c>
      <c r="D395" s="3">
        <f t="shared" si="398"/>
        <v>9.830710463665388E-5</v>
      </c>
      <c r="E395" s="3">
        <f t="shared" si="398"/>
        <v>9.8307104636321762E-5</v>
      </c>
      <c r="F395" s="3">
        <f t="shared" si="398"/>
        <v>9.8307104633000553E-5</v>
      </c>
      <c r="G395" s="3">
        <f t="shared" si="398"/>
        <v>9.8307104599788526E-5</v>
      </c>
      <c r="H395" s="3">
        <f t="shared" si="398"/>
        <v>9.8307104267668209E-5</v>
      </c>
      <c r="I395" s="3">
        <f t="shared" si="398"/>
        <v>9.8307100946465074E-5</v>
      </c>
      <c r="J395" s="3">
        <f t="shared" si="398"/>
        <v>9.830706773443997E-5</v>
      </c>
      <c r="K395" s="3">
        <f t="shared" si="398"/>
        <v>9.8306735614806065E-5</v>
      </c>
      <c r="L395" s="3">
        <f t="shared" si="398"/>
        <v>9.8303414480177973E-5</v>
      </c>
      <c r="M395" s="3">
        <f t="shared" si="398"/>
        <v>9.8270209304226694E-5</v>
      </c>
      <c r="N395" s="3">
        <f t="shared" si="398"/>
        <v>9.793877380707195E-5</v>
      </c>
      <c r="O395" s="3">
        <f t="shared" si="398"/>
        <v>9.468528165111479E-5</v>
      </c>
      <c r="P395" s="3">
        <f t="shared" si="398"/>
        <v>6.7539929894077407E-5</v>
      </c>
      <c r="Q395" s="3">
        <f t="shared" si="398"/>
        <v>2.3032543862997315E-6</v>
      </c>
      <c r="R395" s="3">
        <f t="shared" si="398"/>
        <v>4.8995356369856728E-21</v>
      </c>
      <c r="S395" s="3">
        <f t="shared" si="398"/>
        <v>9.2957633844837639E-168</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1.1020901234699518E-2</v>
      </c>
      <c r="C396" s="3">
        <f t="shared" si="399"/>
        <v>1.102090123469948E-2</v>
      </c>
      <c r="D396" s="3">
        <f t="shared" si="399"/>
        <v>1.1020901234699109E-2</v>
      </c>
      <c r="E396" s="3">
        <f t="shared" si="399"/>
        <v>1.1020901234695384E-2</v>
      </c>
      <c r="F396" s="3">
        <f t="shared" si="399"/>
        <v>1.1020901234658152E-2</v>
      </c>
      <c r="G396" s="3">
        <f t="shared" si="399"/>
        <v>1.1020901234285821E-2</v>
      </c>
      <c r="H396" s="3">
        <f t="shared" si="399"/>
        <v>1.1020901230562525E-2</v>
      </c>
      <c r="I396" s="3">
        <f t="shared" si="399"/>
        <v>1.1020901193329559E-2</v>
      </c>
      <c r="J396" s="3">
        <f t="shared" si="399"/>
        <v>1.102090082099989E-2</v>
      </c>
      <c r="K396" s="3">
        <f t="shared" si="399"/>
        <v>1.1020897097703901E-2</v>
      </c>
      <c r="L396" s="3">
        <f t="shared" si="399"/>
        <v>1.1020859864813186E-2</v>
      </c>
      <c r="M396" s="3">
        <f t="shared" si="399"/>
        <v>1.1020487542824265E-2</v>
      </c>
      <c r="N396" s="3">
        <f t="shared" si="399"/>
        <v>1.1016765014671368E-2</v>
      </c>
      <c r="O396" s="3">
        <f t="shared" si="399"/>
        <v>1.0979608820382916E-2</v>
      </c>
      <c r="P396" s="3">
        <f t="shared" si="399"/>
        <v>1.0614870016903895E-2</v>
      </c>
      <c r="Q396" s="3">
        <f t="shared" si="399"/>
        <v>7.5716897523533172E-3</v>
      </c>
      <c r="R396" s="3">
        <f t="shared" si="399"/>
        <v>2.5821062682710572E-4</v>
      </c>
      <c r="S396" s="3">
        <f t="shared" si="399"/>
        <v>5.4927157656270245E-19</v>
      </c>
      <c r="T396" s="3">
        <f t="shared" si="399"/>
        <v>1.0421188838807033E-165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0.55224787382141893</v>
      </c>
      <c r="B397" s="80">
        <f>IF($A$64&lt;=B363,IF($B$64&gt;=B363,ABS((B365-B364)/B364),0),0)</f>
        <v>6.0719735581084983E-2</v>
      </c>
      <c r="C397" s="80">
        <f t="shared" ref="C397:AF397" si="400">IF($A$64&lt;=C363,IF($B$64&gt;=C363,ABS((C365-C364)/C364),0),0)</f>
        <v>4.0112447626359918E-2</v>
      </c>
      <c r="D397" s="80">
        <f t="shared" si="400"/>
        <v>6.1243522905219333E-3</v>
      </c>
      <c r="E397" s="80">
        <f t="shared" si="400"/>
        <v>2.8899480658389157E-2</v>
      </c>
      <c r="F397" s="80">
        <f t="shared" si="400"/>
        <v>6.7612307130290317E-2</v>
      </c>
      <c r="G397" s="80">
        <f t="shared" si="400"/>
        <v>0.12221431029308188</v>
      </c>
      <c r="H397" s="80">
        <f t="shared" si="400"/>
        <v>0.18185806542932675</v>
      </c>
      <c r="I397" s="80">
        <f t="shared" si="400"/>
        <v>0.28821585576448294</v>
      </c>
      <c r="J397" s="80">
        <f t="shared" si="400"/>
        <v>0.41233317083081988</v>
      </c>
      <c r="K397" s="80">
        <f t="shared" si="400"/>
        <v>0.56534188118105144</v>
      </c>
      <c r="L397" s="80">
        <f t="shared" si="400"/>
        <v>0.72304691421410483</v>
      </c>
      <c r="M397" s="80">
        <f t="shared" si="400"/>
        <v>0.82706278192124116</v>
      </c>
      <c r="N397" s="80">
        <f t="shared" si="400"/>
        <v>0.89832995342342192</v>
      </c>
      <c r="O397" s="80">
        <f t="shared" si="400"/>
        <v>0.93078120546043086</v>
      </c>
      <c r="P397" s="80">
        <f t="shared" si="400"/>
        <v>0.93457160636111514</v>
      </c>
      <c r="Q397" s="80">
        <f t="shared" si="400"/>
        <v>0.92805134716668847</v>
      </c>
      <c r="R397" s="80">
        <f t="shared" si="400"/>
        <v>0.93189846327862547</v>
      </c>
      <c r="S397" s="80">
        <f t="shared" si="400"/>
        <v>0.896935380838221</v>
      </c>
      <c r="T397" s="80">
        <f t="shared" si="400"/>
        <v>0.84042317674152967</v>
      </c>
      <c r="U397" s="80">
        <f t="shared" si="400"/>
        <v>0.77539106624167042</v>
      </c>
      <c r="V397" s="80">
        <f t="shared" si="400"/>
        <v>0.71421285295527759</v>
      </c>
      <c r="W397" s="80">
        <f t="shared" si="400"/>
        <v>0.67264651944919407</v>
      </c>
      <c r="X397" s="80">
        <f t="shared" si="400"/>
        <v>0.63963630111684011</v>
      </c>
      <c r="Y397" s="80">
        <f t="shared" si="400"/>
        <v>0.61858844288660275</v>
      </c>
      <c r="Z397" s="80">
        <f t="shared" si="400"/>
        <v>0.60469908618960611</v>
      </c>
      <c r="AA397" s="80">
        <f t="shared" si="400"/>
        <v>0.58028057309722325</v>
      </c>
      <c r="AB397" s="80">
        <f t="shared" si="400"/>
        <v>0.57222326214525077</v>
      </c>
      <c r="AC397" s="80">
        <f t="shared" si="400"/>
        <v>0.56619522595357741</v>
      </c>
      <c r="AD397" s="80">
        <f t="shared" si="400"/>
        <v>0.56583861403827307</v>
      </c>
      <c r="AE397" s="80">
        <f t="shared" si="400"/>
        <v>0.56345427669426351</v>
      </c>
      <c r="AF397" s="80">
        <f t="shared" si="400"/>
        <v>0.56198543150542024</v>
      </c>
    </row>
    <row r="398" spans="1:34" x14ac:dyDescent="0.25">
      <c r="B398" s="21">
        <f>(B365-B364)^2</f>
        <v>301289.38386087801</v>
      </c>
      <c r="C398" s="21">
        <f t="shared" ref="C398:AF398" si="401">(C365-C364)^2</f>
        <v>122434.41619992902</v>
      </c>
      <c r="D398" s="21">
        <f t="shared" si="401"/>
        <v>2654.3879975207765</v>
      </c>
      <c r="E398" s="21">
        <f t="shared" si="401"/>
        <v>54313.102698950664</v>
      </c>
      <c r="F398" s="21">
        <f t="shared" si="401"/>
        <v>273047.58503662411</v>
      </c>
      <c r="G398" s="21">
        <f t="shared" si="401"/>
        <v>830980.06085273973</v>
      </c>
      <c r="H398" s="21">
        <f t="shared" si="401"/>
        <v>1708016.2266059862</v>
      </c>
      <c r="I398" s="21">
        <f t="shared" si="401"/>
        <v>3981717.5433909018</v>
      </c>
      <c r="J398" s="21">
        <f t="shared" si="401"/>
        <v>7501970.6731055807</v>
      </c>
      <c r="K398" s="21">
        <f t="shared" si="401"/>
        <v>13014676.853128688</v>
      </c>
      <c r="L398" s="21">
        <f t="shared" si="401"/>
        <v>19126161.35162067</v>
      </c>
      <c r="M398" s="21">
        <f t="shared" si="401"/>
        <v>22197345.972901668</v>
      </c>
      <c r="N398" s="21">
        <f t="shared" si="401"/>
        <v>22532171.519670703</v>
      </c>
      <c r="O398" s="21">
        <f t="shared" si="401"/>
        <v>20030761.914179951</v>
      </c>
      <c r="P398" s="21">
        <f t="shared" si="401"/>
        <v>15264992.141924495</v>
      </c>
      <c r="Q398" s="21">
        <f t="shared" si="401"/>
        <v>9294239.6710891183</v>
      </c>
      <c r="R398" s="21">
        <f t="shared" si="401"/>
        <v>4378085.5015397649</v>
      </c>
      <c r="S398" s="21">
        <f t="shared" si="401"/>
        <v>1703221.3998517334</v>
      </c>
      <c r="T398" s="21">
        <f t="shared" si="401"/>
        <v>623769.89450457413</v>
      </c>
      <c r="U398" s="21">
        <f t="shared" si="401"/>
        <v>268012.79803677951</v>
      </c>
      <c r="V398" s="21">
        <f t="shared" si="401"/>
        <v>140455.2368151042</v>
      </c>
      <c r="W398" s="21">
        <f t="shared" si="401"/>
        <v>94952.821066880948</v>
      </c>
      <c r="X398" s="21">
        <f t="shared" si="401"/>
        <v>70852.003221217208</v>
      </c>
      <c r="Y398" s="21">
        <f t="shared" si="401"/>
        <v>59153.971274883916</v>
      </c>
      <c r="Z398" s="21">
        <f t="shared" si="401"/>
        <v>52624.864107765483</v>
      </c>
      <c r="AA398" s="21">
        <f t="shared" si="401"/>
        <v>42985.88965854032</v>
      </c>
      <c r="AB398" s="21">
        <f t="shared" si="401"/>
        <v>40240.622321532683</v>
      </c>
      <c r="AC398" s="21">
        <f t="shared" si="401"/>
        <v>38309.964662542523</v>
      </c>
      <c r="AD398" s="21">
        <f t="shared" si="401"/>
        <v>38198.892540681431</v>
      </c>
      <c r="AE398" s="21">
        <f t="shared" si="401"/>
        <v>37465.012571109393</v>
      </c>
      <c r="AF398" s="21">
        <f t="shared" si="401"/>
        <v>37020.391149637195</v>
      </c>
      <c r="AG398" s="3"/>
      <c r="AH398" s="3"/>
    </row>
    <row r="399" spans="1:34" x14ac:dyDescent="0.25">
      <c r="A399" s="71">
        <f>SUM(B399:AF399)</f>
        <v>143862122.06758717</v>
      </c>
      <c r="B399" s="60">
        <f>IF($A$64&lt;=B363,IF($B$64&gt;=B363,ABS(B398),0),0)</f>
        <v>301289.38386087801</v>
      </c>
      <c r="C399" s="60">
        <f t="shared" ref="C399" si="402">IF($A$64&lt;=C363,IF($B$64&gt;=C363,ABS(C398),0),0)</f>
        <v>122434.41619992902</v>
      </c>
      <c r="D399" s="60">
        <f t="shared" ref="D399" si="403">IF($A$64&lt;=D363,IF($B$64&gt;=D363,ABS(D398),0),0)</f>
        <v>2654.3879975207765</v>
      </c>
      <c r="E399" s="60">
        <f t="shared" ref="E399" si="404">IF($A$64&lt;=E363,IF($B$64&gt;=E363,ABS(E398),0),0)</f>
        <v>54313.102698950664</v>
      </c>
      <c r="F399" s="60">
        <f t="shared" ref="F399" si="405">IF($A$64&lt;=F363,IF($B$64&gt;=F363,ABS(F398),0),0)</f>
        <v>273047.58503662411</v>
      </c>
      <c r="G399" s="60">
        <f t="shared" ref="G399" si="406">IF($A$64&lt;=G363,IF($B$64&gt;=G363,ABS(G398),0),0)</f>
        <v>830980.06085273973</v>
      </c>
      <c r="H399" s="60">
        <f t="shared" ref="H399" si="407">IF($A$64&lt;=H363,IF($B$64&gt;=H363,ABS(H398),0),0)</f>
        <v>1708016.2266059862</v>
      </c>
      <c r="I399" s="60">
        <f t="shared" ref="I399" si="408">IF($A$64&lt;=I363,IF($B$64&gt;=I363,ABS(I398),0),0)</f>
        <v>3981717.5433909018</v>
      </c>
      <c r="J399" s="60">
        <f t="shared" ref="J399" si="409">IF($A$64&lt;=J363,IF($B$64&gt;=J363,ABS(J398),0),0)</f>
        <v>7501970.6731055807</v>
      </c>
      <c r="K399" s="60">
        <f t="shared" ref="K399" si="410">IF($A$64&lt;=K363,IF($B$64&gt;=K363,ABS(K398),0),0)</f>
        <v>13014676.853128688</v>
      </c>
      <c r="L399" s="60">
        <f t="shared" ref="L399" si="411">IF($A$64&lt;=L363,IF($B$64&gt;=L363,ABS(L398),0),0)</f>
        <v>19126161.35162067</v>
      </c>
      <c r="M399" s="60">
        <f t="shared" ref="M399" si="412">IF($A$64&lt;=M363,IF($B$64&gt;=M363,ABS(M398),0),0)</f>
        <v>22197345.972901668</v>
      </c>
      <c r="N399" s="60">
        <f t="shared" ref="N399" si="413">IF($A$64&lt;=N363,IF($B$64&gt;=N363,ABS(N398),0),0)</f>
        <v>22532171.519670703</v>
      </c>
      <c r="O399" s="60">
        <f t="shared" ref="O399" si="414">IF($A$64&lt;=O363,IF($B$64&gt;=O363,ABS(O398),0),0)</f>
        <v>20030761.914179951</v>
      </c>
      <c r="P399" s="60">
        <f t="shared" ref="P399" si="415">IF($A$64&lt;=P363,IF($B$64&gt;=P363,ABS(P398),0),0)</f>
        <v>15264992.141924495</v>
      </c>
      <c r="Q399" s="60">
        <f t="shared" ref="Q399" si="416">IF($A$64&lt;=Q363,IF($B$64&gt;=Q363,ABS(Q398),0),0)</f>
        <v>9294239.6710891183</v>
      </c>
      <c r="R399" s="60">
        <f t="shared" ref="R399" si="417">IF($A$64&lt;=R363,IF($B$64&gt;=R363,ABS(R398),0),0)</f>
        <v>4378085.5015397649</v>
      </c>
      <c r="S399" s="60">
        <f t="shared" ref="S399" si="418">IF($A$64&lt;=S363,IF($B$64&gt;=S363,ABS(S398),0),0)</f>
        <v>1703221.3998517334</v>
      </c>
      <c r="T399" s="60">
        <f t="shared" ref="T399" si="419">IF($A$64&lt;=T363,IF($B$64&gt;=T363,ABS(T398),0),0)</f>
        <v>623769.89450457413</v>
      </c>
      <c r="U399" s="60">
        <f t="shared" ref="U399" si="420">IF($A$64&lt;=U363,IF($B$64&gt;=U363,ABS(U398),0),0)</f>
        <v>268012.79803677951</v>
      </c>
      <c r="V399" s="60">
        <f t="shared" ref="V399" si="421">IF($A$64&lt;=V363,IF($B$64&gt;=V363,ABS(V398),0),0)</f>
        <v>140455.2368151042</v>
      </c>
      <c r="W399" s="60">
        <f t="shared" ref="W399" si="422">IF($A$64&lt;=W363,IF($B$64&gt;=W363,ABS(W398),0),0)</f>
        <v>94952.821066880948</v>
      </c>
      <c r="X399" s="60">
        <f t="shared" ref="X399" si="423">IF($A$64&lt;=X363,IF($B$64&gt;=X363,ABS(X398),0),0)</f>
        <v>70852.003221217208</v>
      </c>
      <c r="Y399" s="60">
        <f t="shared" ref="Y399" si="424">IF($A$64&lt;=Y363,IF($B$64&gt;=Y363,ABS(Y398),0),0)</f>
        <v>59153.971274883916</v>
      </c>
      <c r="Z399" s="60">
        <f t="shared" ref="Z399" si="425">IF($A$64&lt;=Z363,IF($B$64&gt;=Z363,ABS(Z398),0),0)</f>
        <v>52624.864107765483</v>
      </c>
      <c r="AA399" s="60">
        <f t="shared" ref="AA399" si="426">IF($A$64&lt;=AA363,IF($B$64&gt;=AA363,ABS(AA398),0),0)</f>
        <v>42985.88965854032</v>
      </c>
      <c r="AB399" s="60">
        <f t="shared" ref="AB399" si="427">IF($A$64&lt;=AB363,IF($B$64&gt;=AB363,ABS(AB398),0),0)</f>
        <v>40240.622321532683</v>
      </c>
      <c r="AC399" s="60">
        <f t="shared" ref="AC399" si="428">IF($A$64&lt;=AC363,IF($B$64&gt;=AC363,ABS(AC398),0),0)</f>
        <v>38309.964662542523</v>
      </c>
      <c r="AD399" s="60">
        <f t="shared" ref="AD399" si="429">IF($A$64&lt;=AD363,IF($B$64&gt;=AD363,ABS(AD398),0),0)</f>
        <v>38198.892540681431</v>
      </c>
      <c r="AE399" s="60">
        <f t="shared" ref="AE399" si="430">IF($A$64&lt;=AE363,IF($B$64&gt;=AE363,ABS(AE398),0),0)</f>
        <v>37465.012571109393</v>
      </c>
      <c r="AF399" s="60">
        <f t="shared" ref="AF399" si="431">IF($A$64&lt;=AF363,IF($B$64&gt;=AF363,ABS(AF398),0),0)</f>
        <v>37020.391149637195</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-14.406800109604639</v>
      </c>
      <c r="C403" s="107">
        <f t="shared" ref="C403:H403" si="432">IF(C125=$B$2,0,C126)</f>
        <v>-10.950515452938541</v>
      </c>
      <c r="D403" s="107">
        <f t="shared" si="432"/>
        <v>-6.5770330385822291</v>
      </c>
      <c r="E403" s="107">
        <f t="shared" si="432"/>
        <v>0</v>
      </c>
      <c r="F403" s="107">
        <f t="shared" si="432"/>
        <v>12.063922953615501</v>
      </c>
      <c r="G403" s="107">
        <f t="shared" si="432"/>
        <v>31.8000897176249</v>
      </c>
      <c r="H403" s="107">
        <f t="shared" si="432"/>
        <v>35.861537922668312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5.5361291178458031E-22</v>
      </c>
      <c r="C404" s="3">
        <f t="shared" ref="C404:H419" si="433">$A404/EXP(-C$403)</f>
        <v>1.7548967302632991E-20</v>
      </c>
      <c r="D404" s="3">
        <f t="shared" si="433"/>
        <v>1.3919731047146803E-18</v>
      </c>
      <c r="E404" s="3">
        <f t="shared" si="433"/>
        <v>1.0000000000000001E-15</v>
      </c>
      <c r="F404" s="3">
        <f t="shared" si="433"/>
        <v>1.73498278063804E-10</v>
      </c>
      <c r="G404" s="3">
        <f t="shared" si="433"/>
        <v>6.4655204306795444E-2</v>
      </c>
      <c r="H404" s="3">
        <f t="shared" si="433"/>
        <v>3.7537732261831018</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5.536129117845803E-21</v>
      </c>
      <c r="C405" s="3">
        <f t="shared" si="433"/>
        <v>1.7548967302632989E-19</v>
      </c>
      <c r="D405" s="3">
        <f t="shared" si="433"/>
        <v>1.3919731047146802E-17</v>
      </c>
      <c r="E405" s="3">
        <f t="shared" si="433"/>
        <v>1E-14</v>
      </c>
      <c r="F405" s="3">
        <f t="shared" si="433"/>
        <v>1.7349827806380399E-9</v>
      </c>
      <c r="G405" s="3">
        <f t="shared" si="433"/>
        <v>0.64655204306795433</v>
      </c>
      <c r="H405" s="3">
        <f t="shared" si="433"/>
        <v>37.537732261831017</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5.5361291178458031E-20</v>
      </c>
      <c r="C406" s="3">
        <f t="shared" si="433"/>
        <v>1.754896730263299E-18</v>
      </c>
      <c r="D406" s="3">
        <f t="shared" si="433"/>
        <v>1.3919731047146801E-16</v>
      </c>
      <c r="E406" s="3">
        <f t="shared" si="433"/>
        <v>1E-13</v>
      </c>
      <c r="F406" s="3">
        <f t="shared" si="433"/>
        <v>1.7349827806380399E-8</v>
      </c>
      <c r="G406" s="3">
        <f t="shared" si="433"/>
        <v>6.4655204306795442</v>
      </c>
      <c r="H406" s="3">
        <f t="shared" si="433"/>
        <v>375.37732261831019</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5.5361291178458031E-19</v>
      </c>
      <c r="C407" s="3">
        <f t="shared" si="433"/>
        <v>1.7548967302632987E-17</v>
      </c>
      <c r="D407" s="3">
        <f t="shared" si="433"/>
        <v>1.3919731047146801E-15</v>
      </c>
      <c r="E407" s="3">
        <f t="shared" si="433"/>
        <v>9.9999999999999998E-13</v>
      </c>
      <c r="F407" s="3">
        <f t="shared" si="433"/>
        <v>1.7349827806380399E-7</v>
      </c>
      <c r="G407" s="3">
        <f t="shared" si="433"/>
        <v>64.65520430679544</v>
      </c>
      <c r="H407" s="3">
        <f t="shared" si="433"/>
        <v>3753.7732261831015</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5.5361291178458027E-18</v>
      </c>
      <c r="C408" s="3">
        <f t="shared" si="433"/>
        <v>1.7548967302632987E-16</v>
      </c>
      <c r="D408" s="3">
        <f t="shared" si="433"/>
        <v>1.3919731047146801E-14</v>
      </c>
      <c r="E408" s="3">
        <f t="shared" si="433"/>
        <v>9.9999999999999994E-12</v>
      </c>
      <c r="F408" s="3">
        <f t="shared" si="433"/>
        <v>1.7349827806380398E-6</v>
      </c>
      <c r="G408" s="3">
        <f t="shared" si="433"/>
        <v>646.55204306795429</v>
      </c>
      <c r="H408" s="3">
        <f t="shared" si="433"/>
        <v>37537.732261831014</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5.5361291178458029E-17</v>
      </c>
      <c r="C409" s="3">
        <f t="shared" si="433"/>
        <v>1.7548967302632989E-15</v>
      </c>
      <c r="D409" s="3">
        <f t="shared" si="433"/>
        <v>1.3919731047146803E-13</v>
      </c>
      <c r="E409" s="3">
        <f t="shared" si="433"/>
        <v>1E-10</v>
      </c>
      <c r="F409" s="3">
        <f t="shared" si="433"/>
        <v>1.7349827806380399E-5</v>
      </c>
      <c r="G409" s="3">
        <f t="shared" si="433"/>
        <v>6465.520430679544</v>
      </c>
      <c r="H409" s="3">
        <f t="shared" si="433"/>
        <v>375377.32261831017</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5.5361291178458028E-16</v>
      </c>
      <c r="C410" s="3">
        <f t="shared" si="433"/>
        <v>1.7548967302632989E-14</v>
      </c>
      <c r="D410" s="3">
        <f t="shared" si="433"/>
        <v>1.3919731047146802E-12</v>
      </c>
      <c r="E410" s="3">
        <f t="shared" si="433"/>
        <v>1.0000000000000001E-9</v>
      </c>
      <c r="F410" s="3">
        <f t="shared" si="433"/>
        <v>1.7349827806380401E-4</v>
      </c>
      <c r="G410" s="3">
        <f t="shared" si="433"/>
        <v>64655.204306795444</v>
      </c>
      <c r="H410" s="3">
        <f t="shared" si="433"/>
        <v>3753773.226183102</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5.5361291178458028E-15</v>
      </c>
      <c r="C411" s="3">
        <f t="shared" si="433"/>
        <v>1.754896730263299E-13</v>
      </c>
      <c r="D411" s="3">
        <f t="shared" si="433"/>
        <v>1.3919731047146802E-11</v>
      </c>
      <c r="E411" s="3">
        <f t="shared" si="433"/>
        <v>1E-8</v>
      </c>
      <c r="F411" s="3">
        <f t="shared" si="433"/>
        <v>1.73498278063804E-3</v>
      </c>
      <c r="G411" s="3">
        <f t="shared" si="433"/>
        <v>646552.04306795436</v>
      </c>
      <c r="H411" s="3">
        <f t="shared" si="433"/>
        <v>37537732.261831015</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5.5361291178458024E-14</v>
      </c>
      <c r="C412" s="3">
        <f t="shared" si="433"/>
        <v>1.7548967302632988E-12</v>
      </c>
      <c r="D412" s="3">
        <f t="shared" si="433"/>
        <v>1.3919731047146801E-10</v>
      </c>
      <c r="E412" s="3">
        <f t="shared" si="433"/>
        <v>9.9999999999999995E-8</v>
      </c>
      <c r="F412" s="3">
        <f t="shared" si="433"/>
        <v>1.7349827806380398E-2</v>
      </c>
      <c r="G412" s="3">
        <f t="shared" si="433"/>
        <v>6465520.4306795439</v>
      </c>
      <c r="H412" s="3">
        <f t="shared" si="433"/>
        <v>375377322.61831015</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5.5361291178458022E-13</v>
      </c>
      <c r="C413" s="3">
        <f t="shared" si="433"/>
        <v>1.7548967302632989E-11</v>
      </c>
      <c r="D413" s="3">
        <f t="shared" si="433"/>
        <v>1.3919731047146802E-9</v>
      </c>
      <c r="E413" s="3">
        <f t="shared" si="433"/>
        <v>9.9999999999999995E-7</v>
      </c>
      <c r="F413" s="3">
        <f t="shared" si="433"/>
        <v>0.173498278063804</v>
      </c>
      <c r="G413" s="3">
        <f t="shared" si="433"/>
        <v>64655204.306795433</v>
      </c>
      <c r="H413" s="3">
        <f t="shared" si="433"/>
        <v>3753773226.1831017</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5.536129117845803E-12</v>
      </c>
      <c r="C414" s="3">
        <f t="shared" si="433"/>
        <v>1.754896730263299E-10</v>
      </c>
      <c r="D414" s="3">
        <f t="shared" si="433"/>
        <v>1.3919731047146804E-8</v>
      </c>
      <c r="E414" s="3">
        <f t="shared" si="433"/>
        <v>1.0000000000000001E-5</v>
      </c>
      <c r="F414" s="3">
        <f t="shared" si="433"/>
        <v>1.73498278063804</v>
      </c>
      <c r="G414" s="3">
        <f t="shared" si="433"/>
        <v>646552043.06795442</v>
      </c>
      <c r="H414" s="3">
        <f t="shared" si="433"/>
        <v>37537732261.831017</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5.5361291178458032E-11</v>
      </c>
      <c r="C415" s="3">
        <f t="shared" si="433"/>
        <v>1.754896730263299E-9</v>
      </c>
      <c r="D415" s="3">
        <f t="shared" si="433"/>
        <v>1.3919731047146803E-7</v>
      </c>
      <c r="E415" s="3">
        <f t="shared" si="433"/>
        <v>1E-4</v>
      </c>
      <c r="F415" s="3">
        <f t="shared" si="433"/>
        <v>17.3498278063804</v>
      </c>
      <c r="G415" s="3">
        <f t="shared" si="433"/>
        <v>6465520430.6795444</v>
      </c>
      <c r="H415" s="3">
        <f t="shared" si="433"/>
        <v>375377322618.31018</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5.5361291178458029E-10</v>
      </c>
      <c r="C416" s="3">
        <f t="shared" si="433"/>
        <v>1.754896730263299E-8</v>
      </c>
      <c r="D416" s="3">
        <f t="shared" si="433"/>
        <v>1.3919731047146803E-6</v>
      </c>
      <c r="E416" s="3">
        <f t="shared" si="433"/>
        <v>1E-3</v>
      </c>
      <c r="F416" s="3">
        <f t="shared" si="433"/>
        <v>173.49827806380401</v>
      </c>
      <c r="G416" s="3">
        <f t="shared" si="433"/>
        <v>64655204306.795441</v>
      </c>
      <c r="H416" s="3">
        <f t="shared" si="433"/>
        <v>3753773226183.1016</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5.5361291178458027E-9</v>
      </c>
      <c r="C417" s="3">
        <f t="shared" si="433"/>
        <v>1.7548967302632988E-7</v>
      </c>
      <c r="D417" s="3">
        <f t="shared" si="433"/>
        <v>1.3919731047146802E-5</v>
      </c>
      <c r="E417" s="3">
        <f t="shared" si="433"/>
        <v>0.01</v>
      </c>
      <c r="F417" s="3">
        <f t="shared" si="433"/>
        <v>1734.9827806380399</v>
      </c>
      <c r="G417" s="3">
        <f t="shared" si="433"/>
        <v>646552043067.95435</v>
      </c>
      <c r="H417" s="3">
        <f t="shared" si="433"/>
        <v>37537732261831.016</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5.5361291178458029E-8</v>
      </c>
      <c r="C418" s="3">
        <f t="shared" si="433"/>
        <v>1.7548967302632988E-6</v>
      </c>
      <c r="D418" s="3">
        <f t="shared" si="433"/>
        <v>1.3919731047146804E-4</v>
      </c>
      <c r="E418" s="3">
        <f t="shared" si="433"/>
        <v>0.1</v>
      </c>
      <c r="F418" s="3">
        <f t="shared" si="433"/>
        <v>17349.827806380399</v>
      </c>
      <c r="G418" s="3">
        <f t="shared" si="433"/>
        <v>6465520430679.5439</v>
      </c>
      <c r="H418" s="3">
        <f t="shared" si="433"/>
        <v>375377322618310.19</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5.5361291178458027E-7</v>
      </c>
      <c r="C419" s="3">
        <f t="shared" si="433"/>
        <v>1.7548967302632987E-5</v>
      </c>
      <c r="D419" s="3">
        <f t="shared" si="433"/>
        <v>1.3919731047146802E-3</v>
      </c>
      <c r="E419" s="3">
        <f t="shared" si="433"/>
        <v>1</v>
      </c>
      <c r="F419" s="3">
        <f t="shared" si="433"/>
        <v>173498.278063804</v>
      </c>
      <c r="G419" s="3">
        <f t="shared" si="433"/>
        <v>64655204306795.437</v>
      </c>
      <c r="H419" s="3">
        <f t="shared" si="433"/>
        <v>3753773226183101.5</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5.5361291178458029E-6</v>
      </c>
      <c r="C420" s="3">
        <f t="shared" si="434"/>
        <v>1.7548967302632987E-4</v>
      </c>
      <c r="D420" s="3">
        <f t="shared" si="434"/>
        <v>1.3919731047146802E-2</v>
      </c>
      <c r="E420" s="3">
        <f t="shared" si="434"/>
        <v>10</v>
      </c>
      <c r="F420" s="3">
        <f t="shared" si="434"/>
        <v>1734982.78063804</v>
      </c>
      <c r="G420" s="3">
        <f t="shared" si="434"/>
        <v>646552043067954.37</v>
      </c>
      <c r="H420" s="3">
        <f t="shared" si="434"/>
        <v>3.7537732261831016E+16</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5.5361291178458028E-5</v>
      </c>
      <c r="C421" s="3">
        <f t="shared" si="434"/>
        <v>1.7548967302632988E-3</v>
      </c>
      <c r="D421" s="3">
        <f t="shared" si="434"/>
        <v>0.13919731047146802</v>
      </c>
      <c r="E421" s="3">
        <f t="shared" si="434"/>
        <v>100</v>
      </c>
      <c r="F421" s="3">
        <f t="shared" si="434"/>
        <v>17349827.806380399</v>
      </c>
      <c r="G421" s="3">
        <f t="shared" si="434"/>
        <v>6465520430679544</v>
      </c>
      <c r="H421" s="3">
        <f t="shared" si="434"/>
        <v>3.7537732261831014E+17</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5.5361291178458033E-4</v>
      </c>
      <c r="C422" s="3">
        <f t="shared" si="434"/>
        <v>1.7548967302632987E-2</v>
      </c>
      <c r="D422" s="3">
        <f t="shared" si="434"/>
        <v>1.3919731047146802</v>
      </c>
      <c r="E422" s="3">
        <f t="shared" si="434"/>
        <v>1000</v>
      </c>
      <c r="F422" s="3">
        <f t="shared" si="434"/>
        <v>173498278.063804</v>
      </c>
      <c r="G422" s="3">
        <f t="shared" si="434"/>
        <v>6.465520430679544E+16</v>
      </c>
      <c r="H422" s="3">
        <f t="shared" si="434"/>
        <v>3.753773226183102E+18</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5.5361291178458024E-3</v>
      </c>
      <c r="C423" s="3">
        <f t="shared" si="434"/>
        <v>0.1754896730263299</v>
      </c>
      <c r="D423" s="3">
        <f t="shared" si="434"/>
        <v>13.919731047146803</v>
      </c>
      <c r="E423" s="3">
        <f t="shared" si="434"/>
        <v>10000</v>
      </c>
      <c r="F423" s="3">
        <f t="shared" si="434"/>
        <v>1734982780.6380401</v>
      </c>
      <c r="G423" s="3">
        <f t="shared" si="434"/>
        <v>6.4655204306795443E+17</v>
      </c>
      <c r="H423" s="3">
        <f t="shared" si="434"/>
        <v>3.7537732261831016E+19</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5.5361291178458026E-2</v>
      </c>
      <c r="C424" s="3">
        <f t="shared" si="434"/>
        <v>1.7548967302632987</v>
      </c>
      <c r="D424" s="3">
        <f t="shared" si="434"/>
        <v>139.19731047146803</v>
      </c>
      <c r="E424" s="3">
        <f t="shared" si="434"/>
        <v>100000</v>
      </c>
      <c r="F424" s="3">
        <f t="shared" si="434"/>
        <v>17349827806.380398</v>
      </c>
      <c r="G424" s="3">
        <f t="shared" si="434"/>
        <v>6.4655204306795438E+18</v>
      </c>
      <c r="H424" s="3">
        <f t="shared" si="434"/>
        <v>3.7537732261831016E+20</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0.55361291178458027</v>
      </c>
      <c r="C425" s="3">
        <f t="shared" si="434"/>
        <v>17.548967302632988</v>
      </c>
      <c r="D425" s="3">
        <f t="shared" si="434"/>
        <v>1391.9731047146802</v>
      </c>
      <c r="E425" s="3">
        <f t="shared" si="434"/>
        <v>1000000</v>
      </c>
      <c r="F425" s="3">
        <f t="shared" si="434"/>
        <v>173498278063.80399</v>
      </c>
      <c r="G425" s="3">
        <f t="shared" si="434"/>
        <v>6.4655204306795438E+19</v>
      </c>
      <c r="H425" s="3">
        <f t="shared" si="434"/>
        <v>3.7537732261831015E+21</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5.5361291178458032</v>
      </c>
      <c r="C426" s="3">
        <f t="shared" si="434"/>
        <v>175.48967302632988</v>
      </c>
      <c r="D426" s="3">
        <f t="shared" si="434"/>
        <v>13919.731047146801</v>
      </c>
      <c r="E426" s="3">
        <f t="shared" si="434"/>
        <v>10000000</v>
      </c>
      <c r="F426" s="3">
        <f t="shared" si="434"/>
        <v>1734982780638.04</v>
      </c>
      <c r="G426" s="3">
        <f t="shared" si="434"/>
        <v>6.4655204306795443E+20</v>
      </c>
      <c r="H426" s="3">
        <f t="shared" si="434"/>
        <v>3.7537732261831017E+22</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55.361291178458032</v>
      </c>
      <c r="C427" s="3">
        <f t="shared" si="434"/>
        <v>1754.8967302632989</v>
      </c>
      <c r="D427" s="3">
        <f t="shared" si="434"/>
        <v>139197.31047146802</v>
      </c>
      <c r="E427" s="3">
        <f t="shared" si="434"/>
        <v>100000000</v>
      </c>
      <c r="F427" s="3">
        <f t="shared" si="434"/>
        <v>17349827806380.4</v>
      </c>
      <c r="G427" s="3">
        <f t="shared" si="434"/>
        <v>6.4655204306795438E+21</v>
      </c>
      <c r="H427" s="3">
        <f t="shared" si="434"/>
        <v>3.753773226183102E+23</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553.61291178458032</v>
      </c>
      <c r="C428" s="3">
        <f t="shared" si="434"/>
        <v>17548.967302632987</v>
      </c>
      <c r="D428" s="3">
        <f t="shared" si="434"/>
        <v>1391973.1047146802</v>
      </c>
      <c r="E428" s="3">
        <f t="shared" si="434"/>
        <v>1000000000</v>
      </c>
      <c r="F428" s="3">
        <f t="shared" si="434"/>
        <v>173498278063804</v>
      </c>
      <c r="G428" s="3">
        <f t="shared" si="434"/>
        <v>6.4655204306795436E+22</v>
      </c>
      <c r="H428" s="3">
        <f t="shared" si="434"/>
        <v>3.7537732261831014E+24</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5536.1291178458032</v>
      </c>
      <c r="C429" s="3">
        <f t="shared" si="434"/>
        <v>175489.6730263299</v>
      </c>
      <c r="D429" s="3">
        <f t="shared" si="434"/>
        <v>13919731.047146801</v>
      </c>
      <c r="E429" s="3">
        <f t="shared" si="434"/>
        <v>10000000000</v>
      </c>
      <c r="F429" s="3">
        <f t="shared" si="434"/>
        <v>1734982780638040</v>
      </c>
      <c r="G429" s="3">
        <f t="shared" si="434"/>
        <v>6.4655204306795436E+23</v>
      </c>
      <c r="H429" s="3">
        <f t="shared" si="434"/>
        <v>3.7537732261831017E+25</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55361.291178458028</v>
      </c>
      <c r="C430" s="3">
        <f t="shared" si="434"/>
        <v>1754896.7302632988</v>
      </c>
      <c r="D430" s="3">
        <f t="shared" si="434"/>
        <v>139197310.47146803</v>
      </c>
      <c r="E430" s="3">
        <f t="shared" si="434"/>
        <v>100000000000</v>
      </c>
      <c r="F430" s="3">
        <f t="shared" si="434"/>
        <v>1.73498278063804E+16</v>
      </c>
      <c r="G430" s="3">
        <f t="shared" si="434"/>
        <v>6.4655204306795436E+24</v>
      </c>
      <c r="H430" s="3">
        <f t="shared" si="434"/>
        <v>3.7537732261831014E+26</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553612.91178458033</v>
      </c>
      <c r="C431" s="3">
        <f t="shared" si="434"/>
        <v>17548967.302632987</v>
      </c>
      <c r="D431" s="3">
        <f t="shared" si="434"/>
        <v>1391973104.7146802</v>
      </c>
      <c r="E431" s="3">
        <f t="shared" si="434"/>
        <v>1000000000000</v>
      </c>
      <c r="F431" s="3">
        <f t="shared" si="434"/>
        <v>1.73498278063804E+17</v>
      </c>
      <c r="G431" s="3">
        <f t="shared" si="434"/>
        <v>6.465520430679544E+25</v>
      </c>
      <c r="H431" s="3">
        <f t="shared" si="434"/>
        <v>3.7537732261831019E+27</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5536129.1178458026</v>
      </c>
      <c r="C432" s="3">
        <f t="shared" si="434"/>
        <v>175489673.02632987</v>
      </c>
      <c r="D432" s="3">
        <f t="shared" si="434"/>
        <v>13919731047.146801</v>
      </c>
      <c r="E432" s="3">
        <f t="shared" si="434"/>
        <v>10000000000000</v>
      </c>
      <c r="F432" s="3">
        <f t="shared" si="434"/>
        <v>1.7349827806380401E+18</v>
      </c>
      <c r="G432" s="3">
        <f t="shared" si="434"/>
        <v>6.4655204306795438E+26</v>
      </c>
      <c r="H432" s="3">
        <f t="shared" si="434"/>
        <v>3.7537732261831017E+28</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55361291.178458028</v>
      </c>
      <c r="C433" s="3">
        <f t="shared" si="434"/>
        <v>1754896730.2632987</v>
      </c>
      <c r="D433" s="3">
        <f t="shared" si="434"/>
        <v>139197310471.46802</v>
      </c>
      <c r="E433" s="3">
        <f t="shared" si="434"/>
        <v>100000000000000</v>
      </c>
      <c r="F433" s="3">
        <f t="shared" si="434"/>
        <v>1.7349827806380401E+19</v>
      </c>
      <c r="G433" s="3">
        <f t="shared" si="434"/>
        <v>6.4655204306795435E+27</v>
      </c>
      <c r="H433" s="3">
        <f t="shared" si="434"/>
        <v>3.7537732261831018E+29</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553612911.78458023</v>
      </c>
      <c r="C434" s="3">
        <f t="shared" si="434"/>
        <v>17548967302.632988</v>
      </c>
      <c r="D434" s="3">
        <f t="shared" si="434"/>
        <v>1391973104714.6802</v>
      </c>
      <c r="E434" s="3">
        <f t="shared" si="434"/>
        <v>1000000000000000</v>
      </c>
      <c r="F434" s="3">
        <f t="shared" si="434"/>
        <v>1.7349827806380399E+20</v>
      </c>
      <c r="G434" s="3">
        <f t="shared" si="434"/>
        <v>6.465520430679544E+28</v>
      </c>
      <c r="H434" s="3">
        <f t="shared" si="434"/>
        <v>3.7537732261831017E+30</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0.52427832349594095</v>
      </c>
      <c r="O1" s="11"/>
      <c r="P1" s="55">
        <v>1</v>
      </c>
      <c r="Q1" s="11">
        <v>2</v>
      </c>
    </row>
    <row r="2" spans="1:17" x14ac:dyDescent="0.25">
      <c r="A2" s="11">
        <f>'Mastercurve bestimmen'!M119</f>
        <v>0</v>
      </c>
      <c r="B2" s="11">
        <f>'Mastercurve bestimmen'!N119</f>
        <v>-10.950515452938541</v>
      </c>
      <c r="M2" s="54">
        <v>2</v>
      </c>
      <c r="N2" s="56">
        <f t="shared" ref="N2:N9" si="0">INDEX($H$217:$P$217,1,Q2)</f>
        <v>-3.5315284282063972E-2</v>
      </c>
      <c r="O2" s="11"/>
      <c r="P2" s="55">
        <v>2</v>
      </c>
      <c r="Q2" s="11">
        <f>Q1+1</f>
        <v>3</v>
      </c>
    </row>
    <row r="3" spans="1:17" x14ac:dyDescent="0.25">
      <c r="A3" s="11">
        <f>'Mastercurve bestimmen'!M120</f>
        <v>25</v>
      </c>
      <c r="B3" s="11">
        <f>'Mastercurve bestimmen'!N120</f>
        <v>-6.5770330385822291</v>
      </c>
      <c r="M3" s="54">
        <v>3</v>
      </c>
      <c r="N3" s="56">
        <f t="shared" si="0"/>
        <v>-1.5218672356373552E-4</v>
      </c>
      <c r="O3" s="11"/>
      <c r="P3" s="55">
        <v>3</v>
      </c>
      <c r="Q3" s="11">
        <f t="shared" ref="Q3:Q8" si="1">Q2+1</f>
        <v>4</v>
      </c>
    </row>
    <row r="4" spans="1:17" x14ac:dyDescent="0.25">
      <c r="A4" s="11">
        <f>'Mastercurve bestimmen'!M121</f>
        <v>50</v>
      </c>
      <c r="B4" s="11">
        <f>'Mastercurve bestimmen'!N121</f>
        <v>0</v>
      </c>
      <c r="M4" s="54">
        <v>4</v>
      </c>
      <c r="N4" s="56">
        <f t="shared" si="0"/>
        <v>1.2965286752905169E-5</v>
      </c>
      <c r="O4" s="11"/>
      <c r="P4" s="55">
        <v>4</v>
      </c>
      <c r="Q4" s="11">
        <f t="shared" si="1"/>
        <v>5</v>
      </c>
    </row>
    <row r="5" spans="1:17" x14ac:dyDescent="0.25">
      <c r="A5" s="11">
        <f>'Mastercurve bestimmen'!M122</f>
        <v>80</v>
      </c>
      <c r="B5" s="11">
        <f>'Mastercurve bestimmen'!N122</f>
        <v>12.063922953615501</v>
      </c>
      <c r="M5" s="54">
        <v>5</v>
      </c>
      <c r="N5" s="56">
        <f t="shared" si="0"/>
        <v>3.2635184253375725E-8</v>
      </c>
      <c r="O5" s="11"/>
      <c r="P5" s="55">
        <v>5</v>
      </c>
      <c r="Q5" s="11">
        <f t="shared" si="1"/>
        <v>6</v>
      </c>
    </row>
    <row r="6" spans="1:17" x14ac:dyDescent="0.25">
      <c r="A6" s="11">
        <f>'Mastercurve bestimmen'!M123</f>
        <v>125</v>
      </c>
      <c r="B6" s="11">
        <f>'Mastercurve bestimmen'!N123</f>
        <v>31.8000897176249</v>
      </c>
      <c r="M6" s="54">
        <v>6</v>
      </c>
      <c r="N6" s="56">
        <f t="shared" si="0"/>
        <v>-1.7212797645557277E-9</v>
      </c>
      <c r="O6" s="11"/>
      <c r="P6" s="55">
        <v>6</v>
      </c>
      <c r="Q6" s="11">
        <f t="shared" si="1"/>
        <v>7</v>
      </c>
    </row>
    <row r="7" spans="1:17" x14ac:dyDescent="0.25">
      <c r="A7" s="11">
        <f>'Mastercurve bestimmen'!M124</f>
        <v>160</v>
      </c>
      <c r="B7" s="11">
        <f>'Mastercurve bestimmen'!N124</f>
        <v>35.861537922668312</v>
      </c>
      <c r="M7" s="54">
        <v>7</v>
      </c>
      <c r="N7" s="56">
        <f t="shared" si="0"/>
        <v>-2.1573002487892906E-12</v>
      </c>
      <c r="O7" s="11"/>
      <c r="P7" s="55">
        <v>7</v>
      </c>
      <c r="Q7" s="11">
        <f t="shared" si="1"/>
        <v>8</v>
      </c>
    </row>
    <row r="8" spans="1:17" x14ac:dyDescent="0.25">
      <c r="A8" s="11"/>
      <c r="B8" s="11"/>
      <c r="M8" s="54">
        <v>8</v>
      </c>
      <c r="N8" s="56">
        <f t="shared" si="0"/>
        <v>7.6314676318104761E-14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-90</v>
      </c>
      <c r="F15" s="11">
        <f>B15</f>
        <v>-45.801625734711926</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-45.738092888466561</v>
      </c>
      <c r="E16" s="11">
        <f>A16-'Mastercurve bestimmen'!$B$2</f>
        <v>-89</v>
      </c>
      <c r="F16" s="11">
        <f t="shared" ref="F16:F79" si="4">B16</f>
        <v>-45.738092888466561</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-45.67441338219669</v>
      </c>
      <c r="E17" s="11">
        <f>A17-'Mastercurve bestimmen'!$B$2</f>
        <v>-88</v>
      </c>
      <c r="F17" s="11">
        <f t="shared" si="4"/>
        <v>-45.67441338219669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-45.610440555877801</v>
      </c>
      <c r="E18" s="11">
        <f>A18-'Mastercurve bestimmen'!$B$2</f>
        <v>-87</v>
      </c>
      <c r="F18" s="11">
        <f t="shared" si="4"/>
        <v>-45.610440555877801</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-45.54602774948539</v>
      </c>
      <c r="E19" s="11">
        <f>A19-'Mastercurve bestimmen'!$B$2</f>
        <v>-86</v>
      </c>
      <c r="F19" s="11">
        <f t="shared" si="4"/>
        <v>-45.54602774948539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-45.481028302994957</v>
      </c>
      <c r="E20" s="11">
        <f>A20-'Mastercurve bestimmen'!$B$2</f>
        <v>-85</v>
      </c>
      <c r="F20" s="11">
        <f t="shared" si="4"/>
        <v>-45.481028302994957</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-45.415295556381992</v>
      </c>
      <c r="E21" s="11">
        <f>A21-'Mastercurve bestimmen'!$B$2</f>
        <v>-84</v>
      </c>
      <c r="F21" s="11">
        <f t="shared" si="4"/>
        <v>-45.415295556381992</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-45.34868284962198</v>
      </c>
      <c r="E22" s="11">
        <f>A22-'Mastercurve bestimmen'!$B$2</f>
        <v>-83</v>
      </c>
      <c r="F22" s="11">
        <f t="shared" si="4"/>
        <v>-45.34868284962198</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-45.281043522690418</v>
      </c>
      <c r="E23" s="11">
        <f>A23-'Mastercurve bestimmen'!$B$2</f>
        <v>-82</v>
      </c>
      <c r="F23" s="11">
        <f t="shared" si="4"/>
        <v>-45.281043522690418</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-45.212230915562813</v>
      </c>
      <c r="E24" s="11">
        <f>A24-'Mastercurve bestimmen'!$B$2</f>
        <v>-81</v>
      </c>
      <c r="F24" s="11">
        <f t="shared" si="4"/>
        <v>-45.212230915562813</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-45.14209836821464</v>
      </c>
      <c r="E25" s="11">
        <f>A25-'Mastercurve bestimmen'!$B$2</f>
        <v>-80</v>
      </c>
      <c r="F25" s="11">
        <f t="shared" si="4"/>
        <v>-45.14209836821464</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-45.0704992206214</v>
      </c>
      <c r="E26" s="11">
        <f>A26-'Mastercurve bestimmen'!$B$2</f>
        <v>-79</v>
      </c>
      <c r="F26" s="11">
        <f t="shared" si="4"/>
        <v>-45.0704992206214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-44.997286812758588</v>
      </c>
      <c r="E27" s="11">
        <f>A27-'Mastercurve bestimmen'!$B$2</f>
        <v>-78</v>
      </c>
      <c r="F27" s="11">
        <f t="shared" si="4"/>
        <v>-44.997286812758588</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-44.922314484601692</v>
      </c>
      <c r="E28" s="11">
        <f>A28-'Mastercurve bestimmen'!$B$2</f>
        <v>-77</v>
      </c>
      <c r="F28" s="11">
        <f t="shared" si="4"/>
        <v>-44.922314484601692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-44.845435576126206</v>
      </c>
      <c r="E29" s="11">
        <f>A29-'Mastercurve bestimmen'!$B$2</f>
        <v>-76</v>
      </c>
      <c r="F29" s="11">
        <f t="shared" si="4"/>
        <v>-44.845435576126206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-44.766503427307626</v>
      </c>
      <c r="E30" s="11">
        <f>A30-'Mastercurve bestimmen'!$B$2</f>
        <v>-75</v>
      </c>
      <c r="F30" s="11">
        <f t="shared" si="4"/>
        <v>-44.766503427307626</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-44.685371378121459</v>
      </c>
      <c r="E31" s="11">
        <f>A31-'Mastercurve bestimmen'!$B$2</f>
        <v>-74</v>
      </c>
      <c r="F31" s="11">
        <f t="shared" si="4"/>
        <v>-44.685371378121459</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-44.601892768543166</v>
      </c>
      <c r="E32" s="11">
        <f>A32-'Mastercurve bestimmen'!$B$2</f>
        <v>-73</v>
      </c>
      <c r="F32" s="11">
        <f t="shared" si="4"/>
        <v>-44.601892768543166</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-44.515920938548263</v>
      </c>
      <c r="E33" s="11">
        <f>A33-'Mastercurve bestimmen'!$B$2</f>
        <v>-72</v>
      </c>
      <c r="F33" s="11">
        <f t="shared" si="4"/>
        <v>-44.515920938548263</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-44.427309228112236</v>
      </c>
      <c r="E34" s="11">
        <f>A34-'Mastercurve bestimmen'!$B$2</f>
        <v>-71</v>
      </c>
      <c r="F34" s="11">
        <f t="shared" si="4"/>
        <v>-44.427309228112236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-44.335910977210588</v>
      </c>
      <c r="E35" s="11">
        <f>A35-'Mastercurve bestimmen'!$B$2</f>
        <v>-70</v>
      </c>
      <c r="F35" s="11">
        <f t="shared" si="4"/>
        <v>-44.335910977210588</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-44.2415795258188</v>
      </c>
      <c r="E36" s="11">
        <f>A36-'Mastercurve bestimmen'!$B$2</f>
        <v>-69</v>
      </c>
      <c r="F36" s="11">
        <f t="shared" si="4"/>
        <v>-44.2415795258188</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-44.144168213912366</v>
      </c>
      <c r="E37" s="11">
        <f>A37-'Mastercurve bestimmen'!$B$2</f>
        <v>-68</v>
      </c>
      <c r="F37" s="11">
        <f t="shared" si="4"/>
        <v>-44.144168213912366</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-44.043530381466795</v>
      </c>
      <c r="E38" s="11">
        <f>A38-'Mastercurve bestimmen'!$B$2</f>
        <v>-67</v>
      </c>
      <c r="F38" s="11">
        <f t="shared" si="4"/>
        <v>-44.043530381466795</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-43.939519368457553</v>
      </c>
      <c r="E39" s="11">
        <f>A39-'Mastercurve bestimmen'!$B$2</f>
        <v>-66</v>
      </c>
      <c r="F39" s="11">
        <f t="shared" si="4"/>
        <v>-43.939519368457553</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-43.831988514860157</v>
      </c>
      <c r="E40" s="11">
        <f>A40-'Mastercurve bestimmen'!$B$2</f>
        <v>-65</v>
      </c>
      <c r="F40" s="11">
        <f t="shared" si="4"/>
        <v>-43.831988514860157</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-43.720791160650094</v>
      </c>
      <c r="E41" s="11">
        <f>A41-'Mastercurve bestimmen'!$B$2</f>
        <v>-64</v>
      </c>
      <c r="F41" s="11">
        <f t="shared" si="4"/>
        <v>-43.720791160650094</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-43.605780645802852</v>
      </c>
      <c r="E42" s="11">
        <f>A42-'Mastercurve bestimmen'!$B$2</f>
        <v>-63</v>
      </c>
      <c r="F42" s="11">
        <f t="shared" si="4"/>
        <v>-43.605780645802852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-43.486810310293926</v>
      </c>
      <c r="E43" s="11">
        <f>A43-'Mastercurve bestimmen'!$B$2</f>
        <v>-62</v>
      </c>
      <c r="F43" s="11">
        <f t="shared" si="4"/>
        <v>-43.486810310293926</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-43.36373349409881</v>
      </c>
      <c r="E44" s="11">
        <f>A44-'Mastercurve bestimmen'!$B$2</f>
        <v>-61</v>
      </c>
      <c r="F44" s="11">
        <f t="shared" si="4"/>
        <v>-43.36373349409881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-43.236403537192999</v>
      </c>
      <c r="E45" s="11">
        <f>A45-'Mastercurve bestimmen'!$B$2</f>
        <v>-60</v>
      </c>
      <c r="F45" s="11">
        <f t="shared" si="4"/>
        <v>-43.236403537192999</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-43.104673779551987</v>
      </c>
      <c r="E46" s="11">
        <f>A46-'Mastercurve bestimmen'!$B$2</f>
        <v>-59</v>
      </c>
      <c r="F46" s="11">
        <f t="shared" si="4"/>
        <v>-43.104673779551987</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-42.968397561151264</v>
      </c>
      <c r="E47" s="11">
        <f>A47-'Mastercurve bestimmen'!$B$2</f>
        <v>-58</v>
      </c>
      <c r="F47" s="11">
        <f t="shared" si="4"/>
        <v>-42.968397561151264</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-42.827428221966329</v>
      </c>
      <c r="E48" s="11">
        <f>A48-'Mastercurve bestimmen'!$B$2</f>
        <v>-57</v>
      </c>
      <c r="F48" s="11">
        <f t="shared" si="4"/>
        <v>-42.827428221966329</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-42.681619101972665</v>
      </c>
      <c r="E49" s="11">
        <f>A49-'Mastercurve bestimmen'!$B$2</f>
        <v>-56</v>
      </c>
      <c r="F49" s="11">
        <f t="shared" si="4"/>
        <v>-42.681619101972665</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-42.530823541145764</v>
      </c>
      <c r="E50" s="11">
        <f>A50-'Mastercurve bestimmen'!$B$2</f>
        <v>-55</v>
      </c>
      <c r="F50" s="11">
        <f t="shared" si="4"/>
        <v>-42.530823541145764</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-42.374894879461138</v>
      </c>
      <c r="E51" s="11">
        <f>A51-'Mastercurve bestimmen'!$B$2</f>
        <v>-54</v>
      </c>
      <c r="F51" s="11">
        <f t="shared" si="4"/>
        <v>-42.374894879461138</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-42.213686456894266</v>
      </c>
      <c r="E52" s="11">
        <f>A52-'Mastercurve bestimmen'!$B$2</f>
        <v>-53</v>
      </c>
      <c r="F52" s="11">
        <f t="shared" si="4"/>
        <v>-42.213686456894266</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-42.047051613420642</v>
      </c>
      <c r="E53" s="11">
        <f>A53-'Mastercurve bestimmen'!$B$2</f>
        <v>-52</v>
      </c>
      <c r="F53" s="11">
        <f t="shared" si="4"/>
        <v>-42.047051613420642</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-41.874843689015755</v>
      </c>
      <c r="E54" s="11">
        <f>A54-'Mastercurve bestimmen'!$B$2</f>
        <v>-51</v>
      </c>
      <c r="F54" s="11">
        <f t="shared" si="4"/>
        <v>-41.874843689015755</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-41.696916023655113</v>
      </c>
      <c r="E55" s="11">
        <f>A55-'Mastercurve bestimmen'!$B$2</f>
        <v>-50</v>
      </c>
      <c r="F55" s="11">
        <f t="shared" si="4"/>
        <v>-41.696916023655113</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-41.565532961159505</v>
      </c>
      <c r="E56" s="11">
        <f>A56-'Mastercurve bestimmen'!$B$2</f>
        <v>-49</v>
      </c>
      <c r="F56" s="11">
        <f t="shared" si="4"/>
        <v>-41.565532961159505</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-41.428597079596727</v>
      </c>
      <c r="E57" s="11">
        <f>A57-'Mastercurve bestimmen'!$B$2</f>
        <v>-48</v>
      </c>
      <c r="F57" s="11">
        <f t="shared" si="4"/>
        <v>-41.428597079596727</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-41.286421960879899</v>
      </c>
      <c r="E58" s="11">
        <f>A58-'Mastercurve bestimmen'!$B$2</f>
        <v>-47</v>
      </c>
      <c r="F58" s="11">
        <f t="shared" si="4"/>
        <v>-41.286421960879899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-41.139321186922089</v>
      </c>
      <c r="E59" s="11">
        <f>A59-'Mastercurve bestimmen'!$B$2</f>
        <v>-46</v>
      </c>
      <c r="F59" s="11">
        <f t="shared" si="4"/>
        <v>-41.139321186922089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-40.987608339636431</v>
      </c>
      <c r="E60" s="11">
        <f>A60-'Mastercurve bestimmen'!$B$2</f>
        <v>-45</v>
      </c>
      <c r="F60" s="11">
        <f t="shared" si="4"/>
        <v>-40.987608339636431</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-40.831597000936014</v>
      </c>
      <c r="E61" s="11">
        <f>A61-'Mastercurve bestimmen'!$B$2</f>
        <v>-44</v>
      </c>
      <c r="F61" s="11">
        <f t="shared" si="4"/>
        <v>-40.831597000936014</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-40.671600752733944</v>
      </c>
      <c r="E62" s="11">
        <f>A62-'Mastercurve bestimmen'!$B$2</f>
        <v>-43</v>
      </c>
      <c r="F62" s="11">
        <f t="shared" si="4"/>
        <v>-40.671600752733944</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-40.507933176943325</v>
      </c>
      <c r="E63" s="11">
        <f>A63-'Mastercurve bestimmen'!$B$2</f>
        <v>-42</v>
      </c>
      <c r="F63" s="11">
        <f t="shared" si="4"/>
        <v>-40.507933176943325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-40.340907855477255</v>
      </c>
      <c r="E64" s="11">
        <f>A64-'Mastercurve bestimmen'!$B$2</f>
        <v>-41</v>
      </c>
      <c r="F64" s="11">
        <f t="shared" si="4"/>
        <v>-40.340907855477255</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-40.170838370248845</v>
      </c>
      <c r="E65" s="11">
        <f>A65-'Mastercurve bestimmen'!$B$2</f>
        <v>-40</v>
      </c>
      <c r="F65" s="11">
        <f t="shared" si="4"/>
        <v>-40.170838370248845</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-39.998038303171192</v>
      </c>
      <c r="E66" s="11">
        <f>A66-'Mastercurve bestimmen'!$B$2</f>
        <v>-39</v>
      </c>
      <c r="F66" s="11">
        <f t="shared" si="4"/>
        <v>-39.998038303171192</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-39.822821236157395</v>
      </c>
      <c r="E67" s="11">
        <f>A67-'Mastercurve bestimmen'!$B$2</f>
        <v>-38</v>
      </c>
      <c r="F67" s="11">
        <f t="shared" si="4"/>
        <v>-39.822821236157395</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-39.645500751120565</v>
      </c>
      <c r="E68" s="11">
        <f>A68-'Mastercurve bestimmen'!$B$2</f>
        <v>-37</v>
      </c>
      <c r="F68" s="11">
        <f t="shared" si="4"/>
        <v>-39.645500751120565</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-39.466390429973806</v>
      </c>
      <c r="E69" s="11">
        <f>A69-'Mastercurve bestimmen'!$B$2</f>
        <v>-36</v>
      </c>
      <c r="F69" s="11">
        <f t="shared" si="4"/>
        <v>-39.466390429973806</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-39.285803854630217</v>
      </c>
      <c r="E70" s="11">
        <f>A70-'Mastercurve bestimmen'!$B$2</f>
        <v>-35</v>
      </c>
      <c r="F70" s="11">
        <f t="shared" si="4"/>
        <v>-39.285803854630217</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-39.104054607002894</v>
      </c>
      <c r="E71" s="11">
        <f>A71-'Mastercurve bestimmen'!$B$2</f>
        <v>-34</v>
      </c>
      <c r="F71" s="11">
        <f t="shared" si="4"/>
        <v>-39.104054607002894</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-38.921456269004949</v>
      </c>
      <c r="E72" s="11">
        <f>A72-'Mastercurve bestimmen'!$B$2</f>
        <v>-33</v>
      </c>
      <c r="F72" s="11">
        <f t="shared" si="4"/>
        <v>-38.921456269004949</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-38.738322422549487</v>
      </c>
      <c r="E73" s="11">
        <f>A73-'Mastercurve bestimmen'!$B$2</f>
        <v>-32</v>
      </c>
      <c r="F73" s="11">
        <f t="shared" si="4"/>
        <v>-38.738322422549487</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-38.554966649549606</v>
      </c>
      <c r="E74" s="11">
        <f>A74-'Mastercurve bestimmen'!$B$2</f>
        <v>-31</v>
      </c>
      <c r="F74" s="11">
        <f t="shared" si="4"/>
        <v>-38.554966649549606</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-38.371702531918402</v>
      </c>
      <c r="E75" s="11">
        <f>A75-'Mastercurve bestimmen'!$B$2</f>
        <v>-30</v>
      </c>
      <c r="F75" s="11">
        <f t="shared" si="4"/>
        <v>-38.371702531918402</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-38.188843651568995</v>
      </c>
      <c r="E76" s="11">
        <f>A76-'Mastercurve bestimmen'!$B$2</f>
        <v>-29</v>
      </c>
      <c r="F76" s="11">
        <f t="shared" si="4"/>
        <v>-38.188843651568995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-38.006703590414475</v>
      </c>
      <c r="E77" s="11">
        <f>A77-'Mastercurve bestimmen'!$B$2</f>
        <v>-28</v>
      </c>
      <c r="F77" s="11">
        <f t="shared" si="4"/>
        <v>-38.006703590414475</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-37.825595930367939</v>
      </c>
      <c r="E78" s="11">
        <f>A78-'Mastercurve bestimmen'!$B$2</f>
        <v>-27</v>
      </c>
      <c r="F78" s="11">
        <f t="shared" si="4"/>
        <v>-37.825595930367939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-37.645834253342514</v>
      </c>
      <c r="E79" s="11">
        <f>A79-'Mastercurve bestimmen'!$B$2</f>
        <v>-26</v>
      </c>
      <c r="F79" s="11">
        <f t="shared" si="4"/>
        <v>-37.645834253342514</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-37.467732141251275</v>
      </c>
      <c r="E80" s="11">
        <f>A80-'Mastercurve bestimmen'!$B$2</f>
        <v>-25</v>
      </c>
      <c r="F80" s="11">
        <f t="shared" ref="F80:F143" si="10">B80</f>
        <v>-37.467732141251275</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-37.291414253640276</v>
      </c>
      <c r="E81" s="11">
        <f>A81-'Mastercurve bestimmen'!$B$2</f>
        <v>-24</v>
      </c>
      <c r="F81" s="11">
        <f t="shared" si="10"/>
        <v>-37.291414253640276</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-37.116249560587271</v>
      </c>
      <c r="E82" s="11">
        <f>A82-'Mastercurve bestimmen'!$B$2</f>
        <v>-23</v>
      </c>
      <c r="F82" s="11">
        <f t="shared" si="10"/>
        <v>-37.116249560587271</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-36.941418109802967</v>
      </c>
      <c r="E83" s="11">
        <f>A83-'Mastercurve bestimmen'!$B$2</f>
        <v>-22</v>
      </c>
      <c r="F83" s="11">
        <f t="shared" si="10"/>
        <v>-36.941418109802967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-36.766099948998033</v>
      </c>
      <c r="E84" s="11">
        <f>A84-'Mastercurve bestimmen'!$B$2</f>
        <v>-21</v>
      </c>
      <c r="F84" s="11">
        <f t="shared" si="10"/>
        <v>-36.766099948998033</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-36.589475125883204</v>
      </c>
      <c r="E85" s="11">
        <f>A85-'Mastercurve bestimmen'!$B$2</f>
        <v>-20</v>
      </c>
      <c r="F85" s="11">
        <f t="shared" si="10"/>
        <v>-36.589475125883204</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-36.410723688169142</v>
      </c>
      <c r="E86" s="11">
        <f>A86-'Mastercurve bestimmen'!$B$2</f>
        <v>-19</v>
      </c>
      <c r="F86" s="11">
        <f t="shared" si="10"/>
        <v>-36.410723688169142</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-36.229025683566562</v>
      </c>
      <c r="E87" s="11">
        <f>A87-'Mastercurve bestimmen'!$B$2</f>
        <v>-18</v>
      </c>
      <c r="F87" s="11">
        <f t="shared" si="10"/>
        <v>-36.229025683566562</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-36.043561159786151</v>
      </c>
      <c r="E88" s="11">
        <f>A88-'Mastercurve bestimmen'!$B$2</f>
        <v>-17</v>
      </c>
      <c r="F88" s="11">
        <f t="shared" si="10"/>
        <v>-36.043561159786151</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-35.853510164538605</v>
      </c>
      <c r="E89" s="11">
        <f>A89-'Mastercurve bestimmen'!$B$2</f>
        <v>-16</v>
      </c>
      <c r="F89" s="11">
        <f t="shared" si="10"/>
        <v>-35.853510164538605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-35.658052745534626</v>
      </c>
      <c r="E90" s="11">
        <f>A90-'Mastercurve bestimmen'!$B$2</f>
        <v>-15</v>
      </c>
      <c r="F90" s="11">
        <f t="shared" si="10"/>
        <v>-35.658052745534626</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-35.456368950484901</v>
      </c>
      <c r="E91" s="11">
        <f>A91-'Mastercurve bestimmen'!$B$2</f>
        <v>-14</v>
      </c>
      <c r="F91" s="11">
        <f t="shared" si="10"/>
        <v>-35.456368950484901</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-35.247638827100133</v>
      </c>
      <c r="E92" s="11">
        <f>A92-'Mastercurve bestimmen'!$B$2</f>
        <v>-13</v>
      </c>
      <c r="F92" s="11">
        <f t="shared" si="10"/>
        <v>-35.247638827100133</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-35.031042423091009</v>
      </c>
      <c r="E93" s="11">
        <f>A93-'Mastercurve bestimmen'!$B$2</f>
        <v>-12</v>
      </c>
      <c r="F93" s="11">
        <f t="shared" si="10"/>
        <v>-35.031042423091009</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-34.805759786168238</v>
      </c>
      <c r="E94" s="11">
        <f>A94-'Mastercurve bestimmen'!$B$2</f>
        <v>-11</v>
      </c>
      <c r="F94" s="11">
        <f t="shared" si="10"/>
        <v>-34.805759786168238</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-34.570970964042495</v>
      </c>
      <c r="E95" s="11">
        <f>A95-'Mastercurve bestimmen'!$B$2</f>
        <v>-10</v>
      </c>
      <c r="F95" s="11">
        <f t="shared" si="10"/>
        <v>-34.570970964042495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-34.325856004424494</v>
      </c>
      <c r="E96" s="11">
        <f>A96-'Mastercurve bestimmen'!$B$2</f>
        <v>-9</v>
      </c>
      <c r="F96" s="11">
        <f t="shared" si="10"/>
        <v>-34.325856004424494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-34.069594955024925</v>
      </c>
      <c r="E97" s="11">
        <f>A97-'Mastercurve bestimmen'!$B$2</f>
        <v>-8</v>
      </c>
      <c r="F97" s="11">
        <f t="shared" si="10"/>
        <v>-34.069594955024925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-33.801367863554489</v>
      </c>
      <c r="E98" s="11">
        <f>A98-'Mastercurve bestimmen'!$B$2</f>
        <v>-7</v>
      </c>
      <c r="F98" s="11">
        <f t="shared" si="10"/>
        <v>-33.801367863554489</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-33.520354777723867</v>
      </c>
      <c r="E99" s="11">
        <f>A99-'Mastercurve bestimmen'!$B$2</f>
        <v>-6</v>
      </c>
      <c r="F99" s="11">
        <f t="shared" si="10"/>
        <v>-33.520354777723867</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-33.225735745243767</v>
      </c>
      <c r="E100" s="11">
        <f>A100-'Mastercurve bestimmen'!$B$2</f>
        <v>-5</v>
      </c>
      <c r="F100" s="11">
        <f t="shared" si="10"/>
        <v>-33.225735745243767</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-32.916690813824886</v>
      </c>
      <c r="E101" s="11">
        <f>A101-'Mastercurve bestimmen'!$B$2</f>
        <v>-4</v>
      </c>
      <c r="F101" s="11">
        <f t="shared" si="10"/>
        <v>-32.916690813824886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-32.592400031177917</v>
      </c>
      <c r="E102" s="11">
        <f>A102-'Mastercurve bestimmen'!$B$2</f>
        <v>-3</v>
      </c>
      <c r="F102" s="11">
        <f t="shared" si="10"/>
        <v>-32.592400031177917</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-32.252043445013541</v>
      </c>
      <c r="E103" s="11">
        <f>A103-'Mastercurve bestimmen'!$B$2</f>
        <v>-2</v>
      </c>
      <c r="F103" s="11">
        <f t="shared" si="10"/>
        <v>-32.252043445013541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-31.894801103042475</v>
      </c>
      <c r="E104" s="11">
        <f>A104-'Mastercurve bestimmen'!$B$2</f>
        <v>-1</v>
      </c>
      <c r="F104" s="11">
        <f t="shared" si="10"/>
        <v>-31.894801103042475</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-31.519853052975407</v>
      </c>
      <c r="E105" s="11">
        <f>A105-'Mastercurve bestimmen'!$B$2</f>
        <v>0</v>
      </c>
      <c r="F105" s="11">
        <f t="shared" si="10"/>
        <v>-31.519853052975407</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-31.126667810396924</v>
      </c>
      <c r="E106" s="11">
        <f>A106-'Mastercurve bestimmen'!$B$2</f>
        <v>1</v>
      </c>
      <c r="F106" s="11">
        <f t="shared" si="10"/>
        <v>-31.126667810396924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-30.715867762387184</v>
      </c>
      <c r="E107" s="11">
        <f>A107-'Mastercurve bestimmen'!$B$2</f>
        <v>2</v>
      </c>
      <c r="F107" s="11">
        <f t="shared" si="10"/>
        <v>-30.715867762387184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-30.288363763900247</v>
      </c>
      <c r="E108" s="11">
        <f>A108-'Mastercurve bestimmen'!$B$2</f>
        <v>3</v>
      </c>
      <c r="F108" s="11">
        <f t="shared" si="10"/>
        <v>-30.288363763900247</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-29.845066669890162</v>
      </c>
      <c r="E109" s="11">
        <f>A109-'Mastercurve bestimmen'!$B$2</f>
        <v>4</v>
      </c>
      <c r="F109" s="11">
        <f t="shared" si="10"/>
        <v>-29.845066669890162</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-29.386887335310995</v>
      </c>
      <c r="E110" s="11">
        <f>A110-'Mastercurve bestimmen'!$B$2</f>
        <v>5</v>
      </c>
      <c r="F110" s="11">
        <f t="shared" si="10"/>
        <v>-29.386887335310995</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-28.914736615116791</v>
      </c>
      <c r="E111" s="11">
        <f>A111-'Mastercurve bestimmen'!$B$2</f>
        <v>6</v>
      </c>
      <c r="F111" s="11">
        <f t="shared" si="10"/>
        <v>-28.914736615116791</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-28.429525364261607</v>
      </c>
      <c r="E112" s="11">
        <f>A112-'Mastercurve bestimmen'!$B$2</f>
        <v>7</v>
      </c>
      <c r="F112" s="11">
        <f t="shared" si="10"/>
        <v>-28.429525364261607</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-27.932164437699502</v>
      </c>
      <c r="E113" s="11">
        <f>A113-'Mastercurve bestimmen'!$B$2</f>
        <v>8</v>
      </c>
      <c r="F113" s="11">
        <f t="shared" si="10"/>
        <v>-27.932164437699502</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-27.42356469038452</v>
      </c>
      <c r="E114" s="11">
        <f>A114-'Mastercurve bestimmen'!$B$2</f>
        <v>9</v>
      </c>
      <c r="F114" s="11">
        <f t="shared" si="10"/>
        <v>-27.42356469038452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-26.904636977270727</v>
      </c>
      <c r="E115" s="11">
        <f>A115-'Mastercurve bestimmen'!$B$2</f>
        <v>10</v>
      </c>
      <c r="F115" s="11">
        <f t="shared" si="10"/>
        <v>-26.904636977270727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-26.376292153312171</v>
      </c>
      <c r="E116" s="11">
        <f>A116-'Mastercurve bestimmen'!$B$2</f>
        <v>11</v>
      </c>
      <c r="F116" s="11">
        <f t="shared" si="10"/>
        <v>-26.376292153312171</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-25.839441073462908</v>
      </c>
      <c r="E117" s="11">
        <f>A117-'Mastercurve bestimmen'!$B$2</f>
        <v>12</v>
      </c>
      <c r="F117" s="11">
        <f t="shared" si="10"/>
        <v>-25.839441073462908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-25.294994592676993</v>
      </c>
      <c r="E118" s="11">
        <f>A118-'Mastercurve bestimmen'!$B$2</f>
        <v>13</v>
      </c>
      <c r="F118" s="11">
        <f t="shared" si="10"/>
        <v>-25.294994592676993</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-24.743863565908484</v>
      </c>
      <c r="E119" s="11">
        <f>A119-'Mastercurve bestimmen'!$B$2</f>
        <v>14</v>
      </c>
      <c r="F119" s="11">
        <f t="shared" si="10"/>
        <v>-24.743863565908484</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-24.186958848111431</v>
      </c>
      <c r="E120" s="11">
        <f>A120-'Mastercurve bestimmen'!$B$2</f>
        <v>15</v>
      </c>
      <c r="F120" s="11">
        <f t="shared" si="10"/>
        <v>-24.186958848111431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-23.62519129423989</v>
      </c>
      <c r="E121" s="11">
        <f>A121-'Mastercurve bestimmen'!$B$2</f>
        <v>16</v>
      </c>
      <c r="F121" s="11">
        <f t="shared" si="10"/>
        <v>-23.62519129423989</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-23.059471759247913</v>
      </c>
      <c r="E122" s="11">
        <f>A122-'Mastercurve bestimmen'!$B$2</f>
        <v>17</v>
      </c>
      <c r="F122" s="11">
        <f t="shared" si="10"/>
        <v>-23.059471759247913</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-22.490711098089562</v>
      </c>
      <c r="E123" s="11">
        <f>A123-'Mastercurve bestimmen'!$B$2</f>
        <v>18</v>
      </c>
      <c r="F123" s="11">
        <f t="shared" si="10"/>
        <v>-22.490711098089562</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-21.919820165718889</v>
      </c>
      <c r="E124" s="11">
        <f>A124-'Mastercurve bestimmen'!$B$2</f>
        <v>19</v>
      </c>
      <c r="F124" s="11">
        <f t="shared" si="10"/>
        <v>-21.919820165718889</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-21.347709817089942</v>
      </c>
      <c r="E125" s="11">
        <f>A125-'Mastercurve bestimmen'!$B$2</f>
        <v>20</v>
      </c>
      <c r="F125" s="11">
        <f t="shared" si="10"/>
        <v>-21.347709817089942</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-20.77529090715678</v>
      </c>
      <c r="E126" s="11">
        <f>A126-'Mastercurve bestimmen'!$B$2</f>
        <v>21</v>
      </c>
      <c r="F126" s="11">
        <f t="shared" si="10"/>
        <v>-20.77529090715678</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-20.203474290873459</v>
      </c>
      <c r="E127" s="11">
        <f>A127-'Mastercurve bestimmen'!$B$2</f>
        <v>22</v>
      </c>
      <c r="F127" s="11">
        <f t="shared" si="10"/>
        <v>-20.203474290873459</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-19.633170823194035</v>
      </c>
      <c r="E128" s="11">
        <f>A128-'Mastercurve bestimmen'!$B$2</f>
        <v>23</v>
      </c>
      <c r="F128" s="11">
        <f t="shared" si="10"/>
        <v>-19.633170823194035</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-19.06529135907256</v>
      </c>
      <c r="E129" s="11">
        <f>A129-'Mastercurve bestimmen'!$B$2</f>
        <v>24</v>
      </c>
      <c r="F129" s="11">
        <f t="shared" si="10"/>
        <v>-19.06529135907256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-18.500746753463087</v>
      </c>
      <c r="E130" s="11">
        <f>A130-'Mastercurve bestimmen'!$B$2</f>
        <v>25</v>
      </c>
      <c r="F130" s="11">
        <f t="shared" si="10"/>
        <v>-18.500746753463087</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-17.940447861319676</v>
      </c>
      <c r="E131" s="11">
        <f>A131-'Mastercurve bestimmen'!$B$2</f>
        <v>26</v>
      </c>
      <c r="F131" s="11">
        <f t="shared" si="10"/>
        <v>-17.940447861319676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-17.385305537596373</v>
      </c>
      <c r="E132" s="11">
        <f>A132-'Mastercurve bestimmen'!$B$2</f>
        <v>27</v>
      </c>
      <c r="F132" s="11">
        <f t="shared" si="10"/>
        <v>-17.385305537596373</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-16.836230637247244</v>
      </c>
      <c r="E133" s="11">
        <f>A133-'Mastercurve bestimmen'!$B$2</f>
        <v>28</v>
      </c>
      <c r="F133" s="11">
        <f t="shared" si="10"/>
        <v>-16.836230637247244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-16.294134015226334</v>
      </c>
      <c r="E134" s="11">
        <f>A134-'Mastercurve bestimmen'!$B$2</f>
        <v>29</v>
      </c>
      <c r="F134" s="11">
        <f t="shared" si="10"/>
        <v>-16.294134015226334</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-15.759926526487703</v>
      </c>
      <c r="E135" s="11">
        <f>A135-'Mastercurve bestimmen'!$B$2</f>
        <v>30</v>
      </c>
      <c r="F135" s="11">
        <f t="shared" si="10"/>
        <v>-15.759926526487703</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-15.234358199038235</v>
      </c>
      <c r="E136" s="11">
        <f>A136-'Mastercurve bestimmen'!$B$2</f>
        <v>31</v>
      </c>
      <c r="F136" s="11">
        <f t="shared" si="10"/>
        <v>-15.234358199038235</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-14.717535753096168</v>
      </c>
      <c r="E137" s="11">
        <f>A137-'Mastercurve bestimmen'!$B$2</f>
        <v>32</v>
      </c>
      <c r="F137" s="11">
        <f t="shared" si="10"/>
        <v>-14.717535753096168</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-14.209405081932562</v>
      </c>
      <c r="E138" s="11">
        <f>A138-'Mastercurve bestimmen'!$B$2</f>
        <v>33</v>
      </c>
      <c r="F138" s="11">
        <f t="shared" si="10"/>
        <v>-14.209405081932562</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-13.709912078818485</v>
      </c>
      <c r="E139" s="11">
        <f>A139-'Mastercurve bestimmen'!$B$2</f>
        <v>34</v>
      </c>
      <c r="F139" s="11">
        <f t="shared" si="10"/>
        <v>-13.709912078818485</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-13.219002637025</v>
      </c>
      <c r="E140" s="11">
        <f>A140-'Mastercurve bestimmen'!$B$2</f>
        <v>35</v>
      </c>
      <c r="F140" s="11">
        <f t="shared" si="10"/>
        <v>-13.219002637025</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-12.736622649823172</v>
      </c>
      <c r="E141" s="11">
        <f>A141-'Mastercurve bestimmen'!$B$2</f>
        <v>36</v>
      </c>
      <c r="F141" s="11">
        <f t="shared" si="10"/>
        <v>-12.736622649823172</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-12.262718010484072</v>
      </c>
      <c r="E142" s="11">
        <f>A142-'Mastercurve bestimmen'!$B$2</f>
        <v>37</v>
      </c>
      <c r="F142" s="11">
        <f t="shared" si="10"/>
        <v>-12.262718010484072</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-11.797234612278755</v>
      </c>
      <c r="E143" s="11">
        <f>A143-'Mastercurve bestimmen'!$B$2</f>
        <v>38</v>
      </c>
      <c r="F143" s="11">
        <f t="shared" si="10"/>
        <v>-11.797234612278755</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-11.340118348478292</v>
      </c>
      <c r="E144" s="11">
        <f>A144-'Mastercurve bestimmen'!$B$2</f>
        <v>39</v>
      </c>
      <c r="F144" s="11">
        <f t="shared" ref="F144:F207" si="15">B144</f>
        <v>-11.340118348478292</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-10.891315112353752</v>
      </c>
      <c r="E145" s="11">
        <f>A145-'Mastercurve bestimmen'!$B$2</f>
        <v>40</v>
      </c>
      <c r="F145" s="11">
        <f t="shared" si="15"/>
        <v>-10.891315112353752</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-10.450770797176192</v>
      </c>
      <c r="E146" s="11">
        <f>A146-'Mastercurve bestimmen'!$B$2</f>
        <v>41</v>
      </c>
      <c r="F146" s="11">
        <f t="shared" si="15"/>
        <v>-10.450770797176192</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-10.018431296216681</v>
      </c>
      <c r="E147" s="11">
        <f>A147-'Mastercurve bestimmen'!$B$2</f>
        <v>42</v>
      </c>
      <c r="F147" s="11">
        <f t="shared" si="15"/>
        <v>-10.018431296216681</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-9.594242502746285</v>
      </c>
      <c r="E148" s="11">
        <f>A148-'Mastercurve bestimmen'!$B$2</f>
        <v>43</v>
      </c>
      <c r="F148" s="11">
        <f t="shared" si="15"/>
        <v>-9.594242502746285</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-9.1781503100360666</v>
      </c>
      <c r="E149" s="11">
        <f>A149-'Mastercurve bestimmen'!$B$2</f>
        <v>44</v>
      </c>
      <c r="F149" s="11">
        <f t="shared" si="15"/>
        <v>-9.1781503100360666</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-8.7701006113570976</v>
      </c>
      <c r="E150" s="11">
        <f>A150-'Mastercurve bestimmen'!$B$2</f>
        <v>45</v>
      </c>
      <c r="F150" s="11">
        <f t="shared" si="15"/>
        <v>-8.7701006113570976</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-8.3700392999804354</v>
      </c>
      <c r="E151" s="11">
        <f>A151-'Mastercurve bestimmen'!$B$2</f>
        <v>46</v>
      </c>
      <c r="F151" s="11">
        <f t="shared" si="15"/>
        <v>-8.3700392999804354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-7.977912269177148</v>
      </c>
      <c r="E152" s="11">
        <f>A152-'Mastercurve bestimmen'!$B$2</f>
        <v>47</v>
      </c>
      <c r="F152" s="11">
        <f t="shared" si="15"/>
        <v>-7.977912269177148</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-7.5936654122183009</v>
      </c>
      <c r="E153" s="11">
        <f>A153-'Mastercurve bestimmen'!$B$2</f>
        <v>48</v>
      </c>
      <c r="F153" s="11">
        <f t="shared" si="15"/>
        <v>-7.5936654122183009</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-7.2172446223749596</v>
      </c>
      <c r="E154" s="11">
        <f>A154-'Mastercurve bestimmen'!$B$2</f>
        <v>49</v>
      </c>
      <c r="F154" s="11">
        <f t="shared" si="15"/>
        <v>-7.2172446223749596</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-6.8485957929181875</v>
      </c>
      <c r="E155" s="11">
        <f>A155-'Mastercurve bestimmen'!$B$2</f>
        <v>50</v>
      </c>
      <c r="F155" s="11">
        <f t="shared" si="15"/>
        <v>-6.8485957929181875</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-6.4876648171190521</v>
      </c>
      <c r="E156" s="11">
        <f>A156-'Mastercurve bestimmen'!$B$2</f>
        <v>51</v>
      </c>
      <c r="F156" s="11">
        <f t="shared" si="15"/>
        <v>-6.4876648171190521</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-6.1343975882486186</v>
      </c>
      <c r="E157" s="11">
        <f>A157-'Mastercurve bestimmen'!$B$2</f>
        <v>52</v>
      </c>
      <c r="F157" s="11">
        <f t="shared" si="15"/>
        <v>-6.1343975882486186</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-5.7887399995779507</v>
      </c>
      <c r="E158" s="11">
        <f>A158-'Mastercurve bestimmen'!$B$2</f>
        <v>53</v>
      </c>
      <c r="F158" s="11">
        <f t="shared" si="15"/>
        <v>-5.7887399995779507</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-5.4506379443781121</v>
      </c>
      <c r="E159" s="11">
        <f>A159-'Mastercurve bestimmen'!$B$2</f>
        <v>54</v>
      </c>
      <c r="F159" s="11">
        <f t="shared" si="15"/>
        <v>-5.4506379443781121</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-5.1200373159201717</v>
      </c>
      <c r="E160" s="11">
        <f>A160-'Mastercurve bestimmen'!$B$2</f>
        <v>55</v>
      </c>
      <c r="F160" s="11">
        <f t="shared" si="15"/>
        <v>-5.1200373159201717</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-4.7968840074751924</v>
      </c>
      <c r="E161" s="11">
        <f>A161-'Mastercurve bestimmen'!$B$2</f>
        <v>56</v>
      </c>
      <c r="F161" s="11">
        <f t="shared" si="15"/>
        <v>-4.7968840074751924</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-4.4811239123142403</v>
      </c>
      <c r="E162" s="11">
        <f>A162-'Mastercurve bestimmen'!$B$2</f>
        <v>57</v>
      </c>
      <c r="F162" s="11">
        <f t="shared" si="15"/>
        <v>-4.4811239123142403</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-4.1727029237083801</v>
      </c>
      <c r="E163" s="11">
        <f>A163-'Mastercurve bestimmen'!$B$2</f>
        <v>58</v>
      </c>
      <c r="F163" s="11">
        <f t="shared" si="15"/>
        <v>-4.1727029237083801</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-3.8715669349286768</v>
      </c>
      <c r="E164" s="11">
        <f>A164-'Mastercurve bestimmen'!$B$2</f>
        <v>59</v>
      </c>
      <c r="F164" s="11">
        <f t="shared" si="15"/>
        <v>-3.8715669349286768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-3.577661839246197</v>
      </c>
      <c r="E165" s="11">
        <f>A165-'Mastercurve bestimmen'!$B$2</f>
        <v>60</v>
      </c>
      <c r="F165" s="11">
        <f t="shared" si="15"/>
        <v>-3.577661839246197</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-3.2909335299320035</v>
      </c>
      <c r="E166" s="11">
        <f>A166-'Mastercurve bestimmen'!$B$2</f>
        <v>61</v>
      </c>
      <c r="F166" s="11">
        <f t="shared" si="15"/>
        <v>-3.2909335299320035</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-3.0113279002571627</v>
      </c>
      <c r="E167" s="11">
        <f>A167-'Mastercurve bestimmen'!$B$2</f>
        <v>62</v>
      </c>
      <c r="F167" s="11">
        <f t="shared" si="15"/>
        <v>-3.0113279002571627</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-2.7387908434927408</v>
      </c>
      <c r="E168" s="11">
        <f>A168-'Mastercurve bestimmen'!$B$2</f>
        <v>63</v>
      </c>
      <c r="F168" s="11">
        <f t="shared" si="15"/>
        <v>-2.7387908434927408</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-2.4732682529098016</v>
      </c>
      <c r="E169" s="11">
        <f>A169-'Mastercurve bestimmen'!$B$2</f>
        <v>64</v>
      </c>
      <c r="F169" s="11">
        <f t="shared" si="15"/>
        <v>-2.4732682529098016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-2.2147060217794103</v>
      </c>
      <c r="E170" s="11">
        <f>A170-'Mastercurve bestimmen'!$B$2</f>
        <v>65</v>
      </c>
      <c r="F170" s="11">
        <f t="shared" si="15"/>
        <v>-2.2147060217794103</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-1.963050043372633</v>
      </c>
      <c r="E171" s="11">
        <f>A171-'Mastercurve bestimmen'!$B$2</f>
        <v>66</v>
      </c>
      <c r="F171" s="11">
        <f t="shared" si="15"/>
        <v>-1.963050043372633</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-1.7182462109605345</v>
      </c>
      <c r="E172" s="11">
        <f>A172-'Mastercurve bestimmen'!$B$2</f>
        <v>67</v>
      </c>
      <c r="F172" s="11">
        <f t="shared" si="15"/>
        <v>-1.7182462109605345</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-1.4802404178141799</v>
      </c>
      <c r="E173" s="11">
        <f>A173-'Mastercurve bestimmen'!$B$2</f>
        <v>68</v>
      </c>
      <c r="F173" s="11">
        <f t="shared" si="15"/>
        <v>-1.4802404178141799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-1.2489785572046341</v>
      </c>
      <c r="E174" s="11">
        <f>A174-'Mastercurve bestimmen'!$B$2</f>
        <v>69</v>
      </c>
      <c r="F174" s="11">
        <f t="shared" si="15"/>
        <v>-1.2489785572046341</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-1.0244065224029626</v>
      </c>
      <c r="E175" s="11">
        <f>A175-'Mastercurve bestimmen'!$B$2</f>
        <v>70</v>
      </c>
      <c r="F175" s="11">
        <f t="shared" si="15"/>
        <v>-1.0244065224029626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-0.80647020668023028</v>
      </c>
      <c r="E176" s="11">
        <f>A176-'Mastercurve bestimmen'!$B$2</f>
        <v>71</v>
      </c>
      <c r="F176" s="11">
        <f t="shared" si="15"/>
        <v>-0.80647020668023028</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-0.59511550330750262</v>
      </c>
      <c r="E177" s="11">
        <f>A177-'Mastercurve bestimmen'!$B$2</f>
        <v>72</v>
      </c>
      <c r="F177" s="11">
        <f t="shared" si="15"/>
        <v>-0.59511550330750262</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-0.39028830555584504</v>
      </c>
      <c r="E178" s="11">
        <f>A178-'Mastercurve bestimmen'!$B$2</f>
        <v>73</v>
      </c>
      <c r="F178" s="11">
        <f t="shared" si="15"/>
        <v>-0.39028830555584504</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-0.19193450669632295</v>
      </c>
      <c r="E179" s="11">
        <f>A179-'Mastercurve bestimmen'!$B$2</f>
        <v>74</v>
      </c>
      <c r="F179" s="11">
        <f t="shared" si="15"/>
        <v>-0.19193450669632295</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0</v>
      </c>
      <c r="E180" s="11">
        <f>A180-'Mastercurve bestimmen'!$B$2</f>
        <v>75</v>
      </c>
      <c r="F180" s="11">
        <f t="shared" si="15"/>
        <v>0</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0.1855906138807312</v>
      </c>
      <c r="E181" s="11">
        <f>A181-'Mastercurve bestimmen'!$B$2</f>
        <v>76</v>
      </c>
      <c r="F181" s="11">
        <f t="shared" si="15"/>
        <v>0.1855906138807312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0.36499790476817601</v>
      </c>
      <c r="E182" s="11">
        <f>A182-'Mastercurve bestimmen'!$B$2</f>
        <v>77</v>
      </c>
      <c r="F182" s="11">
        <f t="shared" si="15"/>
        <v>0.36499790476817601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0.53840373510331363</v>
      </c>
      <c r="E183" s="11">
        <f>A183-'Mastercurve bestimmen'!$B$2</f>
        <v>78</v>
      </c>
      <c r="F183" s="11">
        <f t="shared" si="15"/>
        <v>0.53840373510331363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0.70598996732712282</v>
      </c>
      <c r="E184" s="11">
        <f>A184-'Mastercurve bestimmen'!$B$2</f>
        <v>79</v>
      </c>
      <c r="F184" s="11">
        <f t="shared" si="15"/>
        <v>0.70598996732712282</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0.8679384638805826</v>
      </c>
      <c r="E185" s="11">
        <f>A185-'Mastercurve bestimmen'!$B$2</f>
        <v>80</v>
      </c>
      <c r="F185" s="11">
        <f t="shared" si="15"/>
        <v>0.8679384638805826</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1.0244310872046722</v>
      </c>
      <c r="E186" s="11">
        <f>A186-'Mastercurve bestimmen'!$B$2</f>
        <v>81</v>
      </c>
      <c r="F186" s="11">
        <f t="shared" si="15"/>
        <v>1.0244310872046722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1.1756496997403705</v>
      </c>
      <c r="E187" s="11">
        <f>A187-'Mastercurve bestimmen'!$B$2</f>
        <v>82</v>
      </c>
      <c r="F187" s="11">
        <f t="shared" si="15"/>
        <v>1.1756496997403705</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1.3217761639286563</v>
      </c>
      <c r="E188" s="11">
        <f>A188-'Mastercurve bestimmen'!$B$2</f>
        <v>83</v>
      </c>
      <c r="F188" s="11">
        <f t="shared" si="15"/>
        <v>1.3217761639286563</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1.4629923422105091</v>
      </c>
      <c r="E189" s="11">
        <f>A189-'Mastercurve bestimmen'!$B$2</f>
        <v>84</v>
      </c>
      <c r="F189" s="11">
        <f t="shared" si="15"/>
        <v>1.4629923422105091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1.5994800970269076</v>
      </c>
      <c r="E190" s="11">
        <f>A190-'Mastercurve bestimmen'!$B$2</f>
        <v>85</v>
      </c>
      <c r="F190" s="11">
        <f t="shared" si="15"/>
        <v>1.5994800970269076</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1.7314212908188309</v>
      </c>
      <c r="E191" s="11">
        <f>A191-'Mastercurve bestimmen'!$B$2</f>
        <v>86</v>
      </c>
      <c r="F191" s="11">
        <f t="shared" si="15"/>
        <v>1.7314212908188309</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1.8589977860272577</v>
      </c>
      <c r="E192" s="11">
        <f>A192-'Mastercurve bestimmen'!$B$2</f>
        <v>87</v>
      </c>
      <c r="F192" s="11">
        <f t="shared" si="15"/>
        <v>1.8589977860272577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1.9823914450931674</v>
      </c>
      <c r="E193" s="11">
        <f>A193-'Mastercurve bestimmen'!$B$2</f>
        <v>88</v>
      </c>
      <c r="F193" s="11">
        <f t="shared" si="15"/>
        <v>1.9823914450931674</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2.1017841304575389</v>
      </c>
      <c r="E194" s="11">
        <f>A194-'Mastercurve bestimmen'!$B$2</f>
        <v>89</v>
      </c>
      <c r="F194" s="11">
        <f t="shared" si="15"/>
        <v>2.1017841304575389</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2.2173577045613508</v>
      </c>
      <c r="E195" s="11">
        <f>A195-'Mastercurve bestimmen'!$B$2</f>
        <v>90</v>
      </c>
      <c r="F195" s="11">
        <f t="shared" si="15"/>
        <v>2.2173577045613508</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2.3292940298455829</v>
      </c>
      <c r="E196" s="11">
        <f>A196-'Mastercurve bestimmen'!$B$2</f>
        <v>91</v>
      </c>
      <c r="F196" s="11">
        <f t="shared" si="15"/>
        <v>2.3292940298455829</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2.437774968751214</v>
      </c>
      <c r="E197" s="11">
        <f>A197-'Mastercurve bestimmen'!$B$2</f>
        <v>92</v>
      </c>
      <c r="F197" s="11">
        <f t="shared" si="15"/>
        <v>2.437774968751214</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2.5429823837192229</v>
      </c>
      <c r="E198" s="11">
        <f>A198-'Mastercurve bestimmen'!$B$2</f>
        <v>93</v>
      </c>
      <c r="F198" s="11">
        <f t="shared" si="15"/>
        <v>2.5429823837192229</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2.6450981371905882</v>
      </c>
      <c r="E199" s="11">
        <f>A199-'Mastercurve bestimmen'!$B$2</f>
        <v>94</v>
      </c>
      <c r="F199" s="11">
        <f t="shared" si="15"/>
        <v>2.6450981371905882</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2.7443040916062893</v>
      </c>
      <c r="E200" s="11">
        <f>A200-'Mastercurve bestimmen'!$B$2</f>
        <v>95</v>
      </c>
      <c r="F200" s="11">
        <f t="shared" si="15"/>
        <v>2.7443040916062893</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2.8407821094073058</v>
      </c>
      <c r="E201" s="11">
        <f>A201-'Mastercurve bestimmen'!$B$2</f>
        <v>96</v>
      </c>
      <c r="F201" s="11">
        <f t="shared" si="15"/>
        <v>2.8407821094073058</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2.9347140530346154</v>
      </c>
      <c r="E202" s="11">
        <f>A202-'Mastercurve bestimmen'!$B$2</f>
        <v>97</v>
      </c>
      <c r="F202" s="11">
        <f t="shared" si="15"/>
        <v>2.9347140530346154</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3.0262817849291981</v>
      </c>
      <c r="E203" s="11">
        <f>A203-'Mastercurve bestimmen'!$B$2</f>
        <v>98</v>
      </c>
      <c r="F203" s="11">
        <f t="shared" si="15"/>
        <v>3.0262817849291981</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3.1156671675320333</v>
      </c>
      <c r="E204" s="11">
        <f>A204-'Mastercurve bestimmen'!$B$2</f>
        <v>99</v>
      </c>
      <c r="F204" s="11">
        <f t="shared" si="15"/>
        <v>3.1156671675320333</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3.2030520632840989</v>
      </c>
      <c r="E205" s="11">
        <f>A205-'Mastercurve bestimmen'!$B$2</f>
        <v>100</v>
      </c>
      <c r="F205" s="11">
        <f t="shared" si="15"/>
        <v>3.2030520632840989</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3.2886183346263742</v>
      </c>
      <c r="E206" s="11">
        <f>A206-'Mastercurve bestimmen'!$B$2</f>
        <v>101</v>
      </c>
      <c r="F206" s="11">
        <f t="shared" si="15"/>
        <v>3.2886183346263742</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3.3725478439998384</v>
      </c>
      <c r="E207" s="11">
        <f>A207-'Mastercurve bestimmen'!$B$2</f>
        <v>102</v>
      </c>
      <c r="F207" s="11">
        <f t="shared" si="15"/>
        <v>3.3725478439998384</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3.455022453845471</v>
      </c>
      <c r="E208" s="11">
        <f>A208-'Mastercurve bestimmen'!$B$2</f>
        <v>103</v>
      </c>
      <c r="F208" s="11">
        <f t="shared" ref="F208:F215" si="21">B208</f>
        <v>3.455022453845471</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3.5362240266042502</v>
      </c>
      <c r="E209" s="11">
        <f>A209-'Mastercurve bestimmen'!$B$2</f>
        <v>104</v>
      </c>
      <c r="F209" s="11">
        <f t="shared" si="21"/>
        <v>3.5362240266042502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3.6163344247171554</v>
      </c>
      <c r="E210" s="11">
        <f>A210-'Mastercurve bestimmen'!$B$2</f>
        <v>105</v>
      </c>
      <c r="F210" s="11">
        <f t="shared" si="21"/>
        <v>3.6163344247171554</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3.6955355106251657</v>
      </c>
      <c r="E211" s="11">
        <f>A211-'Mastercurve bestimmen'!$B$2</f>
        <v>106</v>
      </c>
      <c r="F211" s="11">
        <f t="shared" si="21"/>
        <v>3.6955355106251657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3.7740091467692598</v>
      </c>
      <c r="E212" s="11">
        <f>A212-'Mastercurve bestimmen'!$B$2</f>
        <v>107</v>
      </c>
      <c r="F212" s="11">
        <f t="shared" si="21"/>
        <v>3.7740091467692598</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3.8519371955904167</v>
      </c>
      <c r="E213" s="11">
        <f>A213-'Mastercurve bestimmen'!$B$2</f>
        <v>108</v>
      </c>
      <c r="F213" s="11">
        <f t="shared" si="21"/>
        <v>3.8519371955904167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3.9295015195296163</v>
      </c>
      <c r="E214" s="11">
        <f>A214-'Mastercurve bestimmen'!$B$2</f>
        <v>109</v>
      </c>
      <c r="F214" s="11">
        <f t="shared" si="21"/>
        <v>3.9295015195296163</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4.0068839810278361</v>
      </c>
      <c r="E215" s="11">
        <f>A215-'Mastercurve bestimmen'!$B$2</f>
        <v>110</v>
      </c>
      <c r="F215" s="11">
        <f t="shared" si="21"/>
        <v>4.0068839810278361</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0.52427832349594095</v>
      </c>
      <c r="J217" s="98">
        <v>-3.5315284282063972E-2</v>
      </c>
      <c r="K217" s="98">
        <v>-1.5218672356373552E-4</v>
      </c>
      <c r="L217" s="98">
        <v>1.2965286752905169E-5</v>
      </c>
      <c r="M217" s="98">
        <v>3.2635184253375725E-8</v>
      </c>
      <c r="N217" s="98">
        <v>-1.7212797645557277E-9</v>
      </c>
      <c r="O217" s="98">
        <v>-2.1573002487892906E-12</v>
      </c>
      <c r="P217" s="98">
        <v>7.6314676318104761E-14</v>
      </c>
    </row>
    <row r="218" spans="1:16" x14ac:dyDescent="0.25">
      <c r="G218" s="11"/>
      <c r="H218" s="11">
        <v>0</v>
      </c>
      <c r="I218" s="11">
        <v>0.11883437827828065</v>
      </c>
      <c r="J218" s="11">
        <v>2.6690301459261689E-3</v>
      </c>
      <c r="K218" s="3">
        <v>9.981444187013635E-5</v>
      </c>
      <c r="L218" s="3">
        <v>1.4984858230152606E-6</v>
      </c>
      <c r="M218" s="3">
        <v>2.4370629390323229E-8</v>
      </c>
      <c r="N218" s="3">
        <v>2.8176428127932897E-10</v>
      </c>
      <c r="O218" s="11">
        <v>1.7648779090405688E-12</v>
      </c>
      <c r="P218" s="11">
        <v>1.7814190606788563E-14</v>
      </c>
    </row>
    <row r="219" spans="1:16" x14ac:dyDescent="0.25">
      <c r="G219" s="11"/>
      <c r="H219" s="11">
        <v>0.79979045971086982</v>
      </c>
      <c r="I219" s="11">
        <v>13.317739258598893</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-47.415745212709396</v>
      </c>
      <c r="G222">
        <f>F15</f>
        <v>-45.801625734711926</v>
      </c>
    </row>
    <row r="223" spans="1:16" x14ac:dyDescent="0.25">
      <c r="E223" s="11">
        <f t="shared" ref="E223:E286" si="25">E16</f>
        <v>-89</v>
      </c>
      <c r="F223" s="11">
        <f t="shared" ref="F223:F286" si="26">$H$217*0+E223*$I$217+E223^2*$J$217+E223^3*$K$217+E223^4*$L$217+E223^5*$M$217+E223^6*$N$217+E223^7*$O$217+E223^8*$P$217</f>
        <v>-47.475947395315245</v>
      </c>
      <c r="G223" s="11">
        <f t="shared" ref="G223:G286" si="27">F16</f>
        <v>-45.738092888466561</v>
      </c>
    </row>
    <row r="224" spans="1:16" x14ac:dyDescent="0.25">
      <c r="E224" s="11">
        <f t="shared" si="25"/>
        <v>-88</v>
      </c>
      <c r="F224" s="11">
        <f t="shared" si="26"/>
        <v>-47.362952852895148</v>
      </c>
      <c r="G224" s="11">
        <f t="shared" si="27"/>
        <v>-45.67441338219669</v>
      </c>
    </row>
    <row r="225" spans="5:7" x14ac:dyDescent="0.25">
      <c r="E225" s="11">
        <f t="shared" si="25"/>
        <v>-87</v>
      </c>
      <c r="F225" s="11">
        <f t="shared" si="26"/>
        <v>-47.113737422063565</v>
      </c>
      <c r="G225" s="11">
        <f t="shared" si="27"/>
        <v>-45.610440555877801</v>
      </c>
    </row>
    <row r="226" spans="5:7" x14ac:dyDescent="0.25">
      <c r="E226" s="11">
        <f t="shared" si="25"/>
        <v>-86</v>
      </c>
      <c r="F226" s="11">
        <f t="shared" si="26"/>
        <v>-46.761183583043703</v>
      </c>
      <c r="G226" s="11">
        <f t="shared" si="27"/>
        <v>-45.54602774948539</v>
      </c>
    </row>
    <row r="227" spans="5:7" x14ac:dyDescent="0.25">
      <c r="E227" s="11">
        <f t="shared" si="25"/>
        <v>-85</v>
      </c>
      <c r="F227" s="11">
        <f t="shared" si="26"/>
        <v>-46.334353342722551</v>
      </c>
      <c r="G227" s="11">
        <f t="shared" si="27"/>
        <v>-45.481028302994957</v>
      </c>
    </row>
    <row r="228" spans="5:7" x14ac:dyDescent="0.25">
      <c r="E228" s="11">
        <f t="shared" si="25"/>
        <v>-84</v>
      </c>
      <c r="F228" s="11">
        <f t="shared" si="26"/>
        <v>-45.858749765387756</v>
      </c>
      <c r="G228" s="11">
        <f t="shared" si="27"/>
        <v>-45.415295556381992</v>
      </c>
    </row>
    <row r="229" spans="5:7" x14ac:dyDescent="0.25">
      <c r="E229" s="11">
        <f t="shared" si="25"/>
        <v>-83</v>
      </c>
      <c r="F229" s="11">
        <f t="shared" si="26"/>
        <v>-45.356567428183752</v>
      </c>
      <c r="G229" s="11">
        <f t="shared" si="27"/>
        <v>-45.34868284962198</v>
      </c>
    </row>
    <row r="230" spans="5:7" x14ac:dyDescent="0.25">
      <c r="E230" s="11">
        <f t="shared" si="25"/>
        <v>-82</v>
      </c>
      <c r="F230" s="11">
        <f t="shared" si="26"/>
        <v>-44.846932075239607</v>
      </c>
      <c r="G230" s="11">
        <f t="shared" si="27"/>
        <v>-45.281043522690418</v>
      </c>
    </row>
    <row r="231" spans="5:7" x14ac:dyDescent="0.25">
      <c r="E231" s="11">
        <f t="shared" si="25"/>
        <v>-81</v>
      </c>
      <c r="F231" s="11">
        <f t="shared" si="26"/>
        <v>-44.346129741353366</v>
      </c>
      <c r="G231" s="11">
        <f t="shared" si="27"/>
        <v>-45.212230915562813</v>
      </c>
    </row>
    <row r="232" spans="5:7" x14ac:dyDescent="0.25">
      <c r="E232" s="11">
        <f t="shared" si="25"/>
        <v>-80</v>
      </c>
      <c r="F232" s="11">
        <f t="shared" si="26"/>
        <v>-43.867825613032181</v>
      </c>
      <c r="G232" s="11">
        <f t="shared" si="27"/>
        <v>-45.14209836821464</v>
      </c>
    </row>
    <row r="233" spans="5:7" x14ac:dyDescent="0.25">
      <c r="E233" s="11">
        <f t="shared" si="25"/>
        <v>-79</v>
      </c>
      <c r="F233" s="11">
        <f t="shared" si="26"/>
        <v>-43.423272891616307</v>
      </c>
      <c r="G233" s="11">
        <f t="shared" si="27"/>
        <v>-45.0704992206214</v>
      </c>
    </row>
    <row r="234" spans="5:7" x14ac:dyDescent="0.25">
      <c r="E234" s="11">
        <f t="shared" si="25"/>
        <v>-78</v>
      </c>
      <c r="F234" s="11">
        <f t="shared" si="26"/>
        <v>-43.021511920134046</v>
      </c>
      <c r="G234" s="11">
        <f t="shared" si="27"/>
        <v>-44.997286812758588</v>
      </c>
    </row>
    <row r="235" spans="5:7" x14ac:dyDescent="0.25">
      <c r="E235" s="11">
        <f t="shared" si="25"/>
        <v>-77</v>
      </c>
      <c r="F235" s="11">
        <f t="shared" si="26"/>
        <v>-42.669559832462085</v>
      </c>
      <c r="G235" s="11">
        <f t="shared" si="27"/>
        <v>-44.922314484601692</v>
      </c>
    </row>
    <row r="236" spans="5:7" x14ac:dyDescent="0.25">
      <c r="E236" s="11">
        <f t="shared" si="25"/>
        <v>-76</v>
      </c>
      <c r="F236" s="11">
        <f t="shared" si="26"/>
        <v>-42.372590980283519</v>
      </c>
      <c r="G236" s="11">
        <f t="shared" si="27"/>
        <v>-44.845435576126206</v>
      </c>
    </row>
    <row r="237" spans="5:7" x14ac:dyDescent="0.25">
      <c r="E237" s="11">
        <f t="shared" si="25"/>
        <v>-75</v>
      </c>
      <c r="F237" s="11">
        <f t="shared" si="26"/>
        <v>-42.134108390262938</v>
      </c>
      <c r="G237" s="11">
        <f t="shared" si="27"/>
        <v>-44.766503427307626</v>
      </c>
    </row>
    <row r="238" spans="5:7" x14ac:dyDescent="0.25">
      <c r="E238" s="11">
        <f t="shared" si="25"/>
        <v>-74</v>
      </c>
      <c r="F238" s="11">
        <f t="shared" si="26"/>
        <v>-41.956106500779029</v>
      </c>
      <c r="G238" s="11">
        <f t="shared" si="27"/>
        <v>-44.685371378121459</v>
      </c>
    </row>
    <row r="239" spans="5:7" x14ac:dyDescent="0.25">
      <c r="E239" s="11">
        <f t="shared" si="25"/>
        <v>-73</v>
      </c>
      <c r="F239" s="11">
        <f t="shared" si="26"/>
        <v>-41.839225424479444</v>
      </c>
      <c r="G239" s="11">
        <f t="shared" si="27"/>
        <v>-44.601892768543166</v>
      </c>
    </row>
    <row r="240" spans="5:7" x14ac:dyDescent="0.25">
      <c r="E240" s="11">
        <f t="shared" si="25"/>
        <v>-72</v>
      </c>
      <c r="F240" s="11">
        <f t="shared" si="26"/>
        <v>-41.78289697984281</v>
      </c>
      <c r="G240" s="11">
        <f t="shared" si="27"/>
        <v>-44.515920938548263</v>
      </c>
    </row>
    <row r="241" spans="5:7" x14ac:dyDescent="0.25">
      <c r="E241" s="11">
        <f t="shared" si="25"/>
        <v>-71</v>
      </c>
      <c r="F241" s="11">
        <f t="shared" si="26"/>
        <v>-41.785482731859574</v>
      </c>
      <c r="G241" s="11">
        <f t="shared" si="27"/>
        <v>-44.427309228112236</v>
      </c>
    </row>
    <row r="242" spans="5:7" x14ac:dyDescent="0.25">
      <c r="E242" s="11">
        <f t="shared" si="25"/>
        <v>-70</v>
      </c>
      <c r="F242" s="11">
        <f t="shared" si="26"/>
        <v>-41.844404278864836</v>
      </c>
      <c r="G242" s="11">
        <f t="shared" si="27"/>
        <v>-44.335910977210588</v>
      </c>
    </row>
    <row r="243" spans="5:7" x14ac:dyDescent="0.25">
      <c r="E243" s="11">
        <f t="shared" si="25"/>
        <v>-69</v>
      </c>
      <c r="F243" s="11">
        <f t="shared" si="26"/>
        <v>-41.956266019476502</v>
      </c>
      <c r="G243" s="11">
        <f t="shared" si="27"/>
        <v>-44.2415795258188</v>
      </c>
    </row>
    <row r="244" spans="5:7" x14ac:dyDescent="0.25">
      <c r="E244" s="11">
        <f t="shared" si="25"/>
        <v>-68</v>
      </c>
      <c r="F244" s="11">
        <f t="shared" si="26"/>
        <v>-42.116970630520505</v>
      </c>
      <c r="G244" s="11">
        <f t="shared" si="27"/>
        <v>-44.144168213912366</v>
      </c>
    </row>
    <row r="245" spans="5:7" x14ac:dyDescent="0.25">
      <c r="E245" s="11">
        <f t="shared" si="25"/>
        <v>-67</v>
      </c>
      <c r="F245" s="11">
        <f t="shared" si="26"/>
        <v>-42.32182748374322</v>
      </c>
      <c r="G245" s="11">
        <f t="shared" si="27"/>
        <v>-44.043530381466795</v>
      </c>
    </row>
    <row r="246" spans="5:7" x14ac:dyDescent="0.25">
      <c r="E246" s="11">
        <f t="shared" si="25"/>
        <v>-66</v>
      </c>
      <c r="F246" s="11">
        <f t="shared" si="26"/>
        <v>-42.565654226036578</v>
      </c>
      <c r="G246" s="11">
        <f t="shared" si="27"/>
        <v>-43.939519368457553</v>
      </c>
    </row>
    <row r="247" spans="5:7" x14ac:dyDescent="0.25">
      <c r="E247" s="11">
        <f t="shared" si="25"/>
        <v>-65</v>
      </c>
      <c r="F247" s="11">
        <f t="shared" si="26"/>
        <v>-42.842871744823206</v>
      </c>
      <c r="G247" s="11">
        <f t="shared" si="27"/>
        <v>-43.831988514860157</v>
      </c>
    </row>
    <row r="248" spans="5:7" x14ac:dyDescent="0.25">
      <c r="E248" s="11">
        <f t="shared" si="25"/>
        <v>-64</v>
      </c>
      <c r="F248" s="11">
        <f t="shared" si="26"/>
        <v>-43.147592737173014</v>
      </c>
      <c r="G248" s="11">
        <f t="shared" si="27"/>
        <v>-43.720791160650094</v>
      </c>
    </row>
    <row r="249" spans="5:7" x14ac:dyDescent="0.25">
      <c r="E249" s="11">
        <f t="shared" si="25"/>
        <v>-63</v>
      </c>
      <c r="F249" s="11">
        <f t="shared" si="26"/>
        <v>-43.473704098144609</v>
      </c>
      <c r="G249" s="11">
        <f t="shared" si="27"/>
        <v>-43.605780645802852</v>
      </c>
    </row>
    <row r="250" spans="5:7" x14ac:dyDescent="0.25">
      <c r="E250" s="11">
        <f t="shared" si="25"/>
        <v>-62</v>
      </c>
      <c r="F250" s="11">
        <f t="shared" si="26"/>
        <v>-43.814943340768146</v>
      </c>
      <c r="G250" s="11">
        <f t="shared" si="27"/>
        <v>-43.486810310293926</v>
      </c>
    </row>
    <row r="251" spans="5:7" x14ac:dyDescent="0.25">
      <c r="E251" s="11">
        <f t="shared" si="25"/>
        <v>-61</v>
      </c>
      <c r="F251" s="11">
        <f t="shared" si="26"/>
        <v>-44.164969257010583</v>
      </c>
      <c r="G251" s="11">
        <f t="shared" si="27"/>
        <v>-43.36373349409881</v>
      </c>
    </row>
    <row r="252" spans="5:7" x14ac:dyDescent="0.25">
      <c r="E252" s="11">
        <f t="shared" si="25"/>
        <v>-60</v>
      </c>
      <c r="F252" s="11">
        <f t="shared" si="26"/>
        <v>-44.517427025984112</v>
      </c>
      <c r="G252" s="11">
        <f t="shared" si="27"/>
        <v>-43.236403537192999</v>
      </c>
    </row>
    <row r="253" spans="5:7" x14ac:dyDescent="0.25">
      <c r="E253" s="11">
        <f t="shared" si="25"/>
        <v>-59</v>
      </c>
      <c r="F253" s="11">
        <f t="shared" si="26"/>
        <v>-44.866007972585635</v>
      </c>
      <c r="G253" s="11">
        <f t="shared" si="27"/>
        <v>-43.104673779551987</v>
      </c>
    </row>
    <row r="254" spans="5:7" x14ac:dyDescent="0.25">
      <c r="E254" s="11">
        <f t="shared" si="25"/>
        <v>-58</v>
      </c>
      <c r="F254" s="11">
        <f t="shared" si="26"/>
        <v>-45.204504176674618</v>
      </c>
      <c r="G254" s="11">
        <f t="shared" si="27"/>
        <v>-42.968397561151264</v>
      </c>
    </row>
    <row r="255" spans="5:7" x14ac:dyDescent="0.25">
      <c r="E255" s="11">
        <f t="shared" si="25"/>
        <v>-57</v>
      </c>
      <c r="F255" s="11">
        <f t="shared" si="26"/>
        <v>-45.526858129821797</v>
      </c>
      <c r="G255" s="11">
        <f t="shared" si="27"/>
        <v>-42.827428221966329</v>
      </c>
    </row>
    <row r="256" spans="5:7" x14ac:dyDescent="0.25">
      <c r="E256" s="11">
        <f t="shared" si="25"/>
        <v>-56</v>
      </c>
      <c r="F256" s="11">
        <f t="shared" si="26"/>
        <v>-45.827207633582987</v>
      </c>
      <c r="G256" s="11">
        <f t="shared" si="27"/>
        <v>-42.681619101972665</v>
      </c>
    </row>
    <row r="257" spans="5:7" x14ac:dyDescent="0.25">
      <c r="E257" s="11">
        <f t="shared" si="25"/>
        <v>-55</v>
      </c>
      <c r="F257" s="11">
        <f t="shared" si="26"/>
        <v>-46.099926130176542</v>
      </c>
      <c r="G257" s="11">
        <f t="shared" si="27"/>
        <v>-42.530823541145764</v>
      </c>
    </row>
    <row r="258" spans="5:7" x14ac:dyDescent="0.25">
      <c r="E258" s="11">
        <f t="shared" si="25"/>
        <v>-54</v>
      </c>
      <c r="F258" s="11">
        <f t="shared" si="26"/>
        <v>-46.339658653364175</v>
      </c>
      <c r="G258" s="11">
        <f t="shared" si="27"/>
        <v>-42.374894879461138</v>
      </c>
    </row>
    <row r="259" spans="5:7" x14ac:dyDescent="0.25">
      <c r="E259" s="11">
        <f t="shared" si="25"/>
        <v>-53</v>
      </c>
      <c r="F259" s="11">
        <f t="shared" si="26"/>
        <v>-46.541353584259596</v>
      </c>
      <c r="G259" s="11">
        <f t="shared" si="27"/>
        <v>-42.213686456894266</v>
      </c>
    </row>
    <row r="260" spans="5:7" x14ac:dyDescent="0.25">
      <c r="E260" s="11">
        <f t="shared" si="25"/>
        <v>-52</v>
      </c>
      <c r="F260" s="11">
        <f t="shared" si="26"/>
        <v>-46.700290393711498</v>
      </c>
      <c r="G260" s="11">
        <f t="shared" si="27"/>
        <v>-42.047051613420642</v>
      </c>
    </row>
    <row r="261" spans="5:7" x14ac:dyDescent="0.25">
      <c r="E261" s="11">
        <f t="shared" si="25"/>
        <v>-51</v>
      </c>
      <c r="F261" s="11">
        <f t="shared" si="26"/>
        <v>-46.81210354983056</v>
      </c>
      <c r="G261" s="11">
        <f t="shared" si="27"/>
        <v>-41.874843689015755</v>
      </c>
    </row>
    <row r="262" spans="5:7" x14ac:dyDescent="0.25">
      <c r="E262" s="11">
        <f t="shared" si="25"/>
        <v>-50</v>
      </c>
      <c r="F262" s="11">
        <f t="shared" si="26"/>
        <v>-46.872802766153285</v>
      </c>
      <c r="G262" s="11">
        <f t="shared" si="27"/>
        <v>-41.696916023655113</v>
      </c>
    </row>
    <row r="263" spans="5:7" x14ac:dyDescent="0.25">
      <c r="E263" s="11">
        <f t="shared" si="25"/>
        <v>-49</v>
      </c>
      <c r="F263" s="11">
        <f t="shared" si="26"/>
        <v>-46.878789762858041</v>
      </c>
      <c r="G263" s="11">
        <f t="shared" si="27"/>
        <v>-41.565532961159505</v>
      </c>
    </row>
    <row r="264" spans="5:7" x14ac:dyDescent="0.25">
      <c r="E264" s="11">
        <f t="shared" si="25"/>
        <v>-48</v>
      </c>
      <c r="F264" s="11">
        <f t="shared" si="26"/>
        <v>-46.826871710372565</v>
      </c>
      <c r="G264" s="11">
        <f t="shared" si="27"/>
        <v>-41.428597079596727</v>
      </c>
    </row>
    <row r="265" spans="5:7" x14ac:dyDescent="0.25">
      <c r="E265" s="11">
        <f t="shared" si="25"/>
        <v>-47</v>
      </c>
      <c r="F265" s="11">
        <f t="shared" si="26"/>
        <v>-46.714271521633989</v>
      </c>
      <c r="G265" s="11">
        <f t="shared" si="27"/>
        <v>-41.286421960879899</v>
      </c>
    </row>
    <row r="266" spans="5:7" x14ac:dyDescent="0.25">
      <c r="E266" s="11">
        <f t="shared" si="25"/>
        <v>-46</v>
      </c>
      <c r="F266" s="11">
        <f t="shared" si="26"/>
        <v>-46.538635156186757</v>
      </c>
      <c r="G266" s="11">
        <f t="shared" si="27"/>
        <v>-41.139321186922089</v>
      </c>
    </row>
    <row r="267" spans="5:7" x14ac:dyDescent="0.25">
      <c r="E267" s="11">
        <f t="shared" si="25"/>
        <v>-45</v>
      </c>
      <c r="F267" s="11">
        <f t="shared" si="26"/>
        <v>-46.298036096225204</v>
      </c>
      <c r="G267" s="11">
        <f t="shared" si="27"/>
        <v>-40.987608339636431</v>
      </c>
    </row>
    <row r="268" spans="5:7" x14ac:dyDescent="0.25">
      <c r="E268" s="11">
        <f t="shared" si="25"/>
        <v>-44</v>
      </c>
      <c r="F268" s="11">
        <f t="shared" si="26"/>
        <v>-45.990977151612526</v>
      </c>
      <c r="G268" s="11">
        <f t="shared" si="27"/>
        <v>-40.831597000936014</v>
      </c>
    </row>
    <row r="269" spans="5:7" x14ac:dyDescent="0.25">
      <c r="E269" s="11">
        <f t="shared" si="25"/>
        <v>-43</v>
      </c>
      <c r="F269" s="11">
        <f t="shared" si="26"/>
        <v>-45.616389747828755</v>
      </c>
      <c r="G269" s="11">
        <f t="shared" si="27"/>
        <v>-40.671600752733944</v>
      </c>
    </row>
    <row r="270" spans="5:7" x14ac:dyDescent="0.25">
      <c r="E270" s="11">
        <f t="shared" si="25"/>
        <v>-42</v>
      </c>
      <c r="F270" s="11">
        <f t="shared" si="26"/>
        <v>-45.173630847725271</v>
      </c>
      <c r="G270" s="11">
        <f t="shared" si="27"/>
        <v>-40.507933176943325</v>
      </c>
    </row>
    <row r="271" spans="5:7" x14ac:dyDescent="0.25">
      <c r="E271" s="11">
        <f t="shared" si="25"/>
        <v>-41</v>
      </c>
      <c r="F271" s="11">
        <f t="shared" si="26"/>
        <v>-44.662477654884718</v>
      </c>
      <c r="G271" s="11">
        <f t="shared" si="27"/>
        <v>-40.340907855477255</v>
      </c>
    </row>
    <row r="272" spans="5:7" x14ac:dyDescent="0.25">
      <c r="E272" s="11">
        <f t="shared" si="25"/>
        <v>-40</v>
      </c>
      <c r="F272" s="11">
        <f t="shared" si="26"/>
        <v>-44.083120243309644</v>
      </c>
      <c r="G272" s="11">
        <f t="shared" si="27"/>
        <v>-40.170838370248845</v>
      </c>
    </row>
    <row r="273" spans="5:7" x14ac:dyDescent="0.25">
      <c r="E273" s="11">
        <f t="shared" si="25"/>
        <v>-39</v>
      </c>
      <c r="F273" s="11">
        <f t="shared" si="26"/>
        <v>-43.436152255085027</v>
      </c>
      <c r="G273" s="11">
        <f t="shared" si="27"/>
        <v>-39.998038303171192</v>
      </c>
    </row>
    <row r="274" spans="5:7" x14ac:dyDescent="0.25">
      <c r="E274" s="11">
        <f t="shared" si="25"/>
        <v>-38</v>
      </c>
      <c r="F274" s="11">
        <f t="shared" si="26"/>
        <v>-42.722559804583319</v>
      </c>
      <c r="G274" s="11">
        <f t="shared" si="27"/>
        <v>-39.822821236157395</v>
      </c>
    </row>
    <row r="275" spans="5:7" x14ac:dyDescent="0.25">
      <c r="E275" s="11">
        <f t="shared" si="25"/>
        <v>-37</v>
      </c>
      <c r="F275" s="11">
        <f t="shared" si="26"/>
        <v>-41.943708724704052</v>
      </c>
      <c r="G275" s="11">
        <f t="shared" si="27"/>
        <v>-39.645500751120565</v>
      </c>
    </row>
    <row r="276" spans="5:7" x14ac:dyDescent="0.25">
      <c r="E276" s="11">
        <f t="shared" si="25"/>
        <v>-36</v>
      </c>
      <c r="F276" s="11">
        <f t="shared" si="26"/>
        <v>-41.101330287561986</v>
      </c>
      <c r="G276" s="11">
        <f t="shared" si="27"/>
        <v>-39.466390429973806</v>
      </c>
    </row>
    <row r="277" spans="5:7" x14ac:dyDescent="0.25">
      <c r="E277" s="11">
        <f t="shared" si="25"/>
        <v>-35</v>
      </c>
      <c r="F277" s="11">
        <f t="shared" si="26"/>
        <v>-40.197505528961855</v>
      </c>
      <c r="G277" s="11">
        <f t="shared" si="27"/>
        <v>-39.285803854630217</v>
      </c>
    </row>
    <row r="278" spans="5:7" x14ac:dyDescent="0.25">
      <c r="E278" s="11">
        <f t="shared" si="25"/>
        <v>-34</v>
      </c>
      <c r="F278" s="11">
        <f t="shared" si="26"/>
        <v>-39.234648302920093</v>
      </c>
      <c r="G278" s="11">
        <f t="shared" si="27"/>
        <v>-39.104054607002894</v>
      </c>
    </row>
    <row r="279" spans="5:7" x14ac:dyDescent="0.25">
      <c r="E279" s="11">
        <f t="shared" si="25"/>
        <v>-33</v>
      </c>
      <c r="F279" s="11">
        <f t="shared" si="26"/>
        <v>-38.215487189417203</v>
      </c>
      <c r="G279" s="11">
        <f t="shared" si="27"/>
        <v>-38.921456269004949</v>
      </c>
    </row>
    <row r="280" spans="5:7" x14ac:dyDescent="0.25">
      <c r="E280" s="11">
        <f t="shared" si="25"/>
        <v>-32</v>
      </c>
      <c r="F280" s="11">
        <f t="shared" si="26"/>
        <v>-37.143046375487224</v>
      </c>
      <c r="G280" s="11">
        <f t="shared" si="27"/>
        <v>-38.738322422549487</v>
      </c>
    </row>
    <row r="281" spans="5:7" x14ac:dyDescent="0.25">
      <c r="E281" s="11">
        <f t="shared" si="25"/>
        <v>-31</v>
      </c>
      <c r="F281" s="11">
        <f t="shared" si="26"/>
        <v>-36.020625626673976</v>
      </c>
      <c r="G281" s="11">
        <f t="shared" si="27"/>
        <v>-38.554966649549606</v>
      </c>
    </row>
    <row r="282" spans="5:7" x14ac:dyDescent="0.25">
      <c r="E282" s="11">
        <f t="shared" si="25"/>
        <v>-30</v>
      </c>
      <c r="F282" s="11">
        <f t="shared" si="26"/>
        <v>-34.851779462806583</v>
      </c>
      <c r="G282" s="11">
        <f t="shared" si="27"/>
        <v>-38.371702531918402</v>
      </c>
    </row>
    <row r="283" spans="5:7" x14ac:dyDescent="0.25">
      <c r="E283" s="11">
        <f t="shared" si="25"/>
        <v>-29</v>
      </c>
      <c r="F283" s="11">
        <f t="shared" si="26"/>
        <v>-33.640295648969804</v>
      </c>
      <c r="G283" s="11">
        <f t="shared" si="27"/>
        <v>-38.188843651568995</v>
      </c>
    </row>
    <row r="284" spans="5:7" x14ac:dyDescent="0.25">
      <c r="E284" s="11">
        <f t="shared" si="25"/>
        <v>-28</v>
      </c>
      <c r="F284" s="11">
        <f t="shared" si="26"/>
        <v>-32.390173109467725</v>
      </c>
      <c r="G284" s="11">
        <f t="shared" si="27"/>
        <v>-38.006703590414475</v>
      </c>
    </row>
    <row r="285" spans="5:7" x14ac:dyDescent="0.25">
      <c r="E285" s="11">
        <f t="shared" si="25"/>
        <v>-27</v>
      </c>
      <c r="F285" s="11">
        <f t="shared" si="26"/>
        <v>-31.105599369502425</v>
      </c>
      <c r="G285" s="11">
        <f t="shared" si="27"/>
        <v>-37.825595930367939</v>
      </c>
    </row>
    <row r="286" spans="5:7" x14ac:dyDescent="0.25">
      <c r="E286" s="11">
        <f t="shared" si="25"/>
        <v>-26</v>
      </c>
      <c r="F286" s="11">
        <f t="shared" si="26"/>
        <v>-29.790927626211872</v>
      </c>
      <c r="G286" s="11">
        <f t="shared" si="27"/>
        <v>-37.645834253342514</v>
      </c>
    </row>
    <row r="287" spans="5:7" x14ac:dyDescent="0.25">
      <c r="E287" s="11">
        <f t="shared" ref="E287:E350" si="28">E80</f>
        <v>-25</v>
      </c>
      <c r="F287" s="11">
        <f t="shared" ref="F287:F350" si="29">$H$217*0+E287*$I$217+E287^2*$J$217+E287^3*$K$217+E287^4*$L$217+E287^5*$M$217+E287^6*$N$217+E287^7*$O$217+E287^8*$P$217</f>
        <v>-28.45065354763501</v>
      </c>
      <c r="G287" s="11">
        <f t="shared" ref="G287:G350" si="30">F80</f>
        <v>-37.467732141251275</v>
      </c>
    </row>
    <row r="288" spans="5:7" x14ac:dyDescent="0.25">
      <c r="E288" s="11">
        <f t="shared" si="28"/>
        <v>-24</v>
      </c>
      <c r="F288" s="11">
        <f t="shared" si="29"/>
        <v>-27.089391895094</v>
      </c>
      <c r="G288" s="11">
        <f t="shared" si="30"/>
        <v>-37.291414253640276</v>
      </c>
    </row>
    <row r="289" spans="5:7" x14ac:dyDescent="0.25">
      <c r="E289" s="11">
        <f t="shared" si="28"/>
        <v>-23</v>
      </c>
      <c r="F289" s="11">
        <f t="shared" si="29"/>
        <v>-25.711853061407652</v>
      </c>
      <c r="G289" s="11">
        <f t="shared" si="30"/>
        <v>-37.116249560587271</v>
      </c>
    </row>
    <row r="290" spans="5:7" x14ac:dyDescent="0.25">
      <c r="E290" s="11">
        <f t="shared" si="28"/>
        <v>-22</v>
      </c>
      <c r="F290" s="11">
        <f t="shared" si="29"/>
        <v>-24.322819614272092</v>
      </c>
      <c r="G290" s="11">
        <f t="shared" si="30"/>
        <v>-36.941418109802967</v>
      </c>
    </row>
    <row r="291" spans="5:7" x14ac:dyDescent="0.25">
      <c r="E291" s="11">
        <f t="shared" si="28"/>
        <v>-21</v>
      </c>
      <c r="F291" s="11">
        <f t="shared" si="29"/>
        <v>-22.927122931068453</v>
      </c>
      <c r="G291" s="11">
        <f t="shared" si="30"/>
        <v>-36.766099948998033</v>
      </c>
    </row>
    <row r="292" spans="5:7" x14ac:dyDescent="0.25">
      <c r="E292" s="11">
        <f t="shared" si="28"/>
        <v>-20</v>
      </c>
      <c r="F292" s="11">
        <f t="shared" si="29"/>
        <v>-21.529620008279867</v>
      </c>
      <c r="G292" s="11">
        <f t="shared" si="30"/>
        <v>-36.589475125883204</v>
      </c>
    </row>
    <row r="293" spans="5:7" x14ac:dyDescent="0.25">
      <c r="E293" s="11">
        <f t="shared" si="28"/>
        <v>-19</v>
      </c>
      <c r="F293" s="11">
        <f t="shared" si="29"/>
        <v>-20.135170525623419</v>
      </c>
      <c r="G293" s="11">
        <f t="shared" si="30"/>
        <v>-36.410723688169142</v>
      </c>
    </row>
    <row r="294" spans="5:7" x14ac:dyDescent="0.25">
      <c r="E294" s="11">
        <f t="shared" si="28"/>
        <v>-18</v>
      </c>
      <c r="F294" s="11">
        <f t="shared" si="29"/>
        <v>-18.748614241925264</v>
      </c>
      <c r="G294" s="11">
        <f t="shared" si="30"/>
        <v>-36.229025683566562</v>
      </c>
    </row>
    <row r="295" spans="5:7" x14ac:dyDescent="0.25">
      <c r="E295" s="11">
        <f t="shared" si="28"/>
        <v>-17</v>
      </c>
      <c r="F295" s="11">
        <f t="shared" si="29"/>
        <v>-17.374748796690639</v>
      </c>
      <c r="G295" s="11">
        <f t="shared" si="30"/>
        <v>-36.043561159786151</v>
      </c>
    </row>
    <row r="296" spans="5:7" x14ac:dyDescent="0.25">
      <c r="E296" s="11">
        <f t="shared" si="28"/>
        <v>-16</v>
      </c>
      <c r="F296" s="11">
        <f t="shared" si="29"/>
        <v>-16.018307988243023</v>
      </c>
      <c r="G296" s="11">
        <f t="shared" si="30"/>
        <v>-35.853510164538605</v>
      </c>
    </row>
    <row r="297" spans="5:7" x14ac:dyDescent="0.25">
      <c r="E297" s="11">
        <f t="shared" si="28"/>
        <v>-15</v>
      </c>
      <c r="F297" s="11">
        <f t="shared" si="29"/>
        <v>-14.683940596229945</v>
      </c>
      <c r="G297" s="11">
        <f t="shared" si="30"/>
        <v>-35.658052745534626</v>
      </c>
    </row>
    <row r="298" spans="5:7" x14ac:dyDescent="0.25">
      <c r="E298" s="11">
        <f t="shared" si="28"/>
        <v>-14</v>
      </c>
      <c r="F298" s="11">
        <f t="shared" si="29"/>
        <v>-13.376189813215868</v>
      </c>
      <c r="G298" s="11">
        <f t="shared" si="30"/>
        <v>-35.456368950484901</v>
      </c>
    </row>
    <row r="299" spans="5:7" x14ac:dyDescent="0.25">
      <c r="E299" s="11">
        <f t="shared" si="28"/>
        <v>-13</v>
      </c>
      <c r="F299" s="11">
        <f t="shared" si="29"/>
        <v>-12.099473347005583</v>
      </c>
      <c r="G299" s="11">
        <f t="shared" si="30"/>
        <v>-35.247638827100133</v>
      </c>
    </row>
    <row r="300" spans="5:7" x14ac:dyDescent="0.25">
      <c r="E300" s="11">
        <f t="shared" si="28"/>
        <v>-12</v>
      </c>
      <c r="F300" s="11">
        <f t="shared" si="29"/>
        <v>-10.858064252264485</v>
      </c>
      <c r="G300" s="11">
        <f t="shared" si="30"/>
        <v>-35.031042423091009</v>
      </c>
    </row>
    <row r="301" spans="5:7" x14ac:dyDescent="0.25">
      <c r="E301" s="11">
        <f t="shared" si="28"/>
        <v>-11</v>
      </c>
      <c r="F301" s="11">
        <f t="shared" si="29"/>
        <v>-9.6560725469251789</v>
      </c>
      <c r="G301" s="11">
        <f t="shared" si="30"/>
        <v>-34.805759786168238</v>
      </c>
    </row>
    <row r="302" spans="5:7" x14ac:dyDescent="0.25">
      <c r="E302" s="11">
        <f t="shared" si="28"/>
        <v>-10</v>
      </c>
      <c r="F302" s="11">
        <f t="shared" si="29"/>
        <v>-8.4974276657927934</v>
      </c>
      <c r="G302" s="11">
        <f t="shared" si="30"/>
        <v>-34.570970964042495</v>
      </c>
    </row>
    <row r="303" spans="5:7" x14ac:dyDescent="0.25">
      <c r="E303" s="11">
        <f t="shared" si="28"/>
        <v>-9</v>
      </c>
      <c r="F303" s="11">
        <f t="shared" si="29"/>
        <v>-7.3858618006844159</v>
      </c>
      <c r="G303" s="11">
        <f t="shared" si="30"/>
        <v>-34.325856004424494</v>
      </c>
    </row>
    <row r="304" spans="5:7" x14ac:dyDescent="0.25">
      <c r="E304" s="11">
        <f t="shared" si="28"/>
        <v>-8</v>
      </c>
      <c r="F304" s="11">
        <f t="shared" si="29"/>
        <v>-6.3248941733609643</v>
      </c>
      <c r="G304" s="11">
        <f t="shared" si="30"/>
        <v>-34.069594955024925</v>
      </c>
    </row>
    <row r="305" spans="5:7" x14ac:dyDescent="0.25">
      <c r="E305" s="11">
        <f t="shared" si="28"/>
        <v>-7</v>
      </c>
      <c r="F305" s="11">
        <f t="shared" si="29"/>
        <v>-5.3178162844329604</v>
      </c>
      <c r="G305" s="11">
        <f t="shared" si="30"/>
        <v>-33.801367863554489</v>
      </c>
    </row>
    <row r="306" spans="5:7" x14ac:dyDescent="0.25">
      <c r="E306" s="11">
        <f t="shared" si="28"/>
        <v>-6</v>
      </c>
      <c r="F306" s="11">
        <f t="shared" si="29"/>
        <v>-4.3676781783445122</v>
      </c>
      <c r="G306" s="11">
        <f t="shared" si="30"/>
        <v>-33.520354777723867</v>
      </c>
    </row>
    <row r="307" spans="5:7" x14ac:dyDescent="0.25">
      <c r="E307" s="11">
        <f t="shared" si="28"/>
        <v>-5</v>
      </c>
      <c r="F307" s="11">
        <f t="shared" si="29"/>
        <v>-3.4772757614628818</v>
      </c>
      <c r="G307" s="11">
        <f t="shared" si="30"/>
        <v>-33.225735745243767</v>
      </c>
    </row>
    <row r="308" spans="5:7" x14ac:dyDescent="0.25">
      <c r="E308" s="11">
        <f t="shared" si="28"/>
        <v>-4</v>
      </c>
      <c r="F308" s="11">
        <f t="shared" si="29"/>
        <v>-2.6491392072239903</v>
      </c>
      <c r="G308" s="11">
        <f t="shared" si="30"/>
        <v>-32.916690813824886</v>
      </c>
    </row>
    <row r="309" spans="5:7" x14ac:dyDescent="0.25">
      <c r="E309" s="11">
        <f t="shared" si="28"/>
        <v>-3</v>
      </c>
      <c r="F309" s="11">
        <f t="shared" si="29"/>
        <v>-1.8855224792071983</v>
      </c>
      <c r="G309" s="11">
        <f t="shared" si="30"/>
        <v>-32.592400031177917</v>
      </c>
    </row>
    <row r="310" spans="5:7" x14ac:dyDescent="0.25">
      <c r="E310" s="11">
        <f t="shared" si="28"/>
        <v>-2</v>
      </c>
      <c r="F310" s="11">
        <f t="shared" si="29"/>
        <v>-1.1883939999357116</v>
      </c>
      <c r="G310" s="11">
        <f t="shared" si="30"/>
        <v>-32.252043445013541</v>
      </c>
    </row>
    <row r="311" spans="5:7" x14ac:dyDescent="0.25">
      <c r="E311" s="11">
        <f t="shared" si="28"/>
        <v>-1</v>
      </c>
      <c r="F311" s="11">
        <f t="shared" si="29"/>
        <v>-0.55942849012191875</v>
      </c>
      <c r="G311" s="11">
        <f t="shared" si="30"/>
        <v>-31.894801103042475</v>
      </c>
    </row>
    <row r="312" spans="5:7" x14ac:dyDescent="0.25">
      <c r="E312" s="11">
        <f t="shared" si="28"/>
        <v>0</v>
      </c>
      <c r="F312" s="11">
        <f t="shared" si="29"/>
        <v>0</v>
      </c>
      <c r="G312" s="11">
        <f t="shared" si="30"/>
        <v>-31.519853052975407</v>
      </c>
    </row>
    <row r="313" spans="5:7" x14ac:dyDescent="0.25">
      <c r="E313" s="11">
        <f t="shared" si="28"/>
        <v>1</v>
      </c>
      <c r="F313" s="11">
        <f t="shared" si="29"/>
        <v>0.48882384868888967</v>
      </c>
      <c r="G313" s="11">
        <f t="shared" si="30"/>
        <v>-31.126667810396924</v>
      </c>
    </row>
    <row r="314" spans="5:7" x14ac:dyDescent="0.25">
      <c r="E314" s="11">
        <f t="shared" si="28"/>
        <v>2</v>
      </c>
      <c r="F314" s="11">
        <f t="shared" si="29"/>
        <v>0.90628639457055582</v>
      </c>
      <c r="G314" s="11">
        <f t="shared" si="30"/>
        <v>-30.715867762387184</v>
      </c>
    </row>
    <row r="315" spans="5:7" x14ac:dyDescent="0.25">
      <c r="E315" s="11">
        <f t="shared" si="28"/>
        <v>3</v>
      </c>
      <c r="F315" s="11">
        <f t="shared" si="29"/>
        <v>1.2519452299595217</v>
      </c>
      <c r="G315" s="11">
        <f t="shared" si="30"/>
        <v>-30.288363763900247</v>
      </c>
    </row>
    <row r="316" spans="5:7" x14ac:dyDescent="0.25">
      <c r="E316" s="11">
        <f t="shared" si="28"/>
        <v>4</v>
      </c>
      <c r="F316" s="11">
        <f t="shared" si="29"/>
        <v>1.5256742462943162</v>
      </c>
      <c r="G316" s="11">
        <f t="shared" si="30"/>
        <v>-29.845066669890162</v>
      </c>
    </row>
    <row r="317" spans="5:7" x14ac:dyDescent="0.25">
      <c r="E317" s="11">
        <f t="shared" si="28"/>
        <v>5</v>
      </c>
      <c r="F317" s="11">
        <f t="shared" si="29"/>
        <v>1.7276644254290132</v>
      </c>
      <c r="G317" s="11">
        <f t="shared" si="30"/>
        <v>-29.386887335310995</v>
      </c>
    </row>
    <row r="318" spans="5:7" x14ac:dyDescent="0.25">
      <c r="E318" s="11">
        <f t="shared" si="28"/>
        <v>6</v>
      </c>
      <c r="F318" s="11">
        <f t="shared" si="29"/>
        <v>1.8584233736007487</v>
      </c>
      <c r="G318" s="11">
        <f t="shared" si="30"/>
        <v>-28.914736615116791</v>
      </c>
    </row>
    <row r="319" spans="5:7" x14ac:dyDescent="0.25">
      <c r="E319" s="11">
        <f t="shared" si="28"/>
        <v>7</v>
      </c>
      <c r="F319" s="11">
        <f t="shared" si="29"/>
        <v>1.9187735979699458</v>
      </c>
      <c r="G319" s="11">
        <f t="shared" si="30"/>
        <v>-28.429525364261607</v>
      </c>
    </row>
    <row r="320" spans="5:7" x14ac:dyDescent="0.25">
      <c r="E320" s="11">
        <f t="shared" si="28"/>
        <v>8</v>
      </c>
      <c r="F320" s="11">
        <f t="shared" si="29"/>
        <v>1.9098495287069925</v>
      </c>
      <c r="G320" s="11">
        <f t="shared" si="30"/>
        <v>-27.932164437699502</v>
      </c>
    </row>
    <row r="321" spans="5:7" x14ac:dyDescent="0.25">
      <c r="E321" s="11">
        <f t="shared" si="28"/>
        <v>9</v>
      </c>
      <c r="F321" s="11">
        <f t="shared" si="29"/>
        <v>1.8330932926761228</v>
      </c>
      <c r="G321" s="11">
        <f t="shared" si="30"/>
        <v>-27.42356469038452</v>
      </c>
    </row>
    <row r="322" spans="5:7" x14ac:dyDescent="0.25">
      <c r="E322" s="11">
        <f t="shared" si="28"/>
        <v>10</v>
      </c>
      <c r="F322" s="11">
        <f t="shared" si="29"/>
        <v>1.6902492478442541</v>
      </c>
      <c r="G322" s="11">
        <f t="shared" si="30"/>
        <v>-26.904636977270727</v>
      </c>
    </row>
    <row r="323" spans="5:7" x14ac:dyDescent="0.25">
      <c r="E323" s="11">
        <f t="shared" si="28"/>
        <v>11</v>
      </c>
      <c r="F323" s="11">
        <f t="shared" si="29"/>
        <v>1.4833572906195498</v>
      </c>
      <c r="G323" s="11">
        <f t="shared" si="30"/>
        <v>-26.376292153312171</v>
      </c>
    </row>
    <row r="324" spans="5:7" x14ac:dyDescent="0.25">
      <c r="E324" s="11">
        <f t="shared" si="28"/>
        <v>12</v>
      </c>
      <c r="F324" s="11">
        <f t="shared" si="29"/>
        <v>1.2147449514014743</v>
      </c>
      <c r="G324" s="11">
        <f t="shared" si="30"/>
        <v>-25.839441073462908</v>
      </c>
    </row>
    <row r="325" spans="5:7" x14ac:dyDescent="0.25">
      <c r="E325" s="11">
        <f t="shared" si="28"/>
        <v>13</v>
      </c>
      <c r="F325" s="11">
        <f t="shared" si="29"/>
        <v>0.8870182967011323</v>
      </c>
      <c r="G325" s="11">
        <f t="shared" si="30"/>
        <v>-25.294994592676993</v>
      </c>
    </row>
    <row r="326" spans="5:7" x14ac:dyDescent="0.25">
      <c r="E326" s="11">
        <f t="shared" si="28"/>
        <v>14</v>
      </c>
      <c r="F326" s="11">
        <f t="shared" si="29"/>
        <v>0.50305165926766104</v>
      </c>
      <c r="G326" s="11">
        <f t="shared" si="30"/>
        <v>-24.743863565908484</v>
      </c>
    </row>
    <row r="327" spans="5:7" x14ac:dyDescent="0.25">
      <c r="E327" s="11">
        <f t="shared" si="28"/>
        <v>15</v>
      </c>
      <c r="F327" s="11">
        <f t="shared" si="29"/>
        <v>6.5976220733492144E-2</v>
      </c>
      <c r="G327" s="11">
        <f t="shared" si="30"/>
        <v>-24.186958848111431</v>
      </c>
    </row>
    <row r="328" spans="5:7" x14ac:dyDescent="0.25">
      <c r="E328" s="11">
        <f t="shared" si="28"/>
        <v>16</v>
      </c>
      <c r="F328" s="11">
        <f t="shared" si="29"/>
        <v>-0.42083252563172369</v>
      </c>
      <c r="G328" s="11">
        <f t="shared" si="30"/>
        <v>-23.62519129423989</v>
      </c>
    </row>
    <row r="329" spans="5:7" x14ac:dyDescent="0.25">
      <c r="E329" s="11">
        <f t="shared" si="28"/>
        <v>17</v>
      </c>
      <c r="F329" s="11">
        <f t="shared" si="29"/>
        <v>-0.95376840139172059</v>
      </c>
      <c r="G329" s="11">
        <f t="shared" si="30"/>
        <v>-23.059471759247913</v>
      </c>
    </row>
    <row r="330" spans="5:7" x14ac:dyDescent="0.25">
      <c r="E330" s="11">
        <f t="shared" si="28"/>
        <v>18</v>
      </c>
      <c r="F330" s="11">
        <f t="shared" si="29"/>
        <v>-1.5290092248949285</v>
      </c>
      <c r="G330" s="11">
        <f t="shared" si="30"/>
        <v>-22.490711098089562</v>
      </c>
    </row>
    <row r="331" spans="5:7" x14ac:dyDescent="0.25">
      <c r="E331" s="11">
        <f t="shared" si="28"/>
        <v>19</v>
      </c>
      <c r="F331" s="11">
        <f t="shared" si="29"/>
        <v>-2.14253251188565</v>
      </c>
      <c r="G331" s="11">
        <f t="shared" si="30"/>
        <v>-21.919820165718889</v>
      </c>
    </row>
    <row r="332" spans="5:7" x14ac:dyDescent="0.25">
      <c r="E332" s="11">
        <f t="shared" si="28"/>
        <v>20</v>
      </c>
      <c r="F332" s="11">
        <f t="shared" si="29"/>
        <v>-2.7901321548772979</v>
      </c>
      <c r="G332" s="11">
        <f t="shared" si="30"/>
        <v>-21.347709817089942</v>
      </c>
    </row>
    <row r="333" spans="5:7" x14ac:dyDescent="0.25">
      <c r="E333" s="11">
        <f t="shared" si="28"/>
        <v>21</v>
      </c>
      <c r="F333" s="11">
        <f t="shared" si="29"/>
        <v>-3.4674360383128278</v>
      </c>
      <c r="G333" s="11">
        <f t="shared" si="30"/>
        <v>-20.77529090715678</v>
      </c>
    </row>
    <row r="334" spans="5:7" x14ac:dyDescent="0.25">
      <c r="E334" s="11">
        <f t="shared" si="28"/>
        <v>22</v>
      </c>
      <c r="F334" s="11">
        <f t="shared" si="29"/>
        <v>-4.1699245434605219</v>
      </c>
      <c r="G334" s="11">
        <f t="shared" si="30"/>
        <v>-20.203474290873459</v>
      </c>
    </row>
    <row r="335" spans="5:7" x14ac:dyDescent="0.25">
      <c r="E335" s="11">
        <f t="shared" si="28"/>
        <v>23</v>
      </c>
      <c r="F335" s="11">
        <f t="shared" si="29"/>
        <v>-4.8929498939162546</v>
      </c>
      <c r="G335" s="11">
        <f t="shared" si="30"/>
        <v>-19.633170823194035</v>
      </c>
    </row>
    <row r="336" spans="5:7" x14ac:dyDescent="0.25">
      <c r="E336" s="11">
        <f t="shared" si="28"/>
        <v>24</v>
      </c>
      <c r="F336" s="11">
        <f t="shared" si="29"/>
        <v>-5.6317562895064128</v>
      </c>
      <c r="G336" s="11">
        <f t="shared" si="30"/>
        <v>-19.06529135907256</v>
      </c>
    </row>
    <row r="337" spans="5:7" x14ac:dyDescent="0.25">
      <c r="E337" s="11">
        <f t="shared" si="28"/>
        <v>25</v>
      </c>
      <c r="F337" s="11">
        <f t="shared" si="29"/>
        <v>-6.3815007733085523</v>
      </c>
      <c r="G337" s="11">
        <f t="shared" si="30"/>
        <v>-18.500746753463087</v>
      </c>
    </row>
    <row r="338" spans="5:7" x14ac:dyDescent="0.25">
      <c r="E338" s="11">
        <f t="shared" si="28"/>
        <v>26</v>
      </c>
      <c r="F338" s="11">
        <f t="shared" si="29"/>
        <v>-7.137274773429934</v>
      </c>
      <c r="G338" s="11">
        <f t="shared" si="30"/>
        <v>-17.940447861319676</v>
      </c>
    </row>
    <row r="339" spans="5:7" x14ac:dyDescent="0.25">
      <c r="E339" s="11">
        <f t="shared" si="28"/>
        <v>27</v>
      </c>
      <c r="F339" s="11">
        <f t="shared" si="29"/>
        <v>-7.8941262581070299</v>
      </c>
      <c r="G339" s="11">
        <f t="shared" si="30"/>
        <v>-17.385305537596373</v>
      </c>
    </row>
    <row r="340" spans="5:7" x14ac:dyDescent="0.25">
      <c r="E340" s="11">
        <f t="shared" si="28"/>
        <v>28</v>
      </c>
      <c r="F340" s="11">
        <f t="shared" si="29"/>
        <v>-8.6470824396121451</v>
      </c>
      <c r="G340" s="11">
        <f t="shared" si="30"/>
        <v>-16.836230637247244</v>
      </c>
    </row>
    <row r="341" spans="5:7" x14ac:dyDescent="0.25">
      <c r="E341" s="11">
        <f t="shared" si="28"/>
        <v>29</v>
      </c>
      <c r="F341" s="11">
        <f t="shared" si="29"/>
        <v>-9.3911729593762097</v>
      </c>
      <c r="G341" s="11">
        <f t="shared" si="30"/>
        <v>-16.294134015226334</v>
      </c>
    </row>
    <row r="342" spans="5:7" x14ac:dyDescent="0.25">
      <c r="E342" s="11">
        <f t="shared" si="28"/>
        <v>30</v>
      </c>
      <c r="F342" s="11">
        <f t="shared" si="29"/>
        <v>-10.121453483659824</v>
      </c>
      <c r="G342" s="11">
        <f t="shared" si="30"/>
        <v>-15.759926526487703</v>
      </c>
    </row>
    <row r="343" spans="5:7" x14ac:dyDescent="0.25">
      <c r="E343" s="11">
        <f t="shared" si="28"/>
        <v>31</v>
      </c>
      <c r="F343" s="11">
        <f t="shared" si="29"/>
        <v>-10.833029636027705</v>
      </c>
      <c r="G343" s="11">
        <f t="shared" si="30"/>
        <v>-15.234358199038235</v>
      </c>
    </row>
    <row r="344" spans="5:7" x14ac:dyDescent="0.25">
      <c r="E344" s="11">
        <f t="shared" si="28"/>
        <v>32</v>
      </c>
      <c r="F344" s="11">
        <f t="shared" si="29"/>
        <v>-11.521081189804487</v>
      </c>
      <c r="G344" s="11">
        <f t="shared" si="30"/>
        <v>-14.717535753096168</v>
      </c>
    </row>
    <row r="345" spans="5:7" x14ac:dyDescent="0.25">
      <c r="E345" s="11">
        <f t="shared" si="28"/>
        <v>33</v>
      </c>
      <c r="F345" s="11">
        <f t="shared" si="29"/>
        <v>-12.180886440613079</v>
      </c>
      <c r="G345" s="11">
        <f t="shared" si="30"/>
        <v>-14.209405081932562</v>
      </c>
    </row>
    <row r="346" spans="5:7" x14ac:dyDescent="0.25">
      <c r="E346" s="11">
        <f t="shared" si="28"/>
        <v>34</v>
      </c>
      <c r="F346" s="11">
        <f t="shared" si="29"/>
        <v>-12.807846676019533</v>
      </c>
      <c r="G346" s="11">
        <f t="shared" si="30"/>
        <v>-13.709912078818485</v>
      </c>
    </row>
    <row r="347" spans="5:7" x14ac:dyDescent="0.25">
      <c r="E347" s="11">
        <f t="shared" si="28"/>
        <v>35</v>
      </c>
      <c r="F347" s="11">
        <f t="shared" si="29"/>
        <v>-13.397510656231505</v>
      </c>
      <c r="G347" s="11">
        <f t="shared" si="30"/>
        <v>-13.219002637025</v>
      </c>
    </row>
    <row r="348" spans="5:7" x14ac:dyDescent="0.25">
      <c r="E348" s="11">
        <f t="shared" si="28"/>
        <v>36</v>
      </c>
      <c r="F348" s="11">
        <f t="shared" si="29"/>
        <v>-13.945599016720379</v>
      </c>
      <c r="G348" s="11">
        <f t="shared" si="30"/>
        <v>-12.736622649823172</v>
      </c>
    </row>
    <row r="349" spans="5:7" x14ac:dyDescent="0.25">
      <c r="E349" s="11">
        <f t="shared" si="28"/>
        <v>37</v>
      </c>
      <c r="F349" s="11">
        <f t="shared" si="29"/>
        <v>-14.448028500559998</v>
      </c>
      <c r="G349" s="11">
        <f t="shared" si="30"/>
        <v>-12.262718010484072</v>
      </c>
    </row>
    <row r="350" spans="5:7" x14ac:dyDescent="0.25">
      <c r="E350" s="11">
        <f t="shared" si="28"/>
        <v>38</v>
      </c>
      <c r="F350" s="11">
        <f t="shared" si="29"/>
        <v>-14.900935925198233</v>
      </c>
      <c r="G350" s="11">
        <f t="shared" si="30"/>
        <v>-11.797234612278755</v>
      </c>
    </row>
    <row r="351" spans="5:7" x14ac:dyDescent="0.25">
      <c r="E351" s="11">
        <f t="shared" ref="E351:E414" si="31">E144</f>
        <v>39</v>
      </c>
      <c r="F351" s="11">
        <f t="shared" ref="F351:F414" si="32">$H$217*0+E351*$I$217+E351^2*$J$217+E351^3*$K$217+E351^4*$L$217+E351^5*$M$217+E351^6*$N$217+E351^7*$O$217+E351^8*$P$217</f>
        <v>-15.30070178530003</v>
      </c>
      <c r="G351" s="11">
        <f t="shared" ref="G351:G414" si="33">F144</f>
        <v>-11.340118348478292</v>
      </c>
    </row>
    <row r="352" spans="5:7" x14ac:dyDescent="0.25">
      <c r="E352" s="11">
        <f t="shared" si="31"/>
        <v>40</v>
      </c>
      <c r="F352" s="11">
        <f t="shared" si="32"/>
        <v>-15.643973390224449</v>
      </c>
      <c r="G352" s="11">
        <f t="shared" si="33"/>
        <v>-10.891315112353752</v>
      </c>
    </row>
    <row r="353" spans="5:7" x14ac:dyDescent="0.25">
      <c r="E353" s="11">
        <f t="shared" si="31"/>
        <v>41</v>
      </c>
      <c r="F353" s="11">
        <f t="shared" si="32"/>
        <v>-15.927687431620239</v>
      </c>
      <c r="G353" s="11">
        <f t="shared" si="33"/>
        <v>-10.450770797176192</v>
      </c>
    </row>
    <row r="354" spans="5:7" x14ac:dyDescent="0.25">
      <c r="E354" s="11">
        <f t="shared" si="31"/>
        <v>42</v>
      </c>
      <c r="F354" s="11">
        <f t="shared" si="32"/>
        <v>-16.149091873548201</v>
      </c>
      <c r="G354" s="11">
        <f t="shared" si="33"/>
        <v>-10.018431296216681</v>
      </c>
    </row>
    <row r="355" spans="5:7" x14ac:dyDescent="0.25">
      <c r="E355" s="11">
        <f t="shared" si="31"/>
        <v>43</v>
      </c>
      <c r="F355" s="11">
        <f t="shared" si="32"/>
        <v>-16.305767054461292</v>
      </c>
      <c r="G355" s="11">
        <f t="shared" si="33"/>
        <v>-9.594242502746285</v>
      </c>
    </row>
    <row r="356" spans="5:7" x14ac:dyDescent="0.25">
      <c r="E356" s="11">
        <f t="shared" si="31"/>
        <v>44</v>
      </c>
      <c r="F356" s="11">
        <f t="shared" si="32"/>
        <v>-16.395645887296343</v>
      </c>
      <c r="G356" s="11">
        <f t="shared" si="33"/>
        <v>-9.1781503100360666</v>
      </c>
    </row>
    <row r="357" spans="5:7" x14ac:dyDescent="0.25">
      <c r="E357" s="11">
        <f t="shared" si="31"/>
        <v>45</v>
      </c>
      <c r="F357" s="11">
        <f t="shared" si="32"/>
        <v>-16.417033040854463</v>
      </c>
      <c r="G357" s="11">
        <f t="shared" si="33"/>
        <v>-8.7701006113570976</v>
      </c>
    </row>
    <row r="358" spans="5:7" x14ac:dyDescent="0.25">
      <c r="E358" s="11">
        <f t="shared" si="31"/>
        <v>46</v>
      </c>
      <c r="F358" s="11">
        <f t="shared" si="32"/>
        <v>-16.368622982570191</v>
      </c>
      <c r="G358" s="11">
        <f t="shared" si="33"/>
        <v>-8.3700392999804354</v>
      </c>
    </row>
    <row r="359" spans="5:7" x14ac:dyDescent="0.25">
      <c r="E359" s="11">
        <f t="shared" si="31"/>
        <v>47</v>
      </c>
      <c r="F359" s="11">
        <f t="shared" si="32"/>
        <v>-16.249516759691964</v>
      </c>
      <c r="G359" s="11">
        <f t="shared" si="33"/>
        <v>-7.977912269177148</v>
      </c>
    </row>
    <row r="360" spans="5:7" x14ac:dyDescent="0.25">
      <c r="E360" s="11">
        <f t="shared" si="31"/>
        <v>48</v>
      </c>
      <c r="F360" s="11">
        <f t="shared" si="32"/>
        <v>-16.059237392820414</v>
      </c>
      <c r="G360" s="11">
        <f t="shared" si="33"/>
        <v>-7.5936654122183009</v>
      </c>
    </row>
    <row r="361" spans="5:7" x14ac:dyDescent="0.25">
      <c r="E361" s="11">
        <f t="shared" si="31"/>
        <v>49</v>
      </c>
      <c r="F361" s="11">
        <f t="shared" si="32"/>
        <v>-15.797743752672861</v>
      </c>
      <c r="G361" s="11">
        <f t="shared" si="33"/>
        <v>-7.2172446223749596</v>
      </c>
    </row>
    <row r="362" spans="5:7" x14ac:dyDescent="0.25">
      <c r="E362" s="11">
        <f t="shared" si="31"/>
        <v>50</v>
      </c>
      <c r="F362" s="11">
        <f t="shared" si="32"/>
        <v>-15.465442787866511</v>
      </c>
      <c r="G362" s="11">
        <f t="shared" si="33"/>
        <v>-6.8485957929181875</v>
      </c>
    </row>
    <row r="363" spans="5:7" x14ac:dyDescent="0.25">
      <c r="E363" s="11">
        <f t="shared" si="31"/>
        <v>51</v>
      </c>
      <c r="F363" s="11">
        <f t="shared" si="32"/>
        <v>-15.063199968434597</v>
      </c>
      <c r="G363" s="11">
        <f t="shared" si="33"/>
        <v>-6.4876648171190521</v>
      </c>
    </row>
    <row r="364" spans="5:7" x14ac:dyDescent="0.25">
      <c r="E364" s="11">
        <f t="shared" si="31"/>
        <v>52</v>
      </c>
      <c r="F364" s="11">
        <f t="shared" si="32"/>
        <v>-14.59234780671412</v>
      </c>
      <c r="G364" s="11">
        <f t="shared" si="33"/>
        <v>-6.1343975882486186</v>
      </c>
    </row>
    <row r="365" spans="5:7" x14ac:dyDescent="0.25">
      <c r="E365" s="11">
        <f t="shared" si="31"/>
        <v>53</v>
      </c>
      <c r="F365" s="11">
        <f t="shared" si="32"/>
        <v>-14.05469231416558</v>
      </c>
      <c r="G365" s="11">
        <f t="shared" si="33"/>
        <v>-5.7887399995779507</v>
      </c>
    </row>
    <row r="366" spans="5:7" x14ac:dyDescent="0.25">
      <c r="E366" s="11">
        <f t="shared" si="31"/>
        <v>54</v>
      </c>
      <c r="F366" s="11">
        <f t="shared" si="32"/>
        <v>-13.45251724960878</v>
      </c>
      <c r="G366" s="11">
        <f t="shared" si="33"/>
        <v>-5.4506379443781121</v>
      </c>
    </row>
    <row r="367" spans="5:7" x14ac:dyDescent="0.25">
      <c r="E367" s="11">
        <f t="shared" si="31"/>
        <v>55</v>
      </c>
      <c r="F367" s="11">
        <f t="shared" si="32"/>
        <v>-12.788586011281492</v>
      </c>
      <c r="G367" s="11">
        <f t="shared" si="33"/>
        <v>-5.1200373159201717</v>
      </c>
    </row>
    <row r="368" spans="5:7" x14ac:dyDescent="0.25">
      <c r="E368" s="11">
        <f t="shared" si="31"/>
        <v>56</v>
      </c>
      <c r="F368" s="11">
        <f t="shared" si="32"/>
        <v>-12.066141022051283</v>
      </c>
      <c r="G368" s="11">
        <f t="shared" si="33"/>
        <v>-4.7968840074751924</v>
      </c>
    </row>
    <row r="369" spans="5:7" x14ac:dyDescent="0.25">
      <c r="E369" s="11">
        <f t="shared" si="31"/>
        <v>57</v>
      </c>
      <c r="F369" s="11">
        <f t="shared" si="32"/>
        <v>-11.288900454032595</v>
      </c>
      <c r="G369" s="11">
        <f t="shared" si="33"/>
        <v>-4.4811239123142403</v>
      </c>
    </row>
    <row r="370" spans="5:7" x14ac:dyDescent="0.25">
      <c r="E370" s="11">
        <f t="shared" si="31"/>
        <v>58</v>
      </c>
      <c r="F370" s="11">
        <f t="shared" si="32"/>
        <v>-10.461052135785714</v>
      </c>
      <c r="G370" s="11">
        <f t="shared" si="33"/>
        <v>-4.1727029237083801</v>
      </c>
    </row>
    <row r="371" spans="5:7" x14ac:dyDescent="0.25">
      <c r="E371" s="11">
        <f t="shared" si="31"/>
        <v>59</v>
      </c>
      <c r="F371" s="11">
        <f t="shared" si="32"/>
        <v>-9.5872444821962706</v>
      </c>
      <c r="G371" s="11">
        <f t="shared" si="33"/>
        <v>-3.8715669349286768</v>
      </c>
    </row>
    <row r="372" spans="5:7" x14ac:dyDescent="0.25">
      <c r="E372" s="11">
        <f t="shared" si="31"/>
        <v>60</v>
      </c>
      <c r="F372" s="11">
        <f t="shared" si="32"/>
        <v>-8.672574284056596</v>
      </c>
      <c r="G372" s="11">
        <f t="shared" si="33"/>
        <v>-3.577661839246197</v>
      </c>
    </row>
    <row r="373" spans="5:7" x14ac:dyDescent="0.25">
      <c r="E373" s="11">
        <f t="shared" si="31"/>
        <v>61</v>
      </c>
      <c r="F373" s="11">
        <f t="shared" si="32"/>
        <v>-7.7225711912948327</v>
      </c>
      <c r="G373" s="11">
        <f t="shared" si="33"/>
        <v>-3.2909335299320035</v>
      </c>
    </row>
    <row r="374" spans="5:7" x14ac:dyDescent="0.25">
      <c r="E374" s="11">
        <f t="shared" si="31"/>
        <v>62</v>
      </c>
      <c r="F374" s="11">
        <f t="shared" si="32"/>
        <v>-6.7431787207186282</v>
      </c>
      <c r="G374" s="11">
        <f t="shared" si="33"/>
        <v>-3.0113279002571627</v>
      </c>
    </row>
    <row r="375" spans="5:7" x14ac:dyDescent="0.25">
      <c r="E375" s="11">
        <f t="shared" si="31"/>
        <v>63</v>
      </c>
      <c r="F375" s="11">
        <f t="shared" si="32"/>
        <v>-5.7407316160646076</v>
      </c>
      <c r="G375" s="11">
        <f t="shared" si="33"/>
        <v>-2.7387908434927408</v>
      </c>
    </row>
    <row r="376" spans="5:7" x14ac:dyDescent="0.25">
      <c r="E376" s="11">
        <f t="shared" si="31"/>
        <v>64</v>
      </c>
      <c r="F376" s="11">
        <f t="shared" si="32"/>
        <v>-4.7219293850679485</v>
      </c>
      <c r="G376" s="11">
        <f t="shared" si="33"/>
        <v>-2.4732682529098016</v>
      </c>
    </row>
    <row r="377" spans="5:7" x14ac:dyDescent="0.25">
      <c r="E377" s="11">
        <f t="shared" si="31"/>
        <v>65</v>
      </c>
      <c r="F377" s="11">
        <f t="shared" si="32"/>
        <v>-3.6938058351878702</v>
      </c>
      <c r="G377" s="11">
        <f t="shared" si="33"/>
        <v>-2.2147060217794103</v>
      </c>
    </row>
    <row r="378" spans="5:7" x14ac:dyDescent="0.25">
      <c r="E378" s="11">
        <f t="shared" si="31"/>
        <v>66</v>
      </c>
      <c r="F378" s="11">
        <f t="shared" si="32"/>
        <v>-2.6636944265498101</v>
      </c>
      <c r="G378" s="11">
        <f t="shared" si="33"/>
        <v>-1.963050043372633</v>
      </c>
    </row>
    <row r="379" spans="5:7" x14ac:dyDescent="0.25">
      <c r="E379" s="11">
        <f t="shared" si="31"/>
        <v>67</v>
      </c>
      <c r="F379" s="11">
        <f t="shared" si="32"/>
        <v>-1.6391892575863416</v>
      </c>
      <c r="G379" s="11">
        <f t="shared" si="33"/>
        <v>-1.7182462109605345</v>
      </c>
    </row>
    <row r="380" spans="5:7" x14ac:dyDescent="0.25">
      <c r="E380" s="11">
        <f t="shared" si="31"/>
        <v>68</v>
      </c>
      <c r="F380" s="11">
        <f t="shared" si="32"/>
        <v>-0.62810149578346142</v>
      </c>
      <c r="G380" s="11">
        <f t="shared" si="33"/>
        <v>-1.4802404178141799</v>
      </c>
    </row>
    <row r="381" spans="5:7" x14ac:dyDescent="0.25">
      <c r="E381" s="11">
        <f t="shared" si="31"/>
        <v>69</v>
      </c>
      <c r="F381" s="11">
        <f t="shared" si="32"/>
        <v>0.36158893714010532</v>
      </c>
      <c r="G381" s="11">
        <f t="shared" si="33"/>
        <v>-1.2489785572046341</v>
      </c>
    </row>
    <row r="382" spans="5:7" x14ac:dyDescent="0.25">
      <c r="E382" s="11">
        <f t="shared" si="31"/>
        <v>70</v>
      </c>
      <c r="F382" s="11">
        <f t="shared" si="32"/>
        <v>1.3217866193679058</v>
      </c>
      <c r="G382" s="11">
        <f t="shared" si="33"/>
        <v>-1.0244065224029626</v>
      </c>
    </row>
    <row r="383" spans="5:7" x14ac:dyDescent="0.25">
      <c r="E383" s="11">
        <f t="shared" si="31"/>
        <v>71</v>
      </c>
      <c r="F383" s="11">
        <f t="shared" si="32"/>
        <v>2.2443390192599253</v>
      </c>
      <c r="G383" s="11">
        <f t="shared" si="33"/>
        <v>-0.80647020668023028</v>
      </c>
    </row>
    <row r="384" spans="5:7" x14ac:dyDescent="0.25">
      <c r="E384" s="11">
        <f t="shared" si="31"/>
        <v>72</v>
      </c>
      <c r="F384" s="11">
        <f t="shared" si="32"/>
        <v>3.1211002216700976</v>
      </c>
      <c r="G384" s="11">
        <f t="shared" si="33"/>
        <v>-0.59511550330750262</v>
      </c>
    </row>
    <row r="385" spans="5:7" x14ac:dyDescent="0.25">
      <c r="E385" s="11">
        <f t="shared" si="31"/>
        <v>73</v>
      </c>
      <c r="F385" s="11">
        <f t="shared" si="32"/>
        <v>3.9440001932839337</v>
      </c>
      <c r="G385" s="11">
        <f t="shared" si="33"/>
        <v>-0.39028830555584504</v>
      </c>
    </row>
    <row r="386" spans="5:7" x14ac:dyDescent="0.25">
      <c r="E386" s="11">
        <f t="shared" si="31"/>
        <v>74</v>
      </c>
      <c r="F386" s="11">
        <f t="shared" si="32"/>
        <v>4.705119793034207</v>
      </c>
      <c r="G386" s="11">
        <f t="shared" si="33"/>
        <v>-0.19193450669632295</v>
      </c>
    </row>
    <row r="387" spans="5:7" x14ac:dyDescent="0.25">
      <c r="E387" s="11">
        <f t="shared" si="31"/>
        <v>75</v>
      </c>
      <c r="F387" s="11">
        <f t="shared" si="32"/>
        <v>5.396771736727132</v>
      </c>
      <c r="G387" s="11">
        <f t="shared" si="33"/>
        <v>0</v>
      </c>
    </row>
    <row r="388" spans="5:7" x14ac:dyDescent="0.25">
      <c r="E388" s="11">
        <f t="shared" si="31"/>
        <v>76</v>
      </c>
      <c r="F388" s="11">
        <f t="shared" si="32"/>
        <v>6.011587728090376</v>
      </c>
      <c r="G388" s="11">
        <f t="shared" si="33"/>
        <v>0.1855906138807312</v>
      </c>
    </row>
    <row r="389" spans="5:7" x14ac:dyDescent="0.25">
      <c r="E389" s="11">
        <f t="shared" si="31"/>
        <v>77</v>
      </c>
      <c r="F389" s="11">
        <f t="shared" si="32"/>
        <v>6.542611971528288</v>
      </c>
      <c r="G389" s="11">
        <f t="shared" si="33"/>
        <v>0.36499790476817601</v>
      </c>
    </row>
    <row r="390" spans="5:7" x14ac:dyDescent="0.25">
      <c r="E390" s="11">
        <f t="shared" si="31"/>
        <v>78</v>
      </c>
      <c r="F390" s="11">
        <f t="shared" si="32"/>
        <v>6.9834012849501619</v>
      </c>
      <c r="G390" s="11">
        <f t="shared" si="33"/>
        <v>0.53840373510331363</v>
      </c>
    </row>
    <row r="391" spans="5:7" x14ac:dyDescent="0.25">
      <c r="E391" s="11">
        <f t="shared" si="31"/>
        <v>79</v>
      </c>
      <c r="F391" s="11">
        <f t="shared" si="32"/>
        <v>7.3281320341133949</v>
      </c>
      <c r="G391" s="11">
        <f t="shared" si="33"/>
        <v>0.70598996732712282</v>
      </c>
    </row>
    <row r="392" spans="5:7" x14ac:dyDescent="0.25">
      <c r="E392" s="11">
        <f t="shared" si="31"/>
        <v>80</v>
      </c>
      <c r="F392" s="11">
        <f t="shared" si="32"/>
        <v>7.571714112997185</v>
      </c>
      <c r="G392" s="11">
        <f t="shared" si="33"/>
        <v>0.8679384638805826</v>
      </c>
    </row>
    <row r="393" spans="5:7" x14ac:dyDescent="0.25">
      <c r="E393" s="11">
        <f t="shared" si="31"/>
        <v>81</v>
      </c>
      <c r="F393" s="11">
        <f t="shared" si="32"/>
        <v>7.7099121978047265</v>
      </c>
      <c r="G393" s="11">
        <f t="shared" si="33"/>
        <v>1.0244310872046722</v>
      </c>
    </row>
    <row r="394" spans="5:7" x14ac:dyDescent="0.25">
      <c r="E394" s="11">
        <f t="shared" si="31"/>
        <v>82</v>
      </c>
      <c r="F394" s="11">
        <f t="shared" si="32"/>
        <v>7.7394745052654628</v>
      </c>
      <c r="G394" s="11">
        <f t="shared" si="33"/>
        <v>1.1756496997403705</v>
      </c>
    </row>
    <row r="395" spans="5:7" x14ac:dyDescent="0.25">
      <c r="E395" s="11">
        <f t="shared" si="31"/>
        <v>83</v>
      </c>
      <c r="F395" s="11">
        <f t="shared" si="32"/>
        <v>7.6582692889858492</v>
      </c>
      <c r="G395" s="11">
        <f t="shared" si="33"/>
        <v>1.3217761639286563</v>
      </c>
    </row>
    <row r="396" spans="5:7" x14ac:dyDescent="0.25">
      <c r="E396" s="11">
        <f t="shared" si="31"/>
        <v>84</v>
      </c>
      <c r="F396" s="11">
        <f t="shared" si="32"/>
        <v>7.4654293106760861</v>
      </c>
      <c r="G396" s="11">
        <f t="shared" si="33"/>
        <v>1.4629923422105091</v>
      </c>
    </row>
    <row r="397" spans="5:7" x14ac:dyDescent="0.25">
      <c r="E397" s="11">
        <f t="shared" si="31"/>
        <v>85</v>
      </c>
      <c r="F397" s="11">
        <f t="shared" si="32"/>
        <v>7.161504526154971</v>
      </c>
      <c r="G397" s="11">
        <f t="shared" si="33"/>
        <v>1.5994800970269076</v>
      </c>
    </row>
    <row r="398" spans="5:7" x14ac:dyDescent="0.25">
      <c r="E398" s="11">
        <f t="shared" si="31"/>
        <v>86</v>
      </c>
      <c r="F398" s="11">
        <f t="shared" si="32"/>
        <v>6.7486232291150543</v>
      </c>
      <c r="G398" s="11">
        <f t="shared" si="33"/>
        <v>1.7314212908188309</v>
      </c>
    </row>
    <row r="399" spans="5:7" x14ac:dyDescent="0.25">
      <c r="E399" s="11">
        <f t="shared" si="31"/>
        <v>87</v>
      </c>
      <c r="F399" s="11">
        <f t="shared" si="32"/>
        <v>6.230661898703346</v>
      </c>
      <c r="G399" s="11">
        <f t="shared" si="33"/>
        <v>1.8589977860272577</v>
      </c>
    </row>
    <row r="400" spans="5:7" x14ac:dyDescent="0.25">
      <c r="E400" s="11">
        <f t="shared" si="31"/>
        <v>88</v>
      </c>
      <c r="F400" s="11">
        <f t="shared" si="32"/>
        <v>5.6134240000534419</v>
      </c>
      <c r="G400" s="11">
        <f t="shared" si="33"/>
        <v>1.9823914450931674</v>
      </c>
    </row>
    <row r="401" spans="5:7" x14ac:dyDescent="0.25">
      <c r="E401" s="11">
        <f t="shared" si="31"/>
        <v>89</v>
      </c>
      <c r="F401" s="11">
        <f t="shared" si="32"/>
        <v>4.9048279899793101</v>
      </c>
      <c r="G401" s="11">
        <f t="shared" si="33"/>
        <v>2.1017841304575389</v>
      </c>
    </row>
    <row r="402" spans="5:7" x14ac:dyDescent="0.25">
      <c r="E402" s="11">
        <f t="shared" si="31"/>
        <v>90</v>
      </c>
      <c r="F402" s="11">
        <f t="shared" si="32"/>
        <v>4.115104783121069</v>
      </c>
      <c r="G402" s="11">
        <f t="shared" si="33"/>
        <v>2.2173577045613508</v>
      </c>
    </row>
    <row r="403" spans="5:7" x14ac:dyDescent="0.25">
      <c r="E403" s="11">
        <f t="shared" si="31"/>
        <v>91</v>
      </c>
      <c r="F403" s="11">
        <f t="shared" si="32"/>
        <v>3.2570049369044227</v>
      </c>
      <c r="G403" s="11">
        <f t="shared" si="33"/>
        <v>2.3292940298455829</v>
      </c>
    </row>
    <row r="404" spans="5:7" x14ac:dyDescent="0.25">
      <c r="E404" s="11">
        <f t="shared" si="31"/>
        <v>92</v>
      </c>
      <c r="F404" s="11">
        <f t="shared" si="32"/>
        <v>2.3460158167612235</v>
      </c>
      <c r="G404" s="11">
        <f t="shared" si="33"/>
        <v>2.437774968751214</v>
      </c>
    </row>
    <row r="405" spans="5:7" x14ac:dyDescent="0.25">
      <c r="E405" s="11">
        <f t="shared" si="31"/>
        <v>93</v>
      </c>
      <c r="F405" s="11">
        <f t="shared" si="32"/>
        <v>1.4005890061264381</v>
      </c>
      <c r="G405" s="11">
        <f t="shared" si="33"/>
        <v>2.5429823837192229</v>
      </c>
    </row>
    <row r="406" spans="5:7" x14ac:dyDescent="0.25">
      <c r="E406" s="11">
        <f t="shared" si="31"/>
        <v>94</v>
      </c>
      <c r="F406" s="11">
        <f t="shared" si="32"/>
        <v>0.44237822880808153</v>
      </c>
      <c r="G406" s="11">
        <f t="shared" si="33"/>
        <v>2.6450981371905882</v>
      </c>
    </row>
    <row r="407" spans="5:7" x14ac:dyDescent="0.25">
      <c r="E407" s="11">
        <f t="shared" si="31"/>
        <v>95</v>
      </c>
      <c r="F407" s="11">
        <f t="shared" si="32"/>
        <v>-0.5035119455919812</v>
      </c>
      <c r="G407" s="11">
        <f t="shared" si="33"/>
        <v>2.7443040916062893</v>
      </c>
    </row>
    <row r="408" spans="5:7" x14ac:dyDescent="0.25">
      <c r="E408" s="11">
        <f t="shared" si="31"/>
        <v>96</v>
      </c>
      <c r="F408" s="11">
        <f t="shared" si="32"/>
        <v>-1.4082663394622159</v>
      </c>
      <c r="G408" s="11">
        <f t="shared" si="33"/>
        <v>2.8407821094073058</v>
      </c>
    </row>
    <row r="409" spans="5:7" x14ac:dyDescent="0.25">
      <c r="E409" s="11">
        <f t="shared" si="31"/>
        <v>97</v>
      </c>
      <c r="F409" s="11">
        <f t="shared" si="32"/>
        <v>-2.2390880713381875</v>
      </c>
      <c r="G409" s="11">
        <f t="shared" si="33"/>
        <v>2.9347140530346154</v>
      </c>
    </row>
    <row r="410" spans="5:7" x14ac:dyDescent="0.25">
      <c r="E410" s="11">
        <f t="shared" si="31"/>
        <v>98</v>
      </c>
      <c r="F410" s="11">
        <f t="shared" si="32"/>
        <v>-2.9589158465313403</v>
      </c>
      <c r="G410" s="11">
        <f t="shared" si="33"/>
        <v>3.0262817849291981</v>
      </c>
    </row>
    <row r="411" spans="5:7" x14ac:dyDescent="0.25">
      <c r="E411" s="11">
        <f t="shared" si="31"/>
        <v>99</v>
      </c>
      <c r="F411" s="11">
        <f t="shared" si="32"/>
        <v>-3.526129351244208</v>
      </c>
      <c r="G411" s="11">
        <f t="shared" si="33"/>
        <v>3.1156671675320333</v>
      </c>
    </row>
    <row r="412" spans="5:7" x14ac:dyDescent="0.25">
      <c r="E412" s="11">
        <f t="shared" si="31"/>
        <v>100</v>
      </c>
      <c r="F412" s="11">
        <f t="shared" si="32"/>
        <v>-3.8942424641161324</v>
      </c>
      <c r="G412" s="11">
        <f t="shared" si="33"/>
        <v>3.2030520632840989</v>
      </c>
    </row>
    <row r="413" spans="5:7" x14ac:dyDescent="0.25">
      <c r="E413" s="11">
        <f t="shared" si="31"/>
        <v>101</v>
      </c>
      <c r="F413" s="11">
        <f t="shared" si="32"/>
        <v>-4.0115839960662925</v>
      </c>
      <c r="G413" s="11">
        <f t="shared" si="33"/>
        <v>3.2886183346263742</v>
      </c>
    </row>
    <row r="414" spans="5:7" x14ac:dyDescent="0.25">
      <c r="E414" s="11">
        <f t="shared" si="31"/>
        <v>102</v>
      </c>
      <c r="F414" s="11">
        <f t="shared" si="32"/>
        <v>-3.8209656662148745</v>
      </c>
      <c r="G414" s="11">
        <f t="shared" si="33"/>
        <v>3.3725478439998384</v>
      </c>
    </row>
    <row r="415" spans="5:7" x14ac:dyDescent="0.25">
      <c r="E415" s="11">
        <f t="shared" ref="E415:E422" si="34">E208</f>
        <v>103</v>
      </c>
      <c r="F415" s="11">
        <f t="shared" ref="F415:F422" si="35">$H$217*0+E415*$I$217+E415^2*$J$217+E415^3*$K$217+E415^4*$L$217+E415^5*$M$217+E415^6*$N$217+E415^7*$O$217+E415^8*$P$217</f>
        <v>-3.2593370186016273</v>
      </c>
      <c r="G415" s="11">
        <f t="shared" ref="G415:G422" si="36">F208</f>
        <v>3.455022453845471</v>
      </c>
    </row>
    <row r="416" spans="5:7" x14ac:dyDescent="0.25">
      <c r="E416" s="11">
        <f t="shared" si="34"/>
        <v>104</v>
      </c>
      <c r="F416" s="11">
        <f t="shared" si="35"/>
        <v>-2.2574269813246701</v>
      </c>
      <c r="G416" s="11">
        <f t="shared" si="36"/>
        <v>3.5362240266042502</v>
      </c>
    </row>
    <row r="417" spans="5:7" x14ac:dyDescent="0.25">
      <c r="E417" s="11">
        <f t="shared" si="34"/>
        <v>105</v>
      </c>
      <c r="F417" s="11">
        <f t="shared" si="35"/>
        <v>-0.73937176666936466</v>
      </c>
      <c r="G417" s="11">
        <f t="shared" si="36"/>
        <v>3.6163344247171554</v>
      </c>
    </row>
    <row r="418" spans="5:7" x14ac:dyDescent="0.25">
      <c r="E418" s="11">
        <f t="shared" si="34"/>
        <v>106</v>
      </c>
      <c r="F418" s="11">
        <f t="shared" si="35"/>
        <v>1.3776711923060247</v>
      </c>
      <c r="G418" s="11">
        <f t="shared" si="36"/>
        <v>3.6955355106251657</v>
      </c>
    </row>
    <row r="419" spans="5:7" x14ac:dyDescent="0.25">
      <c r="E419" s="11">
        <f t="shared" si="34"/>
        <v>107</v>
      </c>
      <c r="F419" s="11">
        <f t="shared" si="35"/>
        <v>4.1839235763193301</v>
      </c>
      <c r="G419" s="11">
        <f t="shared" si="36"/>
        <v>3.7740091467692598</v>
      </c>
    </row>
    <row r="420" spans="5:7" x14ac:dyDescent="0.25">
      <c r="E420" s="11">
        <f t="shared" si="34"/>
        <v>108</v>
      </c>
      <c r="F420" s="11">
        <f t="shared" si="35"/>
        <v>7.7774010962193643</v>
      </c>
      <c r="G420" s="11">
        <f t="shared" si="36"/>
        <v>3.8519371955904167</v>
      </c>
    </row>
    <row r="421" spans="5:7" x14ac:dyDescent="0.25">
      <c r="E421" s="11">
        <f t="shared" si="34"/>
        <v>109</v>
      </c>
      <c r="F421" s="11">
        <f t="shared" si="35"/>
        <v>12.26434330490747</v>
      </c>
      <c r="G421" s="11">
        <f t="shared" si="36"/>
        <v>3.9295015195296163</v>
      </c>
    </row>
    <row r="422" spans="5:7" x14ac:dyDescent="0.25">
      <c r="E422" s="11">
        <f t="shared" si="34"/>
        <v>110</v>
      </c>
      <c r="F422" s="11">
        <f t="shared" si="35"/>
        <v>17.759658621644348</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2022-01-12T17:21:06Z</dcterms:modified>
</cp:coreProperties>
</file>