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B403" i="43"/>
  <c r="G403" i="43"/>
  <c r="C403" i="43"/>
  <c r="D403" i="43"/>
  <c r="E403" i="43"/>
  <c r="H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9" i="43"/>
  <c r="D421" i="43"/>
  <c r="D414" i="43"/>
  <c r="D418" i="43"/>
  <c r="D427" i="43"/>
  <c r="D412" i="43"/>
  <c r="D420" i="43"/>
  <c r="D405" i="43"/>
  <c r="D413" i="43"/>
  <c r="D433" i="43"/>
  <c r="D411" i="43"/>
  <c r="D416" i="43"/>
  <c r="D423" i="43"/>
  <c r="D428" i="43"/>
  <c r="D404" i="43"/>
  <c r="D434" i="43"/>
  <c r="D407" i="43"/>
  <c r="D425" i="43"/>
  <c r="D429" i="43"/>
  <c r="D432" i="43"/>
  <c r="D410" i="43"/>
  <c r="D431" i="43"/>
  <c r="D424" i="43"/>
  <c r="D422" i="43"/>
  <c r="D408" i="43"/>
  <c r="D415" i="43"/>
  <c r="E405" i="43"/>
  <c r="E408" i="43"/>
  <c r="E413" i="43"/>
  <c r="E415" i="43"/>
  <c r="E424" i="43"/>
  <c r="E433" i="43"/>
  <c r="E404" i="43"/>
  <c r="E434" i="43"/>
  <c r="E425" i="43"/>
  <c r="E429" i="43"/>
  <c r="E422" i="43"/>
  <c r="E406" i="43"/>
  <c r="E417" i="43"/>
  <c r="E419" i="43"/>
  <c r="E426" i="43"/>
  <c r="E430" i="43"/>
  <c r="E411" i="43"/>
  <c r="E416" i="43"/>
  <c r="E423" i="43"/>
  <c r="E418" i="43"/>
  <c r="E427" i="43"/>
  <c r="E410" i="43"/>
  <c r="E420" i="43"/>
  <c r="E431" i="43"/>
  <c r="E414" i="43"/>
  <c r="E421" i="43"/>
  <c r="E409" i="43"/>
  <c r="E432" i="43"/>
  <c r="E412" i="43"/>
  <c r="E407" i="43"/>
  <c r="E428" i="43"/>
  <c r="C406" i="43"/>
  <c r="C423" i="43"/>
  <c r="C428" i="43"/>
  <c r="C404" i="43"/>
  <c r="C414" i="43"/>
  <c r="C418" i="43"/>
  <c r="C425" i="43"/>
  <c r="C429" i="43"/>
  <c r="C432" i="43"/>
  <c r="C410" i="43"/>
  <c r="C431" i="43"/>
  <c r="C405" i="43"/>
  <c r="C419" i="43"/>
  <c r="C409" i="43"/>
  <c r="C421" i="43"/>
  <c r="C434" i="43"/>
  <c r="C407" i="43"/>
  <c r="C427" i="43"/>
  <c r="C412" i="43"/>
  <c r="C420" i="43"/>
  <c r="C422" i="43"/>
  <c r="C415" i="43"/>
  <c r="C424" i="43"/>
  <c r="C417" i="43"/>
  <c r="C430" i="43"/>
  <c r="C408" i="43"/>
  <c r="C433" i="43"/>
  <c r="C426" i="43"/>
  <c r="C413" i="43"/>
  <c r="C411" i="43"/>
  <c r="C416" i="43"/>
  <c r="G410" i="43"/>
  <c r="G416" i="43"/>
  <c r="G413" i="43"/>
  <c r="G431" i="43"/>
  <c r="G434" i="43"/>
  <c r="G428" i="43"/>
  <c r="G429" i="43"/>
  <c r="G411" i="43"/>
  <c r="G427" i="43"/>
  <c r="G409" i="43"/>
  <c r="G408" i="43"/>
  <c r="G405" i="43"/>
  <c r="G407" i="43"/>
  <c r="G404" i="43"/>
  <c r="G417" i="43"/>
  <c r="G425" i="43"/>
  <c r="G414" i="43"/>
  <c r="G412" i="43"/>
  <c r="G422" i="43"/>
  <c r="G426" i="43"/>
  <c r="G424" i="43"/>
  <c r="G406" i="43"/>
  <c r="G419" i="43"/>
  <c r="G423" i="43"/>
  <c r="G421" i="43"/>
  <c r="G420" i="43"/>
  <c r="G418" i="43"/>
  <c r="G433" i="43"/>
  <c r="G415" i="43"/>
  <c r="G432" i="43"/>
  <c r="G430" i="43"/>
  <c r="B405" i="43"/>
  <c r="B424" i="43"/>
  <c r="B425" i="43"/>
  <c r="B413" i="43"/>
  <c r="B414" i="43"/>
  <c r="B408" i="43"/>
  <c r="B410" i="43"/>
  <c r="B431" i="43"/>
  <c r="B420" i="43"/>
  <c r="B434" i="43"/>
  <c r="B423" i="43"/>
  <c r="B419" i="43"/>
  <c r="B433" i="43"/>
  <c r="B421" i="43"/>
  <c r="B412" i="43"/>
  <c r="B415" i="43"/>
  <c r="B417" i="43"/>
  <c r="B409" i="43"/>
  <c r="B406" i="43"/>
  <c r="B429" i="43"/>
  <c r="B411" i="43"/>
  <c r="B416" i="43"/>
  <c r="B432" i="43"/>
  <c r="B404" i="43"/>
  <c r="B428" i="43"/>
  <c r="B407" i="43"/>
  <c r="B427" i="43"/>
  <c r="B430" i="43"/>
  <c r="B418" i="43"/>
  <c r="B426" i="43"/>
  <c r="B422" i="43"/>
  <c r="H434" i="43"/>
  <c r="H418" i="43"/>
  <c r="H415" i="43"/>
  <c r="H410" i="43"/>
  <c r="H424" i="43"/>
  <c r="H405" i="43"/>
  <c r="H422" i="43"/>
  <c r="H428" i="43"/>
  <c r="H408" i="43"/>
  <c r="H420" i="43"/>
  <c r="H432" i="43"/>
  <c r="H425" i="43"/>
  <c r="H431" i="43"/>
  <c r="H406" i="43"/>
  <c r="H417" i="43"/>
  <c r="H414" i="43"/>
  <c r="H430" i="43"/>
  <c r="H423" i="43"/>
  <c r="H416" i="43"/>
  <c r="H404" i="43"/>
  <c r="H413" i="43"/>
  <c r="H427" i="43"/>
  <c r="H409" i="43"/>
  <c r="H421" i="43"/>
  <c r="H433" i="43"/>
  <c r="H426" i="43"/>
  <c r="H412" i="43"/>
  <c r="H407" i="43"/>
  <c r="H419" i="43"/>
  <c r="H411" i="43"/>
  <c r="H429" i="43"/>
  <c r="F415" i="43"/>
  <c r="F410" i="43"/>
  <c r="F420" i="43"/>
  <c r="F431" i="43"/>
  <c r="F423" i="43"/>
  <c r="F427" i="43"/>
  <c r="F424" i="43"/>
  <c r="F419" i="43"/>
  <c r="F430" i="43"/>
  <c r="F416" i="43"/>
  <c r="F404" i="43"/>
  <c r="F434" i="43"/>
  <c r="F421" i="43"/>
  <c r="F425" i="43"/>
  <c r="F426" i="43"/>
  <c r="F412" i="43"/>
  <c r="F411" i="43"/>
  <c r="F405" i="43"/>
  <c r="F432" i="43"/>
  <c r="F418" i="43"/>
  <c r="F429" i="43"/>
  <c r="F406" i="43"/>
  <c r="F408" i="43"/>
  <c r="F413" i="43"/>
  <c r="F417" i="43"/>
  <c r="F414" i="43"/>
  <c r="F422" i="43"/>
  <c r="F409" i="43"/>
  <c r="F42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<sst xmlns="http://schemas.openxmlformats.org/spreadsheetml/2006/main" count="311" uniqueCount="164">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</sst>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9486696"/>
        <c:axId val="439487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486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7480"/>
        <c:crossesAt val="-8.0000000000000019E-3"/>
        <c:crossBetween val="midCat"/>
      </c:valAx>
      <c:valAx>
        <c:axId val="439487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6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8590528"/>
        <c:axId val="4445324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85905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2464"/>
        <c:crosses val="autoZero"/>
        <c:crossBetween val="midCat"/>
      </c:valAx>
      <c:valAx>
        <c:axId val="4445324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905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4531680"/>
        <c:axId val="4445371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45316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7168"/>
        <c:crosses val="autoZero"/>
        <c:crossBetween val="midCat"/>
        <c:majorUnit val="10000"/>
      </c:valAx>
      <c:valAx>
        <c:axId val="4445371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168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534032"/>
        <c:axId val="4445344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534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534424"/>
        <c:crosses val="autoZero"/>
        <c:crossBetween val="midCat"/>
        <c:majorUnit val="10000"/>
      </c:valAx>
      <c:valAx>
        <c:axId val="44453442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53403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535600"/>
        <c:axId val="4445359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535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5992"/>
        <c:crosses val="autoZero"/>
        <c:crossBetween val="midCat"/>
        <c:majorUnit val="10000"/>
      </c:valAx>
      <c:valAx>
        <c:axId val="44453599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560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9.5246524015977236E-3</c:v>
                </c:pt>
                <c:pt idx="1">
                  <c:v>1.276614476293743E-2</c:v>
                </c:pt>
                <c:pt idx="2">
                  <c:v>3.5036597069148792E-3</c:v>
                </c:pt>
                <c:pt idx="3">
                  <c:v>5.964812262334295E-4</c:v>
                </c:pt>
                <c:pt idx="4">
                  <c:v>8.6553639925115403E-5</c:v>
                </c:pt>
                <c:pt idx="5">
                  <c:v>8.1201463813088722E-6</c:v>
                </c:pt>
                <c:pt idx="6">
                  <c:v>1.238245798092251E-5</c:v>
                </c:pt>
                <c:pt idx="7">
                  <c:v>4.1298446857865716E-5</c:v>
                </c:pt>
                <c:pt idx="8">
                  <c:v>1.0165521216779077E-4</c:v>
                </c:pt>
                <c:pt idx="9">
                  <c:v>2.1261054215763838E-4</c:v>
                </c:pt>
                <c:pt idx="10">
                  <c:v>3.8395313955026379E-4</c:v>
                </c:pt>
                <c:pt idx="11">
                  <c:v>5.9249766264982432E-4</c:v>
                </c:pt>
                <c:pt idx="12">
                  <c:v>7.9051031108051889E-4</c:v>
                </c:pt>
                <c:pt idx="13">
                  <c:v>9.1509147304248304E-4</c:v>
                </c:pt>
                <c:pt idx="14">
                  <c:v>9.4359477596875786E-4</c:v>
                </c:pt>
                <c:pt idx="15">
                  <c:v>9.2212078412010447E-4</c:v>
                </c:pt>
                <c:pt idx="16">
                  <c:v>8.9440606259643231E-4</c:v>
                </c:pt>
                <c:pt idx="17">
                  <c:v>7.915752117406261E-4</c:v>
                </c:pt>
                <c:pt idx="18">
                  <c:v>6.0656931434556602E-4</c:v>
                </c:pt>
                <c:pt idx="19">
                  <c:v>3.5442596264274867E-4</c:v>
                </c:pt>
                <c:pt idx="20">
                  <c:v>1.402450710541993E-4</c:v>
                </c:pt>
                <c:pt idx="21">
                  <c:v>2.0750722623467327E-5</c:v>
                </c:pt>
                <c:pt idx="22">
                  <c:v>3.7818851933965766E-5</c:v>
                </c:pt>
                <c:pt idx="23">
                  <c:v>6.8180066928668986E-4</c:v>
                </c:pt>
                <c:pt idx="24">
                  <c:v>1.6417161272781794E-3</c:v>
                </c:pt>
                <c:pt idx="25">
                  <c:v>2.3637538296068252E-3</c:v>
                </c:pt>
                <c:pt idx="26">
                  <c:v>2.6878184713779226E-3</c:v>
                </c:pt>
                <c:pt idx="27">
                  <c:v>3.0440470429061884E-3</c:v>
                </c:pt>
                <c:pt idx="28">
                  <c:v>2.186002354723879E-3</c:v>
                </c:pt>
                <c:pt idx="29">
                  <c:v>7.8343929160017611E-4</c:v>
                </c:pt>
                <c:pt idx="30">
                  <c:v>3.0042857325707743E-4</c:v>
                </c:pt>
              </c:numCache>
            </c:numRef>
          </c:yVal>
          <c:smooth val="1"/>
        </c:ser>
        <c:dLbls>
          <c:showLegendKey val="0"/>
          <c:showVal val="0"/>
          <c:showCatName val="0"/>
          <c:showSerName val="0"/>
          <c:showPercent val="0"/>
          <c:showBubbleSize val="0"/>
        </c:dLbls>
        <c:axId val="444537952"/>
        <c:axId val="444530896"/>
      </c:scatterChart>
      <c:valAx>
        <c:axId val="4445379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0896"/>
        <c:crossesAt val="-1.5000000000000005E-3"/>
        <c:crossBetween val="midCat"/>
      </c:valAx>
      <c:valAx>
        <c:axId val="44453089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79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8953.7654517398951</c:v>
                </c:pt>
                <c:pt idx="1">
                  <c:v>8834.495816529703</c:v>
                </c:pt>
                <c:pt idx="2">
                  <c:v>8382.9667945224664</c:v>
                </c:pt>
                <c:pt idx="3">
                  <c:v>8069.0283164832581</c:v>
                </c:pt>
                <c:pt idx="4">
                  <c:v>7727.7990951356433</c:v>
                </c:pt>
                <c:pt idx="5">
                  <c:v>7458.9340436802167</c:v>
                </c:pt>
                <c:pt idx="6">
                  <c:v>7186.5227858633043</c:v>
                </c:pt>
                <c:pt idx="7">
                  <c:v>6923.0810985014423</c:v>
                </c:pt>
                <c:pt idx="8">
                  <c:v>6643.2952344078994</c:v>
                </c:pt>
                <c:pt idx="9">
                  <c:v>6379.8899814405786</c:v>
                </c:pt>
                <c:pt idx="10">
                  <c:v>6050.8187966968135</c:v>
                </c:pt>
                <c:pt idx="11">
                  <c:v>5693.176564479696</c:v>
                </c:pt>
                <c:pt idx="12">
                  <c:v>5288.2115710149255</c:v>
                </c:pt>
                <c:pt idx="13">
                  <c:v>4804.0058547870503</c:v>
                </c:pt>
                <c:pt idx="14">
                  <c:v>4184.5167915397451</c:v>
                </c:pt>
                <c:pt idx="15">
                  <c:v>3281.9674653254151</c:v>
                </c:pt>
                <c:pt idx="16">
                  <c:v>2247.3037985135161</c:v>
                </c:pt>
                <c:pt idx="17">
                  <c:v>1453.8864331368486</c:v>
                </c:pt>
                <c:pt idx="18">
                  <c:v>940.32402927471435</c:v>
                </c:pt>
                <c:pt idx="19">
                  <c:v>667.4258464345977</c:v>
                </c:pt>
                <c:pt idx="20">
                  <c:v>524.81013094213972</c:v>
                </c:pt>
                <c:pt idx="21">
                  <c:v>458.09760875086175</c:v>
                </c:pt>
                <c:pt idx="22">
                  <c:v>416.12761644465451</c:v>
                </c:pt>
                <c:pt idx="23">
                  <c:v>393.44692247279414</c:v>
                </c:pt>
                <c:pt idx="24">
                  <c:v>378.74124915558718</c:v>
                </c:pt>
                <c:pt idx="25">
                  <c:v>358.13789969892377</c:v>
                </c:pt>
                <c:pt idx="26">
                  <c:v>349.62136098495677</c:v>
                </c:pt>
                <c:pt idx="27">
                  <c:v>346.74457681420307</c:v>
                </c:pt>
                <c:pt idx="28">
                  <c:v>344.65326478653736</c:v>
                </c:pt>
                <c:pt idx="29">
                  <c:v>343.79089602307874</c:v>
                </c:pt>
                <c:pt idx="30">
                  <c:v>342.2669384124473</c:v>
                </c:pt>
              </c:numCache>
            </c:numRef>
          </c:yVal>
          <c:smooth val="1"/>
        </c:ser>
        <c:dLbls>
          <c:showLegendKey val="0"/>
          <c:showVal val="0"/>
          <c:showCatName val="0"/>
          <c:showSerName val="0"/>
          <c:showPercent val="0"/>
          <c:showBubbleSize val="0"/>
        </c:dLbls>
        <c:axId val="439489048"/>
        <c:axId val="445314200"/>
      </c:scatterChart>
      <c:valAx>
        <c:axId val="439489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200"/>
        <c:crosses val="autoZero"/>
        <c:crossBetween val="midCat"/>
      </c:valAx>
      <c:valAx>
        <c:axId val="4453142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904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5.8474137306744244E-2</c:v>
                </c:pt>
                <c:pt idx="11">
                  <c:v>7.0062325024589006E-2</c:v>
                </c:pt>
                <c:pt idx="12">
                  <c:v>7.5615562026595071E-2</c:v>
                </c:pt>
                <c:pt idx="13">
                  <c:v>7.3301046891048868E-2</c:v>
                </c:pt>
                <c:pt idx="14">
                  <c:v>7.0303396255575676E-2</c:v>
                </c:pt>
                <c:pt idx="15">
                  <c:v>7.0589140013662163E-2</c:v>
                </c:pt>
                <c:pt idx="16">
                  <c:v>7.0421420438061252E-2</c:v>
                </c:pt>
                <c:pt idx="17">
                  <c:v>7.1682056952768983E-2</c:v>
                </c:pt>
                <c:pt idx="18">
                  <c:v>7.0973686224827651E-2</c:v>
                </c:pt>
                <c:pt idx="19">
                  <c:v>7.1818603123659036E-2</c:v>
                </c:pt>
                <c:pt idx="20">
                  <c:v>4.9945467862694957E-2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2.3715526171382464E-2</c:v>
                </c:pt>
                <c:pt idx="1">
                  <c:v>0.10902356350780301</c:v>
                </c:pt>
                <c:pt idx="2">
                  <c:v>0.13345004094094726</c:v>
                </c:pt>
                <c:pt idx="3">
                  <c:v>0.11492731043243279</c:v>
                </c:pt>
                <c:pt idx="4">
                  <c:v>9.3959589177886507E-2</c:v>
                </c:pt>
                <c:pt idx="5">
                  <c:v>6.8283192407279869E-2</c:v>
                </c:pt>
                <c:pt idx="6">
                  <c:v>4.5974753546353893E-2</c:v>
                </c:pt>
                <c:pt idx="7">
                  <c:v>3.9482760348842121E-2</c:v>
                </c:pt>
                <c:pt idx="8">
                  <c:v>5.8899228675305823E-2</c:v>
                </c:pt>
                <c:pt idx="9">
                  <c:v>5.6783624075921323E-2</c:v>
                </c:pt>
                <c:pt idx="10">
                  <c:v>5.6741379449847043E-2</c:v>
                </c:pt>
                <c:pt idx="11">
                  <c:v>5.3155331600610596E-2</c:v>
                </c:pt>
                <c:pt idx="12">
                  <c:v>5.4994724340790557E-2</c:v>
                </c:pt>
                <c:pt idx="13">
                  <c:v>5.5322368006530856E-2</c:v>
                </c:pt>
                <c:pt idx="14">
                  <c:v>5.7425746069998285E-2</c:v>
                </c:pt>
                <c:pt idx="15">
                  <c:v>5.7052322405777095E-2</c:v>
                </c:pt>
                <c:pt idx="16">
                  <c:v>6.0123657372832449E-2</c:v>
                </c:pt>
                <c:pt idx="17">
                  <c:v>1.9681108008443353E-2</c:v>
                </c:pt>
                <c:pt idx="18">
                  <c:v>9.8134337314738584E-2</c:v>
                </c:pt>
                <c:pt idx="19">
                  <c:v>0.25402719222017311</c:v>
                </c:pt>
                <c:pt idx="20">
                  <c:v>0.36142723179209363</c:v>
                </c:pt>
                <c:pt idx="21">
                  <c:v>0.31983618104553047</c:v>
                </c:pt>
                <c:pt idx="22">
                  <c:v>0.19918853501384701</c:v>
                </c:pt>
                <c:pt idx="23">
                  <c:v>9.7043207820127098E-2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5.9172962785594939E-2</c:v>
                </c:pt>
                <c:pt idx="11">
                  <c:v>5.9581460327413793E-2</c:v>
                </c:pt>
                <c:pt idx="12">
                  <c:v>6.2537758304959404E-2</c:v>
                </c:pt>
                <c:pt idx="13">
                  <c:v>6.2224840226699864E-2</c:v>
                </c:pt>
                <c:pt idx="14">
                  <c:v>7.1113655917166771E-2</c:v>
                </c:pt>
                <c:pt idx="15">
                  <c:v>7.6413848862009678E-2</c:v>
                </c:pt>
                <c:pt idx="16">
                  <c:v>5.9656087005572039E-2</c:v>
                </c:pt>
                <c:pt idx="17">
                  <c:v>2.3255668547583236E-2</c:v>
                </c:pt>
                <c:pt idx="18">
                  <c:v>0.14199569840141243</c:v>
                </c:pt>
                <c:pt idx="19">
                  <c:v>0.17944408690756575</c:v>
                </c:pt>
                <c:pt idx="20">
                  <c:v>6.7358694746737016E-2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3.8125120854475469E-4</c:v>
                </c:pt>
                <c:pt idx="11">
                  <c:v>5.9521388730052899E-4</c:v>
                </c:pt>
                <c:pt idx="12">
                  <c:v>7.8684975898861279E-4</c:v>
                </c:pt>
                <c:pt idx="13">
                  <c:v>9.1962658315339688E-4</c:v>
                </c:pt>
                <c:pt idx="14">
                  <c:v>9.3640388840195729E-4</c:v>
                </c:pt>
                <c:pt idx="15">
                  <c:v>9.3519590448029784E-4</c:v>
                </c:pt>
                <c:pt idx="16">
                  <c:v>8.7961276362086608E-4</c:v>
                </c:pt>
                <c:pt idx="17">
                  <c:v>8.0663632146424922E-4</c:v>
                </c:pt>
                <c:pt idx="18">
                  <c:v>5.9427179777537089E-4</c:v>
                </c:pt>
                <c:pt idx="19">
                  <c:v>3.6354783043711819E-4</c:v>
                </c:pt>
                <c:pt idx="20">
                  <c:v>1.344929258656723E-4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5318512"/>
        <c:axId val="445316944"/>
      </c:scatterChart>
      <c:valAx>
        <c:axId val="4453185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6944"/>
        <c:crossesAt val="1.0000000000000005E-9"/>
        <c:crossBetween val="midCat"/>
      </c:valAx>
      <c:valAx>
        <c:axId val="44531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85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-21.521805240547501</c:v>
                </c:pt>
                <c:pt idx="1">
                  <c:v>-17.998000048659822</c:v>
                </c:pt>
                <c:pt idx="2">
                  <c:v>-15.418218765754489</c:v>
                </c:pt>
                <c:pt idx="3">
                  <c:v>-13.262636911897877</c:v>
                </c:pt>
                <c:pt idx="4">
                  <c:v>-9.5177870944771161</c:v>
                </c:pt>
                <c:pt idx="5">
                  <c:v>-4.6216880890913101</c:v>
                </c:pt>
                <c:pt idx="6">
                  <c:v>0</c:v>
                </c:pt>
              </c:numCache>
            </c:numRef>
          </c:yVal>
          <c:smooth val="0"/>
        </c:ser>
        <c:dLbls>
          <c:showLegendKey val="0"/>
          <c:showVal val="0"/>
          <c:showCatName val="0"/>
          <c:showSerName val="0"/>
          <c:showPercent val="0"/>
          <c:showBubbleSize val="0"/>
        </c:dLbls>
        <c:axId val="445317728"/>
        <c:axId val="445319296"/>
      </c:scatterChart>
      <c:valAx>
        <c:axId val="445317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9296"/>
        <c:crossesAt val="-100"/>
        <c:crossBetween val="midCat"/>
      </c:valAx>
      <c:valAx>
        <c:axId val="44531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7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5315768"/>
        <c:axId val="445319688"/>
      </c:scatterChart>
      <c:valAx>
        <c:axId val="445315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9688"/>
        <c:crosses val="autoZero"/>
        <c:crossBetween val="midCat"/>
      </c:valAx>
      <c:valAx>
        <c:axId val="44531968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57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4.4998573190371015E-25</c:v>
                </c:pt>
                <c:pt idx="1">
                  <c:v>4.499857319037101E-24</c:v>
                </c:pt>
                <c:pt idx="2">
                  <c:v>4.4998573190371014E-23</c:v>
                </c:pt>
                <c:pt idx="3">
                  <c:v>4.4998573190371006E-22</c:v>
                </c:pt>
                <c:pt idx="4">
                  <c:v>4.4998573190371006E-21</c:v>
                </c:pt>
                <c:pt idx="5">
                  <c:v>4.4998573190371015E-20</c:v>
                </c:pt>
                <c:pt idx="6">
                  <c:v>4.4998573190371017E-19</c:v>
                </c:pt>
                <c:pt idx="7">
                  <c:v>4.4998573190371012E-18</c:v>
                </c:pt>
                <c:pt idx="8">
                  <c:v>4.4998573190371007E-17</c:v>
                </c:pt>
                <c:pt idx="9">
                  <c:v>4.4998573190371012E-16</c:v>
                </c:pt>
                <c:pt idx="10">
                  <c:v>4.4998573190371016E-15</c:v>
                </c:pt>
                <c:pt idx="11">
                  <c:v>4.4998573190371014E-14</c:v>
                </c:pt>
                <c:pt idx="12">
                  <c:v>4.4998573190371012E-13</c:v>
                </c:pt>
                <c:pt idx="13">
                  <c:v>4.4998573190371012E-12</c:v>
                </c:pt>
                <c:pt idx="14">
                  <c:v>4.4998573190371013E-11</c:v>
                </c:pt>
                <c:pt idx="15">
                  <c:v>4.4998573190371013E-10</c:v>
                </c:pt>
                <c:pt idx="16">
                  <c:v>4.4998573190371008E-9</c:v>
                </c:pt>
                <c:pt idx="17">
                  <c:v>4.499857319037101E-8</c:v>
                </c:pt>
                <c:pt idx="18">
                  <c:v>4.4998573190371014E-7</c:v>
                </c:pt>
                <c:pt idx="19">
                  <c:v>4.4998573190371015E-6</c:v>
                </c:pt>
                <c:pt idx="20">
                  <c:v>4.4998573190371013E-5</c:v>
                </c:pt>
                <c:pt idx="21">
                  <c:v>4.4998573190371013E-4</c:v>
                </c:pt>
                <c:pt idx="22">
                  <c:v>4.4998573190371009E-3</c:v>
                </c:pt>
                <c:pt idx="23">
                  <c:v>4.4998573190371011E-2</c:v>
                </c:pt>
                <c:pt idx="24">
                  <c:v>0.44998573190371011</c:v>
                </c:pt>
                <c:pt idx="25">
                  <c:v>4.4998573190371012</c:v>
                </c:pt>
                <c:pt idx="26">
                  <c:v>44.998573190371012</c:v>
                </c:pt>
                <c:pt idx="27">
                  <c:v>449.98573190371013</c:v>
                </c:pt>
                <c:pt idx="28">
                  <c:v>4499.8573190371008</c:v>
                </c:pt>
                <c:pt idx="29">
                  <c:v>44998.573190371011</c:v>
                </c:pt>
                <c:pt idx="30">
                  <c:v>449985.73190371011</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1.5260469441906595E-23</c:v>
                </c:pt>
                <c:pt idx="1">
                  <c:v>1.5260469441906594E-22</c:v>
                </c:pt>
                <c:pt idx="2">
                  <c:v>1.5260469441906594E-21</c:v>
                </c:pt>
                <c:pt idx="3">
                  <c:v>1.5260469441906594E-20</c:v>
                </c:pt>
                <c:pt idx="4">
                  <c:v>1.5260469441906593E-19</c:v>
                </c:pt>
                <c:pt idx="5">
                  <c:v>1.5260469441906594E-18</c:v>
                </c:pt>
                <c:pt idx="6">
                  <c:v>1.5260469441906596E-17</c:v>
                </c:pt>
                <c:pt idx="7">
                  <c:v>1.5260469441906594E-16</c:v>
                </c:pt>
                <c:pt idx="8">
                  <c:v>1.5260469441906593E-15</c:v>
                </c:pt>
                <c:pt idx="9">
                  <c:v>1.5260469441906592E-14</c:v>
                </c:pt>
                <c:pt idx="10">
                  <c:v>1.5260469441906596E-13</c:v>
                </c:pt>
                <c:pt idx="11">
                  <c:v>1.5260469441906595E-12</c:v>
                </c:pt>
                <c:pt idx="12">
                  <c:v>1.5260469441906595E-11</c:v>
                </c:pt>
                <c:pt idx="13">
                  <c:v>1.5260469441906594E-10</c:v>
                </c:pt>
                <c:pt idx="14">
                  <c:v>1.5260469441906595E-9</c:v>
                </c:pt>
                <c:pt idx="15">
                  <c:v>1.5260469441906594E-8</c:v>
                </c:pt>
                <c:pt idx="16">
                  <c:v>1.5260469441906593E-7</c:v>
                </c:pt>
                <c:pt idx="17">
                  <c:v>1.5260469441906594E-6</c:v>
                </c:pt>
                <c:pt idx="18">
                  <c:v>1.5260469441906595E-5</c:v>
                </c:pt>
                <c:pt idx="19">
                  <c:v>1.5260469441906593E-4</c:v>
                </c:pt>
                <c:pt idx="20">
                  <c:v>1.5260469441906593E-3</c:v>
                </c:pt>
                <c:pt idx="21">
                  <c:v>1.5260469441906593E-2</c:v>
                </c:pt>
                <c:pt idx="22">
                  <c:v>0.15260469441906593</c:v>
                </c:pt>
                <c:pt idx="23">
                  <c:v>1.5260469441906594</c:v>
                </c:pt>
                <c:pt idx="24">
                  <c:v>15.260469441906594</c:v>
                </c:pt>
                <c:pt idx="25">
                  <c:v>152.60469441906594</c:v>
                </c:pt>
                <c:pt idx="26">
                  <c:v>1526.0469441906594</c:v>
                </c:pt>
                <c:pt idx="27">
                  <c:v>15260.469441906595</c:v>
                </c:pt>
                <c:pt idx="28">
                  <c:v>152604.69441906593</c:v>
                </c:pt>
                <c:pt idx="29">
                  <c:v>1526046.9441906593</c:v>
                </c:pt>
                <c:pt idx="30">
                  <c:v>15260469.441906594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2.0135047999772153E-22</c:v>
                </c:pt>
                <c:pt idx="1">
                  <c:v>2.0135047999772151E-21</c:v>
                </c:pt>
                <c:pt idx="2">
                  <c:v>2.0135047999772151E-20</c:v>
                </c:pt>
                <c:pt idx="3">
                  <c:v>2.0135047999772153E-19</c:v>
                </c:pt>
                <c:pt idx="4">
                  <c:v>2.013504799977215E-18</c:v>
                </c:pt>
                <c:pt idx="5">
                  <c:v>2.0135047999772152E-17</c:v>
                </c:pt>
                <c:pt idx="6">
                  <c:v>2.0135047999772154E-16</c:v>
                </c:pt>
                <c:pt idx="7">
                  <c:v>2.0135047999772153E-15</c:v>
                </c:pt>
                <c:pt idx="8">
                  <c:v>2.013504799977215E-14</c:v>
                </c:pt>
                <c:pt idx="9">
                  <c:v>2.013504799977215E-13</c:v>
                </c:pt>
                <c:pt idx="10">
                  <c:v>2.0135047999772152E-12</c:v>
                </c:pt>
                <c:pt idx="11">
                  <c:v>2.0135047999772153E-11</c:v>
                </c:pt>
                <c:pt idx="12">
                  <c:v>2.0135047999772153E-10</c:v>
                </c:pt>
                <c:pt idx="13">
                  <c:v>2.0135047999772153E-9</c:v>
                </c:pt>
                <c:pt idx="14">
                  <c:v>2.0135047999772151E-8</c:v>
                </c:pt>
                <c:pt idx="15">
                  <c:v>2.0135047999772151E-7</c:v>
                </c:pt>
                <c:pt idx="16">
                  <c:v>2.0135047999772151E-6</c:v>
                </c:pt>
                <c:pt idx="17">
                  <c:v>2.0135047999772152E-5</c:v>
                </c:pt>
                <c:pt idx="18">
                  <c:v>2.0135047999772152E-4</c:v>
                </c:pt>
                <c:pt idx="19">
                  <c:v>2.0135047999772153E-3</c:v>
                </c:pt>
                <c:pt idx="20">
                  <c:v>2.0135047999772154E-2</c:v>
                </c:pt>
                <c:pt idx="21">
                  <c:v>0.20135047999772152</c:v>
                </c:pt>
                <c:pt idx="22">
                  <c:v>2.0135047999772153</c:v>
                </c:pt>
                <c:pt idx="23">
                  <c:v>20.135047999772151</c:v>
                </c:pt>
                <c:pt idx="24">
                  <c:v>201.35047999772152</c:v>
                </c:pt>
                <c:pt idx="25">
                  <c:v>2013.5047999772153</c:v>
                </c:pt>
                <c:pt idx="26">
                  <c:v>20135.047999772152</c:v>
                </c:pt>
                <c:pt idx="27">
                  <c:v>201350.47999772153</c:v>
                </c:pt>
                <c:pt idx="28">
                  <c:v>2013504.7999772152</c:v>
                </c:pt>
                <c:pt idx="29">
                  <c:v>20135047.999772154</c:v>
                </c:pt>
                <c:pt idx="30">
                  <c:v>201350479.99772152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1.7382409369087743E-21</c:v>
                </c:pt>
                <c:pt idx="1">
                  <c:v>1.7382409369087743E-20</c:v>
                </c:pt>
                <c:pt idx="2">
                  <c:v>1.7382409369087742E-19</c:v>
                </c:pt>
                <c:pt idx="3">
                  <c:v>1.7382409369087742E-18</c:v>
                </c:pt>
                <c:pt idx="4">
                  <c:v>1.7382409369087739E-17</c:v>
                </c:pt>
                <c:pt idx="5">
                  <c:v>1.7382409369087742E-16</c:v>
                </c:pt>
                <c:pt idx="6">
                  <c:v>1.7382409369087742E-15</c:v>
                </c:pt>
                <c:pt idx="7">
                  <c:v>1.7382409369087743E-14</c:v>
                </c:pt>
                <c:pt idx="8">
                  <c:v>1.7382409369087741E-13</c:v>
                </c:pt>
                <c:pt idx="9">
                  <c:v>1.7382409369087741E-12</c:v>
                </c:pt>
                <c:pt idx="10">
                  <c:v>1.7382409369087744E-11</c:v>
                </c:pt>
                <c:pt idx="11">
                  <c:v>1.7382409369087743E-10</c:v>
                </c:pt>
                <c:pt idx="12">
                  <c:v>1.7382409369087742E-9</c:v>
                </c:pt>
                <c:pt idx="13">
                  <c:v>1.7382409369087742E-8</c:v>
                </c:pt>
                <c:pt idx="14">
                  <c:v>1.7382409369087742E-7</c:v>
                </c:pt>
                <c:pt idx="15">
                  <c:v>1.7382409369087742E-6</c:v>
                </c:pt>
                <c:pt idx="16">
                  <c:v>1.7382409369087742E-5</c:v>
                </c:pt>
                <c:pt idx="17">
                  <c:v>1.7382409369087742E-4</c:v>
                </c:pt>
                <c:pt idx="18">
                  <c:v>1.7382409369087741E-3</c:v>
                </c:pt>
                <c:pt idx="19">
                  <c:v>1.7382409369087741E-2</c:v>
                </c:pt>
                <c:pt idx="20">
                  <c:v>0.17382409369087742</c:v>
                </c:pt>
                <c:pt idx="21">
                  <c:v>1.7382409369087741</c:v>
                </c:pt>
                <c:pt idx="22">
                  <c:v>17.382409369087743</c:v>
                </c:pt>
                <c:pt idx="23">
                  <c:v>173.82409369087742</c:v>
                </c:pt>
                <c:pt idx="24">
                  <c:v>1738.2409369087741</c:v>
                </c:pt>
                <c:pt idx="25">
                  <c:v>17382.409369087742</c:v>
                </c:pt>
                <c:pt idx="26">
                  <c:v>173824.0936908774</c:v>
                </c:pt>
                <c:pt idx="27">
                  <c:v>1738240.9369087741</c:v>
                </c:pt>
                <c:pt idx="28">
                  <c:v>17382409.369087741</c:v>
                </c:pt>
                <c:pt idx="29">
                  <c:v>173824093.69087741</c:v>
                </c:pt>
                <c:pt idx="30">
                  <c:v>1738240936.9087741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7.3532204262365604E-20</c:v>
                </c:pt>
                <c:pt idx="1">
                  <c:v>7.3532204262365597E-19</c:v>
                </c:pt>
                <c:pt idx="2">
                  <c:v>7.3532204262365599E-18</c:v>
                </c:pt>
                <c:pt idx="3">
                  <c:v>7.3532204262365596E-17</c:v>
                </c:pt>
                <c:pt idx="4">
                  <c:v>7.3532204262365593E-16</c:v>
                </c:pt>
                <c:pt idx="5">
                  <c:v>7.3532204262365599E-15</c:v>
                </c:pt>
                <c:pt idx="6">
                  <c:v>7.3532204262365593E-14</c:v>
                </c:pt>
                <c:pt idx="7">
                  <c:v>7.3532204262365598E-13</c:v>
                </c:pt>
                <c:pt idx="8">
                  <c:v>7.3532204262365586E-12</c:v>
                </c:pt>
                <c:pt idx="9">
                  <c:v>7.3532204262365595E-11</c:v>
                </c:pt>
                <c:pt idx="10">
                  <c:v>7.3532204262365601E-10</c:v>
                </c:pt>
                <c:pt idx="11">
                  <c:v>7.3532204262365598E-9</c:v>
                </c:pt>
                <c:pt idx="12">
                  <c:v>7.3532204262365595E-8</c:v>
                </c:pt>
                <c:pt idx="13">
                  <c:v>7.3532204262365595E-7</c:v>
                </c:pt>
                <c:pt idx="14">
                  <c:v>7.3532204262365597E-6</c:v>
                </c:pt>
                <c:pt idx="15">
                  <c:v>7.3532204262365594E-5</c:v>
                </c:pt>
                <c:pt idx="16">
                  <c:v>7.3532204262365597E-4</c:v>
                </c:pt>
                <c:pt idx="17">
                  <c:v>7.3532204262365597E-3</c:v>
                </c:pt>
                <c:pt idx="18">
                  <c:v>7.3532204262365591E-2</c:v>
                </c:pt>
                <c:pt idx="19">
                  <c:v>0.73532204262365597</c:v>
                </c:pt>
                <c:pt idx="20">
                  <c:v>7.3532204262365592</c:v>
                </c:pt>
                <c:pt idx="21">
                  <c:v>73.532204262365596</c:v>
                </c:pt>
                <c:pt idx="22">
                  <c:v>735.32204262365599</c:v>
                </c:pt>
                <c:pt idx="23">
                  <c:v>7353.2204262365594</c:v>
                </c:pt>
                <c:pt idx="24">
                  <c:v>73532.204262365587</c:v>
                </c:pt>
                <c:pt idx="25">
                  <c:v>735322.04262365599</c:v>
                </c:pt>
                <c:pt idx="26">
                  <c:v>7353220.4262365596</c:v>
                </c:pt>
                <c:pt idx="27">
                  <c:v>73532204.262365595</c:v>
                </c:pt>
                <c:pt idx="28">
                  <c:v>735322042.62365592</c:v>
                </c:pt>
                <c:pt idx="29">
                  <c:v>7353220426.2365589</c:v>
                </c:pt>
                <c:pt idx="30">
                  <c:v>73532204262.365601</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9.8361776942258266E-18</c:v>
                </c:pt>
                <c:pt idx="1">
                  <c:v>9.8361776942258254E-17</c:v>
                </c:pt>
                <c:pt idx="2">
                  <c:v>9.8361776942258261E-16</c:v>
                </c:pt>
                <c:pt idx="3">
                  <c:v>9.8361776942258246E-15</c:v>
                </c:pt>
                <c:pt idx="4">
                  <c:v>9.8361776942258246E-14</c:v>
                </c:pt>
                <c:pt idx="5">
                  <c:v>9.8361776942258258E-13</c:v>
                </c:pt>
                <c:pt idx="6">
                  <c:v>9.8361776942258258E-12</c:v>
                </c:pt>
                <c:pt idx="7">
                  <c:v>9.8361776942258252E-11</c:v>
                </c:pt>
                <c:pt idx="8">
                  <c:v>9.836177694225826E-10</c:v>
                </c:pt>
                <c:pt idx="9">
                  <c:v>9.8361776942258243E-9</c:v>
                </c:pt>
                <c:pt idx="10">
                  <c:v>9.8361776942258256E-8</c:v>
                </c:pt>
                <c:pt idx="11">
                  <c:v>9.8361776942258259E-7</c:v>
                </c:pt>
                <c:pt idx="12">
                  <c:v>9.8361776942258263E-6</c:v>
                </c:pt>
                <c:pt idx="13">
                  <c:v>9.8361776942258253E-5</c:v>
                </c:pt>
                <c:pt idx="14">
                  <c:v>9.836177694225825E-4</c:v>
                </c:pt>
                <c:pt idx="15">
                  <c:v>9.8361776942258259E-3</c:v>
                </c:pt>
                <c:pt idx="16">
                  <c:v>9.8361776942258256E-2</c:v>
                </c:pt>
                <c:pt idx="17">
                  <c:v>0.9836177694225825</c:v>
                </c:pt>
                <c:pt idx="18">
                  <c:v>9.8361776942258263</c:v>
                </c:pt>
                <c:pt idx="19">
                  <c:v>98.36177694225826</c:v>
                </c:pt>
                <c:pt idx="20">
                  <c:v>983.61776942258257</c:v>
                </c:pt>
                <c:pt idx="21">
                  <c:v>9836.1776942258257</c:v>
                </c:pt>
                <c:pt idx="22">
                  <c:v>98361.77694225825</c:v>
                </c:pt>
                <c:pt idx="23">
                  <c:v>983617.76942258258</c:v>
                </c:pt>
                <c:pt idx="24">
                  <c:v>9836177.6942258254</c:v>
                </c:pt>
                <c:pt idx="25">
                  <c:v>98361776.942258254</c:v>
                </c:pt>
                <c:pt idx="26">
                  <c:v>983617769.42258251</c:v>
                </c:pt>
                <c:pt idx="27">
                  <c:v>9836177694.2258263</c:v>
                </c:pt>
                <c:pt idx="28">
                  <c:v>98361776942.258255</c:v>
                </c:pt>
                <c:pt idx="29">
                  <c:v>983617769422.58252</c:v>
                </c:pt>
                <c:pt idx="30">
                  <c:v>9836177694225.8262</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320080"/>
        <c:axId val="445314592"/>
      </c:scatterChart>
      <c:valAx>
        <c:axId val="4453200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592"/>
        <c:crosses val="autoZero"/>
        <c:crossBetween val="midCat"/>
      </c:valAx>
      <c:valAx>
        <c:axId val="445314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2008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4.4998573190371015E-25</c:v>
                </c:pt>
                <c:pt idx="1">
                  <c:v>4.499857319037101E-24</c:v>
                </c:pt>
                <c:pt idx="2">
                  <c:v>4.4998573190371014E-23</c:v>
                </c:pt>
                <c:pt idx="3">
                  <c:v>4.4998573190371006E-22</c:v>
                </c:pt>
                <c:pt idx="4">
                  <c:v>4.4998573190371006E-21</c:v>
                </c:pt>
                <c:pt idx="5">
                  <c:v>4.4998573190371015E-20</c:v>
                </c:pt>
                <c:pt idx="6">
                  <c:v>4.4998573190371017E-19</c:v>
                </c:pt>
                <c:pt idx="7">
                  <c:v>4.4998573190371012E-18</c:v>
                </c:pt>
                <c:pt idx="8">
                  <c:v>4.4998573190371007E-17</c:v>
                </c:pt>
                <c:pt idx="9">
                  <c:v>4.4998573190371012E-16</c:v>
                </c:pt>
                <c:pt idx="10">
                  <c:v>4.4998573190371016E-15</c:v>
                </c:pt>
                <c:pt idx="11">
                  <c:v>4.4998573190371014E-14</c:v>
                </c:pt>
                <c:pt idx="12">
                  <c:v>4.4998573190371012E-13</c:v>
                </c:pt>
                <c:pt idx="13">
                  <c:v>4.4998573190371012E-12</c:v>
                </c:pt>
                <c:pt idx="14">
                  <c:v>4.4998573190371013E-11</c:v>
                </c:pt>
                <c:pt idx="15">
                  <c:v>4.4998573190371013E-10</c:v>
                </c:pt>
                <c:pt idx="16">
                  <c:v>4.4998573190371008E-9</c:v>
                </c:pt>
                <c:pt idx="17">
                  <c:v>4.499857319037101E-8</c:v>
                </c:pt>
                <c:pt idx="18">
                  <c:v>4.4998573190371014E-7</c:v>
                </c:pt>
                <c:pt idx="19">
                  <c:v>4.4998573190371015E-6</c:v>
                </c:pt>
                <c:pt idx="20">
                  <c:v>4.4998573190371013E-5</c:v>
                </c:pt>
                <c:pt idx="21">
                  <c:v>4.4998573190371013E-4</c:v>
                </c:pt>
                <c:pt idx="22">
                  <c:v>4.4998573190371009E-3</c:v>
                </c:pt>
                <c:pt idx="23">
                  <c:v>4.4998573190371011E-2</c:v>
                </c:pt>
                <c:pt idx="24">
                  <c:v>0.44998573190371011</c:v>
                </c:pt>
                <c:pt idx="25">
                  <c:v>4.4998573190371012</c:v>
                </c:pt>
                <c:pt idx="26">
                  <c:v>44.998573190371012</c:v>
                </c:pt>
                <c:pt idx="27">
                  <c:v>449.98573190371013</c:v>
                </c:pt>
                <c:pt idx="28">
                  <c:v>4499.8573190371008</c:v>
                </c:pt>
                <c:pt idx="29">
                  <c:v>44998.573190371011</c:v>
                </c:pt>
                <c:pt idx="30">
                  <c:v>449985.73190371011</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1.5260469441906595E-23</c:v>
                </c:pt>
                <c:pt idx="1">
                  <c:v>1.5260469441906594E-22</c:v>
                </c:pt>
                <c:pt idx="2">
                  <c:v>1.5260469441906594E-21</c:v>
                </c:pt>
                <c:pt idx="3">
                  <c:v>1.5260469441906594E-20</c:v>
                </c:pt>
                <c:pt idx="4">
                  <c:v>1.5260469441906593E-19</c:v>
                </c:pt>
                <c:pt idx="5">
                  <c:v>1.5260469441906594E-18</c:v>
                </c:pt>
                <c:pt idx="6">
                  <c:v>1.5260469441906596E-17</c:v>
                </c:pt>
                <c:pt idx="7">
                  <c:v>1.5260469441906594E-16</c:v>
                </c:pt>
                <c:pt idx="8">
                  <c:v>1.5260469441906593E-15</c:v>
                </c:pt>
                <c:pt idx="9">
                  <c:v>1.5260469441906592E-14</c:v>
                </c:pt>
                <c:pt idx="10">
                  <c:v>1.5260469441906596E-13</c:v>
                </c:pt>
                <c:pt idx="11">
                  <c:v>1.5260469441906595E-12</c:v>
                </c:pt>
                <c:pt idx="12">
                  <c:v>1.5260469441906595E-11</c:v>
                </c:pt>
                <c:pt idx="13">
                  <c:v>1.5260469441906594E-10</c:v>
                </c:pt>
                <c:pt idx="14">
                  <c:v>1.5260469441906595E-9</c:v>
                </c:pt>
                <c:pt idx="15">
                  <c:v>1.5260469441906594E-8</c:v>
                </c:pt>
                <c:pt idx="16">
                  <c:v>1.5260469441906593E-7</c:v>
                </c:pt>
                <c:pt idx="17">
                  <c:v>1.5260469441906594E-6</c:v>
                </c:pt>
                <c:pt idx="18">
                  <c:v>1.5260469441906595E-5</c:v>
                </c:pt>
                <c:pt idx="19">
                  <c:v>1.5260469441906593E-4</c:v>
                </c:pt>
                <c:pt idx="20">
                  <c:v>1.5260469441906593E-3</c:v>
                </c:pt>
                <c:pt idx="21">
                  <c:v>1.5260469441906593E-2</c:v>
                </c:pt>
                <c:pt idx="22">
                  <c:v>0.15260469441906593</c:v>
                </c:pt>
                <c:pt idx="23">
                  <c:v>1.5260469441906594</c:v>
                </c:pt>
                <c:pt idx="24">
                  <c:v>15.260469441906594</c:v>
                </c:pt>
                <c:pt idx="25">
                  <c:v>152.60469441906594</c:v>
                </c:pt>
                <c:pt idx="26">
                  <c:v>1526.0469441906594</c:v>
                </c:pt>
                <c:pt idx="27">
                  <c:v>15260.469441906595</c:v>
                </c:pt>
                <c:pt idx="28">
                  <c:v>152604.69441906593</c:v>
                </c:pt>
                <c:pt idx="29">
                  <c:v>1526046.9441906593</c:v>
                </c:pt>
                <c:pt idx="30">
                  <c:v>15260469.441906594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2.0135047999772153E-22</c:v>
                </c:pt>
                <c:pt idx="1">
                  <c:v>2.0135047999772151E-21</c:v>
                </c:pt>
                <c:pt idx="2">
                  <c:v>2.0135047999772151E-20</c:v>
                </c:pt>
                <c:pt idx="3">
                  <c:v>2.0135047999772153E-19</c:v>
                </c:pt>
                <c:pt idx="4">
                  <c:v>2.013504799977215E-18</c:v>
                </c:pt>
                <c:pt idx="5">
                  <c:v>2.0135047999772152E-17</c:v>
                </c:pt>
                <c:pt idx="6">
                  <c:v>2.0135047999772154E-16</c:v>
                </c:pt>
                <c:pt idx="7">
                  <c:v>2.0135047999772153E-15</c:v>
                </c:pt>
                <c:pt idx="8">
                  <c:v>2.013504799977215E-14</c:v>
                </c:pt>
                <c:pt idx="9">
                  <c:v>2.013504799977215E-13</c:v>
                </c:pt>
                <c:pt idx="10">
                  <c:v>2.0135047999772152E-12</c:v>
                </c:pt>
                <c:pt idx="11">
                  <c:v>2.0135047999772153E-11</c:v>
                </c:pt>
                <c:pt idx="12">
                  <c:v>2.0135047999772153E-10</c:v>
                </c:pt>
                <c:pt idx="13">
                  <c:v>2.0135047999772153E-9</c:v>
                </c:pt>
                <c:pt idx="14">
                  <c:v>2.0135047999772151E-8</c:v>
                </c:pt>
                <c:pt idx="15">
                  <c:v>2.0135047999772151E-7</c:v>
                </c:pt>
                <c:pt idx="16">
                  <c:v>2.0135047999772151E-6</c:v>
                </c:pt>
                <c:pt idx="17">
                  <c:v>2.0135047999772152E-5</c:v>
                </c:pt>
                <c:pt idx="18">
                  <c:v>2.0135047999772152E-4</c:v>
                </c:pt>
                <c:pt idx="19">
                  <c:v>2.0135047999772153E-3</c:v>
                </c:pt>
                <c:pt idx="20">
                  <c:v>2.0135047999772154E-2</c:v>
                </c:pt>
                <c:pt idx="21">
                  <c:v>0.20135047999772152</c:v>
                </c:pt>
                <c:pt idx="22">
                  <c:v>2.0135047999772153</c:v>
                </c:pt>
                <c:pt idx="23">
                  <c:v>20.135047999772151</c:v>
                </c:pt>
                <c:pt idx="24">
                  <c:v>201.35047999772152</c:v>
                </c:pt>
                <c:pt idx="25">
                  <c:v>2013.5047999772153</c:v>
                </c:pt>
                <c:pt idx="26">
                  <c:v>20135.047999772152</c:v>
                </c:pt>
                <c:pt idx="27">
                  <c:v>201350.47999772153</c:v>
                </c:pt>
                <c:pt idx="28">
                  <c:v>2013504.7999772152</c:v>
                </c:pt>
                <c:pt idx="29">
                  <c:v>20135047.999772154</c:v>
                </c:pt>
                <c:pt idx="30">
                  <c:v>201350479.99772152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1.7382409369087743E-21</c:v>
                </c:pt>
                <c:pt idx="1">
                  <c:v>1.7382409369087743E-20</c:v>
                </c:pt>
                <c:pt idx="2">
                  <c:v>1.7382409369087742E-19</c:v>
                </c:pt>
                <c:pt idx="3">
                  <c:v>1.7382409369087742E-18</c:v>
                </c:pt>
                <c:pt idx="4">
                  <c:v>1.7382409369087739E-17</c:v>
                </c:pt>
                <c:pt idx="5">
                  <c:v>1.7382409369087742E-16</c:v>
                </c:pt>
                <c:pt idx="6">
                  <c:v>1.7382409369087742E-15</c:v>
                </c:pt>
                <c:pt idx="7">
                  <c:v>1.7382409369087743E-14</c:v>
                </c:pt>
                <c:pt idx="8">
                  <c:v>1.7382409369087741E-13</c:v>
                </c:pt>
                <c:pt idx="9">
                  <c:v>1.7382409369087741E-12</c:v>
                </c:pt>
                <c:pt idx="10">
                  <c:v>1.7382409369087744E-11</c:v>
                </c:pt>
                <c:pt idx="11">
                  <c:v>1.7382409369087743E-10</c:v>
                </c:pt>
                <c:pt idx="12">
                  <c:v>1.7382409369087742E-9</c:v>
                </c:pt>
                <c:pt idx="13">
                  <c:v>1.7382409369087742E-8</c:v>
                </c:pt>
                <c:pt idx="14">
                  <c:v>1.7382409369087742E-7</c:v>
                </c:pt>
                <c:pt idx="15">
                  <c:v>1.7382409369087742E-6</c:v>
                </c:pt>
                <c:pt idx="16">
                  <c:v>1.7382409369087742E-5</c:v>
                </c:pt>
                <c:pt idx="17">
                  <c:v>1.7382409369087742E-4</c:v>
                </c:pt>
                <c:pt idx="18">
                  <c:v>1.7382409369087741E-3</c:v>
                </c:pt>
                <c:pt idx="19">
                  <c:v>1.7382409369087741E-2</c:v>
                </c:pt>
                <c:pt idx="20">
                  <c:v>0.17382409369087742</c:v>
                </c:pt>
                <c:pt idx="21">
                  <c:v>1.7382409369087741</c:v>
                </c:pt>
                <c:pt idx="22">
                  <c:v>17.382409369087743</c:v>
                </c:pt>
                <c:pt idx="23">
                  <c:v>173.82409369087742</c:v>
                </c:pt>
                <c:pt idx="24">
                  <c:v>1738.2409369087741</c:v>
                </c:pt>
                <c:pt idx="25">
                  <c:v>17382.409369087742</c:v>
                </c:pt>
                <c:pt idx="26">
                  <c:v>173824.0936908774</c:v>
                </c:pt>
                <c:pt idx="27">
                  <c:v>1738240.9369087741</c:v>
                </c:pt>
                <c:pt idx="28">
                  <c:v>17382409.369087741</c:v>
                </c:pt>
                <c:pt idx="29">
                  <c:v>173824093.69087741</c:v>
                </c:pt>
                <c:pt idx="30">
                  <c:v>1738240936.9087741</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7.3532204262365604E-20</c:v>
                </c:pt>
                <c:pt idx="1">
                  <c:v>7.3532204262365597E-19</c:v>
                </c:pt>
                <c:pt idx="2">
                  <c:v>7.3532204262365599E-18</c:v>
                </c:pt>
                <c:pt idx="3">
                  <c:v>7.3532204262365596E-17</c:v>
                </c:pt>
                <c:pt idx="4">
                  <c:v>7.3532204262365593E-16</c:v>
                </c:pt>
                <c:pt idx="5">
                  <c:v>7.3532204262365599E-15</c:v>
                </c:pt>
                <c:pt idx="6">
                  <c:v>7.3532204262365593E-14</c:v>
                </c:pt>
                <c:pt idx="7">
                  <c:v>7.3532204262365598E-13</c:v>
                </c:pt>
                <c:pt idx="8">
                  <c:v>7.3532204262365586E-12</c:v>
                </c:pt>
                <c:pt idx="9">
                  <c:v>7.3532204262365595E-11</c:v>
                </c:pt>
                <c:pt idx="10">
                  <c:v>7.3532204262365601E-10</c:v>
                </c:pt>
                <c:pt idx="11">
                  <c:v>7.3532204262365598E-9</c:v>
                </c:pt>
                <c:pt idx="12">
                  <c:v>7.3532204262365595E-8</c:v>
                </c:pt>
                <c:pt idx="13">
                  <c:v>7.3532204262365595E-7</c:v>
                </c:pt>
                <c:pt idx="14">
                  <c:v>7.3532204262365597E-6</c:v>
                </c:pt>
                <c:pt idx="15">
                  <c:v>7.3532204262365594E-5</c:v>
                </c:pt>
                <c:pt idx="16">
                  <c:v>7.3532204262365597E-4</c:v>
                </c:pt>
                <c:pt idx="17">
                  <c:v>7.3532204262365597E-3</c:v>
                </c:pt>
                <c:pt idx="18">
                  <c:v>7.3532204262365591E-2</c:v>
                </c:pt>
                <c:pt idx="19">
                  <c:v>0.73532204262365597</c:v>
                </c:pt>
                <c:pt idx="20">
                  <c:v>7.3532204262365592</c:v>
                </c:pt>
                <c:pt idx="21">
                  <c:v>73.532204262365596</c:v>
                </c:pt>
                <c:pt idx="22">
                  <c:v>735.32204262365599</c:v>
                </c:pt>
                <c:pt idx="23">
                  <c:v>7353.2204262365594</c:v>
                </c:pt>
                <c:pt idx="24">
                  <c:v>73532.204262365587</c:v>
                </c:pt>
                <c:pt idx="25">
                  <c:v>735322.04262365599</c:v>
                </c:pt>
                <c:pt idx="26">
                  <c:v>7353220.4262365596</c:v>
                </c:pt>
                <c:pt idx="27">
                  <c:v>73532204.262365595</c:v>
                </c:pt>
                <c:pt idx="28">
                  <c:v>735322042.62365592</c:v>
                </c:pt>
                <c:pt idx="29">
                  <c:v>7353220426.2365589</c:v>
                </c:pt>
                <c:pt idx="30">
                  <c:v>73532204262.365601</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9.8361776942258266E-18</c:v>
                </c:pt>
                <c:pt idx="1">
                  <c:v>9.8361776942258254E-17</c:v>
                </c:pt>
                <c:pt idx="2">
                  <c:v>9.8361776942258261E-16</c:v>
                </c:pt>
                <c:pt idx="3">
                  <c:v>9.8361776942258246E-15</c:v>
                </c:pt>
                <c:pt idx="4">
                  <c:v>9.8361776942258246E-14</c:v>
                </c:pt>
                <c:pt idx="5">
                  <c:v>9.8361776942258258E-13</c:v>
                </c:pt>
                <c:pt idx="6">
                  <c:v>9.8361776942258258E-12</c:v>
                </c:pt>
                <c:pt idx="7">
                  <c:v>9.8361776942258252E-11</c:v>
                </c:pt>
                <c:pt idx="8">
                  <c:v>9.836177694225826E-10</c:v>
                </c:pt>
                <c:pt idx="9">
                  <c:v>9.8361776942258243E-9</c:v>
                </c:pt>
                <c:pt idx="10">
                  <c:v>9.8361776942258256E-8</c:v>
                </c:pt>
                <c:pt idx="11">
                  <c:v>9.8361776942258259E-7</c:v>
                </c:pt>
                <c:pt idx="12">
                  <c:v>9.8361776942258263E-6</c:v>
                </c:pt>
                <c:pt idx="13">
                  <c:v>9.8361776942258253E-5</c:v>
                </c:pt>
                <c:pt idx="14">
                  <c:v>9.836177694225825E-4</c:v>
                </c:pt>
                <c:pt idx="15">
                  <c:v>9.8361776942258259E-3</c:v>
                </c:pt>
                <c:pt idx="16">
                  <c:v>9.8361776942258256E-2</c:v>
                </c:pt>
                <c:pt idx="17">
                  <c:v>0.9836177694225825</c:v>
                </c:pt>
                <c:pt idx="18">
                  <c:v>9.8361776942258263</c:v>
                </c:pt>
                <c:pt idx="19">
                  <c:v>98.36177694225826</c:v>
                </c:pt>
                <c:pt idx="20">
                  <c:v>983.61776942258257</c:v>
                </c:pt>
                <c:pt idx="21">
                  <c:v>9836.1776942258257</c:v>
                </c:pt>
                <c:pt idx="22">
                  <c:v>98361.77694225825</c:v>
                </c:pt>
                <c:pt idx="23">
                  <c:v>983617.76942258258</c:v>
                </c:pt>
                <c:pt idx="24">
                  <c:v>9836177.6942258254</c:v>
                </c:pt>
                <c:pt idx="25">
                  <c:v>98361776.942258254</c:v>
                </c:pt>
                <c:pt idx="26">
                  <c:v>983617769.42258251</c:v>
                </c:pt>
                <c:pt idx="27">
                  <c:v>9836177694.2258263</c:v>
                </c:pt>
                <c:pt idx="28">
                  <c:v>98361776942.258255</c:v>
                </c:pt>
                <c:pt idx="29">
                  <c:v>983617769422.58252</c:v>
                </c:pt>
                <c:pt idx="30">
                  <c:v>9836177694225.8262</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312632"/>
        <c:axId val="445316160"/>
      </c:scatterChart>
      <c:valAx>
        <c:axId val="4453126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6160"/>
        <c:crosses val="autoZero"/>
        <c:crossBetween val="midCat"/>
      </c:valAx>
      <c:valAx>
        <c:axId val="445316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263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-21.521805240547501</c:v>
                </c:pt>
                <c:pt idx="1">
                  <c:v>-21.463330408839063</c:v>
                </c:pt>
                <c:pt idx="2">
                  <c:v>-21.404744431546806</c:v>
                </c:pt>
                <c:pt idx="3">
                  <c:v>-21.3459361630869</c:v>
                </c:pt>
                <c:pt idx="4">
                  <c:v>-21.286794457875526</c:v>
                </c:pt>
                <c:pt idx="5">
                  <c:v>-21.227208170328865</c:v>
                </c:pt>
                <c:pt idx="6">
                  <c:v>-21.167066154863086</c:v>
                </c:pt>
                <c:pt idx="7">
                  <c:v>-21.106257265894374</c:v>
                </c:pt>
                <c:pt idx="8">
                  <c:v>-21.0446703578389</c:v>
                </c:pt>
                <c:pt idx="9">
                  <c:v>-20.982194285112843</c:v>
                </c:pt>
                <c:pt idx="10">
                  <c:v>-20.918717902132389</c:v>
                </c:pt>
                <c:pt idx="11">
                  <c:v>-20.854130063313701</c:v>
                </c:pt>
                <c:pt idx="12">
                  <c:v>-20.788319623072965</c:v>
                </c:pt>
                <c:pt idx="13">
                  <c:v>-20.721175435826353</c:v>
                </c:pt>
                <c:pt idx="14">
                  <c:v>-20.652586355990049</c:v>
                </c:pt>
                <c:pt idx="15">
                  <c:v>-20.582441237980227</c:v>
                </c:pt>
                <c:pt idx="16">
                  <c:v>-20.510628936213063</c:v>
                </c:pt>
                <c:pt idx="17">
                  <c:v>-20.437038305104736</c:v>
                </c:pt>
                <c:pt idx="18">
                  <c:v>-20.361558199071425</c:v>
                </c:pt>
                <c:pt idx="19">
                  <c:v>-20.284077472529304</c:v>
                </c:pt>
                <c:pt idx="20">
                  <c:v>-20.204484979894545</c:v>
                </c:pt>
                <c:pt idx="21">
                  <c:v>-20.122669575583338</c:v>
                </c:pt>
                <c:pt idx="22">
                  <c:v>-20.038520114011853</c:v>
                </c:pt>
                <c:pt idx="23">
                  <c:v>-19.951925449596267</c:v>
                </c:pt>
                <c:pt idx="24">
                  <c:v>-19.862774436752762</c:v>
                </c:pt>
                <c:pt idx="25">
                  <c:v>-19.770955929897507</c:v>
                </c:pt>
                <c:pt idx="26">
                  <c:v>-19.676358783446688</c:v>
                </c:pt>
                <c:pt idx="27">
                  <c:v>-19.578871851816473</c:v>
                </c:pt>
                <c:pt idx="28">
                  <c:v>-19.478383989423051</c:v>
                </c:pt>
                <c:pt idx="29">
                  <c:v>-19.374784050682589</c:v>
                </c:pt>
                <c:pt idx="30">
                  <c:v>-19.267960890011267</c:v>
                </c:pt>
                <c:pt idx="31">
                  <c:v>-19.157803361825266</c:v>
                </c:pt>
                <c:pt idx="32">
                  <c:v>-19.04420032054076</c:v>
                </c:pt>
                <c:pt idx="33">
                  <c:v>-18.927040620573926</c:v>
                </c:pt>
                <c:pt idx="34">
                  <c:v>-18.806213116340938</c:v>
                </c:pt>
                <c:pt idx="35">
                  <c:v>-18.681606662257984</c:v>
                </c:pt>
                <c:pt idx="36">
                  <c:v>-18.55311011274123</c:v>
                </c:pt>
                <c:pt idx="37">
                  <c:v>-18.420612322206864</c:v>
                </c:pt>
                <c:pt idx="38">
                  <c:v>-18.284002145071053</c:v>
                </c:pt>
                <c:pt idx="39">
                  <c:v>-18.143168435749981</c:v>
                </c:pt>
                <c:pt idx="40">
                  <c:v>-17.998000048659819</c:v>
                </c:pt>
                <c:pt idx="41">
                  <c:v>-17.917440702450104</c:v>
                </c:pt>
                <c:pt idx="42">
                  <c:v>-17.832730898032942</c:v>
                </c:pt>
                <c:pt idx="43">
                  <c:v>-17.744166000553804</c:v>
                </c:pt>
                <c:pt idx="44">
                  <c:v>-17.652041375158149</c:v>
                </c:pt>
                <c:pt idx="45">
                  <c:v>-17.556652386991452</c:v>
                </c:pt>
                <c:pt idx="46">
                  <c:v>-17.458294401199169</c:v>
                </c:pt>
                <c:pt idx="47">
                  <c:v>-17.357262782926774</c:v>
                </c:pt>
                <c:pt idx="48">
                  <c:v>-17.253852897319728</c:v>
                </c:pt>
                <c:pt idx="49">
                  <c:v>-17.148360109523498</c:v>
                </c:pt>
                <c:pt idx="50">
                  <c:v>-17.041079784683546</c:v>
                </c:pt>
                <c:pt idx="51">
                  <c:v>-16.932307287945342</c:v>
                </c:pt>
                <c:pt idx="52">
                  <c:v>-16.82233798445435</c:v>
                </c:pt>
                <c:pt idx="53">
                  <c:v>-16.711467239356029</c:v>
                </c:pt>
                <c:pt idx="54">
                  <c:v>-16.599990417795858</c:v>
                </c:pt>
                <c:pt idx="55">
                  <c:v>-16.488202884919289</c:v>
                </c:pt>
                <c:pt idx="56">
                  <c:v>-16.376400005871801</c:v>
                </c:pt>
                <c:pt idx="57">
                  <c:v>-16.264877145798845</c:v>
                </c:pt>
                <c:pt idx="58">
                  <c:v>-16.153929669845898</c:v>
                </c:pt>
                <c:pt idx="59">
                  <c:v>-16.04385294315842</c:v>
                </c:pt>
                <c:pt idx="60">
                  <c:v>-15.934942330881876</c:v>
                </c:pt>
                <c:pt idx="61">
                  <c:v>-15.827493198161735</c:v>
                </c:pt>
                <c:pt idx="62">
                  <c:v>-15.721800910143459</c:v>
                </c:pt>
                <c:pt idx="63">
                  <c:v>-15.618160831972517</c:v>
                </c:pt>
                <c:pt idx="64">
                  <c:v>-15.516868328794372</c:v>
                </c:pt>
                <c:pt idx="65">
                  <c:v>-15.418218765754487</c:v>
                </c:pt>
                <c:pt idx="66">
                  <c:v>-15.322417124550444</c:v>
                </c:pt>
                <c:pt idx="67">
                  <c:v>-15.229306853088254</c:v>
                </c:pt>
                <c:pt idx="68">
                  <c:v>-15.138641015826042</c:v>
                </c:pt>
                <c:pt idx="69">
                  <c:v>-15.050172677221935</c:v>
                </c:pt>
                <c:pt idx="70">
                  <c:v>-14.963654901734058</c:v>
                </c:pt>
                <c:pt idx="71">
                  <c:v>-14.878840753820537</c:v>
                </c:pt>
                <c:pt idx="72">
                  <c:v>-14.795483297939498</c:v>
                </c:pt>
                <c:pt idx="73">
                  <c:v>-14.713335598549062</c:v>
                </c:pt>
                <c:pt idx="74">
                  <c:v>-14.632150720107362</c:v>
                </c:pt>
                <c:pt idx="75">
                  <c:v>-14.551681727072513</c:v>
                </c:pt>
                <c:pt idx="76">
                  <c:v>-14.471681683902649</c:v>
                </c:pt>
                <c:pt idx="77">
                  <c:v>-14.391903655055893</c:v>
                </c:pt>
                <c:pt idx="78">
                  <c:v>-14.312100704990369</c:v>
                </c:pt>
                <c:pt idx="79">
                  <c:v>-14.232025898164203</c:v>
                </c:pt>
                <c:pt idx="80">
                  <c:v>-14.151432299035521</c:v>
                </c:pt>
                <c:pt idx="81">
                  <c:v>-14.070072972062448</c:v>
                </c:pt>
                <c:pt idx="82">
                  <c:v>-13.98770098170311</c:v>
                </c:pt>
                <c:pt idx="83">
                  <c:v>-13.904069392415629</c:v>
                </c:pt>
                <c:pt idx="84">
                  <c:v>-13.818931268658137</c:v>
                </c:pt>
                <c:pt idx="85">
                  <c:v>-13.732039674888751</c:v>
                </c:pt>
                <c:pt idx="86">
                  <c:v>-13.643147675565604</c:v>
                </c:pt>
                <c:pt idx="87">
                  <c:v>-13.552008335146816</c:v>
                </c:pt>
                <c:pt idx="88">
                  <c:v>-13.458374718090516</c:v>
                </c:pt>
                <c:pt idx="89">
                  <c:v>-13.361999888854829</c:v>
                </c:pt>
                <c:pt idx="90">
                  <c:v>-13.262636911897877</c:v>
                </c:pt>
                <c:pt idx="91">
                  <c:v>-13.160107382361836</c:v>
                </c:pt>
                <c:pt idx="92">
                  <c:v>-13.054507018125094</c:v>
                </c:pt>
                <c:pt idx="93">
                  <c:v>-12.94600006775007</c:v>
                </c:pt>
                <c:pt idx="94">
                  <c:v>-12.834750779799204</c:v>
                </c:pt>
                <c:pt idx="95">
                  <c:v>-12.72092340283492</c:v>
                </c:pt>
                <c:pt idx="96">
                  <c:v>-12.604682185419652</c:v>
                </c:pt>
                <c:pt idx="97">
                  <c:v>-12.486191376115833</c:v>
                </c:pt>
                <c:pt idx="98">
                  <c:v>-12.365615223485886</c:v>
                </c:pt>
                <c:pt idx="99">
                  <c:v>-12.243117976092247</c:v>
                </c:pt>
                <c:pt idx="100">
                  <c:v>-12.118863882497346</c:v>
                </c:pt>
                <c:pt idx="101">
                  <c:v>-11.993017191263609</c:v>
                </c:pt>
                <c:pt idx="102">
                  <c:v>-11.865742150953473</c:v>
                </c:pt>
                <c:pt idx="103">
                  <c:v>-11.737203010129367</c:v>
                </c:pt>
                <c:pt idx="104">
                  <c:v>-11.607564017353718</c:v>
                </c:pt>
                <c:pt idx="105">
                  <c:v>-11.476989421188961</c:v>
                </c:pt>
                <c:pt idx="106">
                  <c:v>-11.345643470197523</c:v>
                </c:pt>
                <c:pt idx="107">
                  <c:v>-11.213690412941837</c:v>
                </c:pt>
                <c:pt idx="108">
                  <c:v>-11.081294497984331</c:v>
                </c:pt>
                <c:pt idx="109">
                  <c:v>-10.948619973887435</c:v>
                </c:pt>
                <c:pt idx="110">
                  <c:v>-10.815831089213585</c:v>
                </c:pt>
                <c:pt idx="111">
                  <c:v>-10.683092092525207</c:v>
                </c:pt>
                <c:pt idx="112">
                  <c:v>-10.550567232384731</c:v>
                </c:pt>
                <c:pt idx="113">
                  <c:v>-10.418420757354589</c:v>
                </c:pt>
                <c:pt idx="114">
                  <c:v>-10.286816915997214</c:v>
                </c:pt>
                <c:pt idx="115">
                  <c:v>-10.155919956875032</c:v>
                </c:pt>
                <c:pt idx="116">
                  <c:v>-10.025894128550476</c:v>
                </c:pt>
                <c:pt idx="117">
                  <c:v>-9.8969036795859751</c:v>
                </c:pt>
                <c:pt idx="118">
                  <c:v>-9.7691128585439611</c:v>
                </c:pt>
                <c:pt idx="119">
                  <c:v>-9.642685913986865</c:v>
                </c:pt>
                <c:pt idx="120">
                  <c:v>-9.5177870944771161</c:v>
                </c:pt>
                <c:pt idx="121">
                  <c:v>-9.3945420142617415</c:v>
                </c:pt>
                <c:pt idx="122">
                  <c:v>-9.2729217503261445</c:v>
                </c:pt>
                <c:pt idx="123">
                  <c:v>-9.1528587453403301</c:v>
                </c:pt>
                <c:pt idx="124">
                  <c:v>-9.0342854419742977</c:v>
                </c:pt>
                <c:pt idx="125">
                  <c:v>-8.9171342828980524</c:v>
                </c:pt>
                <c:pt idx="126">
                  <c:v>-8.8013377107815938</c:v>
                </c:pt>
                <c:pt idx="127">
                  <c:v>-8.6868281682949213</c:v>
                </c:pt>
                <c:pt idx="128">
                  <c:v>-8.57353809810804</c:v>
                </c:pt>
                <c:pt idx="129">
                  <c:v>-8.4613999428909494</c:v>
                </c:pt>
                <c:pt idx="130">
                  <c:v>-8.3503461453136545</c:v>
                </c:pt>
                <c:pt idx="131">
                  <c:v>-8.240309148046153</c:v>
                </c:pt>
                <c:pt idx="132">
                  <c:v>-8.1312213937584481</c:v>
                </c:pt>
                <c:pt idx="133">
                  <c:v>-8.0230153251205412</c:v>
                </c:pt>
                <c:pt idx="134">
                  <c:v>-7.9156233848024353</c:v>
                </c:pt>
                <c:pt idx="135">
                  <c:v>-7.808978015474132</c:v>
                </c:pt>
                <c:pt idx="136">
                  <c:v>-7.7030116598056306</c:v>
                </c:pt>
                <c:pt idx="137">
                  <c:v>-7.5976567604669363</c:v>
                </c:pt>
                <c:pt idx="138">
                  <c:v>-7.4928457601280485</c:v>
                </c:pt>
                <c:pt idx="139">
                  <c:v>-7.3885111014589686</c:v>
                </c:pt>
                <c:pt idx="140">
                  <c:v>-7.2845852271296989</c:v>
                </c:pt>
                <c:pt idx="141">
                  <c:v>-7.1810005798102434</c:v>
                </c:pt>
                <c:pt idx="142">
                  <c:v>-7.0776896021705991</c:v>
                </c:pt>
                <c:pt idx="143">
                  <c:v>-6.9745847368807716</c:v>
                </c:pt>
                <c:pt idx="144">
                  <c:v>-6.8716184266107607</c:v>
                </c:pt>
                <c:pt idx="145">
                  <c:v>-6.7687231140305686</c:v>
                </c:pt>
                <c:pt idx="146">
                  <c:v>-6.6658312418101975</c:v>
                </c:pt>
                <c:pt idx="147">
                  <c:v>-6.5628752526196488</c:v>
                </c:pt>
                <c:pt idx="148">
                  <c:v>-6.4597875891289238</c:v>
                </c:pt>
                <c:pt idx="149">
                  <c:v>-6.3565006940080249</c:v>
                </c:pt>
                <c:pt idx="150">
                  <c:v>-6.2529470099269524</c:v>
                </c:pt>
                <c:pt idx="151">
                  <c:v>-6.1490589795557096</c:v>
                </c:pt>
                <c:pt idx="152">
                  <c:v>-6.0447690455642977</c:v>
                </c:pt>
                <c:pt idx="153">
                  <c:v>-5.9400096506227174</c:v>
                </c:pt>
                <c:pt idx="154">
                  <c:v>-5.8347132374009725</c:v>
                </c:pt>
                <c:pt idx="155">
                  <c:v>-5.7288122485690618</c:v>
                </c:pt>
                <c:pt idx="156">
                  <c:v>-5.6222391267969893</c:v>
                </c:pt>
                <c:pt idx="157">
                  <c:v>-5.5149263147547574</c:v>
                </c:pt>
                <c:pt idx="158">
                  <c:v>-5.4068062551123646</c:v>
                </c:pt>
                <c:pt idx="159">
                  <c:v>-5.2978113905398159</c:v>
                </c:pt>
                <c:pt idx="160">
                  <c:v>-5.18787416370711</c:v>
                </c:pt>
                <c:pt idx="161">
                  <c:v>-5.0769270172842509</c:v>
                </c:pt>
                <c:pt idx="162">
                  <c:v>-4.9649023939412409</c:v>
                </c:pt>
                <c:pt idx="163">
                  <c:v>-4.8517327363480787</c:v>
                </c:pt>
                <c:pt idx="164">
                  <c:v>-4.7373504871747683</c:v>
                </c:pt>
                <c:pt idx="165">
                  <c:v>-4.6216880890913101</c:v>
                </c:pt>
                <c:pt idx="166">
                  <c:v>-4.5046956619714686</c:v>
                </c:pt>
                <c:pt idx="167">
                  <c:v>-4.3863940345040575</c:v>
                </c:pt>
                <c:pt idx="168">
                  <c:v>-4.2668217125816525</c:v>
                </c:pt>
                <c:pt idx="169">
                  <c:v>-4.1460172020968287</c:v>
                </c:pt>
                <c:pt idx="170">
                  <c:v>-4.0240190089421617</c:v>
                </c:pt>
                <c:pt idx="171">
                  <c:v>-3.9008656390102274</c:v>
                </c:pt>
                <c:pt idx="172">
                  <c:v>-3.7765955981936008</c:v>
                </c:pt>
                <c:pt idx="173">
                  <c:v>-3.6512473923848581</c:v>
                </c:pt>
                <c:pt idx="174">
                  <c:v>-3.5248595274765746</c:v>
                </c:pt>
                <c:pt idx="175">
                  <c:v>-3.3974705093613258</c:v>
                </c:pt>
                <c:pt idx="176">
                  <c:v>-3.2691188439316874</c:v>
                </c:pt>
                <c:pt idx="177">
                  <c:v>-3.1398430370802348</c:v>
                </c:pt>
                <c:pt idx="178">
                  <c:v>-3.0096815946995434</c:v>
                </c:pt>
                <c:pt idx="179">
                  <c:v>-2.8786730226821904</c:v>
                </c:pt>
                <c:pt idx="180">
                  <c:v>-2.7468558269207493</c:v>
                </c:pt>
                <c:pt idx="181">
                  <c:v>-2.6142685133077963</c:v>
                </c:pt>
                <c:pt idx="182">
                  <c:v>-2.4809495877359078</c:v>
                </c:pt>
                <c:pt idx="183">
                  <c:v>-2.3469375560976582</c:v>
                </c:pt>
                <c:pt idx="184">
                  <c:v>-2.2122709242856238</c:v>
                </c:pt>
                <c:pt idx="185">
                  <c:v>-2.0769881981923799</c:v>
                </c:pt>
                <c:pt idx="186">
                  <c:v>-1.9411278837105026</c:v>
                </c:pt>
                <c:pt idx="187">
                  <c:v>-1.8047284867325672</c:v>
                </c:pt>
                <c:pt idx="188">
                  <c:v>-1.6678285131511488</c:v>
                </c:pt>
                <c:pt idx="189">
                  <c:v>-1.5304664688588234</c:v>
                </c:pt>
                <c:pt idx="190">
                  <c:v>-1.3926808597481668</c:v>
                </c:pt>
                <c:pt idx="191">
                  <c:v>-1.2545101917117545</c:v>
                </c:pt>
                <c:pt idx="192">
                  <c:v>-1.1159929706421616</c:v>
                </c:pt>
                <c:pt idx="193">
                  <c:v>-0.97716770243196416</c:v>
                </c:pt>
                <c:pt idx="194">
                  <c:v>-0.83807289297373755</c:v>
                </c:pt>
                <c:pt idx="195">
                  <c:v>-0.6987470481600575</c:v>
                </c:pt>
                <c:pt idx="196">
                  <c:v>-0.55922867388349951</c:v>
                </c:pt>
                <c:pt idx="197">
                  <c:v>-0.4195562760366392</c:v>
                </c:pt>
                <c:pt idx="198">
                  <c:v>-0.27976836051205206</c:v>
                </c:pt>
                <c:pt idx="199">
                  <c:v>-0.13990343320231383</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-21.521805240547501</c:v>
                </c:pt>
                <c:pt idx="1">
                  <c:v>-17.998000048659822</c:v>
                </c:pt>
                <c:pt idx="2">
                  <c:v>-15.418218765754489</c:v>
                </c:pt>
                <c:pt idx="3">
                  <c:v>-13.262636911897877</c:v>
                </c:pt>
                <c:pt idx="4">
                  <c:v>-9.5177870944771161</c:v>
                </c:pt>
                <c:pt idx="5">
                  <c:v>-4.6216880890913101</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-21.47224306380167</c:v>
                </c:pt>
                <c:pt idx="1">
                  <c:v>-21.424084336765191</c:v>
                </c:pt>
                <c:pt idx="2">
                  <c:v>-21.376563279359743</c:v>
                </c:pt>
                <c:pt idx="3">
                  <c:v>-21.329055216282086</c:v>
                </c:pt>
                <c:pt idx="4">
                  <c:v>-21.281009162917144</c:v>
                </c:pt>
                <c:pt idx="5">
                  <c:v>-21.231942981760312</c:v>
                </c:pt>
                <c:pt idx="6">
                  <c:v>-21.181438735646225</c:v>
                </c:pt>
                <c:pt idx="7">
                  <c:v>-21.129138233022331</c:v>
                </c:pt>
                <c:pt idx="8">
                  <c:v>-21.074738760670698</c:v>
                </c:pt>
                <c:pt idx="9">
                  <c:v>-21.017988999260069</c:v>
                </c:pt>
                <c:pt idx="10">
                  <c:v>-20.958685117212553</c:v>
                </c:pt>
                <c:pt idx="11">
                  <c:v>-20.896667038397936</c:v>
                </c:pt>
                <c:pt idx="12">
                  <c:v>-20.83181487921911</c:v>
                </c:pt>
                <c:pt idx="13">
                  <c:v>-20.764045550685523</c:v>
                </c:pt>
                <c:pt idx="14">
                  <c:v>-20.693309521160927</c:v>
                </c:pt>
                <c:pt idx="15">
                  <c:v>-20.619587735522828</c:v>
                </c:pt>
                <c:pt idx="16">
                  <c:v>-20.542888686458355</c:v>
                </c:pt>
                <c:pt idx="17">
                  <c:v>-20.463245633742872</c:v>
                </c:pt>
                <c:pt idx="18">
                  <c:v>-20.380713967361316</c:v>
                </c:pt>
                <c:pt idx="19">
                  <c:v>-20.295368710425919</c:v>
                </c:pt>
                <c:pt idx="20">
                  <c:v>-20.207302157805088</c:v>
                </c:pt>
                <c:pt idx="21">
                  <c:v>-20.116621646543535</c:v>
                </c:pt>
                <c:pt idx="22">
                  <c:v>-20.023447454108691</c:v>
                </c:pt>
                <c:pt idx="23">
                  <c:v>-19.927910820607167</c:v>
                </c:pt>
                <c:pt idx="24">
                  <c:v>-19.830152091158425</c:v>
                </c:pt>
                <c:pt idx="25">
                  <c:v>-19.730318974625334</c:v>
                </c:pt>
                <c:pt idx="26">
                  <c:v>-19.628564914987237</c:v>
                </c:pt>
                <c:pt idx="27">
                  <c:v>-19.525047571711752</c:v>
                </c:pt>
                <c:pt idx="28">
                  <c:v>-19.419927405469934</c:v>
                </c:pt>
                <c:pt idx="29">
                  <c:v>-19.313366365647767</c:v>
                </c:pt>
                <c:pt idx="30">
                  <c:v>-19.205526676130603</c:v>
                </c:pt>
                <c:pt idx="31">
                  <c:v>-19.096569715866963</c:v>
                </c:pt>
                <c:pt idx="32">
                  <c:v>-18.986654990877355</c:v>
                </c:pt>
                <c:pt idx="33">
                  <c:v>-18.875939194213174</c:v>
                </c:pt>
                <c:pt idx="34">
                  <c:v>-18.764575350684254</c:v>
                </c:pt>
                <c:pt idx="35">
                  <c:v>-18.652712043004385</c:v>
                </c:pt>
                <c:pt idx="36">
                  <c:v>-18.540492716162134</c:v>
                </c:pt>
                <c:pt idx="37">
                  <c:v>-18.42805505689148</c:v>
                </c:pt>
                <c:pt idx="38">
                  <c:v>-18.31553044506677</c:v>
                </c:pt>
                <c:pt idx="39">
                  <c:v>-18.20304347403362</c:v>
                </c:pt>
                <c:pt idx="40">
                  <c:v>-18.090711536805429</c:v>
                </c:pt>
                <c:pt idx="41">
                  <c:v>-17.978644475209421</c:v>
                </c:pt>
                <c:pt idx="42">
                  <c:v>-17.866944289052071</c:v>
                </c:pt>
                <c:pt idx="43">
                  <c:v>-17.755704902459797</c:v>
                </c:pt>
                <c:pt idx="44">
                  <c:v>-17.645011984587029</c:v>
                </c:pt>
                <c:pt idx="45">
                  <c:v>-17.534942821931907</c:v>
                </c:pt>
                <c:pt idx="46">
                  <c:v>-17.425566239564773</c:v>
                </c:pt>
                <c:pt idx="47">
                  <c:v>-17.316942568614422</c:v>
                </c:pt>
                <c:pt idx="48">
                  <c:v>-17.209123657404916</c:v>
                </c:pt>
                <c:pt idx="49">
                  <c:v>-17.1021529237035</c:v>
                </c:pt>
                <c:pt idx="50">
                  <c:v>-16.996065445568377</c:v>
                </c:pt>
                <c:pt idx="51">
                  <c:v>-16.890888088361407</c:v>
                </c:pt>
                <c:pt idx="52">
                  <c:v>-16.786639665511416</c:v>
                </c:pt>
                <c:pt idx="53">
                  <c:v>-16.683331130694285</c:v>
                </c:pt>
                <c:pt idx="54">
                  <c:v>-16.580965799134901</c:v>
                </c:pt>
                <c:pt idx="55">
                  <c:v>-16.479539595770149</c:v>
                </c:pt>
                <c:pt idx="56">
                  <c:v>-16.379041328103142</c:v>
                </c:pt>
                <c:pt idx="57">
                  <c:v>-16.27945298158383</c:v>
                </c:pt>
                <c:pt idx="58">
                  <c:v>-16.180750035434102</c:v>
                </c:pt>
                <c:pt idx="59">
                  <c:v>-16.082901796882453</c:v>
                </c:pt>
                <c:pt idx="60">
                  <c:v>-15.985871751797816</c:v>
                </c:pt>
                <c:pt idx="61">
                  <c:v>-15.889617929809418</c:v>
                </c:pt>
                <c:pt idx="62">
                  <c:v>-15.794093282004468</c:v>
                </c:pt>
                <c:pt idx="63">
                  <c:v>-15.699246069368229</c:v>
                </c:pt>
                <c:pt idx="64">
                  <c:v>-15.605020260198785</c:v>
                </c:pt>
                <c:pt idx="65">
                  <c:v>-15.511355934732023</c:v>
                </c:pt>
                <c:pt idx="66">
                  <c:v>-15.418189695315959</c:v>
                </c:pt>
                <c:pt idx="67">
                  <c:v>-15.325455080489505</c:v>
                </c:pt>
                <c:pt idx="68">
                  <c:v>-15.23308298138403</c:v>
                </c:pt>
                <c:pt idx="69">
                  <c:v>-15.141002058918644</c:v>
                </c:pt>
                <c:pt idx="70">
                  <c:v>-15.0491391603083</c:v>
                </c:pt>
                <c:pt idx="71">
                  <c:v>-14.957419733447523</c:v>
                </c:pt>
                <c:pt idx="72">
                  <c:v>-14.865768237805156</c:v>
                </c:pt>
                <c:pt idx="73">
                  <c:v>-14.774108550483689</c:v>
                </c:pt>
                <c:pt idx="74">
                  <c:v>-14.682364366183862</c:v>
                </c:pt>
                <c:pt idx="75">
                  <c:v>-14.590459589835788</c:v>
                </c:pt>
                <c:pt idx="76">
                  <c:v>-14.498318720725393</c:v>
                </c:pt>
                <c:pt idx="77">
                  <c:v>-14.405867226993479</c:v>
                </c:pt>
                <c:pt idx="78">
                  <c:v>-14.313031909432596</c:v>
                </c:pt>
                <c:pt idx="79">
                  <c:v>-14.219741253555739</c:v>
                </c:pt>
                <c:pt idx="80">
                  <c:v>-14.125925768973943</c:v>
                </c:pt>
                <c:pt idx="81">
                  <c:v>-14.03151831515072</c:v>
                </c:pt>
                <c:pt idx="82">
                  <c:v>-13.936454412673207</c:v>
                </c:pt>
                <c:pt idx="83">
                  <c:v>-13.840672539217806</c:v>
                </c:pt>
                <c:pt idx="84">
                  <c:v>-13.744114409438666</c:v>
                </c:pt>
                <c:pt idx="85">
                  <c:v>-13.646725238068669</c:v>
                </c:pt>
                <c:pt idx="86">
                  <c:v>-13.548453985562482</c:v>
                </c:pt>
                <c:pt idx="87">
                  <c:v>-13.449253585667734</c:v>
                </c:pt>
                <c:pt idx="88">
                  <c:v>-13.349081154360356</c:v>
                </c:pt>
                <c:pt idx="89">
                  <c:v>-13.247898179629669</c:v>
                </c:pt>
                <c:pt idx="90">
                  <c:v>-13.145670691654367</c:v>
                </c:pt>
                <c:pt idx="91">
                  <c:v>-13.042369412951295</c:v>
                </c:pt>
                <c:pt idx="92">
                  <c:v>-12.937969888145101</c:v>
                </c:pt>
                <c:pt idx="93">
                  <c:v>-12.832452593042206</c:v>
                </c:pt>
                <c:pt idx="94">
                  <c:v>-12.725803022753539</c:v>
                </c:pt>
                <c:pt idx="95">
                  <c:v>-12.618011758658255</c:v>
                </c:pt>
                <c:pt idx="96">
                  <c:v>-12.509074514051136</c:v>
                </c:pt>
                <c:pt idx="97">
                  <c:v>-12.398992158368436</c:v>
                </c:pt>
                <c:pt idx="98">
                  <c:v>-12.287770719936358</c:v>
                </c:pt>
                <c:pt idx="99">
                  <c:v>-12.175421367238627</c:v>
                </c:pt>
                <c:pt idx="100">
                  <c:v>-12.06196036875099</c:v>
                </c:pt>
                <c:pt idx="101">
                  <c:v>-11.947409031438857</c:v>
                </c:pt>
                <c:pt idx="102">
                  <c:v>-11.831793618068286</c:v>
                </c:pt>
                <c:pt idx="103">
                  <c:v>-11.715145243529179</c:v>
                </c:pt>
                <c:pt idx="104">
                  <c:v>-11.59749975042266</c:v>
                </c:pt>
                <c:pt idx="105">
                  <c:v>-11.478897564211383</c:v>
                </c:pt>
                <c:pt idx="106">
                  <c:v>-11.359383528289515</c:v>
                </c:pt>
                <c:pt idx="107">
                  <c:v>-11.239006719371986</c:v>
                </c:pt>
                <c:pt idx="108">
                  <c:v>-11.117820243658883</c:v>
                </c:pt>
                <c:pt idx="109">
                  <c:v>-10.995881014281997</c:v>
                </c:pt>
                <c:pt idx="110">
                  <c:v>-10.873249510585865</c:v>
                </c:pt>
                <c:pt idx="111">
                  <c:v>-10.749989519854498</c:v>
                </c:pt>
                <c:pt idx="112">
                  <c:v>-10.626167862139187</c:v>
                </c:pt>
                <c:pt idx="113">
                  <c:v>-10.501854098898088</c:v>
                </c:pt>
                <c:pt idx="114">
                  <c:v>-10.377120226205804</c:v>
                </c:pt>
                <c:pt idx="115">
                  <c:v>-10.252040353345826</c:v>
                </c:pt>
                <c:pt idx="116">
                  <c:v>-10.126690367646002</c:v>
                </c:pt>
                <c:pt idx="117">
                  <c:v>-10.001147586470974</c:v>
                </c:pt>
                <c:pt idx="118">
                  <c:v>-9.8754903973345058</c:v>
                </c:pt>
                <c:pt idx="119">
                  <c:v>-9.7497978871459452</c:v>
                </c:pt>
                <c:pt idx="120">
                  <c:v>-9.6241494616578827</c:v>
                </c:pt>
                <c:pt idx="121">
                  <c:v>-9.4986244562298197</c:v>
                </c:pt>
                <c:pt idx="122">
                  <c:v>-9.3733017390760924</c:v>
                </c:pt>
                <c:pt idx="123">
                  <c:v>-9.248259308216177</c:v>
                </c:pt>
                <c:pt idx="124">
                  <c:v>-9.1235738833966558</c:v>
                </c:pt>
                <c:pt idx="125">
                  <c:v>-8.9993204943045484</c:v>
                </c:pt>
                <c:pt idx="126">
                  <c:v>-8.8755720664441835</c:v>
                </c:pt>
                <c:pt idx="127">
                  <c:v>-8.7523990060983969</c:v>
                </c:pt>
                <c:pt idx="128">
                  <c:v>-8.6298687858477585</c:v>
                </c:pt>
                <c:pt idx="129">
                  <c:v>-8.5080455321716446</c:v>
                </c:pt>
                <c:pt idx="130">
                  <c:v>-8.3869896167055664</c:v>
                </c:pt>
                <c:pt idx="131">
                  <c:v>-8.266757252781014</c:v>
                </c:pt>
                <c:pt idx="132">
                  <c:v>-8.1474000989240043</c:v>
                </c:pt>
                <c:pt idx="133">
                  <c:v>-8.0289648710405075</c:v>
                </c:pt>
                <c:pt idx="134">
                  <c:v>-7.9114929650664134</c:v>
                </c:pt>
                <c:pt idx="135">
                  <c:v>-7.7950200919124057</c:v>
                </c:pt>
                <c:pt idx="136">
                  <c:v>-7.6795759265836212</c:v>
                </c:pt>
                <c:pt idx="137">
                  <c:v>-7.5651837734052734</c:v>
                </c:pt>
                <c:pt idx="138">
                  <c:v>-7.4518602493370425</c:v>
                </c:pt>
                <c:pt idx="139">
                  <c:v>-7.3396149874087415</c:v>
                </c:pt>
                <c:pt idx="140">
                  <c:v>-7.2284503623618539</c:v>
                </c:pt>
                <c:pt idx="141">
                  <c:v>-7.1183612406316952</c:v>
                </c:pt>
                <c:pt idx="142">
                  <c:v>-7.0093347568562381</c:v>
                </c:pt>
                <c:pt idx="143">
                  <c:v>-6.9013501191483622</c:v>
                </c:pt>
                <c:pt idx="144">
                  <c:v>-6.7943784454196789</c:v>
                </c:pt>
                <c:pt idx="145">
                  <c:v>-6.6883826330941467</c:v>
                </c:pt>
                <c:pt idx="146">
                  <c:v>-6.5833172646016207</c:v>
                </c:pt>
                <c:pt idx="147">
                  <c:v>-6.4791285510916072</c:v>
                </c:pt>
                <c:pt idx="148">
                  <c:v>-6.3757543168588935</c:v>
                </c:pt>
                <c:pt idx="149">
                  <c:v>-6.2731240270235116</c:v>
                </c:pt>
                <c:pt idx="150">
                  <c:v>-6.171158861058319</c:v>
                </c:pt>
                <c:pt idx="151">
                  <c:v>-6.0697718348085576</c:v>
                </c:pt>
                <c:pt idx="152">
                  <c:v>-5.9688679736986376</c:v>
                </c:pt>
                <c:pt idx="153">
                  <c:v>-5.8683445398723153</c:v>
                </c:pt>
                <c:pt idx="154">
                  <c:v>-5.7680913160632672</c:v>
                </c:pt>
                <c:pt idx="155">
                  <c:v>-5.6679909490442189</c:v>
                </c:pt>
                <c:pt idx="156">
                  <c:v>-5.5679193555534283</c:v>
                </c:pt>
                <c:pt idx="157">
                  <c:v>-5.4677461936485434</c:v>
                </c:pt>
                <c:pt idx="158">
                  <c:v>-5.3673354024885382</c:v>
                </c:pt>
                <c:pt idx="159">
                  <c:v>-5.2665458135954593</c:v>
                </c:pt>
                <c:pt idx="160">
                  <c:v>-5.1652318366987595</c:v>
                </c:pt>
                <c:pt idx="161">
                  <c:v>-5.0632442233156283</c:v>
                </c:pt>
                <c:pt idx="162">
                  <c:v>-4.9604309112720024</c:v>
                </c:pt>
                <c:pt idx="163">
                  <c:v>-4.856637953419618</c:v>
                </c:pt>
                <c:pt idx="164">
                  <c:v>-4.7517105338554826</c:v>
                </c:pt>
                <c:pt idx="165">
                  <c:v>-4.6454940750010927</c:v>
                </c:pt>
                <c:pt idx="166">
                  <c:v>-4.5378354389496369</c:v>
                </c:pt>
                <c:pt idx="167">
                  <c:v>-4.4285842265403055</c:v>
                </c:pt>
                <c:pt idx="168">
                  <c:v>-4.3175941776698226</c:v>
                </c:pt>
                <c:pt idx="169">
                  <c:v>-4.2047246764022432</c:v>
                </c:pt>
                <c:pt idx="170">
                  <c:v>-4.0898423644888808</c:v>
                </c:pt>
                <c:pt idx="171">
                  <c:v>-3.9728228669613488</c:v>
                </c:pt>
                <c:pt idx="172">
                  <c:v>-3.8535526335114159</c:v>
                </c:pt>
                <c:pt idx="173">
                  <c:v>-3.7319308994224714</c:v>
                </c:pt>
                <c:pt idx="174">
                  <c:v>-3.6078717698682405</c:v>
                </c:pt>
                <c:pt idx="175">
                  <c:v>-3.4813064314453288</c:v>
                </c:pt>
                <c:pt idx="176">
                  <c:v>-3.3521854948571286</c:v>
                </c:pt>
                <c:pt idx="177">
                  <c:v>-3.2204814727175126</c:v>
                </c:pt>
                <c:pt idx="178">
                  <c:v>-3.0861913964937173</c:v>
                </c:pt>
                <c:pt idx="179">
                  <c:v>-2.9493395766586761</c:v>
                </c:pt>
                <c:pt idx="180">
                  <c:v>-2.8099805101740758</c:v>
                </c:pt>
                <c:pt idx="181">
                  <c:v>-2.6682019394762611</c:v>
                </c:pt>
                <c:pt idx="182">
                  <c:v>-2.5241280671880975</c:v>
                </c:pt>
                <c:pt idx="183">
                  <c:v>-2.377922930830791</c:v>
                </c:pt>
                <c:pt idx="184">
                  <c:v>-2.2297939418606156</c:v>
                </c:pt>
                <c:pt idx="185">
                  <c:v>-2.079995593406426</c:v>
                </c:pt>
                <c:pt idx="186">
                  <c:v>-1.9288333411347456</c:v>
                </c:pt>
                <c:pt idx="187">
                  <c:v>-1.7766676617201624</c:v>
                </c:pt>
                <c:pt idx="188">
                  <c:v>-1.6239182934496998</c:v>
                </c:pt>
                <c:pt idx="189">
                  <c:v>-1.4710686635407302</c:v>
                </c:pt>
                <c:pt idx="190">
                  <c:v>-1.3186705068029618</c:v>
                </c:pt>
                <c:pt idx="191">
                  <c:v>-1.1673486803259336</c:v>
                </c:pt>
                <c:pt idx="192">
                  <c:v>-1.0178061789243897</c:v>
                </c:pt>
                <c:pt idx="193">
                  <c:v>-0.87082935612483592</c:v>
                </c:pt>
                <c:pt idx="194">
                  <c:v>-0.72729335552750496</c:v>
                </c:pt>
                <c:pt idx="195">
                  <c:v>-0.58816775742888538</c:v>
                </c:pt>
                <c:pt idx="196">
                  <c:v>-0.4545224456409</c:v>
                </c:pt>
                <c:pt idx="197">
                  <c:v>-0.32753369949375005</c:v>
                </c:pt>
                <c:pt idx="198">
                  <c:v>-0.20849051606036081</c:v>
                </c:pt>
                <c:pt idx="199">
                  <c:v>-9.8801167691305397E-2</c:v>
                </c:pt>
                <c:pt idx="200">
                  <c:v>0</c:v>
                </c:pt>
              </c:numCache>
            </c:numRef>
          </c:yVal>
          <c:smooth val="1"/>
        </c:ser>
        <c:dLbls>
          <c:showLegendKey val="0"/>
          <c:showVal val="0"/>
          <c:showCatName val="0"/>
          <c:showSerName val="0"/>
          <c:showPercent val="0"/>
          <c:showBubbleSize val="0"/>
        </c:dLbls>
        <c:axId val="445314984"/>
        <c:axId val="445315376"/>
      </c:scatterChart>
      <c:valAx>
        <c:axId val="44531498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5376"/>
        <c:crossesAt val="-1000"/>
        <c:crossBetween val="midCat"/>
      </c:valAx>
      <c:valAx>
        <c:axId val="445315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98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9.2812710086206326E-2</v>
      </c>
      <c r="D59" s="55">
        <v>1</v>
      </c>
    </row>
    <row r="60" spans="1:4" s="11" customFormat="1" x14ac:dyDescent="0.25">
      <c r="A60" s="54">
        <v>2</v>
      </c>
      <c r="B60" s="56">
        <f>'Shiftfunktion bestimmen'!N2</f>
        <v>-6.2719725383412724E-3</v>
      </c>
      <c r="D60" s="55">
        <v>2</v>
      </c>
    </row>
    <row r="61" spans="1:4" s="11" customFormat="1" x14ac:dyDescent="0.25">
      <c r="A61" s="54">
        <v>3</v>
      </c>
      <c r="B61" s="56">
        <f>'Shiftfunktion bestimmen'!N3</f>
        <v>-2.8930214375068173E-4</v>
      </c>
      <c r="D61" s="55">
        <v>3</v>
      </c>
    </row>
    <row r="62" spans="1:4" s="11" customFormat="1" x14ac:dyDescent="0.25">
      <c r="A62" s="54">
        <v>4</v>
      </c>
      <c r="B62" s="56">
        <f>'Shiftfunktion bestimmen'!N4</f>
        <v>-5.8486959793793923E-6</v>
      </c>
      <c r="D62" s="55">
        <v>4</v>
      </c>
    </row>
    <row r="63" spans="1:4" s="11" customFormat="1" x14ac:dyDescent="0.25">
      <c r="A63" s="54">
        <v>5</v>
      </c>
      <c r="B63" s="56">
        <f>'Shiftfunktion bestimmen'!N5</f>
        <v>-6.184019825209652E-8</v>
      </c>
      <c r="D63" s="55">
        <v>5</v>
      </c>
    </row>
    <row r="64" spans="1:4" s="11" customFormat="1" x14ac:dyDescent="0.25">
      <c r="A64" s="54">
        <v>6</v>
      </c>
      <c r="B64" s="56">
        <f>'Shiftfunktion bestimmen'!N6</f>
        <v>-3.557812610226127E-10</v>
      </c>
      <c r="D64" s="55">
        <v>6</v>
      </c>
    </row>
    <row r="65" spans="1:5" s="11" customFormat="1" x14ac:dyDescent="0.25">
      <c r="A65" s="54">
        <v>7</v>
      </c>
      <c r="B65" s="56">
        <f>'Shiftfunktion bestimmen'!N7</f>
        <v>-1.0551682740667941E-12</v>
      </c>
      <c r="D65" s="55">
        <v>7</v>
      </c>
    </row>
    <row r="66" spans="1:5" x14ac:dyDescent="0.25">
      <c r="A66" s="54">
        <v>8</v>
      </c>
      <c r="B66" s="56">
        <f>'Shiftfunktion bestimmen'!N8</f>
        <v>-1.2631058694492099E-15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0.21367784010727472</v>
      </c>
      <c r="D74" s="51">
        <v>1</v>
      </c>
      <c r="E74" s="56">
        <f>'Mastercurve bestimmen'!A18</f>
        <v>1.0000000000000001E-20</v>
      </c>
    </row>
    <row r="75" spans="1:5" x14ac:dyDescent="0.25">
      <c r="A75" s="50">
        <f>A74+1</f>
        <v>2</v>
      </c>
      <c r="B75" s="56">
        <f>'Mastercurve bestimmen'!C19</f>
        <v>4.9174999607743887E-2</v>
      </c>
      <c r="D75" s="51">
        <v>2</v>
      </c>
      <c r="E75" s="56">
        <f>'Mastercurve bestimmen'!A19</f>
        <v>3.9038946506297401E-14</v>
      </c>
    </row>
    <row r="76" spans="1:5" x14ac:dyDescent="0.25">
      <c r="A76" s="50">
        <f t="shared" ref="A76:A104" si="0">A75+1</f>
        <v>3</v>
      </c>
      <c r="B76" s="56">
        <f>'Mastercurve bestimmen'!C20</f>
        <v>2.5308430895829587E-2</v>
      </c>
      <c r="D76" s="51">
        <v>3</v>
      </c>
      <c r="E76" s="56">
        <f>'Mastercurve bestimmen'!A20</f>
        <v>4.3276437088188502E-13</v>
      </c>
    </row>
    <row r="77" spans="1:5" x14ac:dyDescent="0.25">
      <c r="A77" s="50">
        <f t="shared" si="0"/>
        <v>4</v>
      </c>
      <c r="B77" s="56">
        <f>'Mastercurve bestimmen'!C21</f>
        <v>3.4194516713944662E-2</v>
      </c>
      <c r="D77" s="51">
        <v>4</v>
      </c>
      <c r="E77" s="56">
        <f>'Mastercurve bestimmen'!A21</f>
        <v>4.7973886968128502E-12</v>
      </c>
    </row>
    <row r="78" spans="1:5" x14ac:dyDescent="0.25">
      <c r="A78" s="50">
        <f t="shared" si="0"/>
        <v>5</v>
      </c>
      <c r="B78" s="56">
        <f>'Mastercurve bestimmen'!C22</f>
        <v>2.2721576937749576E-2</v>
      </c>
      <c r="D78" s="51">
        <v>5</v>
      </c>
      <c r="E78" s="56">
        <f>'Mastercurve bestimmen'!A22</f>
        <v>5.31812225239524E-11</v>
      </c>
    </row>
    <row r="79" spans="1:5" x14ac:dyDescent="0.25">
      <c r="A79" s="50">
        <f t="shared" si="0"/>
        <v>6</v>
      </c>
      <c r="B79" s="56">
        <f>'Mastercurve bestimmen'!C23</f>
        <v>2.5892610318392656E-2</v>
      </c>
      <c r="D79" s="51">
        <v>6</v>
      </c>
      <c r="E79" s="56">
        <f>'Mastercurve bestimmen'!A23</f>
        <v>5.8953789402578301E-10</v>
      </c>
    </row>
    <row r="80" spans="1:5" x14ac:dyDescent="0.25">
      <c r="A80" s="50">
        <f t="shared" si="0"/>
        <v>7</v>
      </c>
      <c r="B80" s="56">
        <f>'Mastercurve bestimmen'!C24</f>
        <v>2.3275396535951842E-2</v>
      </c>
      <c r="D80" s="51">
        <v>7</v>
      </c>
      <c r="E80" s="56">
        <f>'Mastercurve bestimmen'!A24</f>
        <v>6.5352940755699598E-9</v>
      </c>
    </row>
    <row r="81" spans="1:5" x14ac:dyDescent="0.25">
      <c r="A81" s="50">
        <f t="shared" si="0"/>
        <v>8</v>
      </c>
      <c r="B81" s="56">
        <f>'Mastercurve bestimmen'!C25</f>
        <v>2.7259427341223066E-2</v>
      </c>
      <c r="D81" s="51">
        <v>8</v>
      </c>
      <c r="E81" s="56">
        <f>'Mastercurve bestimmen'!A25</f>
        <v>7.2446689325643296E-8</v>
      </c>
    </row>
    <row r="82" spans="1:5" x14ac:dyDescent="0.25">
      <c r="A82" s="50">
        <f t="shared" si="0"/>
        <v>9</v>
      </c>
      <c r="B82" s="56">
        <f>'Mastercurve bestimmen'!C26</f>
        <v>2.1214287036784938E-2</v>
      </c>
      <c r="D82" s="51">
        <f>A82</f>
        <v>9</v>
      </c>
      <c r="E82" s="56">
        <f>'Mastercurve bestimmen'!A26</f>
        <v>8.03104303120212E-7</v>
      </c>
    </row>
    <row r="83" spans="1:5" x14ac:dyDescent="0.25">
      <c r="A83" s="50">
        <f t="shared" si="0"/>
        <v>10</v>
      </c>
      <c r="B83" s="56">
        <f>'Mastercurve bestimmen'!C27</f>
        <v>3.4718036830476549E-2</v>
      </c>
      <c r="C83" s="11"/>
      <c r="D83" s="51">
        <f t="shared" ref="D83:D104" si="1">A83</f>
        <v>10</v>
      </c>
      <c r="E83" s="56">
        <f>'Mastercurve bestimmen'!A27</f>
        <v>8.9027742702096099E-6</v>
      </c>
    </row>
    <row r="84" spans="1:5" x14ac:dyDescent="0.25">
      <c r="A84" s="50">
        <f t="shared" si="0"/>
        <v>11</v>
      </c>
      <c r="B84" s="56">
        <f>'Mastercurve bestimmen'!C28</f>
        <v>3.054172570036021E-2</v>
      </c>
      <c r="C84" s="11"/>
      <c r="D84" s="51">
        <f t="shared" si="1"/>
        <v>11</v>
      </c>
      <c r="E84" s="56">
        <f>'Mastercurve bestimmen'!A28</f>
        <v>9.86912775817142E-5</v>
      </c>
    </row>
    <row r="85" spans="1:5" x14ac:dyDescent="0.25">
      <c r="A85" s="50">
        <f t="shared" si="0"/>
        <v>12</v>
      </c>
      <c r="B85" s="56">
        <f>'Mastercurve bestimmen'!C29</f>
        <v>4.0592217810354776E-2</v>
      </c>
      <c r="C85" s="11"/>
      <c r="D85" s="51">
        <f t="shared" si="1"/>
        <v>12</v>
      </c>
      <c r="E85" s="56">
        <f>'Mastercurve bestimmen'!A29</f>
        <v>1.0940374286813801E-3</v>
      </c>
    </row>
    <row r="86" spans="1:5" x14ac:dyDescent="0.25">
      <c r="A86" s="50">
        <f t="shared" si="0"/>
        <v>13</v>
      </c>
      <c r="B86" s="56">
        <f>'Mastercurve bestimmen'!C30</f>
        <v>4.4579554777240793E-2</v>
      </c>
      <c r="C86" s="11"/>
      <c r="D86" s="51">
        <f t="shared" si="1"/>
        <v>13</v>
      </c>
      <c r="E86" s="56">
        <f>'Mastercurve bestimmen'!A30</f>
        <v>1.2127899493091E-2</v>
      </c>
    </row>
    <row r="87" spans="1:5" x14ac:dyDescent="0.25">
      <c r="A87" s="50">
        <f t="shared" si="0"/>
        <v>14</v>
      </c>
      <c r="B87" s="56">
        <f>'Mastercurve bestimmen'!C31</f>
        <v>6.2079559793872717E-2</v>
      </c>
      <c r="C87" s="11"/>
      <c r="D87" s="51">
        <f t="shared" si="1"/>
        <v>14</v>
      </c>
      <c r="E87" s="56">
        <f>'Mastercurve bestimmen'!A31</f>
        <v>0.13444324870292301</v>
      </c>
    </row>
    <row r="88" spans="1:5" x14ac:dyDescent="0.25">
      <c r="A88" s="50">
        <f t="shared" si="0"/>
        <v>15</v>
      </c>
      <c r="B88" s="56">
        <f>'Mastercurve bestimmen'!C32</f>
        <v>0.10578931784531295</v>
      </c>
      <c r="C88" s="11"/>
      <c r="D88" s="51">
        <f t="shared" si="1"/>
        <v>15</v>
      </c>
      <c r="E88" s="56">
        <f>'Mastercurve bestimmen'!A32</f>
        <v>1.49036419143257</v>
      </c>
    </row>
    <row r="89" spans="1:5" x14ac:dyDescent="0.25">
      <c r="A89" s="50">
        <f t="shared" si="0"/>
        <v>16</v>
      </c>
      <c r="B89" s="56">
        <f>'Mastercurve bestimmen'!C33</f>
        <v>8.5446045134986312E-2</v>
      </c>
      <c r="C89" s="11"/>
      <c r="D89" s="51">
        <f t="shared" si="1"/>
        <v>16</v>
      </c>
      <c r="E89" s="56">
        <f>'Mastercurve bestimmen'!A33</f>
        <v>16.521360830937301</v>
      </c>
    </row>
    <row r="90" spans="1:5" x14ac:dyDescent="0.25">
      <c r="A90" s="50">
        <f t="shared" si="0"/>
        <v>17</v>
      </c>
      <c r="B90" s="56">
        <f>'Mastercurve bestimmen'!C34</f>
        <v>5.8777528752493244E-2</v>
      </c>
      <c r="C90" s="11"/>
      <c r="D90" s="51">
        <f t="shared" si="1"/>
        <v>17</v>
      </c>
      <c r="E90" s="56">
        <f>'Mastercurve bestimmen'!A34</f>
        <v>183.146753843879</v>
      </c>
    </row>
    <row r="91" spans="1:5" x14ac:dyDescent="0.25">
      <c r="A91" s="50">
        <f t="shared" si="0"/>
        <v>18</v>
      </c>
      <c r="B91" s="56">
        <f>'Mastercurve bestimmen'!C35</f>
        <v>3.044822143643108E-2</v>
      </c>
      <c r="C91" s="11"/>
      <c r="D91" s="51">
        <f t="shared" si="1"/>
        <v>18</v>
      </c>
      <c r="E91" s="56">
        <f>'Mastercurve bestimmen'!A35</f>
        <v>2030.26456396616</v>
      </c>
    </row>
    <row r="92" spans="1:5" x14ac:dyDescent="0.25">
      <c r="A92" s="50">
        <f t="shared" si="0"/>
        <v>19</v>
      </c>
      <c r="B92" s="56">
        <f>'Mastercurve bestimmen'!C36</f>
        <v>1.5917825428886163E-2</v>
      </c>
      <c r="C92" s="11"/>
      <c r="D92" s="51">
        <f t="shared" si="1"/>
        <v>19</v>
      </c>
      <c r="E92" s="56">
        <f>'Mastercurve bestimmen'!A36</f>
        <v>22506.400540467101</v>
      </c>
    </row>
    <row r="93" spans="1:5" x14ac:dyDescent="0.25">
      <c r="A93" s="50">
        <f t="shared" si="0"/>
        <v>20</v>
      </c>
      <c r="B93" s="56">
        <f>'Mastercurve bestimmen'!C37</f>
        <v>7.4710107179745602E-3</v>
      </c>
      <c r="C93" s="11"/>
      <c r="D93" s="51">
        <f t="shared" si="1"/>
        <v>20</v>
      </c>
      <c r="E93" s="56">
        <f>'Mastercurve bestimmen'!A37</f>
        <v>249493.62476110301</v>
      </c>
    </row>
    <row r="94" spans="1:5" x14ac:dyDescent="0.25">
      <c r="A94" s="50">
        <f t="shared" si="0"/>
        <v>21</v>
      </c>
      <c r="B94" s="56">
        <f>'Mastercurve bestimmen'!C38</f>
        <v>1.4378472174592341E-3</v>
      </c>
      <c r="C94" s="11"/>
      <c r="D94" s="51">
        <f t="shared" si="1"/>
        <v>21</v>
      </c>
      <c r="E94" s="56">
        <f>'Mastercurve bestimmen'!A38</f>
        <v>2765749.6224023802</v>
      </c>
    </row>
    <row r="95" spans="1:5" x14ac:dyDescent="0.25">
      <c r="A95" s="50">
        <f t="shared" si="0"/>
        <v>22</v>
      </c>
      <c r="B95" s="56">
        <f>'Mastercurve bestimmen'!C39</f>
        <v>4.7686363858368023E-3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2.0950739363465548E-3</v>
      </c>
      <c r="C97" s="11"/>
      <c r="D97" s="51">
        <f t="shared" si="1"/>
        <v>24</v>
      </c>
      <c r="E97" s="56">
        <f>'Mastercurve bestimmen'!A41</f>
        <v>1000000000</v>
      </c>
    </row>
    <row r="98" spans="1:5" x14ac:dyDescent="0.25">
      <c r="A98" s="50">
        <f t="shared" si="0"/>
        <v>25</v>
      </c>
      <c r="B98" s="56">
        <f>'Mastercurve bestimmen'!C42</f>
        <v>1.9210885084110967E-3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4.6732387958302481E-4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1.2351806616485092E-4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1.0347942973527732E-3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D73" sqref="D7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9039.8670430819093</v>
      </c>
      <c r="G16" s="26">
        <f>INDEX(Comparison!$AM$3:$AS$33,G14,$B$3)</f>
        <v>8723.1350121775959</v>
      </c>
      <c r="H16" s="26">
        <f>INDEX(Comparison!$AM$3:$AS$33,H14,$B$3)</f>
        <v>8412.4411255307823</v>
      </c>
      <c r="I16" s="26">
        <f>INDEX(Comparison!$AM$3:$AS$33,I14,$B$3)</f>
        <v>8064.2181617455262</v>
      </c>
      <c r="J16" s="26">
        <f>INDEX(Comparison!$AM$3:$AS$33,J14,$B$3)</f>
        <v>7728.4680221740073</v>
      </c>
      <c r="K16" s="26">
        <f>INDEX(Comparison!$AM$3:$AS$33,K14,$B$3)</f>
        <v>7458.8734765357476</v>
      </c>
      <c r="L16" s="26">
        <f>INDEX(Comparison!$AM$3:$AS$33,L14,$B$3)</f>
        <v>7186.4338001487413</v>
      </c>
      <c r="M16" s="26">
        <f>INDEX(Comparison!$AM$3:$AS$33,M14,$B$3)</f>
        <v>6923.3670228065112</v>
      </c>
      <c r="N16" s="26">
        <f>INDEX(Comparison!$AM$3:$AS$33,N14,$B$3)</f>
        <v>6642.6199774647403</v>
      </c>
      <c r="O16" s="26">
        <f>INDEX(Comparison!$AM$3:$AS$33,O14,$B$3)</f>
        <v>6381.2467017614817</v>
      </c>
      <c r="P16" s="26">
        <f>INDEX(Comparison!$AM$3:$AS$33,P14,$B$3)</f>
        <v>6048.4964574924006</v>
      </c>
      <c r="Q16" s="26">
        <f>INDEX(Comparison!$AM$3:$AS$33,Q14,$B$3)</f>
        <v>5696.5517580815231</v>
      </c>
      <c r="R16" s="26">
        <f>INDEX(Comparison!$AM$3:$AS$33,R14,$B$3)</f>
        <v>5284.0344872686346</v>
      </c>
      <c r="S16" s="26">
        <f>INDEX(Comparison!$AM$3:$AS$33,S14,$B$3)</f>
        <v>4808.4059861038604</v>
      </c>
      <c r="T16" s="26">
        <f>INDEX(Comparison!$AM$3:$AS$33,T14,$B$3)</f>
        <v>4180.5720256158129</v>
      </c>
      <c r="U16" s="26">
        <f>INDEX(Comparison!$AM$3:$AS$33,U14,$B$3)</f>
        <v>3284.9966289927738</v>
      </c>
      <c r="V16" s="26">
        <f>INDEX(Comparison!$AM$3:$AS$33,V14,$B$3)</f>
        <v>2245.2955925232422</v>
      </c>
      <c r="W16" s="26">
        <f>INDEX(Comparison!$AM$3:$AS$33,W14,$B$3)</f>
        <v>1455.0382053123094</v>
      </c>
      <c r="X16" s="26">
        <f>INDEX(Comparison!$AM$3:$AS$33,X14,$B$3)</f>
        <v>939.75400333325899</v>
      </c>
      <c r="Y16" s="26">
        <f>INDEX(Comparison!$AM$3:$AS$33,Y14,$B$3)</f>
        <v>667.66248335298053</v>
      </c>
      <c r="Z16" s="26">
        <f>INDEX(Comparison!$AM$3:$AS$33,Z14,$B$3)</f>
        <v>524.73653922891083</v>
      </c>
      <c r="AA16" s="26">
        <f>INDEX(Comparison!$AM$3:$AS$33,AA14,$B$3)</f>
        <v>458.1071148045329</v>
      </c>
      <c r="AB16" s="26">
        <f>INDEX(Comparison!$AM$3:$AS$33,AB14,$B$3)</f>
        <v>416.14335450856197</v>
      </c>
      <c r="AC16" s="26">
        <f>INDEX(Comparison!$AM$3:$AS$33,AC14,$B$3)</f>
        <v>393.17885286775953</v>
      </c>
      <c r="AD16" s="26">
        <f>INDEX(Comparison!$AM$3:$AS$33,AD14,$B$3)</f>
        <v>379.36405724647841</v>
      </c>
      <c r="AE16" s="26">
        <f>INDEX(Comparison!$AM$3:$AS$33,AE14,$B$3)</f>
        <v>357.29334618358928</v>
      </c>
      <c r="AF16" s="26">
        <f>INDEX(Comparison!$AM$3:$AS$33,AF14,$B$3)</f>
        <v>350.56361233759071</v>
      </c>
      <c r="AG16" s="26">
        <f>INDEX(Comparison!$AM$3:$AS$33,AG14,$B$3)</f>
        <v>345.69227327199394</v>
      </c>
      <c r="AH16" s="26">
        <f>INDEX(Comparison!$AM$3:$AS$33,AH14,$B$3)</f>
        <v>345.40832820533547</v>
      </c>
      <c r="AI16" s="26">
        <f>INDEX(Comparison!$AM$3:$AS$33,AI14,$B$3)</f>
        <v>343.52176757284224</v>
      </c>
      <c r="AJ16" s="26">
        <f>INDEX(Comparison!$AM$3:$AS$33,AJ14,$B$3)</f>
        <v>342.36979608181048</v>
      </c>
    </row>
    <row r="17" spans="1:36" x14ac:dyDescent="0.25">
      <c r="A17" s="14" t="s">
        <v>20</v>
      </c>
      <c r="B17" s="105">
        <v>2.2825039918949672E-2</v>
      </c>
      <c r="C17" s="18">
        <f t="shared" ref="C17:C48" si="3">ABS(B17/$B$49)</f>
        <v>2.907158798556134E-2</v>
      </c>
      <c r="D17" s="66"/>
      <c r="E17" s="65" t="s">
        <v>22</v>
      </c>
      <c r="F17" s="27">
        <f>($C$17+SUM(F18:F48))*$B$51</f>
        <v>8953.7654517398951</v>
      </c>
      <c r="G17" s="27">
        <f t="shared" ref="G17:M17" si="4">($C$17+SUM(G18:G48))*$B$51</f>
        <v>8834.495816529703</v>
      </c>
      <c r="H17" s="27">
        <f t="shared" si="4"/>
        <v>8382.9667945224664</v>
      </c>
      <c r="I17" s="27">
        <f t="shared" si="4"/>
        <v>8069.0283164832581</v>
      </c>
      <c r="J17" s="27">
        <f t="shared" si="4"/>
        <v>7727.7990951356433</v>
      </c>
      <c r="K17" s="27">
        <f t="shared" si="4"/>
        <v>7458.9340436802167</v>
      </c>
      <c r="L17" s="27">
        <f t="shared" si="4"/>
        <v>7186.5227858633043</v>
      </c>
      <c r="M17" s="27">
        <f t="shared" si="4"/>
        <v>6923.0810985014423</v>
      </c>
      <c r="N17" s="27">
        <f t="shared" ref="N17" si="5">($C$17+SUM(N18:N48))*$B$51</f>
        <v>6643.2952344078994</v>
      </c>
      <c r="O17" s="27">
        <f t="shared" ref="O17" si="6">($C$17+SUM(O18:O48))*$B$51</f>
        <v>6379.8899814405786</v>
      </c>
      <c r="P17" s="27">
        <f t="shared" ref="P17" si="7">($C$17+SUM(P18:P48))*$B$51</f>
        <v>6050.8187966968135</v>
      </c>
      <c r="Q17" s="27">
        <f t="shared" ref="Q17" si="8">($C$17+SUM(Q18:Q48))*$B$51</f>
        <v>5693.176564479696</v>
      </c>
      <c r="R17" s="27">
        <f t="shared" ref="R17" si="9">($C$17+SUM(R18:R48))*$B$51</f>
        <v>5288.2115710149255</v>
      </c>
      <c r="S17" s="27">
        <f t="shared" ref="S17:T17" si="10">($C$17+SUM(S18:S48))*$B$51</f>
        <v>4804.0058547870503</v>
      </c>
      <c r="T17" s="27">
        <f t="shared" si="10"/>
        <v>4184.5167915397451</v>
      </c>
      <c r="U17" s="27">
        <f t="shared" ref="U17" si="11">($C$17+SUM(U18:U48))*$B$51</f>
        <v>3281.9674653254151</v>
      </c>
      <c r="V17" s="27">
        <f t="shared" ref="V17" si="12">($C$17+SUM(V18:V48))*$B$51</f>
        <v>2247.3037985135161</v>
      </c>
      <c r="W17" s="27">
        <f t="shared" ref="W17" si="13">($C$17+SUM(W18:W48))*$B$51</f>
        <v>1453.8864331368486</v>
      </c>
      <c r="X17" s="27">
        <f t="shared" ref="X17" si="14">($C$17+SUM(X18:X48))*$B$51</f>
        <v>940.32402927471435</v>
      </c>
      <c r="Y17" s="27">
        <f t="shared" ref="Y17" si="15">($C$17+SUM(Y18:Y48))*$B$51</f>
        <v>667.4258464345977</v>
      </c>
      <c r="Z17" s="27">
        <f t="shared" ref="Z17:AA17" si="16">($C$17+SUM(Z18:Z48))*$B$51</f>
        <v>524.81013094213972</v>
      </c>
      <c r="AA17" s="27">
        <f t="shared" si="16"/>
        <v>458.09760875086175</v>
      </c>
      <c r="AB17" s="27">
        <f t="shared" ref="AB17" si="17">($C$17+SUM(AB18:AB48))*$B$51</f>
        <v>416.12761644465451</v>
      </c>
      <c r="AC17" s="27">
        <f t="shared" ref="AC17" si="18">($C$17+SUM(AC18:AC48))*$B$51</f>
        <v>393.44692247279414</v>
      </c>
      <c r="AD17" s="27">
        <f t="shared" ref="AD17" si="19">($C$17+SUM(AD18:AD48))*$B$51</f>
        <v>378.74124915558718</v>
      </c>
      <c r="AE17" s="27">
        <f t="shared" ref="AE17" si="20">($C$17+SUM(AE18:AE48))*$B$51</f>
        <v>358.13789969892377</v>
      </c>
      <c r="AF17" s="27">
        <f t="shared" ref="AF17" si="21">($C$17+SUM(AF18:AF48))*$B$51</f>
        <v>349.62136098495677</v>
      </c>
      <c r="AG17" s="27">
        <f t="shared" ref="AG17:AH17" si="22">($C$17+SUM(AG18:AG48))*$B$51</f>
        <v>346.74457681420307</v>
      </c>
      <c r="AH17" s="27">
        <f t="shared" si="22"/>
        <v>344.65326478653736</v>
      </c>
      <c r="AI17" s="27">
        <f t="shared" ref="AI17" si="23">($C$17+SUM(AI18:AI48))*$B$51</f>
        <v>343.79089602307874</v>
      </c>
      <c r="AJ17" s="27">
        <f t="shared" ref="AJ17" si="24">($C$17+SUM(AJ18:AJ48))*$B$51</f>
        <v>342.2669384124473</v>
      </c>
    </row>
    <row r="18" spans="1:36" x14ac:dyDescent="0.25">
      <c r="A18" s="3">
        <f>0.000000000000001/10^5</f>
        <v>1.0000000000000001E-20</v>
      </c>
      <c r="B18" s="106">
        <v>0.1677653533293674</v>
      </c>
      <c r="C18" s="18">
        <f t="shared" si="3"/>
        <v>0.21367784010727472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3.8608875773093271E-2</v>
      </c>
      <c r="C19" s="18">
        <f t="shared" si="3"/>
        <v>4.9174999607743887E-2</v>
      </c>
      <c r="D19" s="17"/>
      <c r="F19" s="3">
        <f t="shared" si="25"/>
        <v>4.7931356332559946E-2</v>
      </c>
      <c r="G19" s="3">
        <f t="shared" si="25"/>
        <v>3.8062551670690135E-2</v>
      </c>
      <c r="H19" s="3">
        <f t="shared" si="25"/>
        <v>3.7955936314113207E-3</v>
      </c>
      <c r="I19" s="3">
        <f t="shared" si="25"/>
        <v>3.6906070456694963E-13</v>
      </c>
      <c r="J19" s="3">
        <f t="shared" si="25"/>
        <v>2.7879101882346783E-113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1.9870464102965148E-2</v>
      </c>
      <c r="C20" s="18">
        <f t="shared" si="3"/>
        <v>2.5308430895829587E-2</v>
      </c>
      <c r="D20" s="17"/>
      <c r="F20" s="3">
        <f t="shared" si="25"/>
        <v>2.5250017554348927E-2</v>
      </c>
      <c r="G20" s="3">
        <f t="shared" si="25"/>
        <v>2.4730327254015128E-2</v>
      </c>
      <c r="H20" s="3">
        <f t="shared" si="25"/>
        <v>2.0086841527827737E-2</v>
      </c>
      <c r="I20" s="3">
        <f t="shared" si="25"/>
        <v>2.5103226944495909E-3</v>
      </c>
      <c r="J20" s="3">
        <f t="shared" si="25"/>
        <v>2.3329667154675961E-12</v>
      </c>
      <c r="K20" s="3">
        <f t="shared" si="25"/>
        <v>1.1212396493948528E-102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2.6847216237125281E-2</v>
      </c>
      <c r="C21" s="18">
        <f t="shared" si="3"/>
        <v>3.4194516713944662E-2</v>
      </c>
      <c r="D21" s="17"/>
      <c r="F21" s="3">
        <f t="shared" si="25"/>
        <v>3.4187389721479652E-2</v>
      </c>
      <c r="G21" s="3">
        <f t="shared" si="25"/>
        <v>3.4123313597111869E-2</v>
      </c>
      <c r="H21" s="3">
        <f t="shared" si="25"/>
        <v>3.3489120601751812E-2</v>
      </c>
      <c r="I21" s="3">
        <f t="shared" si="25"/>
        <v>2.7760622739765792E-2</v>
      </c>
      <c r="J21" s="3">
        <f t="shared" si="25"/>
        <v>4.2528866870050665E-3</v>
      </c>
      <c r="K21" s="3">
        <f t="shared" si="25"/>
        <v>3.028516093557998E-11</v>
      </c>
      <c r="L21" s="3">
        <f t="shared" si="25"/>
        <v>1.0155250208076172E-92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1.783944175609526E-2</v>
      </c>
      <c r="C22" s="18">
        <f t="shared" si="3"/>
        <v>2.2721576937749576E-2</v>
      </c>
      <c r="D22" s="17"/>
      <c r="F22" s="3">
        <f t="shared" si="25"/>
        <v>2.2721149693654075E-2</v>
      </c>
      <c r="G22" s="3">
        <f t="shared" si="25"/>
        <v>2.2717304858291296E-2</v>
      </c>
      <c r="H22" s="3">
        <f t="shared" si="25"/>
        <v>2.2678892270421167E-2</v>
      </c>
      <c r="I22" s="3">
        <f t="shared" si="25"/>
        <v>2.2298320673382183E-2</v>
      </c>
      <c r="J22" s="3">
        <f t="shared" si="25"/>
        <v>1.8826749509494228E-2</v>
      </c>
      <c r="K22" s="3">
        <f t="shared" si="25"/>
        <v>3.4658297073174482E-3</v>
      </c>
      <c r="L22" s="3">
        <f t="shared" si="25"/>
        <v>1.5492659501425463E-10</v>
      </c>
      <c r="M22" s="3">
        <f t="shared" si="25"/>
        <v>4.9352997700853665E-84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2.0329122179932029E-2</v>
      </c>
      <c r="C23" s="18">
        <f t="shared" si="3"/>
        <v>2.5892610318392656E-2</v>
      </c>
      <c r="D23" s="17"/>
      <c r="F23" s="3">
        <f t="shared" si="25"/>
        <v>2.5892566398250081E-2</v>
      </c>
      <c r="G23" s="3">
        <f t="shared" si="25"/>
        <v>2.5892171120319368E-2</v>
      </c>
      <c r="H23" s="3">
        <f t="shared" si="25"/>
        <v>2.5888218672885908E-2</v>
      </c>
      <c r="I23" s="3">
        <f t="shared" si="25"/>
        <v>2.5848727367183008E-2</v>
      </c>
      <c r="J23" s="3">
        <f t="shared" si="25"/>
        <v>2.5457112514308555E-2</v>
      </c>
      <c r="K23" s="3">
        <f t="shared" si="25"/>
        <v>2.1852891168155926E-2</v>
      </c>
      <c r="L23" s="3">
        <f t="shared" si="25"/>
        <v>4.747954093211818E-3</v>
      </c>
      <c r="M23" s="3">
        <f t="shared" si="25"/>
        <v>1.1129677870971887E-9</v>
      </c>
      <c r="N23" s="3">
        <f t="shared" si="25"/>
        <v>5.5749814759271261E-76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1.8274263357279951E-2</v>
      </c>
      <c r="C24" s="18">
        <f t="shared" si="3"/>
        <v>2.3275396535951842E-2</v>
      </c>
      <c r="D24" s="17"/>
      <c r="F24" s="3">
        <f t="shared" si="25"/>
        <v>2.3275392974460272E-2</v>
      </c>
      <c r="G24" s="3">
        <f t="shared" si="25"/>
        <v>2.3275360921060671E-2</v>
      </c>
      <c r="H24" s="3">
        <f t="shared" si="25"/>
        <v>2.3275040389492432E-2</v>
      </c>
      <c r="I24" s="3">
        <f t="shared" si="25"/>
        <v>2.3271835316577207E-2</v>
      </c>
      <c r="J24" s="3">
        <f t="shared" si="25"/>
        <v>2.3239808851775668E-2</v>
      </c>
      <c r="K24" s="3">
        <f t="shared" si="25"/>
        <v>2.2921958320561275E-2</v>
      </c>
      <c r="L24" s="3">
        <f t="shared" si="25"/>
        <v>1.9973003914909061E-2</v>
      </c>
      <c r="M24" s="3">
        <f t="shared" si="25"/>
        <v>5.0391823403032211E-3</v>
      </c>
      <c r="N24" s="3">
        <f t="shared" si="25"/>
        <v>5.2665587804978813E-9</v>
      </c>
      <c r="O24" s="3">
        <f t="shared" si="25"/>
        <v>8.1883341958111815E-69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2.1402254240124222E-2</v>
      </c>
      <c r="C25" s="18">
        <f t="shared" si="3"/>
        <v>2.7259427341223066E-2</v>
      </c>
      <c r="D25" s="17"/>
      <c r="F25" s="3">
        <f t="shared" si="25"/>
        <v>2.725942696495429E-2</v>
      </c>
      <c r="G25" s="3">
        <f t="shared" si="25"/>
        <v>2.7259423578535537E-2</v>
      </c>
      <c r="H25" s="3">
        <f t="shared" si="25"/>
        <v>2.7259389714371127E-2</v>
      </c>
      <c r="I25" s="3">
        <f t="shared" si="25"/>
        <v>2.7259051075040838E-2</v>
      </c>
      <c r="J25" s="3">
        <f t="shared" si="25"/>
        <v>2.7255664913106943E-2</v>
      </c>
      <c r="K25" s="3">
        <f t="shared" si="25"/>
        <v>2.7221826420036649E-2</v>
      </c>
      <c r="L25" s="3">
        <f t="shared" si="25"/>
        <v>2.6885743521479027E-2</v>
      </c>
      <c r="M25" s="3">
        <f t="shared" si="25"/>
        <v>2.3744879001463555E-2</v>
      </c>
      <c r="N25" s="3">
        <f t="shared" si="25"/>
        <v>6.8556566073486435E-3</v>
      </c>
      <c r="O25" s="3">
        <f t="shared" si="25"/>
        <v>2.7595610635926889E-8</v>
      </c>
      <c r="P25" s="3">
        <f t="shared" si="25"/>
        <v>3.0814103242266855E-62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1.6656019915635957E-2</v>
      </c>
      <c r="C26" s="18">
        <f t="shared" si="3"/>
        <v>2.1214287036784938E-2</v>
      </c>
      <c r="D26" s="17"/>
      <c r="F26" s="3">
        <f t="shared" si="25"/>
        <v>2.1214287010369579E-2</v>
      </c>
      <c r="G26" s="3">
        <f t="shared" si="25"/>
        <v>2.1214286772631367E-2</v>
      </c>
      <c r="H26" s="3">
        <f t="shared" si="25"/>
        <v>2.1214284395249382E-2</v>
      </c>
      <c r="I26" s="3">
        <f t="shared" si="25"/>
        <v>2.1214260621444183E-2</v>
      </c>
      <c r="J26" s="3">
        <f t="shared" si="25"/>
        <v>2.1214022884857495E-2</v>
      </c>
      <c r="K26" s="3">
        <f t="shared" si="25"/>
        <v>2.121164566551581E-2</v>
      </c>
      <c r="L26" s="3">
        <f t="shared" si="25"/>
        <v>2.1187888118542268E-2</v>
      </c>
      <c r="M26" s="3">
        <f t="shared" si="25"/>
        <v>2.0951771238284362E-2</v>
      </c>
      <c r="N26" s="3">
        <f t="shared" si="25"/>
        <v>1.8730590520165697E-2</v>
      </c>
      <c r="O26" s="3">
        <f t="shared" si="25"/>
        <v>6.1074332580960495E-3</v>
      </c>
      <c r="P26" s="3">
        <f t="shared" si="25"/>
        <v>8.2971956442638E-8</v>
      </c>
      <c r="Q26" s="3">
        <f t="shared" si="25"/>
        <v>1.7768768960386634E-56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2.7258248739517245E-2</v>
      </c>
      <c r="C27" s="18">
        <f t="shared" si="3"/>
        <v>3.4718036830476549E-2</v>
      </c>
      <c r="D27" s="17"/>
      <c r="F27" s="3">
        <f t="shared" si="25"/>
        <v>3.4718036826576863E-2</v>
      </c>
      <c r="G27" s="3">
        <f t="shared" si="25"/>
        <v>3.4718036791479674E-2</v>
      </c>
      <c r="H27" s="3">
        <f t="shared" si="25"/>
        <v>3.4718036440507812E-2</v>
      </c>
      <c r="I27" s="3">
        <f t="shared" si="25"/>
        <v>3.4718032930789351E-2</v>
      </c>
      <c r="J27" s="3">
        <f t="shared" si="25"/>
        <v>3.471799783362424E-2</v>
      </c>
      <c r="K27" s="3">
        <f t="shared" si="25"/>
        <v>3.4717646863924631E-2</v>
      </c>
      <c r="L27" s="3">
        <f t="shared" si="25"/>
        <v>3.471413736206299E-2</v>
      </c>
      <c r="M27" s="3">
        <f t="shared" si="25"/>
        <v>3.4679061849601268E-2</v>
      </c>
      <c r="N27" s="3">
        <f t="shared" si="25"/>
        <v>3.4330250064047205E-2</v>
      </c>
      <c r="O27" s="3">
        <f t="shared" si="25"/>
        <v>3.1029389633436353E-2</v>
      </c>
      <c r="P27" s="3">
        <f t="shared" si="25"/>
        <v>1.1291090607863185E-2</v>
      </c>
      <c r="Q27" s="3">
        <f t="shared" si="25"/>
        <v>4.5958144810698291E-7</v>
      </c>
      <c r="R27" s="3">
        <f t="shared" si="25"/>
        <v>5.7362550954337057E-51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2.397929238163948E-2</v>
      </c>
      <c r="C28" s="18">
        <f t="shared" si="3"/>
        <v>3.054172570036021E-2</v>
      </c>
      <c r="D28" s="17"/>
      <c r="F28" s="3">
        <f t="shared" si="25"/>
        <v>3.0541725700050745E-2</v>
      </c>
      <c r="G28" s="3">
        <f t="shared" si="25"/>
        <v>3.0541725697265536E-2</v>
      </c>
      <c r="H28" s="3">
        <f t="shared" si="25"/>
        <v>3.0541725669413475E-2</v>
      </c>
      <c r="I28" s="3">
        <f t="shared" si="25"/>
        <v>3.0541725390892886E-2</v>
      </c>
      <c r="J28" s="3">
        <f t="shared" si="25"/>
        <v>3.0541722605687112E-2</v>
      </c>
      <c r="K28" s="3">
        <f t="shared" si="25"/>
        <v>3.0541694753643364E-2</v>
      </c>
      <c r="L28" s="3">
        <f t="shared" si="25"/>
        <v>3.0541416234602794E-2</v>
      </c>
      <c r="M28" s="3">
        <f t="shared" si="25"/>
        <v>3.0538631183887797E-2</v>
      </c>
      <c r="N28" s="3">
        <f t="shared" si="25"/>
        <v>3.0510794641094428E-2</v>
      </c>
      <c r="O28" s="3">
        <f t="shared" si="25"/>
        <v>3.0233820948495246E-2</v>
      </c>
      <c r="P28" s="3">
        <f t="shared" si="25"/>
        <v>2.7598673979303621E-2</v>
      </c>
      <c r="Q28" s="3">
        <f t="shared" si="25"/>
        <v>1.1087662831417067E-2</v>
      </c>
      <c r="R28" s="3">
        <f t="shared" si="25"/>
        <v>1.2143893705371414E-6</v>
      </c>
      <c r="S28" s="3">
        <f t="shared" si="25"/>
        <v>3.0167367981285575E-46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3.1870257392895472E-2</v>
      </c>
      <c r="C29" s="18">
        <f t="shared" si="3"/>
        <v>4.0592217810354776E-2</v>
      </c>
      <c r="D29" s="17"/>
      <c r="F29" s="3">
        <f t="shared" si="25"/>
        <v>4.0592217810317674E-2</v>
      </c>
      <c r="G29" s="3">
        <f t="shared" si="25"/>
        <v>4.0592217809983747E-2</v>
      </c>
      <c r="H29" s="3">
        <f t="shared" si="25"/>
        <v>4.0592217806644459E-2</v>
      </c>
      <c r="I29" s="3">
        <f t="shared" si="25"/>
        <v>4.0592217773251643E-2</v>
      </c>
      <c r="J29" s="3">
        <f t="shared" si="25"/>
        <v>4.0592217439323432E-2</v>
      </c>
      <c r="K29" s="3">
        <f t="shared" si="25"/>
        <v>4.0592214100041504E-2</v>
      </c>
      <c r="L29" s="3">
        <f t="shared" si="25"/>
        <v>4.0592180707237281E-2</v>
      </c>
      <c r="M29" s="3">
        <f t="shared" si="25"/>
        <v>4.0591846780705966E-2</v>
      </c>
      <c r="N29" s="3">
        <f t="shared" si="25"/>
        <v>4.0588507666474316E-2</v>
      </c>
      <c r="O29" s="3">
        <f t="shared" si="25"/>
        <v>4.055513162771561E-2</v>
      </c>
      <c r="P29" s="3">
        <f t="shared" si="25"/>
        <v>4.0222877008823897E-2</v>
      </c>
      <c r="Q29" s="3">
        <f t="shared" si="25"/>
        <v>3.7046423584045959E-2</v>
      </c>
      <c r="R29" s="3">
        <f t="shared" si="25"/>
        <v>1.6273383486114151E-2</v>
      </c>
      <c r="S29" s="3">
        <f t="shared" si="25"/>
        <v>4.3530491027534461E-6</v>
      </c>
      <c r="T29" s="3">
        <f t="shared" si="25"/>
        <v>8.1648956479306104E-42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3.500084404969174E-2</v>
      </c>
      <c r="C30" s="18">
        <f t="shared" si="3"/>
        <v>4.4579554777240793E-2</v>
      </c>
      <c r="D30" s="17"/>
      <c r="F30" s="3">
        <f t="shared" si="25"/>
        <v>4.4579554777237115E-2</v>
      </c>
      <c r="G30" s="3">
        <f t="shared" si="25"/>
        <v>4.4579554777204038E-2</v>
      </c>
      <c r="H30" s="3">
        <f t="shared" si="25"/>
        <v>4.4579554776873219E-2</v>
      </c>
      <c r="I30" s="3">
        <f t="shared" si="25"/>
        <v>4.4579554773565011E-2</v>
      </c>
      <c r="J30" s="3">
        <f t="shared" si="25"/>
        <v>4.4579554740482939E-2</v>
      </c>
      <c r="K30" s="3">
        <f t="shared" si="25"/>
        <v>4.4579554409662263E-2</v>
      </c>
      <c r="L30" s="3">
        <f t="shared" si="25"/>
        <v>4.4579551101455638E-2</v>
      </c>
      <c r="M30" s="3">
        <f t="shared" si="25"/>
        <v>4.4579518019402867E-2</v>
      </c>
      <c r="N30" s="3">
        <f t="shared" si="25"/>
        <v>4.4579187200225384E-2</v>
      </c>
      <c r="O30" s="3">
        <f t="shared" si="25"/>
        <v>4.4575879143470866E-2</v>
      </c>
      <c r="P30" s="3">
        <f t="shared" si="25"/>
        <v>4.4542812074247207E-2</v>
      </c>
      <c r="Q30" s="3">
        <f t="shared" si="25"/>
        <v>4.4213487515227773E-2</v>
      </c>
      <c r="R30" s="3">
        <f t="shared" si="25"/>
        <v>4.1051231345442932E-2</v>
      </c>
      <c r="S30" s="3">
        <f t="shared" si="25"/>
        <v>1.9545210107597442E-2</v>
      </c>
      <c r="T30" s="3">
        <f t="shared" si="25"/>
        <v>1.1699893071305943E-5</v>
      </c>
      <c r="U30" s="3">
        <f t="shared" si="25"/>
        <v>6.9118990256468868E-38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4.8740661540391861E-2</v>
      </c>
      <c r="C31" s="18">
        <f t="shared" si="3"/>
        <v>6.2079559793872717E-2</v>
      </c>
      <c r="D31" s="17"/>
      <c r="F31" s="3">
        <f t="shared" si="25"/>
        <v>6.2079559793872252E-2</v>
      </c>
      <c r="G31" s="3">
        <f t="shared" si="25"/>
        <v>6.2079559793868103E-2</v>
      </c>
      <c r="H31" s="3">
        <f t="shared" si="25"/>
        <v>6.2079559793826539E-2</v>
      </c>
      <c r="I31" s="3">
        <f t="shared" si="25"/>
        <v>6.2079559793410968E-2</v>
      </c>
      <c r="J31" s="3">
        <f t="shared" si="25"/>
        <v>6.2079559789255188E-2</v>
      </c>
      <c r="K31" s="3">
        <f t="shared" si="25"/>
        <v>6.2079559747697431E-2</v>
      </c>
      <c r="L31" s="3">
        <f t="shared" si="25"/>
        <v>6.2079559332119817E-2</v>
      </c>
      <c r="M31" s="3">
        <f t="shared" si="25"/>
        <v>6.2079555176343899E-2</v>
      </c>
      <c r="N31" s="3">
        <f t="shared" si="25"/>
        <v>6.2079513618600021E-2</v>
      </c>
      <c r="O31" s="3">
        <f t="shared" si="25"/>
        <v>6.2079098042691329E-2</v>
      </c>
      <c r="P31" s="3">
        <f t="shared" si="25"/>
        <v>6.2074942436609666E-2</v>
      </c>
      <c r="Q31" s="3">
        <f t="shared" si="25"/>
        <v>6.2033401672530929E-2</v>
      </c>
      <c r="R31" s="3">
        <f t="shared" si="25"/>
        <v>6.1619519923485529E-2</v>
      </c>
      <c r="S31" s="3">
        <f t="shared" si="25"/>
        <v>5.7629578877446991E-2</v>
      </c>
      <c r="T31" s="3">
        <f t="shared" si="25"/>
        <v>2.9506439174192503E-2</v>
      </c>
      <c r="U31" s="3">
        <f t="shared" si="25"/>
        <v>3.6528375921441443E-5</v>
      </c>
      <c r="V31" s="3">
        <f t="shared" si="26"/>
        <v>3.0886306565310184E-34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8.3058600170619432E-2</v>
      </c>
      <c r="C32" s="18">
        <f t="shared" si="3"/>
        <v>0.10578931784531295</v>
      </c>
      <c r="D32" s="17"/>
      <c r="F32" s="3">
        <f t="shared" si="25"/>
        <v>0.10578931784531288</v>
      </c>
      <c r="G32" s="3">
        <f t="shared" si="25"/>
        <v>0.10578931784531224</v>
      </c>
      <c r="H32" s="3">
        <f t="shared" si="25"/>
        <v>0.10578931784530586</v>
      </c>
      <c r="I32" s="3">
        <f t="shared" si="25"/>
        <v>0.10578931784524197</v>
      </c>
      <c r="J32" s="3">
        <f t="shared" si="25"/>
        <v>0.10578931784460313</v>
      </c>
      <c r="K32" s="3">
        <f t="shared" si="25"/>
        <v>0.10578931783821474</v>
      </c>
      <c r="L32" s="3">
        <f t="shared" si="25"/>
        <v>0.10578931777433076</v>
      </c>
      <c r="M32" s="3">
        <f t="shared" si="25"/>
        <v>0.10578931713549103</v>
      </c>
      <c r="N32" s="3">
        <f t="shared" si="25"/>
        <v>0.10578931074709395</v>
      </c>
      <c r="O32" s="3">
        <f t="shared" si="25"/>
        <v>0.10578924686314432</v>
      </c>
      <c r="P32" s="3">
        <f t="shared" si="25"/>
        <v>0.10578860802576989</v>
      </c>
      <c r="Q32" s="3">
        <f t="shared" si="25"/>
        <v>0.10578221986420047</v>
      </c>
      <c r="R32" s="3">
        <f t="shared" si="25"/>
        <v>0.10571835946125246</v>
      </c>
      <c r="S32" s="3">
        <f t="shared" si="25"/>
        <v>0.10508187197436622</v>
      </c>
      <c r="T32" s="3">
        <f t="shared" si="25"/>
        <v>9.8923997679399536E-2</v>
      </c>
      <c r="U32" s="3">
        <f t="shared" si="25"/>
        <v>5.4080442385345463E-2</v>
      </c>
      <c r="V32" s="3">
        <f t="shared" si="26"/>
        <v>1.289513832098296E-4</v>
      </c>
      <c r="W32" s="3">
        <f t="shared" si="26"/>
        <v>7.6609689062532441E-31</v>
      </c>
      <c r="X32" s="3">
        <f t="shared" si="26"/>
        <v>4.1962431592724873E-293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6.7086441651934392E-2</v>
      </c>
      <c r="C33" s="18">
        <f t="shared" si="3"/>
        <v>8.5446045134986312E-2</v>
      </c>
      <c r="D33" s="17"/>
      <c r="F33" s="3">
        <f t="shared" si="25"/>
        <v>8.5446045134986298E-2</v>
      </c>
      <c r="G33" s="3">
        <f t="shared" si="25"/>
        <v>8.544604513498627E-2</v>
      </c>
      <c r="H33" s="3">
        <f t="shared" si="25"/>
        <v>8.5446045134985785E-2</v>
      </c>
      <c r="I33" s="3">
        <f t="shared" si="25"/>
        <v>8.5446045134981136E-2</v>
      </c>
      <c r="J33" s="3">
        <f t="shared" si="25"/>
        <v>8.544604513493459E-2</v>
      </c>
      <c r="K33" s="3">
        <f t="shared" si="25"/>
        <v>8.5446045134469129E-2</v>
      </c>
      <c r="L33" s="3">
        <f t="shared" si="25"/>
        <v>8.5446045129814463E-2</v>
      </c>
      <c r="M33" s="3">
        <f t="shared" si="25"/>
        <v>8.544604508326778E-2</v>
      </c>
      <c r="N33" s="3">
        <f t="shared" si="25"/>
        <v>8.5446044617801045E-2</v>
      </c>
      <c r="O33" s="3">
        <f t="shared" si="25"/>
        <v>8.5446039963133741E-2</v>
      </c>
      <c r="P33" s="3">
        <f t="shared" si="25"/>
        <v>8.5445993416474658E-2</v>
      </c>
      <c r="Q33" s="3">
        <f t="shared" si="25"/>
        <v>8.5445527951278397E-2</v>
      </c>
      <c r="R33" s="3">
        <f t="shared" si="25"/>
        <v>8.5440873438772227E-2</v>
      </c>
      <c r="S33" s="3">
        <f t="shared" si="25"/>
        <v>8.5394342256535805E-2</v>
      </c>
      <c r="T33" s="3">
        <f t="shared" si="25"/>
        <v>8.4930421910510062E-2</v>
      </c>
      <c r="U33" s="3">
        <f t="shared" ref="P33:AE48" si="27">$C33*EXP(-U$15/$A33)</f>
        <v>8.042760186092808E-2</v>
      </c>
      <c r="V33" s="3">
        <f t="shared" si="27"/>
        <v>4.6646976311806421E-2</v>
      </c>
      <c r="W33" s="3">
        <f t="shared" si="27"/>
        <v>2.0091264970022057E-4</v>
      </c>
      <c r="X33" s="3">
        <f t="shared" si="27"/>
        <v>4.4141299762054203E-28</v>
      </c>
      <c r="Y33" s="3">
        <f t="shared" si="27"/>
        <v>1.1567072940832046E-264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4.6148130634597169E-2</v>
      </c>
      <c r="C34" s="18">
        <f t="shared" si="3"/>
        <v>5.8777528752493244E-2</v>
      </c>
      <c r="D34" s="17"/>
      <c r="F34" s="3">
        <f t="shared" ref="F34:O48" si="28">$C34*EXP(-F$15/$A34)</f>
        <v>5.8777528752493244E-2</v>
      </c>
      <c r="G34" s="3">
        <f t="shared" si="28"/>
        <v>5.8777528752493244E-2</v>
      </c>
      <c r="H34" s="3">
        <f t="shared" si="28"/>
        <v>5.8777528752493209E-2</v>
      </c>
      <c r="I34" s="3">
        <f t="shared" si="28"/>
        <v>5.8777528752492925E-2</v>
      </c>
      <c r="J34" s="3">
        <f t="shared" si="28"/>
        <v>5.8777528752490031E-2</v>
      </c>
      <c r="K34" s="3">
        <f t="shared" si="28"/>
        <v>5.8777528752461151E-2</v>
      </c>
      <c r="L34" s="3">
        <f t="shared" si="28"/>
        <v>5.8777528752172313E-2</v>
      </c>
      <c r="M34" s="3">
        <f t="shared" si="28"/>
        <v>5.8777528749283936E-2</v>
      </c>
      <c r="N34" s="3">
        <f t="shared" si="28"/>
        <v>5.877752872040011E-2</v>
      </c>
      <c r="O34" s="3">
        <f t="shared" si="28"/>
        <v>5.8777528431561928E-2</v>
      </c>
      <c r="P34" s="3">
        <f t="shared" si="27"/>
        <v>5.8777525543180172E-2</v>
      </c>
      <c r="Q34" s="3">
        <f t="shared" si="27"/>
        <v>5.877749665937039E-2</v>
      </c>
      <c r="R34" s="3">
        <f t="shared" si="27"/>
        <v>5.8777207822053291E-2</v>
      </c>
      <c r="S34" s="3">
        <f t="shared" si="27"/>
        <v>5.8774319526946429E-2</v>
      </c>
      <c r="T34" s="3">
        <f t="shared" si="27"/>
        <v>5.8745444380876748E-2</v>
      </c>
      <c r="U34" s="3">
        <f t="shared" si="27"/>
        <v>5.8457472002816167E-2</v>
      </c>
      <c r="V34" s="3">
        <f t="shared" si="27"/>
        <v>5.5654258373828466E-2</v>
      </c>
      <c r="W34" s="3">
        <f t="shared" si="27"/>
        <v>3.4047254376257753E-2</v>
      </c>
      <c r="X34" s="3">
        <f t="shared" si="27"/>
        <v>2.4998793626254218E-4</v>
      </c>
      <c r="Y34" s="3">
        <f t="shared" si="27"/>
        <v>1.1383835452787646E-25</v>
      </c>
      <c r="Z34" s="3">
        <f t="shared" si="27"/>
        <v>4.3649994451410514E-239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2.3905879172913681E-2</v>
      </c>
      <c r="C35" s="18">
        <f t="shared" si="3"/>
        <v>3.044822143643108E-2</v>
      </c>
      <c r="D35" s="17"/>
      <c r="F35" s="3">
        <f t="shared" si="28"/>
        <v>3.044822143643108E-2</v>
      </c>
      <c r="G35" s="3">
        <f t="shared" si="28"/>
        <v>3.044822143643108E-2</v>
      </c>
      <c r="H35" s="3">
        <f t="shared" si="28"/>
        <v>3.044822143643108E-2</v>
      </c>
      <c r="I35" s="3">
        <f t="shared" si="28"/>
        <v>3.0448221436431066E-2</v>
      </c>
      <c r="J35" s="3">
        <f t="shared" si="28"/>
        <v>3.0448221436430931E-2</v>
      </c>
      <c r="K35" s="3">
        <f t="shared" si="28"/>
        <v>3.0448221436429578E-2</v>
      </c>
      <c r="L35" s="3">
        <f t="shared" si="28"/>
        <v>3.0448221436416085E-2</v>
      </c>
      <c r="M35" s="3">
        <f t="shared" si="28"/>
        <v>3.0448221436281106E-2</v>
      </c>
      <c r="N35" s="3">
        <f t="shared" si="28"/>
        <v>3.0448221434931363E-2</v>
      </c>
      <c r="O35" s="3">
        <f t="shared" si="28"/>
        <v>3.044822142143391E-2</v>
      </c>
      <c r="P35" s="3">
        <f t="shared" si="27"/>
        <v>3.0448221286459385E-2</v>
      </c>
      <c r="Q35" s="3">
        <f t="shared" si="27"/>
        <v>3.0448219936714184E-2</v>
      </c>
      <c r="R35" s="3">
        <f t="shared" si="27"/>
        <v>3.0448206439265449E-2</v>
      </c>
      <c r="S35" s="3">
        <f t="shared" si="27"/>
        <v>3.0448071465107189E-2</v>
      </c>
      <c r="T35" s="3">
        <f t="shared" si="27"/>
        <v>3.0446721756432194E-2</v>
      </c>
      <c r="U35" s="3">
        <f t="shared" si="27"/>
        <v>3.0433227959904413E-2</v>
      </c>
      <c r="V35" s="3">
        <f t="shared" si="27"/>
        <v>3.0298618477827222E-2</v>
      </c>
      <c r="W35" s="3">
        <f t="shared" si="27"/>
        <v>2.8984839534218241E-2</v>
      </c>
      <c r="X35" s="3">
        <f t="shared" si="27"/>
        <v>1.8605940991483577E-2</v>
      </c>
      <c r="Y35" s="3">
        <f t="shared" si="27"/>
        <v>2.2103397204850593E-4</v>
      </c>
      <c r="Z35" s="3">
        <f t="shared" si="27"/>
        <v>1.2374649794535435E-23</v>
      </c>
      <c r="AA35" s="3">
        <f t="shared" si="27"/>
        <v>3.7434480191876448E-216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1.2497597345478596E-2</v>
      </c>
      <c r="C36" s="18">
        <f t="shared" si="3"/>
        <v>1.5917825428886163E-2</v>
      </c>
      <c r="D36" s="17"/>
      <c r="F36" s="3">
        <f t="shared" si="28"/>
        <v>1.5917825428886163E-2</v>
      </c>
      <c r="G36" s="3">
        <f t="shared" si="28"/>
        <v>1.5917825428886163E-2</v>
      </c>
      <c r="H36" s="3">
        <f t="shared" si="28"/>
        <v>1.5917825428886163E-2</v>
      </c>
      <c r="I36" s="3">
        <f t="shared" si="28"/>
        <v>1.5917825428886163E-2</v>
      </c>
      <c r="J36" s="3">
        <f t="shared" si="28"/>
        <v>1.5917825428886156E-2</v>
      </c>
      <c r="K36" s="3">
        <f t="shared" si="28"/>
        <v>1.5917825428886093E-2</v>
      </c>
      <c r="L36" s="3">
        <f t="shared" si="28"/>
        <v>1.5917825428885455E-2</v>
      </c>
      <c r="M36" s="3">
        <f t="shared" si="28"/>
        <v>1.5917825428879089E-2</v>
      </c>
      <c r="N36" s="3">
        <f t="shared" si="28"/>
        <v>1.5917825428815435E-2</v>
      </c>
      <c r="O36" s="3">
        <f t="shared" si="28"/>
        <v>1.5917825428178906E-2</v>
      </c>
      <c r="P36" s="3">
        <f t="shared" si="27"/>
        <v>1.5917825421813588E-2</v>
      </c>
      <c r="Q36" s="3">
        <f t="shared" si="27"/>
        <v>1.591782535816039E-2</v>
      </c>
      <c r="R36" s="3">
        <f t="shared" si="27"/>
        <v>1.5917824721628462E-2</v>
      </c>
      <c r="S36" s="3">
        <f t="shared" si="27"/>
        <v>1.5917818356310582E-2</v>
      </c>
      <c r="T36" s="3">
        <f t="shared" si="27"/>
        <v>1.5917754703271742E-2</v>
      </c>
      <c r="U36" s="3">
        <f t="shared" si="27"/>
        <v>1.5917118186882864E-2</v>
      </c>
      <c r="V36" s="3">
        <f t="shared" si="27"/>
        <v>1.5910754422735988E-2</v>
      </c>
      <c r="W36" s="3">
        <f t="shared" si="27"/>
        <v>1.5847256548575901E-2</v>
      </c>
      <c r="X36" s="3">
        <f t="shared" si="27"/>
        <v>1.5226049934395256E-2</v>
      </c>
      <c r="Y36" s="3">
        <f t="shared" si="27"/>
        <v>1.0207487579942545E-2</v>
      </c>
      <c r="Z36" s="3">
        <f t="shared" si="27"/>
        <v>1.8716945007809252E-4</v>
      </c>
      <c r="AA36" s="3">
        <f t="shared" si="27"/>
        <v>8.0425914204913374E-22</v>
      </c>
      <c r="AB36" s="3">
        <f t="shared" si="27"/>
        <v>1.7258634251466254E-195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5.8657311034183432E-3</v>
      </c>
      <c r="C37" s="18">
        <f t="shared" si="3"/>
        <v>7.4710107179745602E-3</v>
      </c>
      <c r="D37" s="17"/>
      <c r="F37" s="3">
        <f t="shared" si="28"/>
        <v>7.4710107179745602E-3</v>
      </c>
      <c r="G37" s="3">
        <f t="shared" si="28"/>
        <v>7.4710107179745602E-3</v>
      </c>
      <c r="H37" s="3">
        <f t="shared" si="28"/>
        <v>7.4710107179745602E-3</v>
      </c>
      <c r="I37" s="3">
        <f t="shared" si="28"/>
        <v>7.4710107179745602E-3</v>
      </c>
      <c r="J37" s="3">
        <f t="shared" si="28"/>
        <v>7.4710107179745602E-3</v>
      </c>
      <c r="K37" s="3">
        <f t="shared" si="28"/>
        <v>7.4710107179745567E-3</v>
      </c>
      <c r="L37" s="3">
        <f t="shared" si="28"/>
        <v>7.4710107179745307E-3</v>
      </c>
      <c r="M37" s="3">
        <f t="shared" si="28"/>
        <v>7.4710107179742609E-3</v>
      </c>
      <c r="N37" s="3">
        <f t="shared" si="28"/>
        <v>7.471010717971566E-3</v>
      </c>
      <c r="O37" s="3">
        <f t="shared" si="28"/>
        <v>7.4710107179446154E-3</v>
      </c>
      <c r="P37" s="3">
        <f t="shared" si="27"/>
        <v>7.4710107176751131E-3</v>
      </c>
      <c r="Q37" s="3">
        <f t="shared" si="27"/>
        <v>7.4710107149800909E-3</v>
      </c>
      <c r="R37" s="3">
        <f t="shared" si="27"/>
        <v>7.471010688029865E-3</v>
      </c>
      <c r="S37" s="3">
        <f t="shared" si="27"/>
        <v>7.4710104185276068E-3</v>
      </c>
      <c r="T37" s="3">
        <f t="shared" si="27"/>
        <v>7.4710077235055723E-3</v>
      </c>
      <c r="U37" s="3">
        <f t="shared" si="27"/>
        <v>7.4709807733386894E-3</v>
      </c>
      <c r="V37" s="3">
        <f t="shared" si="27"/>
        <v>7.4707112770167547E-3</v>
      </c>
      <c r="W37" s="3">
        <f t="shared" si="27"/>
        <v>7.4680168484156286E-3</v>
      </c>
      <c r="X37" s="3">
        <f t="shared" si="27"/>
        <v>7.441125952939812E-3</v>
      </c>
      <c r="Y37" s="3">
        <f t="shared" si="27"/>
        <v>7.1774854735623698E-3</v>
      </c>
      <c r="Z37" s="3">
        <f t="shared" si="27"/>
        <v>5.0039042054608506E-3</v>
      </c>
      <c r="AA37" s="3">
        <f t="shared" si="27"/>
        <v>1.3572993302124033E-4</v>
      </c>
      <c r="AB37" s="3">
        <f t="shared" si="27"/>
        <v>2.9264567679908794E-20</v>
      </c>
      <c r="AC37" s="3">
        <f t="shared" si="27"/>
        <v>6.3534101481844533E-177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1.1289001533785334E-3</v>
      </c>
      <c r="C38" s="18">
        <f t="shared" si="3"/>
        <v>1.4378472174592341E-3</v>
      </c>
      <c r="D38" s="17"/>
      <c r="F38" s="3">
        <f t="shared" si="28"/>
        <v>1.4378472174592341E-3</v>
      </c>
      <c r="G38" s="3">
        <f t="shared" si="28"/>
        <v>1.4378472174592341E-3</v>
      </c>
      <c r="H38" s="3">
        <f t="shared" si="28"/>
        <v>1.4378472174592341E-3</v>
      </c>
      <c r="I38" s="3">
        <f t="shared" si="28"/>
        <v>1.4378472174592341E-3</v>
      </c>
      <c r="J38" s="3">
        <f t="shared" si="28"/>
        <v>1.4378472174592341E-3</v>
      </c>
      <c r="K38" s="3">
        <f t="shared" si="28"/>
        <v>1.4378472174592341E-3</v>
      </c>
      <c r="L38" s="3">
        <f t="shared" si="28"/>
        <v>1.4378472174592337E-3</v>
      </c>
      <c r="M38" s="3">
        <f t="shared" si="28"/>
        <v>1.4378472174592289E-3</v>
      </c>
      <c r="N38" s="3">
        <f t="shared" si="28"/>
        <v>1.4378472174591821E-3</v>
      </c>
      <c r="O38" s="3">
        <f t="shared" si="28"/>
        <v>1.4378472174587141E-3</v>
      </c>
      <c r="P38" s="3">
        <f t="shared" si="27"/>
        <v>1.4378472174540354E-3</v>
      </c>
      <c r="Q38" s="3">
        <f t="shared" si="27"/>
        <v>1.4378472174072466E-3</v>
      </c>
      <c r="R38" s="3">
        <f t="shared" si="27"/>
        <v>1.4378472169393579E-3</v>
      </c>
      <c r="S38" s="3">
        <f t="shared" si="27"/>
        <v>1.4378472122604728E-3</v>
      </c>
      <c r="T38" s="3">
        <f t="shared" si="27"/>
        <v>1.4378471654716218E-3</v>
      </c>
      <c r="U38" s="3">
        <f t="shared" si="27"/>
        <v>1.4378466975831956E-3</v>
      </c>
      <c r="V38" s="3">
        <f t="shared" si="27"/>
        <v>1.4378420187073065E-3</v>
      </c>
      <c r="W38" s="3">
        <f t="shared" si="27"/>
        <v>1.4377952307858086E-3</v>
      </c>
      <c r="X38" s="3">
        <f t="shared" si="27"/>
        <v>1.4373274352999692E-3</v>
      </c>
      <c r="Y38" s="3">
        <f t="shared" si="27"/>
        <v>1.4326578432831941E-3</v>
      </c>
      <c r="Z38" s="3">
        <f t="shared" si="27"/>
        <v>1.3867882253445008E-3</v>
      </c>
      <c r="AA38" s="3">
        <f t="shared" si="27"/>
        <v>1.0015826298216872E-3</v>
      </c>
      <c r="AB38" s="3">
        <f t="shared" si="27"/>
        <v>3.8677034607002542E-5</v>
      </c>
      <c r="AC38" s="3">
        <f t="shared" si="27"/>
        <v>2.8517865655774165E-19</v>
      </c>
      <c r="AD38" s="3">
        <f t="shared" si="27"/>
        <v>1.3544267296591079E-160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3.7440099907765402E-3</v>
      </c>
      <c r="C39" s="18">
        <f t="shared" si="3"/>
        <v>4.7686363858368023E-3</v>
      </c>
      <c r="D39" s="17"/>
      <c r="F39" s="3">
        <f t="shared" si="28"/>
        <v>4.7686363858368023E-3</v>
      </c>
      <c r="G39" s="3">
        <f t="shared" si="28"/>
        <v>4.7686363858368023E-3</v>
      </c>
      <c r="H39" s="3">
        <f t="shared" si="28"/>
        <v>4.7686363858368023E-3</v>
      </c>
      <c r="I39" s="3">
        <f t="shared" si="28"/>
        <v>4.7686363858368023E-3</v>
      </c>
      <c r="J39" s="3">
        <f t="shared" si="28"/>
        <v>4.7686363858368023E-3</v>
      </c>
      <c r="K39" s="3">
        <f t="shared" si="28"/>
        <v>4.7686363858368023E-3</v>
      </c>
      <c r="L39" s="3">
        <f t="shared" si="28"/>
        <v>4.7686363858368015E-3</v>
      </c>
      <c r="M39" s="3">
        <f t="shared" si="28"/>
        <v>4.768636385836798E-3</v>
      </c>
      <c r="N39" s="3">
        <f t="shared" si="28"/>
        <v>4.7686363858367546E-3</v>
      </c>
      <c r="O39" s="3">
        <f t="shared" si="28"/>
        <v>4.7686363858363253E-3</v>
      </c>
      <c r="P39" s="3">
        <f t="shared" si="27"/>
        <v>4.7686363858320336E-3</v>
      </c>
      <c r="Q39" s="3">
        <f t="shared" si="27"/>
        <v>4.7686363857891156E-3</v>
      </c>
      <c r="R39" s="3">
        <f t="shared" si="27"/>
        <v>4.768636385359939E-3</v>
      </c>
      <c r="S39" s="3">
        <f t="shared" si="27"/>
        <v>4.7686363810681663E-3</v>
      </c>
      <c r="T39" s="3">
        <f t="shared" si="27"/>
        <v>4.7686363381504388E-3</v>
      </c>
      <c r="U39" s="3">
        <f t="shared" si="27"/>
        <v>4.7686359089731878E-3</v>
      </c>
      <c r="V39" s="3">
        <f t="shared" si="27"/>
        <v>4.7686316172028008E-3</v>
      </c>
      <c r="W39" s="3">
        <f t="shared" si="27"/>
        <v>4.7685886997113746E-3</v>
      </c>
      <c r="X39" s="3">
        <f t="shared" si="27"/>
        <v>4.7681595460406061E-3</v>
      </c>
      <c r="Y39" s="3">
        <f t="shared" si="27"/>
        <v>4.7638701329745844E-3</v>
      </c>
      <c r="Z39" s="3">
        <f t="shared" si="27"/>
        <v>4.7211876610079601E-3</v>
      </c>
      <c r="AA39" s="3">
        <f t="shared" si="27"/>
        <v>4.3148406349129021E-3</v>
      </c>
      <c r="AB39" s="3">
        <f t="shared" si="27"/>
        <v>1.7542832887714494E-3</v>
      </c>
      <c r="AC39" s="3">
        <f t="shared" si="27"/>
        <v>2.1649575697982045E-7</v>
      </c>
      <c r="AD39" s="3">
        <f t="shared" si="27"/>
        <v>1.7739689657330314E-46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1.6449100150295001E-3</v>
      </c>
      <c r="C41" s="18">
        <f t="shared" si="3"/>
        <v>2.0950739363465548E-3</v>
      </c>
      <c r="D41" s="17"/>
      <c r="F41" s="3">
        <f t="shared" si="28"/>
        <v>2.0950739363465548E-3</v>
      </c>
      <c r="G41" s="3">
        <f t="shared" si="28"/>
        <v>2.0950739363465548E-3</v>
      </c>
      <c r="H41" s="3">
        <f t="shared" si="28"/>
        <v>2.0950739363465548E-3</v>
      </c>
      <c r="I41" s="3">
        <f t="shared" si="28"/>
        <v>2.0950739363465548E-3</v>
      </c>
      <c r="J41" s="3">
        <f t="shared" si="28"/>
        <v>2.0950739363465548E-3</v>
      </c>
      <c r="K41" s="3">
        <f t="shared" si="28"/>
        <v>2.0950739363465548E-3</v>
      </c>
      <c r="L41" s="3">
        <f t="shared" si="28"/>
        <v>2.0950739363465548E-3</v>
      </c>
      <c r="M41" s="3">
        <f t="shared" si="28"/>
        <v>2.0950739363465548E-3</v>
      </c>
      <c r="N41" s="3">
        <f t="shared" si="28"/>
        <v>2.0950739363465544E-3</v>
      </c>
      <c r="O41" s="3">
        <f t="shared" si="28"/>
        <v>2.0950739363465526E-3</v>
      </c>
      <c r="P41" s="3">
        <f t="shared" si="27"/>
        <v>2.095073936346534E-3</v>
      </c>
      <c r="Q41" s="3">
        <f t="shared" si="27"/>
        <v>2.0950739363463453E-3</v>
      </c>
      <c r="R41" s="3">
        <f t="shared" si="27"/>
        <v>2.0950739363444597E-3</v>
      </c>
      <c r="S41" s="3">
        <f t="shared" si="27"/>
        <v>2.0950739363256041E-3</v>
      </c>
      <c r="T41" s="3">
        <f t="shared" si="27"/>
        <v>2.0950739361370475E-3</v>
      </c>
      <c r="U41" s="3">
        <f t="shared" si="27"/>
        <v>2.0950739342514811E-3</v>
      </c>
      <c r="V41" s="3">
        <f t="shared" si="27"/>
        <v>2.0950739153958154E-3</v>
      </c>
      <c r="W41" s="3">
        <f t="shared" si="27"/>
        <v>2.0950737268391716E-3</v>
      </c>
      <c r="X41" s="3">
        <f t="shared" si="27"/>
        <v>2.0950718412736662E-3</v>
      </c>
      <c r="Y41" s="3">
        <f t="shared" si="27"/>
        <v>2.0950529857119448E-3</v>
      </c>
      <c r="Z41" s="3">
        <f t="shared" si="27"/>
        <v>2.0948644394279408E-3</v>
      </c>
      <c r="AA41" s="3">
        <f t="shared" si="27"/>
        <v>2.0929799095980848E-3</v>
      </c>
      <c r="AB41" s="3">
        <f t="shared" si="27"/>
        <v>2.0742276023721219E-3</v>
      </c>
      <c r="AC41" s="3">
        <f t="shared" si="27"/>
        <v>1.8957012911582508E-3</v>
      </c>
      <c r="AD41" s="3">
        <f t="shared" si="27"/>
        <v>7.7073462891602453E-4</v>
      </c>
      <c r="AE41" s="3">
        <f t="shared" si="27"/>
        <v>9.5116209557346257E-8</v>
      </c>
      <c r="AF41" s="3">
        <f t="shared" si="29"/>
        <v>7.793834218590225E-47</v>
      </c>
      <c r="AG41" s="3">
        <f t="shared" si="29"/>
        <v>0</v>
      </c>
      <c r="AH41" s="3">
        <f t="shared" si="29"/>
        <v>0</v>
      </c>
      <c r="AI41" s="3">
        <f t="shared" si="29"/>
        <v>0</v>
      </c>
      <c r="AJ41" s="3">
        <f t="shared" si="29"/>
        <v>0</v>
      </c>
    </row>
    <row r="42" spans="1:36" x14ac:dyDescent="0.25">
      <c r="A42" s="3">
        <f t="shared" si="30"/>
        <v>10000000000</v>
      </c>
      <c r="B42" s="106">
        <v>1.5083084527097975E-3</v>
      </c>
      <c r="C42" s="18">
        <f t="shared" si="3"/>
        <v>1.9210885084110967E-3</v>
      </c>
      <c r="D42" s="17"/>
      <c r="F42" s="3">
        <f t="shared" si="28"/>
        <v>1.9210885084110967E-3</v>
      </c>
      <c r="G42" s="3">
        <f t="shared" si="28"/>
        <v>1.9210885084110967E-3</v>
      </c>
      <c r="H42" s="3">
        <f t="shared" si="28"/>
        <v>1.9210885084110967E-3</v>
      </c>
      <c r="I42" s="3">
        <f t="shared" si="28"/>
        <v>1.9210885084110967E-3</v>
      </c>
      <c r="J42" s="3">
        <f t="shared" si="28"/>
        <v>1.9210885084110967E-3</v>
      </c>
      <c r="K42" s="3">
        <f t="shared" si="28"/>
        <v>1.9210885084110967E-3</v>
      </c>
      <c r="L42" s="3">
        <f t="shared" si="28"/>
        <v>1.9210885084110967E-3</v>
      </c>
      <c r="M42" s="3">
        <f t="shared" si="28"/>
        <v>1.9210885084110967E-3</v>
      </c>
      <c r="N42" s="3">
        <f t="shared" si="28"/>
        <v>1.9210885084110967E-3</v>
      </c>
      <c r="O42" s="3">
        <f t="shared" si="28"/>
        <v>1.9210885084110965E-3</v>
      </c>
      <c r="P42" s="3">
        <f t="shared" si="27"/>
        <v>1.9210885084110947E-3</v>
      </c>
      <c r="Q42" s="3">
        <f t="shared" si="27"/>
        <v>1.9210885084110774E-3</v>
      </c>
      <c r="R42" s="3">
        <f t="shared" si="27"/>
        <v>1.9210885084109046E-3</v>
      </c>
      <c r="S42" s="3">
        <f t="shared" si="27"/>
        <v>1.9210885084091757E-3</v>
      </c>
      <c r="T42" s="3">
        <f t="shared" si="27"/>
        <v>1.9210885083918857E-3</v>
      </c>
      <c r="U42" s="3">
        <f t="shared" si="27"/>
        <v>1.9210885082189878E-3</v>
      </c>
      <c r="V42" s="3">
        <f t="shared" si="27"/>
        <v>1.9210885064900082E-3</v>
      </c>
      <c r="W42" s="3">
        <f t="shared" si="27"/>
        <v>1.9210884892002116E-3</v>
      </c>
      <c r="X42" s="3">
        <f t="shared" si="27"/>
        <v>1.9210883163022555E-3</v>
      </c>
      <c r="Y42" s="3">
        <f t="shared" si="27"/>
        <v>1.9210865873235488E-3</v>
      </c>
      <c r="Z42" s="3">
        <f t="shared" si="27"/>
        <v>1.9210692976220666E-3</v>
      </c>
      <c r="AA42" s="3">
        <f t="shared" si="27"/>
        <v>1.9208964091653779E-3</v>
      </c>
      <c r="AB42" s="3">
        <f t="shared" si="27"/>
        <v>1.9191683801268384E-3</v>
      </c>
      <c r="AC42" s="3">
        <f t="shared" si="27"/>
        <v>1.9019733583698435E-3</v>
      </c>
      <c r="AD42" s="3">
        <f t="shared" si="27"/>
        <v>1.7382727657692494E-3</v>
      </c>
      <c r="AE42" s="3">
        <f t="shared" si="27"/>
        <v>7.0672896691515396E-4</v>
      </c>
      <c r="AF42" s="3">
        <f t="shared" si="29"/>
        <v>8.721728334938059E-8</v>
      </c>
      <c r="AG42" s="3">
        <f t="shared" si="29"/>
        <v>7.1465952079498223E-47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3.6691102707766339E-4</v>
      </c>
      <c r="C44" s="18">
        <f t="shared" si="3"/>
        <v>4.6732387958302481E-4</v>
      </c>
      <c r="D44" s="17"/>
      <c r="F44" s="3">
        <f t="shared" si="28"/>
        <v>4.6732387958302481E-4</v>
      </c>
      <c r="G44" s="3">
        <f t="shared" si="28"/>
        <v>4.6732387958302481E-4</v>
      </c>
      <c r="H44" s="3">
        <f t="shared" si="28"/>
        <v>4.6732387958302481E-4</v>
      </c>
      <c r="I44" s="3">
        <f t="shared" si="28"/>
        <v>4.6732387958302481E-4</v>
      </c>
      <c r="J44" s="3">
        <f t="shared" si="28"/>
        <v>4.6732387958302481E-4</v>
      </c>
      <c r="K44" s="3">
        <f t="shared" si="28"/>
        <v>4.6732387958302481E-4</v>
      </c>
      <c r="L44" s="3">
        <f t="shared" si="28"/>
        <v>4.6732387958302481E-4</v>
      </c>
      <c r="M44" s="3">
        <f t="shared" si="28"/>
        <v>4.6732387958302481E-4</v>
      </c>
      <c r="N44" s="3">
        <f t="shared" si="28"/>
        <v>4.6732387958302481E-4</v>
      </c>
      <c r="O44" s="3">
        <f t="shared" si="28"/>
        <v>4.6732387958302481E-4</v>
      </c>
      <c r="P44" s="3">
        <f t="shared" si="27"/>
        <v>4.6732387958302481E-4</v>
      </c>
      <c r="Q44" s="3">
        <f t="shared" si="27"/>
        <v>4.6732387958302475E-4</v>
      </c>
      <c r="R44" s="3">
        <f t="shared" si="27"/>
        <v>4.6732387958302432E-4</v>
      </c>
      <c r="S44" s="3">
        <f t="shared" si="27"/>
        <v>4.6732387958302015E-4</v>
      </c>
      <c r="T44" s="3">
        <f t="shared" si="27"/>
        <v>4.6732387958297808E-4</v>
      </c>
      <c r="U44" s="3">
        <f t="shared" si="27"/>
        <v>4.6732387958255752E-4</v>
      </c>
      <c r="V44" s="3">
        <f t="shared" si="27"/>
        <v>4.6732387957835157E-4</v>
      </c>
      <c r="W44" s="3">
        <f t="shared" si="27"/>
        <v>4.6732387953629244E-4</v>
      </c>
      <c r="X44" s="3">
        <f t="shared" si="27"/>
        <v>4.6732387911570093E-4</v>
      </c>
      <c r="Y44" s="3">
        <f t="shared" si="27"/>
        <v>4.6732387490978602E-4</v>
      </c>
      <c r="Z44" s="3">
        <f t="shared" si="27"/>
        <v>4.6732383285063921E-4</v>
      </c>
      <c r="AA44" s="3">
        <f t="shared" si="27"/>
        <v>4.6732341225937888E-4</v>
      </c>
      <c r="AB44" s="3">
        <f t="shared" si="27"/>
        <v>4.6731920636759511E-4</v>
      </c>
      <c r="AC44" s="3">
        <f t="shared" si="27"/>
        <v>4.6727714953160801E-4</v>
      </c>
      <c r="AD44" s="3">
        <f t="shared" si="27"/>
        <v>4.6685678928751374E-4</v>
      </c>
      <c r="AE44" s="3">
        <f t="shared" si="27"/>
        <v>4.6267392928818994E-4</v>
      </c>
      <c r="AF44" s="3">
        <f t="shared" si="29"/>
        <v>4.2285213258845181E-4</v>
      </c>
      <c r="AG44" s="3">
        <f t="shared" si="29"/>
        <v>1.7191884766707357E-4</v>
      </c>
      <c r="AH44" s="3">
        <f t="shared" si="29"/>
        <v>2.1216471309401258E-8</v>
      </c>
      <c r="AI44" s="3">
        <f t="shared" si="29"/>
        <v>1.7384803374576648E-47</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9.6978011394644877E-5</v>
      </c>
      <c r="C46" s="18">
        <f t="shared" si="3"/>
        <v>1.2351806616485092E-4</v>
      </c>
      <c r="D46" s="17"/>
      <c r="F46" s="3">
        <f t="shared" si="28"/>
        <v>1.2351806616485092E-4</v>
      </c>
      <c r="G46" s="3">
        <f t="shared" si="28"/>
        <v>1.2351806616485092E-4</v>
      </c>
      <c r="H46" s="3">
        <f t="shared" si="28"/>
        <v>1.2351806616485092E-4</v>
      </c>
      <c r="I46" s="3">
        <f t="shared" si="28"/>
        <v>1.2351806616485092E-4</v>
      </c>
      <c r="J46" s="3">
        <f t="shared" si="28"/>
        <v>1.2351806616485092E-4</v>
      </c>
      <c r="K46" s="3">
        <f t="shared" si="28"/>
        <v>1.2351806616485092E-4</v>
      </c>
      <c r="L46" s="3">
        <f t="shared" si="28"/>
        <v>1.2351806616485092E-4</v>
      </c>
      <c r="M46" s="3">
        <f t="shared" si="28"/>
        <v>1.2351806616485092E-4</v>
      </c>
      <c r="N46" s="3">
        <f t="shared" si="28"/>
        <v>1.2351806616485092E-4</v>
      </c>
      <c r="O46" s="3">
        <f t="shared" si="28"/>
        <v>1.2351806616485092E-4</v>
      </c>
      <c r="P46" s="3">
        <f t="shared" si="27"/>
        <v>1.2351806616485092E-4</v>
      </c>
      <c r="Q46" s="3">
        <f t="shared" si="27"/>
        <v>1.2351806616485092E-4</v>
      </c>
      <c r="R46" s="3">
        <f t="shared" si="27"/>
        <v>1.2351806616485092E-4</v>
      </c>
      <c r="S46" s="3">
        <f t="shared" si="27"/>
        <v>1.2351806616485089E-4</v>
      </c>
      <c r="T46" s="3">
        <f t="shared" si="27"/>
        <v>1.2351806616485078E-4</v>
      </c>
      <c r="U46" s="3">
        <f t="shared" si="27"/>
        <v>1.2351806616484967E-4</v>
      </c>
      <c r="V46" s="3">
        <f t="shared" si="27"/>
        <v>1.2351806616483856E-4</v>
      </c>
      <c r="W46" s="3">
        <f t="shared" si="27"/>
        <v>1.235180661647274E-4</v>
      </c>
      <c r="X46" s="3">
        <f t="shared" si="27"/>
        <v>1.2351806616361574E-4</v>
      </c>
      <c r="Y46" s="3">
        <f t="shared" si="27"/>
        <v>1.2351806615249912E-4</v>
      </c>
      <c r="Z46" s="3">
        <f t="shared" si="27"/>
        <v>1.2351806604133286E-4</v>
      </c>
      <c r="AA46" s="3">
        <f t="shared" si="27"/>
        <v>1.2351806492967026E-4</v>
      </c>
      <c r="AB46" s="3">
        <f t="shared" si="27"/>
        <v>1.2351805381304493E-4</v>
      </c>
      <c r="AC46" s="3">
        <f t="shared" si="27"/>
        <v>1.2351794264684653E-4</v>
      </c>
      <c r="AD46" s="3">
        <f t="shared" si="27"/>
        <v>1.2351683099036514E-4</v>
      </c>
      <c r="AE46" s="3">
        <f t="shared" si="27"/>
        <v>1.2350571497580419E-4</v>
      </c>
      <c r="AF46" s="3">
        <f t="shared" si="29"/>
        <v>1.2339460983713796E-4</v>
      </c>
      <c r="AG46" s="3">
        <f t="shared" si="29"/>
        <v>1.2228904087152939E-4</v>
      </c>
      <c r="AH46" s="3">
        <f t="shared" si="29"/>
        <v>1.1176376806939852E-4</v>
      </c>
      <c r="AI46" s="3">
        <f t="shared" si="29"/>
        <v>4.5439757155302597E-5</v>
      </c>
      <c r="AJ46" s="3">
        <f t="shared" si="29"/>
        <v>5.6077115282821889E-9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8.1245032630172169E-4</v>
      </c>
      <c r="C48" s="18">
        <f t="shared" si="3"/>
        <v>1.0347942973527732E-3</v>
      </c>
      <c r="D48" s="17"/>
      <c r="F48" s="3">
        <f t="shared" si="28"/>
        <v>1.0347942973527732E-3</v>
      </c>
      <c r="G48" s="3">
        <f t="shared" si="28"/>
        <v>1.0347942973527732E-3</v>
      </c>
      <c r="H48" s="3">
        <f t="shared" si="28"/>
        <v>1.0347942973527732E-3</v>
      </c>
      <c r="I48" s="3">
        <f t="shared" si="28"/>
        <v>1.0347942973527732E-3</v>
      </c>
      <c r="J48" s="3">
        <f t="shared" si="28"/>
        <v>1.0347942973527732E-3</v>
      </c>
      <c r="K48" s="3">
        <f t="shared" si="28"/>
        <v>1.0347942973527732E-3</v>
      </c>
      <c r="L48" s="3">
        <f t="shared" si="28"/>
        <v>1.0347942973527732E-3</v>
      </c>
      <c r="M48" s="3">
        <f t="shared" si="28"/>
        <v>1.0347942973527732E-3</v>
      </c>
      <c r="N48" s="3">
        <f t="shared" si="28"/>
        <v>1.0347942973527732E-3</v>
      </c>
      <c r="O48" s="3">
        <f t="shared" si="28"/>
        <v>1.0347942973527732E-3</v>
      </c>
      <c r="P48" s="3">
        <f t="shared" si="27"/>
        <v>1.0347942973527732E-3</v>
      </c>
      <c r="Q48" s="3">
        <f t="shared" si="27"/>
        <v>1.0347942973527732E-3</v>
      </c>
      <c r="R48" s="3">
        <f t="shared" si="27"/>
        <v>1.0347942973527732E-3</v>
      </c>
      <c r="S48" s="3">
        <f t="shared" si="27"/>
        <v>1.0347942973527732E-3</v>
      </c>
      <c r="T48" s="3">
        <f t="shared" si="27"/>
        <v>1.0347942973527732E-3</v>
      </c>
      <c r="U48" s="3">
        <f t="shared" si="27"/>
        <v>1.034794297352773E-3</v>
      </c>
      <c r="V48" s="3">
        <f t="shared" si="27"/>
        <v>1.0347942973527721E-3</v>
      </c>
      <c r="W48" s="3">
        <f t="shared" si="27"/>
        <v>1.0347942973527628E-3</v>
      </c>
      <c r="X48" s="3">
        <f t="shared" si="27"/>
        <v>1.0347942973526697E-3</v>
      </c>
      <c r="Y48" s="3">
        <f t="shared" si="27"/>
        <v>1.0347942973517384E-3</v>
      </c>
      <c r="Z48" s="3">
        <f t="shared" si="27"/>
        <v>1.0347942973424253E-3</v>
      </c>
      <c r="AA48" s="3">
        <f t="shared" si="27"/>
        <v>1.0347942972492937E-3</v>
      </c>
      <c r="AB48" s="3">
        <f t="shared" si="27"/>
        <v>1.034794296317979E-3</v>
      </c>
      <c r="AC48" s="3">
        <f t="shared" si="27"/>
        <v>1.0347942870048302E-3</v>
      </c>
      <c r="AD48" s="3">
        <f t="shared" si="27"/>
        <v>1.0347941938733487E-3</v>
      </c>
      <c r="AE48" s="3">
        <f t="shared" si="27"/>
        <v>1.0347932625589932E-3</v>
      </c>
      <c r="AF48" s="3">
        <f t="shared" si="29"/>
        <v>1.0347839494615392E-3</v>
      </c>
      <c r="AG48" s="3">
        <f t="shared" si="29"/>
        <v>1.034690823096837E-3</v>
      </c>
      <c r="AH48" s="3">
        <f t="shared" si="29"/>
        <v>1.0337600202801466E-3</v>
      </c>
      <c r="AI48" s="3">
        <f t="shared" si="29"/>
        <v>1.0244979220587003E-3</v>
      </c>
      <c r="AJ48" s="3">
        <f t="shared" si="29"/>
        <v>9.3632060021501824E-4</v>
      </c>
    </row>
    <row r="49" spans="1:36" x14ac:dyDescent="0.25">
      <c r="B49" s="16">
        <f>SUM(B17:B48)</f>
        <v>0.78513220297033404</v>
      </c>
      <c r="C49" s="18">
        <f>SUM(C17:C48)</f>
        <v>1</v>
      </c>
      <c r="F49" s="3">
        <f t="shared" ref="F49:AJ49" si="31">F16-F17</f>
        <v>86.101591342014217</v>
      </c>
      <c r="G49" s="3">
        <f t="shared" si="31"/>
        <v>-111.36080435210715</v>
      </c>
      <c r="H49" s="3">
        <f t="shared" si="31"/>
        <v>29.474331008315858</v>
      </c>
      <c r="I49" s="3">
        <f t="shared" si="31"/>
        <v>-4.8101547377318639</v>
      </c>
      <c r="J49" s="3">
        <f t="shared" si="31"/>
        <v>0.66892703836401779</v>
      </c>
      <c r="K49" s="3">
        <f t="shared" si="31"/>
        <v>-6.0567144469132472E-2</v>
      </c>
      <c r="L49" s="3">
        <f t="shared" si="31"/>
        <v>-8.8985714563023066E-2</v>
      </c>
      <c r="M49" s="3">
        <f t="shared" si="31"/>
        <v>0.28592430506887467</v>
      </c>
      <c r="N49" s="3">
        <f t="shared" si="31"/>
        <v>-0.67525694315918372</v>
      </c>
      <c r="O49" s="3">
        <f t="shared" si="31"/>
        <v>1.3567203209031504</v>
      </c>
      <c r="P49" s="3">
        <f t="shared" si="31"/>
        <v>-2.3223392044128559</v>
      </c>
      <c r="Q49" s="3">
        <f t="shared" si="31"/>
        <v>3.3751936018270499</v>
      </c>
      <c r="R49" s="3">
        <f t="shared" si="31"/>
        <v>-4.1770837462909185</v>
      </c>
      <c r="S49" s="3">
        <f t="shared" si="31"/>
        <v>4.4001313168100751</v>
      </c>
      <c r="T49" s="3">
        <f t="shared" si="31"/>
        <v>-3.9447659239322093</v>
      </c>
      <c r="U49" s="3">
        <f t="shared" si="31"/>
        <v>3.0291636673587163</v>
      </c>
      <c r="V49" s="3">
        <f t="shared" si="31"/>
        <v>-2.0082059902738365</v>
      </c>
      <c r="W49" s="3">
        <f t="shared" si="31"/>
        <v>1.1517721754607919</v>
      </c>
      <c r="X49" s="3">
        <f t="shared" si="31"/>
        <v>-0.57002594145535568</v>
      </c>
      <c r="Y49" s="3">
        <f t="shared" si="31"/>
        <v>0.2366369183828283</v>
      </c>
      <c r="Z49" s="3">
        <f t="shared" si="31"/>
        <v>-7.3591713228893241E-2</v>
      </c>
      <c r="AA49" s="3">
        <f t="shared" si="31"/>
        <v>9.5060536711457644E-3</v>
      </c>
      <c r="AB49" s="3">
        <f t="shared" si="31"/>
        <v>1.5738063907463129E-2</v>
      </c>
      <c r="AC49" s="3">
        <f t="shared" si="31"/>
        <v>-0.26806960503461141</v>
      </c>
      <c r="AD49" s="3">
        <f t="shared" si="31"/>
        <v>0.62280809089122613</v>
      </c>
      <c r="AE49" s="3">
        <f t="shared" si="31"/>
        <v>-0.8445535153344963</v>
      </c>
      <c r="AF49" s="3">
        <f t="shared" si="31"/>
        <v>0.94225135263394577</v>
      </c>
      <c r="AG49" s="3">
        <f t="shared" si="31"/>
        <v>-1.0523035422091311</v>
      </c>
      <c r="AH49" s="3">
        <f t="shared" si="31"/>
        <v>0.75506341879810179</v>
      </c>
      <c r="AI49" s="3">
        <f t="shared" si="31"/>
        <v>-0.26912845023650789</v>
      </c>
      <c r="AJ49" s="3">
        <f t="shared" si="31"/>
        <v>0.10285766936317486</v>
      </c>
    </row>
    <row r="50" spans="1:36" x14ac:dyDescent="0.25">
      <c r="F50" s="57">
        <f t="shared" ref="F50:AJ50" si="32">F49/F17</f>
        <v>9.6162437810209736E-3</v>
      </c>
      <c r="G50" s="57">
        <f t="shared" si="32"/>
        <v>-1.2605224640408627E-2</v>
      </c>
      <c r="H50" s="57">
        <f t="shared" si="32"/>
        <v>3.5159784991125992E-3</v>
      </c>
      <c r="I50" s="57">
        <f t="shared" si="32"/>
        <v>-5.9612564847563753E-4</v>
      </c>
      <c r="J50" s="57">
        <f t="shared" si="32"/>
        <v>8.6561132106175229E-5</v>
      </c>
      <c r="K50" s="57">
        <f t="shared" si="32"/>
        <v>-8.1200804450670288E-6</v>
      </c>
      <c r="L50" s="57">
        <f t="shared" si="32"/>
        <v>-1.2382304657555381E-5</v>
      </c>
      <c r="M50" s="57">
        <f t="shared" si="32"/>
        <v>4.1300152490018545E-5</v>
      </c>
      <c r="N50" s="57">
        <f t="shared" si="32"/>
        <v>-1.0164487943600593E-4</v>
      </c>
      <c r="O50" s="57">
        <f t="shared" si="32"/>
        <v>2.1265575501300463E-4</v>
      </c>
      <c r="P50" s="57">
        <f t="shared" si="32"/>
        <v>-3.8380577611754591E-4</v>
      </c>
      <c r="Q50" s="57">
        <f t="shared" si="32"/>
        <v>5.9284892425174793E-4</v>
      </c>
      <c r="R50" s="57">
        <f t="shared" si="32"/>
        <v>-7.8988589813346727E-4</v>
      </c>
      <c r="S50" s="57">
        <f t="shared" si="32"/>
        <v>9.1592963243903496E-4</v>
      </c>
      <c r="T50" s="57">
        <f t="shared" si="32"/>
        <v>-9.4270524422502883E-4</v>
      </c>
      <c r="U50" s="57">
        <f t="shared" si="32"/>
        <v>9.2297187566981788E-4</v>
      </c>
      <c r="V50" s="57">
        <f t="shared" si="32"/>
        <v>-8.9360681524330117E-4</v>
      </c>
      <c r="W50" s="57">
        <f t="shared" si="32"/>
        <v>7.9220229944354959E-4</v>
      </c>
      <c r="X50" s="57">
        <f t="shared" si="32"/>
        <v>-6.0620161104999631E-4</v>
      </c>
      <c r="Y50" s="57">
        <f t="shared" si="32"/>
        <v>3.5455162494372593E-4</v>
      </c>
      <c r="Z50" s="57">
        <f t="shared" si="32"/>
        <v>-1.4022540513229293E-4</v>
      </c>
      <c r="AA50" s="57">
        <f t="shared" si="32"/>
        <v>2.0751153224892011E-5</v>
      </c>
      <c r="AB50" s="57">
        <f t="shared" si="32"/>
        <v>3.7820282253620413E-5</v>
      </c>
      <c r="AC50" s="57">
        <f t="shared" si="32"/>
        <v>-6.8133613385461863E-4</v>
      </c>
      <c r="AD50" s="57">
        <f t="shared" si="32"/>
        <v>1.6444157912025477E-3</v>
      </c>
      <c r="AE50" s="57">
        <f t="shared" si="32"/>
        <v>-2.3581796733729886E-3</v>
      </c>
      <c r="AF50" s="57">
        <f t="shared" si="32"/>
        <v>2.6950623096352747E-3</v>
      </c>
      <c r="AG50" s="57">
        <f t="shared" si="32"/>
        <v>-3.0348089417213562E-3</v>
      </c>
      <c r="AH50" s="57">
        <f t="shared" si="32"/>
        <v>2.1907914299484554E-3</v>
      </c>
      <c r="AI50" s="57">
        <f t="shared" si="32"/>
        <v>-7.8282599495724063E-4</v>
      </c>
      <c r="AJ50" s="57">
        <f t="shared" si="32"/>
        <v>3.0051885770873574E-4</v>
      </c>
    </row>
    <row r="51" spans="1:36" x14ac:dyDescent="0.25">
      <c r="A51" s="13" t="s">
        <v>21</v>
      </c>
      <c r="B51" s="3">
        <f>STUTT!D8</f>
        <v>11405.888999999999</v>
      </c>
      <c r="E51" s="11" t="s">
        <v>24</v>
      </c>
      <c r="F51" s="20">
        <f t="shared" ref="F51:AJ51" si="33">(F16-F17)^2</f>
        <v>7413.4840316272175</v>
      </c>
      <c r="G51" s="20">
        <f t="shared" si="33"/>
        <v>12401.228745948287</v>
      </c>
      <c r="H51" s="20">
        <f t="shared" si="33"/>
        <v>868.73618838776963</v>
      </c>
      <c r="I51" s="20">
        <f t="shared" si="33"/>
        <v>23.137588600924296</v>
      </c>
      <c r="J51" s="20">
        <f t="shared" si="33"/>
        <v>0.44746338265445612</v>
      </c>
      <c r="K51" s="20">
        <f t="shared" si="33"/>
        <v>3.6683789891447643E-3</v>
      </c>
      <c r="L51" s="20">
        <f t="shared" si="33"/>
        <v>7.9184573962918156E-3</v>
      </c>
      <c r="M51" s="20">
        <f t="shared" si="33"/>
        <v>8.1752708229118912E-2</v>
      </c>
      <c r="N51" s="20">
        <f t="shared" si="33"/>
        <v>0.45597193928468505</v>
      </c>
      <c r="O51" s="20">
        <f t="shared" si="33"/>
        <v>1.8406900291515476</v>
      </c>
      <c r="P51" s="20">
        <f t="shared" si="33"/>
        <v>5.3932593803529363</v>
      </c>
      <c r="Q51" s="20">
        <f t="shared" si="33"/>
        <v>11.391931849814254</v>
      </c>
      <c r="R51" s="20">
        <f t="shared" si="33"/>
        <v>17.448028623527776</v>
      </c>
      <c r="S51" s="20">
        <f t="shared" si="33"/>
        <v>19.361155605172765</v>
      </c>
      <c r="T51" s="20">
        <f t="shared" si="33"/>
        <v>15.561178194616737</v>
      </c>
      <c r="U51" s="20">
        <f t="shared" si="33"/>
        <v>9.1758325236461076</v>
      </c>
      <c r="V51" s="20">
        <f t="shared" si="33"/>
        <v>4.0328912993717205</v>
      </c>
      <c r="W51" s="20">
        <f t="shared" si="33"/>
        <v>1.3265791441656853</v>
      </c>
      <c r="X51" s="20">
        <f t="shared" si="33"/>
        <v>0.32492957393206456</v>
      </c>
      <c r="Y51" s="20">
        <f t="shared" si="33"/>
        <v>5.5997031141721339E-2</v>
      </c>
      <c r="Z51" s="20">
        <f t="shared" si="33"/>
        <v>5.4157402559636605E-3</v>
      </c>
      <c r="AA51" s="20">
        <f t="shared" si="33"/>
        <v>9.0365056398703869E-5</v>
      </c>
      <c r="AB51" s="20">
        <f t="shared" si="33"/>
        <v>2.4768665555539361E-4</v>
      </c>
      <c r="AC51" s="20">
        <f t="shared" si="33"/>
        <v>7.1861313143412556E-2</v>
      </c>
      <c r="AD51" s="20">
        <f t="shared" si="33"/>
        <v>0.38788991807957379</v>
      </c>
      <c r="AE51" s="20">
        <f t="shared" si="33"/>
        <v>0.71327064026385523</v>
      </c>
      <c r="AF51" s="20">
        <f t="shared" si="33"/>
        <v>0.88783761154050045</v>
      </c>
      <c r="AG51" s="20">
        <f t="shared" si="33"/>
        <v>1.1073427449458846</v>
      </c>
      <c r="AH51" s="20">
        <f t="shared" si="33"/>
        <v>0.57012076640707765</v>
      </c>
      <c r="AI51" s="20">
        <f t="shared" si="33"/>
        <v>7.2430122726704502E-2</v>
      </c>
      <c r="AJ51" s="20">
        <f t="shared" si="33"/>
        <v>1.0579700146824201E-2</v>
      </c>
    </row>
    <row r="52" spans="1:36" x14ac:dyDescent="0.25">
      <c r="A52" s="13"/>
    </row>
    <row r="53" spans="1:36" x14ac:dyDescent="0.25">
      <c r="E53" s="118" t="s">
        <v>25</v>
      </c>
      <c r="F53" s="118"/>
      <c r="G53" s="104">
        <f>SUM(F51:AJ51)</f>
        <v>20797.322889294861</v>
      </c>
      <c r="I53" s="3">
        <f>G53+C123</f>
        <v>20797.322889294861</v>
      </c>
      <c r="K53" s="3">
        <f>SUM(Z51:AJ51)</f>
        <v>3.8270866092217508</v>
      </c>
    </row>
    <row r="55" spans="1:36" x14ac:dyDescent="0.25">
      <c r="E55" s="30" t="s">
        <v>30</v>
      </c>
      <c r="F55" s="31">
        <f t="shared" ref="F55:AJ55" si="34">ABS(F17-F16)/F16</f>
        <v>9.5246524015977236E-3</v>
      </c>
      <c r="G55" s="31">
        <f t="shared" si="34"/>
        <v>1.276614476293743E-2</v>
      </c>
      <c r="H55" s="31">
        <f t="shared" si="34"/>
        <v>3.5036597069148792E-3</v>
      </c>
      <c r="I55" s="31">
        <f t="shared" si="34"/>
        <v>5.964812262334295E-4</v>
      </c>
      <c r="J55" s="31">
        <f t="shared" si="34"/>
        <v>8.6553639925115403E-5</v>
      </c>
      <c r="K55" s="31">
        <f t="shared" si="34"/>
        <v>8.1201463813088722E-6</v>
      </c>
      <c r="L55" s="31">
        <f t="shared" si="34"/>
        <v>1.238245798092251E-5</v>
      </c>
      <c r="M55" s="31">
        <f t="shared" si="34"/>
        <v>4.1298446857865716E-5</v>
      </c>
      <c r="N55" s="31">
        <f t="shared" si="34"/>
        <v>1.0165521216779077E-4</v>
      </c>
      <c r="O55" s="31">
        <f t="shared" si="34"/>
        <v>2.1261054215763838E-4</v>
      </c>
      <c r="P55" s="31">
        <f t="shared" si="34"/>
        <v>3.8395313955026379E-4</v>
      </c>
      <c r="Q55" s="31">
        <f t="shared" si="34"/>
        <v>5.9249766264982432E-4</v>
      </c>
      <c r="R55" s="31">
        <f t="shared" si="34"/>
        <v>7.9051031108051889E-4</v>
      </c>
      <c r="S55" s="31">
        <f t="shared" si="34"/>
        <v>9.1509147304248304E-4</v>
      </c>
      <c r="T55" s="31">
        <f t="shared" si="34"/>
        <v>9.4359477596875786E-4</v>
      </c>
      <c r="U55" s="31">
        <f t="shared" si="34"/>
        <v>9.2212078412010447E-4</v>
      </c>
      <c r="V55" s="31">
        <f t="shared" si="34"/>
        <v>8.9440606259643231E-4</v>
      </c>
      <c r="W55" s="31">
        <f t="shared" si="34"/>
        <v>7.915752117406261E-4</v>
      </c>
      <c r="X55" s="31">
        <f t="shared" si="34"/>
        <v>6.0656931434556602E-4</v>
      </c>
      <c r="Y55" s="31">
        <f t="shared" si="34"/>
        <v>3.5442596264274867E-4</v>
      </c>
      <c r="Z55" s="31">
        <f t="shared" si="34"/>
        <v>1.402450710541993E-4</v>
      </c>
      <c r="AA55" s="31">
        <f t="shared" si="34"/>
        <v>2.0750722623467327E-5</v>
      </c>
      <c r="AB55" s="31">
        <f t="shared" si="34"/>
        <v>3.7818851933965766E-5</v>
      </c>
      <c r="AC55" s="31">
        <f t="shared" si="34"/>
        <v>6.8180066928668986E-4</v>
      </c>
      <c r="AD55" s="31">
        <f t="shared" si="34"/>
        <v>1.6417161272781794E-3</v>
      </c>
      <c r="AE55" s="31">
        <f t="shared" si="34"/>
        <v>2.3637538296068252E-3</v>
      </c>
      <c r="AF55" s="31">
        <f t="shared" si="34"/>
        <v>2.6878184713779226E-3</v>
      </c>
      <c r="AG55" s="31">
        <f t="shared" si="34"/>
        <v>3.0440470429061884E-3</v>
      </c>
      <c r="AH55" s="31">
        <f t="shared" si="34"/>
        <v>2.186002354723879E-3</v>
      </c>
      <c r="AI55" s="31">
        <f t="shared" si="34"/>
        <v>7.8343929160017611E-4</v>
      </c>
      <c r="AJ55" s="31">
        <f t="shared" si="34"/>
        <v>3.0042857325707743E-4</v>
      </c>
    </row>
    <row r="56" spans="1:36" x14ac:dyDescent="0.25">
      <c r="E56" s="13" t="s">
        <v>31</v>
      </c>
      <c r="F56" s="32">
        <f>AVERAGE(F55:AJ55)</f>
        <v>1.546326588598065E-3</v>
      </c>
    </row>
    <row r="57" spans="1:36" x14ac:dyDescent="0.25">
      <c r="A57" s="42"/>
      <c r="B57" s="15"/>
      <c r="C57" s="15"/>
      <c r="D57" s="15"/>
      <c r="F57" s="60">
        <f>AVERAGE(S55:X55)</f>
        <v>8.4555960363566181E-4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-21.521805240547501</v>
      </c>
    </row>
    <row r="119" spans="1:14" x14ac:dyDescent="0.25">
      <c r="L119" s="11">
        <f>L118+1</f>
        <v>2</v>
      </c>
      <c r="M119" s="11">
        <f t="shared" ref="M119:M124" si="35">INDEX($B$125:$K$126,1,L119)</f>
        <v>0</v>
      </c>
      <c r="N119" s="11">
        <f t="shared" ref="N119:N124" si="36">IF(L119=$B$3,0,INDEX($B$125:$K$126,2,L119))</f>
        <v>-17.998000048659822</v>
      </c>
    </row>
    <row r="120" spans="1:14" x14ac:dyDescent="0.25">
      <c r="L120" s="11">
        <f t="shared" ref="L120:L124" si="37">L119+1</f>
        <v>3</v>
      </c>
      <c r="M120" s="11">
        <f t="shared" si="35"/>
        <v>25</v>
      </c>
      <c r="N120" s="11">
        <f t="shared" si="36"/>
        <v>-15.418218765754489</v>
      </c>
    </row>
    <row r="121" spans="1:14" x14ac:dyDescent="0.25">
      <c r="A121" s="103">
        <f>(A165+A204+A243+A282+A321+A360+A399)*10^9</f>
        <v>2.2733875064916368E+16</v>
      </c>
      <c r="L121" s="11">
        <f t="shared" si="37"/>
        <v>4</v>
      </c>
      <c r="M121" s="11">
        <f t="shared" si="35"/>
        <v>50</v>
      </c>
      <c r="N121" s="11">
        <f t="shared" si="36"/>
        <v>-13.262636911897877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-9.5177870944771161</v>
      </c>
    </row>
    <row r="123" spans="1:14" x14ac:dyDescent="0.25">
      <c r="A123" s="118"/>
      <c r="B123" s="118"/>
      <c r="C123" s="3"/>
      <c r="D123" s="3"/>
      <c r="E123" s="3"/>
      <c r="F123" s="3"/>
      <c r="G123" s="3"/>
      <c r="H123" s="3"/>
      <c r="I123" s="3"/>
      <c r="J123" s="3"/>
      <c r="K123" s="3"/>
      <c r="L123" s="11">
        <f t="shared" si="37"/>
        <v>6</v>
      </c>
      <c r="M123" s="11">
        <f t="shared" si="35"/>
        <v>125</v>
      </c>
      <c r="N123" s="11">
        <f t="shared" si="36"/>
        <v>-4.6216880890913101</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-21.521805240547501</v>
      </c>
      <c r="C126" s="107">
        <v>-17.998000048659822</v>
      </c>
      <c r="D126" s="107">
        <v>-15.418218765754489</v>
      </c>
      <c r="E126" s="107">
        <v>-13.262636911897877</v>
      </c>
      <c r="F126" s="107">
        <v>-9.5177870944771161</v>
      </c>
      <c r="G126" s="107">
        <v>-4.6216880890913101</v>
      </c>
      <c r="H126" s="107">
        <v>9.0171425712727658E-5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11405.779332580381</v>
      </c>
      <c r="C131" s="27">
        <f t="shared" ref="C131:AF131" si="40">($C$17+SUM(C132:C162))*$B$51</f>
        <v>11404.792547841646</v>
      </c>
      <c r="D131" s="27">
        <f t="shared" si="40"/>
        <v>11394.946649263506</v>
      </c>
      <c r="E131" s="27">
        <f t="shared" si="40"/>
        <v>11298.650008398361</v>
      </c>
      <c r="F131" s="27">
        <f t="shared" si="40"/>
        <v>10522.743608617242</v>
      </c>
      <c r="G131" s="27">
        <f t="shared" si="40"/>
        <v>8995.781144662853</v>
      </c>
      <c r="H131" s="27">
        <f t="shared" si="40"/>
        <v>8968.6964697563762</v>
      </c>
      <c r="I131" s="27">
        <f t="shared" si="40"/>
        <v>8968.6352351411588</v>
      </c>
      <c r="J131" s="27">
        <f t="shared" si="40"/>
        <v>8968.0232222412542</v>
      </c>
      <c r="K131" s="27">
        <f t="shared" si="40"/>
        <v>8961.9362913987425</v>
      </c>
      <c r="L131" s="27">
        <f t="shared" si="40"/>
        <v>8904.2633082726388</v>
      </c>
      <c r="M131" s="27">
        <f t="shared" si="40"/>
        <v>8552.5514394216061</v>
      </c>
      <c r="N131" s="27">
        <f t="shared" si="40"/>
        <v>8183.8611442827041</v>
      </c>
      <c r="O131" s="27">
        <f t="shared" si="40"/>
        <v>7858.3280900356849</v>
      </c>
      <c r="P131" s="27">
        <f t="shared" si="40"/>
        <v>7557.4717478391076</v>
      </c>
      <c r="Q131" s="27">
        <f t="shared" si="40"/>
        <v>7292.6167592884349</v>
      </c>
      <c r="R131" s="27">
        <f t="shared" si="40"/>
        <v>7022.3689024718324</v>
      </c>
      <c r="S131" s="27">
        <f t="shared" si="40"/>
        <v>6750.230498480606</v>
      </c>
      <c r="T131" s="27">
        <f t="shared" si="40"/>
        <v>6473.7653866942665</v>
      </c>
      <c r="U131" s="27">
        <f t="shared" si="40"/>
        <v>6182.4188699114775</v>
      </c>
      <c r="V131" s="27">
        <f t="shared" si="40"/>
        <v>5814.4522515641111</v>
      </c>
      <c r="W131" s="27">
        <f t="shared" si="40"/>
        <v>5438.1780037643111</v>
      </c>
      <c r="X131" s="27">
        <f t="shared" si="40"/>
        <v>4971.6791563768311</v>
      </c>
      <c r="Y131" s="27">
        <f t="shared" si="40"/>
        <v>4412.7992369977765</v>
      </c>
      <c r="Z131" s="27">
        <f t="shared" si="40"/>
        <v>3614.9524662410972</v>
      </c>
      <c r="AA131" s="27">
        <f t="shared" si="40"/>
        <v>2535.2673299954954</v>
      </c>
      <c r="AB131" s="27">
        <f t="shared" si="40"/>
        <v>1661.129486502394</v>
      </c>
      <c r="AC131" s="27">
        <f t="shared" si="40"/>
        <v>1065.4452705110448</v>
      </c>
      <c r="AD131" s="27">
        <f t="shared" si="40"/>
        <v>736.87747166745089</v>
      </c>
      <c r="AE131" s="27">
        <f t="shared" si="40"/>
        <v>561.95477962191842</v>
      </c>
      <c r="AF131" s="27">
        <f t="shared" si="40"/>
        <v>475.89514645375885</v>
      </c>
    </row>
    <row r="132" spans="1:33" x14ac:dyDescent="0.25">
      <c r="B132" s="3">
        <f t="shared" ref="B132:Z133" si="41">$C18*EXP(-B$129/$A18/EXP(-$B$126))</f>
        <v>0.21366822512567935</v>
      </c>
      <c r="C132" s="3">
        <f t="shared" ref="C132:AF132" si="42">$C18*EXP(-C$129/$A18/EXP(-$B$126))</f>
        <v>0.21358170975826729</v>
      </c>
      <c r="D132" s="3">
        <f t="shared" si="42"/>
        <v>0.21271848042421393</v>
      </c>
      <c r="E132" s="3">
        <f t="shared" si="42"/>
        <v>0.20427576852851595</v>
      </c>
      <c r="F132" s="3">
        <f t="shared" si="42"/>
        <v>0.13624895022940706</v>
      </c>
      <c r="G132" s="3">
        <f t="shared" si="42"/>
        <v>2.3740850986341913E-3</v>
      </c>
      <c r="H132" s="3">
        <f t="shared" si="42"/>
        <v>6.1253012825015386E-21</v>
      </c>
      <c r="I132" s="3">
        <f t="shared" si="42"/>
        <v>8.006435035790603E-197</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4.917499960717707E-2</v>
      </c>
      <c r="C133" s="3">
        <f t="shared" si="41"/>
        <v>4.9174999602075692E-2</v>
      </c>
      <c r="D133" s="3">
        <f t="shared" si="41"/>
        <v>4.9174999551061901E-2</v>
      </c>
      <c r="E133" s="3">
        <f t="shared" si="41"/>
        <v>4.9174999040924081E-2</v>
      </c>
      <c r="F133" s="3">
        <f t="shared" si="41"/>
        <v>4.9174993939546129E-2</v>
      </c>
      <c r="G133" s="3">
        <f t="shared" si="41"/>
        <v>4.9174942925795689E-2</v>
      </c>
      <c r="H133" s="3">
        <f t="shared" si="41"/>
        <v>4.9174432791201941E-2</v>
      </c>
      <c r="I133" s="3">
        <f t="shared" si="41"/>
        <v>4.9169331736319349E-2</v>
      </c>
      <c r="J133" s="3">
        <f t="shared" si="41"/>
        <v>4.9118350281811073E-2</v>
      </c>
      <c r="K133" s="3">
        <f t="shared" si="41"/>
        <v>4.8611434031991557E-2</v>
      </c>
      <c r="L133" s="3">
        <f t="shared" si="41"/>
        <v>4.3821278378601634E-2</v>
      </c>
      <c r="M133" s="3">
        <f t="shared" si="41"/>
        <v>1.552927364193399E-2</v>
      </c>
      <c r="N133" s="3">
        <f t="shared" si="41"/>
        <v>4.850786288271083E-7</v>
      </c>
      <c r="O133" s="3">
        <f t="shared" si="41"/>
        <v>4.2896526456530541E-52</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2.5308430895803272E-2</v>
      </c>
      <c r="C134" s="3">
        <f t="shared" si="44"/>
        <v>2.5308430895566433E-2</v>
      </c>
      <c r="D134" s="3">
        <f t="shared" si="44"/>
        <v>2.5308430893198033E-2</v>
      </c>
      <c r="E134" s="3">
        <f t="shared" si="44"/>
        <v>2.5308430869514037E-2</v>
      </c>
      <c r="F134" s="3">
        <f t="shared" si="44"/>
        <v>2.530843063267408E-2</v>
      </c>
      <c r="G134" s="3">
        <f t="shared" si="44"/>
        <v>2.5308428264274641E-2</v>
      </c>
      <c r="H134" s="3">
        <f t="shared" si="44"/>
        <v>2.5308404580292439E-2</v>
      </c>
      <c r="I134" s="3">
        <f t="shared" si="44"/>
        <v>2.5308167741689407E-2</v>
      </c>
      <c r="J134" s="3">
        <f t="shared" si="44"/>
        <v>2.530579947755544E-2</v>
      </c>
      <c r="K134" s="3">
        <f t="shared" si="44"/>
        <v>2.5282129021631381E-2</v>
      </c>
      <c r="L134" s="3">
        <f t="shared" si="44"/>
        <v>2.5046638795277045E-2</v>
      </c>
      <c r="M134" s="3">
        <f t="shared" si="44"/>
        <v>2.2809068362495757E-2</v>
      </c>
      <c r="N134" s="3">
        <f t="shared" si="44"/>
        <v>8.9472276624294363E-3</v>
      </c>
      <c r="O134" s="3">
        <f t="shared" si="44"/>
        <v>7.7178778489156106E-7</v>
      </c>
      <c r="P134" s="3">
        <f t="shared" si="44"/>
        <v>1.760321634409847E-47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3.4194516713941456E-2</v>
      </c>
      <c r="C135" s="3">
        <f t="shared" si="47"/>
        <v>3.4194516713912583E-2</v>
      </c>
      <c r="D135" s="3">
        <f t="shared" si="47"/>
        <v>3.4194516713623925E-2</v>
      </c>
      <c r="E135" s="3">
        <f t="shared" si="47"/>
        <v>3.4194516710737283E-2</v>
      </c>
      <c r="F135" s="3">
        <f t="shared" si="47"/>
        <v>3.4194516681870867E-2</v>
      </c>
      <c r="G135" s="3">
        <f t="shared" si="47"/>
        <v>3.4194516393206746E-2</v>
      </c>
      <c r="H135" s="3">
        <f t="shared" si="47"/>
        <v>3.4194513506565632E-2</v>
      </c>
      <c r="I135" s="3">
        <f t="shared" si="47"/>
        <v>3.4194484640167895E-2</v>
      </c>
      <c r="J135" s="3">
        <f t="shared" si="47"/>
        <v>3.4194195977530761E-2</v>
      </c>
      <c r="K135" s="3">
        <f t="shared" si="47"/>
        <v>3.4191309485181655E-2</v>
      </c>
      <c r="L135" s="3">
        <f t="shared" si="47"/>
        <v>3.4162457959726479E-2</v>
      </c>
      <c r="M135" s="3">
        <f t="shared" si="47"/>
        <v>3.3875278333352868E-2</v>
      </c>
      <c r="N135" s="3">
        <f t="shared" si="47"/>
        <v>3.1132965619935605E-2</v>
      </c>
      <c r="O135" s="3">
        <f t="shared" si="47"/>
        <v>1.3384331674914807E-2</v>
      </c>
      <c r="P135" s="3">
        <f t="shared" si="47"/>
        <v>2.8864143323025897E-6</v>
      </c>
      <c r="Q135" s="3">
        <f t="shared" si="47"/>
        <v>6.2802725697234545E-43</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2.2721576937749385E-2</v>
      </c>
      <c r="C136" s="3">
        <f t="shared" si="49"/>
        <v>2.2721576937747654E-2</v>
      </c>
      <c r="D136" s="3">
        <f t="shared" si="49"/>
        <v>2.2721576937730352E-2</v>
      </c>
      <c r="E136" s="3">
        <f t="shared" si="49"/>
        <v>2.272157693755732E-2</v>
      </c>
      <c r="F136" s="3">
        <f t="shared" si="49"/>
        <v>2.272157693582702E-2</v>
      </c>
      <c r="G136" s="3">
        <f t="shared" si="49"/>
        <v>2.2721576918524021E-2</v>
      </c>
      <c r="H136" s="3">
        <f t="shared" si="49"/>
        <v>2.2721576745494021E-2</v>
      </c>
      <c r="I136" s="3">
        <f t="shared" si="49"/>
        <v>2.2721575015194111E-2</v>
      </c>
      <c r="J136" s="3">
        <f t="shared" si="49"/>
        <v>2.2721557712202255E-2</v>
      </c>
      <c r="K136" s="3">
        <f t="shared" si="49"/>
        <v>2.272138468300839E-2</v>
      </c>
      <c r="L136" s="3">
        <f t="shared" si="49"/>
        <v>2.2719654463538939E-2</v>
      </c>
      <c r="M136" s="3">
        <f t="shared" si="49"/>
        <v>2.2702359513722372E-2</v>
      </c>
      <c r="N136" s="3">
        <f t="shared" si="49"/>
        <v>2.2530132466162599E-2</v>
      </c>
      <c r="O136" s="3">
        <f t="shared" si="49"/>
        <v>2.0878112250807396E-2</v>
      </c>
      <c r="P136" s="3">
        <f t="shared" si="49"/>
        <v>9.7491344293313496E-3</v>
      </c>
      <c r="Q136" s="3">
        <f t="shared" si="49"/>
        <v>4.8052320497144408E-6</v>
      </c>
      <c r="R136" s="3">
        <f t="shared" si="49"/>
        <v>4.0662813725730531E-39</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2.5892610318392635E-2</v>
      </c>
      <c r="C137" s="3">
        <f t="shared" si="51"/>
        <v>2.5892610318392458E-2</v>
      </c>
      <c r="D137" s="3">
        <f t="shared" si="51"/>
        <v>2.5892610318390678E-2</v>
      </c>
      <c r="E137" s="3">
        <f t="shared" si="51"/>
        <v>2.5892610318372894E-2</v>
      </c>
      <c r="F137" s="3">
        <f t="shared" si="51"/>
        <v>2.5892610318195019E-2</v>
      </c>
      <c r="G137" s="3">
        <f t="shared" si="51"/>
        <v>2.5892610316416313E-2</v>
      </c>
      <c r="H137" s="3">
        <f t="shared" si="51"/>
        <v>2.5892610298629201E-2</v>
      </c>
      <c r="I137" s="3">
        <f t="shared" si="51"/>
        <v>2.5892610120758115E-2</v>
      </c>
      <c r="J137" s="3">
        <f t="shared" si="51"/>
        <v>2.5892608342047305E-2</v>
      </c>
      <c r="K137" s="3">
        <f t="shared" si="51"/>
        <v>2.5892590554945936E-2</v>
      </c>
      <c r="L137" s="3">
        <f t="shared" si="51"/>
        <v>2.589241268460428E-2</v>
      </c>
      <c r="M137" s="3">
        <f t="shared" si="51"/>
        <v>2.5890634048390204E-2</v>
      </c>
      <c r="N137" s="3">
        <f t="shared" si="51"/>
        <v>2.5872854404789876E-2</v>
      </c>
      <c r="O137" s="3">
        <f t="shared" si="51"/>
        <v>2.56957281182826E-2</v>
      </c>
      <c r="P137" s="3">
        <f t="shared" si="51"/>
        <v>2.3989807703783901E-2</v>
      </c>
      <c r="Q137" s="3">
        <f t="shared" si="51"/>
        <v>1.2069385258404971E-2</v>
      </c>
      <c r="R137" s="3">
        <f t="shared" si="51"/>
        <v>1.2539175638822423E-5</v>
      </c>
      <c r="S137" s="3">
        <f t="shared" si="51"/>
        <v>1.8369923139311439E-35</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2.3275396535951839E-2</v>
      </c>
      <c r="C138" s="3">
        <f t="shared" si="53"/>
        <v>2.3275396535951828E-2</v>
      </c>
      <c r="D138" s="3">
        <f t="shared" si="53"/>
        <v>2.3275396535951683E-2</v>
      </c>
      <c r="E138" s="3">
        <f t="shared" si="53"/>
        <v>2.3275396535950239E-2</v>
      </c>
      <c r="F138" s="3">
        <f t="shared" si="53"/>
        <v>2.3275396535935817E-2</v>
      </c>
      <c r="G138" s="3">
        <f t="shared" si="53"/>
        <v>2.3275396535791578E-2</v>
      </c>
      <c r="H138" s="3">
        <f t="shared" si="53"/>
        <v>2.3275396534349221E-2</v>
      </c>
      <c r="I138" s="3">
        <f t="shared" si="53"/>
        <v>2.3275396519925638E-2</v>
      </c>
      <c r="J138" s="3">
        <f t="shared" si="53"/>
        <v>2.3275396375689792E-2</v>
      </c>
      <c r="K138" s="3">
        <f t="shared" si="53"/>
        <v>2.3275394933331386E-2</v>
      </c>
      <c r="L138" s="3">
        <f t="shared" si="53"/>
        <v>2.3275380509752228E-2</v>
      </c>
      <c r="M138" s="3">
        <f t="shared" si="53"/>
        <v>2.3275236274452257E-2</v>
      </c>
      <c r="N138" s="3">
        <f t="shared" si="53"/>
        <v>2.3273793970611311E-2</v>
      </c>
      <c r="O138" s="3">
        <f t="shared" si="53"/>
        <v>2.3259375846951272E-2</v>
      </c>
      <c r="P138" s="3">
        <f t="shared" si="53"/>
        <v>2.3115684960271568E-2</v>
      </c>
      <c r="Q138" s="3">
        <f t="shared" si="53"/>
        <v>2.1726705174442518E-2</v>
      </c>
      <c r="R138" s="3">
        <f t="shared" si="53"/>
        <v>1.1691356768413838E-2</v>
      </c>
      <c r="S138" s="3">
        <f t="shared" si="53"/>
        <v>2.3799911198323382E-5</v>
      </c>
      <c r="T138" s="3">
        <f t="shared" si="53"/>
        <v>2.9085703215084478E-32</v>
      </c>
      <c r="U138" s="3">
        <f t="shared" si="53"/>
        <v>2.1613340006060668E-301</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2.7259427341223066E-2</v>
      </c>
      <c r="C139" s="3">
        <f t="shared" si="55"/>
        <v>2.7259427341223063E-2</v>
      </c>
      <c r="D139" s="3">
        <f t="shared" si="55"/>
        <v>2.7259427341223049E-2</v>
      </c>
      <c r="E139" s="3">
        <f t="shared" si="55"/>
        <v>2.7259427341222896E-2</v>
      </c>
      <c r="F139" s="3">
        <f t="shared" si="55"/>
        <v>2.7259427341221373E-2</v>
      </c>
      <c r="G139" s="3">
        <f t="shared" si="55"/>
        <v>2.7259427341206132E-2</v>
      </c>
      <c r="H139" s="3">
        <f t="shared" si="55"/>
        <v>2.725942734105375E-2</v>
      </c>
      <c r="I139" s="3">
        <f t="shared" si="55"/>
        <v>2.725942733952991E-2</v>
      </c>
      <c r="J139" s="3">
        <f t="shared" si="55"/>
        <v>2.725942732429151E-2</v>
      </c>
      <c r="K139" s="3">
        <f t="shared" si="55"/>
        <v>2.7259427171907488E-2</v>
      </c>
      <c r="L139" s="3">
        <f t="shared" si="55"/>
        <v>2.7259425648067302E-2</v>
      </c>
      <c r="M139" s="3">
        <f t="shared" si="55"/>
        <v>2.7259410409670129E-2</v>
      </c>
      <c r="N139" s="3">
        <f t="shared" si="55"/>
        <v>2.7259258026166949E-2</v>
      </c>
      <c r="O139" s="3">
        <f t="shared" si="55"/>
        <v>2.7257734237985706E-2</v>
      </c>
      <c r="P139" s="3">
        <f t="shared" si="55"/>
        <v>2.7242501040261134E-2</v>
      </c>
      <c r="Q139" s="3">
        <f t="shared" si="55"/>
        <v>2.7090636504413169E-2</v>
      </c>
      <c r="R139" s="3">
        <f t="shared" si="55"/>
        <v>2.5617782739179088E-2</v>
      </c>
      <c r="S139" s="3">
        <f t="shared" si="55"/>
        <v>1.4647544596034278E-2</v>
      </c>
      <c r="T139" s="3">
        <f t="shared" si="55"/>
        <v>5.4701311242980652E-5</v>
      </c>
      <c r="U139" s="3">
        <f t="shared" si="55"/>
        <v>2.8862026205570675E-29</v>
      </c>
      <c r="V139" s="3">
        <f t="shared" si="55"/>
        <v>4.8263366771008428E-272</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2.1214287036784938E-2</v>
      </c>
      <c r="C140" s="3">
        <f t="shared" si="57"/>
        <v>2.1214287036784938E-2</v>
      </c>
      <c r="D140" s="3">
        <f t="shared" si="57"/>
        <v>2.1214287036784935E-2</v>
      </c>
      <c r="E140" s="3">
        <f t="shared" si="57"/>
        <v>2.1214287036784928E-2</v>
      </c>
      <c r="F140" s="3">
        <f t="shared" si="57"/>
        <v>2.121428703678482E-2</v>
      </c>
      <c r="G140" s="3">
        <f t="shared" si="57"/>
        <v>2.1214287036783748E-2</v>
      </c>
      <c r="H140" s="3">
        <f t="shared" si="57"/>
        <v>2.1214287036773052E-2</v>
      </c>
      <c r="I140" s="3">
        <f t="shared" si="57"/>
        <v>2.1214287036666071E-2</v>
      </c>
      <c r="J140" s="3">
        <f t="shared" si="57"/>
        <v>2.1214287035596285E-2</v>
      </c>
      <c r="K140" s="3">
        <f t="shared" si="57"/>
        <v>2.1214287024898405E-2</v>
      </c>
      <c r="L140" s="3">
        <f t="shared" si="57"/>
        <v>2.12142869179196E-2</v>
      </c>
      <c r="M140" s="3">
        <f t="shared" si="57"/>
        <v>2.1214285848131585E-2</v>
      </c>
      <c r="N140" s="3">
        <f t="shared" si="57"/>
        <v>2.1214275150254425E-2</v>
      </c>
      <c r="O140" s="3">
        <f t="shared" si="57"/>
        <v>2.1214168171779506E-2</v>
      </c>
      <c r="P140" s="3">
        <f t="shared" si="57"/>
        <v>2.1213098416700542E-2</v>
      </c>
      <c r="Q140" s="3">
        <f t="shared" si="57"/>
        <v>2.1202403832379119E-2</v>
      </c>
      <c r="R140" s="3">
        <f t="shared" si="57"/>
        <v>2.1095754083240246E-2</v>
      </c>
      <c r="S140" s="3">
        <f t="shared" si="57"/>
        <v>2.0058320912337665E-2</v>
      </c>
      <c r="T140" s="3">
        <f t="shared" si="57"/>
        <v>1.2114061845347742E-2</v>
      </c>
      <c r="U140" s="3">
        <f t="shared" si="57"/>
        <v>7.8206328663734496E-5</v>
      </c>
      <c r="V140" s="3">
        <f t="shared" si="57"/>
        <v>9.8347431254669025E-27</v>
      </c>
      <c r="W140" s="3">
        <f t="shared" si="57"/>
        <v>9.7268953601878913E-246</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3.4718036830476549E-2</v>
      </c>
      <c r="C141" s="3">
        <f t="shared" si="59"/>
        <v>3.4718036830476549E-2</v>
      </c>
      <c r="D141" s="3">
        <f t="shared" si="59"/>
        <v>3.4718036830476549E-2</v>
      </c>
      <c r="E141" s="3">
        <f t="shared" si="59"/>
        <v>3.4718036830476549E-2</v>
      </c>
      <c r="F141" s="3">
        <f t="shared" si="59"/>
        <v>3.4718036830476529E-2</v>
      </c>
      <c r="G141" s="3">
        <f t="shared" si="59"/>
        <v>3.4718036830476369E-2</v>
      </c>
      <c r="H141" s="3">
        <f t="shared" si="59"/>
        <v>3.4718036830474794E-2</v>
      </c>
      <c r="I141" s="3">
        <f t="shared" si="59"/>
        <v>3.4718036830459001E-2</v>
      </c>
      <c r="J141" s="3">
        <f t="shared" si="59"/>
        <v>3.4718036830301072E-2</v>
      </c>
      <c r="K141" s="3">
        <f t="shared" si="59"/>
        <v>3.4718036828721745E-2</v>
      </c>
      <c r="L141" s="3">
        <f t="shared" si="59"/>
        <v>3.4718036812928517E-2</v>
      </c>
      <c r="M141" s="3">
        <f t="shared" si="59"/>
        <v>3.4718036654996183E-2</v>
      </c>
      <c r="N141" s="3">
        <f t="shared" si="59"/>
        <v>3.4718035075672893E-2</v>
      </c>
      <c r="O141" s="3">
        <f t="shared" si="59"/>
        <v>3.4718019282444001E-2</v>
      </c>
      <c r="P141" s="3">
        <f t="shared" si="59"/>
        <v>3.471786135055021E-2</v>
      </c>
      <c r="Q141" s="3">
        <f t="shared" si="59"/>
        <v>3.4716282071125405E-2</v>
      </c>
      <c r="R141" s="3">
        <f t="shared" si="59"/>
        <v>3.4700493227526101E-2</v>
      </c>
      <c r="S141" s="3">
        <f t="shared" si="59"/>
        <v>3.4542999192267075E-2</v>
      </c>
      <c r="T141" s="3">
        <f t="shared" si="59"/>
        <v>3.3006843085440107E-2</v>
      </c>
      <c r="U141" s="3">
        <f t="shared" si="59"/>
        <v>2.0943219748853818E-2</v>
      </c>
      <c r="V141" s="3">
        <f t="shared" si="59"/>
        <v>2.2153281211560429E-4</v>
      </c>
      <c r="W141" s="3">
        <f t="shared" si="59"/>
        <v>3.8849386810568654E-24</v>
      </c>
      <c r="X141" s="3">
        <f t="shared" si="59"/>
        <v>1.0686740112462362E-221</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3.054172570036021E-2</v>
      </c>
      <c r="C142" s="3">
        <f t="shared" si="61"/>
        <v>3.054172570036021E-2</v>
      </c>
      <c r="D142" s="3">
        <f t="shared" si="61"/>
        <v>3.054172570036021E-2</v>
      </c>
      <c r="E142" s="3">
        <f t="shared" si="61"/>
        <v>3.054172570036021E-2</v>
      </c>
      <c r="F142" s="3">
        <f t="shared" si="61"/>
        <v>3.054172570036021E-2</v>
      </c>
      <c r="G142" s="3">
        <f t="shared" si="61"/>
        <v>3.0541725700360196E-2</v>
      </c>
      <c r="H142" s="3">
        <f t="shared" si="61"/>
        <v>3.0541725700360071E-2</v>
      </c>
      <c r="I142" s="3">
        <f t="shared" si="61"/>
        <v>3.0541725700358815E-2</v>
      </c>
      <c r="J142" s="3">
        <f t="shared" si="61"/>
        <v>3.0541725700346283E-2</v>
      </c>
      <c r="K142" s="3">
        <f t="shared" si="61"/>
        <v>3.0541725700220953E-2</v>
      </c>
      <c r="L142" s="3">
        <f t="shared" si="61"/>
        <v>3.054172569896765E-2</v>
      </c>
      <c r="M142" s="3">
        <f t="shared" si="61"/>
        <v>3.054172568643462E-2</v>
      </c>
      <c r="N142" s="3">
        <f t="shared" si="61"/>
        <v>3.0541725561104328E-2</v>
      </c>
      <c r="O142" s="3">
        <f t="shared" si="61"/>
        <v>3.0541724307801433E-2</v>
      </c>
      <c r="P142" s="3">
        <f t="shared" si="61"/>
        <v>3.0541711774775299E-2</v>
      </c>
      <c r="Q142" s="3">
        <f t="shared" si="61"/>
        <v>3.054158644479682E-2</v>
      </c>
      <c r="R142" s="3">
        <f t="shared" si="61"/>
        <v>3.0540333173298184E-2</v>
      </c>
      <c r="S142" s="3">
        <f t="shared" si="61"/>
        <v>3.0527803286497783E-2</v>
      </c>
      <c r="T142" s="3">
        <f t="shared" si="61"/>
        <v>3.0402786808150201E-2</v>
      </c>
      <c r="U142" s="3">
        <f t="shared" si="61"/>
        <v>2.9180436897141625E-2</v>
      </c>
      <c r="V142" s="3">
        <f t="shared" si="61"/>
        <v>1.9358680331709021E-2</v>
      </c>
      <c r="W142" s="3">
        <f t="shared" si="61"/>
        <v>3.1967990156531623E-4</v>
      </c>
      <c r="X142" s="3">
        <f t="shared" si="61"/>
        <v>4.8207118923213464E-22</v>
      </c>
      <c r="Y142" s="3">
        <f t="shared" si="61"/>
        <v>2.9313631029700098E-200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4.0592217810354776E-2</v>
      </c>
      <c r="C143" s="3">
        <f t="shared" si="63"/>
        <v>4.0592217810354776E-2</v>
      </c>
      <c r="D143" s="3">
        <f t="shared" si="63"/>
        <v>4.0592217810354776E-2</v>
      </c>
      <c r="E143" s="3">
        <f t="shared" si="63"/>
        <v>4.0592217810354776E-2</v>
      </c>
      <c r="F143" s="3">
        <f t="shared" si="63"/>
        <v>4.0592217810354776E-2</v>
      </c>
      <c r="G143" s="3">
        <f t="shared" si="63"/>
        <v>4.0592217810354776E-2</v>
      </c>
      <c r="H143" s="3">
        <f t="shared" si="63"/>
        <v>4.0592217810354755E-2</v>
      </c>
      <c r="I143" s="3">
        <f t="shared" si="63"/>
        <v>4.059221781035461E-2</v>
      </c>
      <c r="J143" s="3">
        <f t="shared" si="63"/>
        <v>4.0592217810353111E-2</v>
      </c>
      <c r="K143" s="3">
        <f t="shared" si="63"/>
        <v>4.0592217810338081E-2</v>
      </c>
      <c r="L143" s="3">
        <f t="shared" si="63"/>
        <v>4.0592217810187819E-2</v>
      </c>
      <c r="M143" s="3">
        <f t="shared" si="63"/>
        <v>4.0592217808685188E-2</v>
      </c>
      <c r="N143" s="3">
        <f t="shared" si="63"/>
        <v>4.0592217793658895E-2</v>
      </c>
      <c r="O143" s="3">
        <f t="shared" si="63"/>
        <v>4.0592217643395968E-2</v>
      </c>
      <c r="P143" s="3">
        <f t="shared" si="63"/>
        <v>4.0592216140766704E-2</v>
      </c>
      <c r="Q143" s="3">
        <f t="shared" si="63"/>
        <v>4.0592201114477103E-2</v>
      </c>
      <c r="R143" s="3">
        <f t="shared" si="63"/>
        <v>4.0592050851887017E-2</v>
      </c>
      <c r="S143" s="3">
        <f t="shared" si="63"/>
        <v>4.0590548256578839E-2</v>
      </c>
      <c r="T143" s="3">
        <f t="shared" si="63"/>
        <v>4.0575525362342442E-2</v>
      </c>
      <c r="U143" s="3">
        <f t="shared" si="63"/>
        <v>4.0425601885975007E-2</v>
      </c>
      <c r="V143" s="3">
        <f t="shared" si="63"/>
        <v>3.8956499449686481E-2</v>
      </c>
      <c r="W143" s="3">
        <f t="shared" si="63"/>
        <v>2.6903837398511068E-2</v>
      </c>
      <c r="X143" s="3">
        <f t="shared" si="63"/>
        <v>6.6398347846291354E-4</v>
      </c>
      <c r="Y143" s="3">
        <f t="shared" si="63"/>
        <v>5.5665704503359071E-20</v>
      </c>
      <c r="Z143" s="3">
        <f t="shared" si="63"/>
        <v>9.5475529696484602E-181</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4.4579554777240793E-2</v>
      </c>
      <c r="C144" s="3">
        <f t="shared" si="65"/>
        <v>4.4579554777240793E-2</v>
      </c>
      <c r="D144" s="3">
        <f t="shared" si="65"/>
        <v>4.4579554777240793E-2</v>
      </c>
      <c r="E144" s="3">
        <f t="shared" si="65"/>
        <v>4.4579554777240793E-2</v>
      </c>
      <c r="F144" s="3">
        <f t="shared" si="65"/>
        <v>4.4579554777240793E-2</v>
      </c>
      <c r="G144" s="3">
        <f t="shared" si="65"/>
        <v>4.4579554777240793E-2</v>
      </c>
      <c r="H144" s="3">
        <f t="shared" si="65"/>
        <v>4.4579554777240793E-2</v>
      </c>
      <c r="I144" s="3">
        <f t="shared" si="65"/>
        <v>4.4579554777240779E-2</v>
      </c>
      <c r="J144" s="3">
        <f t="shared" si="65"/>
        <v>4.4579554777240626E-2</v>
      </c>
      <c r="K144" s="3">
        <f t="shared" si="65"/>
        <v>4.4579554777239142E-2</v>
      </c>
      <c r="L144" s="3">
        <f t="shared" si="65"/>
        <v>4.4579554777224251E-2</v>
      </c>
      <c r="M144" s="3">
        <f t="shared" si="65"/>
        <v>4.4579554777075384E-2</v>
      </c>
      <c r="N144" s="3">
        <f t="shared" si="65"/>
        <v>4.4579554775586741E-2</v>
      </c>
      <c r="O144" s="3">
        <f t="shared" si="65"/>
        <v>4.4579554760700281E-2</v>
      </c>
      <c r="P144" s="3">
        <f t="shared" si="65"/>
        <v>4.4579554611835701E-2</v>
      </c>
      <c r="Q144" s="3">
        <f t="shared" si="65"/>
        <v>4.4579553123189883E-2</v>
      </c>
      <c r="R144" s="3">
        <f t="shared" si="65"/>
        <v>4.4579538236734439E-2</v>
      </c>
      <c r="S144" s="3">
        <f t="shared" si="65"/>
        <v>4.4579389372453419E-2</v>
      </c>
      <c r="T144" s="3">
        <f t="shared" si="65"/>
        <v>4.4577900756983556E-2</v>
      </c>
      <c r="U144" s="3">
        <f t="shared" si="65"/>
        <v>4.456301733598033E-2</v>
      </c>
      <c r="V144" s="3">
        <f t="shared" si="65"/>
        <v>4.4414456158031447E-2</v>
      </c>
      <c r="W144" s="3">
        <f t="shared" si="65"/>
        <v>4.2955813236370134E-2</v>
      </c>
      <c r="X144" s="3">
        <f t="shared" si="65"/>
        <v>3.0760820368756648E-2</v>
      </c>
      <c r="Y144" s="3">
        <f t="shared" si="65"/>
        <v>1.0908313096578857E-3</v>
      </c>
      <c r="Z144" s="3">
        <f t="shared" si="65"/>
        <v>3.4304761709024478E-18</v>
      </c>
      <c r="AA144" s="3">
        <f t="shared" ref="AA144" si="66">$C30*EXP(-AA$129/$A30/EXP(-$B$126))</f>
        <v>3.2458057714244356E-163</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6.2079559793872717E-2</v>
      </c>
      <c r="C145" s="3">
        <f t="shared" si="68"/>
        <v>6.2079559793872717E-2</v>
      </c>
      <c r="D145" s="3">
        <f t="shared" si="68"/>
        <v>6.2079559793872717E-2</v>
      </c>
      <c r="E145" s="3">
        <f t="shared" si="68"/>
        <v>6.2079559793872717E-2</v>
      </c>
      <c r="F145" s="3">
        <f t="shared" si="68"/>
        <v>6.2079559793872717E-2</v>
      </c>
      <c r="G145" s="3">
        <f t="shared" si="68"/>
        <v>6.2079559793872717E-2</v>
      </c>
      <c r="H145" s="3">
        <f t="shared" si="68"/>
        <v>6.2079559793872717E-2</v>
      </c>
      <c r="I145" s="3">
        <f t="shared" si="68"/>
        <v>6.2079559793872717E-2</v>
      </c>
      <c r="J145" s="3">
        <f t="shared" si="68"/>
        <v>6.2079559793872696E-2</v>
      </c>
      <c r="K145" s="3">
        <f t="shared" si="68"/>
        <v>6.2079559793872509E-2</v>
      </c>
      <c r="L145" s="3">
        <f t="shared" si="68"/>
        <v>6.2079559793870642E-2</v>
      </c>
      <c r="M145" s="3">
        <f t="shared" si="68"/>
        <v>6.2079559793851935E-2</v>
      </c>
      <c r="N145" s="3">
        <f t="shared" si="68"/>
        <v>6.2079559793664939E-2</v>
      </c>
      <c r="O145" s="3">
        <f t="shared" si="68"/>
        <v>6.2079559791794893E-2</v>
      </c>
      <c r="P145" s="3">
        <f t="shared" si="68"/>
        <v>6.2079559773094491E-2</v>
      </c>
      <c r="Q145" s="3">
        <f t="shared" si="68"/>
        <v>6.2079559586090502E-2</v>
      </c>
      <c r="R145" s="3">
        <f t="shared" si="68"/>
        <v>6.2079557716050594E-2</v>
      </c>
      <c r="S145" s="3">
        <f t="shared" si="68"/>
        <v>6.2079539015654592E-2</v>
      </c>
      <c r="T145" s="3">
        <f t="shared" si="68"/>
        <v>6.2079352012004381E-2</v>
      </c>
      <c r="U145" s="3">
        <f t="shared" si="68"/>
        <v>6.2077482006484386E-2</v>
      </c>
      <c r="V145" s="3">
        <f t="shared" si="68"/>
        <v>6.2058785049146248E-2</v>
      </c>
      <c r="W145" s="3">
        <f t="shared" si="68"/>
        <v>6.1872124916951592E-2</v>
      </c>
      <c r="X145" s="3">
        <f t="shared" si="68"/>
        <v>6.0036125583833817E-2</v>
      </c>
      <c r="Y145" s="3">
        <f t="shared" si="68"/>
        <v>4.4421059804333092E-2</v>
      </c>
      <c r="Z145" s="3">
        <f t="shared" si="68"/>
        <v>2.1844972377009606E-3</v>
      </c>
      <c r="AA145" s="3">
        <f t="shared" ref="AA145" si="69">$C31*EXP(-AA$129/$A31/EXP(-$B$126))</f>
        <v>1.807079839176427E-16</v>
      </c>
      <c r="AB145" s="3">
        <f t="shared" si="67"/>
        <v>2.7116632089966763E-147</v>
      </c>
      <c r="AC145" s="3">
        <f t="shared" si="67"/>
        <v>0</v>
      </c>
      <c r="AD145" s="3">
        <f t="shared" si="67"/>
        <v>0</v>
      </c>
      <c r="AE145" s="3">
        <f t="shared" si="67"/>
        <v>0</v>
      </c>
      <c r="AF145" s="3">
        <f t="shared" si="67"/>
        <v>0</v>
      </c>
    </row>
    <row r="146" spans="1:32" x14ac:dyDescent="0.25">
      <c r="B146" s="3">
        <f t="shared" ref="B146:Z146" si="70">$C32*EXP(-B$129/$A32/EXP(-$B$126))</f>
        <v>0.10578931784531295</v>
      </c>
      <c r="C146" s="3">
        <f t="shared" si="70"/>
        <v>0.10578931784531295</v>
      </c>
      <c r="D146" s="3">
        <f t="shared" si="70"/>
        <v>0.10578931784531295</v>
      </c>
      <c r="E146" s="3">
        <f t="shared" si="70"/>
        <v>0.10578931784531295</v>
      </c>
      <c r="F146" s="3">
        <f t="shared" si="70"/>
        <v>0.10578931784531295</v>
      </c>
      <c r="G146" s="3">
        <f t="shared" si="70"/>
        <v>0.10578931784531295</v>
      </c>
      <c r="H146" s="3">
        <f t="shared" si="70"/>
        <v>0.10578931784531295</v>
      </c>
      <c r="I146" s="3">
        <f t="shared" si="70"/>
        <v>0.10578931784531295</v>
      </c>
      <c r="J146" s="3">
        <f t="shared" si="70"/>
        <v>0.10578931784531295</v>
      </c>
      <c r="K146" s="3">
        <f t="shared" si="70"/>
        <v>0.10578931784531291</v>
      </c>
      <c r="L146" s="3">
        <f t="shared" si="70"/>
        <v>0.10578931784531263</v>
      </c>
      <c r="M146" s="3">
        <f t="shared" si="70"/>
        <v>0.10578931784530976</v>
      </c>
      <c r="N146" s="3">
        <f t="shared" si="70"/>
        <v>0.10578931784528101</v>
      </c>
      <c r="O146" s="3">
        <f t="shared" si="70"/>
        <v>0.10578931784499354</v>
      </c>
      <c r="P146" s="3">
        <f t="shared" si="70"/>
        <v>0.10578931784211885</v>
      </c>
      <c r="Q146" s="3">
        <f t="shared" si="70"/>
        <v>0.10578931781337197</v>
      </c>
      <c r="R146" s="3">
        <f t="shared" si="70"/>
        <v>0.10578931752590322</v>
      </c>
      <c r="S146" s="3">
        <f t="shared" si="70"/>
        <v>0.10578931465121562</v>
      </c>
      <c r="T146" s="3">
        <f t="shared" si="70"/>
        <v>0.10578928590434396</v>
      </c>
      <c r="U146" s="3">
        <f t="shared" si="70"/>
        <v>0.10578899843605696</v>
      </c>
      <c r="V146" s="3">
        <f t="shared" si="70"/>
        <v>0.10578612379615035</v>
      </c>
      <c r="W146" s="3">
        <f t="shared" si="70"/>
        <v>0.10575738169297931</v>
      </c>
      <c r="X146" s="3">
        <f t="shared" si="70"/>
        <v>0.10547038981918522</v>
      </c>
      <c r="Y146" s="3">
        <f t="shared" si="70"/>
        <v>0.10264295850423434</v>
      </c>
      <c r="Z146" s="3">
        <f t="shared" si="70"/>
        <v>7.8219540961229739E-2</v>
      </c>
      <c r="AA146" s="3">
        <f t="shared" ref="AA146" si="71">$C32*EXP(-AA$129/$A32/EXP(-$B$126))</f>
        <v>5.1662602375672356E-3</v>
      </c>
      <c r="AB146" s="3">
        <f t="shared" si="67"/>
        <v>8.1618092119979489E-15</v>
      </c>
      <c r="AC146" s="3">
        <f t="shared" si="67"/>
        <v>7.9047481176296467E-133</v>
      </c>
      <c r="AD146" s="3">
        <f t="shared" si="67"/>
        <v>0</v>
      </c>
      <c r="AE146" s="3">
        <f t="shared" si="67"/>
        <v>0</v>
      </c>
      <c r="AF146" s="3">
        <f t="shared" si="67"/>
        <v>0</v>
      </c>
    </row>
    <row r="147" spans="1:32" x14ac:dyDescent="0.25">
      <c r="B147" s="3">
        <f t="shared" ref="B147:Z147" si="72">$C33*EXP(-B$129/$A33/EXP(-$B$126))</f>
        <v>8.5446045134986312E-2</v>
      </c>
      <c r="C147" s="3">
        <f t="shared" si="72"/>
        <v>8.5446045134986312E-2</v>
      </c>
      <c r="D147" s="3">
        <f t="shared" si="72"/>
        <v>8.5446045134986312E-2</v>
      </c>
      <c r="E147" s="3">
        <f t="shared" si="72"/>
        <v>8.5446045134986312E-2</v>
      </c>
      <c r="F147" s="3">
        <f t="shared" si="72"/>
        <v>8.5446045134986312E-2</v>
      </c>
      <c r="G147" s="3">
        <f t="shared" si="72"/>
        <v>8.5446045134986312E-2</v>
      </c>
      <c r="H147" s="3">
        <f t="shared" si="72"/>
        <v>8.5446045134986312E-2</v>
      </c>
      <c r="I147" s="3">
        <f t="shared" si="72"/>
        <v>8.5446045134986312E-2</v>
      </c>
      <c r="J147" s="3">
        <f t="shared" si="72"/>
        <v>8.5446045134986312E-2</v>
      </c>
      <c r="K147" s="3">
        <f t="shared" si="72"/>
        <v>8.5446045134986312E-2</v>
      </c>
      <c r="L147" s="3">
        <f t="shared" si="72"/>
        <v>8.5446045134986298E-2</v>
      </c>
      <c r="M147" s="3">
        <f t="shared" si="72"/>
        <v>8.5446045134986076E-2</v>
      </c>
      <c r="N147" s="3">
        <f t="shared" si="72"/>
        <v>8.5446045134983994E-2</v>
      </c>
      <c r="O147" s="3">
        <f t="shared" si="72"/>
        <v>8.5446045134963039E-2</v>
      </c>
      <c r="P147" s="3">
        <f t="shared" si="72"/>
        <v>8.5446045134753582E-2</v>
      </c>
      <c r="Q147" s="3">
        <f t="shared" si="72"/>
        <v>8.5446045132659049E-2</v>
      </c>
      <c r="R147" s="3">
        <f t="shared" si="72"/>
        <v>8.544604511171372E-2</v>
      </c>
      <c r="S147" s="3">
        <f t="shared" si="72"/>
        <v>8.5446044902260321E-2</v>
      </c>
      <c r="T147" s="3">
        <f t="shared" si="72"/>
        <v>8.5446042807726413E-2</v>
      </c>
      <c r="U147" s="3">
        <f t="shared" si="72"/>
        <v>8.5446021862390115E-2</v>
      </c>
      <c r="V147" s="3">
        <f t="shared" si="72"/>
        <v>8.5445812409309596E-2</v>
      </c>
      <c r="W147" s="3">
        <f t="shared" si="72"/>
        <v>8.544371790674285E-2</v>
      </c>
      <c r="X147" s="3">
        <f t="shared" si="72"/>
        <v>8.5422775704666207E-2</v>
      </c>
      <c r="Y147" s="3">
        <f t="shared" si="72"/>
        <v>8.521363578705729E-2</v>
      </c>
      <c r="Z147" s="3">
        <f t="shared" si="72"/>
        <v>8.3150192734105996E-2</v>
      </c>
      <c r="AA147" s="3">
        <f t="shared" ref="AA147" si="73">$C33*EXP(-AA$129/$A33/EXP(-$B$126))</f>
        <v>6.5073610880144753E-2</v>
      </c>
      <c r="AB147" s="3">
        <f t="shared" si="67"/>
        <v>5.6081725109759731E-3</v>
      </c>
      <c r="AC147" s="3">
        <f t="shared" si="67"/>
        <v>1.2676108485726526E-13</v>
      </c>
      <c r="AD147" s="3">
        <f t="shared" si="67"/>
        <v>4.4119621443713063E-120</v>
      </c>
      <c r="AE147" s="3">
        <f t="shared" si="67"/>
        <v>0</v>
      </c>
      <c r="AF147" s="3">
        <f t="shared" si="67"/>
        <v>0</v>
      </c>
    </row>
    <row r="148" spans="1:32" x14ac:dyDescent="0.25">
      <c r="B148" s="3">
        <f t="shared" ref="B148:Z148" si="74">$C34*EXP(-B$129/$A34/EXP(-$B$126))</f>
        <v>5.8777528752493244E-2</v>
      </c>
      <c r="C148" s="3">
        <f t="shared" si="74"/>
        <v>5.8777528752493244E-2</v>
      </c>
      <c r="D148" s="3">
        <f t="shared" si="74"/>
        <v>5.8777528752493244E-2</v>
      </c>
      <c r="E148" s="3">
        <f t="shared" si="74"/>
        <v>5.8777528752493244E-2</v>
      </c>
      <c r="F148" s="3">
        <f t="shared" si="74"/>
        <v>5.8777528752493244E-2</v>
      </c>
      <c r="G148" s="3">
        <f t="shared" si="74"/>
        <v>5.8777528752493244E-2</v>
      </c>
      <c r="H148" s="3">
        <f t="shared" si="74"/>
        <v>5.8777528752493244E-2</v>
      </c>
      <c r="I148" s="3">
        <f t="shared" si="74"/>
        <v>5.8777528752493244E-2</v>
      </c>
      <c r="J148" s="3">
        <f t="shared" si="74"/>
        <v>5.8777528752493244E-2</v>
      </c>
      <c r="K148" s="3">
        <f t="shared" si="74"/>
        <v>5.8777528752493244E-2</v>
      </c>
      <c r="L148" s="3">
        <f t="shared" si="74"/>
        <v>5.8777528752493244E-2</v>
      </c>
      <c r="M148" s="3">
        <f t="shared" si="74"/>
        <v>5.877752875249323E-2</v>
      </c>
      <c r="N148" s="3">
        <f t="shared" si="74"/>
        <v>5.8777528752493098E-2</v>
      </c>
      <c r="O148" s="3">
        <f t="shared" si="74"/>
        <v>5.8777528752491801E-2</v>
      </c>
      <c r="P148" s="3">
        <f t="shared" si="74"/>
        <v>5.8777528752478804E-2</v>
      </c>
      <c r="Q148" s="3">
        <f t="shared" si="74"/>
        <v>5.8777528752348832E-2</v>
      </c>
      <c r="R148" s="3">
        <f t="shared" si="74"/>
        <v>5.87775287510491E-2</v>
      </c>
      <c r="S148" s="3">
        <f t="shared" si="74"/>
        <v>5.8777528738051796E-2</v>
      </c>
      <c r="T148" s="3">
        <f t="shared" si="74"/>
        <v>5.8777528608078736E-2</v>
      </c>
      <c r="U148" s="3">
        <f t="shared" si="74"/>
        <v>5.8777527308348128E-2</v>
      </c>
      <c r="V148" s="3">
        <f t="shared" si="74"/>
        <v>5.8777514311043701E-2</v>
      </c>
      <c r="W148" s="3">
        <f t="shared" si="74"/>
        <v>5.8777384338157483E-2</v>
      </c>
      <c r="X148" s="3">
        <f t="shared" si="74"/>
        <v>5.8776084625102483E-2</v>
      </c>
      <c r="Y148" s="3">
        <f t="shared" si="74"/>
        <v>5.8763089075140135E-2</v>
      </c>
      <c r="Z148" s="3">
        <f t="shared" si="74"/>
        <v>5.8633291505040007E-2</v>
      </c>
      <c r="AA148" s="3">
        <f>$C34*EXP(-AA$129/$A34/EXP(-$B$126))</f>
        <v>5.7350980303839998E-2</v>
      </c>
      <c r="AB148" s="3">
        <f t="shared" si="67"/>
        <v>4.5973392615581025E-2</v>
      </c>
      <c r="AC148" s="3">
        <f t="shared" si="67"/>
        <v>5.0369035450382868E-3</v>
      </c>
      <c r="AD148" s="3">
        <f t="shared" si="67"/>
        <v>1.255262168260288E-12</v>
      </c>
      <c r="AE148" s="3">
        <f t="shared" si="67"/>
        <v>1.1599586206331214E-108</v>
      </c>
      <c r="AF148" s="3">
        <f t="shared" si="67"/>
        <v>0</v>
      </c>
    </row>
    <row r="149" spans="1:32" x14ac:dyDescent="0.25">
      <c r="B149" s="3">
        <f t="shared" ref="B149:Z149" si="75">$C35*EXP(-B$129/$A35/EXP(-$B$126))</f>
        <v>3.044822143643108E-2</v>
      </c>
      <c r="C149" s="3">
        <f t="shared" si="75"/>
        <v>3.044822143643108E-2</v>
      </c>
      <c r="D149" s="3">
        <f t="shared" si="75"/>
        <v>3.044822143643108E-2</v>
      </c>
      <c r="E149" s="3">
        <f t="shared" si="75"/>
        <v>3.044822143643108E-2</v>
      </c>
      <c r="F149" s="3">
        <f t="shared" si="75"/>
        <v>3.044822143643108E-2</v>
      </c>
      <c r="G149" s="3">
        <f t="shared" si="75"/>
        <v>3.044822143643108E-2</v>
      </c>
      <c r="H149" s="3">
        <f t="shared" si="75"/>
        <v>3.044822143643108E-2</v>
      </c>
      <c r="I149" s="3">
        <f t="shared" si="75"/>
        <v>3.044822143643108E-2</v>
      </c>
      <c r="J149" s="3">
        <f t="shared" si="75"/>
        <v>3.044822143643108E-2</v>
      </c>
      <c r="K149" s="3">
        <f t="shared" si="75"/>
        <v>3.044822143643108E-2</v>
      </c>
      <c r="L149" s="3">
        <f t="shared" si="75"/>
        <v>3.044822143643108E-2</v>
      </c>
      <c r="M149" s="3">
        <f t="shared" si="75"/>
        <v>3.044822143643108E-2</v>
      </c>
      <c r="N149" s="3">
        <f t="shared" si="75"/>
        <v>3.0448221436431073E-2</v>
      </c>
      <c r="O149" s="3">
        <f t="shared" si="75"/>
        <v>3.0448221436431014E-2</v>
      </c>
      <c r="P149" s="3">
        <f t="shared" si="75"/>
        <v>3.0448221436430403E-2</v>
      </c>
      <c r="Q149" s="3">
        <f t="shared" si="75"/>
        <v>3.0448221436424332E-2</v>
      </c>
      <c r="R149" s="3">
        <f t="shared" si="75"/>
        <v>3.0448221436363596E-2</v>
      </c>
      <c r="S149" s="3">
        <f t="shared" si="75"/>
        <v>3.0448221435756227E-2</v>
      </c>
      <c r="T149" s="3">
        <f t="shared" si="75"/>
        <v>3.0448221429682568E-2</v>
      </c>
      <c r="U149" s="3">
        <f t="shared" si="75"/>
        <v>3.0448221368945958E-2</v>
      </c>
      <c r="V149" s="3">
        <f t="shared" si="75"/>
        <v>3.0448220761579863E-2</v>
      </c>
      <c r="W149" s="3">
        <f t="shared" si="75"/>
        <v>3.0448214687919615E-2</v>
      </c>
      <c r="X149" s="3">
        <f t="shared" si="75"/>
        <v>3.0448153951383724E-2</v>
      </c>
      <c r="Y149" s="3">
        <f t="shared" si="75"/>
        <v>3.0447546592688259E-2</v>
      </c>
      <c r="Z149" s="3">
        <f t="shared" si="75"/>
        <v>3.0441473672028128E-2</v>
      </c>
      <c r="AA149" s="3">
        <f t="shared" ref="AA149" si="76">$C35*EXP(-AA$129/$A35/EXP(-$B$126))</f>
        <v>3.0380811045728633E-2</v>
      </c>
      <c r="AB149" s="3">
        <f t="shared" si="67"/>
        <v>2.9780793933903212E-2</v>
      </c>
      <c r="AC149" s="3">
        <f t="shared" si="67"/>
        <v>2.4395254372853514E-2</v>
      </c>
      <c r="AD149" s="3">
        <f t="shared" si="67"/>
        <v>3.3189151133347673E-3</v>
      </c>
      <c r="AE149" s="3">
        <f t="shared" si="67"/>
        <v>7.209482353257549E-12</v>
      </c>
      <c r="AF149" s="3">
        <f t="shared" si="67"/>
        <v>1.6864888215124786E-98</v>
      </c>
    </row>
    <row r="150" spans="1:32" x14ac:dyDescent="0.25">
      <c r="B150" s="3">
        <f t="shared" ref="B150:Z150" si="77">$C36*EXP(-B$129/$A36/EXP(-$B$126))</f>
        <v>1.5917825428886163E-2</v>
      </c>
      <c r="C150" s="3">
        <f t="shared" si="77"/>
        <v>1.5917825428886163E-2</v>
      </c>
      <c r="D150" s="3">
        <f t="shared" si="77"/>
        <v>1.5917825428886163E-2</v>
      </c>
      <c r="E150" s="3">
        <f t="shared" si="77"/>
        <v>1.5917825428886163E-2</v>
      </c>
      <c r="F150" s="3">
        <f t="shared" si="77"/>
        <v>1.5917825428886163E-2</v>
      </c>
      <c r="G150" s="3">
        <f t="shared" si="77"/>
        <v>1.5917825428886163E-2</v>
      </c>
      <c r="H150" s="3">
        <f t="shared" si="77"/>
        <v>1.5917825428886163E-2</v>
      </c>
      <c r="I150" s="3">
        <f t="shared" si="77"/>
        <v>1.5917825428886163E-2</v>
      </c>
      <c r="J150" s="3">
        <f t="shared" si="77"/>
        <v>1.5917825428886163E-2</v>
      </c>
      <c r="K150" s="3">
        <f t="shared" si="77"/>
        <v>1.5917825428886163E-2</v>
      </c>
      <c r="L150" s="3">
        <f t="shared" si="77"/>
        <v>1.5917825428886163E-2</v>
      </c>
      <c r="M150" s="3">
        <f t="shared" si="77"/>
        <v>1.5917825428886163E-2</v>
      </c>
      <c r="N150" s="3">
        <f t="shared" si="77"/>
        <v>1.5917825428886163E-2</v>
      </c>
      <c r="O150" s="3">
        <f t="shared" si="77"/>
        <v>1.5917825428886159E-2</v>
      </c>
      <c r="P150" s="3">
        <f t="shared" si="77"/>
        <v>1.5917825428886132E-2</v>
      </c>
      <c r="Q150" s="3">
        <f t="shared" si="77"/>
        <v>1.5917825428885844E-2</v>
      </c>
      <c r="R150" s="3">
        <f t="shared" si="77"/>
        <v>1.5917825428882981E-2</v>
      </c>
      <c r="S150" s="3">
        <f t="shared" si="77"/>
        <v>1.5917825428854337E-2</v>
      </c>
      <c r="T150" s="3">
        <f t="shared" si="77"/>
        <v>1.5917825428567907E-2</v>
      </c>
      <c r="U150" s="3">
        <f t="shared" si="77"/>
        <v>1.5917825425703604E-2</v>
      </c>
      <c r="V150" s="3">
        <f t="shared" si="77"/>
        <v>1.5917825397060575E-2</v>
      </c>
      <c r="W150" s="3">
        <f t="shared" si="77"/>
        <v>1.5917825110630286E-2</v>
      </c>
      <c r="X150" s="3">
        <f t="shared" si="77"/>
        <v>1.5917822246327675E-2</v>
      </c>
      <c r="Y150" s="3">
        <f t="shared" si="77"/>
        <v>1.5917793603329906E-2</v>
      </c>
      <c r="Z150" s="3">
        <f t="shared" si="77"/>
        <v>1.5917507176186969E-2</v>
      </c>
      <c r="AA150" s="3">
        <f t="shared" ref="AA150" si="78">$C36*EXP(-AA$129/$A36/EXP(-$B$126))</f>
        <v>1.5914643188213007E-2</v>
      </c>
      <c r="AB150" s="3">
        <f t="shared" si="67"/>
        <v>1.5886031635149178E-2</v>
      </c>
      <c r="AC150" s="3">
        <f t="shared" si="67"/>
        <v>1.5602730002923268E-2</v>
      </c>
      <c r="AD150" s="3">
        <f t="shared" si="67"/>
        <v>1.3033237097982561E-2</v>
      </c>
      <c r="AE150" s="3">
        <f t="shared" si="67"/>
        <v>2.1556056933897971E-3</v>
      </c>
      <c r="AF150" s="3">
        <f t="shared" si="67"/>
        <v>3.3017149984142194E-11</v>
      </c>
    </row>
    <row r="151" spans="1:32" x14ac:dyDescent="0.25">
      <c r="B151" s="3">
        <f t="shared" ref="B151:Z151" si="79">$C37*EXP(-B$129/$A37/EXP(-$B$126))</f>
        <v>7.4710107179745602E-3</v>
      </c>
      <c r="C151" s="3">
        <f t="shared" si="79"/>
        <v>7.4710107179745602E-3</v>
      </c>
      <c r="D151" s="3">
        <f t="shared" si="79"/>
        <v>7.4710107179745602E-3</v>
      </c>
      <c r="E151" s="3">
        <f t="shared" si="79"/>
        <v>7.4710107179745602E-3</v>
      </c>
      <c r="F151" s="3">
        <f t="shared" si="79"/>
        <v>7.4710107179745602E-3</v>
      </c>
      <c r="G151" s="3">
        <f t="shared" si="79"/>
        <v>7.4710107179745602E-3</v>
      </c>
      <c r="H151" s="3">
        <f t="shared" si="79"/>
        <v>7.4710107179745602E-3</v>
      </c>
      <c r="I151" s="3">
        <f t="shared" si="79"/>
        <v>7.4710107179745602E-3</v>
      </c>
      <c r="J151" s="3">
        <f t="shared" si="79"/>
        <v>7.4710107179745602E-3</v>
      </c>
      <c r="K151" s="3">
        <f t="shared" si="79"/>
        <v>7.4710107179745602E-3</v>
      </c>
      <c r="L151" s="3">
        <f t="shared" si="79"/>
        <v>7.4710107179745602E-3</v>
      </c>
      <c r="M151" s="3">
        <f t="shared" si="79"/>
        <v>7.4710107179745602E-3</v>
      </c>
      <c r="N151" s="3">
        <f t="shared" si="79"/>
        <v>7.4710107179745602E-3</v>
      </c>
      <c r="O151" s="3">
        <f t="shared" si="79"/>
        <v>7.4710107179745602E-3</v>
      </c>
      <c r="P151" s="3">
        <f t="shared" si="79"/>
        <v>7.4710107179745584E-3</v>
      </c>
      <c r="Q151" s="3">
        <f t="shared" si="79"/>
        <v>7.4710107179745472E-3</v>
      </c>
      <c r="R151" s="3">
        <f t="shared" si="79"/>
        <v>7.4710107179744257E-3</v>
      </c>
      <c r="S151" s="3">
        <f t="shared" si="79"/>
        <v>7.4710107179732123E-3</v>
      </c>
      <c r="T151" s="3">
        <f t="shared" si="79"/>
        <v>7.4710107179610857E-3</v>
      </c>
      <c r="U151" s="3">
        <f t="shared" si="79"/>
        <v>7.4710107178398138E-3</v>
      </c>
      <c r="V151" s="3">
        <f t="shared" si="79"/>
        <v>7.4710107166270912E-3</v>
      </c>
      <c r="W151" s="3">
        <f t="shared" si="79"/>
        <v>7.4710107044998735E-3</v>
      </c>
      <c r="X151" s="3">
        <f t="shared" si="79"/>
        <v>7.4710105832277024E-3</v>
      </c>
      <c r="Y151" s="3">
        <f t="shared" si="79"/>
        <v>7.4710093705060926E-3</v>
      </c>
      <c r="Z151" s="3">
        <f t="shared" si="79"/>
        <v>7.4709972433008188E-3</v>
      </c>
      <c r="AA151" s="3">
        <f t="shared" ref="AA151" si="80">$C37*EXP(-AA$129/$A37/EXP(-$B$126))</f>
        <v>7.4708759723307663E-3</v>
      </c>
      <c r="AB151" s="3">
        <f t="shared" si="67"/>
        <v>7.4696633708923998E-3</v>
      </c>
      <c r="AC151" s="3">
        <f t="shared" si="67"/>
        <v>7.4575481762248659E-3</v>
      </c>
      <c r="AD151" s="3">
        <f t="shared" si="67"/>
        <v>7.3374717309870564E-3</v>
      </c>
      <c r="AE151" s="3">
        <f t="shared" si="67"/>
        <v>6.2380690181807396E-3</v>
      </c>
      <c r="AF151" s="3">
        <f t="shared" si="67"/>
        <v>1.2305167219790259E-3</v>
      </c>
    </row>
    <row r="152" spans="1:32" x14ac:dyDescent="0.25">
      <c r="B152" s="3">
        <f t="shared" ref="B152:Z152" si="81">$C38*EXP(-B$129/$A38/EXP(-$B$126))</f>
        <v>1.4378472174592341E-3</v>
      </c>
      <c r="C152" s="3">
        <f t="shared" si="81"/>
        <v>1.4378472174592341E-3</v>
      </c>
      <c r="D152" s="3">
        <f t="shared" si="81"/>
        <v>1.4378472174592341E-3</v>
      </c>
      <c r="E152" s="3">
        <f t="shared" si="81"/>
        <v>1.4378472174592341E-3</v>
      </c>
      <c r="F152" s="3">
        <f t="shared" si="81"/>
        <v>1.4378472174592341E-3</v>
      </c>
      <c r="G152" s="3">
        <f t="shared" si="81"/>
        <v>1.4378472174592341E-3</v>
      </c>
      <c r="H152" s="3">
        <f t="shared" si="81"/>
        <v>1.4378472174592341E-3</v>
      </c>
      <c r="I152" s="3">
        <f t="shared" si="81"/>
        <v>1.4378472174592341E-3</v>
      </c>
      <c r="J152" s="3">
        <f t="shared" si="81"/>
        <v>1.4378472174592341E-3</v>
      </c>
      <c r="K152" s="3">
        <f t="shared" si="81"/>
        <v>1.4378472174592341E-3</v>
      </c>
      <c r="L152" s="3">
        <f t="shared" si="81"/>
        <v>1.4378472174592341E-3</v>
      </c>
      <c r="M152" s="3">
        <f t="shared" si="81"/>
        <v>1.4378472174592341E-3</v>
      </c>
      <c r="N152" s="3">
        <f t="shared" si="81"/>
        <v>1.4378472174592341E-3</v>
      </c>
      <c r="O152" s="3">
        <f t="shared" si="81"/>
        <v>1.4378472174592341E-3</v>
      </c>
      <c r="P152" s="3">
        <f t="shared" si="81"/>
        <v>1.4378472174592341E-3</v>
      </c>
      <c r="Q152" s="3">
        <f t="shared" si="81"/>
        <v>1.4378472174592339E-3</v>
      </c>
      <c r="R152" s="3">
        <f t="shared" si="81"/>
        <v>1.4378472174592317E-3</v>
      </c>
      <c r="S152" s="3">
        <f t="shared" si="81"/>
        <v>1.4378472174592107E-3</v>
      </c>
      <c r="T152" s="3">
        <f t="shared" si="81"/>
        <v>1.4378472174590002E-3</v>
      </c>
      <c r="U152" s="3">
        <f t="shared" si="81"/>
        <v>1.4378472174568946E-3</v>
      </c>
      <c r="V152" s="3">
        <f t="shared" si="81"/>
        <v>1.4378472174358403E-3</v>
      </c>
      <c r="W152" s="3">
        <f t="shared" si="81"/>
        <v>1.4378472172252973E-3</v>
      </c>
      <c r="X152" s="3">
        <f t="shared" si="81"/>
        <v>1.4378472151198656E-3</v>
      </c>
      <c r="Y152" s="3">
        <f t="shared" si="81"/>
        <v>1.43784719406555E-3</v>
      </c>
      <c r="Z152" s="3">
        <f t="shared" si="81"/>
        <v>1.4378469835224111E-3</v>
      </c>
      <c r="AA152" s="3">
        <f t="shared" ref="AA152" si="82">$C38*EXP(-AA$129/$A38/EXP(-$B$126))</f>
        <v>1.4378448780927168E-3</v>
      </c>
      <c r="AB152" s="3">
        <f t="shared" si="67"/>
        <v>1.4378238239653369E-3</v>
      </c>
      <c r="AC152" s="3">
        <f t="shared" si="67"/>
        <v>1.4376132996468598E-3</v>
      </c>
      <c r="AD152" s="3">
        <f t="shared" si="67"/>
        <v>1.4355097510761333E-3</v>
      </c>
      <c r="AE152" s="3">
        <f t="shared" si="67"/>
        <v>1.4146428122354261E-3</v>
      </c>
      <c r="AF152" s="3">
        <f t="shared" si="67"/>
        <v>1.221949620987981E-3</v>
      </c>
    </row>
    <row r="153" spans="1:32" x14ac:dyDescent="0.25">
      <c r="B153" s="3">
        <f t="shared" ref="B153:Z153" si="83">$C39*EXP(-B$129/$A39/EXP(-$B$126))</f>
        <v>4.7686363858368023E-3</v>
      </c>
      <c r="C153" s="3">
        <f t="shared" si="83"/>
        <v>4.7686363858368023E-3</v>
      </c>
      <c r="D153" s="3">
        <f t="shared" si="83"/>
        <v>4.7686363858368023E-3</v>
      </c>
      <c r="E153" s="3">
        <f t="shared" si="83"/>
        <v>4.7686363858368023E-3</v>
      </c>
      <c r="F153" s="3">
        <f t="shared" si="83"/>
        <v>4.7686363858368023E-3</v>
      </c>
      <c r="G153" s="3">
        <f t="shared" si="83"/>
        <v>4.7686363858368023E-3</v>
      </c>
      <c r="H153" s="3">
        <f t="shared" si="83"/>
        <v>4.7686363858368023E-3</v>
      </c>
      <c r="I153" s="3">
        <f t="shared" si="83"/>
        <v>4.7686363858368023E-3</v>
      </c>
      <c r="J153" s="3">
        <f t="shared" si="83"/>
        <v>4.7686363858368023E-3</v>
      </c>
      <c r="K153" s="3">
        <f t="shared" si="83"/>
        <v>4.7686363858368023E-3</v>
      </c>
      <c r="L153" s="3">
        <f t="shared" si="83"/>
        <v>4.7686363858368023E-3</v>
      </c>
      <c r="M153" s="3">
        <f t="shared" si="83"/>
        <v>4.7686363858368023E-3</v>
      </c>
      <c r="N153" s="3">
        <f t="shared" si="83"/>
        <v>4.7686363858368023E-3</v>
      </c>
      <c r="O153" s="3">
        <f t="shared" si="83"/>
        <v>4.7686363858368023E-3</v>
      </c>
      <c r="P153" s="3">
        <f t="shared" si="83"/>
        <v>4.7686363858368023E-3</v>
      </c>
      <c r="Q153" s="3">
        <f t="shared" si="83"/>
        <v>4.7686363858368023E-3</v>
      </c>
      <c r="R153" s="3">
        <f t="shared" si="83"/>
        <v>4.7686363858368006E-3</v>
      </c>
      <c r="S153" s="3">
        <f t="shared" si="83"/>
        <v>4.7686363858367806E-3</v>
      </c>
      <c r="T153" s="3">
        <f t="shared" si="83"/>
        <v>4.7686363858365881E-3</v>
      </c>
      <c r="U153" s="3">
        <f t="shared" si="83"/>
        <v>4.7686363858346565E-3</v>
      </c>
      <c r="V153" s="3">
        <f t="shared" si="83"/>
        <v>4.7686363858153438E-3</v>
      </c>
      <c r="W153" s="3">
        <f t="shared" si="83"/>
        <v>4.7686363856222205E-3</v>
      </c>
      <c r="X153" s="3">
        <f t="shared" si="83"/>
        <v>4.7686363836909841E-3</v>
      </c>
      <c r="Y153" s="3">
        <f t="shared" si="83"/>
        <v>4.768636364378619E-3</v>
      </c>
      <c r="Z153" s="3">
        <f t="shared" si="83"/>
        <v>4.7686361712549735E-3</v>
      </c>
      <c r="AA153" s="3">
        <f t="shared" ref="AA153" si="84">$C39*EXP(-AA$129/$A39/EXP(-$B$126))</f>
        <v>4.7686342400189508E-3</v>
      </c>
      <c r="AB153" s="3">
        <f t="shared" si="67"/>
        <v>4.7686149277017392E-3</v>
      </c>
      <c r="AC153" s="3">
        <f t="shared" si="67"/>
        <v>4.7684218088312417E-3</v>
      </c>
      <c r="AD153" s="3">
        <f t="shared" si="67"/>
        <v>4.7664910502239468E-3</v>
      </c>
      <c r="AE153" s="3">
        <f t="shared" si="67"/>
        <v>4.7472264095404686E-3</v>
      </c>
      <c r="AF153" s="3">
        <f t="shared" si="67"/>
        <v>4.5588108811882994E-3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2.0950739363465548E-3</v>
      </c>
      <c r="C155" s="3">
        <f t="shared" si="87"/>
        <v>2.0950739363465548E-3</v>
      </c>
      <c r="D155" s="3">
        <f t="shared" si="87"/>
        <v>2.0950739363465548E-3</v>
      </c>
      <c r="E155" s="3">
        <f t="shared" si="87"/>
        <v>2.0950739363465548E-3</v>
      </c>
      <c r="F155" s="3">
        <f t="shared" si="87"/>
        <v>2.0950739363465548E-3</v>
      </c>
      <c r="G155" s="3">
        <f t="shared" si="87"/>
        <v>2.0950739363465548E-3</v>
      </c>
      <c r="H155" s="3">
        <f t="shared" si="87"/>
        <v>2.0950739363465548E-3</v>
      </c>
      <c r="I155" s="3">
        <f t="shared" si="87"/>
        <v>2.0950739363465548E-3</v>
      </c>
      <c r="J155" s="3">
        <f t="shared" si="87"/>
        <v>2.0950739363465548E-3</v>
      </c>
      <c r="K155" s="3">
        <f t="shared" si="87"/>
        <v>2.0950739363465548E-3</v>
      </c>
      <c r="L155" s="3">
        <f t="shared" si="87"/>
        <v>2.0950739363465548E-3</v>
      </c>
      <c r="M155" s="3">
        <f t="shared" si="87"/>
        <v>2.0950739363465548E-3</v>
      </c>
      <c r="N155" s="3">
        <f t="shared" si="87"/>
        <v>2.0950739363465548E-3</v>
      </c>
      <c r="O155" s="3">
        <f t="shared" si="87"/>
        <v>2.0950739363465548E-3</v>
      </c>
      <c r="P155" s="3">
        <f t="shared" si="87"/>
        <v>2.0950739363465548E-3</v>
      </c>
      <c r="Q155" s="3">
        <f t="shared" si="87"/>
        <v>2.0950739363465548E-3</v>
      </c>
      <c r="R155" s="3">
        <f t="shared" si="87"/>
        <v>2.0950739363465548E-3</v>
      </c>
      <c r="S155" s="3">
        <f t="shared" si="87"/>
        <v>2.0950739363465548E-3</v>
      </c>
      <c r="T155" s="3">
        <f t="shared" si="87"/>
        <v>2.0950739363465539E-3</v>
      </c>
      <c r="U155" s="3">
        <f t="shared" si="87"/>
        <v>2.0950739363465453E-3</v>
      </c>
      <c r="V155" s="3">
        <f t="shared" si="87"/>
        <v>2.0950739363464607E-3</v>
      </c>
      <c r="W155" s="3">
        <f t="shared" si="87"/>
        <v>2.095073936345612E-3</v>
      </c>
      <c r="X155" s="3">
        <f t="shared" si="87"/>
        <v>2.0950739363371274E-3</v>
      </c>
      <c r="Y155" s="3">
        <f t="shared" si="87"/>
        <v>2.0950739362522795E-3</v>
      </c>
      <c r="Z155" s="3">
        <f t="shared" si="87"/>
        <v>2.0950739354038015E-3</v>
      </c>
      <c r="AA155" s="3">
        <f t="shared" ref="AA155:AF155" si="88">$C41*EXP(-AA$129/$A41/EXP(-$B$126))</f>
        <v>2.095073926919021E-3</v>
      </c>
      <c r="AB155" s="3">
        <f t="shared" si="88"/>
        <v>2.095073842071219E-3</v>
      </c>
      <c r="AC155" s="3">
        <f t="shared" si="88"/>
        <v>2.0950729935933885E-3</v>
      </c>
      <c r="AD155" s="3">
        <f t="shared" si="88"/>
        <v>2.0950645088339799E-3</v>
      </c>
      <c r="AE155" s="3">
        <f t="shared" si="88"/>
        <v>2.0949796631297866E-3</v>
      </c>
      <c r="AF155" s="3">
        <f t="shared" si="88"/>
        <v>2.0941313950488876E-3</v>
      </c>
    </row>
    <row r="156" spans="1:32" x14ac:dyDescent="0.25">
      <c r="B156" s="3">
        <f t="shared" ref="B156:Z156" si="89">$C42*EXP(-B$129/$A42/EXP(-$B$126))</f>
        <v>1.9210885084110967E-3</v>
      </c>
      <c r="C156" s="3">
        <f t="shared" si="89"/>
        <v>1.9210885084110967E-3</v>
      </c>
      <c r="D156" s="3">
        <f t="shared" si="89"/>
        <v>1.9210885084110967E-3</v>
      </c>
      <c r="E156" s="3">
        <f t="shared" si="89"/>
        <v>1.9210885084110967E-3</v>
      </c>
      <c r="F156" s="3">
        <f t="shared" si="89"/>
        <v>1.9210885084110967E-3</v>
      </c>
      <c r="G156" s="3">
        <f t="shared" si="89"/>
        <v>1.9210885084110967E-3</v>
      </c>
      <c r="H156" s="3">
        <f t="shared" si="89"/>
        <v>1.9210885084110967E-3</v>
      </c>
      <c r="I156" s="3">
        <f t="shared" si="89"/>
        <v>1.9210885084110967E-3</v>
      </c>
      <c r="J156" s="3">
        <f t="shared" si="89"/>
        <v>1.9210885084110967E-3</v>
      </c>
      <c r="K156" s="3">
        <f t="shared" si="89"/>
        <v>1.9210885084110967E-3</v>
      </c>
      <c r="L156" s="3">
        <f t="shared" si="89"/>
        <v>1.9210885084110967E-3</v>
      </c>
      <c r="M156" s="3">
        <f t="shared" si="89"/>
        <v>1.9210885084110967E-3</v>
      </c>
      <c r="N156" s="3">
        <f t="shared" si="89"/>
        <v>1.9210885084110967E-3</v>
      </c>
      <c r="O156" s="3">
        <f t="shared" si="89"/>
        <v>1.9210885084110967E-3</v>
      </c>
      <c r="P156" s="3">
        <f t="shared" si="89"/>
        <v>1.9210885084110967E-3</v>
      </c>
      <c r="Q156" s="3">
        <f t="shared" si="89"/>
        <v>1.9210885084110967E-3</v>
      </c>
      <c r="R156" s="3">
        <f t="shared" si="89"/>
        <v>1.9210885084110967E-3</v>
      </c>
      <c r="S156" s="3">
        <f t="shared" si="89"/>
        <v>1.9210885084110967E-3</v>
      </c>
      <c r="T156" s="3">
        <f t="shared" si="89"/>
        <v>1.9210885084110967E-3</v>
      </c>
      <c r="U156" s="3">
        <f t="shared" si="89"/>
        <v>1.9210885084110958E-3</v>
      </c>
      <c r="V156" s="3">
        <f t="shared" si="89"/>
        <v>1.921088508411088E-3</v>
      </c>
      <c r="W156" s="3">
        <f t="shared" si="89"/>
        <v>1.9210885084110104E-3</v>
      </c>
      <c r="X156" s="3">
        <f t="shared" si="89"/>
        <v>1.9210885084102321E-3</v>
      </c>
      <c r="Y156" s="3">
        <f t="shared" si="89"/>
        <v>1.9210885084024521E-3</v>
      </c>
      <c r="Z156" s="3">
        <f t="shared" si="89"/>
        <v>1.9210885083246504E-3</v>
      </c>
      <c r="AA156" s="3">
        <f t="shared" ref="AA156:AF156" si="90">$C42*EXP(-AA$129/$A42/EXP(-$B$126))</f>
        <v>1.9210885075466343E-3</v>
      </c>
      <c r="AB156" s="3">
        <f t="shared" si="90"/>
        <v>1.9210884997664726E-3</v>
      </c>
      <c r="AC156" s="3">
        <f t="shared" si="90"/>
        <v>1.9210884219648568E-3</v>
      </c>
      <c r="AD156" s="3">
        <f t="shared" si="90"/>
        <v>1.9210876439488727E-3</v>
      </c>
      <c r="AE156" s="3">
        <f t="shared" si="90"/>
        <v>1.9210798638063615E-3</v>
      </c>
      <c r="AF156" s="3">
        <f t="shared" si="90"/>
        <v>1.9210020641141953E-3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4.6732387958302481E-4</v>
      </c>
      <c r="C158" s="3">
        <f t="shared" si="93"/>
        <v>4.6732387958302481E-4</v>
      </c>
      <c r="D158" s="3">
        <f t="shared" si="93"/>
        <v>4.6732387958302481E-4</v>
      </c>
      <c r="E158" s="3">
        <f t="shared" si="93"/>
        <v>4.6732387958302481E-4</v>
      </c>
      <c r="F158" s="3">
        <f t="shared" si="93"/>
        <v>4.6732387958302481E-4</v>
      </c>
      <c r="G158" s="3">
        <f t="shared" si="93"/>
        <v>4.6732387958302481E-4</v>
      </c>
      <c r="H158" s="3">
        <f t="shared" si="93"/>
        <v>4.6732387958302481E-4</v>
      </c>
      <c r="I158" s="3">
        <f t="shared" si="93"/>
        <v>4.6732387958302481E-4</v>
      </c>
      <c r="J158" s="3">
        <f t="shared" si="93"/>
        <v>4.6732387958302481E-4</v>
      </c>
      <c r="K158" s="3">
        <f t="shared" si="93"/>
        <v>4.6732387958302481E-4</v>
      </c>
      <c r="L158" s="3">
        <f t="shared" si="93"/>
        <v>4.6732387958302481E-4</v>
      </c>
      <c r="M158" s="3">
        <f t="shared" si="93"/>
        <v>4.6732387958302481E-4</v>
      </c>
      <c r="N158" s="3">
        <f t="shared" si="93"/>
        <v>4.6732387958302481E-4</v>
      </c>
      <c r="O158" s="3">
        <f t="shared" si="93"/>
        <v>4.6732387958302481E-4</v>
      </c>
      <c r="P158" s="3">
        <f t="shared" si="93"/>
        <v>4.6732387958302481E-4</v>
      </c>
      <c r="Q158" s="3">
        <f t="shared" si="93"/>
        <v>4.6732387958302481E-4</v>
      </c>
      <c r="R158" s="3">
        <f t="shared" si="93"/>
        <v>4.6732387958302481E-4</v>
      </c>
      <c r="S158" s="3">
        <f t="shared" si="93"/>
        <v>4.6732387958302481E-4</v>
      </c>
      <c r="T158" s="3">
        <f t="shared" si="93"/>
        <v>4.6732387958302481E-4</v>
      </c>
      <c r="U158" s="3">
        <f t="shared" si="93"/>
        <v>4.6732387958302481E-4</v>
      </c>
      <c r="V158" s="3">
        <f t="shared" si="93"/>
        <v>4.6732387958302481E-4</v>
      </c>
      <c r="W158" s="3">
        <f t="shared" si="93"/>
        <v>4.6732387958302459E-4</v>
      </c>
      <c r="X158" s="3">
        <f t="shared" si="93"/>
        <v>4.6732387958302269E-4</v>
      </c>
      <c r="Y158" s="3">
        <f t="shared" si="93"/>
        <v>4.6732387958300377E-4</v>
      </c>
      <c r="Z158" s="3">
        <f t="shared" si="93"/>
        <v>4.6732387958281453E-4</v>
      </c>
      <c r="AA158" s="3">
        <f t="shared" ref="AA158:AF158" si="94">$C44*EXP(-AA$129/$A44/EXP(-$B$126))</f>
        <v>4.6732387958092194E-4</v>
      </c>
      <c r="AB158" s="3">
        <f t="shared" si="94"/>
        <v>4.6732387956199589E-4</v>
      </c>
      <c r="AC158" s="3">
        <f t="shared" si="94"/>
        <v>4.6732387937273572E-4</v>
      </c>
      <c r="AD158" s="3">
        <f t="shared" si="94"/>
        <v>4.6732387748013403E-4</v>
      </c>
      <c r="AE158" s="3">
        <f t="shared" si="94"/>
        <v>4.6732385855411746E-4</v>
      </c>
      <c r="AF158" s="3">
        <f t="shared" si="94"/>
        <v>4.6732366929399415E-4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1.2351806616485092E-4</v>
      </c>
      <c r="C160" s="3">
        <f t="shared" si="97"/>
        <v>1.2351806616485092E-4</v>
      </c>
      <c r="D160" s="3">
        <f t="shared" si="97"/>
        <v>1.2351806616485092E-4</v>
      </c>
      <c r="E160" s="3">
        <f t="shared" si="97"/>
        <v>1.2351806616485092E-4</v>
      </c>
      <c r="F160" s="3">
        <f t="shared" si="97"/>
        <v>1.2351806616485092E-4</v>
      </c>
      <c r="G160" s="3">
        <f t="shared" si="97"/>
        <v>1.2351806616485092E-4</v>
      </c>
      <c r="H160" s="3">
        <f t="shared" si="97"/>
        <v>1.2351806616485092E-4</v>
      </c>
      <c r="I160" s="3">
        <f t="shared" si="97"/>
        <v>1.2351806616485092E-4</v>
      </c>
      <c r="J160" s="3">
        <f t="shared" si="97"/>
        <v>1.2351806616485092E-4</v>
      </c>
      <c r="K160" s="3">
        <f t="shared" si="97"/>
        <v>1.2351806616485092E-4</v>
      </c>
      <c r="L160" s="3">
        <f t="shared" si="97"/>
        <v>1.2351806616485092E-4</v>
      </c>
      <c r="M160" s="3">
        <f t="shared" si="97"/>
        <v>1.2351806616485092E-4</v>
      </c>
      <c r="N160" s="3">
        <f t="shared" si="97"/>
        <v>1.2351806616485092E-4</v>
      </c>
      <c r="O160" s="3">
        <f t="shared" si="97"/>
        <v>1.2351806616485092E-4</v>
      </c>
      <c r="P160" s="3">
        <f t="shared" si="97"/>
        <v>1.2351806616485092E-4</v>
      </c>
      <c r="Q160" s="3">
        <f t="shared" si="97"/>
        <v>1.2351806616485092E-4</v>
      </c>
      <c r="R160" s="3">
        <f t="shared" si="97"/>
        <v>1.2351806616485092E-4</v>
      </c>
      <c r="S160" s="3">
        <f t="shared" si="97"/>
        <v>1.2351806616485092E-4</v>
      </c>
      <c r="T160" s="3">
        <f t="shared" si="97"/>
        <v>1.2351806616485092E-4</v>
      </c>
      <c r="U160" s="3">
        <f t="shared" si="97"/>
        <v>1.2351806616485092E-4</v>
      </c>
      <c r="V160" s="3">
        <f t="shared" si="97"/>
        <v>1.2351806616485092E-4</v>
      </c>
      <c r="W160" s="3">
        <f t="shared" si="97"/>
        <v>1.2351806616485092E-4</v>
      </c>
      <c r="X160" s="3">
        <f t="shared" si="97"/>
        <v>1.2351806616485092E-4</v>
      </c>
      <c r="Y160" s="3">
        <f t="shared" si="97"/>
        <v>1.2351806616485087E-4</v>
      </c>
      <c r="Z160" s="3">
        <f t="shared" si="97"/>
        <v>1.2351806616485035E-4</v>
      </c>
      <c r="AA160" s="3">
        <f t="shared" ref="AA160:AF160" si="98">$C46*EXP(-AA$129/$A46/EXP(-$B$126))</f>
        <v>1.2351806616484536E-4</v>
      </c>
      <c r="AB160" s="3">
        <f t="shared" si="98"/>
        <v>1.2351806616479533E-4</v>
      </c>
      <c r="AC160" s="3">
        <f t="shared" si="98"/>
        <v>1.235180661642951E-4</v>
      </c>
      <c r="AD160" s="3">
        <f t="shared" si="98"/>
        <v>1.2351806615929279E-4</v>
      </c>
      <c r="AE160" s="3">
        <f t="shared" si="98"/>
        <v>1.2351806610926957E-4</v>
      </c>
      <c r="AF160" s="3">
        <f t="shared" si="98"/>
        <v>1.2351806560903725E-4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1.0347942973527732E-3</v>
      </c>
      <c r="C162" s="3">
        <f t="shared" si="101"/>
        <v>1.0347942973527732E-3</v>
      </c>
      <c r="D162" s="3">
        <f t="shared" si="101"/>
        <v>1.0347942973527732E-3</v>
      </c>
      <c r="E162" s="3">
        <f t="shared" si="101"/>
        <v>1.0347942973527732E-3</v>
      </c>
      <c r="F162" s="3">
        <f t="shared" si="101"/>
        <v>1.0347942973527732E-3</v>
      </c>
      <c r="G162" s="3">
        <f t="shared" si="101"/>
        <v>1.0347942973527732E-3</v>
      </c>
      <c r="H162" s="3">
        <f t="shared" si="101"/>
        <v>1.0347942973527732E-3</v>
      </c>
      <c r="I162" s="3">
        <f t="shared" si="101"/>
        <v>1.0347942973527732E-3</v>
      </c>
      <c r="J162" s="3">
        <f t="shared" si="101"/>
        <v>1.0347942973527732E-3</v>
      </c>
      <c r="K162" s="3">
        <f t="shared" si="101"/>
        <v>1.0347942973527732E-3</v>
      </c>
      <c r="L162" s="3">
        <f t="shared" si="101"/>
        <v>1.0347942973527732E-3</v>
      </c>
      <c r="M162" s="3">
        <f t="shared" si="101"/>
        <v>1.0347942973527732E-3</v>
      </c>
      <c r="N162" s="3">
        <f t="shared" si="101"/>
        <v>1.0347942973527732E-3</v>
      </c>
      <c r="O162" s="3">
        <f t="shared" si="101"/>
        <v>1.0347942973527732E-3</v>
      </c>
      <c r="P162" s="3">
        <f t="shared" si="101"/>
        <v>1.0347942973527732E-3</v>
      </c>
      <c r="Q162" s="3">
        <f t="shared" si="101"/>
        <v>1.0347942973527732E-3</v>
      </c>
      <c r="R162" s="3">
        <f t="shared" si="101"/>
        <v>1.0347942973527732E-3</v>
      </c>
      <c r="S162" s="3">
        <f t="shared" si="101"/>
        <v>1.0347942973527732E-3</v>
      </c>
      <c r="T162" s="3">
        <f t="shared" si="101"/>
        <v>1.0347942973527732E-3</v>
      </c>
      <c r="U162" s="3">
        <f t="shared" si="101"/>
        <v>1.0347942973527732E-3</v>
      </c>
      <c r="V162" s="3">
        <f t="shared" si="101"/>
        <v>1.0347942973527732E-3</v>
      </c>
      <c r="W162" s="3">
        <f t="shared" si="101"/>
        <v>1.0347942973527732E-3</v>
      </c>
      <c r="X162" s="3">
        <f t="shared" si="101"/>
        <v>1.0347942973527732E-3</v>
      </c>
      <c r="Y162" s="3">
        <f t="shared" si="101"/>
        <v>1.0347942973527732E-3</v>
      </c>
      <c r="Z162" s="3">
        <f t="shared" si="101"/>
        <v>1.0347942973527732E-3</v>
      </c>
      <c r="AA162" s="3">
        <f t="shared" ref="AA162:AF162" si="102">$C48*EXP(-AA$129/$A48/EXP(-$B$126))</f>
        <v>1.0347942973527727E-3</v>
      </c>
      <c r="AB162" s="3">
        <f t="shared" si="102"/>
        <v>1.0347942973527684E-3</v>
      </c>
      <c r="AC162" s="3">
        <f t="shared" si="102"/>
        <v>1.0347942973527265E-3</v>
      </c>
      <c r="AD162" s="3">
        <f t="shared" si="102"/>
        <v>1.0347942973523076E-3</v>
      </c>
      <c r="AE162" s="3">
        <f t="shared" si="102"/>
        <v>1.0347942973481167E-3</v>
      </c>
      <c r="AF162" s="3">
        <f t="shared" si="102"/>
        <v>1.0347942973062089E-3</v>
      </c>
    </row>
    <row r="163" spans="1:34" x14ac:dyDescent="0.25">
      <c r="A163" s="79">
        <f>AVERAGE(B163:AF163)</f>
        <v>2.4296349745813774E-2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5.8474137306744244E-2</v>
      </c>
      <c r="M163" s="80">
        <f t="shared" si="103"/>
        <v>7.0062325024589006E-2</v>
      </c>
      <c r="N163" s="80">
        <f t="shared" si="103"/>
        <v>7.5615562026595071E-2</v>
      </c>
      <c r="O163" s="80">
        <f t="shared" si="103"/>
        <v>7.3301046891048868E-2</v>
      </c>
      <c r="P163" s="80">
        <f t="shared" si="103"/>
        <v>7.0303396255575676E-2</v>
      </c>
      <c r="Q163" s="80">
        <f t="shared" si="103"/>
        <v>7.0589140013662163E-2</v>
      </c>
      <c r="R163" s="80">
        <f t="shared" si="103"/>
        <v>7.0421420438061252E-2</v>
      </c>
      <c r="S163" s="80">
        <f t="shared" si="103"/>
        <v>7.1682056952768983E-2</v>
      </c>
      <c r="T163" s="80">
        <f t="shared" si="103"/>
        <v>7.0973686224827651E-2</v>
      </c>
      <c r="U163" s="80">
        <f t="shared" si="103"/>
        <v>7.1818603123659036E-2</v>
      </c>
      <c r="V163" s="80">
        <f t="shared" si="103"/>
        <v>4.9945467862694957E-2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39819.433201297164</v>
      </c>
      <c r="C164" s="21">
        <f t="shared" ref="C164:AF164" si="104">(C131-C130)^2</f>
        <v>14525.875959086981</v>
      </c>
      <c r="D164" s="21">
        <f t="shared" si="104"/>
        <v>17412.750566862895</v>
      </c>
      <c r="E164" s="21">
        <f t="shared" si="104"/>
        <v>51113.948359618742</v>
      </c>
      <c r="F164" s="21">
        <f t="shared" si="104"/>
        <v>137703.22678981235</v>
      </c>
      <c r="G164" s="21">
        <f t="shared" si="104"/>
        <v>2897321.4809796629</v>
      </c>
      <c r="H164" s="21">
        <f t="shared" si="104"/>
        <v>2317662.787323249</v>
      </c>
      <c r="I164" s="21">
        <f t="shared" si="104"/>
        <v>1650956.5985637819</v>
      </c>
      <c r="J164" s="21">
        <f t="shared" si="104"/>
        <v>1044632.2764784303</v>
      </c>
      <c r="K164" s="21">
        <f t="shared" si="104"/>
        <v>576194.38933266921</v>
      </c>
      <c r="L164" s="21">
        <f t="shared" si="104"/>
        <v>305815.2414289249</v>
      </c>
      <c r="M164" s="21">
        <f t="shared" si="104"/>
        <v>415195.65007948194</v>
      </c>
      <c r="N164" s="21">
        <f t="shared" si="104"/>
        <v>448160.54756139487</v>
      </c>
      <c r="O164" s="21">
        <f t="shared" si="104"/>
        <v>386369.93393359816</v>
      </c>
      <c r="P164" s="21">
        <f t="shared" si="104"/>
        <v>326605.26923945168</v>
      </c>
      <c r="Q164" s="21">
        <f t="shared" si="104"/>
        <v>306780.02503770415</v>
      </c>
      <c r="R164" s="21">
        <f t="shared" si="104"/>
        <v>283011.85430094809</v>
      </c>
      <c r="S164" s="21">
        <f t="shared" si="104"/>
        <v>271684.3575571744</v>
      </c>
      <c r="T164" s="21">
        <f t="shared" si="104"/>
        <v>244597.83380402657</v>
      </c>
      <c r="U164" s="21">
        <f t="shared" si="104"/>
        <v>228836.3646989504</v>
      </c>
      <c r="V164" s="21">
        <f t="shared" si="104"/>
        <v>93435.673456430828</v>
      </c>
      <c r="W164" s="21">
        <f t="shared" si="104"/>
        <v>66773.26205354894</v>
      </c>
      <c r="X164" s="21">
        <f t="shared" si="104"/>
        <v>741719.02009783953</v>
      </c>
      <c r="Y164" s="21">
        <f t="shared" si="104"/>
        <v>1363565.7673698496</v>
      </c>
      <c r="Z164" s="21">
        <f t="shared" si="104"/>
        <v>1147104.8854999887</v>
      </c>
      <c r="AA164" s="21">
        <f t="shared" si="104"/>
        <v>348928.16168327082</v>
      </c>
      <c r="AB164" s="21">
        <f t="shared" si="104"/>
        <v>69849.821786283821</v>
      </c>
      <c r="AC164" s="21">
        <f t="shared" si="104"/>
        <v>6942.0654931864492</v>
      </c>
      <c r="AD164" s="21">
        <f t="shared" si="104"/>
        <v>2288.8833873346689</v>
      </c>
      <c r="AE164" s="21">
        <f t="shared" si="104"/>
        <v>620.90498613970794</v>
      </c>
      <c r="AF164" s="21">
        <f t="shared" si="104"/>
        <v>554.83314670236246</v>
      </c>
    </row>
    <row r="165" spans="1:34" x14ac:dyDescent="0.25">
      <c r="A165" s="71">
        <f>SUM(B165:AF165)</f>
        <v>3310492.7510980857</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305815.2414289249</v>
      </c>
      <c r="M165" s="60">
        <f t="shared" si="105"/>
        <v>415195.65007948194</v>
      </c>
      <c r="N165" s="60">
        <f t="shared" si="105"/>
        <v>448160.54756139487</v>
      </c>
      <c r="O165" s="60">
        <f t="shared" si="105"/>
        <v>386369.93393359816</v>
      </c>
      <c r="P165" s="60">
        <f t="shared" si="105"/>
        <v>326605.26923945168</v>
      </c>
      <c r="Q165" s="60">
        <f t="shared" si="105"/>
        <v>306780.02503770415</v>
      </c>
      <c r="R165" s="60">
        <f t="shared" si="105"/>
        <v>283011.85430094809</v>
      </c>
      <c r="S165" s="60">
        <f t="shared" si="105"/>
        <v>271684.3575571744</v>
      </c>
      <c r="T165" s="60">
        <f t="shared" si="105"/>
        <v>244597.83380402657</v>
      </c>
      <c r="U165" s="60">
        <f t="shared" si="105"/>
        <v>228836.3646989504</v>
      </c>
      <c r="V165" s="60">
        <f t="shared" si="105"/>
        <v>93435.673456430828</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11402.172576379138</v>
      </c>
      <c r="C170" s="27">
        <f t="shared" ref="C170:AF170" si="106">($C$17+SUM(C171:C201))*$B$51</f>
        <v>11368.978749561107</v>
      </c>
      <c r="D170" s="27">
        <f t="shared" si="106"/>
        <v>11060.951674002055</v>
      </c>
      <c r="E170" s="27">
        <f t="shared" si="106"/>
        <v>9498.5309859382614</v>
      </c>
      <c r="F170" s="27">
        <f t="shared" si="106"/>
        <v>8968.7015410180338</v>
      </c>
      <c r="G170" s="27">
        <f t="shared" si="106"/>
        <v>8968.6801989715968</v>
      </c>
      <c r="H170" s="27">
        <f t="shared" si="106"/>
        <v>8968.472562651541</v>
      </c>
      <c r="I170" s="27">
        <f t="shared" si="106"/>
        <v>8966.4000283185342</v>
      </c>
      <c r="J170" s="27">
        <f t="shared" si="106"/>
        <v>8946.0526531937849</v>
      </c>
      <c r="K170" s="27">
        <f t="shared" si="106"/>
        <v>8775.9032995812267</v>
      </c>
      <c r="L170" s="27">
        <f t="shared" si="106"/>
        <v>8320.2526723537449</v>
      </c>
      <c r="M170" s="27">
        <f t="shared" si="106"/>
        <v>8013.2125991226476</v>
      </c>
      <c r="N170" s="27">
        <f t="shared" si="106"/>
        <v>7672.4530716022127</v>
      </c>
      <c r="O170" s="27">
        <f t="shared" si="106"/>
        <v>7410.4870928346763</v>
      </c>
      <c r="P170" s="27">
        <f t="shared" si="106"/>
        <v>7134.5349743855577</v>
      </c>
      <c r="Q170" s="27">
        <f t="shared" si="106"/>
        <v>6870.5200539805683</v>
      </c>
      <c r="R170" s="27">
        <f t="shared" si="106"/>
        <v>6586.8674108072219</v>
      </c>
      <c r="S170" s="27">
        <f t="shared" si="106"/>
        <v>6324.0257529620067</v>
      </c>
      <c r="T170" s="27">
        <f t="shared" si="106"/>
        <v>5974.5663345852154</v>
      </c>
      <c r="U170" s="27">
        <f t="shared" si="106"/>
        <v>5618.577765292408</v>
      </c>
      <c r="V170" s="27">
        <f t="shared" si="106"/>
        <v>5194.265546665104</v>
      </c>
      <c r="W170" s="27">
        <f t="shared" si="106"/>
        <v>4695.7257357603476</v>
      </c>
      <c r="X170" s="27">
        <f t="shared" si="106"/>
        <v>4032.9960960332478</v>
      </c>
      <c r="Y170" s="27">
        <f t="shared" si="106"/>
        <v>3067.3578526321148</v>
      </c>
      <c r="Z170" s="27">
        <f t="shared" si="106"/>
        <v>2081.8787541279153</v>
      </c>
      <c r="AA170" s="27">
        <f t="shared" si="106"/>
        <v>1345.8411285842992</v>
      </c>
      <c r="AB170" s="27">
        <f t="shared" si="106"/>
        <v>884.99724856136629</v>
      </c>
      <c r="AC170" s="27">
        <f t="shared" si="106"/>
        <v>639.0597821492338</v>
      </c>
      <c r="AD170" s="27">
        <f t="shared" si="106"/>
        <v>511.44975771083705</v>
      </c>
      <c r="AE170" s="27">
        <f t="shared" si="106"/>
        <v>452.22305384670966</v>
      </c>
      <c r="AF170" s="27">
        <f t="shared" si="106"/>
        <v>407.43163222761274</v>
      </c>
      <c r="AG170" s="27"/>
      <c r="AH170" s="27"/>
    </row>
    <row r="171" spans="1:34" x14ac:dyDescent="0.25">
      <c r="B171" s="3">
        <f t="shared" ref="B171:AF171" si="107">$C18*EXP(-B$168/$A18/EXP(-$C$126))</f>
        <v>0.21335200637435794</v>
      </c>
      <c r="C171" s="3">
        <f t="shared" si="107"/>
        <v>0.2104417707284347</v>
      </c>
      <c r="D171" s="3">
        <f t="shared" si="107"/>
        <v>0.18343580435517248</v>
      </c>
      <c r="E171" s="3">
        <f t="shared" si="107"/>
        <v>4.6452139128821839E-2</v>
      </c>
      <c r="F171" s="3">
        <f t="shared" si="107"/>
        <v>5.0375783663267734E-8</v>
      </c>
      <c r="G171" s="3">
        <f t="shared" si="107"/>
        <v>1.1333988988782833E-67</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4.9174999588521194E-2</v>
      </c>
      <c r="C172" s="3">
        <f t="shared" si="108"/>
        <v>4.9174999415516986E-2</v>
      </c>
      <c r="D172" s="3">
        <f t="shared" si="108"/>
        <v>4.9174997685474897E-2</v>
      </c>
      <c r="E172" s="3">
        <f t="shared" si="108"/>
        <v>4.9174980385057326E-2</v>
      </c>
      <c r="F172" s="3">
        <f t="shared" si="108"/>
        <v>4.9174807381216469E-2</v>
      </c>
      <c r="G172" s="3">
        <f t="shared" si="108"/>
        <v>4.917307737628325E-2</v>
      </c>
      <c r="H172" s="3">
        <f t="shared" si="108"/>
        <v>4.9155780674052386E-2</v>
      </c>
      <c r="I172" s="3">
        <f t="shared" si="108"/>
        <v>4.8983147926598282E-2</v>
      </c>
      <c r="J172" s="3">
        <f t="shared" si="108"/>
        <v>4.7289816873215984E-2</v>
      </c>
      <c r="K172" s="3">
        <f t="shared" si="108"/>
        <v>3.3264196406963799E-2</v>
      </c>
      <c r="L172" s="3">
        <f t="shared" si="108"/>
        <v>9.8644091310168876E-4</v>
      </c>
      <c r="M172" s="3">
        <f t="shared" si="108"/>
        <v>5.1881375188853408E-19</v>
      </c>
      <c r="N172" s="3">
        <f t="shared" si="108"/>
        <v>8.4026351281604667E-172</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2.5308430894937142E-2</v>
      </c>
      <c r="C173" s="3">
        <f t="shared" si="109"/>
        <v>2.5308430886905132E-2</v>
      </c>
      <c r="D173" s="3">
        <f t="shared" si="109"/>
        <v>2.5308430806585056E-2</v>
      </c>
      <c r="E173" s="3">
        <f t="shared" si="109"/>
        <v>2.5308430003384286E-2</v>
      </c>
      <c r="F173" s="3">
        <f t="shared" si="109"/>
        <v>2.5308421971377986E-2</v>
      </c>
      <c r="G173" s="3">
        <f t="shared" si="109"/>
        <v>2.53083416514552E-2</v>
      </c>
      <c r="H173" s="3">
        <f t="shared" si="109"/>
        <v>2.5307538466247101E-2</v>
      </c>
      <c r="I173" s="3">
        <f t="shared" si="109"/>
        <v>2.5299508015975764E-2</v>
      </c>
      <c r="J173" s="3">
        <f t="shared" si="109"/>
        <v>2.5219343529763176E-2</v>
      </c>
      <c r="K173" s="3">
        <f t="shared" si="109"/>
        <v>2.4431537289706356E-2</v>
      </c>
      <c r="L173" s="3">
        <f t="shared" si="109"/>
        <v>1.7787747917827904E-2</v>
      </c>
      <c r="M173" s="3">
        <f t="shared" si="109"/>
        <v>7.444279676731921E-4</v>
      </c>
      <c r="N173" s="3">
        <f t="shared" si="109"/>
        <v>1.2269866253770001E-17</v>
      </c>
      <c r="O173" s="3">
        <f t="shared" si="109"/>
        <v>1.8155629321528382E-155</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3.4194516713835887E-2</v>
      </c>
      <c r="C174" s="3">
        <f t="shared" si="110"/>
        <v>3.4194516712856934E-2</v>
      </c>
      <c r="D174" s="3">
        <f t="shared" si="110"/>
        <v>3.4194516703067404E-2</v>
      </c>
      <c r="E174" s="3">
        <f t="shared" si="110"/>
        <v>3.4194516605172073E-2</v>
      </c>
      <c r="F174" s="3">
        <f t="shared" si="110"/>
        <v>3.4194515626218815E-2</v>
      </c>
      <c r="G174" s="3">
        <f t="shared" si="110"/>
        <v>3.4194505836687733E-2</v>
      </c>
      <c r="H174" s="3">
        <f t="shared" si="110"/>
        <v>3.4194407941531085E-2</v>
      </c>
      <c r="I174" s="3">
        <f t="shared" si="110"/>
        <v>3.419342900537891E-2</v>
      </c>
      <c r="J174" s="3">
        <f t="shared" si="110"/>
        <v>3.4183641185128254E-2</v>
      </c>
      <c r="K174" s="3">
        <f t="shared" si="110"/>
        <v>3.4085916946594755E-2</v>
      </c>
      <c r="L174" s="3">
        <f t="shared" si="110"/>
        <v>3.3123909110320184E-2</v>
      </c>
      <c r="M174" s="3">
        <f t="shared" si="110"/>
        <v>2.4877550278300156E-2</v>
      </c>
      <c r="N174" s="3">
        <f t="shared" si="110"/>
        <v>1.4205871960566094E-3</v>
      </c>
      <c r="O174" s="3">
        <f t="shared" si="110"/>
        <v>5.2368571763273504E-16</v>
      </c>
      <c r="P174" s="3">
        <f t="shared" si="110"/>
        <v>2.4271636876313099E-140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2.2721576937743054E-2</v>
      </c>
      <c r="C175" s="3">
        <f t="shared" si="111"/>
        <v>2.2721576937684378E-2</v>
      </c>
      <c r="D175" s="3">
        <f t="shared" si="111"/>
        <v>2.2721576937097573E-2</v>
      </c>
      <c r="E175" s="3">
        <f t="shared" si="111"/>
        <v>2.2721576931229569E-2</v>
      </c>
      <c r="F175" s="3">
        <f t="shared" si="111"/>
        <v>2.2721576872549509E-2</v>
      </c>
      <c r="G175" s="3">
        <f t="shared" si="111"/>
        <v>2.2721576285748911E-2</v>
      </c>
      <c r="H175" s="3">
        <f t="shared" si="111"/>
        <v>2.2721570417743746E-2</v>
      </c>
      <c r="I175" s="3">
        <f t="shared" si="111"/>
        <v>2.2721511737775493E-2</v>
      </c>
      <c r="J175" s="3">
        <f t="shared" si="111"/>
        <v>2.2720924946427822E-2</v>
      </c>
      <c r="K175" s="3">
        <f t="shared" si="111"/>
        <v>2.2715057866362104E-2</v>
      </c>
      <c r="L175" s="3">
        <f t="shared" si="111"/>
        <v>2.2656470327222133E-2</v>
      </c>
      <c r="M175" s="3">
        <f t="shared" si="111"/>
        <v>2.2078842073543797E-2</v>
      </c>
      <c r="N175" s="3">
        <f t="shared" si="111"/>
        <v>1.7053624928035308E-2</v>
      </c>
      <c r="O175" s="3">
        <f t="shared" si="111"/>
        <v>1.2889048168213243E-3</v>
      </c>
      <c r="P175" s="3">
        <f t="shared" si="111"/>
        <v>7.8390285047244889E-15</v>
      </c>
      <c r="Q175" s="3">
        <f t="shared" si="111"/>
        <v>5.4284546382842814E-127</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2.5892610318391986E-2</v>
      </c>
      <c r="C176" s="3">
        <f t="shared" si="112"/>
        <v>2.5892610318385953E-2</v>
      </c>
      <c r="D176" s="3">
        <f t="shared" si="112"/>
        <v>2.589261031832563E-2</v>
      </c>
      <c r="E176" s="3">
        <f t="shared" si="112"/>
        <v>2.5892610317722411E-2</v>
      </c>
      <c r="F176" s="3">
        <f t="shared" si="112"/>
        <v>2.5892610311690233E-2</v>
      </c>
      <c r="G176" s="3">
        <f t="shared" si="112"/>
        <v>2.5892610251368398E-2</v>
      </c>
      <c r="H176" s="3">
        <f t="shared" si="112"/>
        <v>2.5892609648150103E-2</v>
      </c>
      <c r="I176" s="3">
        <f t="shared" si="112"/>
        <v>2.5892603615967902E-2</v>
      </c>
      <c r="J176" s="3">
        <f t="shared" si="112"/>
        <v>2.5892543294223195E-2</v>
      </c>
      <c r="K176" s="3">
        <f t="shared" si="112"/>
        <v>2.5891940084505273E-2</v>
      </c>
      <c r="L176" s="3">
        <f t="shared" si="112"/>
        <v>2.5885908760174423E-2</v>
      </c>
      <c r="M176" s="3">
        <f t="shared" si="112"/>
        <v>2.5825672735124105E-2</v>
      </c>
      <c r="N176" s="3">
        <f t="shared" si="112"/>
        <v>2.5230968162102716E-2</v>
      </c>
      <c r="O176" s="3">
        <f t="shared" si="112"/>
        <v>1.9987415384378315E-2</v>
      </c>
      <c r="P176" s="3">
        <f t="shared" si="112"/>
        <v>1.9452878059111219E-3</v>
      </c>
      <c r="Q176" s="3">
        <f t="shared" si="112"/>
        <v>1.4833926628804313E-13</v>
      </c>
      <c r="R176" s="3">
        <f t="shared" si="112"/>
        <v>9.8623122435168584E-115</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2.3275396535951787E-2</v>
      </c>
      <c r="C177" s="3">
        <f t="shared" si="113"/>
        <v>2.3275396535951301E-2</v>
      </c>
      <c r="D177" s="3">
        <f t="shared" si="113"/>
        <v>2.3275396535946409E-2</v>
      </c>
      <c r="E177" s="3">
        <f t="shared" si="113"/>
        <v>2.327539653589749E-2</v>
      </c>
      <c r="F177" s="3">
        <f t="shared" si="113"/>
        <v>2.3275396535408343E-2</v>
      </c>
      <c r="G177" s="3">
        <f t="shared" si="113"/>
        <v>2.3275396530516839E-2</v>
      </c>
      <c r="H177" s="3">
        <f t="shared" si="113"/>
        <v>2.3275396481601804E-2</v>
      </c>
      <c r="I177" s="3">
        <f t="shared" si="113"/>
        <v>2.3275395992451473E-2</v>
      </c>
      <c r="J177" s="3">
        <f t="shared" si="113"/>
        <v>2.3275391100948735E-2</v>
      </c>
      <c r="K177" s="3">
        <f t="shared" si="113"/>
        <v>2.3275342185977876E-2</v>
      </c>
      <c r="L177" s="3">
        <f t="shared" si="113"/>
        <v>2.3274853041923147E-2</v>
      </c>
      <c r="M177" s="3">
        <f t="shared" si="113"/>
        <v>2.3269962166719917E-2</v>
      </c>
      <c r="N177" s="3">
        <f t="shared" si="113"/>
        <v>2.3221109905152814E-2</v>
      </c>
      <c r="O177" s="3">
        <f t="shared" si="113"/>
        <v>2.2738192655790662E-2</v>
      </c>
      <c r="P177" s="3">
        <f t="shared" si="113"/>
        <v>1.8428314718223992E-2</v>
      </c>
      <c r="Q177" s="3">
        <f t="shared" si="113"/>
        <v>2.2531100625921142E-3</v>
      </c>
      <c r="R177" s="3">
        <f t="shared" si="113"/>
        <v>1.6817067749354156E-12</v>
      </c>
      <c r="S177" s="3">
        <f t="shared" si="113"/>
        <v>9.0246203285383063E-104</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2.7259427341223059E-2</v>
      </c>
      <c r="C178" s="3">
        <f t="shared" si="114"/>
        <v>2.7259427341223007E-2</v>
      </c>
      <c r="D178" s="3">
        <f t="shared" si="114"/>
        <v>2.7259427341222491E-2</v>
      </c>
      <c r="E178" s="3">
        <f t="shared" si="114"/>
        <v>2.7259427341217324E-2</v>
      </c>
      <c r="F178" s="3">
        <f t="shared" si="114"/>
        <v>2.7259427341165647E-2</v>
      </c>
      <c r="G178" s="3">
        <f t="shared" si="114"/>
        <v>2.7259427340648863E-2</v>
      </c>
      <c r="H178" s="3">
        <f t="shared" si="114"/>
        <v>2.7259427335481028E-2</v>
      </c>
      <c r="I178" s="3">
        <f t="shared" si="114"/>
        <v>2.7259427283802685E-2</v>
      </c>
      <c r="J178" s="3">
        <f t="shared" si="114"/>
        <v>2.7259426767019253E-2</v>
      </c>
      <c r="K178" s="3">
        <f t="shared" si="114"/>
        <v>2.7259421599185464E-2</v>
      </c>
      <c r="L178" s="3">
        <f t="shared" si="114"/>
        <v>2.7259369920901493E-2</v>
      </c>
      <c r="M178" s="3">
        <f t="shared" si="114"/>
        <v>2.7258853143450144E-2</v>
      </c>
      <c r="N178" s="3">
        <f t="shared" si="114"/>
        <v>2.7253685907738759E-2</v>
      </c>
      <c r="O178" s="3">
        <f t="shared" si="114"/>
        <v>2.7202067393061136E-2</v>
      </c>
      <c r="P178" s="3">
        <f t="shared" si="114"/>
        <v>2.6691228913157408E-2</v>
      </c>
      <c r="Q178" s="3">
        <f t="shared" si="114"/>
        <v>2.2081834325875179E-2</v>
      </c>
      <c r="R178" s="3">
        <f t="shared" si="114"/>
        <v>3.3166597408368641E-3</v>
      </c>
      <c r="S178" s="3">
        <f t="shared" si="114"/>
        <v>1.9380217149939092E-11</v>
      </c>
      <c r="T178" s="3">
        <f t="shared" si="114"/>
        <v>8.9936469772610938E-94</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2.1214287036784938E-2</v>
      </c>
      <c r="C179" s="3">
        <f t="shared" si="115"/>
        <v>2.1214287036784935E-2</v>
      </c>
      <c r="D179" s="3">
        <f t="shared" si="115"/>
        <v>2.1214287036784896E-2</v>
      </c>
      <c r="E179" s="3">
        <f t="shared" si="115"/>
        <v>2.1214287036784536E-2</v>
      </c>
      <c r="F179" s="3">
        <f t="shared" si="115"/>
        <v>2.1214287036780907E-2</v>
      </c>
      <c r="G179" s="3">
        <f t="shared" si="115"/>
        <v>2.1214287036744627E-2</v>
      </c>
      <c r="H179" s="3">
        <f t="shared" si="115"/>
        <v>2.121428703638183E-2</v>
      </c>
      <c r="I179" s="3">
        <f t="shared" si="115"/>
        <v>2.1214287032753829E-2</v>
      </c>
      <c r="J179" s="3">
        <f t="shared" si="115"/>
        <v>2.1214286996473864E-2</v>
      </c>
      <c r="K179" s="3">
        <f t="shared" si="115"/>
        <v>2.1214286633674192E-2</v>
      </c>
      <c r="L179" s="3">
        <f t="shared" si="115"/>
        <v>2.1214283005677806E-2</v>
      </c>
      <c r="M179" s="3">
        <f t="shared" si="115"/>
        <v>2.12142467257481E-2</v>
      </c>
      <c r="N179" s="3">
        <f t="shared" si="115"/>
        <v>2.121388392986347E-2</v>
      </c>
      <c r="O179" s="3">
        <f t="shared" si="115"/>
        <v>2.1210256312239564E-2</v>
      </c>
      <c r="P179" s="3">
        <f t="shared" si="115"/>
        <v>2.1174014236656241E-2</v>
      </c>
      <c r="Q179" s="3">
        <f t="shared" si="115"/>
        <v>2.0814982067163479E-2</v>
      </c>
      <c r="R179" s="3">
        <f t="shared" si="115"/>
        <v>1.7543023462521564E-2</v>
      </c>
      <c r="S179" s="3">
        <f t="shared" si="115"/>
        <v>3.1724039045285873E-3</v>
      </c>
      <c r="T179" s="3">
        <f t="shared" si="115"/>
        <v>1.1863935880460062E-10</v>
      </c>
      <c r="U179" s="3">
        <f t="shared" si="115"/>
        <v>6.3479272670750593E-85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3.4718036830476549E-2</v>
      </c>
      <c r="C180" s="3">
        <f t="shared" si="116"/>
        <v>3.4718036830476549E-2</v>
      </c>
      <c r="D180" s="3">
        <f t="shared" si="116"/>
        <v>3.4718036830476542E-2</v>
      </c>
      <c r="E180" s="3">
        <f t="shared" si="116"/>
        <v>3.4718036830476494E-2</v>
      </c>
      <c r="F180" s="3">
        <f t="shared" si="116"/>
        <v>3.4718036830475953E-2</v>
      </c>
      <c r="G180" s="3">
        <f t="shared" si="116"/>
        <v>3.4718036830470596E-2</v>
      </c>
      <c r="H180" s="3">
        <f t="shared" si="116"/>
        <v>3.4718036830417041E-2</v>
      </c>
      <c r="I180" s="3">
        <f t="shared" si="116"/>
        <v>3.4718036829881435E-2</v>
      </c>
      <c r="J180" s="3">
        <f t="shared" si="116"/>
        <v>3.4718036824525442E-2</v>
      </c>
      <c r="K180" s="3">
        <f t="shared" si="116"/>
        <v>3.4718036770965487E-2</v>
      </c>
      <c r="L180" s="3">
        <f t="shared" si="116"/>
        <v>3.471803623536595E-2</v>
      </c>
      <c r="M180" s="3">
        <f t="shared" si="116"/>
        <v>3.471803087937099E-2</v>
      </c>
      <c r="N180" s="3">
        <f t="shared" si="116"/>
        <v>3.4717977319466839E-2</v>
      </c>
      <c r="O180" s="3">
        <f t="shared" si="116"/>
        <v>3.4717441724969836E-2</v>
      </c>
      <c r="P180" s="3">
        <f t="shared" si="116"/>
        <v>3.4712086234422852E-2</v>
      </c>
      <c r="Q180" s="3">
        <f t="shared" si="116"/>
        <v>3.4658576745333784E-2</v>
      </c>
      <c r="R180" s="3">
        <f t="shared" si="116"/>
        <v>3.4127997675308802E-2</v>
      </c>
      <c r="S180" s="3">
        <f t="shared" si="116"/>
        <v>2.9249042218905737E-2</v>
      </c>
      <c r="T180" s="3">
        <f t="shared" si="116"/>
        <v>6.2534554142675341E-3</v>
      </c>
      <c r="U180" s="3">
        <f t="shared" si="116"/>
        <v>1.2479699896461257E-9</v>
      </c>
      <c r="V180" s="3">
        <f t="shared" si="116"/>
        <v>1.2503885340931039E-76</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3.054172570036021E-2</v>
      </c>
      <c r="C181" s="3">
        <f t="shared" si="117"/>
        <v>3.054172570036021E-2</v>
      </c>
      <c r="D181" s="3">
        <f t="shared" si="117"/>
        <v>3.054172570036021E-2</v>
      </c>
      <c r="E181" s="3">
        <f t="shared" si="117"/>
        <v>3.0541725700360206E-2</v>
      </c>
      <c r="F181" s="3">
        <f t="shared" si="117"/>
        <v>3.0541725700360161E-2</v>
      </c>
      <c r="G181" s="3">
        <f t="shared" si="117"/>
        <v>3.0541725700359738E-2</v>
      </c>
      <c r="H181" s="3">
        <f t="shared" si="117"/>
        <v>3.0541725700355488E-2</v>
      </c>
      <c r="I181" s="3">
        <f t="shared" si="117"/>
        <v>3.0541725700312983E-2</v>
      </c>
      <c r="J181" s="3">
        <f t="shared" si="117"/>
        <v>3.0541725699887948E-2</v>
      </c>
      <c r="K181" s="3">
        <f t="shared" si="117"/>
        <v>3.0541725695637595E-2</v>
      </c>
      <c r="L181" s="3">
        <f t="shared" si="117"/>
        <v>3.0541725653134042E-2</v>
      </c>
      <c r="M181" s="3">
        <f t="shared" si="117"/>
        <v>3.0541725228098546E-2</v>
      </c>
      <c r="N181" s="3">
        <f t="shared" si="117"/>
        <v>3.0541720977743915E-2</v>
      </c>
      <c r="O181" s="3">
        <f t="shared" si="117"/>
        <v>3.0541678474230116E-2</v>
      </c>
      <c r="P181" s="3">
        <f t="shared" si="117"/>
        <v>3.054125344234539E-2</v>
      </c>
      <c r="Q181" s="3">
        <f t="shared" si="117"/>
        <v>3.05370034488061E-2</v>
      </c>
      <c r="R181" s="3">
        <f t="shared" si="117"/>
        <v>3.0494536027464079E-2</v>
      </c>
      <c r="S181" s="3">
        <f t="shared" si="117"/>
        <v>3.0073096539383726E-2</v>
      </c>
      <c r="T181" s="3">
        <f t="shared" si="117"/>
        <v>2.6166120260102056E-2</v>
      </c>
      <c r="U181" s="3">
        <f t="shared" si="117"/>
        <v>6.5065561132561789E-3</v>
      </c>
      <c r="V181" s="3">
        <f t="shared" si="117"/>
        <v>5.8812500446225585E-9</v>
      </c>
      <c r="W181" s="3">
        <f t="shared" si="117"/>
        <v>2.1411854783673834E-69</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4.0592217810354776E-2</v>
      </c>
      <c r="C182" s="3">
        <f t="shared" si="118"/>
        <v>4.0592217810354776E-2</v>
      </c>
      <c r="D182" s="3">
        <f t="shared" si="118"/>
        <v>4.0592217810354776E-2</v>
      </c>
      <c r="E182" s="3">
        <f t="shared" si="118"/>
        <v>4.0592217810354776E-2</v>
      </c>
      <c r="F182" s="3">
        <f t="shared" si="118"/>
        <v>4.0592217810354769E-2</v>
      </c>
      <c r="G182" s="3">
        <f t="shared" si="118"/>
        <v>4.0592217810354721E-2</v>
      </c>
      <c r="H182" s="3">
        <f t="shared" si="118"/>
        <v>4.0592217810354207E-2</v>
      </c>
      <c r="I182" s="3">
        <f t="shared" si="118"/>
        <v>4.0592217810349114E-2</v>
      </c>
      <c r="J182" s="3">
        <f t="shared" si="118"/>
        <v>4.0592217810298155E-2</v>
      </c>
      <c r="K182" s="3">
        <f t="shared" si="118"/>
        <v>4.0592217809788569E-2</v>
      </c>
      <c r="L182" s="3">
        <f t="shared" si="118"/>
        <v>4.0592217804692667E-2</v>
      </c>
      <c r="M182" s="3">
        <f t="shared" si="118"/>
        <v>4.0592217753733652E-2</v>
      </c>
      <c r="N182" s="3">
        <f t="shared" si="118"/>
        <v>4.0592217244143532E-2</v>
      </c>
      <c r="O182" s="3">
        <f t="shared" si="118"/>
        <v>4.0592212148242678E-2</v>
      </c>
      <c r="P182" s="3">
        <f t="shared" si="118"/>
        <v>4.0592161189269317E-2</v>
      </c>
      <c r="Q182" s="3">
        <f t="shared" si="118"/>
        <v>4.0591651603054245E-2</v>
      </c>
      <c r="R182" s="3">
        <f t="shared" si="118"/>
        <v>4.0586556092738937E-2</v>
      </c>
      <c r="S182" s="3">
        <f t="shared" si="118"/>
        <v>4.0535636156786126E-2</v>
      </c>
      <c r="T182" s="3">
        <f t="shared" si="118"/>
        <v>4.0029937237052053E-2</v>
      </c>
      <c r="U182" s="3">
        <f t="shared" si="118"/>
        <v>3.5307264390716436E-2</v>
      </c>
      <c r="V182" s="3">
        <f t="shared" si="118"/>
        <v>1.006133651825405E-2</v>
      </c>
      <c r="W182" s="3">
        <f t="shared" si="118"/>
        <v>3.5528079129345036E-8</v>
      </c>
      <c r="X182" s="3">
        <f t="shared" si="118"/>
        <v>1.0708589046387931E-62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4.4579554777240793E-2</v>
      </c>
      <c r="C183" s="3">
        <f t="shared" si="119"/>
        <v>4.4579554777240793E-2</v>
      </c>
      <c r="D183" s="3">
        <f t="shared" si="119"/>
        <v>4.4579554777240793E-2</v>
      </c>
      <c r="E183" s="3">
        <f t="shared" si="119"/>
        <v>4.4579554777240793E-2</v>
      </c>
      <c r="F183" s="3">
        <f t="shared" si="119"/>
        <v>4.4579554777240793E-2</v>
      </c>
      <c r="G183" s="3">
        <f t="shared" si="119"/>
        <v>4.4579554777240786E-2</v>
      </c>
      <c r="H183" s="3">
        <f t="shared" si="119"/>
        <v>4.4579554777240737E-2</v>
      </c>
      <c r="I183" s="3">
        <f t="shared" si="119"/>
        <v>4.4579554777240231E-2</v>
      </c>
      <c r="J183" s="3">
        <f t="shared" si="119"/>
        <v>4.4579554777235186E-2</v>
      </c>
      <c r="K183" s="3">
        <f t="shared" si="119"/>
        <v>4.4579554777184699E-2</v>
      </c>
      <c r="L183" s="3">
        <f t="shared" si="119"/>
        <v>4.4579554776679853E-2</v>
      </c>
      <c r="M183" s="3">
        <f t="shared" si="119"/>
        <v>4.457955477163137E-2</v>
      </c>
      <c r="N183" s="3">
        <f t="shared" si="119"/>
        <v>4.4579554721146587E-2</v>
      </c>
      <c r="O183" s="3">
        <f t="shared" si="119"/>
        <v>4.4579554216298702E-2</v>
      </c>
      <c r="P183" s="3">
        <f t="shared" si="119"/>
        <v>4.4579549167820205E-2</v>
      </c>
      <c r="Q183" s="3">
        <f t="shared" si="119"/>
        <v>4.4579498683066716E-2</v>
      </c>
      <c r="R183" s="3">
        <f t="shared" si="119"/>
        <v>4.4578993838676202E-2</v>
      </c>
      <c r="S183" s="3">
        <f t="shared" si="119"/>
        <v>4.4573945709203935E-2</v>
      </c>
      <c r="T183" s="3">
        <f t="shared" si="119"/>
        <v>4.4523495844588819E-2</v>
      </c>
      <c r="U183" s="3">
        <f t="shared" si="119"/>
        <v>4.4022127079396525E-2</v>
      </c>
      <c r="V183" s="3">
        <f t="shared" si="119"/>
        <v>3.9308700812784807E-2</v>
      </c>
      <c r="W183" s="3">
        <f t="shared" si="119"/>
        <v>1.2666754728412357E-2</v>
      </c>
      <c r="X183" s="3">
        <f t="shared" si="119"/>
        <v>1.5290865592847829E-7</v>
      </c>
      <c r="Y183" s="3">
        <f t="shared" si="119"/>
        <v>1.0048452118928668E-56</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6.2079559793872717E-2</v>
      </c>
      <c r="C184" s="3">
        <f t="shared" si="120"/>
        <v>6.2079559793872717E-2</v>
      </c>
      <c r="D184" s="3">
        <f t="shared" si="120"/>
        <v>6.2079559793872717E-2</v>
      </c>
      <c r="E184" s="3">
        <f t="shared" si="120"/>
        <v>6.2079559793872717E-2</v>
      </c>
      <c r="F184" s="3">
        <f t="shared" si="120"/>
        <v>6.2079559793872717E-2</v>
      </c>
      <c r="G184" s="3">
        <f t="shared" si="120"/>
        <v>6.2079559793872717E-2</v>
      </c>
      <c r="H184" s="3">
        <f t="shared" si="120"/>
        <v>6.207955979387271E-2</v>
      </c>
      <c r="I184" s="3">
        <f t="shared" si="120"/>
        <v>6.2079559793872648E-2</v>
      </c>
      <c r="J184" s="3">
        <f t="shared" si="120"/>
        <v>6.2079559793872016E-2</v>
      </c>
      <c r="K184" s="3">
        <f t="shared" si="120"/>
        <v>6.2079559793865674E-2</v>
      </c>
      <c r="L184" s="3">
        <f t="shared" si="120"/>
        <v>6.2079559793802253E-2</v>
      </c>
      <c r="M184" s="3">
        <f t="shared" si="120"/>
        <v>6.2079559793168065E-2</v>
      </c>
      <c r="N184" s="3">
        <f t="shared" si="120"/>
        <v>6.2079559786826152E-2</v>
      </c>
      <c r="O184" s="3">
        <f t="shared" si="120"/>
        <v>6.2079559723407056E-2</v>
      </c>
      <c r="P184" s="3">
        <f t="shared" si="120"/>
        <v>6.207955908921612E-2</v>
      </c>
      <c r="Q184" s="3">
        <f t="shared" si="120"/>
        <v>6.2079552747307115E-2</v>
      </c>
      <c r="R184" s="3">
        <f t="shared" si="120"/>
        <v>6.2079489328252711E-2</v>
      </c>
      <c r="S184" s="3">
        <f t="shared" si="120"/>
        <v>6.2078855141271955E-2</v>
      </c>
      <c r="T184" s="3">
        <f t="shared" si="120"/>
        <v>6.2072513627780906E-2</v>
      </c>
      <c r="U184" s="3">
        <f t="shared" si="120"/>
        <v>6.2009134111052147E-2</v>
      </c>
      <c r="V184" s="3">
        <f t="shared" si="120"/>
        <v>6.1378887335557401E-2</v>
      </c>
      <c r="W184" s="3">
        <f t="shared" si="120"/>
        <v>5.5418205084895721E-2</v>
      </c>
      <c r="X184" s="3">
        <f t="shared" si="120"/>
        <v>1.9952021170811279E-2</v>
      </c>
      <c r="Y184" s="3">
        <f t="shared" si="120"/>
        <v>7.3001420590849839E-7</v>
      </c>
      <c r="Z184" s="3">
        <f t="shared" si="120"/>
        <v>3.1388853756170902E-51</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0.10578931784531295</v>
      </c>
      <c r="C185" s="3">
        <f t="shared" si="121"/>
        <v>0.10578931784531295</v>
      </c>
      <c r="D185" s="3">
        <f t="shared" si="121"/>
        <v>0.10578931784531295</v>
      </c>
      <c r="E185" s="3">
        <f t="shared" si="121"/>
        <v>0.10578931784531295</v>
      </c>
      <c r="F185" s="3">
        <f t="shared" si="121"/>
        <v>0.10578931784531295</v>
      </c>
      <c r="G185" s="3">
        <f t="shared" si="121"/>
        <v>0.10578931784531295</v>
      </c>
      <c r="H185" s="3">
        <f t="shared" si="121"/>
        <v>0.10578931784531295</v>
      </c>
      <c r="I185" s="3">
        <f t="shared" si="121"/>
        <v>0.10578931784531294</v>
      </c>
      <c r="J185" s="3">
        <f t="shared" si="121"/>
        <v>0.10578931784531284</v>
      </c>
      <c r="K185" s="3">
        <f t="shared" si="121"/>
        <v>0.10578931784531187</v>
      </c>
      <c r="L185" s="3">
        <f t="shared" si="121"/>
        <v>0.10578931784530213</v>
      </c>
      <c r="M185" s="3">
        <f t="shared" si="121"/>
        <v>0.10578931784520462</v>
      </c>
      <c r="N185" s="3">
        <f t="shared" si="121"/>
        <v>0.10578931784422972</v>
      </c>
      <c r="O185" s="3">
        <f t="shared" si="121"/>
        <v>0.10578931783448074</v>
      </c>
      <c r="P185" s="3">
        <f t="shared" si="121"/>
        <v>0.1057893177369908</v>
      </c>
      <c r="Q185" s="3">
        <f t="shared" si="121"/>
        <v>0.10578931676209138</v>
      </c>
      <c r="R185" s="3">
        <f t="shared" si="121"/>
        <v>0.10578930701309772</v>
      </c>
      <c r="S185" s="3">
        <f t="shared" si="121"/>
        <v>0.10578920952321054</v>
      </c>
      <c r="T185" s="3">
        <f t="shared" si="121"/>
        <v>0.10578823462928003</v>
      </c>
      <c r="U185" s="3">
        <f t="shared" si="121"/>
        <v>0.10577848618408538</v>
      </c>
      <c r="V185" s="3">
        <f t="shared" si="121"/>
        <v>0.10568105112634077</v>
      </c>
      <c r="W185" s="3">
        <f t="shared" si="121"/>
        <v>0.10471162316844354</v>
      </c>
      <c r="X185" s="3">
        <f t="shared" si="121"/>
        <v>9.5493226509300366E-2</v>
      </c>
      <c r="Y185" s="3">
        <f t="shared" si="121"/>
        <v>3.7997001344909014E-2</v>
      </c>
      <c r="Z185" s="3">
        <f t="shared" si="121"/>
        <v>3.7802184021682079E-6</v>
      </c>
      <c r="AA185" s="3">
        <f t="shared" si="121"/>
        <v>3.5908111822195538E-46</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8.5446045134986312E-2</v>
      </c>
      <c r="C186" s="3">
        <f t="shared" si="122"/>
        <v>8.5446045134986312E-2</v>
      </c>
      <c r="D186" s="3">
        <f t="shared" si="122"/>
        <v>8.5446045134986312E-2</v>
      </c>
      <c r="E186" s="3">
        <f t="shared" si="122"/>
        <v>8.5446045134986312E-2</v>
      </c>
      <c r="F186" s="3">
        <f t="shared" si="122"/>
        <v>8.5446045134986312E-2</v>
      </c>
      <c r="G186" s="3">
        <f t="shared" si="122"/>
        <v>8.5446045134986312E-2</v>
      </c>
      <c r="H186" s="3">
        <f t="shared" si="122"/>
        <v>8.5446045134986312E-2</v>
      </c>
      <c r="I186" s="3">
        <f t="shared" si="122"/>
        <v>8.5446045134986312E-2</v>
      </c>
      <c r="J186" s="3">
        <f t="shared" si="122"/>
        <v>8.5446045134986298E-2</v>
      </c>
      <c r="K186" s="3">
        <f t="shared" si="122"/>
        <v>8.5446045134986243E-2</v>
      </c>
      <c r="L186" s="3">
        <f t="shared" si="122"/>
        <v>8.5446045134985521E-2</v>
      </c>
      <c r="M186" s="3">
        <f t="shared" si="122"/>
        <v>8.5446045134978416E-2</v>
      </c>
      <c r="N186" s="3">
        <f t="shared" si="122"/>
        <v>8.5446045134907389E-2</v>
      </c>
      <c r="O186" s="3">
        <f t="shared" si="122"/>
        <v>8.5446045134197054E-2</v>
      </c>
      <c r="P186" s="3">
        <f t="shared" si="122"/>
        <v>8.544604512709382E-2</v>
      </c>
      <c r="Q186" s="3">
        <f t="shared" si="122"/>
        <v>8.5446045056061418E-2</v>
      </c>
      <c r="R186" s="3">
        <f t="shared" si="122"/>
        <v>8.5446044345737313E-2</v>
      </c>
      <c r="S186" s="3">
        <f t="shared" si="122"/>
        <v>8.5446037242496622E-2</v>
      </c>
      <c r="T186" s="3">
        <f t="shared" si="122"/>
        <v>8.5445966210122196E-2</v>
      </c>
      <c r="U186" s="3">
        <f t="shared" si="122"/>
        <v>8.544525588962576E-2</v>
      </c>
      <c r="V186" s="3">
        <f t="shared" si="122"/>
        <v>8.5438153009426199E-2</v>
      </c>
      <c r="W186" s="3">
        <f t="shared" si="122"/>
        <v>8.5367156673926095E-2</v>
      </c>
      <c r="X186" s="3">
        <f t="shared" si="122"/>
        <v>8.4660430004411244E-2</v>
      </c>
      <c r="Y186" s="3">
        <f t="shared" si="122"/>
        <v>7.7907093788177381E-2</v>
      </c>
      <c r="Z186" s="3">
        <f t="shared" si="122"/>
        <v>3.3926756608690489E-2</v>
      </c>
      <c r="AA186" s="3">
        <f t="shared" si="122"/>
        <v>8.3213872968961856E-6</v>
      </c>
      <c r="AB186" s="3">
        <f t="shared" si="122"/>
        <v>6.5573695492283111E-42</v>
      </c>
      <c r="AC186" s="3">
        <f t="shared" si="122"/>
        <v>0</v>
      </c>
      <c r="AD186" s="3">
        <f t="shared" si="122"/>
        <v>0</v>
      </c>
      <c r="AE186" s="3">
        <f t="shared" si="122"/>
        <v>0</v>
      </c>
      <c r="AF186" s="3">
        <f t="shared" si="122"/>
        <v>0</v>
      </c>
      <c r="AG186" s="3"/>
      <c r="AH186" s="3"/>
    </row>
    <row r="187" spans="2:34" x14ac:dyDescent="0.25">
      <c r="B187" s="3">
        <f t="shared" ref="B187:AF187" si="123">$C34*EXP(-B$168/$A34/EXP(-$C$126))</f>
        <v>5.8777528752493244E-2</v>
      </c>
      <c r="C187" s="3">
        <f t="shared" si="123"/>
        <v>5.8777528752493244E-2</v>
      </c>
      <c r="D187" s="3">
        <f t="shared" si="123"/>
        <v>5.8777528752493244E-2</v>
      </c>
      <c r="E187" s="3">
        <f t="shared" si="123"/>
        <v>5.8777528752493244E-2</v>
      </c>
      <c r="F187" s="3">
        <f t="shared" si="123"/>
        <v>5.8777528752493244E-2</v>
      </c>
      <c r="G187" s="3">
        <f t="shared" si="123"/>
        <v>5.8777528752493244E-2</v>
      </c>
      <c r="H187" s="3">
        <f t="shared" si="123"/>
        <v>5.8777528752493244E-2</v>
      </c>
      <c r="I187" s="3">
        <f t="shared" si="123"/>
        <v>5.8777528752493244E-2</v>
      </c>
      <c r="J187" s="3">
        <f t="shared" si="123"/>
        <v>5.8777528752493244E-2</v>
      </c>
      <c r="K187" s="3">
        <f t="shared" si="123"/>
        <v>5.8777528752493237E-2</v>
      </c>
      <c r="L187" s="3">
        <f t="shared" si="123"/>
        <v>5.8777528752493188E-2</v>
      </c>
      <c r="M187" s="3">
        <f t="shared" si="123"/>
        <v>5.8777528752492751E-2</v>
      </c>
      <c r="N187" s="3">
        <f t="shared" si="123"/>
        <v>5.8777528752488345E-2</v>
      </c>
      <c r="O187" s="3">
        <f t="shared" si="123"/>
        <v>5.8777528752444269E-2</v>
      </c>
      <c r="P187" s="3">
        <f t="shared" si="123"/>
        <v>5.877752875200349E-2</v>
      </c>
      <c r="Q187" s="3">
        <f t="shared" si="123"/>
        <v>5.8777528747595682E-2</v>
      </c>
      <c r="R187" s="3">
        <f t="shared" si="123"/>
        <v>5.8777528703517615E-2</v>
      </c>
      <c r="S187" s="3">
        <f t="shared" si="123"/>
        <v>5.8777528262736987E-2</v>
      </c>
      <c r="T187" s="3">
        <f t="shared" si="123"/>
        <v>5.8777523854930909E-2</v>
      </c>
      <c r="U187" s="3">
        <f t="shared" si="123"/>
        <v>5.8777479776888221E-2</v>
      </c>
      <c r="V187" s="3">
        <f t="shared" si="123"/>
        <v>5.8777038998279407E-2</v>
      </c>
      <c r="W187" s="3">
        <f t="shared" si="123"/>
        <v>5.8772631393986696E-2</v>
      </c>
      <c r="X187" s="3">
        <f t="shared" si="123"/>
        <v>5.8728573525560004E-2</v>
      </c>
      <c r="Y187" s="3">
        <f t="shared" si="123"/>
        <v>5.8289807258596206E-2</v>
      </c>
      <c r="Z187" s="3">
        <f t="shared" si="123"/>
        <v>5.4078456727328958E-2</v>
      </c>
      <c r="AA187" s="3">
        <f t="shared" si="123"/>
        <v>2.5547063657827294E-2</v>
      </c>
      <c r="AB187" s="3">
        <f t="shared" si="123"/>
        <v>1.41419076935455E-5</v>
      </c>
      <c r="AC187" s="3">
        <f t="shared" si="123"/>
        <v>3.8210091584693178E-38</v>
      </c>
      <c r="AD187" s="3">
        <f t="shared" si="123"/>
        <v>0</v>
      </c>
      <c r="AE187" s="3">
        <f t="shared" si="123"/>
        <v>0</v>
      </c>
      <c r="AF187" s="3">
        <f t="shared" si="123"/>
        <v>0</v>
      </c>
      <c r="AG187" s="3"/>
      <c r="AH187" s="3"/>
    </row>
    <row r="188" spans="2:34" x14ac:dyDescent="0.25">
      <c r="B188" s="3">
        <f t="shared" ref="B188:AF188" si="124">$C35*EXP(-B$168/$A35/EXP(-$C$126))</f>
        <v>3.044822143643108E-2</v>
      </c>
      <c r="C188" s="3">
        <f t="shared" si="124"/>
        <v>3.044822143643108E-2</v>
      </c>
      <c r="D188" s="3">
        <f t="shared" si="124"/>
        <v>3.044822143643108E-2</v>
      </c>
      <c r="E188" s="3">
        <f t="shared" si="124"/>
        <v>3.044822143643108E-2</v>
      </c>
      <c r="F188" s="3">
        <f t="shared" si="124"/>
        <v>3.044822143643108E-2</v>
      </c>
      <c r="G188" s="3">
        <f t="shared" si="124"/>
        <v>3.044822143643108E-2</v>
      </c>
      <c r="H188" s="3">
        <f t="shared" si="124"/>
        <v>3.044822143643108E-2</v>
      </c>
      <c r="I188" s="3">
        <f t="shared" si="124"/>
        <v>3.044822143643108E-2</v>
      </c>
      <c r="J188" s="3">
        <f t="shared" si="124"/>
        <v>3.044822143643108E-2</v>
      </c>
      <c r="K188" s="3">
        <f t="shared" si="124"/>
        <v>3.044822143643108E-2</v>
      </c>
      <c r="L188" s="3">
        <f t="shared" si="124"/>
        <v>3.0448221436431076E-2</v>
      </c>
      <c r="M188" s="3">
        <f t="shared" si="124"/>
        <v>3.0448221436431055E-2</v>
      </c>
      <c r="N188" s="3">
        <f t="shared" si="124"/>
        <v>3.0448221436430851E-2</v>
      </c>
      <c r="O188" s="3">
        <f t="shared" si="124"/>
        <v>3.044822143642879E-2</v>
      </c>
      <c r="P188" s="3">
        <f t="shared" si="124"/>
        <v>3.0448221436408195E-2</v>
      </c>
      <c r="Q188" s="3">
        <f t="shared" si="124"/>
        <v>3.0448221436202214E-2</v>
      </c>
      <c r="R188" s="3">
        <f t="shared" si="124"/>
        <v>3.0448221434142438E-2</v>
      </c>
      <c r="S188" s="3">
        <f t="shared" si="124"/>
        <v>3.0448221413544696E-2</v>
      </c>
      <c r="T188" s="3">
        <f t="shared" si="124"/>
        <v>3.0448221207567239E-2</v>
      </c>
      <c r="U188" s="3">
        <f t="shared" si="124"/>
        <v>3.0448219147792725E-2</v>
      </c>
      <c r="V188" s="3">
        <f t="shared" si="124"/>
        <v>3.0448198550055264E-2</v>
      </c>
      <c r="W188" s="3">
        <f t="shared" si="124"/>
        <v>3.0447992573447036E-2</v>
      </c>
      <c r="X188" s="3">
        <f t="shared" si="124"/>
        <v>3.0445932883999903E-2</v>
      </c>
      <c r="Y188" s="3">
        <f t="shared" si="124"/>
        <v>3.0425343651126903E-2</v>
      </c>
      <c r="Z188" s="3">
        <f t="shared" si="124"/>
        <v>3.022021556800385E-2</v>
      </c>
      <c r="AA188" s="3">
        <f t="shared" si="124"/>
        <v>2.8243480518368901E-2</v>
      </c>
      <c r="AB188" s="3">
        <f t="shared" si="124"/>
        <v>1.435901948422248E-2</v>
      </c>
      <c r="AC188" s="3">
        <f t="shared" si="124"/>
        <v>1.6564963514829231E-5</v>
      </c>
      <c r="AD188" s="3">
        <f t="shared" si="124"/>
        <v>6.9158803678381338E-35</v>
      </c>
      <c r="AE188" s="3">
        <f t="shared" si="124"/>
        <v>0</v>
      </c>
      <c r="AF188" s="3">
        <f t="shared" si="124"/>
        <v>0</v>
      </c>
      <c r="AG188" s="3"/>
      <c r="AH188" s="3"/>
    </row>
    <row r="189" spans="2:34" x14ac:dyDescent="0.25">
      <c r="B189" s="3">
        <f t="shared" ref="B189:AF189" si="125">$C36*EXP(-B$168/$A36/EXP(-$C$126))</f>
        <v>1.5917825428886163E-2</v>
      </c>
      <c r="C189" s="3">
        <f t="shared" si="125"/>
        <v>1.5917825428886163E-2</v>
      </c>
      <c r="D189" s="3">
        <f t="shared" si="125"/>
        <v>1.5917825428886163E-2</v>
      </c>
      <c r="E189" s="3">
        <f t="shared" si="125"/>
        <v>1.5917825428886163E-2</v>
      </c>
      <c r="F189" s="3">
        <f t="shared" si="125"/>
        <v>1.5917825428886163E-2</v>
      </c>
      <c r="G189" s="3">
        <f t="shared" si="125"/>
        <v>1.5917825428886163E-2</v>
      </c>
      <c r="H189" s="3">
        <f t="shared" si="125"/>
        <v>1.5917825428886163E-2</v>
      </c>
      <c r="I189" s="3">
        <f t="shared" si="125"/>
        <v>1.5917825428886163E-2</v>
      </c>
      <c r="J189" s="3">
        <f t="shared" si="125"/>
        <v>1.5917825428886163E-2</v>
      </c>
      <c r="K189" s="3">
        <f t="shared" si="125"/>
        <v>1.5917825428886163E-2</v>
      </c>
      <c r="L189" s="3">
        <f t="shared" si="125"/>
        <v>1.5917825428886163E-2</v>
      </c>
      <c r="M189" s="3">
        <f t="shared" si="125"/>
        <v>1.5917825428886159E-2</v>
      </c>
      <c r="N189" s="3">
        <f t="shared" si="125"/>
        <v>1.5917825428886152E-2</v>
      </c>
      <c r="O189" s="3">
        <f t="shared" si="125"/>
        <v>1.5917825428886055E-2</v>
      </c>
      <c r="P189" s="3">
        <f t="shared" si="125"/>
        <v>1.5917825428885084E-2</v>
      </c>
      <c r="Q189" s="3">
        <f t="shared" si="125"/>
        <v>1.5917825428875369E-2</v>
      </c>
      <c r="R189" s="3">
        <f t="shared" si="125"/>
        <v>1.5917825428778232E-2</v>
      </c>
      <c r="S189" s="3">
        <f t="shared" si="125"/>
        <v>1.5917825427806856E-2</v>
      </c>
      <c r="T189" s="3">
        <f t="shared" si="125"/>
        <v>1.5917825418093078E-2</v>
      </c>
      <c r="U189" s="3">
        <f t="shared" si="125"/>
        <v>1.5917825320955314E-2</v>
      </c>
      <c r="V189" s="3">
        <f t="shared" si="125"/>
        <v>1.5917824349577725E-2</v>
      </c>
      <c r="W189" s="3">
        <f t="shared" si="125"/>
        <v>1.5917814635805067E-2</v>
      </c>
      <c r="X189" s="3">
        <f t="shared" si="125"/>
        <v>1.5917717498404538E-2</v>
      </c>
      <c r="Y189" s="3">
        <f t="shared" si="125"/>
        <v>1.591674615700121E-2</v>
      </c>
      <c r="Z189" s="3">
        <f t="shared" si="125"/>
        <v>1.5907036002432002E-2</v>
      </c>
      <c r="AA189" s="3">
        <f t="shared" si="125"/>
        <v>1.5810259668388133E-2</v>
      </c>
      <c r="AB189" s="3">
        <f t="shared" si="125"/>
        <v>1.4874295027254986E-2</v>
      </c>
      <c r="AC189" s="3">
        <f t="shared" si="125"/>
        <v>8.0799798200958377E-3</v>
      </c>
      <c r="AD189" s="3">
        <f t="shared" si="125"/>
        <v>1.8077947627458436E-5</v>
      </c>
      <c r="AE189" s="3">
        <f t="shared" si="125"/>
        <v>5.6824758883589663E-32</v>
      </c>
      <c r="AF189" s="3">
        <f t="shared" si="125"/>
        <v>5.350845100392837E-297</v>
      </c>
      <c r="AG189" s="3"/>
      <c r="AH189" s="3"/>
    </row>
    <row r="190" spans="2:34" x14ac:dyDescent="0.25">
      <c r="B190" s="3">
        <f t="shared" ref="B190:AF190" si="126">$C37*EXP(-B$168/$A37/EXP(-$C$126))</f>
        <v>7.4710107179745602E-3</v>
      </c>
      <c r="C190" s="3">
        <f t="shared" si="126"/>
        <v>7.4710107179745602E-3</v>
      </c>
      <c r="D190" s="3">
        <f t="shared" si="126"/>
        <v>7.4710107179745602E-3</v>
      </c>
      <c r="E190" s="3">
        <f t="shared" si="126"/>
        <v>7.4710107179745602E-3</v>
      </c>
      <c r="F190" s="3">
        <f t="shared" si="126"/>
        <v>7.4710107179745602E-3</v>
      </c>
      <c r="G190" s="3">
        <f t="shared" si="126"/>
        <v>7.4710107179745602E-3</v>
      </c>
      <c r="H190" s="3">
        <f t="shared" si="126"/>
        <v>7.4710107179745602E-3</v>
      </c>
      <c r="I190" s="3">
        <f t="shared" si="126"/>
        <v>7.4710107179745602E-3</v>
      </c>
      <c r="J190" s="3">
        <f t="shared" si="126"/>
        <v>7.4710107179745602E-3</v>
      </c>
      <c r="K190" s="3">
        <f t="shared" si="126"/>
        <v>7.4710107179745602E-3</v>
      </c>
      <c r="L190" s="3">
        <f t="shared" si="126"/>
        <v>7.4710107179745602E-3</v>
      </c>
      <c r="M190" s="3">
        <f t="shared" si="126"/>
        <v>7.4710107179745602E-3</v>
      </c>
      <c r="N190" s="3">
        <f t="shared" si="126"/>
        <v>7.4710107179745593E-3</v>
      </c>
      <c r="O190" s="3">
        <f t="shared" si="126"/>
        <v>7.471010717974555E-3</v>
      </c>
      <c r="P190" s="3">
        <f t="shared" si="126"/>
        <v>7.4710107179745142E-3</v>
      </c>
      <c r="Q190" s="3">
        <f t="shared" si="126"/>
        <v>7.4710107179741031E-3</v>
      </c>
      <c r="R190" s="3">
        <f t="shared" si="126"/>
        <v>7.4710107179699909E-3</v>
      </c>
      <c r="S190" s="3">
        <f t="shared" si="126"/>
        <v>7.4710107179288632E-3</v>
      </c>
      <c r="T190" s="3">
        <f t="shared" si="126"/>
        <v>7.4710107175175906E-3</v>
      </c>
      <c r="U190" s="3">
        <f t="shared" si="126"/>
        <v>7.4710107134048588E-3</v>
      </c>
      <c r="V190" s="3">
        <f t="shared" si="126"/>
        <v>7.4710106722775489E-3</v>
      </c>
      <c r="W190" s="3">
        <f t="shared" si="126"/>
        <v>7.4710102610044578E-3</v>
      </c>
      <c r="X190" s="3">
        <f t="shared" si="126"/>
        <v>7.4710061482747931E-3</v>
      </c>
      <c r="Y190" s="3">
        <f t="shared" si="126"/>
        <v>7.4709650211026686E-3</v>
      </c>
      <c r="Z190" s="3">
        <f t="shared" si="126"/>
        <v>7.4705537618332844E-3</v>
      </c>
      <c r="AA190" s="3">
        <f t="shared" si="126"/>
        <v>7.4664424140715472E-3</v>
      </c>
      <c r="AB190" s="3">
        <f t="shared" si="126"/>
        <v>7.4254531764673792E-3</v>
      </c>
      <c r="AC190" s="3">
        <f t="shared" si="126"/>
        <v>7.0277354302051799E-3</v>
      </c>
      <c r="AD190" s="3">
        <f t="shared" si="126"/>
        <v>4.0526565432433947E-3</v>
      </c>
      <c r="AE190" s="3">
        <f t="shared" si="126"/>
        <v>1.6481007600975374E-5</v>
      </c>
      <c r="AF190" s="3">
        <f t="shared" si="126"/>
        <v>2.0390288081858996E-29</v>
      </c>
      <c r="AG190" s="3"/>
      <c r="AH190" s="3"/>
    </row>
    <row r="191" spans="2:34" x14ac:dyDescent="0.25">
      <c r="B191" s="3">
        <f t="shared" ref="B191:AF191" si="127">$C38*EXP(-B$168/$A38/EXP(-$C$126))</f>
        <v>1.4378472174592341E-3</v>
      </c>
      <c r="C191" s="3">
        <f t="shared" si="127"/>
        <v>1.4378472174592341E-3</v>
      </c>
      <c r="D191" s="3">
        <f t="shared" si="127"/>
        <v>1.4378472174592341E-3</v>
      </c>
      <c r="E191" s="3">
        <f t="shared" si="127"/>
        <v>1.4378472174592341E-3</v>
      </c>
      <c r="F191" s="3">
        <f t="shared" si="127"/>
        <v>1.4378472174592341E-3</v>
      </c>
      <c r="G191" s="3">
        <f t="shared" si="127"/>
        <v>1.4378472174592341E-3</v>
      </c>
      <c r="H191" s="3">
        <f t="shared" si="127"/>
        <v>1.4378472174592341E-3</v>
      </c>
      <c r="I191" s="3">
        <f t="shared" si="127"/>
        <v>1.4378472174592341E-3</v>
      </c>
      <c r="J191" s="3">
        <f t="shared" si="127"/>
        <v>1.4378472174592341E-3</v>
      </c>
      <c r="K191" s="3">
        <f t="shared" si="127"/>
        <v>1.4378472174592341E-3</v>
      </c>
      <c r="L191" s="3">
        <f t="shared" si="127"/>
        <v>1.4378472174592341E-3</v>
      </c>
      <c r="M191" s="3">
        <f t="shared" si="127"/>
        <v>1.4378472174592341E-3</v>
      </c>
      <c r="N191" s="3">
        <f t="shared" si="127"/>
        <v>1.4378472174592341E-3</v>
      </c>
      <c r="O191" s="3">
        <f t="shared" si="127"/>
        <v>1.4378472174592341E-3</v>
      </c>
      <c r="P191" s="3">
        <f t="shared" si="127"/>
        <v>1.4378472174592333E-3</v>
      </c>
      <c r="Q191" s="3">
        <f t="shared" si="127"/>
        <v>1.4378472174592261E-3</v>
      </c>
      <c r="R191" s="3">
        <f t="shared" si="127"/>
        <v>1.4378472174591548E-3</v>
      </c>
      <c r="S191" s="3">
        <f t="shared" si="127"/>
        <v>1.4378472174584407E-3</v>
      </c>
      <c r="T191" s="3">
        <f t="shared" si="127"/>
        <v>1.4378472174513006E-3</v>
      </c>
      <c r="U191" s="3">
        <f t="shared" si="127"/>
        <v>1.4378472173798985E-3</v>
      </c>
      <c r="V191" s="3">
        <f t="shared" si="127"/>
        <v>1.4378472166658787E-3</v>
      </c>
      <c r="W191" s="3">
        <f t="shared" si="127"/>
        <v>1.4378472095256804E-3</v>
      </c>
      <c r="X191" s="3">
        <f t="shared" si="127"/>
        <v>1.4378471381236979E-3</v>
      </c>
      <c r="Y191" s="3">
        <f t="shared" si="127"/>
        <v>1.4378464241040694E-3</v>
      </c>
      <c r="Z191" s="3">
        <f t="shared" si="127"/>
        <v>1.4378392839272862E-3</v>
      </c>
      <c r="AA191" s="3">
        <f t="shared" si="127"/>
        <v>1.4377678841095743E-3</v>
      </c>
      <c r="AB191" s="3">
        <f t="shared" si="127"/>
        <v>1.4370540809087702E-3</v>
      </c>
      <c r="AC191" s="3">
        <f t="shared" si="127"/>
        <v>1.429935510754996E-3</v>
      </c>
      <c r="AD191" s="3">
        <f t="shared" si="127"/>
        <v>1.360660705818427E-3</v>
      </c>
      <c r="AE191" s="3">
        <f t="shared" si="127"/>
        <v>8.2810185811208381E-4</v>
      </c>
      <c r="AF191" s="3">
        <f t="shared" si="127"/>
        <v>5.7732839680589312E-6</v>
      </c>
      <c r="AG191" s="3"/>
      <c r="AH191" s="3"/>
    </row>
    <row r="192" spans="2:34" x14ac:dyDescent="0.25">
      <c r="B192" s="3">
        <f t="shared" ref="B192:AF192" si="128">$C39*EXP(-B$168/$A39/EXP(-$C$126))</f>
        <v>4.7686363858368023E-3</v>
      </c>
      <c r="C192" s="3">
        <f t="shared" si="128"/>
        <v>4.7686363858368023E-3</v>
      </c>
      <c r="D192" s="3">
        <f t="shared" si="128"/>
        <v>4.7686363858368023E-3</v>
      </c>
      <c r="E192" s="3">
        <f t="shared" si="128"/>
        <v>4.7686363858368023E-3</v>
      </c>
      <c r="F192" s="3">
        <f t="shared" si="128"/>
        <v>4.7686363858368023E-3</v>
      </c>
      <c r="G192" s="3">
        <f t="shared" si="128"/>
        <v>4.7686363858368023E-3</v>
      </c>
      <c r="H192" s="3">
        <f t="shared" si="128"/>
        <v>4.7686363858368023E-3</v>
      </c>
      <c r="I192" s="3">
        <f t="shared" si="128"/>
        <v>4.7686363858368023E-3</v>
      </c>
      <c r="J192" s="3">
        <f t="shared" si="128"/>
        <v>4.7686363858368023E-3</v>
      </c>
      <c r="K192" s="3">
        <f t="shared" si="128"/>
        <v>4.7686363858368023E-3</v>
      </c>
      <c r="L192" s="3">
        <f t="shared" si="128"/>
        <v>4.7686363858368023E-3</v>
      </c>
      <c r="M192" s="3">
        <f t="shared" si="128"/>
        <v>4.7686363858368023E-3</v>
      </c>
      <c r="N192" s="3">
        <f t="shared" si="128"/>
        <v>4.7686363858368023E-3</v>
      </c>
      <c r="O192" s="3">
        <f t="shared" si="128"/>
        <v>4.7686363858368023E-3</v>
      </c>
      <c r="P192" s="3">
        <f t="shared" si="128"/>
        <v>4.7686363858368015E-3</v>
      </c>
      <c r="Q192" s="3">
        <f t="shared" si="128"/>
        <v>4.7686363858367945E-3</v>
      </c>
      <c r="R192" s="3">
        <f t="shared" si="128"/>
        <v>4.7686363858367295E-3</v>
      </c>
      <c r="S192" s="3">
        <f t="shared" si="128"/>
        <v>4.7686363858360746E-3</v>
      </c>
      <c r="T192" s="3">
        <f t="shared" si="128"/>
        <v>4.7686363858295252E-3</v>
      </c>
      <c r="U192" s="3">
        <f t="shared" si="128"/>
        <v>4.7686363857640307E-3</v>
      </c>
      <c r="V192" s="3">
        <f t="shared" si="128"/>
        <v>4.7686363851090858E-3</v>
      </c>
      <c r="W192" s="3">
        <f t="shared" si="128"/>
        <v>4.7686363785596391E-3</v>
      </c>
      <c r="X192" s="3">
        <f t="shared" si="128"/>
        <v>4.7686363130651733E-3</v>
      </c>
      <c r="Y192" s="3">
        <f t="shared" si="128"/>
        <v>4.7686356581205592E-3</v>
      </c>
      <c r="Z192" s="3">
        <f t="shared" si="128"/>
        <v>4.768629108679371E-3</v>
      </c>
      <c r="AA192" s="3">
        <f t="shared" si="128"/>
        <v>4.7685636147622185E-3</v>
      </c>
      <c r="AB192" s="3">
        <f t="shared" si="128"/>
        <v>4.7679087250619831E-3</v>
      </c>
      <c r="AC192" s="3">
        <f t="shared" si="128"/>
        <v>4.7613647726749515E-3</v>
      </c>
      <c r="AD192" s="3">
        <f t="shared" si="128"/>
        <v>4.6964172068181377E-3</v>
      </c>
      <c r="AE192" s="3">
        <f t="shared" si="128"/>
        <v>4.0937265683430868E-3</v>
      </c>
      <c r="AF192" s="3">
        <f t="shared" si="128"/>
        <v>1.0366697863402436E-3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2.0950739363465548E-3</v>
      </c>
      <c r="C194" s="3">
        <f t="shared" si="130"/>
        <v>2.0950739363465548E-3</v>
      </c>
      <c r="D194" s="3">
        <f t="shared" si="130"/>
        <v>2.0950739363465548E-3</v>
      </c>
      <c r="E194" s="3">
        <f t="shared" si="130"/>
        <v>2.0950739363465548E-3</v>
      </c>
      <c r="F194" s="3">
        <f t="shared" si="130"/>
        <v>2.0950739363465548E-3</v>
      </c>
      <c r="G194" s="3">
        <f t="shared" si="130"/>
        <v>2.0950739363465548E-3</v>
      </c>
      <c r="H194" s="3">
        <f t="shared" si="130"/>
        <v>2.0950739363465548E-3</v>
      </c>
      <c r="I194" s="3">
        <f t="shared" si="130"/>
        <v>2.0950739363465548E-3</v>
      </c>
      <c r="J194" s="3">
        <f t="shared" si="130"/>
        <v>2.0950739363465548E-3</v>
      </c>
      <c r="K194" s="3">
        <f t="shared" si="130"/>
        <v>2.0950739363465548E-3</v>
      </c>
      <c r="L194" s="3">
        <f t="shared" si="130"/>
        <v>2.0950739363465548E-3</v>
      </c>
      <c r="M194" s="3">
        <f t="shared" si="130"/>
        <v>2.0950739363465548E-3</v>
      </c>
      <c r="N194" s="3">
        <f t="shared" si="130"/>
        <v>2.0950739363465548E-3</v>
      </c>
      <c r="O194" s="3">
        <f t="shared" si="130"/>
        <v>2.0950739363465548E-3</v>
      </c>
      <c r="P194" s="3">
        <f t="shared" si="130"/>
        <v>2.0950739363465548E-3</v>
      </c>
      <c r="Q194" s="3">
        <f t="shared" si="130"/>
        <v>2.0950739363465548E-3</v>
      </c>
      <c r="R194" s="3">
        <f t="shared" si="130"/>
        <v>2.0950739363465544E-3</v>
      </c>
      <c r="S194" s="3">
        <f t="shared" si="130"/>
        <v>2.0950739363465513E-3</v>
      </c>
      <c r="T194" s="3">
        <f t="shared" si="130"/>
        <v>2.0950739363465231E-3</v>
      </c>
      <c r="U194" s="3">
        <f t="shared" si="130"/>
        <v>2.0950739363462352E-3</v>
      </c>
      <c r="V194" s="3">
        <f t="shared" si="130"/>
        <v>2.0950739363433577E-3</v>
      </c>
      <c r="W194" s="3">
        <f t="shared" si="130"/>
        <v>2.095073936314583E-3</v>
      </c>
      <c r="X194" s="3">
        <f t="shared" si="130"/>
        <v>2.0950739360268366E-3</v>
      </c>
      <c r="Y194" s="3">
        <f t="shared" si="130"/>
        <v>2.0950739331493736E-3</v>
      </c>
      <c r="Z194" s="3">
        <f t="shared" si="130"/>
        <v>2.0950739043747433E-3</v>
      </c>
      <c r="AA194" s="3">
        <f t="shared" si="130"/>
        <v>2.0950736166284612E-3</v>
      </c>
      <c r="AB194" s="3">
        <f t="shared" si="130"/>
        <v>2.095070739167816E-3</v>
      </c>
      <c r="AC194" s="3">
        <f t="shared" si="130"/>
        <v>2.0950419647787215E-3</v>
      </c>
      <c r="AD194" s="3">
        <f t="shared" si="130"/>
        <v>2.0947542426227152E-3</v>
      </c>
      <c r="AE194" s="3">
        <f t="shared" si="130"/>
        <v>2.0918791934519537E-3</v>
      </c>
      <c r="AF194" s="3">
        <f t="shared" si="130"/>
        <v>2.0633448407678407E-3</v>
      </c>
      <c r="AG194" s="3"/>
      <c r="AH194" s="3"/>
    </row>
    <row r="195" spans="1:34" x14ac:dyDescent="0.25">
      <c r="B195" s="3">
        <f t="shared" ref="B195:AF195" si="131">$C42*EXP(-B$168/$A42/EXP(-$C$126))</f>
        <v>1.9210885084110967E-3</v>
      </c>
      <c r="C195" s="3">
        <f t="shared" si="131"/>
        <v>1.9210885084110967E-3</v>
      </c>
      <c r="D195" s="3">
        <f t="shared" si="131"/>
        <v>1.9210885084110967E-3</v>
      </c>
      <c r="E195" s="3">
        <f t="shared" si="131"/>
        <v>1.9210885084110967E-3</v>
      </c>
      <c r="F195" s="3">
        <f t="shared" si="131"/>
        <v>1.9210885084110967E-3</v>
      </c>
      <c r="G195" s="3">
        <f t="shared" si="131"/>
        <v>1.9210885084110967E-3</v>
      </c>
      <c r="H195" s="3">
        <f t="shared" si="131"/>
        <v>1.9210885084110967E-3</v>
      </c>
      <c r="I195" s="3">
        <f t="shared" si="131"/>
        <v>1.9210885084110967E-3</v>
      </c>
      <c r="J195" s="3">
        <f t="shared" si="131"/>
        <v>1.9210885084110967E-3</v>
      </c>
      <c r="K195" s="3">
        <f t="shared" si="131"/>
        <v>1.9210885084110967E-3</v>
      </c>
      <c r="L195" s="3">
        <f t="shared" si="131"/>
        <v>1.9210885084110967E-3</v>
      </c>
      <c r="M195" s="3">
        <f t="shared" si="131"/>
        <v>1.9210885084110967E-3</v>
      </c>
      <c r="N195" s="3">
        <f t="shared" si="131"/>
        <v>1.9210885084110967E-3</v>
      </c>
      <c r="O195" s="3">
        <f t="shared" si="131"/>
        <v>1.9210885084110967E-3</v>
      </c>
      <c r="P195" s="3">
        <f t="shared" si="131"/>
        <v>1.9210885084110967E-3</v>
      </c>
      <c r="Q195" s="3">
        <f t="shared" si="131"/>
        <v>1.9210885084110967E-3</v>
      </c>
      <c r="R195" s="3">
        <f t="shared" si="131"/>
        <v>1.9210885084110967E-3</v>
      </c>
      <c r="S195" s="3">
        <f t="shared" si="131"/>
        <v>1.9210885084110965E-3</v>
      </c>
      <c r="T195" s="3">
        <f t="shared" si="131"/>
        <v>1.9210885084110937E-3</v>
      </c>
      <c r="U195" s="3">
        <f t="shared" si="131"/>
        <v>1.9210885084110674E-3</v>
      </c>
      <c r="V195" s="3">
        <f t="shared" si="131"/>
        <v>1.9210885084108035E-3</v>
      </c>
      <c r="W195" s="3">
        <f t="shared" si="131"/>
        <v>1.921088508408165E-3</v>
      </c>
      <c r="X195" s="3">
        <f t="shared" si="131"/>
        <v>1.9210885083817801E-3</v>
      </c>
      <c r="Y195" s="3">
        <f t="shared" si="131"/>
        <v>1.9210885081179295E-3</v>
      </c>
      <c r="Z195" s="3">
        <f t="shared" si="131"/>
        <v>1.9210885054794255E-3</v>
      </c>
      <c r="AA195" s="3">
        <f t="shared" si="131"/>
        <v>1.9210884790943844E-3</v>
      </c>
      <c r="AB195" s="3">
        <f t="shared" si="131"/>
        <v>1.9210882152439943E-3</v>
      </c>
      <c r="AC195" s="3">
        <f t="shared" si="131"/>
        <v>1.9210855767420858E-3</v>
      </c>
      <c r="AD195" s="3">
        <f t="shared" si="131"/>
        <v>1.9210591919223111E-3</v>
      </c>
      <c r="AE195" s="3">
        <f t="shared" si="131"/>
        <v>1.9207953636545204E-3</v>
      </c>
      <c r="AF195" s="3">
        <f t="shared" si="131"/>
        <v>1.9181590729598359E-3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4.6732387958302481E-4</v>
      </c>
      <c r="C197" s="3">
        <f t="shared" si="133"/>
        <v>4.6732387958302481E-4</v>
      </c>
      <c r="D197" s="3">
        <f t="shared" si="133"/>
        <v>4.6732387958302481E-4</v>
      </c>
      <c r="E197" s="3">
        <f t="shared" si="133"/>
        <v>4.6732387958302481E-4</v>
      </c>
      <c r="F197" s="3">
        <f t="shared" si="133"/>
        <v>4.6732387958302481E-4</v>
      </c>
      <c r="G197" s="3">
        <f t="shared" si="133"/>
        <v>4.6732387958302481E-4</v>
      </c>
      <c r="H197" s="3">
        <f t="shared" si="133"/>
        <v>4.6732387958302481E-4</v>
      </c>
      <c r="I197" s="3">
        <f t="shared" si="133"/>
        <v>4.6732387958302481E-4</v>
      </c>
      <c r="J197" s="3">
        <f t="shared" si="133"/>
        <v>4.6732387958302481E-4</v>
      </c>
      <c r="K197" s="3">
        <f t="shared" si="133"/>
        <v>4.6732387958302481E-4</v>
      </c>
      <c r="L197" s="3">
        <f t="shared" si="133"/>
        <v>4.6732387958302481E-4</v>
      </c>
      <c r="M197" s="3">
        <f t="shared" si="133"/>
        <v>4.6732387958302481E-4</v>
      </c>
      <c r="N197" s="3">
        <f t="shared" si="133"/>
        <v>4.6732387958302481E-4</v>
      </c>
      <c r="O197" s="3">
        <f t="shared" si="133"/>
        <v>4.6732387958302481E-4</v>
      </c>
      <c r="P197" s="3">
        <f t="shared" si="133"/>
        <v>4.6732387958302481E-4</v>
      </c>
      <c r="Q197" s="3">
        <f t="shared" si="133"/>
        <v>4.6732387958302481E-4</v>
      </c>
      <c r="R197" s="3">
        <f t="shared" si="133"/>
        <v>4.6732387958302481E-4</v>
      </c>
      <c r="S197" s="3">
        <f t="shared" si="133"/>
        <v>4.6732387958302481E-4</v>
      </c>
      <c r="T197" s="3">
        <f t="shared" si="133"/>
        <v>4.6732387958302481E-4</v>
      </c>
      <c r="U197" s="3">
        <f t="shared" si="133"/>
        <v>4.6732387958302475E-4</v>
      </c>
      <c r="V197" s="3">
        <f t="shared" si="133"/>
        <v>4.673238795830241E-4</v>
      </c>
      <c r="W197" s="3">
        <f t="shared" si="133"/>
        <v>4.6732387958301771E-4</v>
      </c>
      <c r="X197" s="3">
        <f t="shared" si="133"/>
        <v>4.6732387958295347E-4</v>
      </c>
      <c r="Y197" s="3">
        <f t="shared" si="133"/>
        <v>4.6732387958231167E-4</v>
      </c>
      <c r="Z197" s="3">
        <f t="shared" si="133"/>
        <v>4.6732387957589325E-4</v>
      </c>
      <c r="AA197" s="3">
        <f t="shared" si="133"/>
        <v>4.6732387951170897E-4</v>
      </c>
      <c r="AB197" s="3">
        <f t="shared" si="133"/>
        <v>4.6732387886986665E-4</v>
      </c>
      <c r="AC197" s="3">
        <f t="shared" si="133"/>
        <v>4.6732387245144308E-4</v>
      </c>
      <c r="AD197" s="3">
        <f t="shared" si="133"/>
        <v>4.6732380826721239E-4</v>
      </c>
      <c r="AE197" s="3">
        <f t="shared" si="133"/>
        <v>4.6732316642539062E-4</v>
      </c>
      <c r="AF197" s="3">
        <f t="shared" si="133"/>
        <v>4.6731674805565627E-4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1.2351806616485092E-4</v>
      </c>
      <c r="C199" s="3">
        <f t="shared" si="135"/>
        <v>1.2351806616485092E-4</v>
      </c>
      <c r="D199" s="3">
        <f t="shared" si="135"/>
        <v>1.2351806616485092E-4</v>
      </c>
      <c r="E199" s="3">
        <f t="shared" si="135"/>
        <v>1.2351806616485092E-4</v>
      </c>
      <c r="F199" s="3">
        <f t="shared" si="135"/>
        <v>1.2351806616485092E-4</v>
      </c>
      <c r="G199" s="3">
        <f t="shared" si="135"/>
        <v>1.2351806616485092E-4</v>
      </c>
      <c r="H199" s="3">
        <f t="shared" si="135"/>
        <v>1.2351806616485092E-4</v>
      </c>
      <c r="I199" s="3">
        <f t="shared" si="135"/>
        <v>1.2351806616485092E-4</v>
      </c>
      <c r="J199" s="3">
        <f t="shared" si="135"/>
        <v>1.2351806616485092E-4</v>
      </c>
      <c r="K199" s="3">
        <f t="shared" si="135"/>
        <v>1.2351806616485092E-4</v>
      </c>
      <c r="L199" s="3">
        <f t="shared" si="135"/>
        <v>1.2351806616485092E-4</v>
      </c>
      <c r="M199" s="3">
        <f t="shared" si="135"/>
        <v>1.2351806616485092E-4</v>
      </c>
      <c r="N199" s="3">
        <f t="shared" si="135"/>
        <v>1.2351806616485092E-4</v>
      </c>
      <c r="O199" s="3">
        <f t="shared" si="135"/>
        <v>1.2351806616485092E-4</v>
      </c>
      <c r="P199" s="3">
        <f t="shared" si="135"/>
        <v>1.2351806616485092E-4</v>
      </c>
      <c r="Q199" s="3">
        <f t="shared" si="135"/>
        <v>1.2351806616485092E-4</v>
      </c>
      <c r="R199" s="3">
        <f t="shared" si="135"/>
        <v>1.2351806616485092E-4</v>
      </c>
      <c r="S199" s="3">
        <f t="shared" si="135"/>
        <v>1.2351806616485092E-4</v>
      </c>
      <c r="T199" s="3">
        <f t="shared" si="135"/>
        <v>1.2351806616485092E-4</v>
      </c>
      <c r="U199" s="3">
        <f t="shared" si="135"/>
        <v>1.2351806616485092E-4</v>
      </c>
      <c r="V199" s="3">
        <f t="shared" si="135"/>
        <v>1.2351806616485092E-4</v>
      </c>
      <c r="W199" s="3">
        <f t="shared" si="135"/>
        <v>1.2351806616485089E-4</v>
      </c>
      <c r="X199" s="3">
        <f t="shared" si="135"/>
        <v>1.2351806616485073E-4</v>
      </c>
      <c r="Y199" s="3">
        <f t="shared" si="135"/>
        <v>1.2351806616484905E-4</v>
      </c>
      <c r="Z199" s="3">
        <f t="shared" si="135"/>
        <v>1.2351806616483206E-4</v>
      </c>
      <c r="AA199" s="3">
        <f t="shared" si="135"/>
        <v>1.2351806616466243E-4</v>
      </c>
      <c r="AB199" s="3">
        <f t="shared" si="135"/>
        <v>1.2351806616296598E-4</v>
      </c>
      <c r="AC199" s="3">
        <f t="shared" si="135"/>
        <v>1.2351806614600147E-4</v>
      </c>
      <c r="AD199" s="3">
        <f t="shared" si="135"/>
        <v>1.2351806597635655E-4</v>
      </c>
      <c r="AE199" s="3">
        <f t="shared" si="135"/>
        <v>1.2351806427990725E-4</v>
      </c>
      <c r="AF199" s="3">
        <f t="shared" si="135"/>
        <v>1.2351804731541562E-4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1.0347942973527732E-3</v>
      </c>
      <c r="C201" s="3">
        <f t="shared" si="137"/>
        <v>1.0347942973527732E-3</v>
      </c>
      <c r="D201" s="3">
        <f t="shared" si="137"/>
        <v>1.0347942973527732E-3</v>
      </c>
      <c r="E201" s="3">
        <f t="shared" si="137"/>
        <v>1.0347942973527732E-3</v>
      </c>
      <c r="F201" s="3">
        <f t="shared" si="137"/>
        <v>1.0347942973527732E-3</v>
      </c>
      <c r="G201" s="3">
        <f t="shared" si="137"/>
        <v>1.0347942973527732E-3</v>
      </c>
      <c r="H201" s="3">
        <f t="shared" si="137"/>
        <v>1.0347942973527732E-3</v>
      </c>
      <c r="I201" s="3">
        <f t="shared" si="137"/>
        <v>1.0347942973527732E-3</v>
      </c>
      <c r="J201" s="3">
        <f t="shared" si="137"/>
        <v>1.0347942973527732E-3</v>
      </c>
      <c r="K201" s="3">
        <f t="shared" si="137"/>
        <v>1.0347942973527732E-3</v>
      </c>
      <c r="L201" s="3">
        <f t="shared" si="137"/>
        <v>1.0347942973527732E-3</v>
      </c>
      <c r="M201" s="3">
        <f t="shared" si="137"/>
        <v>1.0347942973527732E-3</v>
      </c>
      <c r="N201" s="3">
        <f t="shared" si="137"/>
        <v>1.0347942973527732E-3</v>
      </c>
      <c r="O201" s="3">
        <f t="shared" si="137"/>
        <v>1.0347942973527732E-3</v>
      </c>
      <c r="P201" s="3">
        <f t="shared" si="137"/>
        <v>1.0347942973527732E-3</v>
      </c>
      <c r="Q201" s="3">
        <f t="shared" si="137"/>
        <v>1.0347942973527732E-3</v>
      </c>
      <c r="R201" s="3">
        <f t="shared" si="137"/>
        <v>1.0347942973527732E-3</v>
      </c>
      <c r="S201" s="3">
        <f t="shared" si="137"/>
        <v>1.0347942973527732E-3</v>
      </c>
      <c r="T201" s="3">
        <f t="shared" si="137"/>
        <v>1.0347942973527732E-3</v>
      </c>
      <c r="U201" s="3">
        <f t="shared" si="137"/>
        <v>1.0347942973527732E-3</v>
      </c>
      <c r="V201" s="3">
        <f t="shared" si="137"/>
        <v>1.0347942973527732E-3</v>
      </c>
      <c r="W201" s="3">
        <f t="shared" si="137"/>
        <v>1.0347942973527732E-3</v>
      </c>
      <c r="X201" s="3">
        <f t="shared" si="137"/>
        <v>1.0347942973527732E-3</v>
      </c>
      <c r="Y201" s="3">
        <f t="shared" si="137"/>
        <v>1.034794297352773E-3</v>
      </c>
      <c r="Z201" s="3">
        <f t="shared" si="137"/>
        <v>1.0347942973527717E-3</v>
      </c>
      <c r="AA201" s="3">
        <f t="shared" si="137"/>
        <v>1.0347942973527573E-3</v>
      </c>
      <c r="AB201" s="3">
        <f t="shared" si="137"/>
        <v>1.0347942973526153E-3</v>
      </c>
      <c r="AC201" s="3">
        <f t="shared" si="137"/>
        <v>1.0347942973511941E-3</v>
      </c>
      <c r="AD201" s="3">
        <f t="shared" si="137"/>
        <v>1.0347942973369818E-3</v>
      </c>
      <c r="AE201" s="3">
        <f t="shared" si="137"/>
        <v>1.0347942971948587E-3</v>
      </c>
      <c r="AF201" s="3">
        <f t="shared" si="137"/>
        <v>1.0347942957736286E-3</v>
      </c>
      <c r="AG201" s="3"/>
      <c r="AH201" s="3"/>
    </row>
    <row r="202" spans="1:34" x14ac:dyDescent="0.25">
      <c r="A202" s="79">
        <f>AVERAGE(B202:AF202)</f>
        <v>2.536891110790317E-2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7.1772861969587043E-2</v>
      </c>
      <c r="M202" s="80">
        <f t="shared" si="138"/>
        <v>6.981094191543899E-2</v>
      </c>
      <c r="N202" s="80">
        <f t="shared" si="138"/>
        <v>6.9826013123905878E-2</v>
      </c>
      <c r="O202" s="80">
        <f t="shared" si="138"/>
        <v>6.578815368682249E-2</v>
      </c>
      <c r="P202" s="80">
        <f t="shared" si="138"/>
        <v>6.7541808252384247E-2</v>
      </c>
      <c r="Q202" s="80">
        <f t="shared" si="138"/>
        <v>6.7520902602393323E-2</v>
      </c>
      <c r="R202" s="80">
        <f t="shared" si="138"/>
        <v>6.942388830069747E-2</v>
      </c>
      <c r="S202" s="80">
        <f t="shared" si="138"/>
        <v>6.7356091689636202E-2</v>
      </c>
      <c r="T202" s="80">
        <f t="shared" si="138"/>
        <v>6.0580349756758779E-2</v>
      </c>
      <c r="U202" s="80">
        <f t="shared" si="138"/>
        <v>1.5373301400619441E-2</v>
      </c>
      <c r="V202" s="80">
        <f t="shared" si="138"/>
        <v>0.16144193164675447</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1220.640851400384</v>
      </c>
      <c r="C203" s="21">
        <f t="shared" ref="C203:AF203" si="139">(C170-C169)^2</f>
        <v>90083.383493739049</v>
      </c>
      <c r="D203" s="21">
        <f t="shared" si="139"/>
        <v>30741.972655456724</v>
      </c>
      <c r="E203" s="21">
        <f t="shared" si="139"/>
        <v>1447119.2262316239</v>
      </c>
      <c r="F203" s="21">
        <f t="shared" si="139"/>
        <v>2359368.1443160549</v>
      </c>
      <c r="G203" s="21">
        <f t="shared" si="139"/>
        <v>1738208.8450754927</v>
      </c>
      <c r="H203" s="21">
        <f t="shared" si="139"/>
        <v>1168068.7589719512</v>
      </c>
      <c r="I203" s="21">
        <f t="shared" si="139"/>
        <v>650106.01852675166</v>
      </c>
      <c r="J203" s="21">
        <f t="shared" si="139"/>
        <v>326532.13882970071</v>
      </c>
      <c r="K203" s="21">
        <f t="shared" si="139"/>
        <v>229454.30251706962</v>
      </c>
      <c r="L203" s="21">
        <f t="shared" si="139"/>
        <v>413890.09774509887</v>
      </c>
      <c r="M203" s="21">
        <f t="shared" si="139"/>
        <v>361674.48580859631</v>
      </c>
      <c r="N203" s="21">
        <f t="shared" si="139"/>
        <v>331722.24285765382</v>
      </c>
      <c r="O203" s="21">
        <f t="shared" si="139"/>
        <v>272331.68100788665</v>
      </c>
      <c r="P203" s="21">
        <f t="shared" si="139"/>
        <v>267065.61292362772</v>
      </c>
      <c r="Q203" s="21">
        <f t="shared" si="139"/>
        <v>247501.30365658898</v>
      </c>
      <c r="R203" s="21">
        <f t="shared" si="139"/>
        <v>241474.8535737255</v>
      </c>
      <c r="S203" s="21">
        <f t="shared" si="139"/>
        <v>208597.59775301436</v>
      </c>
      <c r="T203" s="21">
        <f t="shared" si="139"/>
        <v>148442.08541975383</v>
      </c>
      <c r="U203" s="21">
        <f t="shared" si="139"/>
        <v>7236.6171416222196</v>
      </c>
      <c r="V203" s="21">
        <f t="shared" si="139"/>
        <v>521297.9107921992</v>
      </c>
      <c r="W203" s="21">
        <f t="shared" si="139"/>
        <v>1290058.8059863851</v>
      </c>
      <c r="X203" s="21">
        <f t="shared" si="139"/>
        <v>1413082.5848911568</v>
      </c>
      <c r="Y203" s="21">
        <f t="shared" si="139"/>
        <v>689010.08595112595</v>
      </c>
      <c r="Z203" s="21">
        <f t="shared" si="139"/>
        <v>157803.0772172588</v>
      </c>
      <c r="AA203" s="21">
        <f t="shared" si="139"/>
        <v>22123.797488593431</v>
      </c>
      <c r="AB203" s="21">
        <f t="shared" si="139"/>
        <v>2013.6692815803917</v>
      </c>
      <c r="AC203" s="21">
        <f t="shared" si="139"/>
        <v>868.72312784719816</v>
      </c>
      <c r="AD203" s="21">
        <f t="shared" si="139"/>
        <v>287.12979671331402</v>
      </c>
      <c r="AE203" s="21">
        <f t="shared" si="139"/>
        <v>343.27210303626271</v>
      </c>
      <c r="AF203" s="21">
        <f t="shared" si="139"/>
        <v>10.58574912538813</v>
      </c>
      <c r="AG203" s="3"/>
      <c r="AH203" s="3"/>
    </row>
    <row r="204" spans="1:34" x14ac:dyDescent="0.25">
      <c r="A204" s="71">
        <f>SUM(B204:AF204)</f>
        <v>3021234.4886797676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413890.09774509887</v>
      </c>
      <c r="M204" s="60">
        <f t="shared" ref="M204" si="150">IF($A$64&lt;=M168,IF($B$64&gt;=M168,ABS(M203),0),0)</f>
        <v>361674.48580859631</v>
      </c>
      <c r="N204" s="60">
        <f t="shared" ref="N204" si="151">IF($A$64&lt;=N168,IF($B$64&gt;=N168,ABS(N203),0),0)</f>
        <v>331722.24285765382</v>
      </c>
      <c r="O204" s="60">
        <f t="shared" ref="O204" si="152">IF($A$64&lt;=O168,IF($B$64&gt;=O168,ABS(O203),0),0)</f>
        <v>272331.68100788665</v>
      </c>
      <c r="P204" s="60">
        <f t="shared" ref="P204" si="153">IF($A$64&lt;=P168,IF($B$64&gt;=P168,ABS(P203),0),0)</f>
        <v>267065.61292362772</v>
      </c>
      <c r="Q204" s="60">
        <f t="shared" ref="Q204" si="154">IF($A$64&lt;=Q168,IF($B$64&gt;=Q168,ABS(Q203),0),0)</f>
        <v>247501.30365658898</v>
      </c>
      <c r="R204" s="60">
        <f t="shared" ref="R204" si="155">IF($A$64&lt;=R168,IF($B$64&gt;=R168,ABS(R203),0),0)</f>
        <v>241474.8535737255</v>
      </c>
      <c r="S204" s="60">
        <f t="shared" ref="S204" si="156">IF($A$64&lt;=S168,IF($B$64&gt;=S168,ABS(S203),0),0)</f>
        <v>208597.59775301436</v>
      </c>
      <c r="T204" s="60">
        <f t="shared" ref="T204" si="157">IF($A$64&lt;=T168,IF($B$64&gt;=T168,ABS(T203),0),0)</f>
        <v>148442.08541975383</v>
      </c>
      <c r="U204" s="60">
        <f t="shared" ref="U204" si="158">IF($A$64&lt;=U168,IF($B$64&gt;=U168,ABS(U203),0),0)</f>
        <v>7236.6171416222196</v>
      </c>
      <c r="V204" s="60">
        <f t="shared" ref="V204" si="159">IF($A$64&lt;=V168,IF($B$64&gt;=V168,ABS(V203),0),0)</f>
        <v>521297.9107921992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11357.306888258885</v>
      </c>
      <c r="C209" s="27">
        <f t="shared" ref="C209:AF209" si="170">($C$17+SUM(C210:C240))*$B$51</f>
        <v>10961.409220861522</v>
      </c>
      <c r="D209" s="27">
        <f t="shared" si="170"/>
        <v>9294.1157472084888</v>
      </c>
      <c r="E209" s="27">
        <f t="shared" si="170"/>
        <v>8968.7002337418853</v>
      </c>
      <c r="F209" s="27">
        <f t="shared" si="170"/>
        <v>8968.6728284147703</v>
      </c>
      <c r="G209" s="27">
        <f t="shared" si="170"/>
        <v>8968.3988857713666</v>
      </c>
      <c r="H209" s="27">
        <f t="shared" si="170"/>
        <v>8965.6661218821828</v>
      </c>
      <c r="I209" s="27">
        <f t="shared" si="170"/>
        <v>8938.9934786173835</v>
      </c>
      <c r="J209" s="27">
        <f t="shared" si="170"/>
        <v>8727.8246414396217</v>
      </c>
      <c r="K209" s="27">
        <f t="shared" si="170"/>
        <v>8286.5339799545036</v>
      </c>
      <c r="L209" s="27">
        <f t="shared" si="170"/>
        <v>7977.4960686437107</v>
      </c>
      <c r="M209" s="27">
        <f t="shared" si="170"/>
        <v>7642.4896302839143</v>
      </c>
      <c r="N209" s="27">
        <f t="shared" si="170"/>
        <v>7381.4199071197227</v>
      </c>
      <c r="O209" s="27">
        <f t="shared" si="170"/>
        <v>7104.7335989180192</v>
      </c>
      <c r="P209" s="27">
        <f t="shared" si="170"/>
        <v>6838.9490005894495</v>
      </c>
      <c r="Q209" s="27">
        <f t="shared" si="170"/>
        <v>6554.2364864841729</v>
      </c>
      <c r="R209" s="27">
        <f t="shared" si="170"/>
        <v>6287.8673222368197</v>
      </c>
      <c r="S209" s="27">
        <f t="shared" si="170"/>
        <v>5927.84667932096</v>
      </c>
      <c r="T209" s="27">
        <f t="shared" si="170"/>
        <v>5569.7893433150366</v>
      </c>
      <c r="U209" s="27">
        <f t="shared" si="170"/>
        <v>5132.3841583721305</v>
      </c>
      <c r="V209" s="27">
        <f t="shared" si="170"/>
        <v>4621.1942420890718</v>
      </c>
      <c r="W209" s="27">
        <f t="shared" si="170"/>
        <v>3925.7062027368602</v>
      </c>
      <c r="X209" s="27">
        <f t="shared" si="170"/>
        <v>2918.7580741257134</v>
      </c>
      <c r="Y209" s="27">
        <f t="shared" si="170"/>
        <v>1965.8984770975999</v>
      </c>
      <c r="Z209" s="27">
        <f t="shared" si="170"/>
        <v>1269.6098117047457</v>
      </c>
      <c r="AA209" s="27">
        <f t="shared" si="170"/>
        <v>846.08350560492272</v>
      </c>
      <c r="AB209" s="27">
        <f t="shared" si="170"/>
        <v>619.33491033288169</v>
      </c>
      <c r="AC209" s="27">
        <f t="shared" si="170"/>
        <v>502.53059314004105</v>
      </c>
      <c r="AD209" s="27">
        <f t="shared" si="170"/>
        <v>448.30127969699527</v>
      </c>
      <c r="AE209" s="27">
        <f t="shared" si="170"/>
        <v>402.69003323420554</v>
      </c>
      <c r="AF209" s="27">
        <f t="shared" si="170"/>
        <v>391.14113120443409</v>
      </c>
      <c r="AG209" s="27"/>
      <c r="AH209" s="27"/>
    </row>
    <row r="210" spans="1:34" x14ac:dyDescent="0.25">
      <c r="B210" s="3">
        <f t="shared" ref="B210:AF210" si="171">$C18*EXP(-B$207/$A18/EXP(-$D$126))</f>
        <v>0.20941845193538555</v>
      </c>
      <c r="C210" s="3">
        <f t="shared" si="171"/>
        <v>0.17470851919838576</v>
      </c>
      <c r="D210" s="3">
        <f t="shared" si="171"/>
        <v>2.8530242376972988E-2</v>
      </c>
      <c r="E210" s="3">
        <f t="shared" si="171"/>
        <v>3.84785985478192E-10</v>
      </c>
      <c r="F210" s="3">
        <f t="shared" si="171"/>
        <v>7.6622636858852813E-89</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4.9174999354114866E-2</v>
      </c>
      <c r="C211" s="3">
        <f t="shared" si="172"/>
        <v>4.9174997071453744E-2</v>
      </c>
      <c r="D211" s="3">
        <f t="shared" si="172"/>
        <v>4.9174974244848353E-2</v>
      </c>
      <c r="E211" s="3">
        <f t="shared" si="172"/>
        <v>4.9174745979377169E-2</v>
      </c>
      <c r="F211" s="3">
        <f t="shared" si="172"/>
        <v>4.9172463382941796E-2</v>
      </c>
      <c r="G211" s="3">
        <f t="shared" si="172"/>
        <v>4.9149643245230391E-2</v>
      </c>
      <c r="H211" s="3">
        <f t="shared" si="172"/>
        <v>4.8922023532857704E-2</v>
      </c>
      <c r="I211" s="3">
        <f t="shared" si="172"/>
        <v>4.6703006152243542E-2</v>
      </c>
      <c r="J211" s="3">
        <f t="shared" si="172"/>
        <v>2.9359528226258699E-2</v>
      </c>
      <c r="K211" s="3">
        <f t="shared" si="172"/>
        <v>2.8300326157862236E-4</v>
      </c>
      <c r="L211" s="3">
        <f t="shared" si="172"/>
        <v>1.9598151983957124E-24</v>
      </c>
      <c r="M211" s="3">
        <f t="shared" si="172"/>
        <v>4.9710934445844931E-226</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2.5308430884054441E-2</v>
      </c>
      <c r="C212" s="3">
        <f t="shared" si="173"/>
        <v>2.5308430778078105E-2</v>
      </c>
      <c r="D212" s="3">
        <f t="shared" si="173"/>
        <v>2.5308429718314769E-2</v>
      </c>
      <c r="E212" s="3">
        <f t="shared" si="173"/>
        <v>2.5308419120683882E-2</v>
      </c>
      <c r="F212" s="3">
        <f t="shared" si="173"/>
        <v>2.5308313144619066E-2</v>
      </c>
      <c r="G212" s="3">
        <f t="shared" si="173"/>
        <v>2.5307253408377528E-2</v>
      </c>
      <c r="H212" s="3">
        <f t="shared" si="173"/>
        <v>2.5296658486246938E-2</v>
      </c>
      <c r="I212" s="3">
        <f t="shared" si="173"/>
        <v>2.5190952915759089E-2</v>
      </c>
      <c r="J212" s="3">
        <f t="shared" si="173"/>
        <v>2.4157888986800692E-2</v>
      </c>
      <c r="K212" s="3">
        <f t="shared" si="173"/>
        <v>1.5892888322340988E-2</v>
      </c>
      <c r="L212" s="3">
        <f t="shared" si="173"/>
        <v>2.4134668397353778E-4</v>
      </c>
      <c r="M212" s="3">
        <f t="shared" si="173"/>
        <v>1.5740784774465708E-22</v>
      </c>
      <c r="N212" s="3">
        <f t="shared" si="173"/>
        <v>2.1921831109565991E-204</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3.419451671250949E-2</v>
      </c>
      <c r="C213" s="3">
        <f t="shared" si="174"/>
        <v>3.4194516699592933E-2</v>
      </c>
      <c r="D213" s="3">
        <f t="shared" si="174"/>
        <v>3.4194516570427366E-2</v>
      </c>
      <c r="E213" s="3">
        <f t="shared" si="174"/>
        <v>3.4194515278771771E-2</v>
      </c>
      <c r="F213" s="3">
        <f t="shared" si="174"/>
        <v>3.4194502362218451E-2</v>
      </c>
      <c r="G213" s="3">
        <f t="shared" si="174"/>
        <v>3.4194373196953648E-2</v>
      </c>
      <c r="H213" s="3">
        <f t="shared" si="174"/>
        <v>3.4193081571140024E-2</v>
      </c>
      <c r="I213" s="3">
        <f t="shared" si="174"/>
        <v>3.4180167996075393E-2</v>
      </c>
      <c r="J213" s="3">
        <f t="shared" si="174"/>
        <v>3.405130017797306E-2</v>
      </c>
      <c r="K213" s="3">
        <f t="shared" si="174"/>
        <v>3.2789044534485536E-2</v>
      </c>
      <c r="L213" s="3">
        <f t="shared" si="174"/>
        <v>2.2473948728325421E-2</v>
      </c>
      <c r="M213" s="3">
        <f t="shared" si="174"/>
        <v>5.1426341211945254E-4</v>
      </c>
      <c r="N213" s="3">
        <f t="shared" si="174"/>
        <v>2.0241749216195509E-20</v>
      </c>
      <c r="O213" s="3">
        <f t="shared" si="174"/>
        <v>1.8066422757408356E-184</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2.2721576937663551E-2</v>
      </c>
      <c r="C214" s="3">
        <f t="shared" si="175"/>
        <v>2.2721576936889309E-2</v>
      </c>
      <c r="D214" s="3">
        <f t="shared" si="175"/>
        <v>2.2721576929146912E-2</v>
      </c>
      <c r="E214" s="3">
        <f t="shared" si="175"/>
        <v>2.2721576851722963E-2</v>
      </c>
      <c r="F214" s="3">
        <f t="shared" si="175"/>
        <v>2.2721576077483468E-2</v>
      </c>
      <c r="G214" s="3">
        <f t="shared" si="175"/>
        <v>2.2721568335089957E-2</v>
      </c>
      <c r="H214" s="3">
        <f t="shared" si="175"/>
        <v>2.2721490911299921E-2</v>
      </c>
      <c r="I214" s="3">
        <f t="shared" si="175"/>
        <v>2.2720716687909655E-2</v>
      </c>
      <c r="J214" s="3">
        <f t="shared" si="175"/>
        <v>2.2712975904828667E-2</v>
      </c>
      <c r="K214" s="3">
        <f t="shared" si="175"/>
        <v>2.2635712973440025E-2</v>
      </c>
      <c r="L214" s="3">
        <f t="shared" si="175"/>
        <v>2.1877392568841872E-2</v>
      </c>
      <c r="M214" s="3">
        <f t="shared" si="175"/>
        <v>1.5559992210534803E-2</v>
      </c>
      <c r="N214" s="3">
        <f t="shared" si="175"/>
        <v>5.1540369643134879E-4</v>
      </c>
      <c r="O214" s="3">
        <f t="shared" si="175"/>
        <v>8.1946246549188807E-19</v>
      </c>
      <c r="P214" s="3">
        <f t="shared" si="175"/>
        <v>8.4594949733995583E-167</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2.5892610318383812E-2</v>
      </c>
      <c r="C215" s="3">
        <f t="shared" si="176"/>
        <v>2.5892610318304223E-2</v>
      </c>
      <c r="D215" s="3">
        <f t="shared" si="176"/>
        <v>2.5892610317508322E-2</v>
      </c>
      <c r="E215" s="3">
        <f t="shared" si="176"/>
        <v>2.5892610309549306E-2</v>
      </c>
      <c r="F215" s="3">
        <f t="shared" si="176"/>
        <v>2.5892610229959163E-2</v>
      </c>
      <c r="G215" s="3">
        <f t="shared" si="176"/>
        <v>2.5892609434057745E-2</v>
      </c>
      <c r="H215" s="3">
        <f t="shared" si="176"/>
        <v>2.5892601475044876E-2</v>
      </c>
      <c r="I215" s="3">
        <f t="shared" si="176"/>
        <v>2.5892521885050781E-2</v>
      </c>
      <c r="J215" s="3">
        <f t="shared" si="176"/>
        <v>2.5891725998565346E-2</v>
      </c>
      <c r="K215" s="3">
        <f t="shared" si="176"/>
        <v>2.5883768479108255E-2</v>
      </c>
      <c r="L215" s="3">
        <f t="shared" si="176"/>
        <v>2.5804327671377074E-2</v>
      </c>
      <c r="M215" s="3">
        <f t="shared" si="176"/>
        <v>2.5023206684861563E-2</v>
      </c>
      <c r="N215" s="3">
        <f t="shared" si="176"/>
        <v>1.8401240999439322E-2</v>
      </c>
      <c r="O215" s="3">
        <f t="shared" si="176"/>
        <v>8.5091977244204653E-4</v>
      </c>
      <c r="P215" s="3">
        <f t="shared" si="176"/>
        <v>3.8045529716194354E-17</v>
      </c>
      <c r="Q215" s="3">
        <f t="shared" si="176"/>
        <v>1.2146574969311093E-150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2.3275396535951124E-2</v>
      </c>
      <c r="C216" s="3">
        <f t="shared" si="177"/>
        <v>2.3275396535944671E-2</v>
      </c>
      <c r="D216" s="3">
        <f t="shared" si="177"/>
        <v>2.3275396535880132E-2</v>
      </c>
      <c r="E216" s="3">
        <f t="shared" si="177"/>
        <v>2.3275396535234735E-2</v>
      </c>
      <c r="F216" s="3">
        <f t="shared" si="177"/>
        <v>2.3275396528780763E-2</v>
      </c>
      <c r="G216" s="3">
        <f t="shared" si="177"/>
        <v>2.3275396464241031E-2</v>
      </c>
      <c r="H216" s="3">
        <f t="shared" si="177"/>
        <v>2.3275395818843761E-2</v>
      </c>
      <c r="I216" s="3">
        <f t="shared" si="177"/>
        <v>2.3275389364872029E-2</v>
      </c>
      <c r="J216" s="3">
        <f t="shared" si="177"/>
        <v>2.3275324825253119E-2</v>
      </c>
      <c r="K216" s="3">
        <f t="shared" si="177"/>
        <v>2.3274679438906754E-2</v>
      </c>
      <c r="L216" s="3">
        <f t="shared" si="177"/>
        <v>2.326822655961365E-2</v>
      </c>
      <c r="M216" s="3">
        <f t="shared" si="177"/>
        <v>2.3203796082838821E-2</v>
      </c>
      <c r="N216" s="3">
        <f t="shared" si="177"/>
        <v>2.2569222805738039E-2</v>
      </c>
      <c r="O216" s="3">
        <f t="shared" si="177"/>
        <v>1.7103785511046899E-2</v>
      </c>
      <c r="P216" s="3">
        <f t="shared" si="177"/>
        <v>1.0686823052678761E-3</v>
      </c>
      <c r="Q216" s="3">
        <f t="shared" si="177"/>
        <v>9.6919772966900389E-16</v>
      </c>
      <c r="R216" s="3">
        <f t="shared" si="177"/>
        <v>3.6479601327434921E-136</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2.725942734122299E-2</v>
      </c>
      <c r="C217" s="3">
        <f t="shared" si="178"/>
        <v>2.725942734122231E-2</v>
      </c>
      <c r="D217" s="3">
        <f t="shared" si="178"/>
        <v>2.7259427341215493E-2</v>
      </c>
      <c r="E217" s="3">
        <f t="shared" si="178"/>
        <v>2.7259427341147304E-2</v>
      </c>
      <c r="F217" s="3">
        <f t="shared" si="178"/>
        <v>2.7259427340465447E-2</v>
      </c>
      <c r="G217" s="3">
        <f t="shared" si="178"/>
        <v>2.7259427333646877E-2</v>
      </c>
      <c r="H217" s="3">
        <f t="shared" si="178"/>
        <v>2.7259427265461166E-2</v>
      </c>
      <c r="I217" s="3">
        <f t="shared" si="178"/>
        <v>2.7259426583604085E-2</v>
      </c>
      <c r="J217" s="3">
        <f t="shared" si="178"/>
        <v>2.7259419765034192E-2</v>
      </c>
      <c r="K217" s="3">
        <f t="shared" si="178"/>
        <v>2.7259351579429072E-2</v>
      </c>
      <c r="L217" s="3">
        <f t="shared" si="178"/>
        <v>2.7258669732758423E-2</v>
      </c>
      <c r="M217" s="3">
        <f t="shared" si="178"/>
        <v>2.7251852204019947E-2</v>
      </c>
      <c r="N217" s="3">
        <f t="shared" si="178"/>
        <v>2.7183770626685162E-2</v>
      </c>
      <c r="O217" s="3">
        <f t="shared" si="178"/>
        <v>2.6512239706528957E-2</v>
      </c>
      <c r="P217" s="3">
        <f t="shared" si="178"/>
        <v>2.0644939977729256E-2</v>
      </c>
      <c r="Q217" s="3">
        <f t="shared" si="178"/>
        <v>1.6923324934691891E-3</v>
      </c>
      <c r="R217" s="3">
        <f t="shared" si="178"/>
        <v>2.3184961501210105E-14</v>
      </c>
      <c r="S217" s="3">
        <f t="shared" si="178"/>
        <v>5.4002422008621946E-123</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2.1214287036784935E-2</v>
      </c>
      <c r="C218" s="3">
        <f t="shared" si="179"/>
        <v>2.1214287036784883E-2</v>
      </c>
      <c r="D218" s="3">
        <f t="shared" si="179"/>
        <v>2.1214287036784407E-2</v>
      </c>
      <c r="E218" s="3">
        <f t="shared" si="179"/>
        <v>2.1214287036779619E-2</v>
      </c>
      <c r="F218" s="3">
        <f t="shared" si="179"/>
        <v>2.1214287036731751E-2</v>
      </c>
      <c r="G218" s="3">
        <f t="shared" si="179"/>
        <v>2.1214287036253065E-2</v>
      </c>
      <c r="H218" s="3">
        <f t="shared" si="179"/>
        <v>2.1214287031466193E-2</v>
      </c>
      <c r="I218" s="3">
        <f t="shared" si="179"/>
        <v>2.1214286983597491E-2</v>
      </c>
      <c r="J218" s="3">
        <f t="shared" si="179"/>
        <v>2.121428650491046E-2</v>
      </c>
      <c r="K218" s="3">
        <f t="shared" si="179"/>
        <v>2.1214281718040753E-2</v>
      </c>
      <c r="L218" s="3">
        <f t="shared" si="179"/>
        <v>2.1214233849403095E-2</v>
      </c>
      <c r="M218" s="3">
        <f t="shared" si="179"/>
        <v>2.1213755168967157E-2</v>
      </c>
      <c r="N218" s="3">
        <f t="shared" si="179"/>
        <v>2.1208968958622607E-2</v>
      </c>
      <c r="O218" s="3">
        <f t="shared" si="179"/>
        <v>2.1161166207097869E-2</v>
      </c>
      <c r="P218" s="3">
        <f t="shared" si="179"/>
        <v>2.0689024629751106E-2</v>
      </c>
      <c r="Q218" s="3">
        <f t="shared" si="179"/>
        <v>1.6509890765023755E-2</v>
      </c>
      <c r="R218" s="3">
        <f t="shared" si="179"/>
        <v>1.7289643237255157E-3</v>
      </c>
      <c r="S218" s="3">
        <f t="shared" si="179"/>
        <v>2.7428644953307069E-13</v>
      </c>
      <c r="T218" s="3">
        <f t="shared" si="179"/>
        <v>2.7694119516709697E-111</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3.4718036830476549E-2</v>
      </c>
      <c r="C219" s="3">
        <f t="shared" si="180"/>
        <v>3.4718036830476542E-2</v>
      </c>
      <c r="D219" s="3">
        <f t="shared" si="180"/>
        <v>3.4718036830476473E-2</v>
      </c>
      <c r="E219" s="3">
        <f t="shared" si="180"/>
        <v>3.4718036830475765E-2</v>
      </c>
      <c r="F219" s="3">
        <f t="shared" si="180"/>
        <v>3.4718036830468695E-2</v>
      </c>
      <c r="G219" s="3">
        <f t="shared" si="180"/>
        <v>3.4718036830398029E-2</v>
      </c>
      <c r="H219" s="3">
        <f t="shared" si="180"/>
        <v>3.4718036829691344E-2</v>
      </c>
      <c r="I219" s="3">
        <f t="shared" si="180"/>
        <v>3.4718036822624511E-2</v>
      </c>
      <c r="J219" s="3">
        <f t="shared" si="180"/>
        <v>3.4718036751956158E-2</v>
      </c>
      <c r="K219" s="3">
        <f t="shared" si="180"/>
        <v>3.4718036045272627E-2</v>
      </c>
      <c r="L219" s="3">
        <f t="shared" si="180"/>
        <v>3.4718028978438099E-2</v>
      </c>
      <c r="M219" s="3">
        <f t="shared" si="180"/>
        <v>3.4717958310171944E-2</v>
      </c>
      <c r="N219" s="3">
        <f t="shared" si="180"/>
        <v>3.471725163542181E-2</v>
      </c>
      <c r="O219" s="3">
        <f t="shared" si="180"/>
        <v>3.4710185679001859E-2</v>
      </c>
      <c r="P219" s="3">
        <f t="shared" si="180"/>
        <v>3.4639605163389806E-2</v>
      </c>
      <c r="Q219" s="3">
        <f t="shared" si="180"/>
        <v>3.3941645654696304E-2</v>
      </c>
      <c r="R219" s="3">
        <f t="shared" si="180"/>
        <v>2.7690609553152522E-2</v>
      </c>
      <c r="S219" s="3">
        <f t="shared" si="180"/>
        <v>3.6168352261239135E-3</v>
      </c>
      <c r="T219" s="3">
        <f t="shared" si="180"/>
        <v>5.2274610151843935E-12</v>
      </c>
      <c r="U219" s="3">
        <f t="shared" si="180"/>
        <v>2.0792733669146584E-100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3.054172570036021E-2</v>
      </c>
      <c r="C220" s="3">
        <f t="shared" si="181"/>
        <v>3.054172570036021E-2</v>
      </c>
      <c r="D220" s="3">
        <f t="shared" si="181"/>
        <v>3.0541725700360203E-2</v>
      </c>
      <c r="E220" s="3">
        <f t="shared" si="181"/>
        <v>3.0541725700360147E-2</v>
      </c>
      <c r="F220" s="3">
        <f t="shared" si="181"/>
        <v>3.0541725700359585E-2</v>
      </c>
      <c r="G220" s="3">
        <f t="shared" si="181"/>
        <v>3.0541725700353978E-2</v>
      </c>
      <c r="H220" s="3">
        <f t="shared" si="181"/>
        <v>3.0541725700297898E-2</v>
      </c>
      <c r="I220" s="3">
        <f t="shared" si="181"/>
        <v>3.0541725699737097E-2</v>
      </c>
      <c r="J220" s="3">
        <f t="shared" si="181"/>
        <v>3.0541725694129069E-2</v>
      </c>
      <c r="K220" s="3">
        <f t="shared" si="181"/>
        <v>3.0541725638048814E-2</v>
      </c>
      <c r="L220" s="3">
        <f t="shared" si="181"/>
        <v>3.0541725077246271E-2</v>
      </c>
      <c r="M220" s="3">
        <f t="shared" si="181"/>
        <v>3.0541719469221396E-2</v>
      </c>
      <c r="N220" s="3">
        <f t="shared" si="181"/>
        <v>3.0541663389029285E-2</v>
      </c>
      <c r="O220" s="3">
        <f t="shared" si="181"/>
        <v>3.0541102592771707E-2</v>
      </c>
      <c r="P220" s="3">
        <f t="shared" si="181"/>
        <v>3.0535495196508604E-2</v>
      </c>
      <c r="Q220" s="3">
        <f t="shared" si="181"/>
        <v>3.0479477826690873E-2</v>
      </c>
      <c r="R220" s="3">
        <f t="shared" si="181"/>
        <v>2.9924925149455502E-2</v>
      </c>
      <c r="S220" s="3">
        <f t="shared" si="181"/>
        <v>2.4905116439257264E-2</v>
      </c>
      <c r="T220" s="3">
        <f t="shared" si="181"/>
        <v>3.9704854970241069E-3</v>
      </c>
      <c r="U220" s="3">
        <f t="shared" si="181"/>
        <v>4.2110848169935115E-11</v>
      </c>
      <c r="V220" s="3">
        <f t="shared" si="181"/>
        <v>7.583989736005571E-91</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4.0592217810354776E-2</v>
      </c>
      <c r="C221" s="3">
        <f t="shared" si="182"/>
        <v>4.0592217810354776E-2</v>
      </c>
      <c r="D221" s="3">
        <f t="shared" si="182"/>
        <v>4.0592217810354776E-2</v>
      </c>
      <c r="E221" s="3">
        <f t="shared" si="182"/>
        <v>4.0592217810354769E-2</v>
      </c>
      <c r="F221" s="3">
        <f t="shared" si="182"/>
        <v>4.05922178103547E-2</v>
      </c>
      <c r="G221" s="3">
        <f t="shared" si="182"/>
        <v>4.0592217810354027E-2</v>
      </c>
      <c r="H221" s="3">
        <f t="shared" si="182"/>
        <v>4.0592217810347303E-2</v>
      </c>
      <c r="I221" s="3">
        <f t="shared" si="182"/>
        <v>4.0592217810280072E-2</v>
      </c>
      <c r="J221" s="3">
        <f t="shared" si="182"/>
        <v>4.05922178096077E-2</v>
      </c>
      <c r="K221" s="3">
        <f t="shared" si="182"/>
        <v>4.0592217802884044E-2</v>
      </c>
      <c r="L221" s="3">
        <f t="shared" si="182"/>
        <v>4.0592217735647439E-2</v>
      </c>
      <c r="M221" s="3">
        <f t="shared" si="182"/>
        <v>4.0592217063281394E-2</v>
      </c>
      <c r="N221" s="3">
        <f t="shared" si="182"/>
        <v>4.0592210339621536E-2</v>
      </c>
      <c r="O221" s="3">
        <f t="shared" si="182"/>
        <v>4.0592143103084212E-2</v>
      </c>
      <c r="P221" s="3">
        <f t="shared" si="182"/>
        <v>4.059147074383633E-2</v>
      </c>
      <c r="Q221" s="3">
        <f t="shared" si="182"/>
        <v>4.0584747763851577E-2</v>
      </c>
      <c r="R221" s="3">
        <f t="shared" si="182"/>
        <v>4.0517579175890758E-2</v>
      </c>
      <c r="S221" s="3">
        <f t="shared" si="182"/>
        <v>3.9851977135977414E-2</v>
      </c>
      <c r="T221" s="3">
        <f t="shared" si="182"/>
        <v>3.3768650307998818E-2</v>
      </c>
      <c r="U221" s="3">
        <f t="shared" si="182"/>
        <v>6.4439476787494033E-3</v>
      </c>
      <c r="V221" s="3">
        <f t="shared" si="182"/>
        <v>4.1260551946870694E-10</v>
      </c>
      <c r="W221" s="3">
        <f t="shared" si="182"/>
        <v>4.7793112073163867E-82</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4.4579554777240793E-2</v>
      </c>
      <c r="C222" s="3">
        <f t="shared" si="183"/>
        <v>4.4579554777240793E-2</v>
      </c>
      <c r="D222" s="3">
        <f t="shared" si="183"/>
        <v>4.4579554777240793E-2</v>
      </c>
      <c r="E222" s="3">
        <f t="shared" si="183"/>
        <v>4.4579554777240793E-2</v>
      </c>
      <c r="F222" s="3">
        <f t="shared" si="183"/>
        <v>4.4579554777240786E-2</v>
      </c>
      <c r="G222" s="3">
        <f t="shared" si="183"/>
        <v>4.4579554777240717E-2</v>
      </c>
      <c r="H222" s="3">
        <f t="shared" si="183"/>
        <v>4.4579554777240051E-2</v>
      </c>
      <c r="I222" s="3">
        <f t="shared" si="183"/>
        <v>4.4579554777233396E-2</v>
      </c>
      <c r="J222" s="3">
        <f t="shared" si="183"/>
        <v>4.4579554777166783E-2</v>
      </c>
      <c r="K222" s="3">
        <f t="shared" si="183"/>
        <v>4.457955477650067E-2</v>
      </c>
      <c r="L222" s="3">
        <f t="shared" si="183"/>
        <v>4.4579554769839581E-2</v>
      </c>
      <c r="M222" s="3">
        <f t="shared" si="183"/>
        <v>4.4579554703228677E-2</v>
      </c>
      <c r="N222" s="3">
        <f t="shared" si="183"/>
        <v>4.4579554037119662E-2</v>
      </c>
      <c r="O222" s="3">
        <f t="shared" si="183"/>
        <v>4.4579547376030045E-2</v>
      </c>
      <c r="P222" s="3">
        <f t="shared" si="183"/>
        <v>4.4579480765188612E-2</v>
      </c>
      <c r="Q222" s="3">
        <f t="shared" si="183"/>
        <v>4.4578814662248403E-2</v>
      </c>
      <c r="R222" s="3">
        <f t="shared" si="183"/>
        <v>4.4572154180228842E-2</v>
      </c>
      <c r="S222" s="3">
        <f t="shared" si="183"/>
        <v>4.4505604068034062E-2</v>
      </c>
      <c r="T222" s="3">
        <f t="shared" si="183"/>
        <v>4.3845543621084775E-2</v>
      </c>
      <c r="U222" s="3">
        <f t="shared" si="183"/>
        <v>3.7760092496244915E-2</v>
      </c>
      <c r="V222" s="3">
        <f t="shared" si="183"/>
        <v>8.4743998861373532E-3</v>
      </c>
      <c r="W222" s="3">
        <f t="shared" si="183"/>
        <v>2.7470590385689636E-9</v>
      </c>
      <c r="X222" s="3">
        <f t="shared" si="183"/>
        <v>3.519317026470485E-74</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6.2079559793872717E-2</v>
      </c>
      <c r="C223" s="3">
        <f t="shared" si="184"/>
        <v>6.2079559793872717E-2</v>
      </c>
      <c r="D223" s="3">
        <f t="shared" si="184"/>
        <v>6.2079559793872717E-2</v>
      </c>
      <c r="E223" s="3">
        <f t="shared" si="184"/>
        <v>6.2079559793872717E-2</v>
      </c>
      <c r="F223" s="3">
        <f t="shared" si="184"/>
        <v>6.2079559793872717E-2</v>
      </c>
      <c r="G223" s="3">
        <f t="shared" si="184"/>
        <v>6.207955979387271E-2</v>
      </c>
      <c r="H223" s="3">
        <f t="shared" si="184"/>
        <v>6.2079559793872627E-2</v>
      </c>
      <c r="I223" s="3">
        <f t="shared" si="184"/>
        <v>6.2079559793871787E-2</v>
      </c>
      <c r="J223" s="3">
        <f t="shared" si="184"/>
        <v>6.2079559793863419E-2</v>
      </c>
      <c r="K223" s="3">
        <f t="shared" si="184"/>
        <v>6.2079559793779743E-2</v>
      </c>
      <c r="L223" s="3">
        <f t="shared" si="184"/>
        <v>6.2079559792942975E-2</v>
      </c>
      <c r="M223" s="3">
        <f t="shared" si="184"/>
        <v>6.20795597845753E-2</v>
      </c>
      <c r="N223" s="3">
        <f t="shared" si="184"/>
        <v>6.2079559700898547E-2</v>
      </c>
      <c r="O223" s="3">
        <f t="shared" si="184"/>
        <v>6.2079558864131044E-2</v>
      </c>
      <c r="P223" s="3">
        <f t="shared" si="184"/>
        <v>6.2079550496456637E-2</v>
      </c>
      <c r="Q223" s="3">
        <f t="shared" si="184"/>
        <v>6.2079466819774554E-2</v>
      </c>
      <c r="R223" s="3">
        <f t="shared" si="184"/>
        <v>6.2078630059157022E-2</v>
      </c>
      <c r="S223" s="3">
        <f t="shared" si="184"/>
        <v>6.2070263073278571E-2</v>
      </c>
      <c r="T223" s="3">
        <f t="shared" si="184"/>
        <v>6.1986655213260113E-2</v>
      </c>
      <c r="U223" s="3">
        <f t="shared" si="184"/>
        <v>6.1156745680739165E-2</v>
      </c>
      <c r="V223" s="3">
        <f t="shared" si="184"/>
        <v>5.3444868810308681E-2</v>
      </c>
      <c r="W223" s="3">
        <f t="shared" si="184"/>
        <v>1.3884252253071211E-2</v>
      </c>
      <c r="X223" s="3">
        <f t="shared" si="184"/>
        <v>1.9439598749637636E-8</v>
      </c>
      <c r="Y223" s="3">
        <f t="shared" si="184"/>
        <v>5.6277566072297153E-67</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0.10578931784531295</v>
      </c>
      <c r="C224" s="3">
        <f t="shared" si="185"/>
        <v>0.10578931784531295</v>
      </c>
      <c r="D224" s="3">
        <f t="shared" si="185"/>
        <v>0.10578931784531295</v>
      </c>
      <c r="E224" s="3">
        <f t="shared" si="185"/>
        <v>0.10578931784531295</v>
      </c>
      <c r="F224" s="3">
        <f t="shared" si="185"/>
        <v>0.10578931784531295</v>
      </c>
      <c r="G224" s="3">
        <f t="shared" si="185"/>
        <v>0.10578931784531295</v>
      </c>
      <c r="H224" s="3">
        <f t="shared" si="185"/>
        <v>0.10578931784531294</v>
      </c>
      <c r="I224" s="3">
        <f t="shared" si="185"/>
        <v>0.10578931784531281</v>
      </c>
      <c r="J224" s="3">
        <f t="shared" si="185"/>
        <v>0.10578931784531152</v>
      </c>
      <c r="K224" s="3">
        <f t="shared" si="185"/>
        <v>0.10578931784529866</v>
      </c>
      <c r="L224" s="3">
        <f t="shared" si="185"/>
        <v>0.10578931784517003</v>
      </c>
      <c r="M224" s="3">
        <f t="shared" si="185"/>
        <v>0.10578931784388372</v>
      </c>
      <c r="N224" s="3">
        <f t="shared" si="185"/>
        <v>0.10578931783102066</v>
      </c>
      <c r="O224" s="3">
        <f t="shared" si="185"/>
        <v>0.10578931770238996</v>
      </c>
      <c r="P224" s="3">
        <f t="shared" si="185"/>
        <v>0.10578931641608311</v>
      </c>
      <c r="Q224" s="3">
        <f t="shared" si="185"/>
        <v>0.1057893035530154</v>
      </c>
      <c r="R224" s="3">
        <f t="shared" si="185"/>
        <v>0.1057891749224243</v>
      </c>
      <c r="S224" s="3">
        <f t="shared" si="185"/>
        <v>0.10578788862511551</v>
      </c>
      <c r="T224" s="3">
        <f t="shared" si="185"/>
        <v>0.10577502651220562</v>
      </c>
      <c r="U224" s="3">
        <f t="shared" si="185"/>
        <v>0.10564649136222272</v>
      </c>
      <c r="V224" s="3">
        <f t="shared" si="185"/>
        <v>0.10436969921849791</v>
      </c>
      <c r="W224" s="3">
        <f t="shared" si="185"/>
        <v>9.2420426522213342E-2</v>
      </c>
      <c r="X224" s="3">
        <f t="shared" si="185"/>
        <v>2.7397020475300082E-2</v>
      </c>
      <c r="Y224" s="3">
        <f t="shared" si="185"/>
        <v>1.4356778255389015E-7</v>
      </c>
      <c r="Z224" s="3">
        <f t="shared" si="185"/>
        <v>2.2417830230526929E-60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8.5446045134986312E-2</v>
      </c>
      <c r="C225" s="3">
        <f t="shared" si="186"/>
        <v>8.5446045134986312E-2</v>
      </c>
      <c r="D225" s="3">
        <f t="shared" si="186"/>
        <v>8.5446045134986312E-2</v>
      </c>
      <c r="E225" s="3">
        <f t="shared" si="186"/>
        <v>8.5446045134986312E-2</v>
      </c>
      <c r="F225" s="3">
        <f t="shared" si="186"/>
        <v>8.5446045134986312E-2</v>
      </c>
      <c r="G225" s="3">
        <f t="shared" si="186"/>
        <v>8.5446045134986312E-2</v>
      </c>
      <c r="H225" s="3">
        <f t="shared" si="186"/>
        <v>8.5446045134986312E-2</v>
      </c>
      <c r="I225" s="3">
        <f t="shared" si="186"/>
        <v>8.5446045134986298E-2</v>
      </c>
      <c r="J225" s="3">
        <f t="shared" si="186"/>
        <v>8.5446045134986201E-2</v>
      </c>
      <c r="K225" s="3">
        <f t="shared" si="186"/>
        <v>8.5446045134985271E-2</v>
      </c>
      <c r="L225" s="3">
        <f t="shared" si="186"/>
        <v>8.544604513497589E-2</v>
      </c>
      <c r="M225" s="3">
        <f t="shared" si="186"/>
        <v>8.5446045134882173E-2</v>
      </c>
      <c r="N225" s="3">
        <f t="shared" si="186"/>
        <v>8.5446045133944964E-2</v>
      </c>
      <c r="O225" s="3">
        <f t="shared" si="186"/>
        <v>8.5446045124572753E-2</v>
      </c>
      <c r="P225" s="3">
        <f t="shared" si="186"/>
        <v>8.5446045030850806E-2</v>
      </c>
      <c r="Q225" s="3">
        <f t="shared" si="186"/>
        <v>8.5446044093631282E-2</v>
      </c>
      <c r="R225" s="3">
        <f t="shared" si="186"/>
        <v>8.5446034721436651E-2</v>
      </c>
      <c r="S225" s="3">
        <f t="shared" si="186"/>
        <v>8.5445940999546777E-2</v>
      </c>
      <c r="T225" s="3">
        <f t="shared" si="186"/>
        <v>8.5445003786302043E-2</v>
      </c>
      <c r="U225" s="3">
        <f t="shared" si="186"/>
        <v>8.5435632219226051E-2</v>
      </c>
      <c r="V225" s="3">
        <f t="shared" si="186"/>
        <v>8.5341973062662946E-2</v>
      </c>
      <c r="W225" s="3">
        <f t="shared" si="186"/>
        <v>8.4411010048334345E-2</v>
      </c>
      <c r="X225" s="3">
        <f t="shared" si="186"/>
        <v>7.5642047149045294E-2</v>
      </c>
      <c r="Y225" s="3">
        <f t="shared" si="186"/>
        <v>2.5258353854143472E-2</v>
      </c>
      <c r="Z225" s="3">
        <f t="shared" si="186"/>
        <v>4.3533414857494249E-7</v>
      </c>
      <c r="AA225" s="3">
        <f t="shared" si="186"/>
        <v>1.0069308784464801E-54</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5.8777528752493244E-2</v>
      </c>
      <c r="C226" s="3">
        <f t="shared" si="187"/>
        <v>5.8777528752493244E-2</v>
      </c>
      <c r="D226" s="3">
        <f t="shared" si="187"/>
        <v>5.8777528752493244E-2</v>
      </c>
      <c r="E226" s="3">
        <f t="shared" si="187"/>
        <v>5.8777528752493244E-2</v>
      </c>
      <c r="F226" s="3">
        <f t="shared" si="187"/>
        <v>5.8777528752493244E-2</v>
      </c>
      <c r="G226" s="3">
        <f t="shared" si="187"/>
        <v>5.8777528752493244E-2</v>
      </c>
      <c r="H226" s="3">
        <f t="shared" si="187"/>
        <v>5.8777528752493244E-2</v>
      </c>
      <c r="I226" s="3">
        <f t="shared" si="187"/>
        <v>5.8777528752493244E-2</v>
      </c>
      <c r="J226" s="3">
        <f t="shared" si="187"/>
        <v>5.8777528752493237E-2</v>
      </c>
      <c r="K226" s="3">
        <f t="shared" si="187"/>
        <v>5.8777528752493181E-2</v>
      </c>
      <c r="L226" s="3">
        <f t="shared" si="187"/>
        <v>5.8777528752492599E-2</v>
      </c>
      <c r="M226" s="3">
        <f t="shared" si="187"/>
        <v>5.8777528752486784E-2</v>
      </c>
      <c r="N226" s="3">
        <f t="shared" si="187"/>
        <v>5.8777528752428629E-2</v>
      </c>
      <c r="O226" s="3">
        <f t="shared" si="187"/>
        <v>5.8777528751847045E-2</v>
      </c>
      <c r="P226" s="3">
        <f t="shared" si="187"/>
        <v>5.8777528746031281E-2</v>
      </c>
      <c r="Q226" s="3">
        <f t="shared" si="187"/>
        <v>5.8777528687873566E-2</v>
      </c>
      <c r="R226" s="3">
        <f t="shared" si="187"/>
        <v>5.8777528106296502E-2</v>
      </c>
      <c r="S226" s="3">
        <f t="shared" si="187"/>
        <v>5.8777522290526144E-2</v>
      </c>
      <c r="T226" s="3">
        <f t="shared" si="187"/>
        <v>5.8777464132854222E-2</v>
      </c>
      <c r="U226" s="3">
        <f t="shared" si="187"/>
        <v>5.8776882559299908E-2</v>
      </c>
      <c r="V226" s="3">
        <f t="shared" si="187"/>
        <v>5.8771067140238185E-2</v>
      </c>
      <c r="W226" s="3">
        <f t="shared" si="187"/>
        <v>5.8712944586182259E-2</v>
      </c>
      <c r="X226" s="3">
        <f t="shared" si="187"/>
        <v>5.8134871150245182E-2</v>
      </c>
      <c r="Y226" s="3">
        <f t="shared" si="187"/>
        <v>5.2658106545480178E-2</v>
      </c>
      <c r="Z226" s="3">
        <f t="shared" si="187"/>
        <v>1.9577195851936558E-2</v>
      </c>
      <c r="AA226" s="3">
        <f t="shared" si="187"/>
        <v>9.8764973649012574E-7</v>
      </c>
      <c r="AB226" s="3">
        <f t="shared" si="187"/>
        <v>1.054696776189063E-49</v>
      </c>
      <c r="AC226" s="3">
        <f t="shared" si="187"/>
        <v>0</v>
      </c>
      <c r="AD226" s="3">
        <f t="shared" si="187"/>
        <v>0</v>
      </c>
      <c r="AE226" s="3">
        <f t="shared" si="187"/>
        <v>0</v>
      </c>
      <c r="AF226" s="3">
        <f t="shared" si="187"/>
        <v>0</v>
      </c>
      <c r="AG226" s="3"/>
      <c r="AH226" s="3"/>
    </row>
    <row r="227" spans="2:34" x14ac:dyDescent="0.25">
      <c r="B227" s="3">
        <f t="shared" ref="B227:AF227" si="188">$C35*EXP(-B$207/$A35/EXP(-$D$126))</f>
        <v>3.044822143643108E-2</v>
      </c>
      <c r="C227" s="3">
        <f t="shared" si="188"/>
        <v>3.044822143643108E-2</v>
      </c>
      <c r="D227" s="3">
        <f t="shared" si="188"/>
        <v>3.044822143643108E-2</v>
      </c>
      <c r="E227" s="3">
        <f t="shared" si="188"/>
        <v>3.044822143643108E-2</v>
      </c>
      <c r="F227" s="3">
        <f t="shared" si="188"/>
        <v>3.044822143643108E-2</v>
      </c>
      <c r="G227" s="3">
        <f t="shared" si="188"/>
        <v>3.044822143643108E-2</v>
      </c>
      <c r="H227" s="3">
        <f t="shared" si="188"/>
        <v>3.044822143643108E-2</v>
      </c>
      <c r="I227" s="3">
        <f t="shared" si="188"/>
        <v>3.044822143643108E-2</v>
      </c>
      <c r="J227" s="3">
        <f t="shared" si="188"/>
        <v>3.044822143643108E-2</v>
      </c>
      <c r="K227" s="3">
        <f t="shared" si="188"/>
        <v>3.0448221436431076E-2</v>
      </c>
      <c r="L227" s="3">
        <f t="shared" si="188"/>
        <v>3.0448221436431049E-2</v>
      </c>
      <c r="M227" s="3">
        <f t="shared" si="188"/>
        <v>3.0448221436430778E-2</v>
      </c>
      <c r="N227" s="3">
        <f t="shared" si="188"/>
        <v>3.0448221436428061E-2</v>
      </c>
      <c r="O227" s="3">
        <f t="shared" si="188"/>
        <v>3.0448221436400882E-2</v>
      </c>
      <c r="P227" s="3">
        <f t="shared" si="188"/>
        <v>3.0448221436129113E-2</v>
      </c>
      <c r="Q227" s="3">
        <f t="shared" si="188"/>
        <v>3.0448221433411391E-2</v>
      </c>
      <c r="R227" s="3">
        <f t="shared" si="188"/>
        <v>3.0448221406234207E-2</v>
      </c>
      <c r="S227" s="3">
        <f t="shared" si="188"/>
        <v>3.0448221134462355E-2</v>
      </c>
      <c r="T227" s="3">
        <f t="shared" si="188"/>
        <v>3.0448218416743989E-2</v>
      </c>
      <c r="U227" s="3">
        <f t="shared" si="188"/>
        <v>3.0448191239573635E-2</v>
      </c>
      <c r="V227" s="3">
        <f t="shared" si="188"/>
        <v>3.0447919469204273E-2</v>
      </c>
      <c r="W227" s="3">
        <f t="shared" si="188"/>
        <v>3.0445201898922313E-2</v>
      </c>
      <c r="X227" s="3">
        <f t="shared" si="188"/>
        <v>3.0418039532863306E-2</v>
      </c>
      <c r="Y227" s="3">
        <f t="shared" si="188"/>
        <v>3.0147745154349252E-2</v>
      </c>
      <c r="Z227" s="3">
        <f t="shared" si="188"/>
        <v>2.7573442457724515E-2</v>
      </c>
      <c r="AA227" s="3">
        <f t="shared" si="188"/>
        <v>1.1294123527841673E-2</v>
      </c>
      <c r="AB227" s="3">
        <f t="shared" si="188"/>
        <v>1.501301678404485E-6</v>
      </c>
      <c r="AC227" s="3">
        <f t="shared" si="188"/>
        <v>2.5859631791684731E-45</v>
      </c>
      <c r="AD227" s="3">
        <f t="shared" si="188"/>
        <v>0</v>
      </c>
      <c r="AE227" s="3">
        <f t="shared" si="188"/>
        <v>0</v>
      </c>
      <c r="AF227" s="3">
        <f t="shared" si="188"/>
        <v>0</v>
      </c>
      <c r="AG227" s="3"/>
      <c r="AH227" s="3"/>
    </row>
    <row r="228" spans="2:34" x14ac:dyDescent="0.25">
      <c r="B228" s="3">
        <f t="shared" ref="B228:AF228" si="189">$C36*EXP(-B$207/$A36/EXP(-$D$126))</f>
        <v>1.5917825428886163E-2</v>
      </c>
      <c r="C228" s="3">
        <f t="shared" si="189"/>
        <v>1.5917825428886163E-2</v>
      </c>
      <c r="D228" s="3">
        <f t="shared" si="189"/>
        <v>1.5917825428886163E-2</v>
      </c>
      <c r="E228" s="3">
        <f t="shared" si="189"/>
        <v>1.5917825428886163E-2</v>
      </c>
      <c r="F228" s="3">
        <f t="shared" si="189"/>
        <v>1.5917825428886163E-2</v>
      </c>
      <c r="G228" s="3">
        <f t="shared" si="189"/>
        <v>1.5917825428886163E-2</v>
      </c>
      <c r="H228" s="3">
        <f t="shared" si="189"/>
        <v>1.5917825428886163E-2</v>
      </c>
      <c r="I228" s="3">
        <f t="shared" si="189"/>
        <v>1.5917825428886163E-2</v>
      </c>
      <c r="J228" s="3">
        <f t="shared" si="189"/>
        <v>1.5917825428886163E-2</v>
      </c>
      <c r="K228" s="3">
        <f t="shared" si="189"/>
        <v>1.5917825428886163E-2</v>
      </c>
      <c r="L228" s="3">
        <f t="shared" si="189"/>
        <v>1.5917825428886159E-2</v>
      </c>
      <c r="M228" s="3">
        <f t="shared" si="189"/>
        <v>1.5917825428886149E-2</v>
      </c>
      <c r="N228" s="3">
        <f t="shared" si="189"/>
        <v>1.591782542888602E-2</v>
      </c>
      <c r="O228" s="3">
        <f t="shared" si="189"/>
        <v>1.5917825428884737E-2</v>
      </c>
      <c r="P228" s="3">
        <f t="shared" si="189"/>
        <v>1.5917825428871921E-2</v>
      </c>
      <c r="Q228" s="3">
        <f t="shared" si="189"/>
        <v>1.5917825428743756E-2</v>
      </c>
      <c r="R228" s="3">
        <f t="shared" si="189"/>
        <v>1.5917825427462097E-2</v>
      </c>
      <c r="S228" s="3">
        <f t="shared" si="189"/>
        <v>1.5917825414645495E-2</v>
      </c>
      <c r="T228" s="3">
        <f t="shared" si="189"/>
        <v>1.5917825286479483E-2</v>
      </c>
      <c r="U228" s="3">
        <f t="shared" si="189"/>
        <v>1.5917824004819423E-2</v>
      </c>
      <c r="V228" s="3">
        <f t="shared" si="189"/>
        <v>1.5917811188224485E-2</v>
      </c>
      <c r="W228" s="3">
        <f t="shared" si="189"/>
        <v>1.5917683022842688E-2</v>
      </c>
      <c r="X228" s="3">
        <f t="shared" si="189"/>
        <v>1.5916401425780526E-2</v>
      </c>
      <c r="Y228" s="3">
        <f t="shared" si="189"/>
        <v>1.5903591129049374E-2</v>
      </c>
      <c r="Z228" s="3">
        <f t="shared" si="189"/>
        <v>1.5776053864087786E-2</v>
      </c>
      <c r="AA228" s="3">
        <f t="shared" si="189"/>
        <v>1.4555601826653755E-2</v>
      </c>
      <c r="AB228" s="3">
        <f t="shared" si="189"/>
        <v>6.5065089390023813E-3</v>
      </c>
      <c r="AC228" s="3">
        <f t="shared" si="189"/>
        <v>2.0726533396947516E-6</v>
      </c>
      <c r="AD228" s="3">
        <f t="shared" si="189"/>
        <v>2.2300421306101975E-41</v>
      </c>
      <c r="AE228" s="3">
        <f t="shared" si="189"/>
        <v>0</v>
      </c>
      <c r="AF228" s="3">
        <f t="shared" si="189"/>
        <v>0</v>
      </c>
      <c r="AG228" s="3"/>
      <c r="AH228" s="3"/>
    </row>
    <row r="229" spans="2:34" x14ac:dyDescent="0.25">
      <c r="B229" s="3">
        <f t="shared" ref="B229:AF229" si="190">$C37*EXP(-B$207/$A37/EXP(-$D$126))</f>
        <v>7.4710107179745602E-3</v>
      </c>
      <c r="C229" s="3">
        <f t="shared" si="190"/>
        <v>7.4710107179745602E-3</v>
      </c>
      <c r="D229" s="3">
        <f t="shared" si="190"/>
        <v>7.4710107179745602E-3</v>
      </c>
      <c r="E229" s="3">
        <f t="shared" si="190"/>
        <v>7.4710107179745602E-3</v>
      </c>
      <c r="F229" s="3">
        <f t="shared" si="190"/>
        <v>7.4710107179745602E-3</v>
      </c>
      <c r="G229" s="3">
        <f t="shared" si="190"/>
        <v>7.4710107179745602E-3</v>
      </c>
      <c r="H229" s="3">
        <f t="shared" si="190"/>
        <v>7.4710107179745602E-3</v>
      </c>
      <c r="I229" s="3">
        <f t="shared" si="190"/>
        <v>7.4710107179745602E-3</v>
      </c>
      <c r="J229" s="3">
        <f t="shared" si="190"/>
        <v>7.4710107179745602E-3</v>
      </c>
      <c r="K229" s="3">
        <f t="shared" si="190"/>
        <v>7.4710107179745602E-3</v>
      </c>
      <c r="L229" s="3">
        <f t="shared" si="190"/>
        <v>7.4710107179745602E-3</v>
      </c>
      <c r="M229" s="3">
        <f t="shared" si="190"/>
        <v>7.4710107179745593E-3</v>
      </c>
      <c r="N229" s="3">
        <f t="shared" si="190"/>
        <v>7.4710107179745541E-3</v>
      </c>
      <c r="O229" s="3">
        <f t="shared" si="190"/>
        <v>7.4710107179744994E-3</v>
      </c>
      <c r="P229" s="3">
        <f t="shared" si="190"/>
        <v>7.4710107179739573E-3</v>
      </c>
      <c r="Q229" s="3">
        <f t="shared" si="190"/>
        <v>7.4710107179685311E-3</v>
      </c>
      <c r="R229" s="3">
        <f t="shared" si="190"/>
        <v>7.4710107179142664E-3</v>
      </c>
      <c r="S229" s="3">
        <f t="shared" si="190"/>
        <v>7.4710107173716223E-3</v>
      </c>
      <c r="T229" s="3">
        <f t="shared" si="190"/>
        <v>7.4710107119451818E-3</v>
      </c>
      <c r="U229" s="3">
        <f t="shared" si="190"/>
        <v>7.4710106576807711E-3</v>
      </c>
      <c r="V229" s="3">
        <f t="shared" si="190"/>
        <v>7.4710101150366956E-3</v>
      </c>
      <c r="W229" s="3">
        <f t="shared" si="190"/>
        <v>7.4710046885981037E-3</v>
      </c>
      <c r="X229" s="3">
        <f t="shared" si="190"/>
        <v>7.4709504244289638E-3</v>
      </c>
      <c r="Y229" s="3">
        <f t="shared" si="190"/>
        <v>7.4704078044146287E-3</v>
      </c>
      <c r="Z229" s="3">
        <f t="shared" si="190"/>
        <v>7.4649837713956033E-3</v>
      </c>
      <c r="AA229" s="3">
        <f t="shared" si="190"/>
        <v>7.4109595723673887E-3</v>
      </c>
      <c r="AB229" s="3">
        <f t="shared" si="190"/>
        <v>6.8917609730666275E-3</v>
      </c>
      <c r="AC229" s="3">
        <f t="shared" si="190"/>
        <v>3.3334030538483017E-3</v>
      </c>
      <c r="AD229" s="3">
        <f t="shared" si="190"/>
        <v>2.3359527530215995E-6</v>
      </c>
      <c r="AE229" s="3">
        <f t="shared" si="190"/>
        <v>6.6715433118920285E-38</v>
      </c>
      <c r="AF229" s="3">
        <f t="shared" si="190"/>
        <v>0</v>
      </c>
      <c r="AG229" s="3"/>
      <c r="AH229" s="3"/>
    </row>
    <row r="230" spans="2:34" x14ac:dyDescent="0.25">
      <c r="B230" s="3">
        <f t="shared" ref="B230:AF230" si="191">$C38*EXP(-B$207/$A38/EXP(-$D$126))</f>
        <v>1.4378472174592341E-3</v>
      </c>
      <c r="C230" s="3">
        <f t="shared" si="191"/>
        <v>1.4378472174592341E-3</v>
      </c>
      <c r="D230" s="3">
        <f t="shared" si="191"/>
        <v>1.4378472174592341E-3</v>
      </c>
      <c r="E230" s="3">
        <f t="shared" si="191"/>
        <v>1.4378472174592341E-3</v>
      </c>
      <c r="F230" s="3">
        <f t="shared" si="191"/>
        <v>1.4378472174592341E-3</v>
      </c>
      <c r="G230" s="3">
        <f t="shared" si="191"/>
        <v>1.4378472174592341E-3</v>
      </c>
      <c r="H230" s="3">
        <f t="shared" si="191"/>
        <v>1.4378472174592341E-3</v>
      </c>
      <c r="I230" s="3">
        <f t="shared" si="191"/>
        <v>1.4378472174592341E-3</v>
      </c>
      <c r="J230" s="3">
        <f t="shared" si="191"/>
        <v>1.4378472174592341E-3</v>
      </c>
      <c r="K230" s="3">
        <f t="shared" si="191"/>
        <v>1.4378472174592341E-3</v>
      </c>
      <c r="L230" s="3">
        <f t="shared" si="191"/>
        <v>1.4378472174592341E-3</v>
      </c>
      <c r="M230" s="3">
        <f t="shared" si="191"/>
        <v>1.4378472174592341E-3</v>
      </c>
      <c r="N230" s="3">
        <f t="shared" si="191"/>
        <v>1.4378472174592339E-3</v>
      </c>
      <c r="O230" s="3">
        <f t="shared" si="191"/>
        <v>1.437847217459233E-3</v>
      </c>
      <c r="P230" s="3">
        <f t="shared" si="191"/>
        <v>1.4378472174592235E-3</v>
      </c>
      <c r="Q230" s="3">
        <f t="shared" si="191"/>
        <v>1.4378472174591294E-3</v>
      </c>
      <c r="R230" s="3">
        <f t="shared" si="191"/>
        <v>1.4378472174581874E-3</v>
      </c>
      <c r="S230" s="3">
        <f t="shared" si="191"/>
        <v>1.4378472174487664E-3</v>
      </c>
      <c r="T230" s="3">
        <f t="shared" si="191"/>
        <v>1.4378472173545568E-3</v>
      </c>
      <c r="U230" s="3">
        <f t="shared" si="191"/>
        <v>1.437847216412461E-3</v>
      </c>
      <c r="V230" s="3">
        <f t="shared" si="191"/>
        <v>1.4378472069915033E-3</v>
      </c>
      <c r="W230" s="3">
        <f t="shared" si="191"/>
        <v>1.4378471127819291E-3</v>
      </c>
      <c r="X230" s="3">
        <f t="shared" si="191"/>
        <v>1.4378461706865268E-3</v>
      </c>
      <c r="Y230" s="3">
        <f t="shared" si="191"/>
        <v>1.4378367497664532E-3</v>
      </c>
      <c r="Z230" s="3">
        <f t="shared" si="191"/>
        <v>1.4377425439606295E-3</v>
      </c>
      <c r="AA230" s="3">
        <f t="shared" si="191"/>
        <v>1.436800825311182E-3</v>
      </c>
      <c r="AB230" s="3">
        <f t="shared" si="191"/>
        <v>1.4274174975573747E-3</v>
      </c>
      <c r="AC230" s="3">
        <f t="shared" si="191"/>
        <v>1.3368894295519957E-3</v>
      </c>
      <c r="AD230" s="3">
        <f t="shared" si="191"/>
        <v>6.9428890114541181E-4</v>
      </c>
      <c r="AE230" s="3">
        <f t="shared" si="191"/>
        <v>9.9080355317274896E-7</v>
      </c>
      <c r="AF230" s="3">
        <f t="shared" si="191"/>
        <v>3.471050097660642E-35</v>
      </c>
      <c r="AG230" s="3"/>
      <c r="AH230" s="3"/>
    </row>
    <row r="231" spans="2:34" x14ac:dyDescent="0.25">
      <c r="B231" s="3">
        <f t="shared" ref="B231:AF231" si="192">$C39*EXP(-B$207/$A39/EXP(-$D$126))</f>
        <v>4.7686363858368023E-3</v>
      </c>
      <c r="C231" s="3">
        <f t="shared" si="192"/>
        <v>4.7686363858368023E-3</v>
      </c>
      <c r="D231" s="3">
        <f t="shared" si="192"/>
        <v>4.7686363858368023E-3</v>
      </c>
      <c r="E231" s="3">
        <f t="shared" si="192"/>
        <v>4.7686363858368023E-3</v>
      </c>
      <c r="F231" s="3">
        <f t="shared" si="192"/>
        <v>4.7686363858368023E-3</v>
      </c>
      <c r="G231" s="3">
        <f t="shared" si="192"/>
        <v>4.7686363858368023E-3</v>
      </c>
      <c r="H231" s="3">
        <f t="shared" si="192"/>
        <v>4.7686363858368023E-3</v>
      </c>
      <c r="I231" s="3">
        <f t="shared" si="192"/>
        <v>4.7686363858368023E-3</v>
      </c>
      <c r="J231" s="3">
        <f t="shared" si="192"/>
        <v>4.7686363858368023E-3</v>
      </c>
      <c r="K231" s="3">
        <f t="shared" si="192"/>
        <v>4.7686363858368023E-3</v>
      </c>
      <c r="L231" s="3">
        <f t="shared" si="192"/>
        <v>4.7686363858368023E-3</v>
      </c>
      <c r="M231" s="3">
        <f t="shared" si="192"/>
        <v>4.7686363858368023E-3</v>
      </c>
      <c r="N231" s="3">
        <f t="shared" si="192"/>
        <v>4.7686363858368023E-3</v>
      </c>
      <c r="O231" s="3">
        <f t="shared" si="192"/>
        <v>4.7686363858368015E-3</v>
      </c>
      <c r="P231" s="3">
        <f t="shared" si="192"/>
        <v>4.7686363858367928E-3</v>
      </c>
      <c r="Q231" s="3">
        <f t="shared" si="192"/>
        <v>4.7686363858367069E-3</v>
      </c>
      <c r="R231" s="3">
        <f t="shared" si="192"/>
        <v>4.7686363858358422E-3</v>
      </c>
      <c r="S231" s="3">
        <f t="shared" si="192"/>
        <v>4.7686363858272006E-3</v>
      </c>
      <c r="T231" s="3">
        <f t="shared" si="192"/>
        <v>4.7686363857407854E-3</v>
      </c>
      <c r="U231" s="3">
        <f t="shared" si="192"/>
        <v>4.7686363848766346E-3</v>
      </c>
      <c r="V231" s="3">
        <f t="shared" si="192"/>
        <v>4.7686363762351304E-3</v>
      </c>
      <c r="W231" s="3">
        <f t="shared" si="192"/>
        <v>4.7686362898200808E-3</v>
      </c>
      <c r="X231" s="3">
        <f t="shared" si="192"/>
        <v>4.7686354256696734E-3</v>
      </c>
      <c r="Y231" s="3">
        <f t="shared" si="192"/>
        <v>4.7686267841742166E-3</v>
      </c>
      <c r="Z231" s="3">
        <f t="shared" si="192"/>
        <v>4.7685403700809242E-3</v>
      </c>
      <c r="AA231" s="3">
        <f t="shared" si="192"/>
        <v>4.7676763152701574E-3</v>
      </c>
      <c r="AB231" s="3">
        <f t="shared" si="192"/>
        <v>4.7590443736065698E-3</v>
      </c>
      <c r="AC231" s="3">
        <f t="shared" si="192"/>
        <v>4.6735798586476631E-3</v>
      </c>
      <c r="AD231" s="3">
        <f t="shared" si="192"/>
        <v>3.8989602344671305E-3</v>
      </c>
      <c r="AE231" s="3">
        <f t="shared" si="192"/>
        <v>6.3670782064847618E-4</v>
      </c>
      <c r="AF231" s="3">
        <f t="shared" si="192"/>
        <v>8.5872472793162666E-12</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2.0950739363465548E-3</v>
      </c>
      <c r="C233" s="3">
        <f t="shared" si="194"/>
        <v>2.0950739363465548E-3</v>
      </c>
      <c r="D233" s="3">
        <f t="shared" si="194"/>
        <v>2.0950739363465548E-3</v>
      </c>
      <c r="E233" s="3">
        <f t="shared" si="194"/>
        <v>2.0950739363465548E-3</v>
      </c>
      <c r="F233" s="3">
        <f t="shared" si="194"/>
        <v>2.0950739363465548E-3</v>
      </c>
      <c r="G233" s="3">
        <f t="shared" si="194"/>
        <v>2.0950739363465548E-3</v>
      </c>
      <c r="H233" s="3">
        <f t="shared" si="194"/>
        <v>2.0950739363465548E-3</v>
      </c>
      <c r="I233" s="3">
        <f t="shared" si="194"/>
        <v>2.0950739363465548E-3</v>
      </c>
      <c r="J233" s="3">
        <f t="shared" si="194"/>
        <v>2.0950739363465548E-3</v>
      </c>
      <c r="K233" s="3">
        <f t="shared" si="194"/>
        <v>2.0950739363465548E-3</v>
      </c>
      <c r="L233" s="3">
        <f t="shared" si="194"/>
        <v>2.0950739363465548E-3</v>
      </c>
      <c r="M233" s="3">
        <f t="shared" si="194"/>
        <v>2.0950739363465548E-3</v>
      </c>
      <c r="N233" s="3">
        <f t="shared" si="194"/>
        <v>2.0950739363465548E-3</v>
      </c>
      <c r="O233" s="3">
        <f t="shared" si="194"/>
        <v>2.0950739363465548E-3</v>
      </c>
      <c r="P233" s="3">
        <f t="shared" si="194"/>
        <v>2.0950739363465548E-3</v>
      </c>
      <c r="Q233" s="3">
        <f t="shared" si="194"/>
        <v>2.0950739363465544E-3</v>
      </c>
      <c r="R233" s="3">
        <f t="shared" si="194"/>
        <v>2.0950739363465505E-3</v>
      </c>
      <c r="S233" s="3">
        <f t="shared" si="194"/>
        <v>2.0950739363465127E-3</v>
      </c>
      <c r="T233" s="3">
        <f t="shared" si="194"/>
        <v>2.0950739363461328E-3</v>
      </c>
      <c r="U233" s="3">
        <f t="shared" si="194"/>
        <v>2.0950739363423364E-3</v>
      </c>
      <c r="V233" s="3">
        <f t="shared" si="194"/>
        <v>2.0950739363043707E-3</v>
      </c>
      <c r="W233" s="3">
        <f t="shared" si="194"/>
        <v>2.0950739359247108E-3</v>
      </c>
      <c r="X233" s="3">
        <f t="shared" si="194"/>
        <v>2.0950739321281132E-3</v>
      </c>
      <c r="Y233" s="3">
        <f t="shared" si="194"/>
        <v>2.0950738941621408E-3</v>
      </c>
      <c r="Z233" s="3">
        <f t="shared" si="194"/>
        <v>2.0950735145024543E-3</v>
      </c>
      <c r="AA233" s="3">
        <f t="shared" si="194"/>
        <v>2.0950697179093745E-3</v>
      </c>
      <c r="AB233" s="3">
        <f t="shared" si="194"/>
        <v>2.095031752356973E-3</v>
      </c>
      <c r="AC233" s="3">
        <f t="shared" si="194"/>
        <v>2.0946521346702509E-3</v>
      </c>
      <c r="AD233" s="3">
        <f t="shared" si="194"/>
        <v>2.0908597389964773E-3</v>
      </c>
      <c r="AE233" s="3">
        <f t="shared" si="194"/>
        <v>2.0533113785669191E-3</v>
      </c>
      <c r="AF233" s="3">
        <f t="shared" si="194"/>
        <v>1.7129865448213045E-3</v>
      </c>
      <c r="AG233" s="3"/>
      <c r="AH233" s="3"/>
    </row>
    <row r="234" spans="2:34" x14ac:dyDescent="0.25">
      <c r="B234" s="3">
        <f t="shared" ref="B234:AF234" si="195">$C42*EXP(-B$207/$A42/EXP(-$D$126))</f>
        <v>1.9210885084110967E-3</v>
      </c>
      <c r="C234" s="3">
        <f t="shared" si="195"/>
        <v>1.9210885084110967E-3</v>
      </c>
      <c r="D234" s="3">
        <f t="shared" si="195"/>
        <v>1.9210885084110967E-3</v>
      </c>
      <c r="E234" s="3">
        <f t="shared" si="195"/>
        <v>1.9210885084110967E-3</v>
      </c>
      <c r="F234" s="3">
        <f t="shared" si="195"/>
        <v>1.9210885084110967E-3</v>
      </c>
      <c r="G234" s="3">
        <f t="shared" si="195"/>
        <v>1.9210885084110967E-3</v>
      </c>
      <c r="H234" s="3">
        <f t="shared" si="195"/>
        <v>1.9210885084110967E-3</v>
      </c>
      <c r="I234" s="3">
        <f t="shared" si="195"/>
        <v>1.9210885084110967E-3</v>
      </c>
      <c r="J234" s="3">
        <f t="shared" si="195"/>
        <v>1.9210885084110967E-3</v>
      </c>
      <c r="K234" s="3">
        <f t="shared" si="195"/>
        <v>1.9210885084110967E-3</v>
      </c>
      <c r="L234" s="3">
        <f t="shared" si="195"/>
        <v>1.9210885084110967E-3</v>
      </c>
      <c r="M234" s="3">
        <f t="shared" si="195"/>
        <v>1.9210885084110967E-3</v>
      </c>
      <c r="N234" s="3">
        <f t="shared" si="195"/>
        <v>1.9210885084110967E-3</v>
      </c>
      <c r="O234" s="3">
        <f t="shared" si="195"/>
        <v>1.9210885084110967E-3</v>
      </c>
      <c r="P234" s="3">
        <f t="shared" si="195"/>
        <v>1.9210885084110967E-3</v>
      </c>
      <c r="Q234" s="3">
        <f t="shared" si="195"/>
        <v>1.9210885084110967E-3</v>
      </c>
      <c r="R234" s="3">
        <f t="shared" si="195"/>
        <v>1.9210885084110963E-3</v>
      </c>
      <c r="S234" s="3">
        <f t="shared" si="195"/>
        <v>1.9210885084110928E-3</v>
      </c>
      <c r="T234" s="3">
        <f t="shared" si="195"/>
        <v>1.9210885084110581E-3</v>
      </c>
      <c r="U234" s="3">
        <f t="shared" si="195"/>
        <v>1.9210885084107098E-3</v>
      </c>
      <c r="V234" s="3">
        <f t="shared" si="195"/>
        <v>1.9210885084072285E-3</v>
      </c>
      <c r="W234" s="3">
        <f t="shared" si="195"/>
        <v>1.9210885083724156E-3</v>
      </c>
      <c r="X234" s="3">
        <f t="shared" si="195"/>
        <v>1.9210885080242846E-3</v>
      </c>
      <c r="Y234" s="3">
        <f t="shared" si="195"/>
        <v>1.9210885045429758E-3</v>
      </c>
      <c r="Z234" s="3">
        <f t="shared" si="195"/>
        <v>1.9210884697298876E-3</v>
      </c>
      <c r="AA234" s="3">
        <f t="shared" si="195"/>
        <v>1.9210881215990423E-3</v>
      </c>
      <c r="AB234" s="3">
        <f t="shared" si="195"/>
        <v>1.9210846402940582E-3</v>
      </c>
      <c r="AC234" s="3">
        <f t="shared" si="195"/>
        <v>1.9210498275911893E-3</v>
      </c>
      <c r="AD234" s="3">
        <f t="shared" si="195"/>
        <v>1.9207017352575967E-3</v>
      </c>
      <c r="AE234" s="3">
        <f t="shared" si="195"/>
        <v>1.9172242791058874E-3</v>
      </c>
      <c r="AF234" s="3">
        <f t="shared" si="195"/>
        <v>1.8827941224992472E-3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4.6732387958302481E-4</v>
      </c>
      <c r="C236" s="3">
        <f t="shared" si="197"/>
        <v>4.6732387958302481E-4</v>
      </c>
      <c r="D236" s="3">
        <f t="shared" si="197"/>
        <v>4.6732387958302481E-4</v>
      </c>
      <c r="E236" s="3">
        <f t="shared" si="197"/>
        <v>4.6732387958302481E-4</v>
      </c>
      <c r="F236" s="3">
        <f t="shared" si="197"/>
        <v>4.6732387958302481E-4</v>
      </c>
      <c r="G236" s="3">
        <f t="shared" si="197"/>
        <v>4.6732387958302481E-4</v>
      </c>
      <c r="H236" s="3">
        <f t="shared" si="197"/>
        <v>4.6732387958302481E-4</v>
      </c>
      <c r="I236" s="3">
        <f t="shared" si="197"/>
        <v>4.6732387958302481E-4</v>
      </c>
      <c r="J236" s="3">
        <f t="shared" si="197"/>
        <v>4.6732387958302481E-4</v>
      </c>
      <c r="K236" s="3">
        <f t="shared" si="197"/>
        <v>4.6732387958302481E-4</v>
      </c>
      <c r="L236" s="3">
        <f t="shared" si="197"/>
        <v>4.6732387958302481E-4</v>
      </c>
      <c r="M236" s="3">
        <f t="shared" si="197"/>
        <v>4.6732387958302481E-4</v>
      </c>
      <c r="N236" s="3">
        <f t="shared" si="197"/>
        <v>4.6732387958302481E-4</v>
      </c>
      <c r="O236" s="3">
        <f t="shared" si="197"/>
        <v>4.6732387958302481E-4</v>
      </c>
      <c r="P236" s="3">
        <f t="shared" si="197"/>
        <v>4.6732387958302481E-4</v>
      </c>
      <c r="Q236" s="3">
        <f t="shared" si="197"/>
        <v>4.6732387958302481E-4</v>
      </c>
      <c r="R236" s="3">
        <f t="shared" si="197"/>
        <v>4.6732387958302481E-4</v>
      </c>
      <c r="S236" s="3">
        <f t="shared" si="197"/>
        <v>4.6732387958302481E-4</v>
      </c>
      <c r="T236" s="3">
        <f t="shared" si="197"/>
        <v>4.673238795830247E-4</v>
      </c>
      <c r="U236" s="3">
        <f t="shared" si="197"/>
        <v>4.6732387958302389E-4</v>
      </c>
      <c r="V236" s="3">
        <f t="shared" si="197"/>
        <v>4.6732387958301543E-4</v>
      </c>
      <c r="W236" s="3">
        <f t="shared" si="197"/>
        <v>4.673238795829307E-4</v>
      </c>
      <c r="X236" s="3">
        <f t="shared" si="197"/>
        <v>4.6732387958208383E-4</v>
      </c>
      <c r="Y236" s="3">
        <f t="shared" si="197"/>
        <v>4.6732387957361523E-4</v>
      </c>
      <c r="Z236" s="3">
        <f t="shared" si="197"/>
        <v>4.6732387948892891E-4</v>
      </c>
      <c r="AA236" s="3">
        <f t="shared" si="197"/>
        <v>4.6732387864206591E-4</v>
      </c>
      <c r="AB236" s="3">
        <f t="shared" si="197"/>
        <v>4.6732387017343614E-4</v>
      </c>
      <c r="AC236" s="3">
        <f t="shared" si="197"/>
        <v>4.673237854871468E-4</v>
      </c>
      <c r="AD236" s="3">
        <f t="shared" si="197"/>
        <v>4.6732293862509746E-4</v>
      </c>
      <c r="AE236" s="3">
        <f t="shared" si="197"/>
        <v>4.673144700890086E-4</v>
      </c>
      <c r="AF236" s="3">
        <f t="shared" si="197"/>
        <v>4.6722979316804665E-4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1.2351806616485092E-4</v>
      </c>
      <c r="C238" s="3">
        <f t="shared" si="199"/>
        <v>1.2351806616485092E-4</v>
      </c>
      <c r="D238" s="3">
        <f t="shared" si="199"/>
        <v>1.2351806616485092E-4</v>
      </c>
      <c r="E238" s="3">
        <f t="shared" si="199"/>
        <v>1.2351806616485092E-4</v>
      </c>
      <c r="F238" s="3">
        <f t="shared" si="199"/>
        <v>1.2351806616485092E-4</v>
      </c>
      <c r="G238" s="3">
        <f t="shared" si="199"/>
        <v>1.2351806616485092E-4</v>
      </c>
      <c r="H238" s="3">
        <f t="shared" si="199"/>
        <v>1.2351806616485092E-4</v>
      </c>
      <c r="I238" s="3">
        <f t="shared" si="199"/>
        <v>1.2351806616485092E-4</v>
      </c>
      <c r="J238" s="3">
        <f t="shared" si="199"/>
        <v>1.2351806616485092E-4</v>
      </c>
      <c r="K238" s="3">
        <f t="shared" si="199"/>
        <v>1.2351806616485092E-4</v>
      </c>
      <c r="L238" s="3">
        <f t="shared" si="199"/>
        <v>1.2351806616485092E-4</v>
      </c>
      <c r="M238" s="3">
        <f t="shared" si="199"/>
        <v>1.2351806616485092E-4</v>
      </c>
      <c r="N238" s="3">
        <f t="shared" si="199"/>
        <v>1.2351806616485092E-4</v>
      </c>
      <c r="O238" s="3">
        <f t="shared" si="199"/>
        <v>1.2351806616485092E-4</v>
      </c>
      <c r="P238" s="3">
        <f t="shared" si="199"/>
        <v>1.2351806616485092E-4</v>
      </c>
      <c r="Q238" s="3">
        <f t="shared" si="199"/>
        <v>1.2351806616485092E-4</v>
      </c>
      <c r="R238" s="3">
        <f t="shared" si="199"/>
        <v>1.2351806616485092E-4</v>
      </c>
      <c r="S238" s="3">
        <f t="shared" si="199"/>
        <v>1.2351806616485092E-4</v>
      </c>
      <c r="T238" s="3">
        <f t="shared" si="199"/>
        <v>1.2351806616485092E-4</v>
      </c>
      <c r="U238" s="3">
        <f t="shared" si="199"/>
        <v>1.2351806616485092E-4</v>
      </c>
      <c r="V238" s="3">
        <f t="shared" si="199"/>
        <v>1.2351806616485089E-4</v>
      </c>
      <c r="W238" s="3">
        <f t="shared" si="199"/>
        <v>1.2351806616485068E-4</v>
      </c>
      <c r="X238" s="3">
        <f t="shared" si="199"/>
        <v>1.2351806616484843E-4</v>
      </c>
      <c r="Y238" s="3">
        <f t="shared" si="199"/>
        <v>1.2351806616482604E-4</v>
      </c>
      <c r="Z238" s="3">
        <f t="shared" si="199"/>
        <v>1.235180661646022E-4</v>
      </c>
      <c r="AA238" s="3">
        <f t="shared" si="199"/>
        <v>1.235180661623639E-4</v>
      </c>
      <c r="AB238" s="3">
        <f t="shared" si="199"/>
        <v>1.2351806613998049E-4</v>
      </c>
      <c r="AC238" s="3">
        <f t="shared" si="199"/>
        <v>1.2351806591614671E-4</v>
      </c>
      <c r="AD238" s="3">
        <f t="shared" si="199"/>
        <v>1.2351806367780875E-4</v>
      </c>
      <c r="AE238" s="3">
        <f t="shared" si="199"/>
        <v>1.235180412944315E-4</v>
      </c>
      <c r="AF238" s="3">
        <f t="shared" si="199"/>
        <v>1.2351781746088221E-4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1.0347942973527732E-3</v>
      </c>
      <c r="C240" s="3">
        <f t="shared" si="201"/>
        <v>1.0347942973527732E-3</v>
      </c>
      <c r="D240" s="3">
        <f t="shared" si="201"/>
        <v>1.0347942973527732E-3</v>
      </c>
      <c r="E240" s="3">
        <f t="shared" si="201"/>
        <v>1.0347942973527732E-3</v>
      </c>
      <c r="F240" s="3">
        <f t="shared" si="201"/>
        <v>1.0347942973527732E-3</v>
      </c>
      <c r="G240" s="3">
        <f t="shared" si="201"/>
        <v>1.0347942973527732E-3</v>
      </c>
      <c r="H240" s="3">
        <f t="shared" si="201"/>
        <v>1.0347942973527732E-3</v>
      </c>
      <c r="I240" s="3">
        <f t="shared" si="201"/>
        <v>1.0347942973527732E-3</v>
      </c>
      <c r="J240" s="3">
        <f t="shared" si="201"/>
        <v>1.0347942973527732E-3</v>
      </c>
      <c r="K240" s="3">
        <f t="shared" si="201"/>
        <v>1.0347942973527732E-3</v>
      </c>
      <c r="L240" s="3">
        <f t="shared" si="201"/>
        <v>1.0347942973527732E-3</v>
      </c>
      <c r="M240" s="3">
        <f t="shared" si="201"/>
        <v>1.0347942973527732E-3</v>
      </c>
      <c r="N240" s="3">
        <f t="shared" si="201"/>
        <v>1.0347942973527732E-3</v>
      </c>
      <c r="O240" s="3">
        <f t="shared" si="201"/>
        <v>1.0347942973527732E-3</v>
      </c>
      <c r="P240" s="3">
        <f t="shared" si="201"/>
        <v>1.0347942973527732E-3</v>
      </c>
      <c r="Q240" s="3">
        <f t="shared" si="201"/>
        <v>1.0347942973527732E-3</v>
      </c>
      <c r="R240" s="3">
        <f t="shared" si="201"/>
        <v>1.0347942973527732E-3</v>
      </c>
      <c r="S240" s="3">
        <f t="shared" si="201"/>
        <v>1.0347942973527732E-3</v>
      </c>
      <c r="T240" s="3">
        <f t="shared" si="201"/>
        <v>1.0347942973527732E-3</v>
      </c>
      <c r="U240" s="3">
        <f t="shared" si="201"/>
        <v>1.0347942973527732E-3</v>
      </c>
      <c r="V240" s="3">
        <f t="shared" si="201"/>
        <v>1.0347942973527732E-3</v>
      </c>
      <c r="W240" s="3">
        <f t="shared" si="201"/>
        <v>1.0347942973527732E-3</v>
      </c>
      <c r="X240" s="3">
        <f t="shared" si="201"/>
        <v>1.034794297352773E-3</v>
      </c>
      <c r="Y240" s="3">
        <f t="shared" si="201"/>
        <v>1.034794297352771E-3</v>
      </c>
      <c r="Z240" s="3">
        <f t="shared" si="201"/>
        <v>1.0347942973527524E-3</v>
      </c>
      <c r="AA240" s="3">
        <f t="shared" si="201"/>
        <v>1.0347942973525648E-3</v>
      </c>
      <c r="AB240" s="3">
        <f t="shared" si="201"/>
        <v>1.0347942973506895E-3</v>
      </c>
      <c r="AC240" s="3">
        <f t="shared" si="201"/>
        <v>1.0347942973319376E-3</v>
      </c>
      <c r="AD240" s="3">
        <f t="shared" si="201"/>
        <v>1.0347942971444168E-3</v>
      </c>
      <c r="AE240" s="3">
        <f t="shared" si="201"/>
        <v>1.0347942952692098E-3</v>
      </c>
      <c r="AF240" s="3">
        <f t="shared" si="201"/>
        <v>1.0347942765171405E-3</v>
      </c>
      <c r="AG240" s="3"/>
      <c r="AH240" s="3"/>
    </row>
    <row r="241" spans="1:34" x14ac:dyDescent="0.25">
      <c r="A241" s="79">
        <f>AVERAGE(B241:AF241)</f>
        <v>2.9982569068490571E-2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6.3788303393406035E-2</v>
      </c>
      <c r="M241" s="80">
        <f t="shared" si="202"/>
        <v>6.3380133547445344E-2</v>
      </c>
      <c r="N241" s="80">
        <f t="shared" si="202"/>
        <v>6.0145483511201372E-2</v>
      </c>
      <c r="O241" s="80">
        <f t="shared" si="202"/>
        <v>6.1865090009477985E-2</v>
      </c>
      <c r="P241" s="80">
        <f t="shared" si="202"/>
        <v>6.2369204412377394E-2</v>
      </c>
      <c r="Q241" s="80">
        <f t="shared" si="202"/>
        <v>6.4265798994353543E-2</v>
      </c>
      <c r="R241" s="80">
        <f t="shared" si="202"/>
        <v>6.3766033240944042E-2</v>
      </c>
      <c r="S241" s="80">
        <f t="shared" si="202"/>
        <v>6.1675803906250812E-2</v>
      </c>
      <c r="T241" s="80">
        <f t="shared" si="202"/>
        <v>9.5036740360558269E-4</v>
      </c>
      <c r="U241" s="80">
        <f t="shared" si="202"/>
        <v>0.13612769115225007</v>
      </c>
      <c r="V241" s="80">
        <f t="shared" si="202"/>
        <v>0.29112573155189547</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121099.1253514048</v>
      </c>
      <c r="C242" s="21">
        <f t="shared" ref="C242:AF242" si="203">(C209-C208)^2</f>
        <v>27139.496652878115</v>
      </c>
      <c r="D242" s="21">
        <f t="shared" si="203"/>
        <v>1731737.7720618753</v>
      </c>
      <c r="E242" s="21">
        <f t="shared" si="203"/>
        <v>2088581.3453984477</v>
      </c>
      <c r="F242" s="21">
        <f t="shared" si="203"/>
        <v>1502536.0500303451</v>
      </c>
      <c r="G242" s="21">
        <f t="shared" si="203"/>
        <v>978776.62431674765</v>
      </c>
      <c r="H242" s="21">
        <f t="shared" si="203"/>
        <v>508774.81108631275</v>
      </c>
      <c r="I242" s="21">
        <f t="shared" si="203"/>
        <v>240211.07550904478</v>
      </c>
      <c r="J242" s="21">
        <f t="shared" si="203"/>
        <v>192763.45338499546</v>
      </c>
      <c r="K242" s="21">
        <f t="shared" si="203"/>
        <v>342082.31670698273</v>
      </c>
      <c r="L242" s="21">
        <f t="shared" si="203"/>
        <v>295438.5578085272</v>
      </c>
      <c r="M242" s="21">
        <f t="shared" si="203"/>
        <v>267454.11582908692</v>
      </c>
      <c r="N242" s="21">
        <f t="shared" si="203"/>
        <v>223133.40821419266</v>
      </c>
      <c r="O242" s="21">
        <f t="shared" si="203"/>
        <v>219511.00594350439</v>
      </c>
      <c r="P242" s="21">
        <f t="shared" si="203"/>
        <v>206945.2263200141</v>
      </c>
      <c r="Q242" s="21">
        <f t="shared" si="203"/>
        <v>202627.80081852729</v>
      </c>
      <c r="R242" s="21">
        <f t="shared" si="203"/>
        <v>183407.35772978372</v>
      </c>
      <c r="S242" s="21">
        <f t="shared" si="203"/>
        <v>151816.06542474616</v>
      </c>
      <c r="T242" s="21">
        <f t="shared" si="203"/>
        <v>28.072848067142473</v>
      </c>
      <c r="U242" s="21">
        <f t="shared" si="203"/>
        <v>378161.20959480089</v>
      </c>
      <c r="V242" s="21">
        <f t="shared" si="203"/>
        <v>1085756.8045275409</v>
      </c>
      <c r="W242" s="21">
        <f t="shared" si="203"/>
        <v>1185711.2805180326</v>
      </c>
      <c r="X242" s="21">
        <f t="shared" si="203"/>
        <v>497126.43787531008</v>
      </c>
      <c r="Y242" s="21">
        <f t="shared" si="203"/>
        <v>99392.056398382818</v>
      </c>
      <c r="Z242" s="21">
        <f t="shared" si="203"/>
        <v>10191.530349936873</v>
      </c>
      <c r="AA242" s="21">
        <f t="shared" si="203"/>
        <v>784.40249817822735</v>
      </c>
      <c r="AB242" s="21">
        <f t="shared" si="203"/>
        <v>412.24708481450597</v>
      </c>
      <c r="AC242" s="21">
        <f t="shared" si="203"/>
        <v>210.24718064959779</v>
      </c>
      <c r="AD242" s="21">
        <f t="shared" si="203"/>
        <v>281.84344630763678</v>
      </c>
      <c r="AE242" s="21">
        <f t="shared" si="203"/>
        <v>0.39651465382758105</v>
      </c>
      <c r="AF242" s="21">
        <f t="shared" si="203"/>
        <v>21.599792659855488</v>
      </c>
      <c r="AG242" s="3"/>
      <c r="AH242" s="3"/>
    </row>
    <row r="243" spans="1:34" x14ac:dyDescent="0.25">
      <c r="A243" s="71">
        <f>SUM(B243:AF243)</f>
        <v>3214279.6250587916</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295438.5578085272</v>
      </c>
      <c r="M243" s="60">
        <f t="shared" ref="M243" si="214">IF($A$64&lt;=M207,IF($B$64&gt;=M207,ABS(M242),0),0)</f>
        <v>267454.11582908692</v>
      </c>
      <c r="N243" s="60">
        <f t="shared" ref="N243" si="215">IF($A$64&lt;=N207,IF($B$64&gt;=N207,ABS(N242),0),0)</f>
        <v>223133.40821419266</v>
      </c>
      <c r="O243" s="60">
        <f t="shared" ref="O243" si="216">IF($A$64&lt;=O207,IF($B$64&gt;=O207,ABS(O242),0),0)</f>
        <v>219511.00594350439</v>
      </c>
      <c r="P243" s="60">
        <f t="shared" ref="P243" si="217">IF($A$64&lt;=P207,IF($B$64&gt;=P207,ABS(P242),0),0)</f>
        <v>206945.2263200141</v>
      </c>
      <c r="Q243" s="60">
        <f t="shared" ref="Q243" si="218">IF($A$64&lt;=Q207,IF($B$64&gt;=Q207,ABS(Q242),0),0)</f>
        <v>202627.80081852729</v>
      </c>
      <c r="R243" s="60">
        <f t="shared" ref="R243" si="219">IF($A$64&lt;=R207,IF($B$64&gt;=R207,ABS(R242),0),0)</f>
        <v>183407.35772978372</v>
      </c>
      <c r="S243" s="60">
        <f t="shared" ref="S243" si="220">IF($A$64&lt;=S207,IF($B$64&gt;=S207,ABS(S242),0),0)</f>
        <v>151816.06542474616</v>
      </c>
      <c r="T243" s="60">
        <f t="shared" ref="T243" si="221">IF($A$64&lt;=T207,IF($B$64&gt;=T207,ABS(T242),0),0)</f>
        <v>28.072848067142473</v>
      </c>
      <c r="U243" s="60">
        <f t="shared" ref="U243" si="222">IF($A$64&lt;=U207,IF($B$64&gt;=U207,ABS(U242),0),0)</f>
        <v>378161.20959480089</v>
      </c>
      <c r="V243" s="60">
        <f t="shared" ref="V243" si="223">IF($A$64&lt;=V207,IF($B$64&gt;=V207,ABS(V242),0),0)</f>
        <v>1085756.8045275409</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11017.023132989625</v>
      </c>
      <c r="C248" s="27">
        <f t="shared" ref="C248:AF248" si="234">($C$17+SUM(C249:C279))*$B$51</f>
        <v>9397.2319730157797</v>
      </c>
      <c r="D248" s="27">
        <f t="shared" si="234"/>
        <v>8968.7007144132549</v>
      </c>
      <c r="E248" s="27">
        <f t="shared" si="234"/>
        <v>8968.6769905031633</v>
      </c>
      <c r="F248" s="27">
        <f t="shared" si="234"/>
        <v>8968.4404894844083</v>
      </c>
      <c r="G248" s="27">
        <f t="shared" si="234"/>
        <v>8966.0804459924766</v>
      </c>
      <c r="H248" s="27">
        <f t="shared" si="234"/>
        <v>8942.9694227310974</v>
      </c>
      <c r="I248" s="27">
        <f t="shared" si="234"/>
        <v>8754.2848256140569</v>
      </c>
      <c r="J248" s="27">
        <f t="shared" si="234"/>
        <v>8304.044844746064</v>
      </c>
      <c r="K248" s="27">
        <f t="shared" si="234"/>
        <v>7996.5262845467223</v>
      </c>
      <c r="L248" s="27">
        <f t="shared" si="234"/>
        <v>7657.9232342380083</v>
      </c>
      <c r="M248" s="27">
        <f t="shared" si="234"/>
        <v>7396.6516559483507</v>
      </c>
      <c r="N248" s="27">
        <f t="shared" si="234"/>
        <v>7120.1485866876355</v>
      </c>
      <c r="O248" s="27">
        <f t="shared" si="234"/>
        <v>6855.3959779703328</v>
      </c>
      <c r="P248" s="27">
        <f t="shared" si="234"/>
        <v>6571.0334368454351</v>
      </c>
      <c r="Q248" s="27">
        <f t="shared" si="234"/>
        <v>6306.9300030926597</v>
      </c>
      <c r="R248" s="27">
        <f t="shared" si="234"/>
        <v>5952.1052518050901</v>
      </c>
      <c r="S248" s="27">
        <f t="shared" si="234"/>
        <v>5595.4767409407186</v>
      </c>
      <c r="T248" s="27">
        <f t="shared" si="234"/>
        <v>5164.9677017645754</v>
      </c>
      <c r="U248" s="27">
        <f t="shared" si="234"/>
        <v>4660.8047065042729</v>
      </c>
      <c r="V248" s="27">
        <f t="shared" si="234"/>
        <v>3983.0494083683147</v>
      </c>
      <c r="W248" s="27">
        <f t="shared" si="234"/>
        <v>2997.6900863294959</v>
      </c>
      <c r="X248" s="27">
        <f t="shared" si="234"/>
        <v>2027.7219628179059</v>
      </c>
      <c r="Y248" s="27">
        <f t="shared" si="234"/>
        <v>1310.3679323767585</v>
      </c>
      <c r="Z248" s="27">
        <f t="shared" si="234"/>
        <v>866.96702994472935</v>
      </c>
      <c r="AA248" s="27">
        <f t="shared" si="234"/>
        <v>629.94244262052189</v>
      </c>
      <c r="AB248" s="27">
        <f t="shared" si="234"/>
        <v>507.32235192369313</v>
      </c>
      <c r="AC248" s="27">
        <f t="shared" si="234"/>
        <v>450.43194293470413</v>
      </c>
      <c r="AD248" s="27">
        <f t="shared" si="234"/>
        <v>405.08113443883605</v>
      </c>
      <c r="AE248" s="27">
        <f t="shared" si="234"/>
        <v>391.74575860527688</v>
      </c>
      <c r="AF248" s="27">
        <f t="shared" si="234"/>
        <v>372.73709150690314</v>
      </c>
      <c r="AG248" s="27"/>
      <c r="AH248" s="27"/>
    </row>
    <row r="249" spans="1:34" x14ac:dyDescent="0.25">
      <c r="B249" s="3">
        <f t="shared" ref="B249:AF249" si="235">$C18*EXP(-B$246/$A18/EXP(-$E$126))</f>
        <v>0.17958441339355333</v>
      </c>
      <c r="C249" s="3">
        <f t="shared" si="235"/>
        <v>3.7570851503058444E-2</v>
      </c>
      <c r="D249" s="3">
        <f t="shared" si="235"/>
        <v>6.0349685879436944E-9</v>
      </c>
      <c r="E249" s="3">
        <f t="shared" si="235"/>
        <v>6.901043633246675E-77</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4.9174997418186969E-2</v>
      </c>
      <c r="C250" s="3">
        <f t="shared" si="236"/>
        <v>4.9174977712179074E-2</v>
      </c>
      <c r="D250" s="3">
        <f t="shared" si="236"/>
        <v>4.9174780652534431E-2</v>
      </c>
      <c r="E250" s="3">
        <f t="shared" si="236"/>
        <v>4.9172810099519931E-2</v>
      </c>
      <c r="F250" s="3">
        <f t="shared" si="236"/>
        <v>4.915310891191961E-2</v>
      </c>
      <c r="G250" s="3">
        <f t="shared" si="236"/>
        <v>4.8956530647201284E-2</v>
      </c>
      <c r="H250" s="3">
        <f t="shared" si="236"/>
        <v>4.7033473042142553E-2</v>
      </c>
      <c r="I250" s="3">
        <f t="shared" si="236"/>
        <v>3.150439939423904E-2</v>
      </c>
      <c r="J250" s="3">
        <f t="shared" si="236"/>
        <v>5.7281285981238038E-4</v>
      </c>
      <c r="K250" s="3">
        <f t="shared" si="236"/>
        <v>2.2616651617749088E-21</v>
      </c>
      <c r="L250" s="3">
        <f t="shared" si="236"/>
        <v>2.0824941824676091E-195</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2.530843079417577E-2</v>
      </c>
      <c r="C251" s="3">
        <f t="shared" si="237"/>
        <v>2.5308429879291428E-2</v>
      </c>
      <c r="D251" s="3">
        <f t="shared" si="237"/>
        <v>2.530842073044982E-2</v>
      </c>
      <c r="E251" s="3">
        <f t="shared" si="237"/>
        <v>2.5308329242215651E-2</v>
      </c>
      <c r="F251" s="3">
        <f t="shared" si="237"/>
        <v>2.5307414378063577E-2</v>
      </c>
      <c r="G251" s="3">
        <f t="shared" si="237"/>
        <v>2.5298267555260726E-2</v>
      </c>
      <c r="H251" s="3">
        <f t="shared" si="237"/>
        <v>2.5206980955997507E-2</v>
      </c>
      <c r="I251" s="3">
        <f t="shared" si="237"/>
        <v>2.4312037237573653E-2</v>
      </c>
      <c r="J251" s="3">
        <f t="shared" si="237"/>
        <v>1.6936612144766633E-2</v>
      </c>
      <c r="K251" s="3">
        <f t="shared" si="237"/>
        <v>4.5590928884999189E-4</v>
      </c>
      <c r="L251" s="3">
        <f t="shared" si="237"/>
        <v>9.1074632414962084E-20</v>
      </c>
      <c r="M251" s="3">
        <f t="shared" si="237"/>
        <v>9.216951244854873E-177</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3.419451670155494E-2</v>
      </c>
      <c r="C252" s="3">
        <f t="shared" si="238"/>
        <v>3.419451659004745E-2</v>
      </c>
      <c r="D252" s="3">
        <f t="shared" si="238"/>
        <v>3.4194515474972556E-2</v>
      </c>
      <c r="E252" s="3">
        <f t="shared" si="238"/>
        <v>3.419450432422564E-2</v>
      </c>
      <c r="F252" s="3">
        <f t="shared" si="238"/>
        <v>3.4194392816956437E-2</v>
      </c>
      <c r="G252" s="3">
        <f t="shared" si="238"/>
        <v>3.4193277764263424E-2</v>
      </c>
      <c r="H252" s="3">
        <f t="shared" si="238"/>
        <v>3.4182129236992972E-2</v>
      </c>
      <c r="I252" s="3">
        <f t="shared" si="238"/>
        <v>3.407084368919551E-2</v>
      </c>
      <c r="J252" s="3">
        <f t="shared" si="238"/>
        <v>3.2977721809176935E-2</v>
      </c>
      <c r="K252" s="3">
        <f t="shared" si="238"/>
        <v>2.3801168045864036E-2</v>
      </c>
      <c r="L252" s="3">
        <f t="shared" si="238"/>
        <v>9.1279757179515292E-4</v>
      </c>
      <c r="M252" s="3">
        <f t="shared" si="238"/>
        <v>6.2825583487651711E-18</v>
      </c>
      <c r="N252" s="3">
        <f t="shared" si="238"/>
        <v>1.4988462208736771E-159</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2.2721576937006917E-2</v>
      </c>
      <c r="C253" s="3">
        <f t="shared" si="239"/>
        <v>2.2721576930322975E-2</v>
      </c>
      <c r="D253" s="3">
        <f t="shared" si="239"/>
        <v>2.2721576863483563E-2</v>
      </c>
      <c r="E253" s="3">
        <f t="shared" si="239"/>
        <v>2.2721576195089431E-2</v>
      </c>
      <c r="F253" s="3">
        <f t="shared" si="239"/>
        <v>2.27215695111492E-2</v>
      </c>
      <c r="G253" s="3">
        <f t="shared" si="239"/>
        <v>2.2721502671855031E-2</v>
      </c>
      <c r="H253" s="3">
        <f t="shared" si="239"/>
        <v>2.272083428972729E-2</v>
      </c>
      <c r="I253" s="3">
        <f t="shared" si="239"/>
        <v>2.2714151549726905E-2</v>
      </c>
      <c r="J253" s="3">
        <f t="shared" si="239"/>
        <v>2.2647432159828958E-2</v>
      </c>
      <c r="K253" s="3">
        <f t="shared" si="239"/>
        <v>2.1990922630546583E-2</v>
      </c>
      <c r="L253" s="3">
        <f t="shared" si="239"/>
        <v>1.6386578487427677E-2</v>
      </c>
      <c r="M253" s="3">
        <f t="shared" si="239"/>
        <v>8.6484165927559222E-4</v>
      </c>
      <c r="N253" s="3">
        <f t="shared" si="239"/>
        <v>1.450172916397427E-16</v>
      </c>
      <c r="O253" s="3">
        <f t="shared" si="239"/>
        <v>2.5483065812824664E-144</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2.5892610318316311E-2</v>
      </c>
      <c r="C254" s="3">
        <f t="shared" si="240"/>
        <v>2.5892610317629215E-2</v>
      </c>
      <c r="D254" s="3">
        <f t="shared" si="240"/>
        <v>2.589261031075827E-2</v>
      </c>
      <c r="E254" s="3">
        <f t="shared" si="240"/>
        <v>2.5892610242048801E-2</v>
      </c>
      <c r="F254" s="3">
        <f t="shared" si="240"/>
        <v>2.5892609554954125E-2</v>
      </c>
      <c r="G254" s="3">
        <f t="shared" si="240"/>
        <v>2.589260268400833E-2</v>
      </c>
      <c r="H254" s="3">
        <f t="shared" si="240"/>
        <v>2.5892533974650678E-2</v>
      </c>
      <c r="I254" s="3">
        <f t="shared" si="240"/>
        <v>2.5891846891102206E-2</v>
      </c>
      <c r="J254" s="3">
        <f t="shared" si="240"/>
        <v>2.5884977058321285E-2</v>
      </c>
      <c r="K254" s="3">
        <f t="shared" si="240"/>
        <v>2.5816378902512253E-2</v>
      </c>
      <c r="L254" s="3">
        <f t="shared" si="240"/>
        <v>2.514031688538541E-2</v>
      </c>
      <c r="M254" s="3">
        <f t="shared" si="240"/>
        <v>1.9280795914128079E-2</v>
      </c>
      <c r="N254" s="3">
        <f t="shared" si="240"/>
        <v>1.3572725293209791E-3</v>
      </c>
      <c r="O254" s="3">
        <f t="shared" si="240"/>
        <v>4.0559078073064609E-15</v>
      </c>
      <c r="P254" s="3">
        <f t="shared" si="240"/>
        <v>2.303022758261803E-130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2.3275396535945649E-2</v>
      </c>
      <c r="C255" s="3">
        <f t="shared" si="241"/>
        <v>2.3275396535889937E-2</v>
      </c>
      <c r="D255" s="3">
        <f t="shared" si="241"/>
        <v>2.3275396535332768E-2</v>
      </c>
      <c r="E255" s="3">
        <f t="shared" si="241"/>
        <v>2.327539652976111E-2</v>
      </c>
      <c r="F255" s="3">
        <f t="shared" si="241"/>
        <v>2.3275396474044533E-2</v>
      </c>
      <c r="G255" s="3">
        <f t="shared" si="241"/>
        <v>2.3275395916878761E-2</v>
      </c>
      <c r="H255" s="3">
        <f t="shared" si="241"/>
        <v>2.327539034522175E-2</v>
      </c>
      <c r="I255" s="3">
        <f t="shared" si="241"/>
        <v>2.3275334628725008E-2</v>
      </c>
      <c r="J255" s="3">
        <f t="shared" si="241"/>
        <v>2.3274777471093102E-2</v>
      </c>
      <c r="K255" s="3">
        <f t="shared" si="241"/>
        <v>2.3269206628259875E-2</v>
      </c>
      <c r="L255" s="3">
        <f t="shared" si="241"/>
        <v>2.3213571483588324E-2</v>
      </c>
      <c r="M255" s="3">
        <f t="shared" si="241"/>
        <v>2.2664483908754557E-2</v>
      </c>
      <c r="N255" s="3">
        <f t="shared" si="241"/>
        <v>1.7839576662731317E-2</v>
      </c>
      <c r="O255" s="3">
        <f t="shared" si="241"/>
        <v>1.6284395613274869E-3</v>
      </c>
      <c r="P255" s="3">
        <f t="shared" si="241"/>
        <v>6.5409773904228599E-14</v>
      </c>
      <c r="Q255" s="3">
        <f t="shared" si="241"/>
        <v>7.1507678939326484E-118</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2.7259427341222414E-2</v>
      </c>
      <c r="C256" s="3">
        <f t="shared" si="242"/>
        <v>2.7259427341216527E-2</v>
      </c>
      <c r="D256" s="3">
        <f t="shared" si="242"/>
        <v>2.7259427341157664E-2</v>
      </c>
      <c r="E256" s="3">
        <f t="shared" si="242"/>
        <v>2.725942734056902E-2</v>
      </c>
      <c r="F256" s="3">
        <f t="shared" si="242"/>
        <v>2.7259427334682607E-2</v>
      </c>
      <c r="G256" s="3">
        <f t="shared" si="242"/>
        <v>2.7259427275818489E-2</v>
      </c>
      <c r="H256" s="3">
        <f t="shared" si="242"/>
        <v>2.7259426687177277E-2</v>
      </c>
      <c r="I256" s="3">
        <f t="shared" si="242"/>
        <v>2.7259420800765901E-2</v>
      </c>
      <c r="J256" s="3">
        <f t="shared" si="242"/>
        <v>2.7259361936722022E-2</v>
      </c>
      <c r="K256" s="3">
        <f t="shared" si="242"/>
        <v>2.7258773303274302E-2</v>
      </c>
      <c r="L256" s="3">
        <f t="shared" si="242"/>
        <v>2.7252887667847937E-2</v>
      </c>
      <c r="M256" s="3">
        <f t="shared" si="242"/>
        <v>2.7194101162844566E-2</v>
      </c>
      <c r="N256" s="3">
        <f t="shared" si="242"/>
        <v>2.6613165551601481E-2</v>
      </c>
      <c r="O256" s="3">
        <f t="shared" si="242"/>
        <v>2.1444444627646751E-2</v>
      </c>
      <c r="P256" s="3">
        <f t="shared" si="242"/>
        <v>2.4745571044613715E-3</v>
      </c>
      <c r="Q256" s="3">
        <f t="shared" si="242"/>
        <v>1.0359153078293245E-12</v>
      </c>
      <c r="R256" s="3">
        <f t="shared" si="242"/>
        <v>1.7123477003232258E-106</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2.1214287036784893E-2</v>
      </c>
      <c r="C257" s="3">
        <f t="shared" si="243"/>
        <v>2.121428703678448E-2</v>
      </c>
      <c r="D257" s="3">
        <f t="shared" si="243"/>
        <v>2.1214287036780344E-2</v>
      </c>
      <c r="E257" s="3">
        <f t="shared" si="243"/>
        <v>2.1214287036739023E-2</v>
      </c>
      <c r="F257" s="3">
        <f t="shared" si="243"/>
        <v>2.1214287036325774E-2</v>
      </c>
      <c r="G257" s="3">
        <f t="shared" si="243"/>
        <v>2.1214287032193312E-2</v>
      </c>
      <c r="H257" s="3">
        <f t="shared" si="243"/>
        <v>2.1214286990868685E-2</v>
      </c>
      <c r="I257" s="3">
        <f t="shared" si="243"/>
        <v>2.121428657762239E-2</v>
      </c>
      <c r="J257" s="3">
        <f t="shared" si="243"/>
        <v>2.121428244515991E-2</v>
      </c>
      <c r="K257" s="3">
        <f t="shared" si="243"/>
        <v>2.1214241120579378E-2</v>
      </c>
      <c r="L257" s="3">
        <f t="shared" si="243"/>
        <v>2.1213827879201463E-2</v>
      </c>
      <c r="M257" s="3">
        <f t="shared" si="243"/>
        <v>2.1209695908130342E-2</v>
      </c>
      <c r="N257" s="3">
        <f t="shared" si="243"/>
        <v>2.1168420436331992E-2</v>
      </c>
      <c r="O257" s="3">
        <f t="shared" si="243"/>
        <v>2.076005789007072E-2</v>
      </c>
      <c r="P257" s="3">
        <f t="shared" si="243"/>
        <v>1.7085576440779023E-2</v>
      </c>
      <c r="Q257" s="3">
        <f t="shared" si="243"/>
        <v>2.4357930759921196E-3</v>
      </c>
      <c r="R257" s="3">
        <f t="shared" si="243"/>
        <v>8.4478841524588611E-12</v>
      </c>
      <c r="S257" s="3">
        <f t="shared" si="243"/>
        <v>2.1272744806349655E-96</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3.4718036830476542E-2</v>
      </c>
      <c r="C258" s="3">
        <f t="shared" si="244"/>
        <v>3.471803683047648E-2</v>
      </c>
      <c r="D258" s="3">
        <f t="shared" si="244"/>
        <v>3.4718036830475869E-2</v>
      </c>
      <c r="E258" s="3">
        <f t="shared" si="244"/>
        <v>3.471803683046977E-2</v>
      </c>
      <c r="F258" s="3">
        <f t="shared" si="244"/>
        <v>3.4718036830408763E-2</v>
      </c>
      <c r="G258" s="3">
        <f t="shared" si="244"/>
        <v>3.4718036829798689E-2</v>
      </c>
      <c r="H258" s="3">
        <f t="shared" si="244"/>
        <v>3.4718036823697951E-2</v>
      </c>
      <c r="I258" s="3">
        <f t="shared" si="244"/>
        <v>3.4718036762690585E-2</v>
      </c>
      <c r="J258" s="3">
        <f t="shared" si="244"/>
        <v>3.471803615261692E-2</v>
      </c>
      <c r="K258" s="3">
        <f t="shared" si="244"/>
        <v>3.4718030051880892E-2</v>
      </c>
      <c r="L258" s="3">
        <f t="shared" si="244"/>
        <v>3.4717969044579564E-2</v>
      </c>
      <c r="M258" s="3">
        <f t="shared" si="244"/>
        <v>3.4717358977462441E-2</v>
      </c>
      <c r="N258" s="3">
        <f t="shared" si="244"/>
        <v>3.4711258895868416E-2</v>
      </c>
      <c r="O258" s="3">
        <f t="shared" si="244"/>
        <v>3.4650316999338571E-2</v>
      </c>
      <c r="P258" s="3">
        <f t="shared" si="244"/>
        <v>3.404675184667081E-2</v>
      </c>
      <c r="Q258" s="3">
        <f t="shared" si="244"/>
        <v>2.8560145627287856E-2</v>
      </c>
      <c r="R258" s="3">
        <f t="shared" si="244"/>
        <v>4.9272856429066038E-3</v>
      </c>
      <c r="S258" s="3">
        <f t="shared" si="244"/>
        <v>1.1510149430292329E-10</v>
      </c>
      <c r="T258" s="3">
        <f t="shared" si="244"/>
        <v>5.5694612031520199E-87</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3.054172570036021E-2</v>
      </c>
      <c r="C259" s="3">
        <f t="shared" si="245"/>
        <v>3.0541725700360203E-2</v>
      </c>
      <c r="D259" s="3">
        <f t="shared" si="245"/>
        <v>3.0541725700360154E-2</v>
      </c>
      <c r="E259" s="3">
        <f t="shared" si="245"/>
        <v>3.0541725700359672E-2</v>
      </c>
      <c r="F259" s="3">
        <f t="shared" si="245"/>
        <v>3.0541725700354832E-2</v>
      </c>
      <c r="G259" s="3">
        <f t="shared" si="245"/>
        <v>3.0541725700306419E-2</v>
      </c>
      <c r="H259" s="3">
        <f t="shared" si="245"/>
        <v>3.0541725699822282E-2</v>
      </c>
      <c r="I259" s="3">
        <f t="shared" si="245"/>
        <v>3.0541725694980922E-2</v>
      </c>
      <c r="J259" s="3">
        <f t="shared" si="245"/>
        <v>3.0541725646567333E-2</v>
      </c>
      <c r="K259" s="3">
        <f t="shared" si="245"/>
        <v>3.0541725162431442E-2</v>
      </c>
      <c r="L259" s="3">
        <f t="shared" si="245"/>
        <v>3.0541720321072951E-2</v>
      </c>
      <c r="M259" s="3">
        <f t="shared" si="245"/>
        <v>3.0541671907530241E-2</v>
      </c>
      <c r="N259" s="3">
        <f t="shared" si="245"/>
        <v>3.0541187776324013E-2</v>
      </c>
      <c r="O259" s="3">
        <f t="shared" si="245"/>
        <v>3.0536346886322906E-2</v>
      </c>
      <c r="P259" s="3">
        <f t="shared" si="245"/>
        <v>3.0487980167683622E-2</v>
      </c>
      <c r="Q259" s="3">
        <f t="shared" si="245"/>
        <v>3.0008506483224225E-2</v>
      </c>
      <c r="R259" s="3">
        <f t="shared" si="245"/>
        <v>2.5609533109570762E-2</v>
      </c>
      <c r="S259" s="3">
        <f t="shared" si="245"/>
        <v>5.24776595022294E-3</v>
      </c>
      <c r="T259" s="3">
        <f t="shared" si="245"/>
        <v>6.8501869138151501E-10</v>
      </c>
      <c r="U259" s="3">
        <f t="shared" si="245"/>
        <v>9.8397047351290319E-79</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4.0592217810354776E-2</v>
      </c>
      <c r="C260" s="3">
        <f t="shared" si="246"/>
        <v>4.0592217810354776E-2</v>
      </c>
      <c r="D260" s="3">
        <f t="shared" si="246"/>
        <v>4.0592217810354769E-2</v>
      </c>
      <c r="E260" s="3">
        <f t="shared" si="246"/>
        <v>4.0592217810354714E-2</v>
      </c>
      <c r="F260" s="3">
        <f t="shared" si="246"/>
        <v>4.0592217810354131E-2</v>
      </c>
      <c r="G260" s="3">
        <f t="shared" si="246"/>
        <v>4.059221781034833E-2</v>
      </c>
      <c r="H260" s="3">
        <f t="shared" si="246"/>
        <v>4.0592217810290279E-2</v>
      </c>
      <c r="I260" s="3">
        <f t="shared" si="246"/>
        <v>4.0592217809709834E-2</v>
      </c>
      <c r="J260" s="3">
        <f t="shared" si="246"/>
        <v>4.0592217803905359E-2</v>
      </c>
      <c r="K260" s="3">
        <f t="shared" si="246"/>
        <v>4.0592217745860588E-2</v>
      </c>
      <c r="L260" s="3">
        <f t="shared" si="246"/>
        <v>4.0592217165412912E-2</v>
      </c>
      <c r="M260" s="3">
        <f t="shared" si="246"/>
        <v>4.0592211360936568E-2</v>
      </c>
      <c r="N260" s="3">
        <f t="shared" si="246"/>
        <v>4.0592153316218821E-2</v>
      </c>
      <c r="O260" s="3">
        <f t="shared" si="246"/>
        <v>4.0591572873606374E-2</v>
      </c>
      <c r="P260" s="3">
        <f t="shared" si="246"/>
        <v>4.0585768903960602E-2</v>
      </c>
      <c r="Q260" s="3">
        <f t="shared" si="246"/>
        <v>4.0527774831233619E-2</v>
      </c>
      <c r="R260" s="3">
        <f t="shared" si="246"/>
        <v>3.995237243044767E-2</v>
      </c>
      <c r="S260" s="3">
        <f t="shared" si="246"/>
        <v>3.4629060771592265E-2</v>
      </c>
      <c r="T260" s="3">
        <f t="shared" si="246"/>
        <v>8.2874725571027968E-3</v>
      </c>
      <c r="U260" s="3">
        <f t="shared" si="246"/>
        <v>5.1078250186262642E-9</v>
      </c>
      <c r="V260" s="3">
        <f t="shared" si="246"/>
        <v>4.0399416072881242E-71</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4.4579554777240793E-2</v>
      </c>
      <c r="C261" s="3">
        <f t="shared" si="247"/>
        <v>4.4579554777240793E-2</v>
      </c>
      <c r="D261" s="3">
        <f t="shared" si="247"/>
        <v>4.4579554777240793E-2</v>
      </c>
      <c r="E261" s="3">
        <f t="shared" si="247"/>
        <v>4.4579554777240786E-2</v>
      </c>
      <c r="F261" s="3">
        <f t="shared" si="247"/>
        <v>4.4579554777240731E-2</v>
      </c>
      <c r="G261" s="3">
        <f t="shared" si="247"/>
        <v>4.4579554777240155E-2</v>
      </c>
      <c r="H261" s="3">
        <f t="shared" si="247"/>
        <v>4.4579554777234402E-2</v>
      </c>
      <c r="I261" s="3">
        <f t="shared" si="247"/>
        <v>4.45795547771769E-2</v>
      </c>
      <c r="J261" s="3">
        <f t="shared" si="247"/>
        <v>4.4579554776601853E-2</v>
      </c>
      <c r="K261" s="3">
        <f t="shared" si="247"/>
        <v>4.457955477085139E-2</v>
      </c>
      <c r="L261" s="3">
        <f t="shared" si="247"/>
        <v>4.4579554713346785E-2</v>
      </c>
      <c r="M261" s="3">
        <f t="shared" si="247"/>
        <v>4.4579554138300746E-2</v>
      </c>
      <c r="N261" s="3">
        <f t="shared" si="247"/>
        <v>4.4579548387840749E-2</v>
      </c>
      <c r="O261" s="3">
        <f t="shared" si="247"/>
        <v>4.45794908832816E-2</v>
      </c>
      <c r="P261" s="3">
        <f t="shared" si="247"/>
        <v>4.4578915841769783E-2</v>
      </c>
      <c r="Q261" s="3">
        <f t="shared" si="247"/>
        <v>4.4573165834603717E-2</v>
      </c>
      <c r="R261" s="3">
        <f t="shared" si="247"/>
        <v>4.4515706538689345E-2</v>
      </c>
      <c r="S261" s="3">
        <f t="shared" si="247"/>
        <v>4.3945171759894562E-2</v>
      </c>
      <c r="T261" s="3">
        <f t="shared" si="247"/>
        <v>3.8626923664112793E-2</v>
      </c>
      <c r="U261" s="3">
        <f t="shared" si="247"/>
        <v>1.0633584144348056E-2</v>
      </c>
      <c r="V261" s="3">
        <f t="shared" si="247"/>
        <v>2.6581236473091308E-8</v>
      </c>
      <c r="W261" s="3">
        <f t="shared" si="247"/>
        <v>2.5323880139395545E-64</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6.2079559793872717E-2</v>
      </c>
      <c r="C262" s="3">
        <f t="shared" si="248"/>
        <v>6.2079559793872717E-2</v>
      </c>
      <c r="D262" s="3">
        <f t="shared" si="248"/>
        <v>6.2079559793872717E-2</v>
      </c>
      <c r="E262" s="3">
        <f t="shared" si="248"/>
        <v>6.2079559793872717E-2</v>
      </c>
      <c r="F262" s="3">
        <f t="shared" si="248"/>
        <v>6.207955979387271E-2</v>
      </c>
      <c r="G262" s="3">
        <f t="shared" si="248"/>
        <v>6.2079559793872634E-2</v>
      </c>
      <c r="H262" s="3">
        <f t="shared" si="248"/>
        <v>6.2079559793871919E-2</v>
      </c>
      <c r="I262" s="3">
        <f t="shared" si="248"/>
        <v>6.2079559793864689E-2</v>
      </c>
      <c r="J262" s="3">
        <f t="shared" si="248"/>
        <v>6.2079559793792448E-2</v>
      </c>
      <c r="K262" s="3">
        <f t="shared" si="248"/>
        <v>6.2079559793070074E-2</v>
      </c>
      <c r="L262" s="3">
        <f t="shared" si="248"/>
        <v>6.2079559785846339E-2</v>
      </c>
      <c r="M262" s="3">
        <f t="shared" si="248"/>
        <v>6.2079559713608935E-2</v>
      </c>
      <c r="N262" s="3">
        <f t="shared" si="248"/>
        <v>6.2079558991234934E-2</v>
      </c>
      <c r="O262" s="3">
        <f t="shared" si="248"/>
        <v>6.2079551767495328E-2</v>
      </c>
      <c r="P262" s="3">
        <f t="shared" si="248"/>
        <v>6.2079479530145483E-2</v>
      </c>
      <c r="Q262" s="3">
        <f t="shared" si="248"/>
        <v>6.2078757161270232E-2</v>
      </c>
      <c r="R262" s="3">
        <f t="shared" si="248"/>
        <v>6.20715339348109E-2</v>
      </c>
      <c r="S262" s="3">
        <f t="shared" si="248"/>
        <v>6.1999347879640843E-2</v>
      </c>
      <c r="T262" s="3">
        <f t="shared" si="248"/>
        <v>6.1282088436959516E-2</v>
      </c>
      <c r="U262" s="3">
        <f t="shared" si="248"/>
        <v>5.4550396825829323E-2</v>
      </c>
      <c r="V262" s="3">
        <f t="shared" si="248"/>
        <v>1.7038897247090092E-2</v>
      </c>
      <c r="W262" s="3">
        <f t="shared" si="248"/>
        <v>1.5061810563289292E-7</v>
      </c>
      <c r="X262" s="3">
        <f t="shared" si="248"/>
        <v>4.3876719792762111E-58</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0.10578931784531295</v>
      </c>
      <c r="C263" s="3">
        <f t="shared" si="249"/>
        <v>0.10578931784531295</v>
      </c>
      <c r="D263" s="3">
        <f t="shared" si="249"/>
        <v>0.10578931784531295</v>
      </c>
      <c r="E263" s="3">
        <f t="shared" si="249"/>
        <v>0.10578931784531295</v>
      </c>
      <c r="F263" s="3">
        <f t="shared" si="249"/>
        <v>0.10578931784531295</v>
      </c>
      <c r="G263" s="3">
        <f t="shared" si="249"/>
        <v>0.10578931784531294</v>
      </c>
      <c r="H263" s="3">
        <f t="shared" si="249"/>
        <v>0.10578931784531283</v>
      </c>
      <c r="I263" s="3">
        <f t="shared" si="249"/>
        <v>0.10578931784531172</v>
      </c>
      <c r="J263" s="3">
        <f t="shared" si="249"/>
        <v>0.10578931784530061</v>
      </c>
      <c r="K263" s="3">
        <f t="shared" si="249"/>
        <v>0.10578931784518956</v>
      </c>
      <c r="L263" s="3">
        <f t="shared" si="249"/>
        <v>0.10578931784407911</v>
      </c>
      <c r="M263" s="3">
        <f t="shared" si="249"/>
        <v>0.10578931783297454</v>
      </c>
      <c r="N263" s="3">
        <f t="shared" si="249"/>
        <v>0.1057893177219288</v>
      </c>
      <c r="O263" s="3">
        <f t="shared" si="249"/>
        <v>0.10578931661147144</v>
      </c>
      <c r="P263" s="3">
        <f t="shared" si="249"/>
        <v>0.10578930550689841</v>
      </c>
      <c r="Q263" s="3">
        <f t="shared" si="249"/>
        <v>0.10578919446123221</v>
      </c>
      <c r="R263" s="3">
        <f t="shared" si="249"/>
        <v>0.10578808401098125</v>
      </c>
      <c r="S263" s="3">
        <f t="shared" si="249"/>
        <v>0.10577698014954229</v>
      </c>
      <c r="T263" s="3">
        <f t="shared" si="249"/>
        <v>0.10566600561732971</v>
      </c>
      <c r="U263" s="3">
        <f t="shared" si="249"/>
        <v>0.10456264369412283</v>
      </c>
      <c r="V263" s="3">
        <f t="shared" si="249"/>
        <v>9.4143253051506115E-2</v>
      </c>
      <c r="W263" s="3">
        <f t="shared" si="249"/>
        <v>3.295457075976841E-2</v>
      </c>
      <c r="X263" s="3">
        <f t="shared" si="249"/>
        <v>9.1029098553093529E-7</v>
      </c>
      <c r="Y263" s="3">
        <f t="shared" si="249"/>
        <v>2.3541063004762467E-52</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8.5446045134986312E-2</v>
      </c>
      <c r="C264" s="3">
        <f t="shared" si="250"/>
        <v>8.5446045134986312E-2</v>
      </c>
      <c r="D264" s="3">
        <f t="shared" si="250"/>
        <v>8.5446045134986312E-2</v>
      </c>
      <c r="E264" s="3">
        <f t="shared" si="250"/>
        <v>8.5446045134986312E-2</v>
      </c>
      <c r="F264" s="3">
        <f t="shared" si="250"/>
        <v>8.5446045134986312E-2</v>
      </c>
      <c r="G264" s="3">
        <f t="shared" si="250"/>
        <v>8.5446045134986312E-2</v>
      </c>
      <c r="H264" s="3">
        <f t="shared" si="250"/>
        <v>8.5446045134986298E-2</v>
      </c>
      <c r="I264" s="3">
        <f t="shared" si="250"/>
        <v>8.5446045134986229E-2</v>
      </c>
      <c r="J264" s="3">
        <f t="shared" si="250"/>
        <v>8.544604513498541E-2</v>
      </c>
      <c r="K264" s="3">
        <f t="shared" si="250"/>
        <v>8.5446045134977319E-2</v>
      </c>
      <c r="L264" s="3">
        <f t="shared" si="250"/>
        <v>8.5446045134896412E-2</v>
      </c>
      <c r="M264" s="3">
        <f t="shared" si="250"/>
        <v>8.5446045134087323E-2</v>
      </c>
      <c r="N264" s="3">
        <f t="shared" si="250"/>
        <v>8.5446045125996392E-2</v>
      </c>
      <c r="O264" s="3">
        <f t="shared" si="250"/>
        <v>8.5446045045087057E-2</v>
      </c>
      <c r="P264" s="3">
        <f t="shared" si="250"/>
        <v>8.5446044235993709E-2</v>
      </c>
      <c r="Q264" s="3">
        <f t="shared" si="250"/>
        <v>8.5446036145060647E-2</v>
      </c>
      <c r="R264" s="3">
        <f t="shared" si="250"/>
        <v>8.5445955235772239E-2</v>
      </c>
      <c r="S264" s="3">
        <f t="shared" si="250"/>
        <v>8.544514614710183E-2</v>
      </c>
      <c r="T264" s="3">
        <f t="shared" si="250"/>
        <v>8.5437055681755705E-2</v>
      </c>
      <c r="U264" s="3">
        <f t="shared" si="250"/>
        <v>8.5356193149319942E-2</v>
      </c>
      <c r="V264" s="3">
        <f t="shared" si="250"/>
        <v>8.4551765207515173E-2</v>
      </c>
      <c r="W264" s="3">
        <f t="shared" si="250"/>
        <v>7.691288338826556E-2</v>
      </c>
      <c r="X264" s="3">
        <f t="shared" si="250"/>
        <v>2.9837555049188762E-2</v>
      </c>
      <c r="Y264" s="3">
        <f t="shared" si="250"/>
        <v>2.3035870938612025E-6</v>
      </c>
      <c r="Z264" s="3">
        <f t="shared" si="250"/>
        <v>1.7330802403385717E-47</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5.8777528752493244E-2</v>
      </c>
      <c r="C265" s="3">
        <f t="shared" si="251"/>
        <v>5.8777528752493244E-2</v>
      </c>
      <c r="D265" s="3">
        <f t="shared" si="251"/>
        <v>5.8777528752493244E-2</v>
      </c>
      <c r="E265" s="3">
        <f t="shared" si="251"/>
        <v>5.8777528752493244E-2</v>
      </c>
      <c r="F265" s="3">
        <f t="shared" si="251"/>
        <v>5.8777528752493244E-2</v>
      </c>
      <c r="G265" s="3">
        <f t="shared" si="251"/>
        <v>5.8777528752493244E-2</v>
      </c>
      <c r="H265" s="3">
        <f t="shared" si="251"/>
        <v>5.8777528752493244E-2</v>
      </c>
      <c r="I265" s="3">
        <f t="shared" si="251"/>
        <v>5.8777528752493237E-2</v>
      </c>
      <c r="J265" s="3">
        <f t="shared" si="251"/>
        <v>5.8777528752493188E-2</v>
      </c>
      <c r="K265" s="3">
        <f t="shared" si="251"/>
        <v>5.8777528752492689E-2</v>
      </c>
      <c r="L265" s="3">
        <f t="shared" si="251"/>
        <v>5.8777528752487665E-2</v>
      </c>
      <c r="M265" s="3">
        <f t="shared" si="251"/>
        <v>5.8777528752437455E-2</v>
      </c>
      <c r="N265" s="3">
        <f t="shared" si="251"/>
        <v>5.8777528751935391E-2</v>
      </c>
      <c r="O265" s="3">
        <f t="shared" si="251"/>
        <v>5.8777528746914685E-2</v>
      </c>
      <c r="P265" s="3">
        <f t="shared" si="251"/>
        <v>5.8777528696707645E-2</v>
      </c>
      <c r="Q265" s="3">
        <f t="shared" si="251"/>
        <v>5.8777528194637295E-2</v>
      </c>
      <c r="R265" s="3">
        <f t="shared" si="251"/>
        <v>5.877752317393399E-2</v>
      </c>
      <c r="S265" s="3">
        <f t="shared" si="251"/>
        <v>5.8777472966924559E-2</v>
      </c>
      <c r="T265" s="3">
        <f t="shared" si="251"/>
        <v>5.8776970899188936E-2</v>
      </c>
      <c r="U265" s="3">
        <f t="shared" si="251"/>
        <v>5.8771950457698667E-2</v>
      </c>
      <c r="V265" s="3">
        <f t="shared" si="251"/>
        <v>5.8721769621939646E-2</v>
      </c>
      <c r="W265" s="3">
        <f t="shared" si="251"/>
        <v>5.8222311743533518E-2</v>
      </c>
      <c r="X265" s="3">
        <f t="shared" si="251"/>
        <v>5.3455518894284737E-2</v>
      </c>
      <c r="Y265" s="3">
        <f t="shared" si="251"/>
        <v>2.2752210268242916E-2</v>
      </c>
      <c r="Z265" s="3">
        <f t="shared" si="251"/>
        <v>4.4394996211219031E-6</v>
      </c>
      <c r="AA265" s="3">
        <f t="shared" si="251"/>
        <v>3.5517167968168142E-43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3.044822143643108E-2</v>
      </c>
      <c r="C266" s="3">
        <f t="shared" si="252"/>
        <v>3.044822143643108E-2</v>
      </c>
      <c r="D266" s="3">
        <f t="shared" si="252"/>
        <v>3.044822143643108E-2</v>
      </c>
      <c r="E266" s="3">
        <f t="shared" si="252"/>
        <v>3.044822143643108E-2</v>
      </c>
      <c r="F266" s="3">
        <f t="shared" si="252"/>
        <v>3.044822143643108E-2</v>
      </c>
      <c r="G266" s="3">
        <f t="shared" si="252"/>
        <v>3.044822143643108E-2</v>
      </c>
      <c r="H266" s="3">
        <f t="shared" si="252"/>
        <v>3.044822143643108E-2</v>
      </c>
      <c r="I266" s="3">
        <f t="shared" si="252"/>
        <v>3.044822143643108E-2</v>
      </c>
      <c r="J266" s="3">
        <f t="shared" si="252"/>
        <v>3.0448221436431076E-2</v>
      </c>
      <c r="K266" s="3">
        <f t="shared" si="252"/>
        <v>3.0448221436431052E-2</v>
      </c>
      <c r="L266" s="3">
        <f t="shared" si="252"/>
        <v>3.044822143643082E-2</v>
      </c>
      <c r="M266" s="3">
        <f t="shared" si="252"/>
        <v>3.0448221436428474E-2</v>
      </c>
      <c r="N266" s="3">
        <f t="shared" si="252"/>
        <v>3.044822143640501E-2</v>
      </c>
      <c r="O266" s="3">
        <f t="shared" si="252"/>
        <v>3.0448221436170396E-2</v>
      </c>
      <c r="P266" s="3">
        <f t="shared" si="252"/>
        <v>3.044822143382421E-2</v>
      </c>
      <c r="Q266" s="3">
        <f t="shared" si="252"/>
        <v>3.0448221410362387E-2</v>
      </c>
      <c r="R266" s="3">
        <f t="shared" si="252"/>
        <v>3.0448221175744142E-2</v>
      </c>
      <c r="S266" s="3">
        <f t="shared" si="252"/>
        <v>3.0448218829561825E-2</v>
      </c>
      <c r="T266" s="3">
        <f t="shared" si="252"/>
        <v>3.0448195367748586E-2</v>
      </c>
      <c r="U266" s="3">
        <f t="shared" si="252"/>
        <v>3.0447960750610483E-2</v>
      </c>
      <c r="V266" s="3">
        <f t="shared" si="252"/>
        <v>3.0445614678657865E-2</v>
      </c>
      <c r="W266" s="3">
        <f t="shared" si="252"/>
        <v>3.0422163899140032E-2</v>
      </c>
      <c r="X266" s="3">
        <f t="shared" si="252"/>
        <v>3.0188647276700249E-2</v>
      </c>
      <c r="Y266" s="3">
        <f t="shared" si="252"/>
        <v>2.7949829766042673E-2</v>
      </c>
      <c r="Z266" s="3">
        <f t="shared" si="252"/>
        <v>1.293404317325752E-2</v>
      </c>
      <c r="AA266" s="3">
        <f t="shared" si="252"/>
        <v>5.8248627712924412E-6</v>
      </c>
      <c r="AB266" s="3">
        <f t="shared" si="252"/>
        <v>1.9989393516355174E-39</v>
      </c>
      <c r="AC266" s="3">
        <f t="shared" si="252"/>
        <v>0</v>
      </c>
      <c r="AD266" s="3">
        <f t="shared" si="252"/>
        <v>0</v>
      </c>
      <c r="AE266" s="3">
        <f t="shared" si="252"/>
        <v>0</v>
      </c>
      <c r="AF266" s="3">
        <f t="shared" si="252"/>
        <v>0</v>
      </c>
      <c r="AG266" s="3"/>
      <c r="AH266" s="3"/>
    </row>
    <row r="267" spans="2:34" x14ac:dyDescent="0.25">
      <c r="B267" s="3">
        <f t="shared" ref="B267:AF267" si="253">$C36*EXP(-B$246/$A36/EXP(-$E$126))</f>
        <v>1.5917825428886163E-2</v>
      </c>
      <c r="C267" s="3">
        <f t="shared" si="253"/>
        <v>1.5917825428886163E-2</v>
      </c>
      <c r="D267" s="3">
        <f t="shared" si="253"/>
        <v>1.5917825428886163E-2</v>
      </c>
      <c r="E267" s="3">
        <f t="shared" si="253"/>
        <v>1.5917825428886163E-2</v>
      </c>
      <c r="F267" s="3">
        <f t="shared" si="253"/>
        <v>1.5917825428886163E-2</v>
      </c>
      <c r="G267" s="3">
        <f t="shared" si="253"/>
        <v>1.5917825428886163E-2</v>
      </c>
      <c r="H267" s="3">
        <f t="shared" si="253"/>
        <v>1.5917825428886163E-2</v>
      </c>
      <c r="I267" s="3">
        <f t="shared" si="253"/>
        <v>1.5917825428886163E-2</v>
      </c>
      <c r="J267" s="3">
        <f t="shared" si="253"/>
        <v>1.5917825428886163E-2</v>
      </c>
      <c r="K267" s="3">
        <f t="shared" si="253"/>
        <v>1.5917825428886159E-2</v>
      </c>
      <c r="L267" s="3">
        <f t="shared" si="253"/>
        <v>1.5917825428886149E-2</v>
      </c>
      <c r="M267" s="3">
        <f t="shared" si="253"/>
        <v>1.5917825428886038E-2</v>
      </c>
      <c r="N267" s="3">
        <f t="shared" si="253"/>
        <v>1.5917825428884931E-2</v>
      </c>
      <c r="O267" s="3">
        <f t="shared" si="253"/>
        <v>1.5917825428873867E-2</v>
      </c>
      <c r="P267" s="3">
        <f t="shared" si="253"/>
        <v>1.5917825428763226E-2</v>
      </c>
      <c r="Q267" s="3">
        <f t="shared" si="253"/>
        <v>1.5917825427656778E-2</v>
      </c>
      <c r="R267" s="3">
        <f t="shared" si="253"/>
        <v>1.591782541659232E-2</v>
      </c>
      <c r="S267" s="3">
        <f t="shared" si="253"/>
        <v>1.5917825305947732E-2</v>
      </c>
      <c r="T267" s="3">
        <f t="shared" si="253"/>
        <v>1.5917824199501895E-2</v>
      </c>
      <c r="U267" s="3">
        <f t="shared" si="253"/>
        <v>1.5917813135047771E-2</v>
      </c>
      <c r="V267" s="3">
        <f t="shared" si="253"/>
        <v>1.5917702490929518E-2</v>
      </c>
      <c r="W267" s="3">
        <f t="shared" si="253"/>
        <v>1.5916596092045661E-2</v>
      </c>
      <c r="X267" s="3">
        <f t="shared" si="253"/>
        <v>1.5905536331988223E-2</v>
      </c>
      <c r="Y267" s="3">
        <f t="shared" si="253"/>
        <v>1.5795360523960082E-2</v>
      </c>
      <c r="Z267" s="3">
        <f t="shared" si="253"/>
        <v>1.4734716779625239E-2</v>
      </c>
      <c r="AA267" s="3">
        <f t="shared" si="253"/>
        <v>7.3529952995440295E-3</v>
      </c>
      <c r="AB267" s="3">
        <f t="shared" si="253"/>
        <v>7.0418901527495489E-6</v>
      </c>
      <c r="AC267" s="3">
        <f t="shared" si="253"/>
        <v>4.5702380788197331E-36</v>
      </c>
      <c r="AD267" s="3">
        <f t="shared" si="253"/>
        <v>0</v>
      </c>
      <c r="AE267" s="3">
        <f t="shared" si="253"/>
        <v>0</v>
      </c>
      <c r="AF267" s="3">
        <f t="shared" si="253"/>
        <v>0</v>
      </c>
      <c r="AG267" s="3"/>
      <c r="AH267" s="3"/>
    </row>
    <row r="268" spans="2:34" x14ac:dyDescent="0.25">
      <c r="B268" s="3">
        <f t="shared" ref="B268:AF268" si="254">$C37*EXP(-B$246/$A37/EXP(-$E$126))</f>
        <v>7.4710107179745602E-3</v>
      </c>
      <c r="C268" s="3">
        <f t="shared" si="254"/>
        <v>7.4710107179745602E-3</v>
      </c>
      <c r="D268" s="3">
        <f t="shared" si="254"/>
        <v>7.4710107179745602E-3</v>
      </c>
      <c r="E268" s="3">
        <f t="shared" si="254"/>
        <v>7.4710107179745602E-3</v>
      </c>
      <c r="F268" s="3">
        <f t="shared" si="254"/>
        <v>7.4710107179745602E-3</v>
      </c>
      <c r="G268" s="3">
        <f t="shared" si="254"/>
        <v>7.4710107179745602E-3</v>
      </c>
      <c r="H268" s="3">
        <f t="shared" si="254"/>
        <v>7.4710107179745602E-3</v>
      </c>
      <c r="I268" s="3">
        <f t="shared" si="254"/>
        <v>7.4710107179745602E-3</v>
      </c>
      <c r="J268" s="3">
        <f t="shared" si="254"/>
        <v>7.4710107179745602E-3</v>
      </c>
      <c r="K268" s="3">
        <f t="shared" si="254"/>
        <v>7.4710107179745602E-3</v>
      </c>
      <c r="L268" s="3">
        <f t="shared" si="254"/>
        <v>7.4710107179745593E-3</v>
      </c>
      <c r="M268" s="3">
        <f t="shared" si="254"/>
        <v>7.471010717974555E-3</v>
      </c>
      <c r="N268" s="3">
        <f t="shared" si="254"/>
        <v>7.4710107179745081E-3</v>
      </c>
      <c r="O268" s="3">
        <f t="shared" si="254"/>
        <v>7.4710107179740389E-3</v>
      </c>
      <c r="P268" s="3">
        <f t="shared" si="254"/>
        <v>7.4710107179693551E-3</v>
      </c>
      <c r="Q268" s="3">
        <f t="shared" si="254"/>
        <v>7.4710107179225089E-3</v>
      </c>
      <c r="R268" s="3">
        <f t="shared" si="254"/>
        <v>7.4710107174540494E-3</v>
      </c>
      <c r="S268" s="3">
        <f t="shared" si="254"/>
        <v>7.4710107127694504E-3</v>
      </c>
      <c r="T268" s="3">
        <f t="shared" si="254"/>
        <v>7.4710106659234641E-3</v>
      </c>
      <c r="U268" s="3">
        <f t="shared" si="254"/>
        <v>7.4710101974636159E-3</v>
      </c>
      <c r="V268" s="3">
        <f t="shared" si="254"/>
        <v>7.471005512866751E-3</v>
      </c>
      <c r="W268" s="3">
        <f t="shared" si="254"/>
        <v>7.4709586670596555E-3</v>
      </c>
      <c r="X268" s="3">
        <f t="shared" si="254"/>
        <v>7.4704902251440811E-3</v>
      </c>
      <c r="Y268" s="3">
        <f t="shared" si="254"/>
        <v>7.465807421150601E-3</v>
      </c>
      <c r="Z268" s="3">
        <f t="shared" si="254"/>
        <v>7.4191405233473189E-3</v>
      </c>
      <c r="AA268" s="3">
        <f t="shared" si="254"/>
        <v>6.9682180906247889E-3</v>
      </c>
      <c r="AB268" s="3">
        <f t="shared" si="254"/>
        <v>3.722229203342644E-3</v>
      </c>
      <c r="AC268" s="3">
        <f t="shared" si="254"/>
        <v>7.0407169659157271E-6</v>
      </c>
      <c r="AD268" s="3">
        <f t="shared" si="254"/>
        <v>4.128141992149102E-33</v>
      </c>
      <c r="AE268" s="3">
        <f t="shared" si="254"/>
        <v>1.9821295413291101E-305</v>
      </c>
      <c r="AF268" s="3">
        <f t="shared" si="254"/>
        <v>0</v>
      </c>
      <c r="AG268" s="3"/>
      <c r="AH268" s="3"/>
    </row>
    <row r="269" spans="2:34" x14ac:dyDescent="0.25">
      <c r="B269" s="3">
        <f t="shared" ref="B269:AF269" si="255">$C38*EXP(-B$246/$A38/EXP(-$E$126))</f>
        <v>1.4378472174592341E-3</v>
      </c>
      <c r="C269" s="3">
        <f t="shared" si="255"/>
        <v>1.4378472174592341E-3</v>
      </c>
      <c r="D269" s="3">
        <f t="shared" si="255"/>
        <v>1.4378472174592341E-3</v>
      </c>
      <c r="E269" s="3">
        <f t="shared" si="255"/>
        <v>1.4378472174592341E-3</v>
      </c>
      <c r="F269" s="3">
        <f t="shared" si="255"/>
        <v>1.4378472174592341E-3</v>
      </c>
      <c r="G269" s="3">
        <f t="shared" si="255"/>
        <v>1.4378472174592341E-3</v>
      </c>
      <c r="H269" s="3">
        <f t="shared" si="255"/>
        <v>1.4378472174592341E-3</v>
      </c>
      <c r="I269" s="3">
        <f t="shared" si="255"/>
        <v>1.4378472174592341E-3</v>
      </c>
      <c r="J269" s="3">
        <f t="shared" si="255"/>
        <v>1.4378472174592341E-3</v>
      </c>
      <c r="K269" s="3">
        <f t="shared" si="255"/>
        <v>1.4378472174592341E-3</v>
      </c>
      <c r="L269" s="3">
        <f t="shared" si="255"/>
        <v>1.4378472174592341E-3</v>
      </c>
      <c r="M269" s="3">
        <f t="shared" si="255"/>
        <v>1.4378472174592339E-3</v>
      </c>
      <c r="N269" s="3">
        <f t="shared" si="255"/>
        <v>1.4378472174592333E-3</v>
      </c>
      <c r="O269" s="3">
        <f t="shared" si="255"/>
        <v>1.437847217459225E-3</v>
      </c>
      <c r="P269" s="3">
        <f t="shared" si="255"/>
        <v>1.4378472174591437E-3</v>
      </c>
      <c r="Q269" s="3">
        <f t="shared" si="255"/>
        <v>1.4378472174583303E-3</v>
      </c>
      <c r="R269" s="3">
        <f t="shared" si="255"/>
        <v>1.4378472174501975E-3</v>
      </c>
      <c r="S269" s="3">
        <f t="shared" si="255"/>
        <v>1.4378472173688672E-3</v>
      </c>
      <c r="T269" s="3">
        <f t="shared" si="255"/>
        <v>1.4378472165555642E-3</v>
      </c>
      <c r="U269" s="3">
        <f t="shared" si="255"/>
        <v>1.4378472084225343E-3</v>
      </c>
      <c r="V269" s="3">
        <f t="shared" si="255"/>
        <v>1.4378471270922394E-3</v>
      </c>
      <c r="W269" s="3">
        <f t="shared" si="255"/>
        <v>1.4378463137895423E-3</v>
      </c>
      <c r="X269" s="3">
        <f t="shared" si="255"/>
        <v>1.4378381807878733E-3</v>
      </c>
      <c r="Y269" s="3">
        <f t="shared" si="255"/>
        <v>1.4377568533013218E-3</v>
      </c>
      <c r="Z269" s="3">
        <f t="shared" si="255"/>
        <v>1.4369438313968773E-3</v>
      </c>
      <c r="AA269" s="3">
        <f t="shared" si="255"/>
        <v>1.4288388555979143E-3</v>
      </c>
      <c r="AB269" s="3">
        <f t="shared" si="255"/>
        <v>1.3502613812506861E-3</v>
      </c>
      <c r="AC269" s="3">
        <f t="shared" si="255"/>
        <v>7.6694424741022727E-4</v>
      </c>
      <c r="AD269" s="3">
        <f t="shared" si="255"/>
        <v>2.680546042132996E-6</v>
      </c>
      <c r="AE269" s="3">
        <f t="shared" si="255"/>
        <v>7.2915194847405863E-31</v>
      </c>
      <c r="AF269" s="3">
        <f t="shared" si="255"/>
        <v>1.6172074561988259E-276</v>
      </c>
      <c r="AG269" s="3"/>
      <c r="AH269" s="3"/>
    </row>
    <row r="270" spans="2:34" x14ac:dyDescent="0.25">
      <c r="B270" s="3">
        <f t="shared" ref="B270:AF270" si="256">$C39*EXP(-B$246/$A39/EXP(-$E$126))</f>
        <v>4.7686363858368023E-3</v>
      </c>
      <c r="C270" s="3">
        <f t="shared" si="256"/>
        <v>4.7686363858368023E-3</v>
      </c>
      <c r="D270" s="3">
        <f t="shared" si="256"/>
        <v>4.7686363858368023E-3</v>
      </c>
      <c r="E270" s="3">
        <f t="shared" si="256"/>
        <v>4.7686363858368023E-3</v>
      </c>
      <c r="F270" s="3">
        <f t="shared" si="256"/>
        <v>4.7686363858368023E-3</v>
      </c>
      <c r="G270" s="3">
        <f t="shared" si="256"/>
        <v>4.7686363858368023E-3</v>
      </c>
      <c r="H270" s="3">
        <f t="shared" si="256"/>
        <v>4.7686363858368023E-3</v>
      </c>
      <c r="I270" s="3">
        <f t="shared" si="256"/>
        <v>4.7686363858368023E-3</v>
      </c>
      <c r="J270" s="3">
        <f t="shared" si="256"/>
        <v>4.7686363858368023E-3</v>
      </c>
      <c r="K270" s="3">
        <f t="shared" si="256"/>
        <v>4.7686363858368023E-3</v>
      </c>
      <c r="L270" s="3">
        <f t="shared" si="256"/>
        <v>4.7686363858368023E-3</v>
      </c>
      <c r="M270" s="3">
        <f t="shared" si="256"/>
        <v>4.7686363858368023E-3</v>
      </c>
      <c r="N270" s="3">
        <f t="shared" si="256"/>
        <v>4.7686363858368015E-3</v>
      </c>
      <c r="O270" s="3">
        <f t="shared" si="256"/>
        <v>4.7686363858367936E-3</v>
      </c>
      <c r="P270" s="3">
        <f t="shared" si="256"/>
        <v>4.7686363858367191E-3</v>
      </c>
      <c r="Q270" s="3">
        <f t="shared" si="256"/>
        <v>4.7686363858359731E-3</v>
      </c>
      <c r="R270" s="3">
        <f t="shared" si="256"/>
        <v>4.7686363858285129E-3</v>
      </c>
      <c r="S270" s="3">
        <f t="shared" si="256"/>
        <v>4.768636385753912E-3</v>
      </c>
      <c r="T270" s="3">
        <f t="shared" si="256"/>
        <v>4.7686363850078985E-3</v>
      </c>
      <c r="U270" s="3">
        <f t="shared" si="256"/>
        <v>4.7686363775477636E-3</v>
      </c>
      <c r="V270" s="3">
        <f t="shared" si="256"/>
        <v>4.7686363029464133E-3</v>
      </c>
      <c r="W270" s="3">
        <f t="shared" si="256"/>
        <v>4.7686355569329765E-3</v>
      </c>
      <c r="X270" s="3">
        <f t="shared" si="256"/>
        <v>4.7686280968050271E-3</v>
      </c>
      <c r="Y270" s="3">
        <f t="shared" si="256"/>
        <v>4.7685534961674249E-3</v>
      </c>
      <c r="Z270" s="3">
        <f t="shared" si="256"/>
        <v>4.767807553976453E-3</v>
      </c>
      <c r="AA270" s="3">
        <f t="shared" si="256"/>
        <v>4.7603545468587654E-3</v>
      </c>
      <c r="AB270" s="3">
        <f t="shared" si="256"/>
        <v>4.6864622572700366E-3</v>
      </c>
      <c r="AC270" s="3">
        <f t="shared" si="256"/>
        <v>4.0077752920364756E-3</v>
      </c>
      <c r="AD270" s="3">
        <f t="shared" si="256"/>
        <v>8.3846658799251021E-4</v>
      </c>
      <c r="AE270" s="3">
        <f t="shared" si="256"/>
        <v>1.3468205585287866E-10</v>
      </c>
      <c r="AF270" s="3">
        <f t="shared" si="256"/>
        <v>1.5401020411487296E-78</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2.0950739363465548E-3</v>
      </c>
      <c r="C272" s="3">
        <f t="shared" si="258"/>
        <v>2.0950739363465548E-3</v>
      </c>
      <c r="D272" s="3">
        <f t="shared" si="258"/>
        <v>2.0950739363465548E-3</v>
      </c>
      <c r="E272" s="3">
        <f t="shared" si="258"/>
        <v>2.0950739363465548E-3</v>
      </c>
      <c r="F272" s="3">
        <f t="shared" si="258"/>
        <v>2.0950739363465548E-3</v>
      </c>
      <c r="G272" s="3">
        <f t="shared" si="258"/>
        <v>2.0950739363465548E-3</v>
      </c>
      <c r="H272" s="3">
        <f t="shared" si="258"/>
        <v>2.0950739363465548E-3</v>
      </c>
      <c r="I272" s="3">
        <f t="shared" si="258"/>
        <v>2.0950739363465548E-3</v>
      </c>
      <c r="J272" s="3">
        <f t="shared" si="258"/>
        <v>2.0950739363465548E-3</v>
      </c>
      <c r="K272" s="3">
        <f t="shared" si="258"/>
        <v>2.0950739363465548E-3</v>
      </c>
      <c r="L272" s="3">
        <f t="shared" si="258"/>
        <v>2.0950739363465548E-3</v>
      </c>
      <c r="M272" s="3">
        <f t="shared" si="258"/>
        <v>2.0950739363465548E-3</v>
      </c>
      <c r="N272" s="3">
        <f t="shared" si="258"/>
        <v>2.0950739363465548E-3</v>
      </c>
      <c r="O272" s="3">
        <f t="shared" si="258"/>
        <v>2.0950739363465548E-3</v>
      </c>
      <c r="P272" s="3">
        <f t="shared" si="258"/>
        <v>2.0950739363465544E-3</v>
      </c>
      <c r="Q272" s="3">
        <f t="shared" si="258"/>
        <v>2.0950739363465509E-3</v>
      </c>
      <c r="R272" s="3">
        <f t="shared" si="258"/>
        <v>2.0950739363465184E-3</v>
      </c>
      <c r="S272" s="3">
        <f t="shared" si="258"/>
        <v>2.0950739363461905E-3</v>
      </c>
      <c r="T272" s="3">
        <f t="shared" si="258"/>
        <v>2.0950739363429132E-3</v>
      </c>
      <c r="U272" s="3">
        <f t="shared" si="258"/>
        <v>2.0950739363101373E-3</v>
      </c>
      <c r="V272" s="3">
        <f t="shared" si="258"/>
        <v>2.0950739359823804E-3</v>
      </c>
      <c r="W272" s="3">
        <f t="shared" si="258"/>
        <v>2.0950739327048116E-3</v>
      </c>
      <c r="X272" s="3">
        <f t="shared" si="258"/>
        <v>2.0950738999291224E-3</v>
      </c>
      <c r="Y272" s="3">
        <f t="shared" si="258"/>
        <v>2.0950735721722582E-3</v>
      </c>
      <c r="Z272" s="3">
        <f t="shared" si="258"/>
        <v>2.0950702946064379E-3</v>
      </c>
      <c r="AA272" s="3">
        <f t="shared" si="258"/>
        <v>2.0950375192302444E-3</v>
      </c>
      <c r="AB272" s="3">
        <f t="shared" si="258"/>
        <v>2.0947097936676565E-3</v>
      </c>
      <c r="AC272" s="3">
        <f t="shared" si="258"/>
        <v>2.0914353563450607E-3</v>
      </c>
      <c r="AD272" s="3">
        <f t="shared" si="258"/>
        <v>2.0589711889209905E-3</v>
      </c>
      <c r="AE272" s="3">
        <f t="shared" si="258"/>
        <v>1.7607938365814164E-3</v>
      </c>
      <c r="AF272" s="3">
        <f t="shared" si="258"/>
        <v>3.6837564302824816E-4</v>
      </c>
      <c r="AG272" s="3"/>
      <c r="AH272" s="3"/>
    </row>
    <row r="273" spans="1:34" x14ac:dyDescent="0.25">
      <c r="B273" s="3">
        <f t="shared" ref="B273:AF273" si="259">$C42*EXP(-B$246/$A42/EXP(-$E$126))</f>
        <v>1.9210885084110967E-3</v>
      </c>
      <c r="C273" s="3">
        <f t="shared" si="259"/>
        <v>1.9210885084110967E-3</v>
      </c>
      <c r="D273" s="3">
        <f t="shared" si="259"/>
        <v>1.9210885084110967E-3</v>
      </c>
      <c r="E273" s="3">
        <f t="shared" si="259"/>
        <v>1.9210885084110967E-3</v>
      </c>
      <c r="F273" s="3">
        <f t="shared" si="259"/>
        <v>1.9210885084110967E-3</v>
      </c>
      <c r="G273" s="3">
        <f t="shared" si="259"/>
        <v>1.9210885084110967E-3</v>
      </c>
      <c r="H273" s="3">
        <f t="shared" si="259"/>
        <v>1.9210885084110967E-3</v>
      </c>
      <c r="I273" s="3">
        <f t="shared" si="259"/>
        <v>1.9210885084110967E-3</v>
      </c>
      <c r="J273" s="3">
        <f t="shared" si="259"/>
        <v>1.9210885084110967E-3</v>
      </c>
      <c r="K273" s="3">
        <f t="shared" si="259"/>
        <v>1.9210885084110967E-3</v>
      </c>
      <c r="L273" s="3">
        <f t="shared" si="259"/>
        <v>1.9210885084110967E-3</v>
      </c>
      <c r="M273" s="3">
        <f t="shared" si="259"/>
        <v>1.9210885084110967E-3</v>
      </c>
      <c r="N273" s="3">
        <f t="shared" si="259"/>
        <v>1.9210885084110967E-3</v>
      </c>
      <c r="O273" s="3">
        <f t="shared" si="259"/>
        <v>1.9210885084110967E-3</v>
      </c>
      <c r="P273" s="3">
        <f t="shared" si="259"/>
        <v>1.9210885084110967E-3</v>
      </c>
      <c r="Q273" s="3">
        <f t="shared" si="259"/>
        <v>1.9210885084110963E-3</v>
      </c>
      <c r="R273" s="3">
        <f t="shared" si="259"/>
        <v>1.9210885084110932E-3</v>
      </c>
      <c r="S273" s="3">
        <f t="shared" si="259"/>
        <v>1.9210885084110633E-3</v>
      </c>
      <c r="T273" s="3">
        <f t="shared" si="259"/>
        <v>1.9210885084107628E-3</v>
      </c>
      <c r="U273" s="3">
        <f t="shared" si="259"/>
        <v>1.9210885084077573E-3</v>
      </c>
      <c r="V273" s="3">
        <f t="shared" si="259"/>
        <v>1.9210885083777035E-3</v>
      </c>
      <c r="W273" s="3">
        <f t="shared" si="259"/>
        <v>1.9210885080771652E-3</v>
      </c>
      <c r="X273" s="3">
        <f t="shared" si="259"/>
        <v>1.9210885050717822E-3</v>
      </c>
      <c r="Y273" s="3">
        <f t="shared" si="259"/>
        <v>1.9210884750179502E-3</v>
      </c>
      <c r="Z273" s="3">
        <f t="shared" si="259"/>
        <v>1.9210881744796569E-3</v>
      </c>
      <c r="AA273" s="3">
        <f t="shared" si="259"/>
        <v>1.9210851690993102E-3</v>
      </c>
      <c r="AB273" s="3">
        <f t="shared" si="259"/>
        <v>1.9210551155544344E-3</v>
      </c>
      <c r="AC273" s="3">
        <f t="shared" si="259"/>
        <v>1.920754605963208E-3</v>
      </c>
      <c r="AD273" s="3">
        <f t="shared" si="259"/>
        <v>1.9177520943082157E-3</v>
      </c>
      <c r="AE273" s="3">
        <f t="shared" si="259"/>
        <v>1.8879839138676382E-3</v>
      </c>
      <c r="AF273" s="3">
        <f t="shared" si="259"/>
        <v>1.6145687015878703E-3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4.6732387958302481E-4</v>
      </c>
      <c r="C275" s="3">
        <f t="shared" si="261"/>
        <v>4.6732387958302481E-4</v>
      </c>
      <c r="D275" s="3">
        <f t="shared" si="261"/>
        <v>4.6732387958302481E-4</v>
      </c>
      <c r="E275" s="3">
        <f t="shared" si="261"/>
        <v>4.6732387958302481E-4</v>
      </c>
      <c r="F275" s="3">
        <f t="shared" si="261"/>
        <v>4.6732387958302481E-4</v>
      </c>
      <c r="G275" s="3">
        <f t="shared" si="261"/>
        <v>4.6732387958302481E-4</v>
      </c>
      <c r="H275" s="3">
        <f t="shared" si="261"/>
        <v>4.6732387958302481E-4</v>
      </c>
      <c r="I275" s="3">
        <f t="shared" si="261"/>
        <v>4.6732387958302481E-4</v>
      </c>
      <c r="J275" s="3">
        <f t="shared" si="261"/>
        <v>4.6732387958302481E-4</v>
      </c>
      <c r="K275" s="3">
        <f t="shared" si="261"/>
        <v>4.6732387958302481E-4</v>
      </c>
      <c r="L275" s="3">
        <f t="shared" si="261"/>
        <v>4.6732387958302481E-4</v>
      </c>
      <c r="M275" s="3">
        <f t="shared" si="261"/>
        <v>4.6732387958302481E-4</v>
      </c>
      <c r="N275" s="3">
        <f t="shared" si="261"/>
        <v>4.6732387958302481E-4</v>
      </c>
      <c r="O275" s="3">
        <f t="shared" si="261"/>
        <v>4.6732387958302481E-4</v>
      </c>
      <c r="P275" s="3">
        <f t="shared" si="261"/>
        <v>4.6732387958302481E-4</v>
      </c>
      <c r="Q275" s="3">
        <f t="shared" si="261"/>
        <v>4.6732387958302481E-4</v>
      </c>
      <c r="R275" s="3">
        <f t="shared" si="261"/>
        <v>4.6732387958302481E-4</v>
      </c>
      <c r="S275" s="3">
        <f t="shared" si="261"/>
        <v>4.673238795830247E-4</v>
      </c>
      <c r="T275" s="3">
        <f t="shared" si="261"/>
        <v>4.6732387958302399E-4</v>
      </c>
      <c r="U275" s="3">
        <f t="shared" si="261"/>
        <v>4.6732387958301668E-4</v>
      </c>
      <c r="V275" s="3">
        <f t="shared" si="261"/>
        <v>4.6732387958294355E-4</v>
      </c>
      <c r="W275" s="3">
        <f t="shared" si="261"/>
        <v>4.6732387958221247E-4</v>
      </c>
      <c r="X275" s="3">
        <f t="shared" si="261"/>
        <v>4.6732387957490159E-4</v>
      </c>
      <c r="Y275" s="3">
        <f t="shared" si="261"/>
        <v>4.6732387950179269E-4</v>
      </c>
      <c r="Z275" s="3">
        <f t="shared" si="261"/>
        <v>4.6732387877070335E-4</v>
      </c>
      <c r="AA275" s="3">
        <f t="shared" si="261"/>
        <v>4.6732387145980993E-4</v>
      </c>
      <c r="AB275" s="3">
        <f t="shared" si="261"/>
        <v>4.6732379835088205E-4</v>
      </c>
      <c r="AC275" s="3">
        <f t="shared" si="261"/>
        <v>4.6732306726223252E-4</v>
      </c>
      <c r="AD275" s="3">
        <f t="shared" si="261"/>
        <v>4.6731575643864208E-4</v>
      </c>
      <c r="AE275" s="3">
        <f t="shared" si="261"/>
        <v>4.6724265449283952E-4</v>
      </c>
      <c r="AF275" s="3">
        <f t="shared" si="261"/>
        <v>4.6651226368108834E-4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1.2351806616485092E-4</v>
      </c>
      <c r="C277" s="3">
        <f t="shared" si="263"/>
        <v>1.2351806616485092E-4</v>
      </c>
      <c r="D277" s="3">
        <f t="shared" si="263"/>
        <v>1.2351806616485092E-4</v>
      </c>
      <c r="E277" s="3">
        <f t="shared" si="263"/>
        <v>1.2351806616485092E-4</v>
      </c>
      <c r="F277" s="3">
        <f t="shared" si="263"/>
        <v>1.2351806616485092E-4</v>
      </c>
      <c r="G277" s="3">
        <f t="shared" si="263"/>
        <v>1.2351806616485092E-4</v>
      </c>
      <c r="H277" s="3">
        <f t="shared" si="263"/>
        <v>1.2351806616485092E-4</v>
      </c>
      <c r="I277" s="3">
        <f t="shared" si="263"/>
        <v>1.2351806616485092E-4</v>
      </c>
      <c r="J277" s="3">
        <f t="shared" si="263"/>
        <v>1.2351806616485092E-4</v>
      </c>
      <c r="K277" s="3">
        <f t="shared" si="263"/>
        <v>1.2351806616485092E-4</v>
      </c>
      <c r="L277" s="3">
        <f t="shared" si="263"/>
        <v>1.2351806616485092E-4</v>
      </c>
      <c r="M277" s="3">
        <f t="shared" si="263"/>
        <v>1.2351806616485092E-4</v>
      </c>
      <c r="N277" s="3">
        <f t="shared" si="263"/>
        <v>1.2351806616485092E-4</v>
      </c>
      <c r="O277" s="3">
        <f t="shared" si="263"/>
        <v>1.2351806616485092E-4</v>
      </c>
      <c r="P277" s="3">
        <f t="shared" si="263"/>
        <v>1.2351806616485092E-4</v>
      </c>
      <c r="Q277" s="3">
        <f t="shared" si="263"/>
        <v>1.2351806616485092E-4</v>
      </c>
      <c r="R277" s="3">
        <f t="shared" si="263"/>
        <v>1.2351806616485092E-4</v>
      </c>
      <c r="S277" s="3">
        <f t="shared" si="263"/>
        <v>1.2351806616485092E-4</v>
      </c>
      <c r="T277" s="3">
        <f t="shared" si="263"/>
        <v>1.2351806616485092E-4</v>
      </c>
      <c r="U277" s="3">
        <f t="shared" si="263"/>
        <v>1.2351806616485089E-4</v>
      </c>
      <c r="V277" s="3">
        <f t="shared" si="263"/>
        <v>1.235180661648507E-4</v>
      </c>
      <c r="W277" s="3">
        <f t="shared" si="263"/>
        <v>1.2351806616484878E-4</v>
      </c>
      <c r="X277" s="3">
        <f t="shared" si="263"/>
        <v>1.2351806616482945E-4</v>
      </c>
      <c r="Y277" s="3">
        <f t="shared" si="263"/>
        <v>1.2351806616463622E-4</v>
      </c>
      <c r="Z277" s="3">
        <f t="shared" si="263"/>
        <v>1.2351806616270387E-4</v>
      </c>
      <c r="AA277" s="3">
        <f t="shared" si="263"/>
        <v>1.2351806614338052E-4</v>
      </c>
      <c r="AB277" s="3">
        <f t="shared" si="263"/>
        <v>1.2351806595014677E-4</v>
      </c>
      <c r="AC277" s="3">
        <f t="shared" si="263"/>
        <v>1.2351806401780934E-4</v>
      </c>
      <c r="AD277" s="3">
        <f t="shared" si="263"/>
        <v>1.2351804469443688E-4</v>
      </c>
      <c r="AE277" s="3">
        <f t="shared" si="263"/>
        <v>1.2351785146087846E-4</v>
      </c>
      <c r="AF277" s="3">
        <f t="shared" si="263"/>
        <v>1.2351591914192063E-4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1.0347942973527732E-3</v>
      </c>
      <c r="C279" s="3">
        <f t="shared" si="265"/>
        <v>1.0347942973527732E-3</v>
      </c>
      <c r="D279" s="3">
        <f t="shared" si="265"/>
        <v>1.0347942973527732E-3</v>
      </c>
      <c r="E279" s="3">
        <f t="shared" si="265"/>
        <v>1.0347942973527732E-3</v>
      </c>
      <c r="F279" s="3">
        <f t="shared" si="265"/>
        <v>1.0347942973527732E-3</v>
      </c>
      <c r="G279" s="3">
        <f t="shared" si="265"/>
        <v>1.0347942973527732E-3</v>
      </c>
      <c r="H279" s="3">
        <f t="shared" si="265"/>
        <v>1.0347942973527732E-3</v>
      </c>
      <c r="I279" s="3">
        <f t="shared" si="265"/>
        <v>1.0347942973527732E-3</v>
      </c>
      <c r="J279" s="3">
        <f t="shared" si="265"/>
        <v>1.0347942973527732E-3</v>
      </c>
      <c r="K279" s="3">
        <f t="shared" si="265"/>
        <v>1.0347942973527732E-3</v>
      </c>
      <c r="L279" s="3">
        <f t="shared" si="265"/>
        <v>1.0347942973527732E-3</v>
      </c>
      <c r="M279" s="3">
        <f t="shared" si="265"/>
        <v>1.0347942973527732E-3</v>
      </c>
      <c r="N279" s="3">
        <f t="shared" si="265"/>
        <v>1.0347942973527732E-3</v>
      </c>
      <c r="O279" s="3">
        <f t="shared" si="265"/>
        <v>1.0347942973527732E-3</v>
      </c>
      <c r="P279" s="3">
        <f t="shared" si="265"/>
        <v>1.0347942973527732E-3</v>
      </c>
      <c r="Q279" s="3">
        <f t="shared" si="265"/>
        <v>1.0347942973527732E-3</v>
      </c>
      <c r="R279" s="3">
        <f t="shared" si="265"/>
        <v>1.0347942973527732E-3</v>
      </c>
      <c r="S279" s="3">
        <f t="shared" si="265"/>
        <v>1.0347942973527732E-3</v>
      </c>
      <c r="T279" s="3">
        <f t="shared" si="265"/>
        <v>1.0347942973527732E-3</v>
      </c>
      <c r="U279" s="3">
        <f t="shared" si="265"/>
        <v>1.0347942973527732E-3</v>
      </c>
      <c r="V279" s="3">
        <f t="shared" si="265"/>
        <v>1.0347942973527732E-3</v>
      </c>
      <c r="W279" s="3">
        <f t="shared" si="265"/>
        <v>1.034794297352773E-3</v>
      </c>
      <c r="X279" s="3">
        <f t="shared" si="265"/>
        <v>1.0347942973527714E-3</v>
      </c>
      <c r="Y279" s="3">
        <f t="shared" si="265"/>
        <v>1.0347942973527552E-3</v>
      </c>
      <c r="Z279" s="3">
        <f t="shared" si="265"/>
        <v>1.0347942973525932E-3</v>
      </c>
      <c r="AA279" s="3">
        <f t="shared" si="265"/>
        <v>1.0347942973509745E-3</v>
      </c>
      <c r="AB279" s="3">
        <f t="shared" si="265"/>
        <v>1.034794297334786E-3</v>
      </c>
      <c r="AC279" s="3">
        <f t="shared" si="265"/>
        <v>1.034794297172901E-3</v>
      </c>
      <c r="AD279" s="3">
        <f t="shared" si="265"/>
        <v>1.0347942955540514E-3</v>
      </c>
      <c r="AE279" s="3">
        <f t="shared" si="265"/>
        <v>1.0347942793655553E-3</v>
      </c>
      <c r="AF279" s="3">
        <f t="shared" si="265"/>
        <v>1.0347941174806078E-3</v>
      </c>
      <c r="AG279" s="3"/>
      <c r="AH279" s="3"/>
    </row>
    <row r="280" spans="1:34" x14ac:dyDescent="0.25">
      <c r="A280" s="79">
        <f>AVERAGE(B280:AF280)</f>
        <v>8.0279126185338556E-2</v>
      </c>
      <c r="B280" s="80">
        <f>IF($D$61&lt;=B246,IF($E$61&gt;=B246,ABS((B248-B247)/B247),0),0)</f>
        <v>2.3715526171382464E-2</v>
      </c>
      <c r="C280" s="80">
        <f t="shared" ref="C280:AF280" si="266">IF($D$61&lt;=C246,IF($E$61&gt;=C246,ABS((C248-C247)/C247),0),0)</f>
        <v>0.10902356350780301</v>
      </c>
      <c r="D280" s="80">
        <f t="shared" si="266"/>
        <v>0.13345004094094726</v>
      </c>
      <c r="E280" s="80">
        <f t="shared" si="266"/>
        <v>0.11492731043243279</v>
      </c>
      <c r="F280" s="80">
        <f t="shared" si="266"/>
        <v>9.3959589177886507E-2</v>
      </c>
      <c r="G280" s="80">
        <f t="shared" si="266"/>
        <v>6.8283192407279869E-2</v>
      </c>
      <c r="H280" s="80">
        <f t="shared" si="266"/>
        <v>4.5974753546353893E-2</v>
      </c>
      <c r="I280" s="80">
        <f t="shared" si="266"/>
        <v>3.9482760348842121E-2</v>
      </c>
      <c r="J280" s="80">
        <f t="shared" si="266"/>
        <v>5.8899228675305823E-2</v>
      </c>
      <c r="K280" s="80">
        <f t="shared" si="266"/>
        <v>5.6783624075921323E-2</v>
      </c>
      <c r="L280" s="80">
        <f t="shared" si="266"/>
        <v>5.6741379449847043E-2</v>
      </c>
      <c r="M280" s="80">
        <f t="shared" si="266"/>
        <v>5.3155331600610596E-2</v>
      </c>
      <c r="N280" s="80">
        <f t="shared" si="266"/>
        <v>5.4994724340790557E-2</v>
      </c>
      <c r="O280" s="80">
        <f t="shared" si="266"/>
        <v>5.5322368006530856E-2</v>
      </c>
      <c r="P280" s="80">
        <f t="shared" si="266"/>
        <v>5.7425746069998285E-2</v>
      </c>
      <c r="Q280" s="80">
        <f t="shared" si="266"/>
        <v>5.7052322405777095E-2</v>
      </c>
      <c r="R280" s="80">
        <f t="shared" si="266"/>
        <v>6.0123657372832449E-2</v>
      </c>
      <c r="S280" s="80">
        <f t="shared" si="266"/>
        <v>1.9681108008443353E-2</v>
      </c>
      <c r="T280" s="80">
        <f t="shared" si="266"/>
        <v>9.8134337314738584E-2</v>
      </c>
      <c r="U280" s="80">
        <f t="shared" si="266"/>
        <v>0.25402719222017311</v>
      </c>
      <c r="V280" s="80">
        <f t="shared" si="266"/>
        <v>0.36142723179209363</v>
      </c>
      <c r="W280" s="80">
        <f t="shared" si="266"/>
        <v>0.31983618104553047</v>
      </c>
      <c r="X280" s="80">
        <f t="shared" si="266"/>
        <v>0.19918853501384701</v>
      </c>
      <c r="Y280" s="80">
        <f t="shared" si="266"/>
        <v>9.7043207820127098E-2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65138.157803127884</v>
      </c>
      <c r="C281" s="21">
        <f t="shared" ref="C281:AF281" si="267">(C248-C247)^2</f>
        <v>1322233.6473732041</v>
      </c>
      <c r="D281" s="21">
        <f t="shared" si="267"/>
        <v>1907696.4619742816</v>
      </c>
      <c r="E281" s="21">
        <f t="shared" si="267"/>
        <v>1356267.5551975134</v>
      </c>
      <c r="F281" s="21">
        <f t="shared" si="267"/>
        <v>865009.63161092973</v>
      </c>
      <c r="G281" s="21">
        <f t="shared" si="267"/>
        <v>431782.50033367897</v>
      </c>
      <c r="H281" s="21">
        <f t="shared" si="267"/>
        <v>185730.22124524004</v>
      </c>
      <c r="I281" s="21">
        <f t="shared" si="267"/>
        <v>129492.92247138877</v>
      </c>
      <c r="J281" s="21">
        <f t="shared" si="267"/>
        <v>270101.08444948884</v>
      </c>
      <c r="K281" s="21">
        <f t="shared" si="267"/>
        <v>231753.4923552676</v>
      </c>
      <c r="L281" s="21">
        <f t="shared" si="267"/>
        <v>212207.25651604688</v>
      </c>
      <c r="M281" s="21">
        <f t="shared" si="267"/>
        <v>172427.49535202747</v>
      </c>
      <c r="N281" s="21">
        <f t="shared" si="267"/>
        <v>171692.65106458447</v>
      </c>
      <c r="O281" s="21">
        <f t="shared" si="267"/>
        <v>161175.61970015767</v>
      </c>
      <c r="P281" s="21">
        <f t="shared" si="267"/>
        <v>160268.99023052721</v>
      </c>
      <c r="Q281" s="21">
        <f t="shared" si="267"/>
        <v>145615.4602304443</v>
      </c>
      <c r="R281" s="21">
        <f t="shared" si="267"/>
        <v>144974.14313781465</v>
      </c>
      <c r="S281" s="21">
        <f t="shared" si="267"/>
        <v>12619.395012068715</v>
      </c>
      <c r="T281" s="21">
        <f t="shared" si="267"/>
        <v>213042.50752024009</v>
      </c>
      <c r="U281" s="21">
        <f t="shared" si="267"/>
        <v>891391.15413434606</v>
      </c>
      <c r="V281" s="21">
        <f t="shared" si="267"/>
        <v>1118109.310246292</v>
      </c>
      <c r="W281" s="21">
        <f t="shared" si="267"/>
        <v>527701.81319886714</v>
      </c>
      <c r="X281" s="21">
        <f t="shared" si="267"/>
        <v>113441.1315369317</v>
      </c>
      <c r="Y281" s="21">
        <f t="shared" si="267"/>
        <v>13435.979572361341</v>
      </c>
      <c r="Z281" s="21">
        <f t="shared" si="267"/>
        <v>1034.439260166334</v>
      </c>
      <c r="AA281" s="21">
        <f t="shared" si="267"/>
        <v>507.97509208708726</v>
      </c>
      <c r="AB281" s="21">
        <f t="shared" si="267"/>
        <v>204.81431684621373</v>
      </c>
      <c r="AC281" s="21">
        <f t="shared" si="267"/>
        <v>279.00461971967349</v>
      </c>
      <c r="AD281" s="21">
        <f t="shared" si="267"/>
        <v>1.732920568867711</v>
      </c>
      <c r="AE281" s="21">
        <f t="shared" si="267"/>
        <v>16.828591318510881</v>
      </c>
      <c r="AF281" s="21">
        <f t="shared" si="267"/>
        <v>3.0196796447258802</v>
      </c>
      <c r="AG281" s="3"/>
      <c r="AH281" s="3"/>
    </row>
    <row r="282" spans="1:34" s="3" customFormat="1" x14ac:dyDescent="0.25">
      <c r="A282" s="71">
        <f>SUM(B282:AF282)</f>
        <v>10823308.58226683</v>
      </c>
      <c r="B282" s="21">
        <f>IF($D$61&lt;=B246,IF($E$61&gt;=B246,ABS(B281),0),0)</f>
        <v>65138.157803127884</v>
      </c>
      <c r="C282" s="21">
        <f t="shared" ref="C282:AF282" si="268">IF($D$61&lt;=C246,IF($E$61&gt;=C246,ABS(C281),0),0)</f>
        <v>1322233.6473732041</v>
      </c>
      <c r="D282" s="21">
        <f t="shared" si="268"/>
        <v>1907696.4619742816</v>
      </c>
      <c r="E282" s="21">
        <f t="shared" si="268"/>
        <v>1356267.5551975134</v>
      </c>
      <c r="F282" s="21">
        <f t="shared" si="268"/>
        <v>865009.63161092973</v>
      </c>
      <c r="G282" s="21">
        <f t="shared" si="268"/>
        <v>431782.50033367897</v>
      </c>
      <c r="H282" s="21">
        <f t="shared" si="268"/>
        <v>185730.22124524004</v>
      </c>
      <c r="I282" s="21">
        <f t="shared" si="268"/>
        <v>129492.92247138877</v>
      </c>
      <c r="J282" s="21">
        <f t="shared" si="268"/>
        <v>270101.08444948884</v>
      </c>
      <c r="K282" s="21">
        <f t="shared" si="268"/>
        <v>231753.4923552676</v>
      </c>
      <c r="L282" s="21">
        <f t="shared" si="268"/>
        <v>212207.25651604688</v>
      </c>
      <c r="M282" s="21">
        <f t="shared" si="268"/>
        <v>172427.49535202747</v>
      </c>
      <c r="N282" s="21">
        <f t="shared" si="268"/>
        <v>171692.65106458447</v>
      </c>
      <c r="O282" s="21">
        <f t="shared" si="268"/>
        <v>161175.61970015767</v>
      </c>
      <c r="P282" s="21">
        <f t="shared" si="268"/>
        <v>160268.99023052721</v>
      </c>
      <c r="Q282" s="21">
        <f t="shared" si="268"/>
        <v>145615.4602304443</v>
      </c>
      <c r="R282" s="21">
        <f t="shared" si="268"/>
        <v>144974.14313781465</v>
      </c>
      <c r="S282" s="21">
        <f t="shared" si="268"/>
        <v>12619.395012068715</v>
      </c>
      <c r="T282" s="21">
        <f t="shared" si="268"/>
        <v>213042.50752024009</v>
      </c>
      <c r="U282" s="21">
        <f t="shared" si="268"/>
        <v>891391.15413434606</v>
      </c>
      <c r="V282" s="21">
        <f t="shared" si="268"/>
        <v>1118109.310246292</v>
      </c>
      <c r="W282" s="21">
        <f t="shared" si="268"/>
        <v>527701.81319886714</v>
      </c>
      <c r="X282" s="21">
        <f t="shared" si="268"/>
        <v>113441.1315369317</v>
      </c>
      <c r="Y282" s="21">
        <f t="shared" si="268"/>
        <v>13435.979572361341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8970.2632435701453</v>
      </c>
      <c r="C287" s="27">
        <f t="shared" ref="C287:AF287" si="269">($C$17+SUM(C288:C318))*$B$51</f>
        <v>8968.6921552336407</v>
      </c>
      <c r="D287" s="27">
        <f t="shared" si="269"/>
        <v>8968.592095538208</v>
      </c>
      <c r="E287" s="27">
        <f t="shared" si="269"/>
        <v>8967.5923882228981</v>
      </c>
      <c r="F287" s="27">
        <f t="shared" si="269"/>
        <v>8957.6837256215276</v>
      </c>
      <c r="G287" s="27">
        <f t="shared" si="269"/>
        <v>8866.9099247332579</v>
      </c>
      <c r="H287" s="27">
        <f t="shared" si="269"/>
        <v>8441.6619890145357</v>
      </c>
      <c r="I287" s="27">
        <f t="shared" si="269"/>
        <v>8112.5495586732022</v>
      </c>
      <c r="J287" s="27">
        <f t="shared" si="269"/>
        <v>7775.8956219686615</v>
      </c>
      <c r="K287" s="27">
        <f t="shared" si="269"/>
        <v>7497.0573738655194</v>
      </c>
      <c r="L287" s="27">
        <f t="shared" si="269"/>
        <v>7227.8418649013865</v>
      </c>
      <c r="M287" s="27">
        <f t="shared" si="269"/>
        <v>6962.774764100941</v>
      </c>
      <c r="N287" s="27">
        <f t="shared" si="269"/>
        <v>6686.2128955974367</v>
      </c>
      <c r="O287" s="27">
        <f t="shared" si="269"/>
        <v>6418.825737484296</v>
      </c>
      <c r="P287" s="27">
        <f t="shared" si="269"/>
        <v>6105.2257322069127</v>
      </c>
      <c r="Q287" s="27">
        <f t="shared" si="269"/>
        <v>5743.7848210101811</v>
      </c>
      <c r="R287" s="27">
        <f t="shared" si="269"/>
        <v>5351.1492576483734</v>
      </c>
      <c r="S287" s="27">
        <f t="shared" si="269"/>
        <v>4874.2488263495015</v>
      </c>
      <c r="T287" s="27">
        <f t="shared" si="269"/>
        <v>4280.6662186307785</v>
      </c>
      <c r="U287" s="27">
        <f t="shared" si="269"/>
        <v>3420.2359990259606</v>
      </c>
      <c r="V287" s="27">
        <f t="shared" si="269"/>
        <v>2356.6762116705172</v>
      </c>
      <c r="W287" s="27">
        <f t="shared" si="269"/>
        <v>1527.9078386731278</v>
      </c>
      <c r="X287" s="27">
        <f t="shared" si="269"/>
        <v>981.26748623395417</v>
      </c>
      <c r="Y287" s="27">
        <f t="shared" si="269"/>
        <v>689.62189173869922</v>
      </c>
      <c r="Z287" s="27">
        <f t="shared" si="269"/>
        <v>536.27827871419754</v>
      </c>
      <c r="AA287" s="27">
        <f t="shared" si="269"/>
        <v>463.495953828746</v>
      </c>
      <c r="AB287" s="27">
        <f t="shared" si="269"/>
        <v>422.96665240913546</v>
      </c>
      <c r="AC287" s="27">
        <f t="shared" si="269"/>
        <v>394.11685945134121</v>
      </c>
      <c r="AD287" s="27">
        <f t="shared" si="269"/>
        <v>381.93818012754491</v>
      </c>
      <c r="AE287" s="27">
        <f t="shared" si="269"/>
        <v>360.60868267317619</v>
      </c>
      <c r="AF287" s="27">
        <f t="shared" si="269"/>
        <v>349.76416369602498</v>
      </c>
      <c r="AG287" s="27"/>
      <c r="AH287" s="27"/>
    </row>
    <row r="288" spans="1:34" x14ac:dyDescent="0.25">
      <c r="B288" s="3">
        <f t="shared" ref="B288:AF288" si="270">$C18*EXP(-B$285/$A18/EXP(-$F$126))</f>
        <v>1.368662694128298E-4</v>
      </c>
      <c r="C288" s="3">
        <f t="shared" si="270"/>
        <v>2.4838703983551584E-33</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4.9174906983761077E-2</v>
      </c>
      <c r="C289" s="3">
        <f t="shared" si="271"/>
        <v>4.9174073375766514E-2</v>
      </c>
      <c r="D289" s="3">
        <f t="shared" si="271"/>
        <v>4.9165738072999468E-2</v>
      </c>
      <c r="E289" s="3">
        <f t="shared" si="271"/>
        <v>4.9082462714458146E-2</v>
      </c>
      <c r="F289" s="3">
        <f t="shared" si="271"/>
        <v>4.825742754601272E-2</v>
      </c>
      <c r="G289" s="3">
        <f t="shared" si="271"/>
        <v>4.0732623862449906E-2</v>
      </c>
      <c r="H289" s="3">
        <f t="shared" si="271"/>
        <v>7.4769518180117763E-3</v>
      </c>
      <c r="I289" s="3">
        <f t="shared" si="271"/>
        <v>3.2474803670143191E-10</v>
      </c>
      <c r="J289" s="3">
        <f t="shared" si="271"/>
        <v>7.7582908294701444E-84</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2.5308426595603697E-2</v>
      </c>
      <c r="C290" s="3">
        <f t="shared" si="272"/>
        <v>2.5308387893603564E-2</v>
      </c>
      <c r="D290" s="3">
        <f t="shared" si="272"/>
        <v>2.5308000876857317E-2</v>
      </c>
      <c r="E290" s="3">
        <f t="shared" si="272"/>
        <v>2.5304131034884943E-2</v>
      </c>
      <c r="F290" s="3">
        <f t="shared" si="272"/>
        <v>2.5265465145763319E-2</v>
      </c>
      <c r="G290" s="3">
        <f t="shared" si="272"/>
        <v>2.48820409836773E-2</v>
      </c>
      <c r="H290" s="3">
        <f t="shared" si="272"/>
        <v>2.1353694756645353E-2</v>
      </c>
      <c r="I290" s="3">
        <f t="shared" si="272"/>
        <v>4.6274669219324707E-3</v>
      </c>
      <c r="J290" s="3">
        <f t="shared" si="272"/>
        <v>1.0569300596340882E-9</v>
      </c>
      <c r="K290" s="3">
        <f t="shared" si="272"/>
        <v>4.08390391780369E-76</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3.4194516189826579E-2</v>
      </c>
      <c r="C291" s="3">
        <f t="shared" si="273"/>
        <v>3.4194511472764193E-2</v>
      </c>
      <c r="D291" s="3">
        <f t="shared" si="273"/>
        <v>3.4194464302176097E-2</v>
      </c>
      <c r="E291" s="3">
        <f t="shared" si="273"/>
        <v>3.4193992599874094E-2</v>
      </c>
      <c r="F291" s="3">
        <f t="shared" si="273"/>
        <v>3.4189275934723692E-2</v>
      </c>
      <c r="G291" s="3">
        <f t="shared" si="273"/>
        <v>3.4142145051928398E-2</v>
      </c>
      <c r="H291" s="3">
        <f t="shared" si="273"/>
        <v>3.3674394905405719E-2</v>
      </c>
      <c r="I291" s="3">
        <f t="shared" si="273"/>
        <v>2.9335248804887425E-2</v>
      </c>
      <c r="J291" s="3">
        <f t="shared" si="273"/>
        <v>7.3839633040666541E-3</v>
      </c>
      <c r="K291" s="3">
        <f t="shared" si="273"/>
        <v>7.5385369322869655E-9</v>
      </c>
      <c r="L291" s="3">
        <f t="shared" si="273"/>
        <v>9.2739006285856082E-69</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2.2721576906333082E-2</v>
      </c>
      <c r="C292" s="3">
        <f t="shared" si="274"/>
        <v>2.2721576623584625E-2</v>
      </c>
      <c r="D292" s="3">
        <f t="shared" si="274"/>
        <v>2.2721573796100247E-2</v>
      </c>
      <c r="E292" s="3">
        <f t="shared" si="274"/>
        <v>2.2721545521275827E-2</v>
      </c>
      <c r="F292" s="3">
        <f t="shared" si="274"/>
        <v>2.2721262774966795E-2</v>
      </c>
      <c r="G292" s="3">
        <f t="shared" si="274"/>
        <v>2.2718435505386089E-2</v>
      </c>
      <c r="H292" s="3">
        <f t="shared" si="274"/>
        <v>2.2690182151631412E-2</v>
      </c>
      <c r="I292" s="3">
        <f t="shared" si="274"/>
        <v>2.2409573943229132E-2</v>
      </c>
      <c r="J292" s="3">
        <f t="shared" si="274"/>
        <v>1.9787447401557252E-2</v>
      </c>
      <c r="K292" s="3">
        <f t="shared" si="274"/>
        <v>5.7010061690183226E-3</v>
      </c>
      <c r="L292" s="3">
        <f t="shared" si="274"/>
        <v>2.2468231297607839E-8</v>
      </c>
      <c r="M292" s="3">
        <f t="shared" si="274"/>
        <v>2.0311529922304351E-62</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2.5892610315163107E-2</v>
      </c>
      <c r="C293" s="3">
        <f t="shared" si="275"/>
        <v>2.5892610286097177E-2</v>
      </c>
      <c r="D293" s="3">
        <f t="shared" si="275"/>
        <v>2.5892609995437896E-2</v>
      </c>
      <c r="E293" s="3">
        <f t="shared" si="275"/>
        <v>2.5892607088845224E-2</v>
      </c>
      <c r="F293" s="3">
        <f t="shared" si="275"/>
        <v>2.5892578022936454E-2</v>
      </c>
      <c r="G293" s="3">
        <f t="shared" si="275"/>
        <v>2.5892287365643328E-2</v>
      </c>
      <c r="H293" s="3">
        <f t="shared" si="275"/>
        <v>2.5889380972158649E-2</v>
      </c>
      <c r="I293" s="3">
        <f t="shared" si="275"/>
        <v>2.5860334974520255E-2</v>
      </c>
      <c r="J293" s="3">
        <f t="shared" si="275"/>
        <v>2.557166129114594E-2</v>
      </c>
      <c r="K293" s="3">
        <f t="shared" si="275"/>
        <v>2.2856352014722664E-2</v>
      </c>
      <c r="L293" s="3">
        <f t="shared" si="275"/>
        <v>7.4385218521022594E-3</v>
      </c>
      <c r="M293" s="3">
        <f t="shared" si="275"/>
        <v>9.9147989973044102E-8</v>
      </c>
      <c r="N293" s="3">
        <f t="shared" si="275"/>
        <v>1.754917174614673E-56</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2.3275396535689958E-2</v>
      </c>
      <c r="C294" s="3">
        <f t="shared" si="276"/>
        <v>2.3275396533333E-2</v>
      </c>
      <c r="D294" s="3">
        <f t="shared" si="276"/>
        <v>2.3275396509763405E-2</v>
      </c>
      <c r="E294" s="3">
        <f t="shared" si="276"/>
        <v>2.3275396274067498E-2</v>
      </c>
      <c r="F294" s="3">
        <f t="shared" si="276"/>
        <v>2.3275393917108533E-2</v>
      </c>
      <c r="G294" s="3">
        <f t="shared" si="276"/>
        <v>2.3275370347532014E-2</v>
      </c>
      <c r="H294" s="3">
        <f t="shared" si="276"/>
        <v>2.3275134653079527E-2</v>
      </c>
      <c r="I294" s="3">
        <f t="shared" si="276"/>
        <v>2.3272777839820458E-2</v>
      </c>
      <c r="J294" s="3">
        <f t="shared" si="276"/>
        <v>2.3249222828893742E-2</v>
      </c>
      <c r="K294" s="3">
        <f t="shared" si="276"/>
        <v>2.3014979982928455E-2</v>
      </c>
      <c r="L294" s="3">
        <f t="shared" si="276"/>
        <v>2.0798509702251815E-2</v>
      </c>
      <c r="M294" s="3">
        <f t="shared" si="276"/>
        <v>7.5552418870277107E-3</v>
      </c>
      <c r="N294" s="3">
        <f t="shared" si="276"/>
        <v>3.0228036213016109E-7</v>
      </c>
      <c r="O294" s="3">
        <f t="shared" si="276"/>
        <v>3.1770609042584098E-51</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2.7259427341195398E-2</v>
      </c>
      <c r="C295" s="3">
        <f t="shared" si="277"/>
        <v>2.7259427340946385E-2</v>
      </c>
      <c r="D295" s="3">
        <f t="shared" si="277"/>
        <v>2.725942733845628E-2</v>
      </c>
      <c r="E295" s="3">
        <f t="shared" si="277"/>
        <v>2.7259427313555195E-2</v>
      </c>
      <c r="F295" s="3">
        <f t="shared" si="277"/>
        <v>2.7259427064544341E-2</v>
      </c>
      <c r="G295" s="3">
        <f t="shared" si="277"/>
        <v>2.7259424574435934E-2</v>
      </c>
      <c r="H295" s="3">
        <f t="shared" si="277"/>
        <v>2.7259399673364389E-2</v>
      </c>
      <c r="I295" s="3">
        <f t="shared" si="277"/>
        <v>2.7259150663899973E-2</v>
      </c>
      <c r="J295" s="3">
        <f t="shared" si="277"/>
        <v>2.7256660694358392E-2</v>
      </c>
      <c r="K295" s="3">
        <f t="shared" si="277"/>
        <v>2.7231773504971645E-2</v>
      </c>
      <c r="L295" s="3">
        <f t="shared" si="277"/>
        <v>2.6984147997410588E-2</v>
      </c>
      <c r="M295" s="3">
        <f t="shared" si="277"/>
        <v>2.4628419860463928E-2</v>
      </c>
      <c r="N295" s="3">
        <f t="shared" si="277"/>
        <v>9.8790443480523821E-3</v>
      </c>
      <c r="O295" s="3">
        <f t="shared" si="277"/>
        <v>1.0653659146040556E-6</v>
      </c>
      <c r="P295" s="3">
        <f t="shared" si="277"/>
        <v>2.2664045100751062E-46</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2.1214287036782995E-2</v>
      </c>
      <c r="C296" s="3">
        <f t="shared" si="278"/>
        <v>2.1214287036765513E-2</v>
      </c>
      <c r="D296" s="3">
        <f t="shared" si="278"/>
        <v>2.1214287036590701E-2</v>
      </c>
      <c r="E296" s="3">
        <f t="shared" si="278"/>
        <v>2.1214287034842558E-2</v>
      </c>
      <c r="F296" s="3">
        <f t="shared" si="278"/>
        <v>2.1214287017361142E-2</v>
      </c>
      <c r="G296" s="3">
        <f t="shared" si="278"/>
        <v>2.1214286842546996E-2</v>
      </c>
      <c r="H296" s="3">
        <f t="shared" si="278"/>
        <v>2.1214285094405587E-2</v>
      </c>
      <c r="I296" s="3">
        <f t="shared" si="278"/>
        <v>2.1214267612999417E-2</v>
      </c>
      <c r="J296" s="3">
        <f t="shared" si="278"/>
        <v>2.1214092799730015E-2</v>
      </c>
      <c r="K296" s="3">
        <f t="shared" si="278"/>
        <v>2.1212344746262938E-2</v>
      </c>
      <c r="L296" s="3">
        <f t="shared" si="278"/>
        <v>2.119487213186777E-2</v>
      </c>
      <c r="M296" s="3">
        <f t="shared" si="278"/>
        <v>2.1020935605942665E-2</v>
      </c>
      <c r="N296" s="3">
        <f t="shared" si="278"/>
        <v>1.935817679433173E-2</v>
      </c>
      <c r="O296" s="3">
        <f t="shared" si="278"/>
        <v>8.491580913876761E-3</v>
      </c>
      <c r="P296" s="3">
        <f t="shared" si="278"/>
        <v>2.2399047765443198E-6</v>
      </c>
      <c r="Q296" s="3">
        <f t="shared" si="278"/>
        <v>3.6529152159743621E-42</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3.4718036830476265E-2</v>
      </c>
      <c r="C297" s="3">
        <f t="shared" si="279"/>
        <v>3.4718036830473684E-2</v>
      </c>
      <c r="D297" s="3">
        <f t="shared" si="279"/>
        <v>3.4718036830447878E-2</v>
      </c>
      <c r="E297" s="3">
        <f t="shared" si="279"/>
        <v>3.4718036830189793E-2</v>
      </c>
      <c r="F297" s="3">
        <f t="shared" si="279"/>
        <v>3.4718036827609024E-2</v>
      </c>
      <c r="G297" s="3">
        <f t="shared" si="279"/>
        <v>3.4718036801801286E-2</v>
      </c>
      <c r="H297" s="3">
        <f t="shared" si="279"/>
        <v>3.4718036543723942E-2</v>
      </c>
      <c r="I297" s="3">
        <f t="shared" si="279"/>
        <v>3.4718033962950548E-2</v>
      </c>
      <c r="J297" s="3">
        <f t="shared" si="279"/>
        <v>3.4718008155227194E-2</v>
      </c>
      <c r="K297" s="3">
        <f t="shared" si="279"/>
        <v>3.471775007904878E-2</v>
      </c>
      <c r="L297" s="3">
        <f t="shared" si="279"/>
        <v>3.4715169422774778E-2</v>
      </c>
      <c r="M297" s="3">
        <f t="shared" si="279"/>
        <v>3.4689373408143542E-2</v>
      </c>
      <c r="N297" s="3">
        <f t="shared" si="279"/>
        <v>3.4432465177314839E-2</v>
      </c>
      <c r="O297" s="3">
        <f t="shared" si="279"/>
        <v>3.1965737853995216E-2</v>
      </c>
      <c r="P297" s="3">
        <f t="shared" si="279"/>
        <v>1.52002559075867E-2</v>
      </c>
      <c r="Q297" s="3">
        <f t="shared" si="279"/>
        <v>8.9848857876596019E-6</v>
      </c>
      <c r="R297" s="3">
        <f t="shared" si="279"/>
        <v>4.6787428143368827E-38</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3.0541725700360185E-2</v>
      </c>
      <c r="C298" s="3">
        <f t="shared" si="280"/>
        <v>3.0541725700359984E-2</v>
      </c>
      <c r="D298" s="3">
        <f t="shared" si="280"/>
        <v>3.0541725700357934E-2</v>
      </c>
      <c r="E298" s="3">
        <f t="shared" si="280"/>
        <v>3.0541725700337453E-2</v>
      </c>
      <c r="F298" s="3">
        <f t="shared" si="280"/>
        <v>3.0541725700132652E-2</v>
      </c>
      <c r="G298" s="3">
        <f t="shared" si="280"/>
        <v>3.0541725698084627E-2</v>
      </c>
      <c r="H298" s="3">
        <f t="shared" si="280"/>
        <v>3.0541725677604395E-2</v>
      </c>
      <c r="I298" s="3">
        <f t="shared" si="280"/>
        <v>3.0541725472802064E-2</v>
      </c>
      <c r="J298" s="3">
        <f t="shared" si="280"/>
        <v>3.0541723424778837E-2</v>
      </c>
      <c r="K298" s="3">
        <f t="shared" si="280"/>
        <v>3.0541702944554112E-2</v>
      </c>
      <c r="L298" s="3">
        <f t="shared" si="280"/>
        <v>3.0541498143062205E-2</v>
      </c>
      <c r="M298" s="3">
        <f t="shared" si="280"/>
        <v>3.0539450203674413E-2</v>
      </c>
      <c r="N298" s="3">
        <f t="shared" si="280"/>
        <v>3.0518978361052433E-2</v>
      </c>
      <c r="O298" s="3">
        <f t="shared" si="280"/>
        <v>3.0315013190244221E-2</v>
      </c>
      <c r="P298" s="3">
        <f t="shared" si="280"/>
        <v>2.8348851175793895E-2</v>
      </c>
      <c r="Q298" s="3">
        <f t="shared" si="280"/>
        <v>1.4498146659702917E-2</v>
      </c>
      <c r="R298" s="3">
        <f t="shared" si="280"/>
        <v>1.7745275047672166E-5</v>
      </c>
      <c r="S298" s="3">
        <f t="shared" si="280"/>
        <v>1.3390142554989839E-34</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4.0592217810354769E-2</v>
      </c>
      <c r="C299" s="3">
        <f t="shared" si="281"/>
        <v>4.0592217810354748E-2</v>
      </c>
      <c r="D299" s="3">
        <f t="shared" si="281"/>
        <v>4.0592217810354499E-2</v>
      </c>
      <c r="E299" s="3">
        <f t="shared" si="281"/>
        <v>4.0592217810352049E-2</v>
      </c>
      <c r="F299" s="3">
        <f t="shared" si="281"/>
        <v>4.0592217810327492E-2</v>
      </c>
      <c r="G299" s="3">
        <f t="shared" si="281"/>
        <v>4.0592217810081946E-2</v>
      </c>
      <c r="H299" s="3">
        <f t="shared" si="281"/>
        <v>4.05922178076265E-2</v>
      </c>
      <c r="I299" s="3">
        <f t="shared" si="281"/>
        <v>4.0592217783072024E-2</v>
      </c>
      <c r="J299" s="3">
        <f t="shared" si="281"/>
        <v>4.0592217537527252E-2</v>
      </c>
      <c r="K299" s="3">
        <f t="shared" si="281"/>
        <v>4.0592215082079608E-2</v>
      </c>
      <c r="L299" s="3">
        <f t="shared" si="281"/>
        <v>4.0592190527611337E-2</v>
      </c>
      <c r="M299" s="3">
        <f t="shared" si="281"/>
        <v>4.0591944983745513E-2</v>
      </c>
      <c r="N299" s="3">
        <f t="shared" si="281"/>
        <v>4.0589489626777643E-2</v>
      </c>
      <c r="O299" s="3">
        <f t="shared" si="281"/>
        <v>4.0564944224301028E-2</v>
      </c>
      <c r="P299" s="3">
        <f t="shared" si="281"/>
        <v>4.032030509475229E-2</v>
      </c>
      <c r="Q299" s="3">
        <f t="shared" si="281"/>
        <v>3.7953608596545695E-2</v>
      </c>
      <c r="R299" s="3">
        <f t="shared" si="281"/>
        <v>2.0727442706166378E-2</v>
      </c>
      <c r="S299" s="3">
        <f t="shared" si="281"/>
        <v>4.8918396358556038E-5</v>
      </c>
      <c r="T299" s="3">
        <f t="shared" si="281"/>
        <v>2.6226304159605076E-31</v>
      </c>
      <c r="U299" s="3">
        <f t="shared" si="281"/>
        <v>5.1450063402236413E-294</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4.4579554777240793E-2</v>
      </c>
      <c r="C300" s="3">
        <f t="shared" si="282"/>
        <v>4.4579554777240786E-2</v>
      </c>
      <c r="D300" s="3">
        <f t="shared" si="282"/>
        <v>4.4579554777240765E-2</v>
      </c>
      <c r="E300" s="3">
        <f t="shared" si="282"/>
        <v>4.4579554777240522E-2</v>
      </c>
      <c r="F300" s="3">
        <f t="shared" si="282"/>
        <v>4.4579554777238094E-2</v>
      </c>
      <c r="G300" s="3">
        <f t="shared" si="282"/>
        <v>4.4579554777213766E-2</v>
      </c>
      <c r="H300" s="3">
        <f t="shared" si="282"/>
        <v>4.4579554776970502E-2</v>
      </c>
      <c r="I300" s="3">
        <f t="shared" si="282"/>
        <v>4.4579554774537906E-2</v>
      </c>
      <c r="J300" s="3">
        <f t="shared" si="282"/>
        <v>4.4579554750211935E-2</v>
      </c>
      <c r="K300" s="3">
        <f t="shared" si="282"/>
        <v>4.4579554506952196E-2</v>
      </c>
      <c r="L300" s="3">
        <f t="shared" si="282"/>
        <v>4.4579552074354913E-2</v>
      </c>
      <c r="M300" s="3">
        <f t="shared" si="282"/>
        <v>4.4579527748389372E-2</v>
      </c>
      <c r="N300" s="3">
        <f t="shared" si="282"/>
        <v>4.4579284489464063E-2</v>
      </c>
      <c r="O300" s="3">
        <f t="shared" si="282"/>
        <v>4.4576851973216813E-2</v>
      </c>
      <c r="P300" s="3">
        <f t="shared" si="282"/>
        <v>4.4552534109855921E-2</v>
      </c>
      <c r="Q300" s="3">
        <f t="shared" si="282"/>
        <v>4.4310083915865363E-2</v>
      </c>
      <c r="R300" s="3">
        <f t="shared" si="282"/>
        <v>4.1956976438599948E-2</v>
      </c>
      <c r="S300" s="3">
        <f t="shared" si="282"/>
        <v>2.4311978220273828E-2</v>
      </c>
      <c r="T300" s="3">
        <f t="shared" si="282"/>
        <v>1.0374840743720885E-4</v>
      </c>
      <c r="U300" s="3">
        <f t="shared" si="282"/>
        <v>2.0777478802268587E-28</v>
      </c>
      <c r="V300" s="3">
        <f t="shared" si="282"/>
        <v>2.1562888531204457E-265</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6.2079559793872717E-2</v>
      </c>
      <c r="C301" s="3">
        <f t="shared" si="283"/>
        <v>6.2079559793872717E-2</v>
      </c>
      <c r="D301" s="3">
        <f t="shared" si="283"/>
        <v>6.2079559793872717E-2</v>
      </c>
      <c r="E301" s="3">
        <f t="shared" si="283"/>
        <v>6.2079559793872682E-2</v>
      </c>
      <c r="F301" s="3">
        <f t="shared" si="283"/>
        <v>6.2079559793872377E-2</v>
      </c>
      <c r="G301" s="3">
        <f t="shared" si="283"/>
        <v>6.2079559793869317E-2</v>
      </c>
      <c r="H301" s="3">
        <f t="shared" si="283"/>
        <v>6.2079559793838765E-2</v>
      </c>
      <c r="I301" s="3">
        <f t="shared" si="283"/>
        <v>6.2079559793533176E-2</v>
      </c>
      <c r="J301" s="3">
        <f t="shared" si="283"/>
        <v>6.2079559790477343E-2</v>
      </c>
      <c r="K301" s="3">
        <f t="shared" si="283"/>
        <v>6.2079559759919009E-2</v>
      </c>
      <c r="L301" s="3">
        <f t="shared" si="283"/>
        <v>6.2079559454335631E-2</v>
      </c>
      <c r="M301" s="3">
        <f t="shared" si="283"/>
        <v>6.2079556398501962E-2</v>
      </c>
      <c r="N301" s="3">
        <f t="shared" si="283"/>
        <v>6.2079525840173538E-2</v>
      </c>
      <c r="O301" s="3">
        <f t="shared" si="283"/>
        <v>6.2079220257716616E-2</v>
      </c>
      <c r="P301" s="3">
        <f t="shared" si="283"/>
        <v>6.2076164515877691E-2</v>
      </c>
      <c r="Q301" s="3">
        <f t="shared" si="283"/>
        <v>6.2045615369014234E-2</v>
      </c>
      <c r="R301" s="3">
        <f t="shared" si="283"/>
        <v>6.1740949548439762E-2</v>
      </c>
      <c r="S301" s="3">
        <f t="shared" si="283"/>
        <v>5.8775371985747407E-2</v>
      </c>
      <c r="T301" s="3">
        <f t="shared" si="283"/>
        <v>3.592660724075724E-2</v>
      </c>
      <c r="U301" s="3">
        <f t="shared" si="283"/>
        <v>2.6159196710958212E-4</v>
      </c>
      <c r="V301" s="3">
        <f t="shared" si="283"/>
        <v>1.0957371305626994E-25</v>
      </c>
      <c r="W301" s="3">
        <f t="shared" si="283"/>
        <v>1.8219066773201141E-239</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0.10578931784531295</v>
      </c>
      <c r="C302" s="3">
        <f t="shared" si="284"/>
        <v>0.10578931784531295</v>
      </c>
      <c r="D302" s="3">
        <f t="shared" si="284"/>
        <v>0.10578931784531295</v>
      </c>
      <c r="E302" s="3">
        <f t="shared" si="284"/>
        <v>0.10578931784531295</v>
      </c>
      <c r="F302" s="3">
        <f t="shared" si="284"/>
        <v>0.10578931784531291</v>
      </c>
      <c r="G302" s="3">
        <f t="shared" si="284"/>
        <v>0.10578931784531244</v>
      </c>
      <c r="H302" s="3">
        <f t="shared" si="284"/>
        <v>0.10578931784530773</v>
      </c>
      <c r="I302" s="3">
        <f t="shared" si="284"/>
        <v>0.10578931784526076</v>
      </c>
      <c r="J302" s="3">
        <f t="shared" si="284"/>
        <v>0.10578931784479101</v>
      </c>
      <c r="K302" s="3">
        <f t="shared" si="284"/>
        <v>0.10578931784009347</v>
      </c>
      <c r="L302" s="3">
        <f t="shared" si="284"/>
        <v>0.10578931779311819</v>
      </c>
      <c r="M302" s="3">
        <f t="shared" si="284"/>
        <v>0.10578931732336525</v>
      </c>
      <c r="N302" s="3">
        <f t="shared" si="284"/>
        <v>0.10578931262583602</v>
      </c>
      <c r="O302" s="3">
        <f t="shared" si="284"/>
        <v>0.10578926565055509</v>
      </c>
      <c r="P302" s="3">
        <f t="shared" si="284"/>
        <v>0.10578879589889319</v>
      </c>
      <c r="Q302" s="3">
        <f t="shared" si="284"/>
        <v>0.10578409849699753</v>
      </c>
      <c r="R302" s="3">
        <f t="shared" si="284"/>
        <v>0.10573713594849488</v>
      </c>
      <c r="S302" s="3">
        <f t="shared" si="284"/>
        <v>0.1052686556265285</v>
      </c>
      <c r="T302" s="3">
        <f t="shared" si="284"/>
        <v>0.10069650938353809</v>
      </c>
      <c r="U302" s="3">
        <f t="shared" si="284"/>
        <v>6.4590375718458673E-2</v>
      </c>
      <c r="V302" s="3">
        <f t="shared" si="284"/>
        <v>7.6155584866376374E-4</v>
      </c>
      <c r="W302" s="3">
        <f t="shared" si="284"/>
        <v>3.954041541213839E-23</v>
      </c>
      <c r="X302" s="3">
        <f t="shared" si="284"/>
        <v>5.6290606335369245E-216</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8.5446045134986312E-2</v>
      </c>
      <c r="C303" s="3">
        <f t="shared" si="285"/>
        <v>8.5446045134986312E-2</v>
      </c>
      <c r="D303" s="3">
        <f t="shared" si="285"/>
        <v>8.5446045134986312E-2</v>
      </c>
      <c r="E303" s="3">
        <f t="shared" si="285"/>
        <v>8.5446045134986312E-2</v>
      </c>
      <c r="F303" s="3">
        <f t="shared" si="285"/>
        <v>8.5446045134986312E-2</v>
      </c>
      <c r="G303" s="3">
        <f t="shared" si="285"/>
        <v>8.544604513498627E-2</v>
      </c>
      <c r="H303" s="3">
        <f t="shared" si="285"/>
        <v>8.5446045134985937E-2</v>
      </c>
      <c r="I303" s="3">
        <f t="shared" si="285"/>
        <v>8.544604513498251E-2</v>
      </c>
      <c r="J303" s="3">
        <f t="shared" si="285"/>
        <v>8.5446045134948287E-2</v>
      </c>
      <c r="K303" s="3">
        <f t="shared" si="285"/>
        <v>8.5446045134606005E-2</v>
      </c>
      <c r="L303" s="3">
        <f t="shared" si="285"/>
        <v>8.5446045131183326E-2</v>
      </c>
      <c r="M303" s="3">
        <f t="shared" si="285"/>
        <v>8.5446045096956538E-2</v>
      </c>
      <c r="N303" s="3">
        <f t="shared" si="285"/>
        <v>8.5446044754688574E-2</v>
      </c>
      <c r="O303" s="3">
        <f t="shared" si="285"/>
        <v>8.5446041332009087E-2</v>
      </c>
      <c r="P303" s="3">
        <f t="shared" si="285"/>
        <v>8.5446007105221627E-2</v>
      </c>
      <c r="Q303" s="3">
        <f t="shared" si="285"/>
        <v>8.5445664838101176E-2</v>
      </c>
      <c r="R303" s="3">
        <f t="shared" si="285"/>
        <v>8.5442242242300903E-2</v>
      </c>
      <c r="S303" s="3">
        <f t="shared" si="285"/>
        <v>8.5408023823609819E-2</v>
      </c>
      <c r="T303" s="3">
        <f t="shared" si="285"/>
        <v>8.5066592451661718E-2</v>
      </c>
      <c r="U303" s="3">
        <f t="shared" si="285"/>
        <v>8.1726456339083348E-2</v>
      </c>
      <c r="V303" s="3">
        <f t="shared" si="285"/>
        <v>5.4751873824907642E-2</v>
      </c>
      <c r="W303" s="3">
        <f t="shared" si="285"/>
        <v>9.97153858954462E-4</v>
      </c>
      <c r="X303" s="3">
        <f t="shared" si="285"/>
        <v>4.0030779494846552E-21</v>
      </c>
      <c r="Y303" s="3">
        <f t="shared" si="285"/>
        <v>4.3522393709722169E-195</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5.8777528752493244E-2</v>
      </c>
      <c r="C304" s="3">
        <f t="shared" si="286"/>
        <v>5.8777528752493244E-2</v>
      </c>
      <c r="D304" s="3">
        <f t="shared" si="286"/>
        <v>5.8777528752493244E-2</v>
      </c>
      <c r="E304" s="3">
        <f t="shared" si="286"/>
        <v>5.8777528752493244E-2</v>
      </c>
      <c r="F304" s="3">
        <f t="shared" si="286"/>
        <v>5.8777528752493244E-2</v>
      </c>
      <c r="G304" s="3">
        <f t="shared" si="286"/>
        <v>5.8777528752493244E-2</v>
      </c>
      <c r="H304" s="3">
        <f t="shared" si="286"/>
        <v>5.8777528752493216E-2</v>
      </c>
      <c r="I304" s="3">
        <f t="shared" si="286"/>
        <v>5.8777528752493008E-2</v>
      </c>
      <c r="J304" s="3">
        <f t="shared" si="286"/>
        <v>5.8777528752490885E-2</v>
      </c>
      <c r="K304" s="3">
        <f t="shared" si="286"/>
        <v>5.8777528752469645E-2</v>
      </c>
      <c r="L304" s="3">
        <f t="shared" si="286"/>
        <v>5.8777528752257259E-2</v>
      </c>
      <c r="M304" s="3">
        <f t="shared" si="286"/>
        <v>5.8777528750133368E-2</v>
      </c>
      <c r="N304" s="3">
        <f t="shared" si="286"/>
        <v>5.8777528728894454E-2</v>
      </c>
      <c r="O304" s="3">
        <f t="shared" si="286"/>
        <v>5.8777528516505376E-2</v>
      </c>
      <c r="P304" s="3">
        <f t="shared" si="286"/>
        <v>5.8777526392614576E-2</v>
      </c>
      <c r="Q304" s="3">
        <f t="shared" si="286"/>
        <v>5.8777505153710885E-2</v>
      </c>
      <c r="R304" s="3">
        <f t="shared" si="286"/>
        <v>5.8777292765096079E-2</v>
      </c>
      <c r="S304" s="3">
        <f t="shared" si="286"/>
        <v>5.8775168921157347E-2</v>
      </c>
      <c r="T304" s="3">
        <f t="shared" si="286"/>
        <v>5.8753934702146945E-2</v>
      </c>
      <c r="U304" s="3">
        <f t="shared" si="286"/>
        <v>5.854201398602378E-2</v>
      </c>
      <c r="V304" s="3">
        <f t="shared" si="286"/>
        <v>5.6464396128602837E-2</v>
      </c>
      <c r="W304" s="3">
        <f t="shared" si="286"/>
        <v>3.9340961952971966E-2</v>
      </c>
      <c r="X304" s="3">
        <f t="shared" si="286"/>
        <v>1.060590776719644E-3</v>
      </c>
      <c r="Y304" s="3">
        <f t="shared" si="286"/>
        <v>2.1506837649513577E-19</v>
      </c>
      <c r="Z304" s="3">
        <f t="shared" si="286"/>
        <v>2.5285041092671179E-176</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3.044822143643108E-2</v>
      </c>
      <c r="C305" s="3">
        <f t="shared" si="287"/>
        <v>3.044822143643108E-2</v>
      </c>
      <c r="D305" s="3">
        <f t="shared" si="287"/>
        <v>3.044822143643108E-2</v>
      </c>
      <c r="E305" s="3">
        <f t="shared" si="287"/>
        <v>3.044822143643108E-2</v>
      </c>
      <c r="F305" s="3">
        <f t="shared" si="287"/>
        <v>3.044822143643108E-2</v>
      </c>
      <c r="G305" s="3">
        <f t="shared" si="287"/>
        <v>3.044822143643108E-2</v>
      </c>
      <c r="H305" s="3">
        <f t="shared" si="287"/>
        <v>3.044822143643108E-2</v>
      </c>
      <c r="I305" s="3">
        <f t="shared" si="287"/>
        <v>3.0448221436431069E-2</v>
      </c>
      <c r="J305" s="3">
        <f t="shared" si="287"/>
        <v>3.0448221436430969E-2</v>
      </c>
      <c r="K305" s="3">
        <f t="shared" si="287"/>
        <v>3.0448221436429976E-2</v>
      </c>
      <c r="L305" s="3">
        <f t="shared" si="287"/>
        <v>3.0448221436420054E-2</v>
      </c>
      <c r="M305" s="3">
        <f t="shared" si="287"/>
        <v>3.0448221436320803E-2</v>
      </c>
      <c r="N305" s="3">
        <f t="shared" si="287"/>
        <v>3.0448221435328306E-2</v>
      </c>
      <c r="O305" s="3">
        <f t="shared" si="287"/>
        <v>3.0448221425403332E-2</v>
      </c>
      <c r="P305" s="3">
        <f t="shared" si="287"/>
        <v>3.0448221326153588E-2</v>
      </c>
      <c r="Q305" s="3">
        <f t="shared" si="287"/>
        <v>3.0448220333656181E-2</v>
      </c>
      <c r="R305" s="3">
        <f t="shared" si="287"/>
        <v>3.0448210408683896E-2</v>
      </c>
      <c r="S305" s="3">
        <f t="shared" si="287"/>
        <v>3.044811115913898E-2</v>
      </c>
      <c r="T305" s="3">
        <f t="shared" si="287"/>
        <v>3.044711868148299E-2</v>
      </c>
      <c r="U305" s="3">
        <f t="shared" si="287"/>
        <v>3.043719568402713E-2</v>
      </c>
      <c r="V305" s="3">
        <f t="shared" si="287"/>
        <v>3.0338143405486948E-2</v>
      </c>
      <c r="W305" s="3">
        <f t="shared" si="287"/>
        <v>2.9365177765497585E-2</v>
      </c>
      <c r="X305" s="3">
        <f t="shared" si="287"/>
        <v>2.1196735370176467E-2</v>
      </c>
      <c r="Y305" s="3">
        <f t="shared" si="287"/>
        <v>8.1401501291521205E-4</v>
      </c>
      <c r="Z305" s="3">
        <f t="shared" si="287"/>
        <v>5.6789334886786062E-18</v>
      </c>
      <c r="AA305" s="3">
        <f t="shared" si="287"/>
        <v>1.5509952163886565E-159</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1.5917825428886163E-2</v>
      </c>
      <c r="C306" s="3">
        <f t="shared" si="288"/>
        <v>1.5917825428886163E-2</v>
      </c>
      <c r="D306" s="3">
        <f t="shared" si="288"/>
        <v>1.5917825428886163E-2</v>
      </c>
      <c r="E306" s="3">
        <f t="shared" si="288"/>
        <v>1.5917825428886163E-2</v>
      </c>
      <c r="F306" s="3">
        <f t="shared" si="288"/>
        <v>1.5917825428886163E-2</v>
      </c>
      <c r="G306" s="3">
        <f t="shared" si="288"/>
        <v>1.5917825428886163E-2</v>
      </c>
      <c r="H306" s="3">
        <f t="shared" si="288"/>
        <v>1.5917825428886163E-2</v>
      </c>
      <c r="I306" s="3">
        <f t="shared" si="288"/>
        <v>1.5917825428886163E-2</v>
      </c>
      <c r="J306" s="3">
        <f t="shared" si="288"/>
        <v>1.5917825428886156E-2</v>
      </c>
      <c r="K306" s="3">
        <f t="shared" si="288"/>
        <v>1.5917825428886111E-2</v>
      </c>
      <c r="L306" s="3">
        <f t="shared" si="288"/>
        <v>1.5917825428885642E-2</v>
      </c>
      <c r="M306" s="3">
        <f t="shared" si="288"/>
        <v>1.5917825428880962E-2</v>
      </c>
      <c r="N306" s="3">
        <f t="shared" si="288"/>
        <v>1.5917825428834156E-2</v>
      </c>
      <c r="O306" s="3">
        <f t="shared" si="288"/>
        <v>1.59178254283661E-2</v>
      </c>
      <c r="P306" s="3">
        <f t="shared" si="288"/>
        <v>1.5917825423685542E-2</v>
      </c>
      <c r="Q306" s="3">
        <f t="shared" si="288"/>
        <v>1.5917825376879944E-2</v>
      </c>
      <c r="R306" s="3">
        <f t="shared" si="288"/>
        <v>1.5917824908823985E-2</v>
      </c>
      <c r="S306" s="3">
        <f t="shared" si="288"/>
        <v>1.5917820228265132E-2</v>
      </c>
      <c r="T306" s="3">
        <f t="shared" si="288"/>
        <v>1.5917773422752322E-2</v>
      </c>
      <c r="U306" s="3">
        <f t="shared" si="288"/>
        <v>1.5917305375193751E-2</v>
      </c>
      <c r="V306" s="3">
        <f t="shared" si="288"/>
        <v>1.5912625656479322E-2</v>
      </c>
      <c r="W306" s="3">
        <f t="shared" si="288"/>
        <v>1.5865904074183344E-2</v>
      </c>
      <c r="X306" s="3">
        <f t="shared" si="288"/>
        <v>1.5406167123420736E-2</v>
      </c>
      <c r="Y306" s="3">
        <f t="shared" si="288"/>
        <v>1.1481335551282765E-2</v>
      </c>
      <c r="Z306" s="3">
        <f t="shared" si="288"/>
        <v>6.0669506188690617E-4</v>
      </c>
      <c r="AA306" s="3">
        <f t="shared" si="288"/>
        <v>1.0297954378048408E-16</v>
      </c>
      <c r="AB306" s="3">
        <f t="shared" si="288"/>
        <v>2.0443535162949495E-144</v>
      </c>
      <c r="AC306" s="3">
        <f t="shared" si="288"/>
        <v>0</v>
      </c>
      <c r="AD306" s="3">
        <f t="shared" si="288"/>
        <v>0</v>
      </c>
      <c r="AE306" s="3">
        <f t="shared" si="288"/>
        <v>0</v>
      </c>
      <c r="AF306" s="3">
        <f t="shared" si="288"/>
        <v>0</v>
      </c>
      <c r="AG306" s="3"/>
      <c r="AH306" s="3"/>
    </row>
    <row r="307" spans="1:34" x14ac:dyDescent="0.25">
      <c r="B307" s="3">
        <f t="shared" ref="B307:AF307" si="289">$C37*EXP(-B$285/$A37/EXP(-$F$126))</f>
        <v>7.4710107179745602E-3</v>
      </c>
      <c r="C307" s="3">
        <f t="shared" si="289"/>
        <v>7.4710107179745602E-3</v>
      </c>
      <c r="D307" s="3">
        <f t="shared" si="289"/>
        <v>7.4710107179745602E-3</v>
      </c>
      <c r="E307" s="3">
        <f t="shared" si="289"/>
        <v>7.4710107179745602E-3</v>
      </c>
      <c r="F307" s="3">
        <f t="shared" si="289"/>
        <v>7.4710107179745602E-3</v>
      </c>
      <c r="G307" s="3">
        <f t="shared" si="289"/>
        <v>7.4710107179745602E-3</v>
      </c>
      <c r="H307" s="3">
        <f t="shared" si="289"/>
        <v>7.4710107179745602E-3</v>
      </c>
      <c r="I307" s="3">
        <f t="shared" si="289"/>
        <v>7.4710107179745602E-3</v>
      </c>
      <c r="J307" s="3">
        <f t="shared" si="289"/>
        <v>7.4710107179745602E-3</v>
      </c>
      <c r="K307" s="3">
        <f t="shared" si="289"/>
        <v>7.4710107179745576E-3</v>
      </c>
      <c r="L307" s="3">
        <f t="shared" si="289"/>
        <v>7.4710107179745376E-3</v>
      </c>
      <c r="M307" s="3">
        <f t="shared" si="289"/>
        <v>7.4710107179743407E-3</v>
      </c>
      <c r="N307" s="3">
        <f t="shared" si="289"/>
        <v>7.4710107179723579E-3</v>
      </c>
      <c r="O307" s="3">
        <f t="shared" si="289"/>
        <v>7.4710107179525405E-3</v>
      </c>
      <c r="P307" s="3">
        <f t="shared" si="289"/>
        <v>7.4710107177543708E-3</v>
      </c>
      <c r="Q307" s="3">
        <f t="shared" si="289"/>
        <v>7.4710107157726609E-3</v>
      </c>
      <c r="R307" s="3">
        <f t="shared" si="289"/>
        <v>7.471010695955565E-3</v>
      </c>
      <c r="S307" s="3">
        <f t="shared" si="289"/>
        <v>7.471010497784614E-3</v>
      </c>
      <c r="T307" s="3">
        <f t="shared" si="289"/>
        <v>7.4710085160753911E-3</v>
      </c>
      <c r="U307" s="3">
        <f t="shared" si="289"/>
        <v>7.4709886990120666E-3</v>
      </c>
      <c r="V307" s="3">
        <f t="shared" si="289"/>
        <v>7.4707905312698941E-3</v>
      </c>
      <c r="W307" s="3">
        <f t="shared" si="289"/>
        <v>7.4688091429267918E-3</v>
      </c>
      <c r="X307" s="3">
        <f t="shared" si="289"/>
        <v>7.44902413900673E-3</v>
      </c>
      <c r="Y307" s="3">
        <f t="shared" si="289"/>
        <v>7.2540339074631836E-3</v>
      </c>
      <c r="Z307" s="3">
        <f t="shared" si="289"/>
        <v>5.5639289767414248E-3</v>
      </c>
      <c r="AA307" s="3">
        <f t="shared" si="289"/>
        <v>3.9210424223627249E-4</v>
      </c>
      <c r="AB307" s="3">
        <f t="shared" si="289"/>
        <v>1.1846803232577231E-15</v>
      </c>
      <c r="AC307" s="3">
        <f t="shared" si="289"/>
        <v>7.5092664864268773E-131</v>
      </c>
      <c r="AD307" s="3">
        <f t="shared" si="289"/>
        <v>0</v>
      </c>
      <c r="AE307" s="3">
        <f t="shared" si="289"/>
        <v>0</v>
      </c>
      <c r="AF307" s="3">
        <f t="shared" si="289"/>
        <v>0</v>
      </c>
      <c r="AG307" s="3"/>
      <c r="AH307" s="3"/>
    </row>
    <row r="308" spans="1:34" x14ac:dyDescent="0.25">
      <c r="B308" s="3">
        <f t="shared" ref="B308:AF308" si="290">$C38*EXP(-B$285/$A38/EXP(-$F$126))</f>
        <v>1.4378472174592341E-3</v>
      </c>
      <c r="C308" s="3">
        <f t="shared" si="290"/>
        <v>1.4378472174592341E-3</v>
      </c>
      <c r="D308" s="3">
        <f t="shared" si="290"/>
        <v>1.4378472174592341E-3</v>
      </c>
      <c r="E308" s="3">
        <f t="shared" si="290"/>
        <v>1.4378472174592341E-3</v>
      </c>
      <c r="F308" s="3">
        <f t="shared" si="290"/>
        <v>1.4378472174592341E-3</v>
      </c>
      <c r="G308" s="3">
        <f t="shared" si="290"/>
        <v>1.4378472174592341E-3</v>
      </c>
      <c r="H308" s="3">
        <f t="shared" si="290"/>
        <v>1.4378472174592341E-3</v>
      </c>
      <c r="I308" s="3">
        <f t="shared" si="290"/>
        <v>1.4378472174592341E-3</v>
      </c>
      <c r="J308" s="3">
        <f t="shared" si="290"/>
        <v>1.4378472174592341E-3</v>
      </c>
      <c r="K308" s="3">
        <f t="shared" si="290"/>
        <v>1.4378472174592341E-3</v>
      </c>
      <c r="L308" s="3">
        <f t="shared" si="290"/>
        <v>1.4378472174592339E-3</v>
      </c>
      <c r="M308" s="3">
        <f t="shared" si="290"/>
        <v>1.4378472174592302E-3</v>
      </c>
      <c r="N308" s="3">
        <f t="shared" si="290"/>
        <v>1.437847217459196E-3</v>
      </c>
      <c r="O308" s="3">
        <f t="shared" si="290"/>
        <v>1.4378472174588518E-3</v>
      </c>
      <c r="P308" s="3">
        <f t="shared" si="290"/>
        <v>1.4378472174554114E-3</v>
      </c>
      <c r="Q308" s="3">
        <f t="shared" si="290"/>
        <v>1.4378472174210065E-3</v>
      </c>
      <c r="R308" s="3">
        <f t="shared" si="290"/>
        <v>1.4378472170769577E-3</v>
      </c>
      <c r="S308" s="3">
        <f t="shared" si="290"/>
        <v>1.4378472136364704E-3</v>
      </c>
      <c r="T308" s="3">
        <f t="shared" si="290"/>
        <v>1.4378471792315967E-3</v>
      </c>
      <c r="U308" s="3">
        <f t="shared" si="290"/>
        <v>1.4378468351829053E-3</v>
      </c>
      <c r="V308" s="3">
        <f t="shared" si="290"/>
        <v>1.4378433947005184E-3</v>
      </c>
      <c r="W308" s="3">
        <f t="shared" si="290"/>
        <v>1.4378089903294292E-3</v>
      </c>
      <c r="X308" s="3">
        <f t="shared" si="290"/>
        <v>1.4374649918923604E-3</v>
      </c>
      <c r="Y308" s="3">
        <f t="shared" si="290"/>
        <v>1.4340295308983393E-3</v>
      </c>
      <c r="Z308" s="3">
        <f t="shared" si="290"/>
        <v>1.4001232794117258E-3</v>
      </c>
      <c r="AA308" s="3">
        <f t="shared" si="290"/>
        <v>1.1021687511740582E-3</v>
      </c>
      <c r="AB308" s="3">
        <f t="shared" si="290"/>
        <v>1.0070853194457916E-4</v>
      </c>
      <c r="AC308" s="3">
        <f t="shared" si="290"/>
        <v>4.0855260137059935E-15</v>
      </c>
      <c r="AD308" s="3">
        <f t="shared" si="290"/>
        <v>4.9324776886516135E-119</v>
      </c>
      <c r="AE308" s="3">
        <f t="shared" si="290"/>
        <v>0</v>
      </c>
      <c r="AF308" s="3">
        <f t="shared" si="290"/>
        <v>0</v>
      </c>
      <c r="AG308" s="3"/>
      <c r="AH308" s="3"/>
    </row>
    <row r="309" spans="1:34" x14ac:dyDescent="0.25">
      <c r="B309" s="3">
        <f t="shared" ref="B309:AF309" si="291">$C39*EXP(-B$285/$A39/EXP(-$F$126))</f>
        <v>4.7686363858368023E-3</v>
      </c>
      <c r="C309" s="3">
        <f t="shared" si="291"/>
        <v>4.7686363858368023E-3</v>
      </c>
      <c r="D309" s="3">
        <f t="shared" si="291"/>
        <v>4.7686363858368023E-3</v>
      </c>
      <c r="E309" s="3">
        <f t="shared" si="291"/>
        <v>4.7686363858368023E-3</v>
      </c>
      <c r="F309" s="3">
        <f t="shared" si="291"/>
        <v>4.7686363858368023E-3</v>
      </c>
      <c r="G309" s="3">
        <f t="shared" si="291"/>
        <v>4.7686363858368023E-3</v>
      </c>
      <c r="H309" s="3">
        <f t="shared" si="291"/>
        <v>4.7686363858368023E-3</v>
      </c>
      <c r="I309" s="3">
        <f t="shared" si="291"/>
        <v>4.7686363858368023E-3</v>
      </c>
      <c r="J309" s="3">
        <f t="shared" si="291"/>
        <v>4.7686363858368023E-3</v>
      </c>
      <c r="K309" s="3">
        <f t="shared" si="291"/>
        <v>4.7686363858368023E-3</v>
      </c>
      <c r="L309" s="3">
        <f t="shared" si="291"/>
        <v>4.7686363858368015E-3</v>
      </c>
      <c r="M309" s="3">
        <f t="shared" si="291"/>
        <v>4.7686363858367989E-3</v>
      </c>
      <c r="N309" s="3">
        <f t="shared" si="291"/>
        <v>4.7686363858367676E-3</v>
      </c>
      <c r="O309" s="3">
        <f t="shared" si="291"/>
        <v>4.7686363858364519E-3</v>
      </c>
      <c r="P309" s="3">
        <f t="shared" si="291"/>
        <v>4.7686363858332956E-3</v>
      </c>
      <c r="Q309" s="3">
        <f t="shared" si="291"/>
        <v>4.7686363858017375E-3</v>
      </c>
      <c r="R309" s="3">
        <f t="shared" si="291"/>
        <v>4.768636385486154E-3</v>
      </c>
      <c r="S309" s="3">
        <f t="shared" si="291"/>
        <v>4.768636382330319E-3</v>
      </c>
      <c r="T309" s="3">
        <f t="shared" si="291"/>
        <v>4.7686363507719685E-3</v>
      </c>
      <c r="U309" s="3">
        <f t="shared" si="291"/>
        <v>4.7686360351884708E-3</v>
      </c>
      <c r="V309" s="3">
        <f t="shared" si="291"/>
        <v>4.7686328793546439E-3</v>
      </c>
      <c r="W309" s="3">
        <f t="shared" si="291"/>
        <v>4.7686013211312439E-3</v>
      </c>
      <c r="X309" s="3">
        <f t="shared" si="291"/>
        <v>4.7682857503836829E-3</v>
      </c>
      <c r="Y309" s="3">
        <f t="shared" si="291"/>
        <v>4.7651311912703916E-3</v>
      </c>
      <c r="Z309" s="3">
        <f t="shared" si="291"/>
        <v>4.7337001556760428E-3</v>
      </c>
      <c r="AA309" s="3">
        <f t="shared" si="291"/>
        <v>4.4305697466895267E-3</v>
      </c>
      <c r="AB309" s="3">
        <f t="shared" si="291"/>
        <v>2.2858509189006633E-3</v>
      </c>
      <c r="AC309" s="3">
        <f t="shared" si="291"/>
        <v>3.0544368662098931E-6</v>
      </c>
      <c r="AD309" s="3">
        <f t="shared" si="291"/>
        <v>5.5432396515018575E-35</v>
      </c>
      <c r="AE309" s="3">
        <f t="shared" si="291"/>
        <v>0</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2.0950739363465548E-3</v>
      </c>
      <c r="C311" s="3">
        <f t="shared" si="293"/>
        <v>2.0950739363465548E-3</v>
      </c>
      <c r="D311" s="3">
        <f t="shared" si="293"/>
        <v>2.0950739363465548E-3</v>
      </c>
      <c r="E311" s="3">
        <f t="shared" si="293"/>
        <v>2.0950739363465548E-3</v>
      </c>
      <c r="F311" s="3">
        <f t="shared" si="293"/>
        <v>2.0950739363465548E-3</v>
      </c>
      <c r="G311" s="3">
        <f t="shared" si="293"/>
        <v>2.0950739363465548E-3</v>
      </c>
      <c r="H311" s="3">
        <f t="shared" si="293"/>
        <v>2.0950739363465548E-3</v>
      </c>
      <c r="I311" s="3">
        <f t="shared" si="293"/>
        <v>2.0950739363465548E-3</v>
      </c>
      <c r="J311" s="3">
        <f t="shared" si="293"/>
        <v>2.0950739363465548E-3</v>
      </c>
      <c r="K311" s="3">
        <f t="shared" si="293"/>
        <v>2.0950739363465548E-3</v>
      </c>
      <c r="L311" s="3">
        <f t="shared" si="293"/>
        <v>2.0950739363465548E-3</v>
      </c>
      <c r="M311" s="3">
        <f t="shared" si="293"/>
        <v>2.0950739363465548E-3</v>
      </c>
      <c r="N311" s="3">
        <f t="shared" si="293"/>
        <v>2.0950739363465544E-3</v>
      </c>
      <c r="O311" s="3">
        <f t="shared" si="293"/>
        <v>2.0950739363465531E-3</v>
      </c>
      <c r="P311" s="3">
        <f t="shared" si="293"/>
        <v>2.0950739363465396E-3</v>
      </c>
      <c r="Q311" s="3">
        <f t="shared" si="293"/>
        <v>2.0950739363464008E-3</v>
      </c>
      <c r="R311" s="3">
        <f t="shared" si="293"/>
        <v>2.0950739363450144E-3</v>
      </c>
      <c r="S311" s="3">
        <f t="shared" si="293"/>
        <v>2.0950739363311491E-3</v>
      </c>
      <c r="T311" s="3">
        <f t="shared" si="293"/>
        <v>2.0950739361924996E-3</v>
      </c>
      <c r="U311" s="3">
        <f t="shared" si="293"/>
        <v>2.0950739348060007E-3</v>
      </c>
      <c r="V311" s="3">
        <f t="shared" si="293"/>
        <v>2.0950739209410147E-3</v>
      </c>
      <c r="W311" s="3">
        <f t="shared" si="293"/>
        <v>2.0950737822911557E-3</v>
      </c>
      <c r="X311" s="3">
        <f t="shared" si="293"/>
        <v>2.0950723957930749E-3</v>
      </c>
      <c r="Y311" s="3">
        <f t="shared" si="293"/>
        <v>2.0950585308627317E-3</v>
      </c>
      <c r="Z311" s="3">
        <f t="shared" si="293"/>
        <v>2.0949198866058007E-3</v>
      </c>
      <c r="AA311" s="3">
        <f t="shared" si="293"/>
        <v>2.0935339485631034E-3</v>
      </c>
      <c r="AB311" s="3">
        <f t="shared" si="293"/>
        <v>2.0797248974763647E-3</v>
      </c>
      <c r="AC311" s="3">
        <f t="shared" si="293"/>
        <v>1.9465462342702631E-3</v>
      </c>
      <c r="AD311" s="3">
        <f t="shared" si="293"/>
        <v>1.004275917699735E-3</v>
      </c>
      <c r="AE311" s="3">
        <f t="shared" si="293"/>
        <v>1.3419498889910537E-6</v>
      </c>
      <c r="AF311" s="3">
        <f t="shared" si="293"/>
        <v>2.4353915830691629E-35</v>
      </c>
      <c r="AG311" s="3"/>
      <c r="AH311" s="3"/>
    </row>
    <row r="312" spans="1:34" x14ac:dyDescent="0.25">
      <c r="B312" s="3">
        <f t="shared" ref="B312:AF312" si="294">$C42*EXP(-B$285/$A42/EXP(-$F$126))</f>
        <v>1.9210885084110967E-3</v>
      </c>
      <c r="C312" s="3">
        <f t="shared" si="294"/>
        <v>1.9210885084110967E-3</v>
      </c>
      <c r="D312" s="3">
        <f t="shared" si="294"/>
        <v>1.9210885084110967E-3</v>
      </c>
      <c r="E312" s="3">
        <f t="shared" si="294"/>
        <v>1.9210885084110967E-3</v>
      </c>
      <c r="F312" s="3">
        <f t="shared" si="294"/>
        <v>1.9210885084110967E-3</v>
      </c>
      <c r="G312" s="3">
        <f t="shared" si="294"/>
        <v>1.9210885084110967E-3</v>
      </c>
      <c r="H312" s="3">
        <f t="shared" si="294"/>
        <v>1.9210885084110967E-3</v>
      </c>
      <c r="I312" s="3">
        <f t="shared" si="294"/>
        <v>1.9210885084110967E-3</v>
      </c>
      <c r="J312" s="3">
        <f t="shared" si="294"/>
        <v>1.9210885084110967E-3</v>
      </c>
      <c r="K312" s="3">
        <f t="shared" si="294"/>
        <v>1.9210885084110967E-3</v>
      </c>
      <c r="L312" s="3">
        <f t="shared" si="294"/>
        <v>1.9210885084110967E-3</v>
      </c>
      <c r="M312" s="3">
        <f t="shared" si="294"/>
        <v>1.9210885084110967E-3</v>
      </c>
      <c r="N312" s="3">
        <f t="shared" si="294"/>
        <v>1.9210885084110967E-3</v>
      </c>
      <c r="O312" s="3">
        <f t="shared" si="294"/>
        <v>1.9210885084110965E-3</v>
      </c>
      <c r="P312" s="3">
        <f t="shared" si="294"/>
        <v>1.9210885084110952E-3</v>
      </c>
      <c r="Q312" s="3">
        <f t="shared" si="294"/>
        <v>1.9210885084110826E-3</v>
      </c>
      <c r="R312" s="3">
        <f t="shared" si="294"/>
        <v>1.9210885084109555E-3</v>
      </c>
      <c r="S312" s="3">
        <f t="shared" si="294"/>
        <v>1.9210885084096842E-3</v>
      </c>
      <c r="T312" s="3">
        <f t="shared" si="294"/>
        <v>1.9210885083969704E-3</v>
      </c>
      <c r="U312" s="3">
        <f t="shared" si="294"/>
        <v>1.9210885082698349E-3</v>
      </c>
      <c r="V312" s="3">
        <f t="shared" si="294"/>
        <v>1.921088506998478E-3</v>
      </c>
      <c r="W312" s="3">
        <f t="shared" si="294"/>
        <v>1.9210884942849095E-3</v>
      </c>
      <c r="X312" s="3">
        <f t="shared" si="294"/>
        <v>1.9210883671492293E-3</v>
      </c>
      <c r="Y312" s="3">
        <f t="shared" si="294"/>
        <v>1.92108709579289E-3</v>
      </c>
      <c r="Z312" s="3">
        <f t="shared" si="294"/>
        <v>1.9210743822757723E-3</v>
      </c>
      <c r="AA312" s="3">
        <f t="shared" si="294"/>
        <v>1.9209472517320114E-3</v>
      </c>
      <c r="AB312" s="3">
        <f t="shared" si="294"/>
        <v>1.919676408922598E-3</v>
      </c>
      <c r="AC312" s="3">
        <f t="shared" si="294"/>
        <v>1.9070141305683283E-3</v>
      </c>
      <c r="AD312" s="3">
        <f t="shared" si="294"/>
        <v>1.784895290267662E-3</v>
      </c>
      <c r="AE312" s="3">
        <f t="shared" si="294"/>
        <v>9.2087581793477821E-4</v>
      </c>
      <c r="AF312" s="3">
        <f t="shared" si="294"/>
        <v>1.2305076522024097E-6</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4.6732387958302481E-4</v>
      </c>
      <c r="C314" s="3">
        <f t="shared" si="296"/>
        <v>4.6732387958302481E-4</v>
      </c>
      <c r="D314" s="3">
        <f t="shared" si="296"/>
        <v>4.6732387958302481E-4</v>
      </c>
      <c r="E314" s="3">
        <f t="shared" si="296"/>
        <v>4.6732387958302481E-4</v>
      </c>
      <c r="F314" s="3">
        <f t="shared" si="296"/>
        <v>4.6732387958302481E-4</v>
      </c>
      <c r="G314" s="3">
        <f t="shared" si="296"/>
        <v>4.6732387958302481E-4</v>
      </c>
      <c r="H314" s="3">
        <f t="shared" si="296"/>
        <v>4.6732387958302481E-4</v>
      </c>
      <c r="I314" s="3">
        <f t="shared" si="296"/>
        <v>4.6732387958302481E-4</v>
      </c>
      <c r="J314" s="3">
        <f t="shared" si="296"/>
        <v>4.6732387958302481E-4</v>
      </c>
      <c r="K314" s="3">
        <f t="shared" si="296"/>
        <v>4.6732387958302481E-4</v>
      </c>
      <c r="L314" s="3">
        <f t="shared" si="296"/>
        <v>4.6732387958302481E-4</v>
      </c>
      <c r="M314" s="3">
        <f t="shared" si="296"/>
        <v>4.6732387958302481E-4</v>
      </c>
      <c r="N314" s="3">
        <f t="shared" si="296"/>
        <v>4.6732387958302481E-4</v>
      </c>
      <c r="O314" s="3">
        <f t="shared" si="296"/>
        <v>4.6732387958302481E-4</v>
      </c>
      <c r="P314" s="3">
        <f t="shared" si="296"/>
        <v>4.6732387958302481E-4</v>
      </c>
      <c r="Q314" s="3">
        <f t="shared" si="296"/>
        <v>4.6732387958302475E-4</v>
      </c>
      <c r="R314" s="3">
        <f t="shared" si="296"/>
        <v>4.6732387958302443E-4</v>
      </c>
      <c r="S314" s="3">
        <f t="shared" si="296"/>
        <v>4.6732387958302139E-4</v>
      </c>
      <c r="T314" s="3">
        <f t="shared" si="296"/>
        <v>4.6732387958299044E-4</v>
      </c>
      <c r="U314" s="3">
        <f t="shared" si="296"/>
        <v>4.6732387958268117E-4</v>
      </c>
      <c r="V314" s="3">
        <f t="shared" si="296"/>
        <v>4.6732387957958848E-4</v>
      </c>
      <c r="W314" s="3">
        <f t="shared" si="296"/>
        <v>4.6732387954866145E-4</v>
      </c>
      <c r="X314" s="3">
        <f t="shared" si="296"/>
        <v>4.6732387923939127E-4</v>
      </c>
      <c r="Y314" s="3">
        <f t="shared" si="296"/>
        <v>4.6732387614668934E-4</v>
      </c>
      <c r="Z314" s="3">
        <f t="shared" si="296"/>
        <v>4.6732384521967112E-4</v>
      </c>
      <c r="AA314" s="3">
        <f t="shared" si="296"/>
        <v>4.6732353594960144E-4</v>
      </c>
      <c r="AB314" s="3">
        <f t="shared" si="296"/>
        <v>4.6732044326016183E-4</v>
      </c>
      <c r="AC314" s="3">
        <f t="shared" si="296"/>
        <v>4.6728951749143031E-4</v>
      </c>
      <c r="AD314" s="3">
        <f t="shared" si="296"/>
        <v>4.6698037234302352E-4</v>
      </c>
      <c r="AE314" s="3">
        <f t="shared" si="296"/>
        <v>4.6390014724200955E-4</v>
      </c>
      <c r="AF314" s="3">
        <f t="shared" si="296"/>
        <v>4.3419352520475201E-4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1.2351806616485092E-4</v>
      </c>
      <c r="C316" s="3">
        <f t="shared" si="298"/>
        <v>1.2351806616485092E-4</v>
      </c>
      <c r="D316" s="3">
        <f t="shared" si="298"/>
        <v>1.2351806616485092E-4</v>
      </c>
      <c r="E316" s="3">
        <f t="shared" si="298"/>
        <v>1.2351806616485092E-4</v>
      </c>
      <c r="F316" s="3">
        <f t="shared" si="298"/>
        <v>1.2351806616485092E-4</v>
      </c>
      <c r="G316" s="3">
        <f t="shared" si="298"/>
        <v>1.2351806616485092E-4</v>
      </c>
      <c r="H316" s="3">
        <f t="shared" si="298"/>
        <v>1.2351806616485092E-4</v>
      </c>
      <c r="I316" s="3">
        <f t="shared" si="298"/>
        <v>1.2351806616485092E-4</v>
      </c>
      <c r="J316" s="3">
        <f t="shared" si="298"/>
        <v>1.2351806616485092E-4</v>
      </c>
      <c r="K316" s="3">
        <f t="shared" si="298"/>
        <v>1.2351806616485092E-4</v>
      </c>
      <c r="L316" s="3">
        <f t="shared" si="298"/>
        <v>1.2351806616485092E-4</v>
      </c>
      <c r="M316" s="3">
        <f t="shared" si="298"/>
        <v>1.2351806616485092E-4</v>
      </c>
      <c r="N316" s="3">
        <f t="shared" si="298"/>
        <v>1.2351806616485092E-4</v>
      </c>
      <c r="O316" s="3">
        <f t="shared" si="298"/>
        <v>1.2351806616485092E-4</v>
      </c>
      <c r="P316" s="3">
        <f t="shared" si="298"/>
        <v>1.2351806616485092E-4</v>
      </c>
      <c r="Q316" s="3">
        <f t="shared" si="298"/>
        <v>1.2351806616485092E-4</v>
      </c>
      <c r="R316" s="3">
        <f t="shared" si="298"/>
        <v>1.2351806616485092E-4</v>
      </c>
      <c r="S316" s="3">
        <f t="shared" si="298"/>
        <v>1.2351806616485089E-4</v>
      </c>
      <c r="T316" s="3">
        <f t="shared" si="298"/>
        <v>1.2351806616485081E-4</v>
      </c>
      <c r="U316" s="3">
        <f t="shared" si="298"/>
        <v>1.2351806616485003E-4</v>
      </c>
      <c r="V316" s="3">
        <f t="shared" si="298"/>
        <v>1.2351806616484184E-4</v>
      </c>
      <c r="W316" s="3">
        <f t="shared" si="298"/>
        <v>1.2351806616476009E-4</v>
      </c>
      <c r="X316" s="3">
        <f t="shared" si="298"/>
        <v>1.2351806616394266E-4</v>
      </c>
      <c r="Y316" s="3">
        <f t="shared" si="298"/>
        <v>1.2351806615576837E-4</v>
      </c>
      <c r="Z316" s="3">
        <f t="shared" si="298"/>
        <v>1.2351806607402535E-4</v>
      </c>
      <c r="AA316" s="3">
        <f t="shared" si="298"/>
        <v>1.2351806525659535E-4</v>
      </c>
      <c r="AB316" s="3">
        <f t="shared" si="298"/>
        <v>1.2351805708229557E-4</v>
      </c>
      <c r="AC316" s="3">
        <f t="shared" si="298"/>
        <v>1.235179753393276E-4</v>
      </c>
      <c r="AD316" s="3">
        <f t="shared" si="298"/>
        <v>1.2351715791262307E-4</v>
      </c>
      <c r="AE316" s="3">
        <f t="shared" si="298"/>
        <v>1.2350898394310159E-4</v>
      </c>
      <c r="AF316" s="3">
        <f t="shared" si="298"/>
        <v>1.2342727399297122E-4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1.0347942973527732E-3</v>
      </c>
      <c r="C318" s="3">
        <f t="shared" si="300"/>
        <v>1.0347942973527732E-3</v>
      </c>
      <c r="D318" s="3">
        <f t="shared" si="300"/>
        <v>1.0347942973527732E-3</v>
      </c>
      <c r="E318" s="3">
        <f t="shared" si="300"/>
        <v>1.0347942973527732E-3</v>
      </c>
      <c r="F318" s="3">
        <f t="shared" si="300"/>
        <v>1.0347942973527732E-3</v>
      </c>
      <c r="G318" s="3">
        <f t="shared" si="300"/>
        <v>1.0347942973527732E-3</v>
      </c>
      <c r="H318" s="3">
        <f t="shared" si="300"/>
        <v>1.0347942973527732E-3</v>
      </c>
      <c r="I318" s="3">
        <f t="shared" si="300"/>
        <v>1.0347942973527732E-3</v>
      </c>
      <c r="J318" s="3">
        <f t="shared" si="300"/>
        <v>1.0347942973527732E-3</v>
      </c>
      <c r="K318" s="3">
        <f t="shared" si="300"/>
        <v>1.0347942973527732E-3</v>
      </c>
      <c r="L318" s="3">
        <f t="shared" si="300"/>
        <v>1.0347942973527732E-3</v>
      </c>
      <c r="M318" s="3">
        <f t="shared" si="300"/>
        <v>1.0347942973527732E-3</v>
      </c>
      <c r="N318" s="3">
        <f t="shared" si="300"/>
        <v>1.0347942973527732E-3</v>
      </c>
      <c r="O318" s="3">
        <f t="shared" si="300"/>
        <v>1.0347942973527732E-3</v>
      </c>
      <c r="P318" s="3">
        <f t="shared" si="300"/>
        <v>1.0347942973527732E-3</v>
      </c>
      <c r="Q318" s="3">
        <f t="shared" si="300"/>
        <v>1.0347942973527732E-3</v>
      </c>
      <c r="R318" s="3">
        <f t="shared" si="300"/>
        <v>1.0347942973527732E-3</v>
      </c>
      <c r="S318" s="3">
        <f t="shared" si="300"/>
        <v>1.0347942973527732E-3</v>
      </c>
      <c r="T318" s="3">
        <f t="shared" si="300"/>
        <v>1.0347942973527732E-3</v>
      </c>
      <c r="U318" s="3">
        <f t="shared" si="300"/>
        <v>1.034794297352773E-3</v>
      </c>
      <c r="V318" s="3">
        <f t="shared" si="300"/>
        <v>1.0347942973527723E-3</v>
      </c>
      <c r="W318" s="3">
        <f t="shared" si="300"/>
        <v>1.0347942973527656E-3</v>
      </c>
      <c r="X318" s="3">
        <f t="shared" si="300"/>
        <v>1.0347942973526971E-3</v>
      </c>
      <c r="Y318" s="3">
        <f t="shared" si="300"/>
        <v>1.0347942973520123E-3</v>
      </c>
      <c r="Z318" s="3">
        <f t="shared" si="300"/>
        <v>1.034794297345164E-3</v>
      </c>
      <c r="AA318" s="3">
        <f t="shared" si="300"/>
        <v>1.0347942972766826E-3</v>
      </c>
      <c r="AB318" s="3">
        <f t="shared" si="300"/>
        <v>1.0347942965918662E-3</v>
      </c>
      <c r="AC318" s="3">
        <f t="shared" si="300"/>
        <v>1.0347942897437027E-3</v>
      </c>
      <c r="AD318" s="3">
        <f t="shared" si="300"/>
        <v>1.0347942212620704E-3</v>
      </c>
      <c r="AE318" s="3">
        <f t="shared" si="300"/>
        <v>1.0347935364459966E-3</v>
      </c>
      <c r="AF318" s="3">
        <f t="shared" si="300"/>
        <v>1.0347866883101845E-3</v>
      </c>
      <c r="AG318" s="3"/>
      <c r="AH318" s="3"/>
    </row>
    <row r="319" spans="1:34" x14ac:dyDescent="0.25">
      <c r="A319" s="79">
        <f>AVERAGE(B319:AF319)</f>
        <v>2.7830798775248869E-2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5.9172962785594939E-2</v>
      </c>
      <c r="M319" s="80">
        <f t="shared" si="301"/>
        <v>5.9581460327413793E-2</v>
      </c>
      <c r="N319" s="80">
        <f t="shared" si="301"/>
        <v>6.2537758304959404E-2</v>
      </c>
      <c r="O319" s="80">
        <f t="shared" si="301"/>
        <v>6.2224840226699864E-2</v>
      </c>
      <c r="P319" s="80">
        <f t="shared" si="301"/>
        <v>7.1113655917166771E-2</v>
      </c>
      <c r="Q319" s="80">
        <f t="shared" si="301"/>
        <v>7.6413848862009678E-2</v>
      </c>
      <c r="R319" s="80">
        <f t="shared" si="301"/>
        <v>5.9656087005572039E-2</v>
      </c>
      <c r="S319" s="80">
        <f t="shared" si="301"/>
        <v>2.3255668547583236E-2</v>
      </c>
      <c r="T319" s="80">
        <f t="shared" si="301"/>
        <v>0.14199569840141243</v>
      </c>
      <c r="U319" s="80">
        <f t="shared" si="301"/>
        <v>0.17944408690756575</v>
      </c>
      <c r="V319" s="80">
        <f t="shared" si="301"/>
        <v>6.7358694746737016E-2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2204816.5803533685</v>
      </c>
      <c r="C320" s="21">
        <f t="shared" ref="C320:AF320" si="302">(C287-C286)^2</f>
        <v>1557668.4476144712</v>
      </c>
      <c r="D320" s="21">
        <f t="shared" si="302"/>
        <v>1045084.884984238</v>
      </c>
      <c r="E320" s="21">
        <f t="shared" si="302"/>
        <v>597684.48964017408</v>
      </c>
      <c r="F320" s="21">
        <f t="shared" si="302"/>
        <v>279258.77578046813</v>
      </c>
      <c r="G320" s="21">
        <f t="shared" si="302"/>
        <v>127727.62541903644</v>
      </c>
      <c r="H320" s="21">
        <f t="shared" si="302"/>
        <v>293756.00681169261</v>
      </c>
      <c r="I320" s="21">
        <f t="shared" si="302"/>
        <v>311189.83602286974</v>
      </c>
      <c r="J320" s="21">
        <f t="shared" si="302"/>
        <v>294686.93676293368</v>
      </c>
      <c r="K320" s="21">
        <f t="shared" si="302"/>
        <v>222422.70796924375</v>
      </c>
      <c r="L320" s="21">
        <f t="shared" si="302"/>
        <v>206654.24710316188</v>
      </c>
      <c r="M320" s="21">
        <f t="shared" si="302"/>
        <v>194600.79736529171</v>
      </c>
      <c r="N320" s="21">
        <f t="shared" si="302"/>
        <v>198947.02621395339</v>
      </c>
      <c r="O320" s="21">
        <f t="shared" si="302"/>
        <v>181401.67858535689</v>
      </c>
      <c r="P320" s="21">
        <f t="shared" si="302"/>
        <v>218466.22673713599</v>
      </c>
      <c r="Q320" s="21">
        <f t="shared" si="302"/>
        <v>225832.08746440202</v>
      </c>
      <c r="R320" s="21">
        <f t="shared" si="302"/>
        <v>115247.15713117877</v>
      </c>
      <c r="S320" s="21">
        <f t="shared" si="302"/>
        <v>12271.700040707947</v>
      </c>
      <c r="T320" s="21">
        <f t="shared" si="302"/>
        <v>283298.43212080857</v>
      </c>
      <c r="U320" s="21">
        <f t="shared" si="302"/>
        <v>270779.47165806254</v>
      </c>
      <c r="V320" s="21">
        <f t="shared" si="302"/>
        <v>22119.045277191497</v>
      </c>
      <c r="W320" s="21">
        <f t="shared" si="302"/>
        <v>5809.2679322223757</v>
      </c>
      <c r="X320" s="21">
        <f t="shared" si="302"/>
        <v>20203.572821729074</v>
      </c>
      <c r="Y320" s="21">
        <f t="shared" si="302"/>
        <v>8307.1040163812886</v>
      </c>
      <c r="Z320" s="21">
        <f t="shared" si="302"/>
        <v>2091.0091615414012</v>
      </c>
      <c r="AA320" s="21">
        <f t="shared" si="302"/>
        <v>194.41200436178684</v>
      </c>
      <c r="AB320" s="21">
        <f t="shared" si="302"/>
        <v>28.633300649122329</v>
      </c>
      <c r="AC320" s="21">
        <f t="shared" si="302"/>
        <v>20.561853253644081</v>
      </c>
      <c r="AD320" s="21">
        <f t="shared" si="302"/>
        <v>10.976267995987012</v>
      </c>
      <c r="AE320" s="21">
        <f t="shared" si="302"/>
        <v>151.09130938307146</v>
      </c>
      <c r="AF320" s="21">
        <f t="shared" si="302"/>
        <v>50.041109113780834</v>
      </c>
      <c r="AG320" s="3"/>
      <c r="AH320" s="3"/>
    </row>
    <row r="321" spans="1:34" x14ac:dyDescent="0.25">
      <c r="A321" s="71">
        <f>SUM(B321:AF321)</f>
        <v>1929617.8696972511</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206654.24710316188</v>
      </c>
      <c r="M321" s="60">
        <f t="shared" ref="M321" si="313">IF($A$64&lt;=M285,IF($B$64&gt;=M285,ABS(M320),0),0)</f>
        <v>194600.79736529171</v>
      </c>
      <c r="N321" s="60">
        <f t="shared" ref="N321" si="314">IF($A$64&lt;=N285,IF($B$64&gt;=N285,ABS(N320),0),0)</f>
        <v>198947.02621395339</v>
      </c>
      <c r="O321" s="60">
        <f t="shared" ref="O321" si="315">IF($A$64&lt;=O285,IF($B$64&gt;=O285,ABS(O320),0),0)</f>
        <v>181401.67858535689</v>
      </c>
      <c r="P321" s="60">
        <f t="shared" ref="P321" si="316">IF($A$64&lt;=P285,IF($B$64&gt;=P285,ABS(P320),0),0)</f>
        <v>218466.22673713599</v>
      </c>
      <c r="Q321" s="60">
        <f t="shared" ref="Q321" si="317">IF($A$64&lt;=Q285,IF($B$64&gt;=Q285,ABS(Q320),0),0)</f>
        <v>225832.08746440202</v>
      </c>
      <c r="R321" s="60">
        <f t="shared" ref="R321" si="318">IF($A$64&lt;=R285,IF($B$64&gt;=R285,ABS(R320),0),0)</f>
        <v>115247.15713117877</v>
      </c>
      <c r="S321" s="60">
        <f t="shared" ref="S321" si="319">IF($A$64&lt;=S285,IF($B$64&gt;=S285,ABS(S320),0),0)</f>
        <v>12271.700040707947</v>
      </c>
      <c r="T321" s="60">
        <f t="shared" ref="T321" si="320">IF($A$64&lt;=T285,IF($B$64&gt;=T285,ABS(T320),0),0)</f>
        <v>283298.43212080857</v>
      </c>
      <c r="U321" s="60">
        <f t="shared" ref="U321" si="321">IF($A$64&lt;=U285,IF($B$64&gt;=U285,ABS(U320),0),0)</f>
        <v>270779.47165806254</v>
      </c>
      <c r="V321" s="60">
        <f t="shared" ref="V321" si="322">IF($A$64&lt;=V285,IF($B$64&gt;=V285,ABS(V320),0),0)</f>
        <v>22119.045277191497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8968.5545584980227</v>
      </c>
      <c r="C326" s="27">
        <f t="shared" ref="C326:AF326" si="333">($C$17+SUM(C327:C357))*$B$51</f>
        <v>8967.2177267903244</v>
      </c>
      <c r="D326" s="27">
        <f t="shared" si="333"/>
        <v>8954.0072386468601</v>
      </c>
      <c r="E326" s="27">
        <f t="shared" si="333"/>
        <v>8836.4424262922421</v>
      </c>
      <c r="F326" s="27">
        <f t="shared" si="333"/>
        <v>8385.8304057033292</v>
      </c>
      <c r="G326" s="27">
        <f t="shared" si="333"/>
        <v>8071.3033617150222</v>
      </c>
      <c r="H326" s="27">
        <f t="shared" si="333"/>
        <v>7730.2347690326369</v>
      </c>
      <c r="I326" s="27">
        <f t="shared" si="333"/>
        <v>7460.9374536464939</v>
      </c>
      <c r="J326" s="27">
        <f t="shared" si="333"/>
        <v>7188.6956030745068</v>
      </c>
      <c r="K326" s="27">
        <f t="shared" si="333"/>
        <v>6925.2098960162757</v>
      </c>
      <c r="L326" s="27">
        <f t="shared" si="333"/>
        <v>6645.5984482264621</v>
      </c>
      <c r="M326" s="27">
        <f t="shared" si="333"/>
        <v>6382.0424505687843</v>
      </c>
      <c r="N326" s="27">
        <f t="shared" si="333"/>
        <v>6053.8102902071287</v>
      </c>
      <c r="O326" s="27">
        <f t="shared" si="333"/>
        <v>5696.0057656661074</v>
      </c>
      <c r="P326" s="27">
        <f t="shared" si="333"/>
        <v>5291.7471966018365</v>
      </c>
      <c r="Q326" s="27">
        <f t="shared" si="333"/>
        <v>4807.9891097569425</v>
      </c>
      <c r="R326" s="27">
        <f t="shared" si="333"/>
        <v>4190.0053716336197</v>
      </c>
      <c r="S326" s="27">
        <f t="shared" si="333"/>
        <v>3289.8118318252968</v>
      </c>
      <c r="T326" s="27">
        <f t="shared" si="333"/>
        <v>2253.3739581662626</v>
      </c>
      <c r="U326" s="27">
        <f t="shared" si="333"/>
        <v>1457.89513632137</v>
      </c>
      <c r="V326" s="27">
        <f t="shared" si="333"/>
        <v>942.44235964127404</v>
      </c>
      <c r="W326" s="27">
        <f t="shared" si="333"/>
        <v>668.54388404707697</v>
      </c>
      <c r="X326" s="27">
        <f t="shared" si="333"/>
        <v>525.36554788070805</v>
      </c>
      <c r="Y326" s="27">
        <f t="shared" si="333"/>
        <v>458.35165822627511</v>
      </c>
      <c r="Z326" s="27">
        <f t="shared" si="333"/>
        <v>416.48926599864024</v>
      </c>
      <c r="AA326" s="27">
        <f t="shared" si="333"/>
        <v>393.48637593303494</v>
      </c>
      <c r="AB326" s="27">
        <f t="shared" si="333"/>
        <v>378.91904444895511</v>
      </c>
      <c r="AC326" s="27">
        <f t="shared" si="333"/>
        <v>358.27210258558222</v>
      </c>
      <c r="AD326" s="27">
        <f t="shared" si="333"/>
        <v>349.6294706857505</v>
      </c>
      <c r="AE326" s="27">
        <f t="shared" si="333"/>
        <v>346.77721294794162</v>
      </c>
      <c r="AF326" s="27">
        <f t="shared" si="333"/>
        <v>344.65559108728098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4.9162611130406604E-2</v>
      </c>
      <c r="C328" s="3">
        <f t="shared" si="335"/>
        <v>4.9051255184326868E-2</v>
      </c>
      <c r="D328" s="3">
        <f t="shared" si="335"/>
        <v>4.7951474378237942E-2</v>
      </c>
      <c r="E328" s="3">
        <f t="shared" si="335"/>
        <v>3.8222612254154999E-2</v>
      </c>
      <c r="F328" s="3">
        <f t="shared" si="335"/>
        <v>3.9582604023125391E-3</v>
      </c>
      <c r="G328" s="3">
        <f t="shared" si="335"/>
        <v>5.6149298079065664E-13</v>
      </c>
      <c r="H328" s="3">
        <f t="shared" si="335"/>
        <v>1.8524394835571243E-111</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2.530785567427439E-2</v>
      </c>
      <c r="C329" s="3">
        <f t="shared" si="336"/>
        <v>2.5302679268567371E-2</v>
      </c>
      <c r="D329" s="3">
        <f t="shared" si="336"/>
        <v>2.5250973408081235E-2</v>
      </c>
      <c r="E329" s="3">
        <f t="shared" si="336"/>
        <v>2.4739690654573248E-2</v>
      </c>
      <c r="F329" s="3">
        <f t="shared" si="336"/>
        <v>2.016302406916894E-2</v>
      </c>
      <c r="G329" s="3">
        <f t="shared" si="336"/>
        <v>2.607172130227754E-3</v>
      </c>
      <c r="H329" s="3">
        <f t="shared" si="336"/>
        <v>3.4065131499224938E-12</v>
      </c>
      <c r="I329" s="3">
        <f t="shared" si="336"/>
        <v>4.9398494930043938E-101</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3.4194446604345667E-2</v>
      </c>
      <c r="C330" s="3">
        <f t="shared" si="337"/>
        <v>3.4193815624423279E-2</v>
      </c>
      <c r="D330" s="3">
        <f t="shared" si="337"/>
        <v>3.4187506465544582E-2</v>
      </c>
      <c r="E330" s="3">
        <f t="shared" si="337"/>
        <v>3.412447886757785E-2</v>
      </c>
      <c r="F330" s="3">
        <f t="shared" si="337"/>
        <v>3.3500558494613496E-2</v>
      </c>
      <c r="G330" s="3">
        <f t="shared" si="337"/>
        <v>2.785558238013662E-2</v>
      </c>
      <c r="H330" s="3">
        <f t="shared" si="337"/>
        <v>4.4006233319675075E-3</v>
      </c>
      <c r="I330" s="3">
        <f t="shared" si="337"/>
        <v>4.2612178747079291E-11</v>
      </c>
      <c r="J330" s="3">
        <f t="shared" si="337"/>
        <v>3.0883689019408636E-91</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2.2721572735261611E-2</v>
      </c>
      <c r="C331" s="3">
        <f t="shared" si="338"/>
        <v>2.2721534912904909E-2</v>
      </c>
      <c r="D331" s="3">
        <f t="shared" si="338"/>
        <v>2.2721156692800629E-2</v>
      </c>
      <c r="E331" s="3">
        <f t="shared" si="338"/>
        <v>2.2717374838010045E-2</v>
      </c>
      <c r="F331" s="3">
        <f t="shared" si="338"/>
        <v>2.2679590894009078E-2</v>
      </c>
      <c r="G331" s="3">
        <f t="shared" si="338"/>
        <v>2.230519062640525E-2</v>
      </c>
      <c r="H331" s="3">
        <f t="shared" si="338"/>
        <v>1.8884833861109462E-2</v>
      </c>
      <c r="I331" s="3">
        <f t="shared" si="338"/>
        <v>3.5742544073851974E-3</v>
      </c>
      <c r="J331" s="3">
        <f t="shared" si="338"/>
        <v>2.1081834044806704E-10</v>
      </c>
      <c r="K331" s="3">
        <f t="shared" si="338"/>
        <v>1.0743299402882086E-82</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2.5892609886385969E-2</v>
      </c>
      <c r="C332" s="3">
        <f t="shared" si="339"/>
        <v>2.5892605998326084E-2</v>
      </c>
      <c r="D332" s="3">
        <f t="shared" si="339"/>
        <v>2.5892567117759384E-2</v>
      </c>
      <c r="E332" s="3">
        <f t="shared" si="339"/>
        <v>2.5892178315303452E-2</v>
      </c>
      <c r="F332" s="3">
        <f t="shared" si="339"/>
        <v>2.588829061183353E-2</v>
      </c>
      <c r="G332" s="3">
        <f t="shared" si="339"/>
        <v>2.5849445668245267E-2</v>
      </c>
      <c r="H332" s="3">
        <f t="shared" si="339"/>
        <v>2.5464187585161651E-2</v>
      </c>
      <c r="I332" s="3">
        <f t="shared" si="339"/>
        <v>2.191370099482607E-2</v>
      </c>
      <c r="J332" s="3">
        <f t="shared" si="339"/>
        <v>4.8817417157643837E-3</v>
      </c>
      <c r="K332" s="3">
        <f t="shared" si="339"/>
        <v>1.4694860305932599E-9</v>
      </c>
      <c r="L332" s="3">
        <f t="shared" si="339"/>
        <v>8.9757779744366926E-75</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2.3275396500920375E-2</v>
      </c>
      <c r="C333" s="3">
        <f t="shared" si="340"/>
        <v>2.327539618563718E-2</v>
      </c>
      <c r="D333" s="3">
        <f t="shared" si="340"/>
        <v>2.3275393032805444E-2</v>
      </c>
      <c r="E333" s="3">
        <f t="shared" si="340"/>
        <v>2.327536150451159E-2</v>
      </c>
      <c r="F333" s="3">
        <f t="shared" si="340"/>
        <v>2.3275046223921941E-2</v>
      </c>
      <c r="G333" s="3">
        <f t="shared" si="340"/>
        <v>2.3271893652903858E-2</v>
      </c>
      <c r="H333" s="3">
        <f t="shared" si="340"/>
        <v>2.324039141879505E-2</v>
      </c>
      <c r="I333" s="3">
        <f t="shared" si="340"/>
        <v>2.2927704961363992E-2</v>
      </c>
      <c r="J333" s="3">
        <f t="shared" si="340"/>
        <v>2.0023133687014229E-2</v>
      </c>
      <c r="K333" s="3">
        <f t="shared" si="340"/>
        <v>5.167097684230417E-3</v>
      </c>
      <c r="L333" s="3">
        <f t="shared" si="340"/>
        <v>6.7669492880028055E-9</v>
      </c>
      <c r="M333" s="3">
        <f t="shared" si="340"/>
        <v>1.004281403103969E-67</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2.725942733752202E-2</v>
      </c>
      <c r="C334" s="3">
        <f t="shared" si="341"/>
        <v>2.7259427304212602E-2</v>
      </c>
      <c r="D334" s="3">
        <f t="shared" si="341"/>
        <v>2.7259426971118411E-2</v>
      </c>
      <c r="E334" s="3">
        <f t="shared" si="341"/>
        <v>2.7259423640176746E-2</v>
      </c>
      <c r="F334" s="3">
        <f t="shared" si="341"/>
        <v>2.7259390330782472E-2</v>
      </c>
      <c r="G334" s="3">
        <f t="shared" si="341"/>
        <v>2.7259057239078351E-2</v>
      </c>
      <c r="H334" s="3">
        <f t="shared" si="341"/>
        <v>2.7255726545887701E-2</v>
      </c>
      <c r="I334" s="3">
        <f t="shared" si="341"/>
        <v>2.7222441988923894E-2</v>
      </c>
      <c r="J334" s="3">
        <f t="shared" si="341"/>
        <v>2.6891823830411693E-2</v>
      </c>
      <c r="K334" s="3">
        <f t="shared" si="341"/>
        <v>2.3798633594058604E-2</v>
      </c>
      <c r="L334" s="3">
        <f t="shared" si="341"/>
        <v>7.01244832155866E-3</v>
      </c>
      <c r="M334" s="3">
        <f t="shared" si="341"/>
        <v>3.4597616853715733E-8</v>
      </c>
      <c r="N334" s="3">
        <f t="shared" si="341"/>
        <v>2.9567274677978901E-61</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2.1214287036525115E-2</v>
      </c>
      <c r="C335" s="3">
        <f t="shared" si="342"/>
        <v>2.1214287034186676E-2</v>
      </c>
      <c r="D335" s="3">
        <f t="shared" si="342"/>
        <v>2.1214287010802323E-2</v>
      </c>
      <c r="E335" s="3">
        <f t="shared" si="342"/>
        <v>2.1214286776958795E-2</v>
      </c>
      <c r="F335" s="3">
        <f t="shared" si="342"/>
        <v>2.1214284438523624E-2</v>
      </c>
      <c r="G335" s="3">
        <f t="shared" si="342"/>
        <v>2.1214261054186119E-2</v>
      </c>
      <c r="H335" s="3">
        <f t="shared" si="342"/>
        <v>2.121402721222878E-2</v>
      </c>
      <c r="I335" s="3">
        <f t="shared" si="342"/>
        <v>2.1211688934419153E-2</v>
      </c>
      <c r="J335" s="3">
        <f t="shared" si="342"/>
        <v>2.1188320326921074E-2</v>
      </c>
      <c r="K335" s="3">
        <f t="shared" si="342"/>
        <v>2.0956045549308237E-2</v>
      </c>
      <c r="L335" s="3">
        <f t="shared" si="342"/>
        <v>1.876883736174511E-2</v>
      </c>
      <c r="M335" s="3">
        <f t="shared" si="342"/>
        <v>6.2332959012280356E-3</v>
      </c>
      <c r="N335" s="3">
        <f t="shared" si="342"/>
        <v>1.0174696689119199E-7</v>
      </c>
      <c r="O335" s="3">
        <f t="shared" si="342"/>
        <v>1.3663398972124122E-55</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3.4718036830438191E-2</v>
      </c>
      <c r="C336" s="3">
        <f t="shared" si="343"/>
        <v>3.4718036830092967E-2</v>
      </c>
      <c r="D336" s="3">
        <f t="shared" si="343"/>
        <v>3.471803682664075E-2</v>
      </c>
      <c r="E336" s="3">
        <f t="shared" si="343"/>
        <v>3.4718036792118531E-2</v>
      </c>
      <c r="F336" s="3">
        <f t="shared" si="343"/>
        <v>3.4718036446896368E-2</v>
      </c>
      <c r="G336" s="3">
        <f t="shared" si="343"/>
        <v>3.4718032994674922E-2</v>
      </c>
      <c r="H336" s="3">
        <f t="shared" si="343"/>
        <v>3.4717998472479319E-2</v>
      </c>
      <c r="I336" s="3">
        <f t="shared" si="343"/>
        <v>3.4717653252411308E-2</v>
      </c>
      <c r="J336" s="3">
        <f t="shared" si="343"/>
        <v>3.4714201240524746E-2</v>
      </c>
      <c r="K336" s="3">
        <f t="shared" si="343"/>
        <v>3.4679699994068697E-2</v>
      </c>
      <c r="L336" s="3">
        <f t="shared" si="343"/>
        <v>3.4336567845486422E-2</v>
      </c>
      <c r="M336" s="3">
        <f t="shared" si="343"/>
        <v>3.1086540200610652E-2</v>
      </c>
      <c r="N336" s="3">
        <f t="shared" si="343"/>
        <v>1.1500784352829791E-2</v>
      </c>
      <c r="O336" s="3">
        <f t="shared" si="343"/>
        <v>5.5243115909421987E-7</v>
      </c>
      <c r="P336" s="3">
        <f t="shared" si="343"/>
        <v>3.6123117829945386E-50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3.0541725700357163E-2</v>
      </c>
      <c r="C337" s="3">
        <f t="shared" si="344"/>
        <v>3.0541725700329769E-2</v>
      </c>
      <c r="D337" s="3">
        <f t="shared" si="344"/>
        <v>3.0541725700055814E-2</v>
      </c>
      <c r="E337" s="3">
        <f t="shared" si="344"/>
        <v>3.0541725697316231E-2</v>
      </c>
      <c r="F337" s="3">
        <f t="shared" si="344"/>
        <v>3.0541725669920455E-2</v>
      </c>
      <c r="G337" s="3">
        <f t="shared" si="344"/>
        <v>3.054172539596265E-2</v>
      </c>
      <c r="H337" s="3">
        <f t="shared" si="344"/>
        <v>3.0541722656384759E-2</v>
      </c>
      <c r="I337" s="3">
        <f t="shared" si="344"/>
        <v>3.0541695260619357E-2</v>
      </c>
      <c r="J337" s="3">
        <f t="shared" si="344"/>
        <v>3.0541421304316922E-2</v>
      </c>
      <c r="K337" s="3">
        <f t="shared" si="344"/>
        <v>3.0538681876443926E-2</v>
      </c>
      <c r="L337" s="3">
        <f t="shared" si="344"/>
        <v>3.0511301108366591E-2</v>
      </c>
      <c r="M337" s="3">
        <f t="shared" si="344"/>
        <v>3.0238840019570265E-2</v>
      </c>
      <c r="N337" s="3">
        <f t="shared" si="344"/>
        <v>2.7644524363829016E-2</v>
      </c>
      <c r="O337" s="3">
        <f t="shared" si="344"/>
        <v>1.1273248223868691E-2</v>
      </c>
      <c r="P337" s="3">
        <f t="shared" si="344"/>
        <v>1.4336678501151054E-6</v>
      </c>
      <c r="Q337" s="3">
        <f t="shared" si="344"/>
        <v>1.5865118195821885E-45</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4.0592217810354408E-2</v>
      </c>
      <c r="C338" s="3">
        <f t="shared" si="345"/>
        <v>4.0592217810351126E-2</v>
      </c>
      <c r="D338" s="3">
        <f t="shared" si="345"/>
        <v>4.0592217810318285E-2</v>
      </c>
      <c r="E338" s="3">
        <f t="shared" si="345"/>
        <v>4.0592217809989825E-2</v>
      </c>
      <c r="F338" s="3">
        <f t="shared" si="345"/>
        <v>4.0592217806705244E-2</v>
      </c>
      <c r="G338" s="3">
        <f t="shared" si="345"/>
        <v>4.0592217773859476E-2</v>
      </c>
      <c r="H338" s="3">
        <f t="shared" si="345"/>
        <v>4.059221744540175E-2</v>
      </c>
      <c r="I338" s="3">
        <f t="shared" si="345"/>
        <v>4.0592214160824702E-2</v>
      </c>
      <c r="J338" s="3">
        <f t="shared" si="345"/>
        <v>4.0592181315068837E-2</v>
      </c>
      <c r="K338" s="3">
        <f t="shared" si="345"/>
        <v>4.0591852858971898E-2</v>
      </c>
      <c r="L338" s="3">
        <f t="shared" si="345"/>
        <v>4.0588568444174584E-2</v>
      </c>
      <c r="M338" s="3">
        <f t="shared" si="345"/>
        <v>4.0555738909033689E-2</v>
      </c>
      <c r="N338" s="3">
        <f t="shared" si="345"/>
        <v>4.0228900475352984E-2</v>
      </c>
      <c r="O338" s="3">
        <f t="shared" si="345"/>
        <v>3.7101938839344338E-2</v>
      </c>
      <c r="P338" s="3">
        <f t="shared" si="345"/>
        <v>1.651889640851651E-2</v>
      </c>
      <c r="Q338" s="3">
        <f t="shared" si="345"/>
        <v>5.0562119973859363E-6</v>
      </c>
      <c r="R338" s="3">
        <f t="shared" si="345"/>
        <v>3.6497887311874587E-41</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4.4579554777240758E-2</v>
      </c>
      <c r="C339" s="3">
        <f t="shared" si="346"/>
        <v>4.4579554777240432E-2</v>
      </c>
      <c r="D339" s="3">
        <f t="shared" si="346"/>
        <v>4.4579554777237178E-2</v>
      </c>
      <c r="E339" s="3">
        <f t="shared" si="346"/>
        <v>4.4579554777204641E-2</v>
      </c>
      <c r="F339" s="3">
        <f t="shared" si="346"/>
        <v>4.4579554776879235E-2</v>
      </c>
      <c r="G339" s="3">
        <f t="shared" si="346"/>
        <v>4.4579554773625227E-2</v>
      </c>
      <c r="H339" s="3">
        <f t="shared" si="346"/>
        <v>4.4579554741085117E-2</v>
      </c>
      <c r="I339" s="3">
        <f t="shared" si="346"/>
        <v>4.4579554415684015E-2</v>
      </c>
      <c r="J339" s="3">
        <f t="shared" si="346"/>
        <v>4.4579551161673198E-2</v>
      </c>
      <c r="K339" s="3">
        <f t="shared" si="346"/>
        <v>4.4579518621577996E-2</v>
      </c>
      <c r="L339" s="3">
        <f t="shared" si="346"/>
        <v>4.4579193221932385E-2</v>
      </c>
      <c r="M339" s="3">
        <f t="shared" si="346"/>
        <v>4.4575939356108998E-2</v>
      </c>
      <c r="N339" s="3">
        <f t="shared" si="346"/>
        <v>4.4543413757619353E-2</v>
      </c>
      <c r="O339" s="3">
        <f t="shared" si="346"/>
        <v>4.4219460226904574E-2</v>
      </c>
      <c r="P339" s="3">
        <f t="shared" si="346"/>
        <v>4.1106720356737431E-2</v>
      </c>
      <c r="Q339" s="3">
        <f t="shared" si="346"/>
        <v>1.9811015808196664E-2</v>
      </c>
      <c r="R339" s="3">
        <f t="shared" si="346"/>
        <v>1.3392014288627286E-5</v>
      </c>
      <c r="S339" s="3">
        <f t="shared" si="346"/>
        <v>2.6683174660807643E-37</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6.207955979387271E-2</v>
      </c>
      <c r="C340" s="3">
        <f t="shared" si="347"/>
        <v>6.2079559793872668E-2</v>
      </c>
      <c r="D340" s="3">
        <f t="shared" si="347"/>
        <v>6.2079559793872259E-2</v>
      </c>
      <c r="E340" s="3">
        <f t="shared" si="347"/>
        <v>6.2079559793868172E-2</v>
      </c>
      <c r="F340" s="3">
        <f t="shared" si="347"/>
        <v>6.2079559793827295E-2</v>
      </c>
      <c r="G340" s="3">
        <f t="shared" si="347"/>
        <v>6.2079559793418525E-2</v>
      </c>
      <c r="H340" s="3">
        <f t="shared" si="347"/>
        <v>6.2079559789330836E-2</v>
      </c>
      <c r="I340" s="3">
        <f t="shared" si="347"/>
        <v>6.2079559748453882E-2</v>
      </c>
      <c r="J340" s="3">
        <f t="shared" si="347"/>
        <v>6.2079559339684363E-2</v>
      </c>
      <c r="K340" s="3">
        <f t="shared" si="347"/>
        <v>6.207955525198932E-2</v>
      </c>
      <c r="L340" s="3">
        <f t="shared" si="347"/>
        <v>6.2079514375053713E-2</v>
      </c>
      <c r="M340" s="3">
        <f t="shared" si="347"/>
        <v>6.2079105607177984E-2</v>
      </c>
      <c r="N340" s="3">
        <f t="shared" si="347"/>
        <v>6.207501807645395E-2</v>
      </c>
      <c r="O340" s="3">
        <f t="shared" si="347"/>
        <v>6.2034157568934156E-2</v>
      </c>
      <c r="P340" s="3">
        <f t="shared" si="347"/>
        <v>6.1627028866467516E-2</v>
      </c>
      <c r="Q340" s="3">
        <f t="shared" si="347"/>
        <v>5.7699844695693267E-2</v>
      </c>
      <c r="R340" s="3">
        <f t="shared" si="347"/>
        <v>2.9868181657758477E-2</v>
      </c>
      <c r="S340" s="3">
        <f t="shared" si="347"/>
        <v>4.1261991213486294E-5</v>
      </c>
      <c r="T340" s="3">
        <f t="shared" si="347"/>
        <v>1.0446340180441256E-33</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0.10578931784531295</v>
      </c>
      <c r="C341" s="3">
        <f t="shared" si="348"/>
        <v>0.10578931784531294</v>
      </c>
      <c r="D341" s="3">
        <f t="shared" si="348"/>
        <v>0.10578931784531288</v>
      </c>
      <c r="E341" s="3">
        <f t="shared" si="348"/>
        <v>0.10578931784531226</v>
      </c>
      <c r="F341" s="3">
        <f t="shared" si="348"/>
        <v>0.10578931784530597</v>
      </c>
      <c r="G341" s="3">
        <f t="shared" si="348"/>
        <v>0.10578931784524313</v>
      </c>
      <c r="H341" s="3">
        <f t="shared" si="348"/>
        <v>0.10578931784461476</v>
      </c>
      <c r="I341" s="3">
        <f t="shared" si="348"/>
        <v>0.10578931783833102</v>
      </c>
      <c r="J341" s="3">
        <f t="shared" si="348"/>
        <v>0.10578931777549361</v>
      </c>
      <c r="K341" s="3">
        <f t="shared" si="348"/>
        <v>0.1057893171471195</v>
      </c>
      <c r="L341" s="3">
        <f t="shared" si="348"/>
        <v>0.1057893108633786</v>
      </c>
      <c r="M341" s="3">
        <f t="shared" si="348"/>
        <v>0.1057892480259902</v>
      </c>
      <c r="N341" s="3">
        <f t="shared" si="348"/>
        <v>0.10578861965415895</v>
      </c>
      <c r="O341" s="3">
        <f t="shared" si="348"/>
        <v>0.10578233614112655</v>
      </c>
      <c r="P341" s="3">
        <f t="shared" si="348"/>
        <v>0.10571952153430118</v>
      </c>
      <c r="Q341" s="3">
        <f t="shared" si="348"/>
        <v>0.1050934233125069</v>
      </c>
      <c r="R341" s="3">
        <f t="shared" si="348"/>
        <v>9.9032795700904425E-2</v>
      </c>
      <c r="S341" s="3">
        <f t="shared" si="348"/>
        <v>5.4678179128355639E-2</v>
      </c>
      <c r="T341" s="3">
        <f t="shared" si="348"/>
        <v>1.4393422838444479E-4</v>
      </c>
      <c r="U341" s="3">
        <f t="shared" si="348"/>
        <v>2.2996645420904861E-30</v>
      </c>
      <c r="V341" s="3">
        <f t="shared" si="348"/>
        <v>2.4926915394096321E-288</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8.5446045134986312E-2</v>
      </c>
      <c r="C342" s="3">
        <f t="shared" si="349"/>
        <v>8.5446045134986312E-2</v>
      </c>
      <c r="D342" s="3">
        <f t="shared" si="349"/>
        <v>8.5446045134986298E-2</v>
      </c>
      <c r="E342" s="3">
        <f t="shared" si="349"/>
        <v>8.544604513498627E-2</v>
      </c>
      <c r="F342" s="3">
        <f t="shared" si="349"/>
        <v>8.5446045134985799E-2</v>
      </c>
      <c r="G342" s="3">
        <f t="shared" si="349"/>
        <v>8.5446045134981233E-2</v>
      </c>
      <c r="H342" s="3">
        <f t="shared" si="349"/>
        <v>8.5446045134935436E-2</v>
      </c>
      <c r="I342" s="3">
        <f t="shared" si="349"/>
        <v>8.5446045134477608E-2</v>
      </c>
      <c r="J342" s="3">
        <f t="shared" si="349"/>
        <v>8.5446045129899187E-2</v>
      </c>
      <c r="K342" s="3">
        <f t="shared" si="349"/>
        <v>8.5446045084115047E-2</v>
      </c>
      <c r="L342" s="3">
        <f t="shared" si="349"/>
        <v>8.5446044626273684E-2</v>
      </c>
      <c r="M342" s="3">
        <f t="shared" si="349"/>
        <v>8.5446040047860217E-2</v>
      </c>
      <c r="N342" s="3">
        <f t="shared" si="349"/>
        <v>8.5445994263738986E-2</v>
      </c>
      <c r="O342" s="3">
        <f t="shared" si="349"/>
        <v>8.5445536423875923E-2</v>
      </c>
      <c r="P342" s="3">
        <f t="shared" si="349"/>
        <v>8.5440958160170041E-2</v>
      </c>
      <c r="Q342" s="3">
        <f t="shared" si="349"/>
        <v>8.5395189012898706E-2</v>
      </c>
      <c r="R342" s="3">
        <f t="shared" si="349"/>
        <v>8.49388438483452E-2</v>
      </c>
      <c r="S342" s="3">
        <f t="shared" si="349"/>
        <v>8.050739171552003E-2</v>
      </c>
      <c r="T342" s="3">
        <f t="shared" si="349"/>
        <v>4.7111818653937119E-2</v>
      </c>
      <c r="U342" s="3">
        <f t="shared" si="349"/>
        <v>2.2185590877023015E-4</v>
      </c>
      <c r="V342" s="3">
        <f t="shared" si="349"/>
        <v>1.1898228449825314E-27</v>
      </c>
      <c r="W342" s="3">
        <f t="shared" si="349"/>
        <v>2.3420455459474571E-260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5.8777528752493244E-2</v>
      </c>
      <c r="C343" s="3">
        <f t="shared" si="350"/>
        <v>5.8777528752493244E-2</v>
      </c>
      <c r="D343" s="3">
        <f t="shared" si="350"/>
        <v>5.8777528752493244E-2</v>
      </c>
      <c r="E343" s="3">
        <f t="shared" si="350"/>
        <v>5.8777528752493244E-2</v>
      </c>
      <c r="F343" s="3">
        <f t="shared" si="350"/>
        <v>5.8777528752493209E-2</v>
      </c>
      <c r="G343" s="3">
        <f t="shared" si="350"/>
        <v>5.8777528752492932E-2</v>
      </c>
      <c r="H343" s="3">
        <f t="shared" si="350"/>
        <v>5.8777528752490087E-2</v>
      </c>
      <c r="I343" s="3">
        <f t="shared" si="350"/>
        <v>5.8777528752461679E-2</v>
      </c>
      <c r="J343" s="3">
        <f t="shared" si="350"/>
        <v>5.8777528752177566E-2</v>
      </c>
      <c r="K343" s="3">
        <f t="shared" si="350"/>
        <v>5.8777528749336512E-2</v>
      </c>
      <c r="L343" s="3">
        <f t="shared" si="350"/>
        <v>5.877752872092587E-2</v>
      </c>
      <c r="M343" s="3">
        <f t="shared" si="350"/>
        <v>5.87775284368195E-2</v>
      </c>
      <c r="N343" s="3">
        <f t="shared" si="350"/>
        <v>5.8777525595755879E-2</v>
      </c>
      <c r="O343" s="3">
        <f t="shared" si="350"/>
        <v>5.8777497185127196E-2</v>
      </c>
      <c r="P343" s="3">
        <f t="shared" si="350"/>
        <v>5.8777213079595637E-2</v>
      </c>
      <c r="Q343" s="3">
        <f t="shared" si="350"/>
        <v>5.8774372099807543E-2</v>
      </c>
      <c r="R343" s="3">
        <f t="shared" si="350"/>
        <v>5.8745969853318508E-2</v>
      </c>
      <c r="S343" s="3">
        <f t="shared" si="350"/>
        <v>5.8462701178858704E-2</v>
      </c>
      <c r="T343" s="3">
        <f t="shared" si="350"/>
        <v>5.5704062630018515E-2</v>
      </c>
      <c r="U343" s="3">
        <f t="shared" si="350"/>
        <v>3.4353168624366499E-2</v>
      </c>
      <c r="V343" s="3">
        <f t="shared" si="350"/>
        <v>2.7337960272830105E-4</v>
      </c>
      <c r="W343" s="3">
        <f t="shared" si="350"/>
        <v>2.7845766508018828E-25</v>
      </c>
      <c r="X343" s="3">
        <f t="shared" si="350"/>
        <v>3.347263241898033E-235</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3.044822143643108E-2</v>
      </c>
      <c r="C344" s="3">
        <f t="shared" si="351"/>
        <v>3.044822143643108E-2</v>
      </c>
      <c r="D344" s="3">
        <f t="shared" si="351"/>
        <v>3.044822143643108E-2</v>
      </c>
      <c r="E344" s="3">
        <f t="shared" si="351"/>
        <v>3.044822143643108E-2</v>
      </c>
      <c r="F344" s="3">
        <f t="shared" si="351"/>
        <v>3.044822143643108E-2</v>
      </c>
      <c r="G344" s="3">
        <f t="shared" si="351"/>
        <v>3.0448221436431066E-2</v>
      </c>
      <c r="H344" s="3">
        <f t="shared" si="351"/>
        <v>3.0448221436430931E-2</v>
      </c>
      <c r="I344" s="3">
        <f t="shared" si="351"/>
        <v>3.0448221436429605E-2</v>
      </c>
      <c r="J344" s="3">
        <f t="shared" si="351"/>
        <v>3.0448221436416328E-2</v>
      </c>
      <c r="K344" s="3">
        <f t="shared" si="351"/>
        <v>3.0448221436283566E-2</v>
      </c>
      <c r="L344" s="3">
        <f t="shared" si="351"/>
        <v>3.044822143495593E-2</v>
      </c>
      <c r="M344" s="3">
        <f t="shared" si="351"/>
        <v>3.0448221421679595E-2</v>
      </c>
      <c r="N344" s="3">
        <f t="shared" si="351"/>
        <v>3.0448221288916257E-2</v>
      </c>
      <c r="O344" s="3">
        <f t="shared" si="351"/>
        <v>3.0448219961282889E-2</v>
      </c>
      <c r="P344" s="3">
        <f t="shared" si="351"/>
        <v>3.0448206684952416E-2</v>
      </c>
      <c r="Q344" s="3">
        <f t="shared" si="351"/>
        <v>3.0448073921966044E-2</v>
      </c>
      <c r="R344" s="3">
        <f t="shared" si="351"/>
        <v>3.0446746323940597E-2</v>
      </c>
      <c r="S344" s="3">
        <f t="shared" si="351"/>
        <v>3.0433473526998461E-2</v>
      </c>
      <c r="T344" s="3">
        <f t="shared" si="351"/>
        <v>3.0301063375842305E-2</v>
      </c>
      <c r="U344" s="3">
        <f t="shared" si="351"/>
        <v>2.9008236876489991E-2</v>
      </c>
      <c r="V344" s="3">
        <f t="shared" si="351"/>
        <v>1.8756679905116255E-2</v>
      </c>
      <c r="W344" s="3">
        <f t="shared" si="351"/>
        <v>2.3960854674898009E-4</v>
      </c>
      <c r="X344" s="3">
        <f t="shared" si="351"/>
        <v>2.7731009953204558E-23</v>
      </c>
      <c r="Y344" s="3">
        <f t="shared" si="351"/>
        <v>1.195637430733382E-212</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1.5917825428886163E-2</v>
      </c>
      <c r="C345" s="3">
        <f t="shared" si="352"/>
        <v>1.5917825428886163E-2</v>
      </c>
      <c r="D345" s="3">
        <f t="shared" si="352"/>
        <v>1.5917825428886163E-2</v>
      </c>
      <c r="E345" s="3">
        <f t="shared" si="352"/>
        <v>1.5917825428886163E-2</v>
      </c>
      <c r="F345" s="3">
        <f t="shared" si="352"/>
        <v>1.5917825428886163E-2</v>
      </c>
      <c r="G345" s="3">
        <f t="shared" si="352"/>
        <v>1.5917825428886163E-2</v>
      </c>
      <c r="H345" s="3">
        <f t="shared" si="352"/>
        <v>1.5917825428886156E-2</v>
      </c>
      <c r="I345" s="3">
        <f t="shared" si="352"/>
        <v>1.5917825428886093E-2</v>
      </c>
      <c r="J345" s="3">
        <f t="shared" si="352"/>
        <v>1.5917825428885465E-2</v>
      </c>
      <c r="K345" s="3">
        <f t="shared" si="352"/>
        <v>1.5917825428879206E-2</v>
      </c>
      <c r="L345" s="3">
        <f t="shared" si="352"/>
        <v>1.5917825428816597E-2</v>
      </c>
      <c r="M345" s="3">
        <f t="shared" si="352"/>
        <v>1.591782542819049E-2</v>
      </c>
      <c r="N345" s="3">
        <f t="shared" si="352"/>
        <v>1.591782542192945E-2</v>
      </c>
      <c r="O345" s="3">
        <f t="shared" si="352"/>
        <v>1.5917825359319036E-2</v>
      </c>
      <c r="P345" s="3">
        <f t="shared" si="352"/>
        <v>1.5917824733214923E-2</v>
      </c>
      <c r="Q345" s="3">
        <f t="shared" si="352"/>
        <v>1.5917818472175119E-2</v>
      </c>
      <c r="R345" s="3">
        <f t="shared" si="352"/>
        <v>1.5917755861912533E-2</v>
      </c>
      <c r="S345" s="3">
        <f t="shared" si="352"/>
        <v>1.5917129772831256E-2</v>
      </c>
      <c r="T345" s="3">
        <f t="shared" si="352"/>
        <v>1.5910870236277911E-2</v>
      </c>
      <c r="U345" s="3">
        <f t="shared" si="352"/>
        <v>1.5848410099802753E-2</v>
      </c>
      <c r="V345" s="3">
        <f t="shared" si="352"/>
        <v>1.5237136890031474E-2</v>
      </c>
      <c r="W345" s="3">
        <f t="shared" si="352"/>
        <v>1.0282058140389912E-2</v>
      </c>
      <c r="X345" s="3">
        <f t="shared" si="352"/>
        <v>2.013014557054394E-4</v>
      </c>
      <c r="Y345" s="3">
        <f t="shared" si="352"/>
        <v>1.6653883320136171E-21</v>
      </c>
      <c r="Z345" s="3">
        <f t="shared" si="352"/>
        <v>2.5015059410046318E-192</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7.4710107179745602E-3</v>
      </c>
      <c r="C346" s="3">
        <f t="shared" si="353"/>
        <v>7.4710107179745602E-3</v>
      </c>
      <c r="D346" s="3">
        <f t="shared" si="353"/>
        <v>7.4710107179745602E-3</v>
      </c>
      <c r="E346" s="3">
        <f t="shared" si="353"/>
        <v>7.4710107179745602E-3</v>
      </c>
      <c r="F346" s="3">
        <f t="shared" si="353"/>
        <v>7.4710107179745602E-3</v>
      </c>
      <c r="G346" s="3">
        <f t="shared" si="353"/>
        <v>7.4710107179745602E-3</v>
      </c>
      <c r="H346" s="3">
        <f t="shared" si="353"/>
        <v>7.4710107179745602E-3</v>
      </c>
      <c r="I346" s="3">
        <f t="shared" si="353"/>
        <v>7.4710107179745567E-3</v>
      </c>
      <c r="J346" s="3">
        <f t="shared" si="353"/>
        <v>7.4710107179745307E-3</v>
      </c>
      <c r="K346" s="3">
        <f t="shared" si="353"/>
        <v>7.4710107179742661E-3</v>
      </c>
      <c r="L346" s="3">
        <f t="shared" si="353"/>
        <v>7.4710107179716146E-3</v>
      </c>
      <c r="M346" s="3">
        <f t="shared" si="353"/>
        <v>7.4710107179451063E-3</v>
      </c>
      <c r="N346" s="3">
        <f t="shared" si="353"/>
        <v>7.4710107176800189E-3</v>
      </c>
      <c r="O346" s="3">
        <f t="shared" si="353"/>
        <v>7.4710107150291472E-3</v>
      </c>
      <c r="P346" s="3">
        <f t="shared" si="353"/>
        <v>7.4710106885204257E-3</v>
      </c>
      <c r="Q346" s="3">
        <f t="shared" si="353"/>
        <v>7.4710104234332166E-3</v>
      </c>
      <c r="R346" s="3">
        <f t="shared" si="353"/>
        <v>7.471007772561644E-3</v>
      </c>
      <c r="S346" s="3">
        <f t="shared" si="353"/>
        <v>7.4709812638976518E-3</v>
      </c>
      <c r="T346" s="3">
        <f t="shared" si="353"/>
        <v>7.4707161824308713E-3</v>
      </c>
      <c r="U346" s="3">
        <f t="shared" si="353"/>
        <v>7.4680658850095494E-3</v>
      </c>
      <c r="V346" s="3">
        <f t="shared" si="353"/>
        <v>7.441614567602766E-3</v>
      </c>
      <c r="W346" s="3">
        <f t="shared" si="353"/>
        <v>7.1821998959953363E-3</v>
      </c>
      <c r="X346" s="3">
        <f t="shared" si="353"/>
        <v>5.0368689093695396E-3</v>
      </c>
      <c r="Y346" s="3">
        <f t="shared" si="353"/>
        <v>1.4494133080904562E-4</v>
      </c>
      <c r="Z346" s="3">
        <f t="shared" si="353"/>
        <v>5.6429760961920837E-20</v>
      </c>
      <c r="AA346" s="3">
        <f t="shared" si="353"/>
        <v>4.5151051707975271E-174</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1.4378472174592341E-3</v>
      </c>
      <c r="C347" s="3">
        <f t="shared" si="354"/>
        <v>1.4378472174592341E-3</v>
      </c>
      <c r="D347" s="3">
        <f t="shared" si="354"/>
        <v>1.4378472174592341E-3</v>
      </c>
      <c r="E347" s="3">
        <f t="shared" si="354"/>
        <v>1.4378472174592341E-3</v>
      </c>
      <c r="F347" s="3">
        <f t="shared" si="354"/>
        <v>1.4378472174592341E-3</v>
      </c>
      <c r="G347" s="3">
        <f t="shared" si="354"/>
        <v>1.4378472174592341E-3</v>
      </c>
      <c r="H347" s="3">
        <f t="shared" si="354"/>
        <v>1.4378472174592341E-3</v>
      </c>
      <c r="I347" s="3">
        <f t="shared" si="354"/>
        <v>1.4378472174592341E-3</v>
      </c>
      <c r="J347" s="3">
        <f t="shared" si="354"/>
        <v>1.4378472174592337E-3</v>
      </c>
      <c r="K347" s="3">
        <f t="shared" si="354"/>
        <v>1.4378472174592289E-3</v>
      </c>
      <c r="L347" s="3">
        <f t="shared" si="354"/>
        <v>1.4378472174591829E-3</v>
      </c>
      <c r="M347" s="3">
        <f t="shared" si="354"/>
        <v>1.4378472174587228E-3</v>
      </c>
      <c r="N347" s="3">
        <f t="shared" si="354"/>
        <v>1.4378472174541206E-3</v>
      </c>
      <c r="O347" s="3">
        <f t="shared" si="354"/>
        <v>1.4378472174080982E-3</v>
      </c>
      <c r="P347" s="3">
        <f t="shared" si="354"/>
        <v>1.4378472169478747E-3</v>
      </c>
      <c r="Q347" s="3">
        <f t="shared" si="354"/>
        <v>1.4378472123456401E-3</v>
      </c>
      <c r="R347" s="3">
        <f t="shared" si="354"/>
        <v>1.4378471663232949E-3</v>
      </c>
      <c r="S347" s="3">
        <f t="shared" si="354"/>
        <v>1.4378467060999231E-3</v>
      </c>
      <c r="T347" s="3">
        <f t="shared" si="354"/>
        <v>1.4378421038743077E-3</v>
      </c>
      <c r="U347" s="3">
        <f t="shared" si="354"/>
        <v>1.4377960824283355E-3</v>
      </c>
      <c r="V347" s="3">
        <f t="shared" si="354"/>
        <v>1.4373359489770593E-3</v>
      </c>
      <c r="W347" s="3">
        <f t="shared" si="354"/>
        <v>1.4327427057235546E-3</v>
      </c>
      <c r="X347" s="3">
        <f t="shared" si="354"/>
        <v>1.3876098982117163E-3</v>
      </c>
      <c r="Y347" s="3">
        <f t="shared" si="354"/>
        <v>1.0075328605878488E-3</v>
      </c>
      <c r="Z347" s="3">
        <f t="shared" si="354"/>
        <v>4.1037181344084931E-5</v>
      </c>
      <c r="AA347" s="3">
        <f t="shared" si="354"/>
        <v>5.1565657840788773E-19</v>
      </c>
      <c r="AB347" s="3">
        <f t="shared" si="354"/>
        <v>5.0604711574615114E-158</v>
      </c>
      <c r="AC347" s="3">
        <f t="shared" si="354"/>
        <v>0</v>
      </c>
      <c r="AD347" s="3">
        <f t="shared" si="354"/>
        <v>0</v>
      </c>
      <c r="AE347" s="3">
        <f t="shared" si="354"/>
        <v>0</v>
      </c>
      <c r="AF347" s="3">
        <f t="shared" si="354"/>
        <v>0</v>
      </c>
      <c r="AG347" s="3"/>
      <c r="AH347" s="3"/>
    </row>
    <row r="348" spans="2:34" x14ac:dyDescent="0.25">
      <c r="B348" s="3">
        <f t="shared" ref="B348:AF348" si="355">$C39*EXP(-B$363/$A39/EXP(-$G$126))</f>
        <v>4.7686363858368023E-3</v>
      </c>
      <c r="C348" s="3">
        <f t="shared" si="355"/>
        <v>4.7686363858368023E-3</v>
      </c>
      <c r="D348" s="3">
        <f t="shared" si="355"/>
        <v>4.7686363858368023E-3</v>
      </c>
      <c r="E348" s="3">
        <f t="shared" si="355"/>
        <v>4.7686363858368023E-3</v>
      </c>
      <c r="F348" s="3">
        <f t="shared" si="355"/>
        <v>4.7686363858368023E-3</v>
      </c>
      <c r="G348" s="3">
        <f t="shared" si="355"/>
        <v>4.7686363858368023E-3</v>
      </c>
      <c r="H348" s="3">
        <f t="shared" si="355"/>
        <v>4.7686363858368023E-3</v>
      </c>
      <c r="I348" s="3">
        <f t="shared" si="355"/>
        <v>4.7686363858368023E-3</v>
      </c>
      <c r="J348" s="3">
        <f t="shared" si="355"/>
        <v>4.7686363858368015E-3</v>
      </c>
      <c r="K348" s="3">
        <f t="shared" si="355"/>
        <v>4.768636385836798E-3</v>
      </c>
      <c r="L348" s="3">
        <f t="shared" si="355"/>
        <v>4.7686363858367555E-3</v>
      </c>
      <c r="M348" s="3">
        <f t="shared" si="355"/>
        <v>4.7686363858363331E-3</v>
      </c>
      <c r="N348" s="3">
        <f t="shared" si="355"/>
        <v>4.7686363858321116E-3</v>
      </c>
      <c r="O348" s="3">
        <f t="shared" si="355"/>
        <v>4.7686363857898971E-3</v>
      </c>
      <c r="P348" s="3">
        <f t="shared" si="355"/>
        <v>4.7686363853677504E-3</v>
      </c>
      <c r="Q348" s="3">
        <f t="shared" si="355"/>
        <v>4.768636381146287E-3</v>
      </c>
      <c r="R348" s="3">
        <f t="shared" si="355"/>
        <v>4.7686363389316481E-3</v>
      </c>
      <c r="S348" s="3">
        <f t="shared" si="355"/>
        <v>4.7686359167852773E-3</v>
      </c>
      <c r="T348" s="3">
        <f t="shared" si="355"/>
        <v>4.7686316953236239E-3</v>
      </c>
      <c r="U348" s="3">
        <f t="shared" si="355"/>
        <v>4.7685894809126354E-3</v>
      </c>
      <c r="V348" s="3">
        <f t="shared" si="355"/>
        <v>4.7681673573559159E-3</v>
      </c>
      <c r="W348" s="3">
        <f t="shared" si="355"/>
        <v>4.7639481764328046E-3</v>
      </c>
      <c r="X348" s="3">
        <f t="shared" si="355"/>
        <v>4.7219611602130609E-3</v>
      </c>
      <c r="Y348" s="3">
        <f t="shared" si="355"/>
        <v>4.3219150995248328E-3</v>
      </c>
      <c r="Z348" s="3">
        <f t="shared" si="355"/>
        <v>1.7832590579379445E-3</v>
      </c>
      <c r="AA348" s="3">
        <f t="shared" si="355"/>
        <v>2.5503307809848322E-7</v>
      </c>
      <c r="AB348" s="3">
        <f t="shared" si="355"/>
        <v>9.1288748234930582E-46</v>
      </c>
      <c r="AC348" s="3">
        <f t="shared" si="355"/>
        <v>0</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2.0950739363465548E-3</v>
      </c>
      <c r="C350" s="3">
        <f t="shared" si="357"/>
        <v>2.0950739363465548E-3</v>
      </c>
      <c r="D350" s="3">
        <f t="shared" si="357"/>
        <v>2.0950739363465548E-3</v>
      </c>
      <c r="E350" s="3">
        <f t="shared" si="357"/>
        <v>2.0950739363465548E-3</v>
      </c>
      <c r="F350" s="3">
        <f t="shared" si="357"/>
        <v>2.0950739363465548E-3</v>
      </c>
      <c r="G350" s="3">
        <f t="shared" si="357"/>
        <v>2.0950739363465548E-3</v>
      </c>
      <c r="H350" s="3">
        <f t="shared" si="357"/>
        <v>2.0950739363465548E-3</v>
      </c>
      <c r="I350" s="3">
        <f t="shared" si="357"/>
        <v>2.0950739363465548E-3</v>
      </c>
      <c r="J350" s="3">
        <f t="shared" si="357"/>
        <v>2.0950739363465548E-3</v>
      </c>
      <c r="K350" s="3">
        <f t="shared" si="357"/>
        <v>2.0950739363465548E-3</v>
      </c>
      <c r="L350" s="3">
        <f t="shared" si="357"/>
        <v>2.0950739363465544E-3</v>
      </c>
      <c r="M350" s="3">
        <f t="shared" si="357"/>
        <v>2.0950739363465526E-3</v>
      </c>
      <c r="N350" s="3">
        <f t="shared" si="357"/>
        <v>2.095073936346534E-3</v>
      </c>
      <c r="O350" s="3">
        <f t="shared" si="357"/>
        <v>2.0950739363463488E-3</v>
      </c>
      <c r="P350" s="3">
        <f t="shared" si="357"/>
        <v>2.0950739363444939E-3</v>
      </c>
      <c r="Q350" s="3">
        <f t="shared" si="357"/>
        <v>2.0950739363259476E-3</v>
      </c>
      <c r="R350" s="3">
        <f t="shared" si="357"/>
        <v>2.0950739361404796E-3</v>
      </c>
      <c r="S350" s="3">
        <f t="shared" si="357"/>
        <v>2.0950739342858031E-3</v>
      </c>
      <c r="T350" s="3">
        <f t="shared" si="357"/>
        <v>2.0950739157390352E-3</v>
      </c>
      <c r="U350" s="3">
        <f t="shared" si="357"/>
        <v>2.0950737302713697E-3</v>
      </c>
      <c r="V350" s="3">
        <f t="shared" si="357"/>
        <v>2.0950718755956164E-3</v>
      </c>
      <c r="W350" s="3">
        <f t="shared" si="357"/>
        <v>2.0950533289283836E-3</v>
      </c>
      <c r="X350" s="3">
        <f t="shared" si="357"/>
        <v>2.0948678712859794E-3</v>
      </c>
      <c r="Y350" s="3">
        <f t="shared" si="357"/>
        <v>2.0930141975584135E-3</v>
      </c>
      <c r="Z350" s="3">
        <f t="shared" si="357"/>
        <v>2.0745674349559617E-3</v>
      </c>
      <c r="AA350" s="3">
        <f t="shared" si="357"/>
        <v>1.8988094179313644E-3</v>
      </c>
      <c r="AB350" s="3">
        <f t="shared" si="357"/>
        <v>7.8346497232124218E-4</v>
      </c>
      <c r="AC350" s="3">
        <f t="shared" si="357"/>
        <v>1.1204736775848889E-7</v>
      </c>
      <c r="AD350" s="3">
        <f t="shared" si="357"/>
        <v>4.0107205002409476E-46</v>
      </c>
      <c r="AE350" s="3">
        <f t="shared" si="357"/>
        <v>0</v>
      </c>
      <c r="AF350" s="3">
        <f t="shared" si="357"/>
        <v>0</v>
      </c>
      <c r="AG350" s="3"/>
      <c r="AH350" s="3"/>
    </row>
    <row r="351" spans="2:34" x14ac:dyDescent="0.25">
      <c r="B351" s="3">
        <f t="shared" ref="B351:AF351" si="358">$C42*EXP(-B$363/$A42/EXP(-$G$126))</f>
        <v>1.9210885084110967E-3</v>
      </c>
      <c r="C351" s="3">
        <f t="shared" si="358"/>
        <v>1.9210885084110967E-3</v>
      </c>
      <c r="D351" s="3">
        <f t="shared" si="358"/>
        <v>1.9210885084110967E-3</v>
      </c>
      <c r="E351" s="3">
        <f t="shared" si="358"/>
        <v>1.9210885084110967E-3</v>
      </c>
      <c r="F351" s="3">
        <f t="shared" si="358"/>
        <v>1.9210885084110967E-3</v>
      </c>
      <c r="G351" s="3">
        <f t="shared" si="358"/>
        <v>1.9210885084110967E-3</v>
      </c>
      <c r="H351" s="3">
        <f t="shared" si="358"/>
        <v>1.9210885084110967E-3</v>
      </c>
      <c r="I351" s="3">
        <f t="shared" si="358"/>
        <v>1.9210885084110967E-3</v>
      </c>
      <c r="J351" s="3">
        <f t="shared" si="358"/>
        <v>1.9210885084110967E-3</v>
      </c>
      <c r="K351" s="3">
        <f t="shared" si="358"/>
        <v>1.9210885084110967E-3</v>
      </c>
      <c r="L351" s="3">
        <f t="shared" si="358"/>
        <v>1.9210885084110967E-3</v>
      </c>
      <c r="M351" s="3">
        <f t="shared" si="358"/>
        <v>1.9210885084110965E-3</v>
      </c>
      <c r="N351" s="3">
        <f t="shared" si="358"/>
        <v>1.9210885084110947E-3</v>
      </c>
      <c r="O351" s="3">
        <f t="shared" si="358"/>
        <v>1.9210885084110776E-3</v>
      </c>
      <c r="P351" s="3">
        <f t="shared" si="358"/>
        <v>1.9210885084109078E-3</v>
      </c>
      <c r="Q351" s="3">
        <f t="shared" si="358"/>
        <v>1.9210885084092069E-3</v>
      </c>
      <c r="R351" s="3">
        <f t="shared" si="358"/>
        <v>1.9210885083922006E-3</v>
      </c>
      <c r="S351" s="3">
        <f t="shared" si="358"/>
        <v>1.921088508222135E-3</v>
      </c>
      <c r="T351" s="3">
        <f t="shared" si="358"/>
        <v>1.92108850652148E-3</v>
      </c>
      <c r="U351" s="3">
        <f t="shared" si="358"/>
        <v>1.9210884895149289E-3</v>
      </c>
      <c r="V351" s="3">
        <f t="shared" si="358"/>
        <v>1.9210883194494268E-3</v>
      </c>
      <c r="W351" s="3">
        <f t="shared" si="358"/>
        <v>1.9210866187952325E-3</v>
      </c>
      <c r="X351" s="3">
        <f t="shared" si="358"/>
        <v>1.9210696123360944E-3</v>
      </c>
      <c r="Y351" s="3">
        <f t="shared" si="358"/>
        <v>1.9208995560247447E-3</v>
      </c>
      <c r="Z351" s="3">
        <f t="shared" si="358"/>
        <v>1.9191998206432906E-3</v>
      </c>
      <c r="AA351" s="3">
        <f t="shared" si="358"/>
        <v>1.9022849695546672E-3</v>
      </c>
      <c r="AB351" s="3">
        <f t="shared" si="358"/>
        <v>1.7411227781353646E-3</v>
      </c>
      <c r="AC351" s="3">
        <f t="shared" si="358"/>
        <v>7.1840211887395195E-4</v>
      </c>
      <c r="AD351" s="3">
        <f t="shared" si="358"/>
        <v>1.0274239341352733E-7</v>
      </c>
      <c r="AE351" s="3">
        <f t="shared" si="358"/>
        <v>3.6776501916193863E-46</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4.6732387958302481E-4</v>
      </c>
      <c r="C353" s="3">
        <f t="shared" si="360"/>
        <v>4.6732387958302481E-4</v>
      </c>
      <c r="D353" s="3">
        <f t="shared" si="360"/>
        <v>4.6732387958302481E-4</v>
      </c>
      <c r="E353" s="3">
        <f t="shared" si="360"/>
        <v>4.6732387958302481E-4</v>
      </c>
      <c r="F353" s="3">
        <f t="shared" si="360"/>
        <v>4.6732387958302481E-4</v>
      </c>
      <c r="G353" s="3">
        <f t="shared" si="360"/>
        <v>4.6732387958302481E-4</v>
      </c>
      <c r="H353" s="3">
        <f t="shared" si="360"/>
        <v>4.6732387958302481E-4</v>
      </c>
      <c r="I353" s="3">
        <f t="shared" si="360"/>
        <v>4.6732387958302481E-4</v>
      </c>
      <c r="J353" s="3">
        <f t="shared" si="360"/>
        <v>4.6732387958302481E-4</v>
      </c>
      <c r="K353" s="3">
        <f t="shared" si="360"/>
        <v>4.6732387958302481E-4</v>
      </c>
      <c r="L353" s="3">
        <f t="shared" si="360"/>
        <v>4.6732387958302481E-4</v>
      </c>
      <c r="M353" s="3">
        <f t="shared" si="360"/>
        <v>4.6732387958302481E-4</v>
      </c>
      <c r="N353" s="3">
        <f t="shared" si="360"/>
        <v>4.6732387958302481E-4</v>
      </c>
      <c r="O353" s="3">
        <f t="shared" si="360"/>
        <v>4.6732387958302475E-4</v>
      </c>
      <c r="P353" s="3">
        <f t="shared" si="360"/>
        <v>4.6732387958302432E-4</v>
      </c>
      <c r="Q353" s="3">
        <f t="shared" si="360"/>
        <v>4.673238795830202E-4</v>
      </c>
      <c r="R353" s="3">
        <f t="shared" si="360"/>
        <v>4.6732387958297884E-4</v>
      </c>
      <c r="S353" s="3">
        <f t="shared" si="360"/>
        <v>4.6732387958256511E-4</v>
      </c>
      <c r="T353" s="3">
        <f t="shared" si="360"/>
        <v>4.6732387957842817E-4</v>
      </c>
      <c r="U353" s="3">
        <f t="shared" si="360"/>
        <v>4.67323879537058E-4</v>
      </c>
      <c r="V353" s="3">
        <f t="shared" si="360"/>
        <v>4.6732387912335675E-4</v>
      </c>
      <c r="W353" s="3">
        <f t="shared" si="360"/>
        <v>4.6732387498634413E-4</v>
      </c>
      <c r="X353" s="3">
        <f t="shared" si="360"/>
        <v>4.673238336162199E-4</v>
      </c>
      <c r="Y353" s="3">
        <f t="shared" si="360"/>
        <v>4.6732341991517887E-4</v>
      </c>
      <c r="Z353" s="3">
        <f t="shared" si="360"/>
        <v>4.6731928292491131E-4</v>
      </c>
      <c r="AA353" s="3">
        <f t="shared" si="360"/>
        <v>4.6727791503643577E-4</v>
      </c>
      <c r="AB353" s="3">
        <f t="shared" si="360"/>
        <v>4.6686443750572972E-4</v>
      </c>
      <c r="AC353" s="3">
        <f t="shared" si="360"/>
        <v>4.6274973180700972E-4</v>
      </c>
      <c r="AD353" s="3">
        <f t="shared" si="360"/>
        <v>4.2354542643200001E-4</v>
      </c>
      <c r="AE353" s="3">
        <f t="shared" si="360"/>
        <v>1.7475845793826279E-4</v>
      </c>
      <c r="AF353" s="3">
        <f t="shared" si="360"/>
        <v>2.4993108686786449E-8</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1.2351806616485092E-4</v>
      </c>
      <c r="C355" s="3">
        <f t="shared" si="362"/>
        <v>1.2351806616485092E-4</v>
      </c>
      <c r="D355" s="3">
        <f t="shared" si="362"/>
        <v>1.2351806616485092E-4</v>
      </c>
      <c r="E355" s="3">
        <f t="shared" si="362"/>
        <v>1.2351806616485092E-4</v>
      </c>
      <c r="F355" s="3">
        <f t="shared" si="362"/>
        <v>1.2351806616485092E-4</v>
      </c>
      <c r="G355" s="3">
        <f t="shared" si="362"/>
        <v>1.2351806616485092E-4</v>
      </c>
      <c r="H355" s="3">
        <f t="shared" si="362"/>
        <v>1.2351806616485092E-4</v>
      </c>
      <c r="I355" s="3">
        <f t="shared" si="362"/>
        <v>1.2351806616485092E-4</v>
      </c>
      <c r="J355" s="3">
        <f t="shared" si="362"/>
        <v>1.2351806616485092E-4</v>
      </c>
      <c r="K355" s="3">
        <f t="shared" si="362"/>
        <v>1.2351806616485092E-4</v>
      </c>
      <c r="L355" s="3">
        <f t="shared" si="362"/>
        <v>1.2351806616485092E-4</v>
      </c>
      <c r="M355" s="3">
        <f t="shared" si="362"/>
        <v>1.2351806616485092E-4</v>
      </c>
      <c r="N355" s="3">
        <f t="shared" si="362"/>
        <v>1.2351806616485092E-4</v>
      </c>
      <c r="O355" s="3">
        <f t="shared" si="362"/>
        <v>1.2351806616485092E-4</v>
      </c>
      <c r="P355" s="3">
        <f t="shared" si="362"/>
        <v>1.2351806616485092E-4</v>
      </c>
      <c r="Q355" s="3">
        <f t="shared" si="362"/>
        <v>1.2351806616485089E-4</v>
      </c>
      <c r="R355" s="3">
        <f t="shared" si="362"/>
        <v>1.2351806616485078E-4</v>
      </c>
      <c r="S355" s="3">
        <f t="shared" si="362"/>
        <v>1.235180661648497E-4</v>
      </c>
      <c r="T355" s="3">
        <f t="shared" si="362"/>
        <v>1.2351806616483878E-4</v>
      </c>
      <c r="U355" s="3">
        <f t="shared" si="362"/>
        <v>1.2351806616472941E-4</v>
      </c>
      <c r="V355" s="3">
        <f t="shared" si="362"/>
        <v>1.2351806616363599E-4</v>
      </c>
      <c r="W355" s="3">
        <f t="shared" si="362"/>
        <v>1.2351806615270146E-4</v>
      </c>
      <c r="X355" s="3">
        <f t="shared" si="362"/>
        <v>1.2351806604335636E-4</v>
      </c>
      <c r="Y355" s="3">
        <f t="shared" si="362"/>
        <v>1.2351806494990527E-4</v>
      </c>
      <c r="Z355" s="3">
        <f t="shared" si="362"/>
        <v>1.2351805401539505E-4</v>
      </c>
      <c r="AA355" s="3">
        <f t="shared" si="362"/>
        <v>1.2351794467034595E-4</v>
      </c>
      <c r="AB355" s="3">
        <f t="shared" si="362"/>
        <v>1.2351685122517886E-4</v>
      </c>
      <c r="AC355" s="3">
        <f t="shared" si="362"/>
        <v>1.2350591730587995E-4</v>
      </c>
      <c r="AD355" s="3">
        <f t="shared" si="362"/>
        <v>1.2339663133264657E-4</v>
      </c>
      <c r="AE355" s="3">
        <f t="shared" si="362"/>
        <v>1.2230907618524672E-4</v>
      </c>
      <c r="AF355" s="3">
        <f t="shared" si="362"/>
        <v>1.1194701210759206E-4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1.0347942973527732E-3</v>
      </c>
      <c r="C357" s="3">
        <f t="shared" si="364"/>
        <v>1.0347942973527732E-3</v>
      </c>
      <c r="D357" s="3">
        <f t="shared" si="364"/>
        <v>1.0347942973527732E-3</v>
      </c>
      <c r="E357" s="3">
        <f t="shared" si="364"/>
        <v>1.0347942973527732E-3</v>
      </c>
      <c r="F357" s="3">
        <f t="shared" si="364"/>
        <v>1.0347942973527732E-3</v>
      </c>
      <c r="G357" s="3">
        <f t="shared" si="364"/>
        <v>1.0347942973527732E-3</v>
      </c>
      <c r="H357" s="3">
        <f t="shared" si="364"/>
        <v>1.0347942973527732E-3</v>
      </c>
      <c r="I357" s="3">
        <f t="shared" si="364"/>
        <v>1.0347942973527732E-3</v>
      </c>
      <c r="J357" s="3">
        <f t="shared" si="364"/>
        <v>1.0347942973527732E-3</v>
      </c>
      <c r="K357" s="3">
        <f t="shared" si="364"/>
        <v>1.0347942973527732E-3</v>
      </c>
      <c r="L357" s="3">
        <f t="shared" si="364"/>
        <v>1.0347942973527732E-3</v>
      </c>
      <c r="M357" s="3">
        <f t="shared" si="364"/>
        <v>1.0347942973527732E-3</v>
      </c>
      <c r="N357" s="3">
        <f t="shared" si="364"/>
        <v>1.0347942973527732E-3</v>
      </c>
      <c r="O357" s="3">
        <f t="shared" si="364"/>
        <v>1.0347942973527732E-3</v>
      </c>
      <c r="P357" s="3">
        <f t="shared" si="364"/>
        <v>1.0347942973527732E-3</v>
      </c>
      <c r="Q357" s="3">
        <f t="shared" si="364"/>
        <v>1.0347942973527732E-3</v>
      </c>
      <c r="R357" s="3">
        <f t="shared" si="364"/>
        <v>1.0347942973527732E-3</v>
      </c>
      <c r="S357" s="3">
        <f t="shared" si="364"/>
        <v>1.034794297352773E-3</v>
      </c>
      <c r="T357" s="3">
        <f t="shared" si="364"/>
        <v>1.0347942973527721E-3</v>
      </c>
      <c r="U357" s="3">
        <f t="shared" si="364"/>
        <v>1.034794297352763E-3</v>
      </c>
      <c r="V357" s="3">
        <f t="shared" si="364"/>
        <v>1.0347942973526715E-3</v>
      </c>
      <c r="W357" s="3">
        <f t="shared" si="364"/>
        <v>1.0347942973517553E-3</v>
      </c>
      <c r="X357" s="3">
        <f t="shared" si="364"/>
        <v>1.0347942973425949E-3</v>
      </c>
      <c r="Y357" s="3">
        <f t="shared" si="364"/>
        <v>1.0347942972509889E-3</v>
      </c>
      <c r="Z357" s="3">
        <f t="shared" si="364"/>
        <v>1.0347942963349311E-3</v>
      </c>
      <c r="AA357" s="3">
        <f t="shared" si="364"/>
        <v>1.0347942871743526E-3</v>
      </c>
      <c r="AB357" s="3">
        <f t="shared" si="364"/>
        <v>1.0347941955685723E-3</v>
      </c>
      <c r="AC357" s="3">
        <f t="shared" si="364"/>
        <v>1.0347932795112152E-3</v>
      </c>
      <c r="AD357" s="3">
        <f t="shared" si="364"/>
        <v>1.0347841189822457E-3</v>
      </c>
      <c r="AE357" s="3">
        <f t="shared" si="364"/>
        <v>1.0346925181525894E-3</v>
      </c>
      <c r="AF357" s="3">
        <f t="shared" si="364"/>
        <v>1.0337769557138801E-3</v>
      </c>
      <c r="AG357" s="3"/>
      <c r="AH357" s="3"/>
    </row>
    <row r="358" spans="1:34" x14ac:dyDescent="0.25">
      <c r="A358" s="79">
        <f>AVERAGE(B358:AF358)</f>
        <v>1.5042529340762235E-2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3.2150763587484255E-2</v>
      </c>
      <c r="M358" s="80">
        <f t="shared" si="365"/>
        <v>3.1671290776577252E-2</v>
      </c>
      <c r="N358" s="80">
        <f t="shared" si="365"/>
        <v>3.8917308431046023E-2</v>
      </c>
      <c r="O358" s="80">
        <f t="shared" si="365"/>
        <v>4.1992884887047825E-2</v>
      </c>
      <c r="P358" s="80">
        <f t="shared" si="365"/>
        <v>4.6264387076292664E-2</v>
      </c>
      <c r="Q358" s="80">
        <f t="shared" si="365"/>
        <v>3.3355443431620363E-2</v>
      </c>
      <c r="R358" s="80">
        <f t="shared" si="365"/>
        <v>3.6697296737497359E-2</v>
      </c>
      <c r="S358" s="80">
        <f t="shared" si="365"/>
        <v>9.7434195946971461E-2</v>
      </c>
      <c r="T358" s="80">
        <f t="shared" si="365"/>
        <v>6.3444146113070296E-2</v>
      </c>
      <c r="U358" s="80">
        <f t="shared" si="365"/>
        <v>1.8150659555881438E-2</v>
      </c>
      <c r="V358" s="80">
        <f t="shared" si="365"/>
        <v>2.6240033020140389E-2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628424.20786209381</v>
      </c>
      <c r="C359" s="21">
        <f t="shared" ref="C359:AF359" si="366">(C326-C325)^2</f>
        <v>239921.24428886612</v>
      </c>
      <c r="D359" s="21">
        <f t="shared" si="366"/>
        <v>62484.183748372147</v>
      </c>
      <c r="E359" s="21">
        <f t="shared" si="366"/>
        <v>12931.54912904404</v>
      </c>
      <c r="F359" s="21">
        <f t="shared" si="366"/>
        <v>83764.928235030151</v>
      </c>
      <c r="G359" s="21">
        <f t="shared" si="366"/>
        <v>74094.175620659676</v>
      </c>
      <c r="H359" s="21">
        <f t="shared" si="366"/>
        <v>67747.799170314567</v>
      </c>
      <c r="I359" s="21">
        <f t="shared" si="366"/>
        <v>48242.435168747383</v>
      </c>
      <c r="J359" s="21">
        <f t="shared" si="366"/>
        <v>50227.356425167716</v>
      </c>
      <c r="K359" s="21">
        <f t="shared" si="366"/>
        <v>46220.192601371142</v>
      </c>
      <c r="L359" s="21">
        <f t="shared" si="366"/>
        <v>48734.369585177781</v>
      </c>
      <c r="M359" s="21">
        <f t="shared" si="366"/>
        <v>43571.778597414122</v>
      </c>
      <c r="N359" s="21">
        <f t="shared" si="366"/>
        <v>60092.696893237124</v>
      </c>
      <c r="O359" s="21">
        <f t="shared" si="366"/>
        <v>62338.276964928489</v>
      </c>
      <c r="P359" s="21">
        <f t="shared" si="366"/>
        <v>65892.472376874444</v>
      </c>
      <c r="Q359" s="21">
        <f t="shared" si="366"/>
        <v>27524.96456117016</v>
      </c>
      <c r="R359" s="21">
        <f t="shared" si="366"/>
        <v>21998.515488589033</v>
      </c>
      <c r="S359" s="21">
        <f t="shared" si="366"/>
        <v>85311.573124813236</v>
      </c>
      <c r="T359" s="21">
        <f t="shared" si="366"/>
        <v>18072.585384723207</v>
      </c>
      <c r="U359" s="21">
        <f t="shared" si="366"/>
        <v>675.48125613864465</v>
      </c>
      <c r="V359" s="21">
        <f t="shared" si="366"/>
        <v>644.96258056006127</v>
      </c>
      <c r="W359" s="21">
        <f t="shared" si="366"/>
        <v>50.312072213935274</v>
      </c>
      <c r="X359" s="21">
        <f t="shared" si="366"/>
        <v>39.758650669792168</v>
      </c>
      <c r="Y359" s="21">
        <f t="shared" si="366"/>
        <v>19.641619667574652</v>
      </c>
      <c r="Z359" s="21">
        <f t="shared" si="366"/>
        <v>1.8653670572301364</v>
      </c>
      <c r="AA359" s="21">
        <f t="shared" si="366"/>
        <v>2.4654322561183895</v>
      </c>
      <c r="AB359" s="21">
        <f t="shared" si="366"/>
        <v>1.1643172941698261E-2</v>
      </c>
      <c r="AC359" s="21">
        <f t="shared" si="366"/>
        <v>86.889770976405302</v>
      </c>
      <c r="AD359" s="21">
        <f t="shared" si="366"/>
        <v>2.158539595951781</v>
      </c>
      <c r="AE359" s="21">
        <f t="shared" si="366"/>
        <v>1.3750262835535456E-3</v>
      </c>
      <c r="AF359" s="21">
        <f t="shared" si="366"/>
        <v>0.82894969114964778</v>
      </c>
      <c r="AG359" s="3"/>
      <c r="AH359" s="3"/>
    </row>
    <row r="360" spans="1:34" x14ac:dyDescent="0.25">
      <c r="A360" s="71">
        <f>SUM(B360:AF360)</f>
        <v>434857.67681362631</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48734.369585177781</v>
      </c>
      <c r="M360" s="60">
        <f t="shared" si="367"/>
        <v>43571.778597414122</v>
      </c>
      <c r="N360" s="60">
        <f t="shared" si="367"/>
        <v>60092.696893237124</v>
      </c>
      <c r="O360" s="60">
        <f t="shared" si="367"/>
        <v>62338.276964928489</v>
      </c>
      <c r="P360" s="60">
        <f t="shared" si="367"/>
        <v>65892.472376874444</v>
      </c>
      <c r="Q360" s="60">
        <f t="shared" si="367"/>
        <v>27524.96456117016</v>
      </c>
      <c r="R360" s="60">
        <f t="shared" si="367"/>
        <v>21998.515488589033</v>
      </c>
      <c r="S360" s="60">
        <f t="shared" si="367"/>
        <v>85311.573124813236</v>
      </c>
      <c r="T360" s="60">
        <f t="shared" si="367"/>
        <v>18072.585384723207</v>
      </c>
      <c r="U360" s="60">
        <f t="shared" si="367"/>
        <v>675.48125613864465</v>
      </c>
      <c r="V360" s="60">
        <f t="shared" si="367"/>
        <v>644.96258056006127</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8953.7641210988131</v>
      </c>
      <c r="C365" s="27">
        <f t="shared" ref="C365:AF365" si="368">($C$17+SUM(C366:C396))*$B$51</f>
        <v>8834.4851227745403</v>
      </c>
      <c r="D365" s="27">
        <f t="shared" si="368"/>
        <v>8382.9512550221079</v>
      </c>
      <c r="E365" s="27">
        <f t="shared" si="368"/>
        <v>8069.0159188470607</v>
      </c>
      <c r="F365" s="27">
        <f t="shared" si="368"/>
        <v>7727.7858520747341</v>
      </c>
      <c r="G365" s="27">
        <f t="shared" si="368"/>
        <v>7458.9231262254734</v>
      </c>
      <c r="H365" s="27">
        <f t="shared" si="368"/>
        <v>7186.5109464644802</v>
      </c>
      <c r="I365" s="27">
        <f t="shared" si="368"/>
        <v>6923.0694852501747</v>
      </c>
      <c r="J365" s="27">
        <f t="shared" si="368"/>
        <v>6643.2826704329</v>
      </c>
      <c r="K365" s="27">
        <f t="shared" si="368"/>
        <v>6379.8782173935779</v>
      </c>
      <c r="L365" s="27">
        <f t="shared" si="368"/>
        <v>6050.8024540766983</v>
      </c>
      <c r="M365" s="27">
        <f t="shared" si="368"/>
        <v>5693.1610913653867</v>
      </c>
      <c r="N365" s="27">
        <f t="shared" si="368"/>
        <v>5288.1922285314295</v>
      </c>
      <c r="O365" s="27">
        <f t="shared" si="368"/>
        <v>4803.9840481364454</v>
      </c>
      <c r="P365" s="27">
        <f t="shared" si="368"/>
        <v>4184.486729516344</v>
      </c>
      <c r="Q365" s="27">
        <f t="shared" si="368"/>
        <v>3281.9245135991082</v>
      </c>
      <c r="R365" s="27">
        <f t="shared" si="368"/>
        <v>2247.2705831845274</v>
      </c>
      <c r="S365" s="27">
        <f t="shared" si="368"/>
        <v>1453.8645186467863</v>
      </c>
      <c r="T365" s="27">
        <f t="shared" si="368"/>
        <v>940.31247263428645</v>
      </c>
      <c r="U365" s="27">
        <f t="shared" si="368"/>
        <v>667.4197561056933</v>
      </c>
      <c r="V365" s="27">
        <f t="shared" si="368"/>
        <v>524.80711258138035</v>
      </c>
      <c r="W365" s="27">
        <f t="shared" si="368"/>
        <v>458.09623070055846</v>
      </c>
      <c r="X365" s="27">
        <f t="shared" si="368"/>
        <v>416.12564506794246</v>
      </c>
      <c r="Y365" s="27">
        <f t="shared" si="368"/>
        <v>393.44670565848531</v>
      </c>
      <c r="Z365" s="27">
        <f t="shared" si="368"/>
        <v>378.74027719877108</v>
      </c>
      <c r="AA365" s="27">
        <f t="shared" si="368"/>
        <v>358.13716708821829</v>
      </c>
      <c r="AB365" s="27">
        <f t="shared" si="368"/>
        <v>349.62131645926161</v>
      </c>
      <c r="AC365" s="27">
        <f t="shared" si="368"/>
        <v>346.74439863399823</v>
      </c>
      <c r="AD365" s="27">
        <f t="shared" si="368"/>
        <v>344.65325200995738</v>
      </c>
      <c r="AE365" s="27">
        <f t="shared" si="368"/>
        <v>343.79083875167726</v>
      </c>
      <c r="AF365" s="27">
        <f t="shared" si="368"/>
        <v>342.26684205169386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4.7931245616749205E-2</v>
      </c>
      <c r="C367" s="3">
        <f t="shared" si="370"/>
        <v>3.8061672479532987E-2</v>
      </c>
      <c r="D367" s="3">
        <f t="shared" si="370"/>
        <v>3.794716994042983E-3</v>
      </c>
      <c r="E367" s="3">
        <f t="shared" si="370"/>
        <v>3.6820920046297638E-13</v>
      </c>
      <c r="F367" s="3">
        <f t="shared" si="370"/>
        <v>2.7242507195982794E-113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2.5250012292981187E-2</v>
      </c>
      <c r="C368" s="3">
        <f t="shared" si="371"/>
        <v>2.4730275723269159E-2</v>
      </c>
      <c r="D368" s="3">
        <f t="shared" si="371"/>
        <v>2.008642298091088E-2</v>
      </c>
      <c r="E368" s="3">
        <f t="shared" si="371"/>
        <v>2.5097996708027944E-3</v>
      </c>
      <c r="F368" s="3">
        <f t="shared" si="371"/>
        <v>2.3281105534449005E-12</v>
      </c>
      <c r="G368" s="3">
        <f t="shared" si="371"/>
        <v>1.098118010929079E-102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3.4187389078866592E-2</v>
      </c>
      <c r="C369" s="3">
        <f t="shared" si="372"/>
        <v>3.4123307183026051E-2</v>
      </c>
      <c r="D369" s="3">
        <f t="shared" si="372"/>
        <v>3.3489057653025844E-2</v>
      </c>
      <c r="E369" s="3">
        <f t="shared" si="372"/>
        <v>2.7760100934170119E-2</v>
      </c>
      <c r="F369" s="3">
        <f t="shared" si="372"/>
        <v>4.252087356099386E-3</v>
      </c>
      <c r="G369" s="3">
        <f t="shared" si="372"/>
        <v>3.0228288033175431E-11</v>
      </c>
      <c r="H369" s="3">
        <f t="shared" si="372"/>
        <v>9.966146972030982E-93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2.272114965512749E-2</v>
      </c>
      <c r="C370" s="3">
        <f t="shared" si="373"/>
        <v>2.2717304473090654E-2</v>
      </c>
      <c r="D370" s="3">
        <f t="shared" si="373"/>
        <v>2.2678888424928375E-2</v>
      </c>
      <c r="E370" s="3">
        <f t="shared" si="373"/>
        <v>2.2298282863790354E-2</v>
      </c>
      <c r="F370" s="3">
        <f t="shared" si="373"/>
        <v>1.8826430280843159E-2</v>
      </c>
      <c r="G370" s="3">
        <f t="shared" si="373"/>
        <v>3.4652420818619659E-3</v>
      </c>
      <c r="H370" s="3">
        <f t="shared" si="373"/>
        <v>1.5466411996381014E-10</v>
      </c>
      <c r="I370" s="3">
        <f t="shared" si="373"/>
        <v>4.8523210113876743E-84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2.5892566394289565E-2</v>
      </c>
      <c r="C371" s="3">
        <f t="shared" si="374"/>
        <v>2.5892171080714801E-2</v>
      </c>
      <c r="D371" s="3">
        <f t="shared" si="374"/>
        <v>2.5888218276900705E-2</v>
      </c>
      <c r="E371" s="3">
        <f t="shared" si="374"/>
        <v>2.5848723413371837E-2</v>
      </c>
      <c r="F371" s="3">
        <f t="shared" si="374"/>
        <v>2.5457073575236189E-2</v>
      </c>
      <c r="G371" s="3">
        <f t="shared" si="374"/>
        <v>2.1852556909723021E-2</v>
      </c>
      <c r="H371" s="3">
        <f t="shared" si="374"/>
        <v>4.7472279035060041E-3</v>
      </c>
      <c r="I371" s="3">
        <f t="shared" si="374"/>
        <v>1.1112666971396115E-9</v>
      </c>
      <c r="J371" s="3">
        <f t="shared" si="374"/>
        <v>5.4903556387843613E-76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2.3275392974139112E-2</v>
      </c>
      <c r="C372" s="3">
        <f t="shared" si="375"/>
        <v>2.3275360917849083E-2</v>
      </c>
      <c r="D372" s="3">
        <f t="shared" si="375"/>
        <v>2.3275040357376996E-2</v>
      </c>
      <c r="E372" s="3">
        <f t="shared" si="375"/>
        <v>2.3271834995467072E-2</v>
      </c>
      <c r="F372" s="3">
        <f t="shared" si="375"/>
        <v>2.3239805645093595E-2</v>
      </c>
      <c r="G372" s="3">
        <f t="shared" si="375"/>
        <v>2.2921926692337623E-2</v>
      </c>
      <c r="H372" s="3">
        <f t="shared" si="375"/>
        <v>1.9972728324707041E-2</v>
      </c>
      <c r="I372" s="3">
        <f t="shared" si="375"/>
        <v>5.0384870702984696E-3</v>
      </c>
      <c r="J372" s="3">
        <f t="shared" si="375"/>
        <v>5.2592968727468196E-9</v>
      </c>
      <c r="K372" s="3">
        <f t="shared" si="375"/>
        <v>8.0761255969470538E-69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2.7259426964920359E-2</v>
      </c>
      <c r="C373" s="3">
        <f t="shared" si="376"/>
        <v>2.7259423578196232E-2</v>
      </c>
      <c r="D373" s="3">
        <f t="shared" si="376"/>
        <v>2.7259389710978108E-2</v>
      </c>
      <c r="E373" s="3">
        <f t="shared" si="376"/>
        <v>2.7259051041111083E-2</v>
      </c>
      <c r="F373" s="3">
        <f t="shared" si="376"/>
        <v>2.7255664573851555E-2</v>
      </c>
      <c r="G373" s="3">
        <f t="shared" si="376"/>
        <v>2.7221823031694903E-2</v>
      </c>
      <c r="H373" s="3">
        <f t="shared" si="376"/>
        <v>2.6885710056407757E-2</v>
      </c>
      <c r="I373" s="3">
        <f t="shared" si="376"/>
        <v>2.3744583447198299E-2</v>
      </c>
      <c r="J373" s="3">
        <f t="shared" si="376"/>
        <v>6.8548033264947544E-3</v>
      </c>
      <c r="K373" s="3">
        <f t="shared" si="376"/>
        <v>2.7561283329773543E-8</v>
      </c>
      <c r="L373" s="3">
        <f t="shared" si="376"/>
        <v>3.0432932598600076E-62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2.1214287010367198E-2</v>
      </c>
      <c r="C374" s="3">
        <f t="shared" si="377"/>
        <v>2.1214286772607546E-2</v>
      </c>
      <c r="D374" s="3">
        <f t="shared" si="377"/>
        <v>2.121428439501118E-2</v>
      </c>
      <c r="E374" s="3">
        <f t="shared" si="377"/>
        <v>2.1214260619062168E-2</v>
      </c>
      <c r="F374" s="3">
        <f t="shared" si="377"/>
        <v>2.1214022861037615E-2</v>
      </c>
      <c r="G374" s="3">
        <f t="shared" si="377"/>
        <v>2.1211645427343689E-2</v>
      </c>
      <c r="H374" s="3">
        <f t="shared" si="377"/>
        <v>2.1187885739488758E-2</v>
      </c>
      <c r="I374" s="3">
        <f t="shared" si="377"/>
        <v>2.0951747712881788E-2</v>
      </c>
      <c r="J374" s="3">
        <f t="shared" si="377"/>
        <v>1.8730380207418899E-2</v>
      </c>
      <c r="K374" s="3">
        <f t="shared" si="377"/>
        <v>6.1067475316294913E-3</v>
      </c>
      <c r="L374" s="3">
        <f t="shared" si="377"/>
        <v>8.2878844776759759E-8</v>
      </c>
      <c r="M374" s="3">
        <f t="shared" si="377"/>
        <v>1.7570370646333495E-56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3.4718036826576509E-2</v>
      </c>
      <c r="C375" s="3">
        <f t="shared" si="378"/>
        <v>3.4718036791476156E-2</v>
      </c>
      <c r="D375" s="3">
        <f t="shared" si="378"/>
        <v>3.4718036440472645E-2</v>
      </c>
      <c r="E375" s="3">
        <f t="shared" si="378"/>
        <v>3.4718032930437695E-2</v>
      </c>
      <c r="F375" s="3">
        <f t="shared" si="378"/>
        <v>3.4717997830107684E-2</v>
      </c>
      <c r="G375" s="3">
        <f t="shared" si="378"/>
        <v>3.4717646828759399E-2</v>
      </c>
      <c r="H375" s="3">
        <f t="shared" si="378"/>
        <v>3.4714137010446254E-2</v>
      </c>
      <c r="I375" s="3">
        <f t="shared" si="378"/>
        <v>3.4679058336986909E-2</v>
      </c>
      <c r="J375" s="3">
        <f t="shared" si="378"/>
        <v>3.4330215291228039E-2</v>
      </c>
      <c r="K375" s="3">
        <f t="shared" si="378"/>
        <v>3.1029075340812669E-2</v>
      </c>
      <c r="L375" s="3">
        <f t="shared" si="378"/>
        <v>1.1289947000209926E-2</v>
      </c>
      <c r="M375" s="3">
        <f t="shared" si="378"/>
        <v>4.5911617739406726E-7</v>
      </c>
      <c r="N375" s="3">
        <f t="shared" si="378"/>
        <v>5.6784462892296392E-51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3.0541725700050714E-2</v>
      </c>
      <c r="C376" s="3">
        <f t="shared" si="379"/>
        <v>3.0541725697265258E-2</v>
      </c>
      <c r="D376" s="3">
        <f t="shared" si="379"/>
        <v>3.0541725669410685E-2</v>
      </c>
      <c r="E376" s="3">
        <f t="shared" si="379"/>
        <v>3.0541725390864981E-2</v>
      </c>
      <c r="F376" s="3">
        <f t="shared" si="379"/>
        <v>3.054172260540805E-2</v>
      </c>
      <c r="G376" s="3">
        <f t="shared" si="379"/>
        <v>3.0541694750852728E-2</v>
      </c>
      <c r="H376" s="3">
        <f t="shared" si="379"/>
        <v>3.0541416206696707E-2</v>
      </c>
      <c r="I376" s="3">
        <f t="shared" si="379"/>
        <v>3.0538630904852392E-2</v>
      </c>
      <c r="J376" s="3">
        <f t="shared" si="379"/>
        <v>3.0510791853283953E-2</v>
      </c>
      <c r="K376" s="3">
        <f t="shared" si="379"/>
        <v>3.0233793323476314E-2</v>
      </c>
      <c r="L376" s="3">
        <f t="shared" si="379"/>
        <v>2.7598421807817363E-2</v>
      </c>
      <c r="M376" s="3">
        <f t="shared" si="379"/>
        <v>1.1086649783667855E-2</v>
      </c>
      <c r="N376" s="3">
        <f t="shared" si="379"/>
        <v>1.2132802741053208E-6</v>
      </c>
      <c r="O376" s="3">
        <f t="shared" si="379"/>
        <v>2.9892980321744904E-46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4.0592217810317667E-2</v>
      </c>
      <c r="C377" s="3">
        <f t="shared" si="380"/>
        <v>4.0592217809983712E-2</v>
      </c>
      <c r="D377" s="3">
        <f t="shared" si="380"/>
        <v>4.0592217806644126E-2</v>
      </c>
      <c r="E377" s="3">
        <f t="shared" si="380"/>
        <v>4.0592217773248299E-2</v>
      </c>
      <c r="F377" s="3">
        <f t="shared" si="380"/>
        <v>4.0592217439289979E-2</v>
      </c>
      <c r="G377" s="3">
        <f t="shared" si="380"/>
        <v>4.0592214099706918E-2</v>
      </c>
      <c r="H377" s="3">
        <f t="shared" si="380"/>
        <v>4.0592180703891492E-2</v>
      </c>
      <c r="I377" s="3">
        <f t="shared" si="380"/>
        <v>4.0591846747248334E-2</v>
      </c>
      <c r="J377" s="3">
        <f t="shared" si="380"/>
        <v>4.0588507331925559E-2</v>
      </c>
      <c r="K377" s="3">
        <f t="shared" si="380"/>
        <v>4.0555128284979182E-2</v>
      </c>
      <c r="L377" s="3">
        <f t="shared" si="380"/>
        <v>4.0222843855331106E-2</v>
      </c>
      <c r="M377" s="3">
        <f t="shared" si="380"/>
        <v>3.7046118231999353E-2</v>
      </c>
      <c r="N377" s="3">
        <f t="shared" si="380"/>
        <v>1.6272042215846369E-2</v>
      </c>
      <c r="O377" s="3">
        <f t="shared" si="380"/>
        <v>4.3494626019477094E-6</v>
      </c>
      <c r="P377" s="3">
        <f t="shared" si="380"/>
        <v>8.0978734942119303E-42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4.4579554777237115E-2</v>
      </c>
      <c r="C378" s="3">
        <f t="shared" si="381"/>
        <v>4.4579554777204031E-2</v>
      </c>
      <c r="D378" s="3">
        <f t="shared" si="381"/>
        <v>4.4579554776873184E-2</v>
      </c>
      <c r="E378" s="3">
        <f t="shared" si="381"/>
        <v>4.4579554773564678E-2</v>
      </c>
      <c r="F378" s="3">
        <f t="shared" si="381"/>
        <v>4.4579554740479622E-2</v>
      </c>
      <c r="G378" s="3">
        <f t="shared" si="381"/>
        <v>4.4579554409629116E-2</v>
      </c>
      <c r="H378" s="3">
        <f t="shared" si="381"/>
        <v>4.4579551101124167E-2</v>
      </c>
      <c r="I378" s="3">
        <f t="shared" si="381"/>
        <v>4.4579518016088213E-2</v>
      </c>
      <c r="J378" s="3">
        <f t="shared" si="381"/>
        <v>4.4579187167079079E-2</v>
      </c>
      <c r="K378" s="3">
        <f t="shared" si="381"/>
        <v>4.4575878812032455E-2</v>
      </c>
      <c r="L378" s="3">
        <f t="shared" si="381"/>
        <v>4.454280876232182E-2</v>
      </c>
      <c r="M378" s="3">
        <f t="shared" si="381"/>
        <v>4.4213454640850164E-2</v>
      </c>
      <c r="N378" s="3">
        <f t="shared" si="381"/>
        <v>4.1050926115242595E-2</v>
      </c>
      <c r="O378" s="3">
        <f t="shared" si="381"/>
        <v>1.9543756901787147E-2</v>
      </c>
      <c r="P378" s="3">
        <f t="shared" si="381"/>
        <v>1.1691196994371006E-5</v>
      </c>
      <c r="Q378" s="3">
        <f t="shared" si="381"/>
        <v>6.8606970472648619E-38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6.2079559793872252E-2</v>
      </c>
      <c r="C379" s="3">
        <f t="shared" si="382"/>
        <v>6.2079559793868103E-2</v>
      </c>
      <c r="D379" s="3">
        <f t="shared" si="382"/>
        <v>6.2079559793826539E-2</v>
      </c>
      <c r="E379" s="3">
        <f t="shared" si="382"/>
        <v>6.2079559793410927E-2</v>
      </c>
      <c r="F379" s="3">
        <f t="shared" si="382"/>
        <v>6.2079559789254772E-2</v>
      </c>
      <c r="G379" s="3">
        <f t="shared" si="382"/>
        <v>6.2079559747693268E-2</v>
      </c>
      <c r="H379" s="3">
        <f t="shared" si="382"/>
        <v>6.2079559332078184E-2</v>
      </c>
      <c r="I379" s="3">
        <f t="shared" si="382"/>
        <v>6.2079555175927517E-2</v>
      </c>
      <c r="J379" s="3">
        <f t="shared" si="382"/>
        <v>6.2079513614436151E-2</v>
      </c>
      <c r="K379" s="3">
        <f t="shared" si="382"/>
        <v>6.2079098001052845E-2</v>
      </c>
      <c r="L379" s="3">
        <f t="shared" si="382"/>
        <v>6.2074942020252696E-2</v>
      </c>
      <c r="M379" s="3">
        <f t="shared" si="382"/>
        <v>6.20333975117476E-2</v>
      </c>
      <c r="N379" s="3">
        <f t="shared" si="382"/>
        <v>6.161947859326871E-2</v>
      </c>
      <c r="O379" s="3">
        <f t="shared" si="382"/>
        <v>5.7629192338278276E-2</v>
      </c>
      <c r="P379" s="3">
        <f t="shared" si="382"/>
        <v>2.9504460147024389E-2</v>
      </c>
      <c r="Q379" s="3">
        <f t="shared" si="382"/>
        <v>3.6503883357938663E-5</v>
      </c>
      <c r="R379" s="3">
        <f t="shared" si="382"/>
        <v>3.0679835198408819E-34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0.10578931784531288</v>
      </c>
      <c r="C380" s="3">
        <f t="shared" si="383"/>
        <v>0.10578931784531224</v>
      </c>
      <c r="D380" s="3">
        <f t="shared" si="383"/>
        <v>0.10578931784530586</v>
      </c>
      <c r="E380" s="3">
        <f t="shared" si="383"/>
        <v>0.10578931784524197</v>
      </c>
      <c r="F380" s="3">
        <f t="shared" si="383"/>
        <v>0.10578931784460306</v>
      </c>
      <c r="G380" s="3">
        <f t="shared" si="383"/>
        <v>0.10578931783821409</v>
      </c>
      <c r="H380" s="3">
        <f t="shared" si="383"/>
        <v>0.10578931777432436</v>
      </c>
      <c r="I380" s="3">
        <f t="shared" si="383"/>
        <v>0.10578931713542702</v>
      </c>
      <c r="J380" s="3">
        <f t="shared" si="383"/>
        <v>0.10578931074645385</v>
      </c>
      <c r="K380" s="3">
        <f t="shared" si="383"/>
        <v>0.10578924685674347</v>
      </c>
      <c r="L380" s="3">
        <f t="shared" si="383"/>
        <v>0.10578860796176179</v>
      </c>
      <c r="M380" s="3">
        <f t="shared" si="383"/>
        <v>0.10578221922415801</v>
      </c>
      <c r="N380" s="3">
        <f t="shared" si="383"/>
        <v>0.10571835306469198</v>
      </c>
      <c r="O380" s="3">
        <f t="shared" si="383"/>
        <v>0.1050818083938896</v>
      </c>
      <c r="P380" s="3">
        <f t="shared" si="383"/>
        <v>9.8923399134885778E-2</v>
      </c>
      <c r="Q380" s="3">
        <f t="shared" si="383"/>
        <v>5.4077170310669546E-2</v>
      </c>
      <c r="R380" s="3">
        <f t="shared" si="383"/>
        <v>1.2887338390448361E-4</v>
      </c>
      <c r="S380" s="3">
        <f t="shared" si="383"/>
        <v>7.6147556460439142E-31</v>
      </c>
      <c r="T380" s="3">
        <f t="shared" si="383"/>
        <v>3.9498751238238633E-293</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8.5446045134986298E-2</v>
      </c>
      <c r="C381" s="3">
        <f t="shared" si="384"/>
        <v>8.544604513498627E-2</v>
      </c>
      <c r="D381" s="3">
        <f t="shared" si="384"/>
        <v>8.5446045134985785E-2</v>
      </c>
      <c r="E381" s="3">
        <f t="shared" si="384"/>
        <v>8.5446045134981136E-2</v>
      </c>
      <c r="F381" s="3">
        <f t="shared" si="384"/>
        <v>8.544604513493459E-2</v>
      </c>
      <c r="G381" s="3">
        <f t="shared" si="384"/>
        <v>8.5446045134469087E-2</v>
      </c>
      <c r="H381" s="3">
        <f t="shared" si="384"/>
        <v>8.5446045129813991E-2</v>
      </c>
      <c r="I381" s="3">
        <f t="shared" si="384"/>
        <v>8.5446045083263131E-2</v>
      </c>
      <c r="J381" s="3">
        <f t="shared" si="384"/>
        <v>8.5446044617754402E-2</v>
      </c>
      <c r="K381" s="3">
        <f t="shared" si="384"/>
        <v>8.5446039962667364E-2</v>
      </c>
      <c r="L381" s="3">
        <f t="shared" si="384"/>
        <v>8.5445993411810917E-2</v>
      </c>
      <c r="M381" s="3">
        <f t="shared" si="384"/>
        <v>8.5445527904641244E-2</v>
      </c>
      <c r="N381" s="3">
        <f t="shared" si="384"/>
        <v>8.5440872972426099E-2</v>
      </c>
      <c r="O381" s="3">
        <f t="shared" si="384"/>
        <v>8.5394337595614336E-2</v>
      </c>
      <c r="P381" s="3">
        <f t="shared" si="384"/>
        <v>8.4930375554519724E-2</v>
      </c>
      <c r="Q381" s="3">
        <f t="shared" si="384"/>
        <v>8.0427162879006933E-2</v>
      </c>
      <c r="R381" s="3">
        <f t="shared" si="384"/>
        <v>4.6644430335566797E-2</v>
      </c>
      <c r="S381" s="3">
        <f t="shared" si="384"/>
        <v>2.0080301918229011E-4</v>
      </c>
      <c r="T381" s="3">
        <f t="shared" si="384"/>
        <v>4.3901027773862344E-28</v>
      </c>
      <c r="U381" s="3">
        <f t="shared" si="384"/>
        <v>1.0952649274449214E-264</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5.8777528752493244E-2</v>
      </c>
      <c r="C382" s="3">
        <f t="shared" si="385"/>
        <v>5.8777528752493244E-2</v>
      </c>
      <c r="D382" s="3">
        <f t="shared" si="385"/>
        <v>5.8777528752493209E-2</v>
      </c>
      <c r="E382" s="3">
        <f t="shared" si="385"/>
        <v>5.8777528752492925E-2</v>
      </c>
      <c r="F382" s="3">
        <f t="shared" si="385"/>
        <v>5.8777528752490031E-2</v>
      </c>
      <c r="G382" s="3">
        <f t="shared" si="385"/>
        <v>5.8777528752461151E-2</v>
      </c>
      <c r="H382" s="3">
        <f t="shared" si="385"/>
        <v>5.8777528752172278E-2</v>
      </c>
      <c r="I382" s="3">
        <f t="shared" si="385"/>
        <v>5.8777528749283638E-2</v>
      </c>
      <c r="J382" s="3">
        <f t="shared" si="385"/>
        <v>5.8777528720397224E-2</v>
      </c>
      <c r="K382" s="3">
        <f t="shared" si="385"/>
        <v>5.8777528431532992E-2</v>
      </c>
      <c r="L382" s="3">
        <f t="shared" si="385"/>
        <v>5.8777525542890771E-2</v>
      </c>
      <c r="M382" s="3">
        <f t="shared" si="385"/>
        <v>5.8777496656476386E-2</v>
      </c>
      <c r="N382" s="3">
        <f t="shared" si="385"/>
        <v>5.8777207793113309E-2</v>
      </c>
      <c r="O382" s="3">
        <f t="shared" si="385"/>
        <v>5.8774319237560844E-2</v>
      </c>
      <c r="P382" s="3">
        <f t="shared" si="385"/>
        <v>5.8745441488442643E-2</v>
      </c>
      <c r="Q382" s="3">
        <f t="shared" si="385"/>
        <v>5.8457443220269668E-2</v>
      </c>
      <c r="R382" s="3">
        <f t="shared" si="385"/>
        <v>5.5653984351077303E-2</v>
      </c>
      <c r="S382" s="3">
        <f t="shared" si="385"/>
        <v>3.4045578041710267E-2</v>
      </c>
      <c r="T382" s="3">
        <f t="shared" si="385"/>
        <v>2.4986488064873805E-4</v>
      </c>
      <c r="U382" s="3">
        <f t="shared" si="385"/>
        <v>1.1327922918482432E-25</v>
      </c>
      <c r="V382" s="3">
        <f t="shared" si="385"/>
        <v>4.1552862632740631E-239</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3.044822143643108E-2</v>
      </c>
      <c r="C383" s="3">
        <f t="shared" si="386"/>
        <v>3.044822143643108E-2</v>
      </c>
      <c r="D383" s="3">
        <f t="shared" si="386"/>
        <v>3.044822143643108E-2</v>
      </c>
      <c r="E383" s="3">
        <f t="shared" si="386"/>
        <v>3.0448221436431066E-2</v>
      </c>
      <c r="F383" s="3">
        <f t="shared" si="386"/>
        <v>3.0448221436430931E-2</v>
      </c>
      <c r="G383" s="3">
        <f t="shared" si="386"/>
        <v>3.0448221436429578E-2</v>
      </c>
      <c r="H383" s="3">
        <f t="shared" si="386"/>
        <v>3.0448221436416081E-2</v>
      </c>
      <c r="I383" s="3">
        <f t="shared" si="386"/>
        <v>3.0448221436281092E-2</v>
      </c>
      <c r="J383" s="3">
        <f t="shared" si="386"/>
        <v>3.0448221434931227E-2</v>
      </c>
      <c r="K383" s="3">
        <f t="shared" si="386"/>
        <v>3.0448221421432557E-2</v>
      </c>
      <c r="L383" s="3">
        <f t="shared" si="386"/>
        <v>3.0448221286445865E-2</v>
      </c>
      <c r="M383" s="3">
        <f t="shared" si="386"/>
        <v>3.0448219936578945E-2</v>
      </c>
      <c r="N383" s="3">
        <f t="shared" si="386"/>
        <v>3.0448206437913072E-2</v>
      </c>
      <c r="O383" s="3">
        <f t="shared" si="386"/>
        <v>3.0448071451583486E-2</v>
      </c>
      <c r="P383" s="3">
        <f t="shared" si="386"/>
        <v>3.0446721621201142E-2</v>
      </c>
      <c r="Q383" s="3">
        <f t="shared" si="386"/>
        <v>3.0433226608193278E-2</v>
      </c>
      <c r="R383" s="3">
        <f t="shared" si="386"/>
        <v>3.02986050205062E-2</v>
      </c>
      <c r="S383" s="3">
        <f t="shared" si="386"/>
        <v>2.8984710796496737E-2</v>
      </c>
      <c r="T383" s="3">
        <f t="shared" si="386"/>
        <v>1.8605114615138519E-2</v>
      </c>
      <c r="U383" s="3">
        <f t="shared" si="386"/>
        <v>2.2093582020367132E-4</v>
      </c>
      <c r="V383" s="3">
        <f t="shared" si="386"/>
        <v>1.2319808880656825E-23</v>
      </c>
      <c r="W383" s="3">
        <f t="shared" si="386"/>
        <v>3.5808187710449971E-216</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1.5917825428886163E-2</v>
      </c>
      <c r="C384" s="3">
        <f t="shared" si="387"/>
        <v>1.5917825428886163E-2</v>
      </c>
      <c r="D384" s="3">
        <f t="shared" si="387"/>
        <v>1.5917825428886163E-2</v>
      </c>
      <c r="E384" s="3">
        <f t="shared" si="387"/>
        <v>1.5917825428886163E-2</v>
      </c>
      <c r="F384" s="3">
        <f t="shared" si="387"/>
        <v>1.5917825428886156E-2</v>
      </c>
      <c r="G384" s="3">
        <f t="shared" si="387"/>
        <v>1.5917825428886093E-2</v>
      </c>
      <c r="H384" s="3">
        <f t="shared" si="387"/>
        <v>1.5917825428885455E-2</v>
      </c>
      <c r="I384" s="3">
        <f t="shared" si="387"/>
        <v>1.5917825428879089E-2</v>
      </c>
      <c r="J384" s="3">
        <f t="shared" si="387"/>
        <v>1.5917825428815431E-2</v>
      </c>
      <c r="K384" s="3">
        <f t="shared" si="387"/>
        <v>1.5917825428178843E-2</v>
      </c>
      <c r="L384" s="3">
        <f t="shared" si="387"/>
        <v>1.5917825421812949E-2</v>
      </c>
      <c r="M384" s="3">
        <f t="shared" si="387"/>
        <v>1.5917825358154013E-2</v>
      </c>
      <c r="N384" s="3">
        <f t="shared" si="387"/>
        <v>1.5917824721564684E-2</v>
      </c>
      <c r="O384" s="3">
        <f t="shared" si="387"/>
        <v>1.5917818355672807E-2</v>
      </c>
      <c r="P384" s="3">
        <f t="shared" si="387"/>
        <v>1.5917754696894038E-2</v>
      </c>
      <c r="Q384" s="3">
        <f t="shared" si="387"/>
        <v>1.5917118123108386E-2</v>
      </c>
      <c r="R384" s="3">
        <f t="shared" si="387"/>
        <v>1.5910753785246191E-2</v>
      </c>
      <c r="S384" s="3">
        <f t="shared" si="387"/>
        <v>1.5847250199120529E-2</v>
      </c>
      <c r="T384" s="3">
        <f t="shared" si="387"/>
        <v>1.5225988928914615E-2</v>
      </c>
      <c r="U384" s="3">
        <f t="shared" si="387"/>
        <v>1.0207078608829696E-2</v>
      </c>
      <c r="V384" s="3">
        <f t="shared" si="387"/>
        <v>1.8709447266757986E-4</v>
      </c>
      <c r="W384" s="3">
        <f t="shared" si="387"/>
        <v>8.0104319614341442E-22</v>
      </c>
      <c r="X384" s="3">
        <f t="shared" si="387"/>
        <v>1.658080923020512E-195</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7.4710107179745602E-3</v>
      </c>
      <c r="C385" s="3">
        <f t="shared" si="388"/>
        <v>7.4710107179745602E-3</v>
      </c>
      <c r="D385" s="3">
        <f t="shared" si="388"/>
        <v>7.4710107179745602E-3</v>
      </c>
      <c r="E385" s="3">
        <f t="shared" si="388"/>
        <v>7.4710107179745602E-3</v>
      </c>
      <c r="F385" s="3">
        <f t="shared" si="388"/>
        <v>7.4710107179745602E-3</v>
      </c>
      <c r="G385" s="3">
        <f t="shared" si="388"/>
        <v>7.4710107179745567E-3</v>
      </c>
      <c r="H385" s="3">
        <f t="shared" si="388"/>
        <v>7.4710107179745307E-3</v>
      </c>
      <c r="I385" s="3">
        <f t="shared" si="388"/>
        <v>7.4710107179742609E-3</v>
      </c>
      <c r="J385" s="3">
        <f t="shared" si="388"/>
        <v>7.4710107179715652E-3</v>
      </c>
      <c r="K385" s="3">
        <f t="shared" si="388"/>
        <v>7.4710107179446128E-3</v>
      </c>
      <c r="L385" s="3">
        <f t="shared" si="388"/>
        <v>7.4710107176750862E-3</v>
      </c>
      <c r="M385" s="3">
        <f t="shared" si="388"/>
        <v>7.4710107149798203E-3</v>
      </c>
      <c r="N385" s="3">
        <f t="shared" si="388"/>
        <v>7.471010688027164E-3</v>
      </c>
      <c r="O385" s="3">
        <f t="shared" si="388"/>
        <v>7.4710104185006041E-3</v>
      </c>
      <c r="P385" s="3">
        <f t="shared" si="388"/>
        <v>7.4710077232355444E-3</v>
      </c>
      <c r="Q385" s="3">
        <f t="shared" si="388"/>
        <v>7.4709807706384215E-3</v>
      </c>
      <c r="R385" s="3">
        <f t="shared" si="388"/>
        <v>7.4707112500150604E-3</v>
      </c>
      <c r="S385" s="3">
        <f t="shared" si="388"/>
        <v>7.4680165784960766E-3</v>
      </c>
      <c r="T385" s="3">
        <f t="shared" si="388"/>
        <v>7.4411232634640067E-3</v>
      </c>
      <c r="U385" s="3">
        <f t="shared" si="388"/>
        <v>7.1774595317328068E-3</v>
      </c>
      <c r="V385" s="3">
        <f t="shared" si="388"/>
        <v>5.0037233505928836E-3</v>
      </c>
      <c r="W385" s="3">
        <f t="shared" si="388"/>
        <v>1.3568088446626808E-4</v>
      </c>
      <c r="X385" s="3">
        <f t="shared" si="388"/>
        <v>2.9158986485822403E-20</v>
      </c>
      <c r="Y385" s="3">
        <f t="shared" si="388"/>
        <v>6.1278765987296734E-177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1.4378472174592341E-3</v>
      </c>
      <c r="C386" s="3">
        <f t="shared" si="389"/>
        <v>1.4378472174592341E-3</v>
      </c>
      <c r="D386" s="3">
        <f t="shared" si="389"/>
        <v>1.4378472174592341E-3</v>
      </c>
      <c r="E386" s="3">
        <f t="shared" si="389"/>
        <v>1.4378472174592341E-3</v>
      </c>
      <c r="F386" s="3">
        <f t="shared" si="389"/>
        <v>1.4378472174592341E-3</v>
      </c>
      <c r="G386" s="3">
        <f t="shared" si="389"/>
        <v>1.4378472174592341E-3</v>
      </c>
      <c r="H386" s="3">
        <f t="shared" si="389"/>
        <v>1.4378472174592337E-3</v>
      </c>
      <c r="I386" s="3">
        <f t="shared" si="389"/>
        <v>1.4378472174592289E-3</v>
      </c>
      <c r="J386" s="3">
        <f t="shared" si="389"/>
        <v>1.4378472174591821E-3</v>
      </c>
      <c r="K386" s="3">
        <f t="shared" si="389"/>
        <v>1.4378472174587141E-3</v>
      </c>
      <c r="L386" s="3">
        <f t="shared" si="389"/>
        <v>1.4378472174540349E-3</v>
      </c>
      <c r="M386" s="3">
        <f t="shared" si="389"/>
        <v>1.4378472174072419E-3</v>
      </c>
      <c r="N386" s="3">
        <f t="shared" si="389"/>
        <v>1.4378472169393113E-3</v>
      </c>
      <c r="O386" s="3">
        <f t="shared" si="389"/>
        <v>1.437847212260004E-3</v>
      </c>
      <c r="P386" s="3">
        <f t="shared" si="389"/>
        <v>1.4378471654669339E-3</v>
      </c>
      <c r="Q386" s="3">
        <f t="shared" si="389"/>
        <v>1.4378466975363154E-3</v>
      </c>
      <c r="R386" s="3">
        <f t="shared" si="389"/>
        <v>1.4378420182385074E-3</v>
      </c>
      <c r="S386" s="3">
        <f t="shared" si="389"/>
        <v>1.4377952260979695E-3</v>
      </c>
      <c r="T386" s="3">
        <f t="shared" si="389"/>
        <v>1.4373273884368315E-3</v>
      </c>
      <c r="U386" s="3">
        <f t="shared" si="389"/>
        <v>1.4326573761743757E-3</v>
      </c>
      <c r="V386" s="3">
        <f t="shared" si="389"/>
        <v>1.3867837038178724E-3</v>
      </c>
      <c r="W386" s="3">
        <f t="shared" si="389"/>
        <v>1.0015499743952522E-3</v>
      </c>
      <c r="X386" s="3">
        <f t="shared" si="389"/>
        <v>3.8664426263658859E-5</v>
      </c>
      <c r="Y386" s="3">
        <f t="shared" si="389"/>
        <v>2.8425036399336507E-19</v>
      </c>
      <c r="Z386" s="3">
        <f t="shared" si="389"/>
        <v>1.3109786624977455E-160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4.7686363858368023E-3</v>
      </c>
      <c r="C387" s="3">
        <f t="shared" si="390"/>
        <v>4.7686363858368023E-3</v>
      </c>
      <c r="D387" s="3">
        <f t="shared" si="390"/>
        <v>4.7686363858368023E-3</v>
      </c>
      <c r="E387" s="3">
        <f t="shared" si="390"/>
        <v>4.7686363858368023E-3</v>
      </c>
      <c r="F387" s="3">
        <f t="shared" si="390"/>
        <v>4.7686363858368023E-3</v>
      </c>
      <c r="G387" s="3">
        <f t="shared" si="390"/>
        <v>4.7686363858368023E-3</v>
      </c>
      <c r="H387" s="3">
        <f t="shared" si="390"/>
        <v>4.7686363858368015E-3</v>
      </c>
      <c r="I387" s="3">
        <f t="shared" si="390"/>
        <v>4.768636385836798E-3</v>
      </c>
      <c r="J387" s="3">
        <f t="shared" si="390"/>
        <v>4.7686363858367546E-3</v>
      </c>
      <c r="K387" s="3">
        <f t="shared" si="390"/>
        <v>4.7686363858363253E-3</v>
      </c>
      <c r="L387" s="3">
        <f t="shared" si="390"/>
        <v>4.7686363858320336E-3</v>
      </c>
      <c r="M387" s="3">
        <f t="shared" si="390"/>
        <v>4.7686363857891113E-3</v>
      </c>
      <c r="N387" s="3">
        <f t="shared" si="390"/>
        <v>4.7686363853598956E-3</v>
      </c>
      <c r="O387" s="3">
        <f t="shared" si="390"/>
        <v>4.7686363810677361E-3</v>
      </c>
      <c r="P387" s="3">
        <f t="shared" si="390"/>
        <v>4.7686363381461384E-3</v>
      </c>
      <c r="Q387" s="3">
        <f t="shared" si="390"/>
        <v>4.7686359089301866E-3</v>
      </c>
      <c r="R387" s="3">
        <f t="shared" si="390"/>
        <v>4.7686316167727871E-3</v>
      </c>
      <c r="S387" s="3">
        <f t="shared" si="390"/>
        <v>4.768588695411277E-3</v>
      </c>
      <c r="T387" s="3">
        <f t="shared" si="390"/>
        <v>4.7681595030434924E-3</v>
      </c>
      <c r="U387" s="3">
        <f t="shared" si="390"/>
        <v>4.7638697033902744E-3</v>
      </c>
      <c r="V387" s="3">
        <f t="shared" si="390"/>
        <v>4.7211834036557116E-3</v>
      </c>
      <c r="W387" s="3">
        <f t="shared" si="390"/>
        <v>4.3148017258009307E-3</v>
      </c>
      <c r="X387" s="3">
        <f t="shared" si="390"/>
        <v>1.7541251025464113E-3</v>
      </c>
      <c r="Y387" s="3">
        <f t="shared" si="390"/>
        <v>2.1630061886396841E-7</v>
      </c>
      <c r="Z387" s="3">
        <f t="shared" si="390"/>
        <v>1.758044023321462E-46</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2.0950739363465548E-3</v>
      </c>
      <c r="C389" s="3">
        <f t="shared" si="392"/>
        <v>2.0950739363465548E-3</v>
      </c>
      <c r="D389" s="3">
        <f t="shared" si="392"/>
        <v>2.0950739363465548E-3</v>
      </c>
      <c r="E389" s="3">
        <f t="shared" si="392"/>
        <v>2.0950739363465548E-3</v>
      </c>
      <c r="F389" s="3">
        <f t="shared" si="392"/>
        <v>2.0950739363465548E-3</v>
      </c>
      <c r="G389" s="3">
        <f t="shared" si="392"/>
        <v>2.0950739363465548E-3</v>
      </c>
      <c r="H389" s="3">
        <f t="shared" si="392"/>
        <v>2.0950739363465548E-3</v>
      </c>
      <c r="I389" s="3">
        <f t="shared" si="392"/>
        <v>2.0950739363465548E-3</v>
      </c>
      <c r="J389" s="3">
        <f t="shared" si="392"/>
        <v>2.0950739363465544E-3</v>
      </c>
      <c r="K389" s="3">
        <f t="shared" si="392"/>
        <v>2.0950739363465526E-3</v>
      </c>
      <c r="L389" s="3">
        <f t="shared" si="392"/>
        <v>2.095073936346534E-3</v>
      </c>
      <c r="M389" s="3">
        <f t="shared" si="392"/>
        <v>2.0950739363463453E-3</v>
      </c>
      <c r="N389" s="3">
        <f t="shared" si="392"/>
        <v>2.0950739363444597E-3</v>
      </c>
      <c r="O389" s="3">
        <f t="shared" si="392"/>
        <v>2.0950739363256024E-3</v>
      </c>
      <c r="P389" s="3">
        <f t="shared" si="392"/>
        <v>2.0950739361370284E-3</v>
      </c>
      <c r="Q389" s="3">
        <f t="shared" si="392"/>
        <v>2.095073934251292E-3</v>
      </c>
      <c r="R389" s="3">
        <f t="shared" si="392"/>
        <v>2.0950739153939263E-3</v>
      </c>
      <c r="S389" s="3">
        <f t="shared" si="392"/>
        <v>2.0950737268202791E-3</v>
      </c>
      <c r="T389" s="3">
        <f t="shared" si="392"/>
        <v>2.0950718410847418E-3</v>
      </c>
      <c r="U389" s="3">
        <f t="shared" si="392"/>
        <v>2.0950529838227204E-3</v>
      </c>
      <c r="V389" s="3">
        <f t="shared" si="392"/>
        <v>2.0948644205373975E-3</v>
      </c>
      <c r="W389" s="3">
        <f t="shared" si="392"/>
        <v>2.0929797208626014E-3</v>
      </c>
      <c r="X389" s="3">
        <f t="shared" si="392"/>
        <v>2.0742257319280345E-3</v>
      </c>
      <c r="Y389" s="3">
        <f t="shared" si="392"/>
        <v>1.8956841966558016E-3</v>
      </c>
      <c r="Z389" s="3">
        <f t="shared" si="392"/>
        <v>7.7066513067578326E-4</v>
      </c>
      <c r="AA389" s="3">
        <f t="shared" si="392"/>
        <v>9.5030476708911087E-8</v>
      </c>
      <c r="AB389" s="3">
        <f t="shared" si="392"/>
        <v>7.7238688677335485E-47</v>
      </c>
      <c r="AC389" s="3">
        <f t="shared" si="392"/>
        <v>0</v>
      </c>
      <c r="AD389" s="3">
        <f t="shared" si="392"/>
        <v>0</v>
      </c>
      <c r="AE389" s="3">
        <f t="shared" si="392"/>
        <v>0</v>
      </c>
      <c r="AF389" s="3">
        <f t="shared" si="392"/>
        <v>0</v>
      </c>
      <c r="AG389" s="3"/>
      <c r="AH389" s="3"/>
    </row>
    <row r="390" spans="1:34" x14ac:dyDescent="0.25">
      <c r="B390" s="3">
        <f t="shared" ref="B390:AF390" si="393">$C42*EXP(-B$363/$A42/EXP(-$H$126))</f>
        <v>1.9210885084110967E-3</v>
      </c>
      <c r="C390" s="3">
        <f t="shared" si="393"/>
        <v>1.9210885084110967E-3</v>
      </c>
      <c r="D390" s="3">
        <f t="shared" si="393"/>
        <v>1.9210885084110967E-3</v>
      </c>
      <c r="E390" s="3">
        <f t="shared" si="393"/>
        <v>1.9210885084110967E-3</v>
      </c>
      <c r="F390" s="3">
        <f t="shared" si="393"/>
        <v>1.9210885084110967E-3</v>
      </c>
      <c r="G390" s="3">
        <f t="shared" si="393"/>
        <v>1.9210885084110967E-3</v>
      </c>
      <c r="H390" s="3">
        <f t="shared" si="393"/>
        <v>1.9210885084110967E-3</v>
      </c>
      <c r="I390" s="3">
        <f t="shared" si="393"/>
        <v>1.9210885084110967E-3</v>
      </c>
      <c r="J390" s="3">
        <f t="shared" si="393"/>
        <v>1.9210885084110967E-3</v>
      </c>
      <c r="K390" s="3">
        <f t="shared" si="393"/>
        <v>1.9210885084110965E-3</v>
      </c>
      <c r="L390" s="3">
        <f t="shared" si="393"/>
        <v>1.9210885084110947E-3</v>
      </c>
      <c r="M390" s="3">
        <f t="shared" si="393"/>
        <v>1.9210885084110774E-3</v>
      </c>
      <c r="N390" s="3">
        <f t="shared" si="393"/>
        <v>1.9210885084109046E-3</v>
      </c>
      <c r="O390" s="3">
        <f t="shared" si="393"/>
        <v>1.9210885084091755E-3</v>
      </c>
      <c r="P390" s="3">
        <f t="shared" si="393"/>
        <v>1.9210885083918842E-3</v>
      </c>
      <c r="Q390" s="3">
        <f t="shared" si="393"/>
        <v>1.9210885082189706E-3</v>
      </c>
      <c r="R390" s="3">
        <f t="shared" si="393"/>
        <v>1.9210885064898351E-3</v>
      </c>
      <c r="S390" s="3">
        <f t="shared" si="393"/>
        <v>1.9210884891984795E-3</v>
      </c>
      <c r="T390" s="3">
        <f t="shared" si="393"/>
        <v>1.9210883162849321E-3</v>
      </c>
      <c r="U390" s="3">
        <f t="shared" si="393"/>
        <v>1.9210865871503138E-3</v>
      </c>
      <c r="V390" s="3">
        <f t="shared" si="393"/>
        <v>1.9210692958897329E-3</v>
      </c>
      <c r="W390" s="3">
        <f t="shared" si="393"/>
        <v>1.9208963918436002E-3</v>
      </c>
      <c r="X390" s="3">
        <f t="shared" si="393"/>
        <v>1.9191682070648947E-3</v>
      </c>
      <c r="Y390" s="3">
        <f t="shared" si="393"/>
        <v>1.9019716432567969E-3</v>
      </c>
      <c r="Z390" s="3">
        <f t="shared" si="393"/>
        <v>1.7382570908798614E-3</v>
      </c>
      <c r="AA390" s="3">
        <f t="shared" si="393"/>
        <v>7.0666524015670115E-4</v>
      </c>
      <c r="AB390" s="3">
        <f t="shared" si="393"/>
        <v>8.7138670185871247E-8</v>
      </c>
      <c r="AC390" s="3">
        <f t="shared" si="393"/>
        <v>7.082440130085554E-47</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4.6732387958302481E-4</v>
      </c>
      <c r="C392" s="3">
        <f t="shared" si="395"/>
        <v>4.6732387958302481E-4</v>
      </c>
      <c r="D392" s="3">
        <f t="shared" si="395"/>
        <v>4.6732387958302481E-4</v>
      </c>
      <c r="E392" s="3">
        <f t="shared" si="395"/>
        <v>4.6732387958302481E-4</v>
      </c>
      <c r="F392" s="3">
        <f t="shared" si="395"/>
        <v>4.6732387958302481E-4</v>
      </c>
      <c r="G392" s="3">
        <f t="shared" si="395"/>
        <v>4.6732387958302481E-4</v>
      </c>
      <c r="H392" s="3">
        <f t="shared" si="395"/>
        <v>4.6732387958302481E-4</v>
      </c>
      <c r="I392" s="3">
        <f t="shared" si="395"/>
        <v>4.6732387958302481E-4</v>
      </c>
      <c r="J392" s="3">
        <f t="shared" si="395"/>
        <v>4.6732387958302481E-4</v>
      </c>
      <c r="K392" s="3">
        <f t="shared" si="395"/>
        <v>4.6732387958302481E-4</v>
      </c>
      <c r="L392" s="3">
        <f t="shared" si="395"/>
        <v>4.6732387958302481E-4</v>
      </c>
      <c r="M392" s="3">
        <f t="shared" si="395"/>
        <v>4.6732387958302475E-4</v>
      </c>
      <c r="N392" s="3">
        <f t="shared" si="395"/>
        <v>4.6732387958302432E-4</v>
      </c>
      <c r="O392" s="3">
        <f t="shared" si="395"/>
        <v>4.6732387958302015E-4</v>
      </c>
      <c r="P392" s="3">
        <f t="shared" si="395"/>
        <v>4.6732387958297808E-4</v>
      </c>
      <c r="Q392" s="3">
        <f t="shared" si="395"/>
        <v>4.6732387958255746E-4</v>
      </c>
      <c r="R392" s="3">
        <f t="shared" si="395"/>
        <v>4.6732387957835114E-4</v>
      </c>
      <c r="S392" s="3">
        <f t="shared" si="395"/>
        <v>4.6732387953628821E-4</v>
      </c>
      <c r="T392" s="3">
        <f t="shared" si="395"/>
        <v>4.6732387911565881E-4</v>
      </c>
      <c r="U392" s="3">
        <f t="shared" si="395"/>
        <v>4.6732387490936464E-4</v>
      </c>
      <c r="V392" s="3">
        <f t="shared" si="395"/>
        <v>4.6732383284642508E-4</v>
      </c>
      <c r="W392" s="3">
        <f t="shared" si="395"/>
        <v>4.6732341221723779E-4</v>
      </c>
      <c r="X392" s="3">
        <f t="shared" si="395"/>
        <v>4.6731920594618768E-4</v>
      </c>
      <c r="Y392" s="3">
        <f t="shared" si="395"/>
        <v>4.6727714531791335E-4</v>
      </c>
      <c r="Z392" s="3">
        <f t="shared" si="395"/>
        <v>4.6685674718847529E-4</v>
      </c>
      <c r="AA392" s="3">
        <f t="shared" si="395"/>
        <v>4.6267351206988935E-4</v>
      </c>
      <c r="AB392" s="3">
        <f t="shared" si="395"/>
        <v>4.2284831951576473E-4</v>
      </c>
      <c r="AC392" s="3">
        <f t="shared" si="395"/>
        <v>1.7190334549949357E-4</v>
      </c>
      <c r="AD392" s="3">
        <f t="shared" si="395"/>
        <v>2.1197347875787121E-8</v>
      </c>
      <c r="AE392" s="3">
        <f t="shared" si="395"/>
        <v>1.722873976922367E-47</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1.2351806616485092E-4</v>
      </c>
      <c r="C394" s="3">
        <f t="shared" si="397"/>
        <v>1.2351806616485092E-4</v>
      </c>
      <c r="D394" s="3">
        <f t="shared" si="397"/>
        <v>1.2351806616485092E-4</v>
      </c>
      <c r="E394" s="3">
        <f t="shared" si="397"/>
        <v>1.2351806616485092E-4</v>
      </c>
      <c r="F394" s="3">
        <f t="shared" si="397"/>
        <v>1.2351806616485092E-4</v>
      </c>
      <c r="G394" s="3">
        <f t="shared" si="397"/>
        <v>1.2351806616485092E-4</v>
      </c>
      <c r="H394" s="3">
        <f t="shared" si="397"/>
        <v>1.2351806616485092E-4</v>
      </c>
      <c r="I394" s="3">
        <f t="shared" si="397"/>
        <v>1.2351806616485092E-4</v>
      </c>
      <c r="J394" s="3">
        <f t="shared" si="397"/>
        <v>1.2351806616485092E-4</v>
      </c>
      <c r="K394" s="3">
        <f t="shared" si="397"/>
        <v>1.2351806616485092E-4</v>
      </c>
      <c r="L394" s="3">
        <f t="shared" si="397"/>
        <v>1.2351806616485092E-4</v>
      </c>
      <c r="M394" s="3">
        <f t="shared" si="397"/>
        <v>1.2351806616485092E-4</v>
      </c>
      <c r="N394" s="3">
        <f t="shared" si="397"/>
        <v>1.2351806616485092E-4</v>
      </c>
      <c r="O394" s="3">
        <f t="shared" si="397"/>
        <v>1.2351806616485089E-4</v>
      </c>
      <c r="P394" s="3">
        <f t="shared" si="397"/>
        <v>1.2351806616485078E-4</v>
      </c>
      <c r="Q394" s="3">
        <f t="shared" si="397"/>
        <v>1.2351806616484967E-4</v>
      </c>
      <c r="R394" s="3">
        <f t="shared" si="397"/>
        <v>1.2351806616483856E-4</v>
      </c>
      <c r="S394" s="3">
        <f t="shared" si="397"/>
        <v>1.235180661647274E-4</v>
      </c>
      <c r="T394" s="3">
        <f t="shared" si="397"/>
        <v>1.2351806616361563E-4</v>
      </c>
      <c r="U394" s="3">
        <f t="shared" si="397"/>
        <v>1.2351806615249801E-4</v>
      </c>
      <c r="V394" s="3">
        <f t="shared" si="397"/>
        <v>1.2351806604132172E-4</v>
      </c>
      <c r="W394" s="3">
        <f t="shared" si="397"/>
        <v>1.2351806492955889E-4</v>
      </c>
      <c r="X394" s="3">
        <f t="shared" si="397"/>
        <v>1.235180538119311E-4</v>
      </c>
      <c r="Y394" s="3">
        <f t="shared" si="397"/>
        <v>1.2351794263570822E-4</v>
      </c>
      <c r="Z394" s="3">
        <f t="shared" si="397"/>
        <v>1.2351683087898324E-4</v>
      </c>
      <c r="AA394" s="3">
        <f t="shared" si="397"/>
        <v>1.2350571386208532E-4</v>
      </c>
      <c r="AB394" s="3">
        <f t="shared" si="397"/>
        <v>1.233945987099689E-4</v>
      </c>
      <c r="AC394" s="3">
        <f t="shared" si="397"/>
        <v>1.2228893059683572E-4</v>
      </c>
      <c r="AD394" s="3">
        <f t="shared" si="397"/>
        <v>1.1176276023867333E-4</v>
      </c>
      <c r="AE394" s="3">
        <f t="shared" si="397"/>
        <v>4.5435659787621417E-5</v>
      </c>
      <c r="AF394" s="3">
        <f t="shared" si="397"/>
        <v>5.6026570261656754E-9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1.0347942973527732E-3</v>
      </c>
      <c r="C396" s="3">
        <f t="shared" si="399"/>
        <v>1.0347942973527732E-3</v>
      </c>
      <c r="D396" s="3">
        <f t="shared" si="399"/>
        <v>1.0347942973527732E-3</v>
      </c>
      <c r="E396" s="3">
        <f t="shared" si="399"/>
        <v>1.0347942973527732E-3</v>
      </c>
      <c r="F396" s="3">
        <f t="shared" si="399"/>
        <v>1.0347942973527732E-3</v>
      </c>
      <c r="G396" s="3">
        <f t="shared" si="399"/>
        <v>1.0347942973527732E-3</v>
      </c>
      <c r="H396" s="3">
        <f t="shared" si="399"/>
        <v>1.0347942973527732E-3</v>
      </c>
      <c r="I396" s="3">
        <f t="shared" si="399"/>
        <v>1.0347942973527732E-3</v>
      </c>
      <c r="J396" s="3">
        <f t="shared" si="399"/>
        <v>1.0347942973527732E-3</v>
      </c>
      <c r="K396" s="3">
        <f t="shared" si="399"/>
        <v>1.0347942973527732E-3</v>
      </c>
      <c r="L396" s="3">
        <f t="shared" si="399"/>
        <v>1.0347942973527732E-3</v>
      </c>
      <c r="M396" s="3">
        <f t="shared" si="399"/>
        <v>1.0347942973527732E-3</v>
      </c>
      <c r="N396" s="3">
        <f t="shared" si="399"/>
        <v>1.0347942973527732E-3</v>
      </c>
      <c r="O396" s="3">
        <f t="shared" si="399"/>
        <v>1.0347942973527732E-3</v>
      </c>
      <c r="P396" s="3">
        <f t="shared" si="399"/>
        <v>1.0347942973527732E-3</v>
      </c>
      <c r="Q396" s="3">
        <f t="shared" si="399"/>
        <v>1.034794297352773E-3</v>
      </c>
      <c r="R396" s="3">
        <f t="shared" si="399"/>
        <v>1.0347942973527721E-3</v>
      </c>
      <c r="S396" s="3">
        <f t="shared" si="399"/>
        <v>1.0347942973527628E-3</v>
      </c>
      <c r="T396" s="3">
        <f t="shared" si="399"/>
        <v>1.0347942973526697E-3</v>
      </c>
      <c r="U396" s="3">
        <f t="shared" si="399"/>
        <v>1.0347942973517382E-3</v>
      </c>
      <c r="V396" s="3">
        <f t="shared" si="399"/>
        <v>1.0347942973424242E-3</v>
      </c>
      <c r="W396" s="3">
        <f t="shared" si="399"/>
        <v>1.0347942972492843E-3</v>
      </c>
      <c r="X396" s="3">
        <f t="shared" si="399"/>
        <v>1.0347942963178857E-3</v>
      </c>
      <c r="Y396" s="3">
        <f t="shared" si="399"/>
        <v>1.0347942870038971E-3</v>
      </c>
      <c r="Z396" s="3">
        <f t="shared" si="399"/>
        <v>1.0347941938640174E-3</v>
      </c>
      <c r="AA396" s="3">
        <f t="shared" si="399"/>
        <v>1.0347932624656803E-3</v>
      </c>
      <c r="AB396" s="3">
        <f t="shared" si="399"/>
        <v>1.0347839485284178E-3</v>
      </c>
      <c r="AC396" s="3">
        <f t="shared" si="399"/>
        <v>1.0346908137664616E-3</v>
      </c>
      <c r="AD396" s="3">
        <f t="shared" si="399"/>
        <v>1.033759927060333E-3</v>
      </c>
      <c r="AE396" s="3">
        <f t="shared" si="399"/>
        <v>1.0244969982130825E-3</v>
      </c>
      <c r="AF396" s="3">
        <f t="shared" si="399"/>
        <v>9.3631215693607526E-4</v>
      </c>
      <c r="AG396" s="3"/>
      <c r="AH396" s="3"/>
    </row>
    <row r="397" spans="1:34" x14ac:dyDescent="0.25">
      <c r="A397" s="79">
        <f>AVERAGE(B397:AF397)</f>
        <v>2.3655170548492985E-4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3.8125120854475469E-4</v>
      </c>
      <c r="M397" s="80">
        <f t="shared" si="400"/>
        <v>5.9521388730052899E-4</v>
      </c>
      <c r="N397" s="80">
        <f t="shared" si="400"/>
        <v>7.8684975898861279E-4</v>
      </c>
      <c r="O397" s="80">
        <f t="shared" si="400"/>
        <v>9.1962658315339688E-4</v>
      </c>
      <c r="P397" s="80">
        <f t="shared" si="400"/>
        <v>9.3640388840195729E-4</v>
      </c>
      <c r="Q397" s="80">
        <f t="shared" si="400"/>
        <v>9.3519590448029784E-4</v>
      </c>
      <c r="R397" s="80">
        <f t="shared" si="400"/>
        <v>8.7961276362086608E-4</v>
      </c>
      <c r="S397" s="80">
        <f t="shared" si="400"/>
        <v>8.0663632146424922E-4</v>
      </c>
      <c r="T397" s="80">
        <f t="shared" si="400"/>
        <v>5.9427179777537089E-4</v>
      </c>
      <c r="U397" s="80">
        <f t="shared" si="400"/>
        <v>3.6354783043711819E-4</v>
      </c>
      <c r="V397" s="80">
        <f t="shared" si="400"/>
        <v>1.344929258656723E-4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7413.7131740271452</v>
      </c>
      <c r="C398" s="21">
        <f t="shared" ref="C398:AF398" si="401">(C365-C364)^2</f>
        <v>12398.847129951757</v>
      </c>
      <c r="D398" s="21">
        <f t="shared" si="401"/>
        <v>869.65246261838161</v>
      </c>
      <c r="E398" s="21">
        <f t="shared" si="401"/>
        <v>23.018473205324188</v>
      </c>
      <c r="F398" s="21">
        <f t="shared" si="401"/>
        <v>0.4653560443424179</v>
      </c>
      <c r="G398" s="21">
        <f t="shared" si="401"/>
        <v>2.4650916898693209E-3</v>
      </c>
      <c r="H398" s="21">
        <f t="shared" si="401"/>
        <v>5.951554032086164E-3</v>
      </c>
      <c r="I398" s="21">
        <f t="shared" si="401"/>
        <v>8.8528597430675121E-2</v>
      </c>
      <c r="J398" s="21">
        <f t="shared" si="401"/>
        <v>0.43916197004833646</v>
      </c>
      <c r="K398" s="21">
        <f t="shared" si="401"/>
        <v>1.8727494651972683</v>
      </c>
      <c r="L398" s="21">
        <f t="shared" si="401"/>
        <v>5.3176202467924076</v>
      </c>
      <c r="M398" s="21">
        <f t="shared" si="401"/>
        <v>11.496620779914966</v>
      </c>
      <c r="N398" s="21">
        <f t="shared" si="401"/>
        <v>17.286812408346858</v>
      </c>
      <c r="O398" s="21">
        <f t="shared" si="401"/>
        <v>19.553535387666596</v>
      </c>
      <c r="P398" s="21">
        <f t="shared" si="401"/>
        <v>15.324906628833364</v>
      </c>
      <c r="Q398" s="21">
        <f t="shared" si="401"/>
        <v>9.4378929919973071</v>
      </c>
      <c r="R398" s="21">
        <f t="shared" si="401"/>
        <v>3.9005881121634323</v>
      </c>
      <c r="S398" s="21">
        <f t="shared" si="401"/>
        <v>1.3775403888266493</v>
      </c>
      <c r="T398" s="21">
        <f t="shared" si="401"/>
        <v>0.31188796019009718</v>
      </c>
      <c r="U398" s="21">
        <f t="shared" si="401"/>
        <v>5.8916516575638338E-2</v>
      </c>
      <c r="V398" s="21">
        <f t="shared" si="401"/>
        <v>4.9805980787875764E-3</v>
      </c>
      <c r="W398" s="21">
        <f t="shared" si="401"/>
        <v>1.1846371932627696E-4</v>
      </c>
      <c r="X398" s="21">
        <f t="shared" si="401"/>
        <v>3.1362428705603598E-4</v>
      </c>
      <c r="Y398" s="21">
        <f t="shared" si="401"/>
        <v>7.174511749959013E-2</v>
      </c>
      <c r="Z398" s="21">
        <f t="shared" si="401"/>
        <v>0.38910154791775625</v>
      </c>
      <c r="AA398" s="21">
        <f t="shared" si="401"/>
        <v>0.71203371908892521</v>
      </c>
      <c r="AB398" s="21">
        <f t="shared" si="401"/>
        <v>0.88792152231601962</v>
      </c>
      <c r="AC398" s="21">
        <f t="shared" si="401"/>
        <v>1.1069677773726581</v>
      </c>
      <c r="AD398" s="21">
        <f t="shared" si="401"/>
        <v>0.57014006082663748</v>
      </c>
      <c r="AE398" s="21">
        <f t="shared" si="401"/>
        <v>7.239929927966729E-2</v>
      </c>
      <c r="AF398" s="21">
        <f t="shared" si="401"/>
        <v>1.0599532317254051E-2</v>
      </c>
      <c r="AG398" s="3"/>
      <c r="AH398" s="3"/>
    </row>
    <row r="399" spans="1:34" x14ac:dyDescent="0.25">
      <c r="A399" s="71">
        <f>SUM(B399:AF399)</f>
        <v>84.071302019386081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5.3176202467924076</v>
      </c>
      <c r="M399" s="60">
        <f t="shared" ref="M399" si="412">IF($A$64&lt;=M363,IF($B$64&gt;=M363,ABS(M398),0),0)</f>
        <v>11.496620779914966</v>
      </c>
      <c r="N399" s="60">
        <f t="shared" ref="N399" si="413">IF($A$64&lt;=N363,IF($B$64&gt;=N363,ABS(N398),0),0)</f>
        <v>17.286812408346858</v>
      </c>
      <c r="O399" s="60">
        <f t="shared" ref="O399" si="414">IF($A$64&lt;=O363,IF($B$64&gt;=O363,ABS(O398),0),0)</f>
        <v>19.553535387666596</v>
      </c>
      <c r="P399" s="60">
        <f t="shared" ref="P399" si="415">IF($A$64&lt;=P363,IF($B$64&gt;=P363,ABS(P398),0),0)</f>
        <v>15.324906628833364</v>
      </c>
      <c r="Q399" s="60">
        <f t="shared" ref="Q399" si="416">IF($A$64&lt;=Q363,IF($B$64&gt;=Q363,ABS(Q398),0),0)</f>
        <v>9.4378929919973071</v>
      </c>
      <c r="R399" s="60">
        <f t="shared" ref="R399" si="417">IF($A$64&lt;=R363,IF($B$64&gt;=R363,ABS(R398),0),0)</f>
        <v>3.9005881121634323</v>
      </c>
      <c r="S399" s="60">
        <f t="shared" ref="S399" si="418">IF($A$64&lt;=S363,IF($B$64&gt;=S363,ABS(S398),0),0)</f>
        <v>1.3775403888266493</v>
      </c>
      <c r="T399" s="60">
        <f t="shared" ref="T399" si="419">IF($A$64&lt;=T363,IF($B$64&gt;=T363,ABS(T398),0),0)</f>
        <v>0.31188796019009718</v>
      </c>
      <c r="U399" s="60">
        <f t="shared" ref="U399" si="420">IF($A$64&lt;=U363,IF($B$64&gt;=U363,ABS(U398),0),0)</f>
        <v>5.8916516575638338E-2</v>
      </c>
      <c r="V399" s="60">
        <f t="shared" ref="V399" si="421">IF($A$64&lt;=V363,IF($B$64&gt;=V363,ABS(V398),0),0)</f>
        <v>4.9805980787875764E-3</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-21.521805240547501</v>
      </c>
      <c r="C403" s="107">
        <f t="shared" ref="C403:H403" si="432">IF(C125=$B$2,0,C126)</f>
        <v>-17.998000048659822</v>
      </c>
      <c r="D403" s="107">
        <f t="shared" si="432"/>
        <v>-15.418218765754489</v>
      </c>
      <c r="E403" s="107">
        <f t="shared" si="432"/>
        <v>-13.262636911897877</v>
      </c>
      <c r="F403" s="107">
        <f t="shared" si="432"/>
        <v>-9.5177870944771161</v>
      </c>
      <c r="G403" s="107">
        <f t="shared" si="432"/>
        <v>-4.6216880890913101</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4.4998573190371015E-25</v>
      </c>
      <c r="C404" s="3">
        <f t="shared" ref="C404:H419" si="433">$A404/EXP(-C$403)</f>
        <v>1.5260469441906595E-23</v>
      </c>
      <c r="D404" s="3">
        <f t="shared" si="433"/>
        <v>2.0135047999772153E-22</v>
      </c>
      <c r="E404" s="3">
        <f t="shared" si="433"/>
        <v>1.7382409369087743E-21</v>
      </c>
      <c r="F404" s="3">
        <f t="shared" si="433"/>
        <v>7.3532204262365604E-20</v>
      </c>
      <c r="G404" s="3">
        <f t="shared" si="433"/>
        <v>9.8361776942258266E-18</v>
      </c>
      <c r="H404" s="3">
        <f t="shared" si="433"/>
        <v>1.0000000000000001E-15</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4.499857319037101E-24</v>
      </c>
      <c r="C405" s="3">
        <f t="shared" si="433"/>
        <v>1.5260469441906594E-22</v>
      </c>
      <c r="D405" s="3">
        <f t="shared" si="433"/>
        <v>2.0135047999772151E-21</v>
      </c>
      <c r="E405" s="3">
        <f t="shared" si="433"/>
        <v>1.7382409369087743E-20</v>
      </c>
      <c r="F405" s="3">
        <f t="shared" si="433"/>
        <v>7.3532204262365597E-19</v>
      </c>
      <c r="G405" s="3">
        <f t="shared" si="433"/>
        <v>9.8361776942258254E-17</v>
      </c>
      <c r="H405" s="3">
        <f t="shared" si="433"/>
        <v>1E-14</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4.4998573190371014E-23</v>
      </c>
      <c r="C406" s="3">
        <f t="shared" si="433"/>
        <v>1.5260469441906594E-21</v>
      </c>
      <c r="D406" s="3">
        <f t="shared" si="433"/>
        <v>2.0135047999772151E-20</v>
      </c>
      <c r="E406" s="3">
        <f t="shared" si="433"/>
        <v>1.7382409369087742E-19</v>
      </c>
      <c r="F406" s="3">
        <f t="shared" si="433"/>
        <v>7.3532204262365599E-18</v>
      </c>
      <c r="G406" s="3">
        <f t="shared" si="433"/>
        <v>9.8361776942258261E-16</v>
      </c>
      <c r="H406" s="3">
        <f t="shared" si="433"/>
        <v>1E-13</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4.4998573190371006E-22</v>
      </c>
      <c r="C407" s="3">
        <f t="shared" si="433"/>
        <v>1.5260469441906594E-20</v>
      </c>
      <c r="D407" s="3">
        <f t="shared" si="433"/>
        <v>2.0135047999772153E-19</v>
      </c>
      <c r="E407" s="3">
        <f t="shared" si="433"/>
        <v>1.7382409369087742E-18</v>
      </c>
      <c r="F407" s="3">
        <f t="shared" si="433"/>
        <v>7.3532204262365596E-17</v>
      </c>
      <c r="G407" s="3">
        <f t="shared" si="433"/>
        <v>9.8361776942258246E-15</v>
      </c>
      <c r="H407" s="3">
        <f t="shared" si="433"/>
        <v>9.9999999999999998E-13</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4.4998573190371006E-21</v>
      </c>
      <c r="C408" s="3">
        <f t="shared" si="433"/>
        <v>1.5260469441906593E-19</v>
      </c>
      <c r="D408" s="3">
        <f t="shared" si="433"/>
        <v>2.013504799977215E-18</v>
      </c>
      <c r="E408" s="3">
        <f t="shared" si="433"/>
        <v>1.7382409369087739E-17</v>
      </c>
      <c r="F408" s="3">
        <f t="shared" si="433"/>
        <v>7.3532204262365593E-16</v>
      </c>
      <c r="G408" s="3">
        <f t="shared" si="433"/>
        <v>9.8361776942258246E-14</v>
      </c>
      <c r="H408" s="3">
        <f t="shared" si="433"/>
        <v>9.9999999999999994E-12</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4.4998573190371015E-20</v>
      </c>
      <c r="C409" s="3">
        <f t="shared" si="433"/>
        <v>1.5260469441906594E-18</v>
      </c>
      <c r="D409" s="3">
        <f t="shared" si="433"/>
        <v>2.0135047999772152E-17</v>
      </c>
      <c r="E409" s="3">
        <f t="shared" si="433"/>
        <v>1.7382409369087742E-16</v>
      </c>
      <c r="F409" s="3">
        <f t="shared" si="433"/>
        <v>7.3532204262365599E-15</v>
      </c>
      <c r="G409" s="3">
        <f t="shared" si="433"/>
        <v>9.8361776942258258E-13</v>
      </c>
      <c r="H409" s="3">
        <f t="shared" si="433"/>
        <v>1E-10</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4.4998573190371017E-19</v>
      </c>
      <c r="C410" s="3">
        <f t="shared" si="433"/>
        <v>1.5260469441906596E-17</v>
      </c>
      <c r="D410" s="3">
        <f t="shared" si="433"/>
        <v>2.0135047999772154E-16</v>
      </c>
      <c r="E410" s="3">
        <f t="shared" si="433"/>
        <v>1.7382409369087742E-15</v>
      </c>
      <c r="F410" s="3">
        <f t="shared" si="433"/>
        <v>7.3532204262365593E-14</v>
      </c>
      <c r="G410" s="3">
        <f t="shared" si="433"/>
        <v>9.8361776942258258E-12</v>
      </c>
      <c r="H410" s="3">
        <f t="shared" si="433"/>
        <v>1.0000000000000001E-9</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4.4998573190371012E-18</v>
      </c>
      <c r="C411" s="3">
        <f t="shared" si="433"/>
        <v>1.5260469441906594E-16</v>
      </c>
      <c r="D411" s="3">
        <f t="shared" si="433"/>
        <v>2.0135047999772153E-15</v>
      </c>
      <c r="E411" s="3">
        <f t="shared" si="433"/>
        <v>1.7382409369087743E-14</v>
      </c>
      <c r="F411" s="3">
        <f t="shared" si="433"/>
        <v>7.3532204262365598E-13</v>
      </c>
      <c r="G411" s="3">
        <f t="shared" si="433"/>
        <v>9.8361776942258252E-11</v>
      </c>
      <c r="H411" s="3">
        <f t="shared" si="433"/>
        <v>1E-8</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4.4998573190371007E-17</v>
      </c>
      <c r="C412" s="3">
        <f t="shared" si="433"/>
        <v>1.5260469441906593E-15</v>
      </c>
      <c r="D412" s="3">
        <f t="shared" si="433"/>
        <v>2.013504799977215E-14</v>
      </c>
      <c r="E412" s="3">
        <f t="shared" si="433"/>
        <v>1.7382409369087741E-13</v>
      </c>
      <c r="F412" s="3">
        <f t="shared" si="433"/>
        <v>7.3532204262365586E-12</v>
      </c>
      <c r="G412" s="3">
        <f t="shared" si="433"/>
        <v>9.836177694225826E-10</v>
      </c>
      <c r="H412" s="3">
        <f t="shared" si="433"/>
        <v>9.9999999999999995E-8</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4.4998573190371012E-16</v>
      </c>
      <c r="C413" s="3">
        <f t="shared" si="433"/>
        <v>1.5260469441906592E-14</v>
      </c>
      <c r="D413" s="3">
        <f t="shared" si="433"/>
        <v>2.013504799977215E-13</v>
      </c>
      <c r="E413" s="3">
        <f t="shared" si="433"/>
        <v>1.7382409369087741E-12</v>
      </c>
      <c r="F413" s="3">
        <f t="shared" si="433"/>
        <v>7.3532204262365595E-11</v>
      </c>
      <c r="G413" s="3">
        <f t="shared" si="433"/>
        <v>9.8361776942258243E-9</v>
      </c>
      <c r="H413" s="3">
        <f t="shared" si="433"/>
        <v>9.9999999999999995E-7</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4.4998573190371016E-15</v>
      </c>
      <c r="C414" s="3">
        <f t="shared" si="433"/>
        <v>1.5260469441906596E-13</v>
      </c>
      <c r="D414" s="3">
        <f t="shared" si="433"/>
        <v>2.0135047999772152E-12</v>
      </c>
      <c r="E414" s="3">
        <f t="shared" si="433"/>
        <v>1.7382409369087744E-11</v>
      </c>
      <c r="F414" s="3">
        <f t="shared" si="433"/>
        <v>7.3532204262365601E-10</v>
      </c>
      <c r="G414" s="3">
        <f t="shared" si="433"/>
        <v>9.8361776942258256E-8</v>
      </c>
      <c r="H414" s="3">
        <f t="shared" si="433"/>
        <v>1.0000000000000001E-5</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4.4998573190371014E-14</v>
      </c>
      <c r="C415" s="3">
        <f t="shared" si="433"/>
        <v>1.5260469441906595E-12</v>
      </c>
      <c r="D415" s="3">
        <f t="shared" si="433"/>
        <v>2.0135047999772153E-11</v>
      </c>
      <c r="E415" s="3">
        <f t="shared" si="433"/>
        <v>1.7382409369087743E-10</v>
      </c>
      <c r="F415" s="3">
        <f t="shared" si="433"/>
        <v>7.3532204262365598E-9</v>
      </c>
      <c r="G415" s="3">
        <f t="shared" si="433"/>
        <v>9.8361776942258259E-7</v>
      </c>
      <c r="H415" s="3">
        <f t="shared" si="433"/>
        <v>1E-4</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4.4998573190371012E-13</v>
      </c>
      <c r="C416" s="3">
        <f t="shared" si="433"/>
        <v>1.5260469441906595E-11</v>
      </c>
      <c r="D416" s="3">
        <f t="shared" si="433"/>
        <v>2.0135047999772153E-10</v>
      </c>
      <c r="E416" s="3">
        <f t="shared" si="433"/>
        <v>1.7382409369087742E-9</v>
      </c>
      <c r="F416" s="3">
        <f t="shared" si="433"/>
        <v>7.3532204262365595E-8</v>
      </c>
      <c r="G416" s="3">
        <f t="shared" si="433"/>
        <v>9.8361776942258263E-6</v>
      </c>
      <c r="H416" s="3">
        <f t="shared" si="433"/>
        <v>1E-3</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4.4998573190371012E-12</v>
      </c>
      <c r="C417" s="3">
        <f t="shared" si="433"/>
        <v>1.5260469441906594E-10</v>
      </c>
      <c r="D417" s="3">
        <f t="shared" si="433"/>
        <v>2.0135047999772153E-9</v>
      </c>
      <c r="E417" s="3">
        <f t="shared" si="433"/>
        <v>1.7382409369087742E-8</v>
      </c>
      <c r="F417" s="3">
        <f t="shared" si="433"/>
        <v>7.3532204262365595E-7</v>
      </c>
      <c r="G417" s="3">
        <f t="shared" si="433"/>
        <v>9.8361776942258253E-5</v>
      </c>
      <c r="H417" s="3">
        <f t="shared" si="433"/>
        <v>0.01</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4.4998573190371013E-11</v>
      </c>
      <c r="C418" s="3">
        <f t="shared" si="433"/>
        <v>1.5260469441906595E-9</v>
      </c>
      <c r="D418" s="3">
        <f t="shared" si="433"/>
        <v>2.0135047999772151E-8</v>
      </c>
      <c r="E418" s="3">
        <f t="shared" si="433"/>
        <v>1.7382409369087742E-7</v>
      </c>
      <c r="F418" s="3">
        <f t="shared" si="433"/>
        <v>7.3532204262365597E-6</v>
      </c>
      <c r="G418" s="3">
        <f t="shared" si="433"/>
        <v>9.836177694225825E-4</v>
      </c>
      <c r="H418" s="3">
        <f t="shared" si="433"/>
        <v>0.1</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4.4998573190371013E-10</v>
      </c>
      <c r="C419" s="3">
        <f t="shared" si="433"/>
        <v>1.5260469441906594E-8</v>
      </c>
      <c r="D419" s="3">
        <f t="shared" si="433"/>
        <v>2.0135047999772151E-7</v>
      </c>
      <c r="E419" s="3">
        <f t="shared" si="433"/>
        <v>1.7382409369087742E-6</v>
      </c>
      <c r="F419" s="3">
        <f t="shared" si="433"/>
        <v>7.3532204262365594E-5</v>
      </c>
      <c r="G419" s="3">
        <f t="shared" si="433"/>
        <v>9.8361776942258259E-3</v>
      </c>
      <c r="H419" s="3">
        <f t="shared" si="433"/>
        <v>1</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4.4998573190371008E-9</v>
      </c>
      <c r="C420" s="3">
        <f t="shared" si="434"/>
        <v>1.5260469441906593E-7</v>
      </c>
      <c r="D420" s="3">
        <f t="shared" si="434"/>
        <v>2.0135047999772151E-6</v>
      </c>
      <c r="E420" s="3">
        <f t="shared" si="434"/>
        <v>1.7382409369087742E-5</v>
      </c>
      <c r="F420" s="3">
        <f t="shared" si="434"/>
        <v>7.3532204262365597E-4</v>
      </c>
      <c r="G420" s="3">
        <f t="shared" si="434"/>
        <v>9.8361776942258256E-2</v>
      </c>
      <c r="H420" s="3">
        <f t="shared" si="434"/>
        <v>10</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4.499857319037101E-8</v>
      </c>
      <c r="C421" s="3">
        <f t="shared" si="434"/>
        <v>1.5260469441906594E-6</v>
      </c>
      <c r="D421" s="3">
        <f t="shared" si="434"/>
        <v>2.0135047999772152E-5</v>
      </c>
      <c r="E421" s="3">
        <f t="shared" si="434"/>
        <v>1.7382409369087742E-4</v>
      </c>
      <c r="F421" s="3">
        <f t="shared" si="434"/>
        <v>7.3532204262365597E-3</v>
      </c>
      <c r="G421" s="3">
        <f t="shared" si="434"/>
        <v>0.9836177694225825</v>
      </c>
      <c r="H421" s="3">
        <f t="shared" si="434"/>
        <v>100</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4.4998573190371014E-7</v>
      </c>
      <c r="C422" s="3">
        <f t="shared" si="434"/>
        <v>1.5260469441906595E-5</v>
      </c>
      <c r="D422" s="3">
        <f t="shared" si="434"/>
        <v>2.0135047999772152E-4</v>
      </c>
      <c r="E422" s="3">
        <f t="shared" si="434"/>
        <v>1.7382409369087741E-3</v>
      </c>
      <c r="F422" s="3">
        <f t="shared" si="434"/>
        <v>7.3532204262365591E-2</v>
      </c>
      <c r="G422" s="3">
        <f t="shared" si="434"/>
        <v>9.8361776942258263</v>
      </c>
      <c r="H422" s="3">
        <f t="shared" si="434"/>
        <v>1000</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4.4998573190371015E-6</v>
      </c>
      <c r="C423" s="3">
        <f t="shared" si="434"/>
        <v>1.5260469441906593E-4</v>
      </c>
      <c r="D423" s="3">
        <f t="shared" si="434"/>
        <v>2.0135047999772153E-3</v>
      </c>
      <c r="E423" s="3">
        <f t="shared" si="434"/>
        <v>1.7382409369087741E-2</v>
      </c>
      <c r="F423" s="3">
        <f t="shared" si="434"/>
        <v>0.73532204262365597</v>
      </c>
      <c r="G423" s="3">
        <f t="shared" si="434"/>
        <v>98.36177694225826</v>
      </c>
      <c r="H423" s="3">
        <f t="shared" si="434"/>
        <v>10000</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4.4998573190371013E-5</v>
      </c>
      <c r="C424" s="3">
        <f t="shared" si="434"/>
        <v>1.5260469441906593E-3</v>
      </c>
      <c r="D424" s="3">
        <f t="shared" si="434"/>
        <v>2.0135047999772154E-2</v>
      </c>
      <c r="E424" s="3">
        <f t="shared" si="434"/>
        <v>0.17382409369087742</v>
      </c>
      <c r="F424" s="3">
        <f t="shared" si="434"/>
        <v>7.3532204262365592</v>
      </c>
      <c r="G424" s="3">
        <f t="shared" si="434"/>
        <v>983.61776942258257</v>
      </c>
      <c r="H424" s="3">
        <f t="shared" si="434"/>
        <v>100000</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4.4998573190371013E-4</v>
      </c>
      <c r="C425" s="3">
        <f t="shared" si="434"/>
        <v>1.5260469441906593E-2</v>
      </c>
      <c r="D425" s="3">
        <f t="shared" si="434"/>
        <v>0.20135047999772152</v>
      </c>
      <c r="E425" s="3">
        <f t="shared" si="434"/>
        <v>1.7382409369087741</v>
      </c>
      <c r="F425" s="3">
        <f t="shared" si="434"/>
        <v>73.532204262365596</v>
      </c>
      <c r="G425" s="3">
        <f t="shared" si="434"/>
        <v>9836.1776942258257</v>
      </c>
      <c r="H425" s="3">
        <f t="shared" si="434"/>
        <v>1000000</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4.4998573190371009E-3</v>
      </c>
      <c r="C426" s="3">
        <f t="shared" si="434"/>
        <v>0.15260469441906593</v>
      </c>
      <c r="D426" s="3">
        <f t="shared" si="434"/>
        <v>2.0135047999772153</v>
      </c>
      <c r="E426" s="3">
        <f t="shared" si="434"/>
        <v>17.382409369087743</v>
      </c>
      <c r="F426" s="3">
        <f t="shared" si="434"/>
        <v>735.32204262365599</v>
      </c>
      <c r="G426" s="3">
        <f t="shared" si="434"/>
        <v>98361.77694225825</v>
      </c>
      <c r="H426" s="3">
        <f t="shared" si="434"/>
        <v>10000000</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4.4998573190371011E-2</v>
      </c>
      <c r="C427" s="3">
        <f t="shared" si="434"/>
        <v>1.5260469441906594</v>
      </c>
      <c r="D427" s="3">
        <f t="shared" si="434"/>
        <v>20.135047999772151</v>
      </c>
      <c r="E427" s="3">
        <f t="shared" si="434"/>
        <v>173.82409369087742</v>
      </c>
      <c r="F427" s="3">
        <f t="shared" si="434"/>
        <v>7353.2204262365594</v>
      </c>
      <c r="G427" s="3">
        <f t="shared" si="434"/>
        <v>983617.76942258258</v>
      </c>
      <c r="H427" s="3">
        <f t="shared" si="434"/>
        <v>100000000</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0.44998573190371011</v>
      </c>
      <c r="C428" s="3">
        <f t="shared" si="434"/>
        <v>15.260469441906594</v>
      </c>
      <c r="D428" s="3">
        <f t="shared" si="434"/>
        <v>201.35047999772152</v>
      </c>
      <c r="E428" s="3">
        <f t="shared" si="434"/>
        <v>1738.2409369087741</v>
      </c>
      <c r="F428" s="3">
        <f t="shared" si="434"/>
        <v>73532.204262365587</v>
      </c>
      <c r="G428" s="3">
        <f t="shared" si="434"/>
        <v>9836177.6942258254</v>
      </c>
      <c r="H428" s="3">
        <f t="shared" si="434"/>
        <v>1000000000</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4.4998573190371012</v>
      </c>
      <c r="C429" s="3">
        <f t="shared" si="434"/>
        <v>152.60469441906594</v>
      </c>
      <c r="D429" s="3">
        <f t="shared" si="434"/>
        <v>2013.5047999772153</v>
      </c>
      <c r="E429" s="3">
        <f t="shared" si="434"/>
        <v>17382.409369087742</v>
      </c>
      <c r="F429" s="3">
        <f t="shared" si="434"/>
        <v>735322.04262365599</v>
      </c>
      <c r="G429" s="3">
        <f t="shared" si="434"/>
        <v>98361776.942258254</v>
      </c>
      <c r="H429" s="3">
        <f t="shared" si="434"/>
        <v>10000000000</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44.998573190371012</v>
      </c>
      <c r="C430" s="3">
        <f t="shared" si="434"/>
        <v>1526.0469441906594</v>
      </c>
      <c r="D430" s="3">
        <f t="shared" si="434"/>
        <v>20135.047999772152</v>
      </c>
      <c r="E430" s="3">
        <f t="shared" si="434"/>
        <v>173824.0936908774</v>
      </c>
      <c r="F430" s="3">
        <f t="shared" si="434"/>
        <v>7353220.4262365596</v>
      </c>
      <c r="G430" s="3">
        <f t="shared" si="434"/>
        <v>983617769.42258251</v>
      </c>
      <c r="H430" s="3">
        <f t="shared" si="434"/>
        <v>100000000000</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449.98573190371013</v>
      </c>
      <c r="C431" s="3">
        <f t="shared" si="434"/>
        <v>15260.469441906595</v>
      </c>
      <c r="D431" s="3">
        <f t="shared" si="434"/>
        <v>201350.47999772153</v>
      </c>
      <c r="E431" s="3">
        <f t="shared" si="434"/>
        <v>1738240.9369087741</v>
      </c>
      <c r="F431" s="3">
        <f t="shared" si="434"/>
        <v>73532204.262365595</v>
      </c>
      <c r="G431" s="3">
        <f t="shared" si="434"/>
        <v>9836177694.2258263</v>
      </c>
      <c r="H431" s="3">
        <f t="shared" si="434"/>
        <v>1000000000000</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4499.8573190371008</v>
      </c>
      <c r="C432" s="3">
        <f t="shared" si="434"/>
        <v>152604.69441906593</v>
      </c>
      <c r="D432" s="3">
        <f t="shared" si="434"/>
        <v>2013504.7999772152</v>
      </c>
      <c r="E432" s="3">
        <f t="shared" si="434"/>
        <v>17382409.369087741</v>
      </c>
      <c r="F432" s="3">
        <f t="shared" si="434"/>
        <v>735322042.62365592</v>
      </c>
      <c r="G432" s="3">
        <f t="shared" si="434"/>
        <v>98361776942.258255</v>
      </c>
      <c r="H432" s="3">
        <f t="shared" si="434"/>
        <v>10000000000000</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44998.573190371011</v>
      </c>
      <c r="C433" s="3">
        <f t="shared" si="434"/>
        <v>1526046.9441906593</v>
      </c>
      <c r="D433" s="3">
        <f t="shared" si="434"/>
        <v>20135047.999772154</v>
      </c>
      <c r="E433" s="3">
        <f t="shared" si="434"/>
        <v>173824093.69087741</v>
      </c>
      <c r="F433" s="3">
        <f t="shared" si="434"/>
        <v>7353220426.2365589</v>
      </c>
      <c r="G433" s="3">
        <f t="shared" si="434"/>
        <v>983617769422.58252</v>
      </c>
      <c r="H433" s="3">
        <f t="shared" si="434"/>
        <v>100000000000000</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449985.73190371011</v>
      </c>
      <c r="C434" s="3">
        <f t="shared" si="434"/>
        <v>15260469.441906594</v>
      </c>
      <c r="D434" s="3">
        <f t="shared" si="434"/>
        <v>201350479.99772152</v>
      </c>
      <c r="E434" s="3">
        <f t="shared" si="434"/>
        <v>1738240936.9087741</v>
      </c>
      <c r="F434" s="3">
        <f t="shared" si="434"/>
        <v>73532204262.365601</v>
      </c>
      <c r="G434" s="3">
        <f t="shared" si="434"/>
        <v>9836177694225.8262</v>
      </c>
      <c r="H434" s="3">
        <f t="shared" si="434"/>
        <v>1000000000000000</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-21.521805240547501</v>
      </c>
      <c r="M1" s="54">
        <v>1</v>
      </c>
      <c r="N1" s="56">
        <f>INDEX($H$217:$P$217,1,Q1)</f>
        <v>9.2812710086206326E-2</v>
      </c>
      <c r="O1" s="11"/>
      <c r="P1" s="55">
        <v>1</v>
      </c>
      <c r="Q1" s="11">
        <v>2</v>
      </c>
    </row>
    <row r="2" spans="1:17" x14ac:dyDescent="0.25">
      <c r="A2" s="11">
        <f>'Mastercurve bestimmen'!M119</f>
        <v>0</v>
      </c>
      <c r="B2" s="11">
        <f>'Mastercurve bestimmen'!N119</f>
        <v>-17.998000048659822</v>
      </c>
      <c r="M2" s="54">
        <v>2</v>
      </c>
      <c r="N2" s="56">
        <f t="shared" ref="N2:N9" si="0">INDEX($H$217:$P$217,1,Q2)</f>
        <v>-6.2719725383412724E-3</v>
      </c>
      <c r="O2" s="11"/>
      <c r="P2" s="55">
        <v>2</v>
      </c>
      <c r="Q2" s="11">
        <f>Q1+1</f>
        <v>3</v>
      </c>
    </row>
    <row r="3" spans="1:17" x14ac:dyDescent="0.25">
      <c r="A3" s="11">
        <f>'Mastercurve bestimmen'!M120</f>
        <v>25</v>
      </c>
      <c r="B3" s="11">
        <f>'Mastercurve bestimmen'!N120</f>
        <v>-15.418218765754489</v>
      </c>
      <c r="M3" s="54">
        <v>3</v>
      </c>
      <c r="N3" s="56">
        <f t="shared" si="0"/>
        <v>-2.8930214375068173E-4</v>
      </c>
      <c r="O3" s="11"/>
      <c r="P3" s="55">
        <v>3</v>
      </c>
      <c r="Q3" s="11">
        <f t="shared" ref="Q3:Q8" si="1">Q2+1</f>
        <v>4</v>
      </c>
    </row>
    <row r="4" spans="1:17" x14ac:dyDescent="0.25">
      <c r="A4" s="11">
        <f>'Mastercurve bestimmen'!M121</f>
        <v>50</v>
      </c>
      <c r="B4" s="11">
        <f>'Mastercurve bestimmen'!N121</f>
        <v>-13.262636911897877</v>
      </c>
      <c r="M4" s="54">
        <v>4</v>
      </c>
      <c r="N4" s="56">
        <f t="shared" si="0"/>
        <v>-5.8486959793793923E-6</v>
      </c>
      <c r="O4" s="11"/>
      <c r="P4" s="55">
        <v>4</v>
      </c>
      <c r="Q4" s="11">
        <f t="shared" si="1"/>
        <v>5</v>
      </c>
    </row>
    <row r="5" spans="1:17" x14ac:dyDescent="0.25">
      <c r="A5" s="11">
        <f>'Mastercurve bestimmen'!M122</f>
        <v>80</v>
      </c>
      <c r="B5" s="11">
        <f>'Mastercurve bestimmen'!N122</f>
        <v>-9.5177870944771161</v>
      </c>
      <c r="M5" s="54">
        <v>5</v>
      </c>
      <c r="N5" s="56">
        <f t="shared" si="0"/>
        <v>-6.184019825209652E-8</v>
      </c>
      <c r="O5" s="11"/>
      <c r="P5" s="55">
        <v>5</v>
      </c>
      <c r="Q5" s="11">
        <f t="shared" si="1"/>
        <v>6</v>
      </c>
    </row>
    <row r="6" spans="1:17" x14ac:dyDescent="0.25">
      <c r="A6" s="11">
        <f>'Mastercurve bestimmen'!M123</f>
        <v>125</v>
      </c>
      <c r="B6" s="11">
        <f>'Mastercurve bestimmen'!N123</f>
        <v>-4.6216880890913101</v>
      </c>
      <c r="M6" s="54">
        <v>6</v>
      </c>
      <c r="N6" s="56">
        <f t="shared" si="0"/>
        <v>-3.557812610226127E-10</v>
      </c>
      <c r="O6" s="11"/>
      <c r="P6" s="55">
        <v>6</v>
      </c>
      <c r="Q6" s="11">
        <f t="shared" si="1"/>
        <v>7</v>
      </c>
    </row>
    <row r="7" spans="1:17" x14ac:dyDescent="0.25">
      <c r="A7" s="11">
        <f>'Mastercurve bestimmen'!M124</f>
        <v>160</v>
      </c>
      <c r="B7" s="11">
        <f>'Mastercurve bestimmen'!N124</f>
        <v>0</v>
      </c>
      <c r="M7" s="54">
        <v>7</v>
      </c>
      <c r="N7" s="56">
        <f t="shared" si="0"/>
        <v>-1.0551682740667941E-12</v>
      </c>
      <c r="O7" s="11"/>
      <c r="P7" s="55">
        <v>7</v>
      </c>
      <c r="Q7" s="11">
        <f t="shared" si="1"/>
        <v>8</v>
      </c>
    </row>
    <row r="8" spans="1:17" x14ac:dyDescent="0.25">
      <c r="A8" s="11"/>
      <c r="B8" s="11"/>
      <c r="M8" s="54">
        <v>8</v>
      </c>
      <c r="N8" s="56">
        <f t="shared" si="0"/>
        <v>-1.2631058694492099E-15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-21.521805240547501</v>
      </c>
      <c r="E15" s="11">
        <f>A15-'Mastercurve bestimmen'!$B$2</f>
        <v>-200</v>
      </c>
      <c r="F15" s="11">
        <f>B15</f>
        <v>-21.521805240547501</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-21.463330408839063</v>
      </c>
      <c r="E16" s="11">
        <f>A16-'Mastercurve bestimmen'!$B$2</f>
        <v>-199</v>
      </c>
      <c r="F16" s="11">
        <f t="shared" ref="F16:F79" si="4">B16</f>
        <v>-21.463330408839063</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-21.404744431546806</v>
      </c>
      <c r="E17" s="11">
        <f>A17-'Mastercurve bestimmen'!$B$2</f>
        <v>-198</v>
      </c>
      <c r="F17" s="11">
        <f t="shared" si="4"/>
        <v>-21.404744431546806</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-21.3459361630869</v>
      </c>
      <c r="E18" s="11">
        <f>A18-'Mastercurve bestimmen'!$B$2</f>
        <v>-197</v>
      </c>
      <c r="F18" s="11">
        <f t="shared" si="4"/>
        <v>-21.3459361630869</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-21.286794457875526</v>
      </c>
      <c r="E19" s="11">
        <f>A19-'Mastercurve bestimmen'!$B$2</f>
        <v>-196</v>
      </c>
      <c r="F19" s="11">
        <f t="shared" si="4"/>
        <v>-21.286794457875526</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-21.227208170328865</v>
      </c>
      <c r="E20" s="11">
        <f>A20-'Mastercurve bestimmen'!$B$2</f>
        <v>-195</v>
      </c>
      <c r="F20" s="11">
        <f t="shared" si="4"/>
        <v>-21.227208170328865</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-21.167066154863086</v>
      </c>
      <c r="E21" s="11">
        <f>A21-'Mastercurve bestimmen'!$B$2</f>
        <v>-194</v>
      </c>
      <c r="F21" s="11">
        <f t="shared" si="4"/>
        <v>-21.167066154863086</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-21.106257265894374</v>
      </c>
      <c r="E22" s="11">
        <f>A22-'Mastercurve bestimmen'!$B$2</f>
        <v>-193</v>
      </c>
      <c r="F22" s="11">
        <f t="shared" si="4"/>
        <v>-21.106257265894374</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-21.0446703578389</v>
      </c>
      <c r="E23" s="11">
        <f>A23-'Mastercurve bestimmen'!$B$2</f>
        <v>-192</v>
      </c>
      <c r="F23" s="11">
        <f t="shared" si="4"/>
        <v>-21.0446703578389</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-20.982194285112843</v>
      </c>
      <c r="E24" s="11">
        <f>A24-'Mastercurve bestimmen'!$B$2</f>
        <v>-191</v>
      </c>
      <c r="F24" s="11">
        <f t="shared" si="4"/>
        <v>-20.982194285112843</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-20.918717902132389</v>
      </c>
      <c r="E25" s="11">
        <f>A25-'Mastercurve bestimmen'!$B$2</f>
        <v>-190</v>
      </c>
      <c r="F25" s="11">
        <f t="shared" si="4"/>
        <v>-20.918717902132389</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-20.854130063313701</v>
      </c>
      <c r="E26" s="11">
        <f>A26-'Mastercurve bestimmen'!$B$2</f>
        <v>-189</v>
      </c>
      <c r="F26" s="11">
        <f t="shared" si="4"/>
        <v>-20.854130063313701</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-20.788319623072965</v>
      </c>
      <c r="E27" s="11">
        <f>A27-'Mastercurve bestimmen'!$B$2</f>
        <v>-188</v>
      </c>
      <c r="F27" s="11">
        <f t="shared" si="4"/>
        <v>-20.788319623072965</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-20.721175435826353</v>
      </c>
      <c r="E28" s="11">
        <f>A28-'Mastercurve bestimmen'!$B$2</f>
        <v>-187</v>
      </c>
      <c r="F28" s="11">
        <f t="shared" si="4"/>
        <v>-20.721175435826353</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-20.652586355990049</v>
      </c>
      <c r="E29" s="11">
        <f>A29-'Mastercurve bestimmen'!$B$2</f>
        <v>-186</v>
      </c>
      <c r="F29" s="11">
        <f t="shared" si="4"/>
        <v>-20.652586355990049</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-20.582441237980227</v>
      </c>
      <c r="E30" s="11">
        <f>A30-'Mastercurve bestimmen'!$B$2</f>
        <v>-185</v>
      </c>
      <c r="F30" s="11">
        <f t="shared" si="4"/>
        <v>-20.582441237980227</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-20.510628936213063</v>
      </c>
      <c r="E31" s="11">
        <f>A31-'Mastercurve bestimmen'!$B$2</f>
        <v>-184</v>
      </c>
      <c r="F31" s="11">
        <f t="shared" si="4"/>
        <v>-20.510628936213063</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-20.437038305104736</v>
      </c>
      <c r="E32" s="11">
        <f>A32-'Mastercurve bestimmen'!$B$2</f>
        <v>-183</v>
      </c>
      <c r="F32" s="11">
        <f t="shared" si="4"/>
        <v>-20.437038305104736</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-20.361558199071425</v>
      </c>
      <c r="E33" s="11">
        <f>A33-'Mastercurve bestimmen'!$B$2</f>
        <v>-182</v>
      </c>
      <c r="F33" s="11">
        <f t="shared" si="4"/>
        <v>-20.361558199071425</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-20.284077472529304</v>
      </c>
      <c r="E34" s="11">
        <f>A34-'Mastercurve bestimmen'!$B$2</f>
        <v>-181</v>
      </c>
      <c r="F34" s="11">
        <f t="shared" si="4"/>
        <v>-20.284077472529304</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-20.204484979894545</v>
      </c>
      <c r="E35" s="11">
        <f>A35-'Mastercurve bestimmen'!$B$2</f>
        <v>-180</v>
      </c>
      <c r="F35" s="11">
        <f t="shared" si="4"/>
        <v>-20.204484979894545</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-20.122669575583338</v>
      </c>
      <c r="E36" s="11">
        <f>A36-'Mastercurve bestimmen'!$B$2</f>
        <v>-179</v>
      </c>
      <c r="F36" s="11">
        <f t="shared" si="4"/>
        <v>-20.122669575583338</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-20.038520114011853</v>
      </c>
      <c r="E37" s="11">
        <f>A37-'Mastercurve bestimmen'!$B$2</f>
        <v>-178</v>
      </c>
      <c r="F37" s="11">
        <f t="shared" si="4"/>
        <v>-20.038520114011853</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-19.951925449596267</v>
      </c>
      <c r="E38" s="11">
        <f>A38-'Mastercurve bestimmen'!$B$2</f>
        <v>-177</v>
      </c>
      <c r="F38" s="11">
        <f t="shared" si="4"/>
        <v>-19.951925449596267</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-19.862774436752762</v>
      </c>
      <c r="E39" s="11">
        <f>A39-'Mastercurve bestimmen'!$B$2</f>
        <v>-176</v>
      </c>
      <c r="F39" s="11">
        <f t="shared" si="4"/>
        <v>-19.862774436752762</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-19.770955929897507</v>
      </c>
      <c r="E40" s="11">
        <f>A40-'Mastercurve bestimmen'!$B$2</f>
        <v>-175</v>
      </c>
      <c r="F40" s="11">
        <f t="shared" si="4"/>
        <v>-19.770955929897507</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-19.676358783446688</v>
      </c>
      <c r="E41" s="11">
        <f>A41-'Mastercurve bestimmen'!$B$2</f>
        <v>-174</v>
      </c>
      <c r="F41" s="11">
        <f t="shared" si="4"/>
        <v>-19.676358783446688</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-19.578871851816473</v>
      </c>
      <c r="E42" s="11">
        <f>A42-'Mastercurve bestimmen'!$B$2</f>
        <v>-173</v>
      </c>
      <c r="F42" s="11">
        <f t="shared" si="4"/>
        <v>-19.578871851816473</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-19.478383989423051</v>
      </c>
      <c r="E43" s="11">
        <f>A43-'Mastercurve bestimmen'!$B$2</f>
        <v>-172</v>
      </c>
      <c r="F43" s="11">
        <f t="shared" si="4"/>
        <v>-19.478383989423051</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-19.374784050682589</v>
      </c>
      <c r="E44" s="11">
        <f>A44-'Mastercurve bestimmen'!$B$2</f>
        <v>-171</v>
      </c>
      <c r="F44" s="11">
        <f t="shared" si="4"/>
        <v>-19.374784050682589</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-19.267960890011267</v>
      </c>
      <c r="E45" s="11">
        <f>A45-'Mastercurve bestimmen'!$B$2</f>
        <v>-170</v>
      </c>
      <c r="F45" s="11">
        <f t="shared" si="4"/>
        <v>-19.267960890011267</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-19.157803361825266</v>
      </c>
      <c r="E46" s="11">
        <f>A46-'Mastercurve bestimmen'!$B$2</f>
        <v>-169</v>
      </c>
      <c r="F46" s="11">
        <f t="shared" si="4"/>
        <v>-19.157803361825266</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-19.04420032054076</v>
      </c>
      <c r="E47" s="11">
        <f>A47-'Mastercurve bestimmen'!$B$2</f>
        <v>-168</v>
      </c>
      <c r="F47" s="11">
        <f t="shared" si="4"/>
        <v>-19.04420032054076</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-18.927040620573926</v>
      </c>
      <c r="E48" s="11">
        <f>A48-'Mastercurve bestimmen'!$B$2</f>
        <v>-167</v>
      </c>
      <c r="F48" s="11">
        <f t="shared" si="4"/>
        <v>-18.927040620573926</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-18.806213116340938</v>
      </c>
      <c r="E49" s="11">
        <f>A49-'Mastercurve bestimmen'!$B$2</f>
        <v>-166</v>
      </c>
      <c r="F49" s="11">
        <f t="shared" si="4"/>
        <v>-18.806213116340938</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-18.681606662257984</v>
      </c>
      <c r="E50" s="11">
        <f>A50-'Mastercurve bestimmen'!$B$2</f>
        <v>-165</v>
      </c>
      <c r="F50" s="11">
        <f t="shared" si="4"/>
        <v>-18.681606662257984</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-18.55311011274123</v>
      </c>
      <c r="E51" s="11">
        <f>A51-'Mastercurve bestimmen'!$B$2</f>
        <v>-164</v>
      </c>
      <c r="F51" s="11">
        <f t="shared" si="4"/>
        <v>-18.55311011274123</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-18.420612322206864</v>
      </c>
      <c r="E52" s="11">
        <f>A52-'Mastercurve bestimmen'!$B$2</f>
        <v>-163</v>
      </c>
      <c r="F52" s="11">
        <f t="shared" si="4"/>
        <v>-18.420612322206864</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-18.284002145071053</v>
      </c>
      <c r="E53" s="11">
        <f>A53-'Mastercurve bestimmen'!$B$2</f>
        <v>-162</v>
      </c>
      <c r="F53" s="11">
        <f t="shared" si="4"/>
        <v>-18.284002145071053</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-18.143168435749981</v>
      </c>
      <c r="E54" s="11">
        <f>A54-'Mastercurve bestimmen'!$B$2</f>
        <v>-161</v>
      </c>
      <c r="F54" s="11">
        <f t="shared" si="4"/>
        <v>-18.143168435749981</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-17.998000048659819</v>
      </c>
      <c r="E55" s="11">
        <f>A55-'Mastercurve bestimmen'!$B$2</f>
        <v>-160</v>
      </c>
      <c r="F55" s="11">
        <f t="shared" si="4"/>
        <v>-17.998000048659819</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-17.917440702450104</v>
      </c>
      <c r="E56" s="11">
        <f>A56-'Mastercurve bestimmen'!$B$2</f>
        <v>-159</v>
      </c>
      <c r="F56" s="11">
        <f t="shared" si="4"/>
        <v>-17.917440702450104</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-17.832730898032942</v>
      </c>
      <c r="E57" s="11">
        <f>A57-'Mastercurve bestimmen'!$B$2</f>
        <v>-158</v>
      </c>
      <c r="F57" s="11">
        <f t="shared" si="4"/>
        <v>-17.832730898032942</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-17.744166000553804</v>
      </c>
      <c r="E58" s="11">
        <f>A58-'Mastercurve bestimmen'!$B$2</f>
        <v>-157</v>
      </c>
      <c r="F58" s="11">
        <f t="shared" si="4"/>
        <v>-17.744166000553804</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-17.652041375158149</v>
      </c>
      <c r="E59" s="11">
        <f>A59-'Mastercurve bestimmen'!$B$2</f>
        <v>-156</v>
      </c>
      <c r="F59" s="11">
        <f t="shared" si="4"/>
        <v>-17.652041375158149</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-17.556652386991452</v>
      </c>
      <c r="E60" s="11">
        <f>A60-'Mastercurve bestimmen'!$B$2</f>
        <v>-155</v>
      </c>
      <c r="F60" s="11">
        <f t="shared" si="4"/>
        <v>-17.556652386991452</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-17.458294401199169</v>
      </c>
      <c r="E61" s="11">
        <f>A61-'Mastercurve bestimmen'!$B$2</f>
        <v>-154</v>
      </c>
      <c r="F61" s="11">
        <f t="shared" si="4"/>
        <v>-17.458294401199169</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-17.357262782926774</v>
      </c>
      <c r="E62" s="11">
        <f>A62-'Mastercurve bestimmen'!$B$2</f>
        <v>-153</v>
      </c>
      <c r="F62" s="11">
        <f t="shared" si="4"/>
        <v>-17.357262782926774</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-17.253852897319728</v>
      </c>
      <c r="E63" s="11">
        <f>A63-'Mastercurve bestimmen'!$B$2</f>
        <v>-152</v>
      </c>
      <c r="F63" s="11">
        <f t="shared" si="4"/>
        <v>-17.253852897319728</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-17.148360109523498</v>
      </c>
      <c r="E64" s="11">
        <f>A64-'Mastercurve bestimmen'!$B$2</f>
        <v>-151</v>
      </c>
      <c r="F64" s="11">
        <f t="shared" si="4"/>
        <v>-17.148360109523498</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-17.041079784683546</v>
      </c>
      <c r="E65" s="11">
        <f>A65-'Mastercurve bestimmen'!$B$2</f>
        <v>-150</v>
      </c>
      <c r="F65" s="11">
        <f t="shared" si="4"/>
        <v>-17.041079784683546</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-16.932307287945342</v>
      </c>
      <c r="E66" s="11">
        <f>A66-'Mastercurve bestimmen'!$B$2</f>
        <v>-149</v>
      </c>
      <c r="F66" s="11">
        <f t="shared" si="4"/>
        <v>-16.932307287945342</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-16.82233798445435</v>
      </c>
      <c r="E67" s="11">
        <f>A67-'Mastercurve bestimmen'!$B$2</f>
        <v>-148</v>
      </c>
      <c r="F67" s="11">
        <f t="shared" si="4"/>
        <v>-16.82233798445435</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-16.711467239356029</v>
      </c>
      <c r="E68" s="11">
        <f>A68-'Mastercurve bestimmen'!$B$2</f>
        <v>-147</v>
      </c>
      <c r="F68" s="11">
        <f t="shared" si="4"/>
        <v>-16.711467239356029</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-16.599990417795858</v>
      </c>
      <c r="E69" s="11">
        <f>A69-'Mastercurve bestimmen'!$B$2</f>
        <v>-146</v>
      </c>
      <c r="F69" s="11">
        <f t="shared" si="4"/>
        <v>-16.599990417795858</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-16.488202884919289</v>
      </c>
      <c r="E70" s="11">
        <f>A70-'Mastercurve bestimmen'!$B$2</f>
        <v>-145</v>
      </c>
      <c r="F70" s="11">
        <f t="shared" si="4"/>
        <v>-16.488202884919289</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-16.376400005871801</v>
      </c>
      <c r="E71" s="11">
        <f>A71-'Mastercurve bestimmen'!$B$2</f>
        <v>-144</v>
      </c>
      <c r="F71" s="11">
        <f t="shared" si="4"/>
        <v>-16.376400005871801</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-16.264877145798845</v>
      </c>
      <c r="E72" s="11">
        <f>A72-'Mastercurve bestimmen'!$B$2</f>
        <v>-143</v>
      </c>
      <c r="F72" s="11">
        <f t="shared" si="4"/>
        <v>-16.264877145798845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-16.153929669845898</v>
      </c>
      <c r="E73" s="11">
        <f>A73-'Mastercurve bestimmen'!$B$2</f>
        <v>-142</v>
      </c>
      <c r="F73" s="11">
        <f t="shared" si="4"/>
        <v>-16.153929669845898</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-16.04385294315842</v>
      </c>
      <c r="E74" s="11">
        <f>A74-'Mastercurve bestimmen'!$B$2</f>
        <v>-141</v>
      </c>
      <c r="F74" s="11">
        <f t="shared" si="4"/>
        <v>-16.04385294315842</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-15.934942330881876</v>
      </c>
      <c r="E75" s="11">
        <f>A75-'Mastercurve bestimmen'!$B$2</f>
        <v>-140</v>
      </c>
      <c r="F75" s="11">
        <f t="shared" si="4"/>
        <v>-15.934942330881876</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-15.827493198161735</v>
      </c>
      <c r="E76" s="11">
        <f>A76-'Mastercurve bestimmen'!$B$2</f>
        <v>-139</v>
      </c>
      <c r="F76" s="11">
        <f t="shared" si="4"/>
        <v>-15.827493198161735</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-15.721800910143459</v>
      </c>
      <c r="E77" s="11">
        <f>A77-'Mastercurve bestimmen'!$B$2</f>
        <v>-138</v>
      </c>
      <c r="F77" s="11">
        <f t="shared" si="4"/>
        <v>-15.721800910143459</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-15.618160831972517</v>
      </c>
      <c r="E78" s="11">
        <f>A78-'Mastercurve bestimmen'!$B$2</f>
        <v>-137</v>
      </c>
      <c r="F78" s="11">
        <f t="shared" si="4"/>
        <v>-15.618160831972517</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-15.516868328794372</v>
      </c>
      <c r="E79" s="11">
        <f>A79-'Mastercurve bestimmen'!$B$2</f>
        <v>-136</v>
      </c>
      <c r="F79" s="11">
        <f t="shared" si="4"/>
        <v>-15.516868328794372</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-15.418218765754487</v>
      </c>
      <c r="E80" s="11">
        <f>A80-'Mastercurve bestimmen'!$B$2</f>
        <v>-135</v>
      </c>
      <c r="F80" s="11">
        <f t="shared" ref="F80:F143" si="10">B80</f>
        <v>-15.418218765754487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-15.322417124550444</v>
      </c>
      <c r="E81" s="11">
        <f>A81-'Mastercurve bestimmen'!$B$2</f>
        <v>-134</v>
      </c>
      <c r="F81" s="11">
        <f t="shared" si="10"/>
        <v>-15.322417124550444</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-15.229306853088254</v>
      </c>
      <c r="E82" s="11">
        <f>A82-'Mastercurve bestimmen'!$B$2</f>
        <v>-133</v>
      </c>
      <c r="F82" s="11">
        <f t="shared" si="10"/>
        <v>-15.229306853088254</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-15.138641015826042</v>
      </c>
      <c r="E83" s="11">
        <f>A83-'Mastercurve bestimmen'!$B$2</f>
        <v>-132</v>
      </c>
      <c r="F83" s="11">
        <f t="shared" si="10"/>
        <v>-15.138641015826042</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-15.050172677221935</v>
      </c>
      <c r="E84" s="11">
        <f>A84-'Mastercurve bestimmen'!$B$2</f>
        <v>-131</v>
      </c>
      <c r="F84" s="11">
        <f t="shared" si="10"/>
        <v>-15.050172677221935</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-14.963654901734058</v>
      </c>
      <c r="E85" s="11">
        <f>A85-'Mastercurve bestimmen'!$B$2</f>
        <v>-130</v>
      </c>
      <c r="F85" s="11">
        <f t="shared" si="10"/>
        <v>-14.963654901734058</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-14.878840753820537</v>
      </c>
      <c r="E86" s="11">
        <f>A86-'Mastercurve bestimmen'!$B$2</f>
        <v>-129</v>
      </c>
      <c r="F86" s="11">
        <f t="shared" si="10"/>
        <v>-14.878840753820537</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-14.795483297939498</v>
      </c>
      <c r="E87" s="11">
        <f>A87-'Mastercurve bestimmen'!$B$2</f>
        <v>-128</v>
      </c>
      <c r="F87" s="11">
        <f t="shared" si="10"/>
        <v>-14.795483297939498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-14.713335598549062</v>
      </c>
      <c r="E88" s="11">
        <f>A88-'Mastercurve bestimmen'!$B$2</f>
        <v>-127</v>
      </c>
      <c r="F88" s="11">
        <f t="shared" si="10"/>
        <v>-14.713335598549062</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-14.632150720107362</v>
      </c>
      <c r="E89" s="11">
        <f>A89-'Mastercurve bestimmen'!$B$2</f>
        <v>-126</v>
      </c>
      <c r="F89" s="11">
        <f t="shared" si="10"/>
        <v>-14.632150720107362</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-14.551681727072513</v>
      </c>
      <c r="E90" s="11">
        <f>A90-'Mastercurve bestimmen'!$B$2</f>
        <v>-125</v>
      </c>
      <c r="F90" s="11">
        <f t="shared" si="10"/>
        <v>-14.551681727072513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-14.471681683902649</v>
      </c>
      <c r="E91" s="11">
        <f>A91-'Mastercurve bestimmen'!$B$2</f>
        <v>-124</v>
      </c>
      <c r="F91" s="11">
        <f t="shared" si="10"/>
        <v>-14.471681683902649</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-14.391903655055893</v>
      </c>
      <c r="E92" s="11">
        <f>A92-'Mastercurve bestimmen'!$B$2</f>
        <v>-123</v>
      </c>
      <c r="F92" s="11">
        <f t="shared" si="10"/>
        <v>-14.391903655055893</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-14.312100704990369</v>
      </c>
      <c r="E93" s="11">
        <f>A93-'Mastercurve bestimmen'!$B$2</f>
        <v>-122</v>
      </c>
      <c r="F93" s="11">
        <f t="shared" si="10"/>
        <v>-14.312100704990369</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-14.232025898164203</v>
      </c>
      <c r="E94" s="11">
        <f>A94-'Mastercurve bestimmen'!$B$2</f>
        <v>-121</v>
      </c>
      <c r="F94" s="11">
        <f t="shared" si="10"/>
        <v>-14.232025898164203</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-14.151432299035521</v>
      </c>
      <c r="E95" s="11">
        <f>A95-'Mastercurve bestimmen'!$B$2</f>
        <v>-120</v>
      </c>
      <c r="F95" s="11">
        <f t="shared" si="10"/>
        <v>-14.151432299035521</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-14.070072972062448</v>
      </c>
      <c r="E96" s="11">
        <f>A96-'Mastercurve bestimmen'!$B$2</f>
        <v>-119</v>
      </c>
      <c r="F96" s="11">
        <f t="shared" si="10"/>
        <v>-14.070072972062448</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-13.98770098170311</v>
      </c>
      <c r="E97" s="11">
        <f>A97-'Mastercurve bestimmen'!$B$2</f>
        <v>-118</v>
      </c>
      <c r="F97" s="11">
        <f t="shared" si="10"/>
        <v>-13.98770098170311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-13.904069392415629</v>
      </c>
      <c r="E98" s="11">
        <f>A98-'Mastercurve bestimmen'!$B$2</f>
        <v>-117</v>
      </c>
      <c r="F98" s="11">
        <f t="shared" si="10"/>
        <v>-13.904069392415629</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-13.818931268658137</v>
      </c>
      <c r="E99" s="11">
        <f>A99-'Mastercurve bestimmen'!$B$2</f>
        <v>-116</v>
      </c>
      <c r="F99" s="11">
        <f t="shared" si="10"/>
        <v>-13.818931268658137</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-13.732039674888751</v>
      </c>
      <c r="E100" s="11">
        <f>A100-'Mastercurve bestimmen'!$B$2</f>
        <v>-115</v>
      </c>
      <c r="F100" s="11">
        <f t="shared" si="10"/>
        <v>-13.732039674888751</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-13.643147675565604</v>
      </c>
      <c r="E101" s="11">
        <f>A101-'Mastercurve bestimmen'!$B$2</f>
        <v>-114</v>
      </c>
      <c r="F101" s="11">
        <f t="shared" si="10"/>
        <v>-13.643147675565604</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-13.552008335146816</v>
      </c>
      <c r="E102" s="11">
        <f>A102-'Mastercurve bestimmen'!$B$2</f>
        <v>-113</v>
      </c>
      <c r="F102" s="11">
        <f t="shared" si="10"/>
        <v>-13.552008335146816</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-13.458374718090516</v>
      </c>
      <c r="E103" s="11">
        <f>A103-'Mastercurve bestimmen'!$B$2</f>
        <v>-112</v>
      </c>
      <c r="F103" s="11">
        <f t="shared" si="10"/>
        <v>-13.458374718090516</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-13.361999888854829</v>
      </c>
      <c r="E104" s="11">
        <f>A104-'Mastercurve bestimmen'!$B$2</f>
        <v>-111</v>
      </c>
      <c r="F104" s="11">
        <f t="shared" si="10"/>
        <v>-13.361999888854829</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-13.262636911897877</v>
      </c>
      <c r="E105" s="11">
        <f>A105-'Mastercurve bestimmen'!$B$2</f>
        <v>-110</v>
      </c>
      <c r="F105" s="11">
        <f t="shared" si="10"/>
        <v>-13.262636911897877</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-13.160107382361836</v>
      </c>
      <c r="E106" s="11">
        <f>A106-'Mastercurve bestimmen'!$B$2</f>
        <v>-109</v>
      </c>
      <c r="F106" s="11">
        <f t="shared" si="10"/>
        <v>-13.160107382361836</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-13.054507018125094</v>
      </c>
      <c r="E107" s="11">
        <f>A107-'Mastercurve bestimmen'!$B$2</f>
        <v>-108</v>
      </c>
      <c r="F107" s="11">
        <f t="shared" si="10"/>
        <v>-13.054507018125094</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-12.94600006775007</v>
      </c>
      <c r="E108" s="11">
        <f>A108-'Mastercurve bestimmen'!$B$2</f>
        <v>-107</v>
      </c>
      <c r="F108" s="11">
        <f t="shared" si="10"/>
        <v>-12.94600006775007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-12.834750779799204</v>
      </c>
      <c r="E109" s="11">
        <f>A109-'Mastercurve bestimmen'!$B$2</f>
        <v>-106</v>
      </c>
      <c r="F109" s="11">
        <f t="shared" si="10"/>
        <v>-12.834750779799204</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-12.72092340283492</v>
      </c>
      <c r="E110" s="11">
        <f>A110-'Mastercurve bestimmen'!$B$2</f>
        <v>-105</v>
      </c>
      <c r="F110" s="11">
        <f t="shared" si="10"/>
        <v>-12.72092340283492</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-12.604682185419652</v>
      </c>
      <c r="E111" s="11">
        <f>A111-'Mastercurve bestimmen'!$B$2</f>
        <v>-104</v>
      </c>
      <c r="F111" s="11">
        <f t="shared" si="10"/>
        <v>-12.604682185419652</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-12.486191376115833</v>
      </c>
      <c r="E112" s="11">
        <f>A112-'Mastercurve bestimmen'!$B$2</f>
        <v>-103</v>
      </c>
      <c r="F112" s="11">
        <f t="shared" si="10"/>
        <v>-12.486191376115833</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-12.365615223485886</v>
      </c>
      <c r="E113" s="11">
        <f>A113-'Mastercurve bestimmen'!$B$2</f>
        <v>-102</v>
      </c>
      <c r="F113" s="11">
        <f t="shared" si="10"/>
        <v>-12.365615223485886</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-12.243117976092247</v>
      </c>
      <c r="E114" s="11">
        <f>A114-'Mastercurve bestimmen'!$B$2</f>
        <v>-101</v>
      </c>
      <c r="F114" s="11">
        <f t="shared" si="10"/>
        <v>-12.243117976092247</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-12.118863882497346</v>
      </c>
      <c r="E115" s="11">
        <f>A115-'Mastercurve bestimmen'!$B$2</f>
        <v>-100</v>
      </c>
      <c r="F115" s="11">
        <f t="shared" si="10"/>
        <v>-12.118863882497346</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-11.993017191263609</v>
      </c>
      <c r="E116" s="11">
        <f>A116-'Mastercurve bestimmen'!$B$2</f>
        <v>-99</v>
      </c>
      <c r="F116" s="11">
        <f t="shared" si="10"/>
        <v>-11.993017191263609</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-11.865742150953473</v>
      </c>
      <c r="E117" s="11">
        <f>A117-'Mastercurve bestimmen'!$B$2</f>
        <v>-98</v>
      </c>
      <c r="F117" s="11">
        <f t="shared" si="10"/>
        <v>-11.865742150953473</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-11.737203010129367</v>
      </c>
      <c r="E118" s="11">
        <f>A118-'Mastercurve bestimmen'!$B$2</f>
        <v>-97</v>
      </c>
      <c r="F118" s="11">
        <f t="shared" si="10"/>
        <v>-11.737203010129367</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-11.607564017353718</v>
      </c>
      <c r="E119" s="11">
        <f>A119-'Mastercurve bestimmen'!$B$2</f>
        <v>-96</v>
      </c>
      <c r="F119" s="11">
        <f t="shared" si="10"/>
        <v>-11.607564017353718</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-11.476989421188961</v>
      </c>
      <c r="E120" s="11">
        <f>A120-'Mastercurve bestimmen'!$B$2</f>
        <v>-95</v>
      </c>
      <c r="F120" s="11">
        <f t="shared" si="10"/>
        <v>-11.476989421188961</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-11.345643470197523</v>
      </c>
      <c r="E121" s="11">
        <f>A121-'Mastercurve bestimmen'!$B$2</f>
        <v>-94</v>
      </c>
      <c r="F121" s="11">
        <f t="shared" si="10"/>
        <v>-11.345643470197523</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-11.213690412941837</v>
      </c>
      <c r="E122" s="11">
        <f>A122-'Mastercurve bestimmen'!$B$2</f>
        <v>-93</v>
      </c>
      <c r="F122" s="11">
        <f t="shared" si="10"/>
        <v>-11.213690412941837</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-11.081294497984331</v>
      </c>
      <c r="E123" s="11">
        <f>A123-'Mastercurve bestimmen'!$B$2</f>
        <v>-92</v>
      </c>
      <c r="F123" s="11">
        <f t="shared" si="10"/>
        <v>-11.081294497984331</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-10.948619973887435</v>
      </c>
      <c r="E124" s="11">
        <f>A124-'Mastercurve bestimmen'!$B$2</f>
        <v>-91</v>
      </c>
      <c r="F124" s="11">
        <f t="shared" si="10"/>
        <v>-10.948619973887435</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-10.815831089213585</v>
      </c>
      <c r="E125" s="11">
        <f>A125-'Mastercurve bestimmen'!$B$2</f>
        <v>-90</v>
      </c>
      <c r="F125" s="11">
        <f t="shared" si="10"/>
        <v>-10.815831089213585</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-10.683092092525207</v>
      </c>
      <c r="E126" s="11">
        <f>A126-'Mastercurve bestimmen'!$B$2</f>
        <v>-89</v>
      </c>
      <c r="F126" s="11">
        <f t="shared" si="10"/>
        <v>-10.683092092525207</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-10.550567232384731</v>
      </c>
      <c r="E127" s="11">
        <f>A127-'Mastercurve bestimmen'!$B$2</f>
        <v>-88</v>
      </c>
      <c r="F127" s="11">
        <f t="shared" si="10"/>
        <v>-10.550567232384731</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-10.418420757354589</v>
      </c>
      <c r="E128" s="11">
        <f>A128-'Mastercurve bestimmen'!$B$2</f>
        <v>-87</v>
      </c>
      <c r="F128" s="11">
        <f t="shared" si="10"/>
        <v>-10.418420757354589</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-10.286816915997214</v>
      </c>
      <c r="E129" s="11">
        <f>A129-'Mastercurve bestimmen'!$B$2</f>
        <v>-86</v>
      </c>
      <c r="F129" s="11">
        <f t="shared" si="10"/>
        <v>-10.286816915997214</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-10.155919956875032</v>
      </c>
      <c r="E130" s="11">
        <f>A130-'Mastercurve bestimmen'!$B$2</f>
        <v>-85</v>
      </c>
      <c r="F130" s="11">
        <f t="shared" si="10"/>
        <v>-10.155919956875032</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-10.025894128550476</v>
      </c>
      <c r="E131" s="11">
        <f>A131-'Mastercurve bestimmen'!$B$2</f>
        <v>-84</v>
      </c>
      <c r="F131" s="11">
        <f t="shared" si="10"/>
        <v>-10.025894128550476</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-9.8969036795859751</v>
      </c>
      <c r="E132" s="11">
        <f>A132-'Mastercurve bestimmen'!$B$2</f>
        <v>-83</v>
      </c>
      <c r="F132" s="11">
        <f t="shared" si="10"/>
        <v>-9.8969036795859751</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-9.7691128585439611</v>
      </c>
      <c r="E133" s="11">
        <f>A133-'Mastercurve bestimmen'!$B$2</f>
        <v>-82</v>
      </c>
      <c r="F133" s="11">
        <f t="shared" si="10"/>
        <v>-9.7691128585439611</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-9.642685913986865</v>
      </c>
      <c r="E134" s="11">
        <f>A134-'Mastercurve bestimmen'!$B$2</f>
        <v>-81</v>
      </c>
      <c r="F134" s="11">
        <f t="shared" si="10"/>
        <v>-9.642685913986865</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-9.5177870944771161</v>
      </c>
      <c r="E135" s="11">
        <f>A135-'Mastercurve bestimmen'!$B$2</f>
        <v>-80</v>
      </c>
      <c r="F135" s="11">
        <f t="shared" si="10"/>
        <v>-9.5177870944771161</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-9.3945420142617415</v>
      </c>
      <c r="E136" s="11">
        <f>A136-'Mastercurve bestimmen'!$B$2</f>
        <v>-79</v>
      </c>
      <c r="F136" s="11">
        <f t="shared" si="10"/>
        <v>-9.3945420142617415</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-9.2729217503261445</v>
      </c>
      <c r="E137" s="11">
        <f>A137-'Mastercurve bestimmen'!$B$2</f>
        <v>-78</v>
      </c>
      <c r="F137" s="11">
        <f t="shared" si="10"/>
        <v>-9.2729217503261445</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-9.1528587453403301</v>
      </c>
      <c r="E138" s="11">
        <f>A138-'Mastercurve bestimmen'!$B$2</f>
        <v>-77</v>
      </c>
      <c r="F138" s="11">
        <f t="shared" si="10"/>
        <v>-9.1528587453403301</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-9.0342854419742977</v>
      </c>
      <c r="E139" s="11">
        <f>A139-'Mastercurve bestimmen'!$B$2</f>
        <v>-76</v>
      </c>
      <c r="F139" s="11">
        <f t="shared" si="10"/>
        <v>-9.0342854419742977</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-8.9171342828980524</v>
      </c>
      <c r="E140" s="11">
        <f>A140-'Mastercurve bestimmen'!$B$2</f>
        <v>-75</v>
      </c>
      <c r="F140" s="11">
        <f t="shared" si="10"/>
        <v>-8.9171342828980524</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-8.8013377107815938</v>
      </c>
      <c r="E141" s="11">
        <f>A141-'Mastercurve bestimmen'!$B$2</f>
        <v>-74</v>
      </c>
      <c r="F141" s="11">
        <f t="shared" si="10"/>
        <v>-8.8013377107815938</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-8.6868281682949213</v>
      </c>
      <c r="E142" s="11">
        <f>A142-'Mastercurve bestimmen'!$B$2</f>
        <v>-73</v>
      </c>
      <c r="F142" s="11">
        <f t="shared" si="10"/>
        <v>-8.6868281682949213</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-8.57353809810804</v>
      </c>
      <c r="E143" s="11">
        <f>A143-'Mastercurve bestimmen'!$B$2</f>
        <v>-72</v>
      </c>
      <c r="F143" s="11">
        <f t="shared" si="10"/>
        <v>-8.57353809810804</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-8.4613999428909494</v>
      </c>
      <c r="E144" s="11">
        <f>A144-'Mastercurve bestimmen'!$B$2</f>
        <v>-71</v>
      </c>
      <c r="F144" s="11">
        <f t="shared" ref="F144:F207" si="15">B144</f>
        <v>-8.4613999428909494</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-8.3503461453136545</v>
      </c>
      <c r="E145" s="11">
        <f>A145-'Mastercurve bestimmen'!$B$2</f>
        <v>-70</v>
      </c>
      <c r="F145" s="11">
        <f t="shared" si="15"/>
        <v>-8.3503461453136545</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-8.240309148046153</v>
      </c>
      <c r="E146" s="11">
        <f>A146-'Mastercurve bestimmen'!$B$2</f>
        <v>-69</v>
      </c>
      <c r="F146" s="11">
        <f t="shared" si="15"/>
        <v>-8.240309148046153</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-8.1312213937584481</v>
      </c>
      <c r="E147" s="11">
        <f>A147-'Mastercurve bestimmen'!$B$2</f>
        <v>-68</v>
      </c>
      <c r="F147" s="11">
        <f t="shared" si="15"/>
        <v>-8.1312213937584481</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-8.0230153251205412</v>
      </c>
      <c r="E148" s="11">
        <f>A148-'Mastercurve bestimmen'!$B$2</f>
        <v>-67</v>
      </c>
      <c r="F148" s="11">
        <f t="shared" si="15"/>
        <v>-8.0230153251205412</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-7.9156233848024353</v>
      </c>
      <c r="E149" s="11">
        <f>A149-'Mastercurve bestimmen'!$B$2</f>
        <v>-66</v>
      </c>
      <c r="F149" s="11">
        <f t="shared" si="15"/>
        <v>-7.9156233848024353</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-7.808978015474132</v>
      </c>
      <c r="E150" s="11">
        <f>A150-'Mastercurve bestimmen'!$B$2</f>
        <v>-65</v>
      </c>
      <c r="F150" s="11">
        <f t="shared" si="15"/>
        <v>-7.808978015474132</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-7.7030116598056306</v>
      </c>
      <c r="E151" s="11">
        <f>A151-'Mastercurve bestimmen'!$B$2</f>
        <v>-64</v>
      </c>
      <c r="F151" s="11">
        <f t="shared" si="15"/>
        <v>-7.7030116598056306</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-7.5976567604669363</v>
      </c>
      <c r="E152" s="11">
        <f>A152-'Mastercurve bestimmen'!$B$2</f>
        <v>-63</v>
      </c>
      <c r="F152" s="11">
        <f t="shared" si="15"/>
        <v>-7.5976567604669363</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-7.4928457601280485</v>
      </c>
      <c r="E153" s="11">
        <f>A153-'Mastercurve bestimmen'!$B$2</f>
        <v>-62</v>
      </c>
      <c r="F153" s="11">
        <f t="shared" si="15"/>
        <v>-7.4928457601280485</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-7.3885111014589686</v>
      </c>
      <c r="E154" s="11">
        <f>A154-'Mastercurve bestimmen'!$B$2</f>
        <v>-61</v>
      </c>
      <c r="F154" s="11">
        <f t="shared" si="15"/>
        <v>-7.3885111014589686</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-7.2845852271296989</v>
      </c>
      <c r="E155" s="11">
        <f>A155-'Mastercurve bestimmen'!$B$2</f>
        <v>-60</v>
      </c>
      <c r="F155" s="11">
        <f t="shared" si="15"/>
        <v>-7.2845852271296989</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-7.1810005798102434</v>
      </c>
      <c r="E156" s="11">
        <f>A156-'Mastercurve bestimmen'!$B$2</f>
        <v>-59</v>
      </c>
      <c r="F156" s="11">
        <f t="shared" si="15"/>
        <v>-7.1810005798102434</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-7.0776896021705991</v>
      </c>
      <c r="E157" s="11">
        <f>A157-'Mastercurve bestimmen'!$B$2</f>
        <v>-58</v>
      </c>
      <c r="F157" s="11">
        <f t="shared" si="15"/>
        <v>-7.0776896021705991</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-6.9745847368807716</v>
      </c>
      <c r="E158" s="11">
        <f>A158-'Mastercurve bestimmen'!$B$2</f>
        <v>-57</v>
      </c>
      <c r="F158" s="11">
        <f t="shared" si="15"/>
        <v>-6.9745847368807716</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-6.8716184266107607</v>
      </c>
      <c r="E159" s="11">
        <f>A159-'Mastercurve bestimmen'!$B$2</f>
        <v>-56</v>
      </c>
      <c r="F159" s="11">
        <f t="shared" si="15"/>
        <v>-6.8716184266107607</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-6.7687231140305686</v>
      </c>
      <c r="E160" s="11">
        <f>A160-'Mastercurve bestimmen'!$B$2</f>
        <v>-55</v>
      </c>
      <c r="F160" s="11">
        <f t="shared" si="15"/>
        <v>-6.7687231140305686</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-6.6658312418101975</v>
      </c>
      <c r="E161" s="11">
        <f>A161-'Mastercurve bestimmen'!$B$2</f>
        <v>-54</v>
      </c>
      <c r="F161" s="11">
        <f t="shared" si="15"/>
        <v>-6.6658312418101975</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-6.5628752526196488</v>
      </c>
      <c r="E162" s="11">
        <f>A162-'Mastercurve bestimmen'!$B$2</f>
        <v>-53</v>
      </c>
      <c r="F162" s="11">
        <f t="shared" si="15"/>
        <v>-6.5628752526196488</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-6.4597875891289238</v>
      </c>
      <c r="E163" s="11">
        <f>A163-'Mastercurve bestimmen'!$B$2</f>
        <v>-52</v>
      </c>
      <c r="F163" s="11">
        <f t="shared" si="15"/>
        <v>-6.4597875891289238</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-6.3565006940080249</v>
      </c>
      <c r="E164" s="11">
        <f>A164-'Mastercurve bestimmen'!$B$2</f>
        <v>-51</v>
      </c>
      <c r="F164" s="11">
        <f t="shared" si="15"/>
        <v>-6.3565006940080249</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-6.2529470099269524</v>
      </c>
      <c r="E165" s="11">
        <f>A165-'Mastercurve bestimmen'!$B$2</f>
        <v>-50</v>
      </c>
      <c r="F165" s="11">
        <f t="shared" si="15"/>
        <v>-6.2529470099269524</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-6.1490589795557096</v>
      </c>
      <c r="E166" s="11">
        <f>A166-'Mastercurve bestimmen'!$B$2</f>
        <v>-49</v>
      </c>
      <c r="F166" s="11">
        <f t="shared" si="15"/>
        <v>-6.1490589795557096</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-6.0447690455642977</v>
      </c>
      <c r="E167" s="11">
        <f>A167-'Mastercurve bestimmen'!$B$2</f>
        <v>-48</v>
      </c>
      <c r="F167" s="11">
        <f t="shared" si="15"/>
        <v>-6.0447690455642977</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-5.9400096506227174</v>
      </c>
      <c r="E168" s="11">
        <f>A168-'Mastercurve bestimmen'!$B$2</f>
        <v>-47</v>
      </c>
      <c r="F168" s="11">
        <f t="shared" si="15"/>
        <v>-5.9400096506227174</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-5.8347132374009725</v>
      </c>
      <c r="E169" s="11">
        <f>A169-'Mastercurve bestimmen'!$B$2</f>
        <v>-46</v>
      </c>
      <c r="F169" s="11">
        <f t="shared" si="15"/>
        <v>-5.8347132374009725</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-5.7288122485690618</v>
      </c>
      <c r="E170" s="11">
        <f>A170-'Mastercurve bestimmen'!$B$2</f>
        <v>-45</v>
      </c>
      <c r="F170" s="11">
        <f t="shared" si="15"/>
        <v>-5.7288122485690618</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-5.6222391267969893</v>
      </c>
      <c r="E171" s="11">
        <f>A171-'Mastercurve bestimmen'!$B$2</f>
        <v>-44</v>
      </c>
      <c r="F171" s="11">
        <f t="shared" si="15"/>
        <v>-5.6222391267969893</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-5.5149263147547574</v>
      </c>
      <c r="E172" s="11">
        <f>A172-'Mastercurve bestimmen'!$B$2</f>
        <v>-43</v>
      </c>
      <c r="F172" s="11">
        <f t="shared" si="15"/>
        <v>-5.5149263147547574</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-5.4068062551123646</v>
      </c>
      <c r="E173" s="11">
        <f>A173-'Mastercurve bestimmen'!$B$2</f>
        <v>-42</v>
      </c>
      <c r="F173" s="11">
        <f t="shared" si="15"/>
        <v>-5.4068062551123646</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-5.2978113905398159</v>
      </c>
      <c r="E174" s="11">
        <f>A174-'Mastercurve bestimmen'!$B$2</f>
        <v>-41</v>
      </c>
      <c r="F174" s="11">
        <f t="shared" si="15"/>
        <v>-5.2978113905398159</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-5.18787416370711</v>
      </c>
      <c r="E175" s="11">
        <f>A175-'Mastercurve bestimmen'!$B$2</f>
        <v>-40</v>
      </c>
      <c r="F175" s="11">
        <f t="shared" si="15"/>
        <v>-5.18787416370711</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-5.0769270172842509</v>
      </c>
      <c r="E176" s="11">
        <f>A176-'Mastercurve bestimmen'!$B$2</f>
        <v>-39</v>
      </c>
      <c r="F176" s="11">
        <f t="shared" si="15"/>
        <v>-5.0769270172842509</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-4.9649023939412409</v>
      </c>
      <c r="E177" s="11">
        <f>A177-'Mastercurve bestimmen'!$B$2</f>
        <v>-38</v>
      </c>
      <c r="F177" s="11">
        <f t="shared" si="15"/>
        <v>-4.9649023939412409</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-4.8517327363480787</v>
      </c>
      <c r="E178" s="11">
        <f>A178-'Mastercurve bestimmen'!$B$2</f>
        <v>-37</v>
      </c>
      <c r="F178" s="11">
        <f t="shared" si="15"/>
        <v>-4.8517327363480787</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-4.7373504871747683</v>
      </c>
      <c r="E179" s="11">
        <f>A179-'Mastercurve bestimmen'!$B$2</f>
        <v>-36</v>
      </c>
      <c r="F179" s="11">
        <f t="shared" si="15"/>
        <v>-4.7373504871747683</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-4.6216880890913101</v>
      </c>
      <c r="E180" s="11">
        <f>A180-'Mastercurve bestimmen'!$B$2</f>
        <v>-35</v>
      </c>
      <c r="F180" s="11">
        <f t="shared" si="15"/>
        <v>-4.6216880890913101</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-4.5046956619714686</v>
      </c>
      <c r="E181" s="11">
        <f>A181-'Mastercurve bestimmen'!$B$2</f>
        <v>-34</v>
      </c>
      <c r="F181" s="11">
        <f t="shared" si="15"/>
        <v>-4.5046956619714686</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-4.3863940345040575</v>
      </c>
      <c r="E182" s="11">
        <f>A182-'Mastercurve bestimmen'!$B$2</f>
        <v>-33</v>
      </c>
      <c r="F182" s="11">
        <f t="shared" si="15"/>
        <v>-4.3863940345040575</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-4.2668217125816525</v>
      </c>
      <c r="E183" s="11">
        <f>A183-'Mastercurve bestimmen'!$B$2</f>
        <v>-32</v>
      </c>
      <c r="F183" s="11">
        <f t="shared" si="15"/>
        <v>-4.2668217125816525</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-4.1460172020968287</v>
      </c>
      <c r="E184" s="11">
        <f>A184-'Mastercurve bestimmen'!$B$2</f>
        <v>-31</v>
      </c>
      <c r="F184" s="11">
        <f t="shared" si="15"/>
        <v>-4.1460172020968287</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-4.0240190089421617</v>
      </c>
      <c r="E185" s="11">
        <f>A185-'Mastercurve bestimmen'!$B$2</f>
        <v>-30</v>
      </c>
      <c r="F185" s="11">
        <f t="shared" si="15"/>
        <v>-4.0240190089421617</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-3.9008656390102274</v>
      </c>
      <c r="E186" s="11">
        <f>A186-'Mastercurve bestimmen'!$B$2</f>
        <v>-29</v>
      </c>
      <c r="F186" s="11">
        <f t="shared" si="15"/>
        <v>-3.9008656390102274</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-3.7765955981936008</v>
      </c>
      <c r="E187" s="11">
        <f>A187-'Mastercurve bestimmen'!$B$2</f>
        <v>-28</v>
      </c>
      <c r="F187" s="11">
        <f t="shared" si="15"/>
        <v>-3.7765955981936008</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-3.6512473923848581</v>
      </c>
      <c r="E188" s="11">
        <f>A188-'Mastercurve bestimmen'!$B$2</f>
        <v>-27</v>
      </c>
      <c r="F188" s="11">
        <f t="shared" si="15"/>
        <v>-3.6512473923848581</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-3.5248595274765746</v>
      </c>
      <c r="E189" s="11">
        <f>A189-'Mastercurve bestimmen'!$B$2</f>
        <v>-26</v>
      </c>
      <c r="F189" s="11">
        <f t="shared" si="15"/>
        <v>-3.5248595274765746</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-3.3974705093613258</v>
      </c>
      <c r="E190" s="11">
        <f>A190-'Mastercurve bestimmen'!$B$2</f>
        <v>-25</v>
      </c>
      <c r="F190" s="11">
        <f t="shared" si="15"/>
        <v>-3.3974705093613258</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-3.2691188439316874</v>
      </c>
      <c r="E191" s="11">
        <f>A191-'Mastercurve bestimmen'!$B$2</f>
        <v>-24</v>
      </c>
      <c r="F191" s="11">
        <f t="shared" si="15"/>
        <v>-3.2691188439316874</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-3.1398430370802348</v>
      </c>
      <c r="E192" s="11">
        <f>A192-'Mastercurve bestimmen'!$B$2</f>
        <v>-23</v>
      </c>
      <c r="F192" s="11">
        <f t="shared" si="15"/>
        <v>-3.1398430370802348</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-3.0096815946995434</v>
      </c>
      <c r="E193" s="11">
        <f>A193-'Mastercurve bestimmen'!$B$2</f>
        <v>-22</v>
      </c>
      <c r="F193" s="11">
        <f t="shared" si="15"/>
        <v>-3.0096815946995434</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-2.8786730226821904</v>
      </c>
      <c r="E194" s="11">
        <f>A194-'Mastercurve bestimmen'!$B$2</f>
        <v>-21</v>
      </c>
      <c r="F194" s="11">
        <f t="shared" si="15"/>
        <v>-2.8786730226821904</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-2.7468558269207493</v>
      </c>
      <c r="E195" s="11">
        <f>A195-'Mastercurve bestimmen'!$B$2</f>
        <v>-20</v>
      </c>
      <c r="F195" s="11">
        <f t="shared" si="15"/>
        <v>-2.7468558269207493</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-2.6142685133077963</v>
      </c>
      <c r="E196" s="11">
        <f>A196-'Mastercurve bestimmen'!$B$2</f>
        <v>-19</v>
      </c>
      <c r="F196" s="11">
        <f t="shared" si="15"/>
        <v>-2.6142685133077963</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-2.4809495877359078</v>
      </c>
      <c r="E197" s="11">
        <f>A197-'Mastercurve bestimmen'!$B$2</f>
        <v>-18</v>
      </c>
      <c r="F197" s="11">
        <f t="shared" si="15"/>
        <v>-2.4809495877359078</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-2.3469375560976582</v>
      </c>
      <c r="E198" s="11">
        <f>A198-'Mastercurve bestimmen'!$B$2</f>
        <v>-17</v>
      </c>
      <c r="F198" s="11">
        <f t="shared" si="15"/>
        <v>-2.3469375560976582</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-2.2122709242856238</v>
      </c>
      <c r="E199" s="11">
        <f>A199-'Mastercurve bestimmen'!$B$2</f>
        <v>-16</v>
      </c>
      <c r="F199" s="11">
        <f t="shared" si="15"/>
        <v>-2.2122709242856238</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-2.0769881981923799</v>
      </c>
      <c r="E200" s="11">
        <f>A200-'Mastercurve bestimmen'!$B$2</f>
        <v>-15</v>
      </c>
      <c r="F200" s="11">
        <f t="shared" si="15"/>
        <v>-2.0769881981923799</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-1.9411278837105026</v>
      </c>
      <c r="E201" s="11">
        <f>A201-'Mastercurve bestimmen'!$B$2</f>
        <v>-14</v>
      </c>
      <c r="F201" s="11">
        <f t="shared" si="15"/>
        <v>-1.9411278837105026</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-1.8047284867325672</v>
      </c>
      <c r="E202" s="11">
        <f>A202-'Mastercurve bestimmen'!$B$2</f>
        <v>-13</v>
      </c>
      <c r="F202" s="11">
        <f t="shared" si="15"/>
        <v>-1.8047284867325672</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-1.6678285131511488</v>
      </c>
      <c r="E203" s="11">
        <f>A203-'Mastercurve bestimmen'!$B$2</f>
        <v>-12</v>
      </c>
      <c r="F203" s="11">
        <f t="shared" si="15"/>
        <v>-1.6678285131511488</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-1.5304664688588234</v>
      </c>
      <c r="E204" s="11">
        <f>A204-'Mastercurve bestimmen'!$B$2</f>
        <v>-11</v>
      </c>
      <c r="F204" s="11">
        <f t="shared" si="15"/>
        <v>-1.5304664688588234</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-1.3926808597481668</v>
      </c>
      <c r="E205" s="11">
        <f>A205-'Mastercurve bestimmen'!$B$2</f>
        <v>-10</v>
      </c>
      <c r="F205" s="11">
        <f t="shared" si="15"/>
        <v>-1.3926808597481668</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-1.2545101917117545</v>
      </c>
      <c r="E206" s="11">
        <f>A206-'Mastercurve bestimmen'!$B$2</f>
        <v>-9</v>
      </c>
      <c r="F206" s="11">
        <f t="shared" si="15"/>
        <v>-1.2545101917117545</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-1.1159929706421616</v>
      </c>
      <c r="E207" s="11">
        <f>A207-'Mastercurve bestimmen'!$B$2</f>
        <v>-8</v>
      </c>
      <c r="F207" s="11">
        <f t="shared" si="15"/>
        <v>-1.1159929706421616</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-0.97716770243196416</v>
      </c>
      <c r="E208" s="11">
        <f>A208-'Mastercurve bestimmen'!$B$2</f>
        <v>-7</v>
      </c>
      <c r="F208" s="11">
        <f t="shared" ref="F208:F215" si="21">B208</f>
        <v>-0.97716770243196416</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-0.83807289297373755</v>
      </c>
      <c r="E209" s="11">
        <f>A209-'Mastercurve bestimmen'!$B$2</f>
        <v>-6</v>
      </c>
      <c r="F209" s="11">
        <f t="shared" si="21"/>
        <v>-0.83807289297373755</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-0.6987470481600575</v>
      </c>
      <c r="E210" s="11">
        <f>A210-'Mastercurve bestimmen'!$B$2</f>
        <v>-5</v>
      </c>
      <c r="F210" s="11">
        <f t="shared" si="21"/>
        <v>-0.6987470481600575</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-0.55922867388349951</v>
      </c>
      <c r="E211" s="11">
        <f>A211-'Mastercurve bestimmen'!$B$2</f>
        <v>-4</v>
      </c>
      <c r="F211" s="11">
        <f t="shared" si="21"/>
        <v>-0.55922867388349951</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-0.4195562760366392</v>
      </c>
      <c r="E212" s="11">
        <f>A212-'Mastercurve bestimmen'!$B$2</f>
        <v>-3</v>
      </c>
      <c r="F212" s="11">
        <f t="shared" si="21"/>
        <v>-0.4195562760366392</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-0.27976836051205206</v>
      </c>
      <c r="E213" s="11">
        <f>A213-'Mastercurve bestimmen'!$B$2</f>
        <v>-2</v>
      </c>
      <c r="F213" s="11">
        <f t="shared" si="21"/>
        <v>-0.27976836051205206</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-0.13990343320231383</v>
      </c>
      <c r="E214" s="11">
        <f>A214-'Mastercurve bestimmen'!$B$2</f>
        <v>-1</v>
      </c>
      <c r="F214" s="11">
        <f t="shared" si="21"/>
        <v>-0.13990343320231383</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9.2812710086206326E-2</v>
      </c>
      <c r="J217" s="98">
        <v>-6.2719725383412724E-3</v>
      </c>
      <c r="K217" s="98">
        <v>-2.8930214375068173E-4</v>
      </c>
      <c r="L217" s="98">
        <v>-5.8486959793793923E-6</v>
      </c>
      <c r="M217" s="98">
        <v>-6.184019825209652E-8</v>
      </c>
      <c r="N217" s="98">
        <v>-3.557812610226127E-10</v>
      </c>
      <c r="O217" s="98">
        <v>-1.0551682740667941E-12</v>
      </c>
      <c r="P217" s="98">
        <v>-1.2631058694492099E-15</v>
      </c>
    </row>
    <row r="218" spans="1:16" x14ac:dyDescent="0.25">
      <c r="G218" s="11"/>
      <c r="H218" s="11">
        <v>0</v>
      </c>
      <c r="I218" s="11">
        <v>4.7114728243787055E-3</v>
      </c>
      <c r="J218" s="11">
        <v>4.6725655557819395E-4</v>
      </c>
      <c r="K218" s="3">
        <v>1.7729054939170827E-5</v>
      </c>
      <c r="L218" s="3">
        <v>3.3797557822730999E-7</v>
      </c>
      <c r="M218" s="3">
        <v>3.5582388300355889E-9</v>
      </c>
      <c r="N218" s="3">
        <v>2.0991840622930709E-11</v>
      </c>
      <c r="O218" s="11">
        <v>6.4987496953693927E-14</v>
      </c>
      <c r="P218" s="11">
        <v>8.2167876525014377E-17</v>
      </c>
    </row>
    <row r="219" spans="1:16" x14ac:dyDescent="0.25">
      <c r="G219" s="11"/>
      <c r="H219" s="11">
        <v>0.99997734956702</v>
      </c>
      <c r="I219" s="11">
        <v>6.4339717826945877E-2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-21.47224306380167</v>
      </c>
      <c r="G222">
        <f>F15</f>
        <v>-21.521805240547501</v>
      </c>
    </row>
    <row r="223" spans="1:16" x14ac:dyDescent="0.25">
      <c r="E223" s="11">
        <f t="shared" ref="E223:E286" si="25">E16</f>
        <v>-199</v>
      </c>
      <c r="F223" s="11">
        <f t="shared" ref="F223:F286" si="26">$H$217*0+E223*$I$217+E223^2*$J$217+E223^3*$K$217+E223^4*$L$217+E223^5*$M$217+E223^6*$N$217+E223^7*$O$217+E223^8*$P$217</f>
        <v>-21.424084336765191</v>
      </c>
      <c r="G223" s="11">
        <f t="shared" ref="G223:G286" si="27">F16</f>
        <v>-21.463330408839063</v>
      </c>
    </row>
    <row r="224" spans="1:16" x14ac:dyDescent="0.25">
      <c r="E224" s="11">
        <f t="shared" si="25"/>
        <v>-198</v>
      </c>
      <c r="F224" s="11">
        <f t="shared" si="26"/>
        <v>-21.376563279359743</v>
      </c>
      <c r="G224" s="11">
        <f t="shared" si="27"/>
        <v>-21.404744431546806</v>
      </c>
    </row>
    <row r="225" spans="5:7" x14ac:dyDescent="0.25">
      <c r="E225" s="11">
        <f t="shared" si="25"/>
        <v>-197</v>
      </c>
      <c r="F225" s="11">
        <f t="shared" si="26"/>
        <v>-21.329055216282086</v>
      </c>
      <c r="G225" s="11">
        <f t="shared" si="27"/>
        <v>-21.3459361630869</v>
      </c>
    </row>
    <row r="226" spans="5:7" x14ac:dyDescent="0.25">
      <c r="E226" s="11">
        <f t="shared" si="25"/>
        <v>-196</v>
      </c>
      <c r="F226" s="11">
        <f t="shared" si="26"/>
        <v>-21.281009162917144</v>
      </c>
      <c r="G226" s="11">
        <f t="shared" si="27"/>
        <v>-21.286794457875526</v>
      </c>
    </row>
    <row r="227" spans="5:7" x14ac:dyDescent="0.25">
      <c r="E227" s="11">
        <f t="shared" si="25"/>
        <v>-195</v>
      </c>
      <c r="F227" s="11">
        <f t="shared" si="26"/>
        <v>-21.231942981760312</v>
      </c>
      <c r="G227" s="11">
        <f t="shared" si="27"/>
        <v>-21.227208170328865</v>
      </c>
    </row>
    <row r="228" spans="5:7" x14ac:dyDescent="0.25">
      <c r="E228" s="11">
        <f t="shared" si="25"/>
        <v>-194</v>
      </c>
      <c r="F228" s="11">
        <f t="shared" si="26"/>
        <v>-21.181438735646225</v>
      </c>
      <c r="G228" s="11">
        <f t="shared" si="27"/>
        <v>-21.167066154863086</v>
      </c>
    </row>
    <row r="229" spans="5:7" x14ac:dyDescent="0.25">
      <c r="E229" s="11">
        <f t="shared" si="25"/>
        <v>-193</v>
      </c>
      <c r="F229" s="11">
        <f t="shared" si="26"/>
        <v>-21.129138233022331</v>
      </c>
      <c r="G229" s="11">
        <f t="shared" si="27"/>
        <v>-21.106257265894374</v>
      </c>
    </row>
    <row r="230" spans="5:7" x14ac:dyDescent="0.25">
      <c r="E230" s="11">
        <f t="shared" si="25"/>
        <v>-192</v>
      </c>
      <c r="F230" s="11">
        <f t="shared" si="26"/>
        <v>-21.074738760670698</v>
      </c>
      <c r="G230" s="11">
        <f t="shared" si="27"/>
        <v>-21.0446703578389</v>
      </c>
    </row>
    <row r="231" spans="5:7" x14ac:dyDescent="0.25">
      <c r="E231" s="11">
        <f t="shared" si="25"/>
        <v>-191</v>
      </c>
      <c r="F231" s="11">
        <f t="shared" si="26"/>
        <v>-21.017988999260069</v>
      </c>
      <c r="G231" s="11">
        <f t="shared" si="27"/>
        <v>-20.982194285112843</v>
      </c>
    </row>
    <row r="232" spans="5:7" x14ac:dyDescent="0.25">
      <c r="E232" s="11">
        <f t="shared" si="25"/>
        <v>-190</v>
      </c>
      <c r="F232" s="11">
        <f t="shared" si="26"/>
        <v>-20.958685117212553</v>
      </c>
      <c r="G232" s="11">
        <f t="shared" si="27"/>
        <v>-20.918717902132389</v>
      </c>
    </row>
    <row r="233" spans="5:7" x14ac:dyDescent="0.25">
      <c r="E233" s="11">
        <f t="shared" si="25"/>
        <v>-189</v>
      </c>
      <c r="F233" s="11">
        <f t="shared" si="26"/>
        <v>-20.896667038397936</v>
      </c>
      <c r="G233" s="11">
        <f t="shared" si="27"/>
        <v>-20.854130063313701</v>
      </c>
    </row>
    <row r="234" spans="5:7" x14ac:dyDescent="0.25">
      <c r="E234" s="11">
        <f t="shared" si="25"/>
        <v>-188</v>
      </c>
      <c r="F234" s="11">
        <f t="shared" si="26"/>
        <v>-20.83181487921911</v>
      </c>
      <c r="G234" s="11">
        <f t="shared" si="27"/>
        <v>-20.788319623072965</v>
      </c>
    </row>
    <row r="235" spans="5:7" x14ac:dyDescent="0.25">
      <c r="E235" s="11">
        <f t="shared" si="25"/>
        <v>-187</v>
      </c>
      <c r="F235" s="11">
        <f t="shared" si="26"/>
        <v>-20.764045550685523</v>
      </c>
      <c r="G235" s="11">
        <f t="shared" si="27"/>
        <v>-20.721175435826353</v>
      </c>
    </row>
    <row r="236" spans="5:7" x14ac:dyDescent="0.25">
      <c r="E236" s="11">
        <f t="shared" si="25"/>
        <v>-186</v>
      </c>
      <c r="F236" s="11">
        <f t="shared" si="26"/>
        <v>-20.693309521160927</v>
      </c>
      <c r="G236" s="11">
        <f t="shared" si="27"/>
        <v>-20.652586355990049</v>
      </c>
    </row>
    <row r="237" spans="5:7" x14ac:dyDescent="0.25">
      <c r="E237" s="11">
        <f t="shared" si="25"/>
        <v>-185</v>
      </c>
      <c r="F237" s="11">
        <f t="shared" si="26"/>
        <v>-20.619587735522828</v>
      </c>
      <c r="G237" s="11">
        <f t="shared" si="27"/>
        <v>-20.582441237980227</v>
      </c>
    </row>
    <row r="238" spans="5:7" x14ac:dyDescent="0.25">
      <c r="E238" s="11">
        <f t="shared" si="25"/>
        <v>-184</v>
      </c>
      <c r="F238" s="11">
        <f t="shared" si="26"/>
        <v>-20.542888686458355</v>
      </c>
      <c r="G238" s="11">
        <f t="shared" si="27"/>
        <v>-20.510628936213063</v>
      </c>
    </row>
    <row r="239" spans="5:7" x14ac:dyDescent="0.25">
      <c r="E239" s="11">
        <f t="shared" si="25"/>
        <v>-183</v>
      </c>
      <c r="F239" s="11">
        <f t="shared" si="26"/>
        <v>-20.463245633742872</v>
      </c>
      <c r="G239" s="11">
        <f t="shared" si="27"/>
        <v>-20.437038305104736</v>
      </c>
    </row>
    <row r="240" spans="5:7" x14ac:dyDescent="0.25">
      <c r="E240" s="11">
        <f t="shared" si="25"/>
        <v>-182</v>
      </c>
      <c r="F240" s="11">
        <f t="shared" si="26"/>
        <v>-20.380713967361316</v>
      </c>
      <c r="G240" s="11">
        <f t="shared" si="27"/>
        <v>-20.361558199071425</v>
      </c>
    </row>
    <row r="241" spans="5:7" x14ac:dyDescent="0.25">
      <c r="E241" s="11">
        <f t="shared" si="25"/>
        <v>-181</v>
      </c>
      <c r="F241" s="11">
        <f t="shared" si="26"/>
        <v>-20.295368710425919</v>
      </c>
      <c r="G241" s="11">
        <f t="shared" si="27"/>
        <v>-20.284077472529304</v>
      </c>
    </row>
    <row r="242" spans="5:7" x14ac:dyDescent="0.25">
      <c r="E242" s="11">
        <f t="shared" si="25"/>
        <v>-180</v>
      </c>
      <c r="F242" s="11">
        <f t="shared" si="26"/>
        <v>-20.207302157805088</v>
      </c>
      <c r="G242" s="11">
        <f t="shared" si="27"/>
        <v>-20.204484979894545</v>
      </c>
    </row>
    <row r="243" spans="5:7" x14ac:dyDescent="0.25">
      <c r="E243" s="11">
        <f t="shared" si="25"/>
        <v>-179</v>
      </c>
      <c r="F243" s="11">
        <f t="shared" si="26"/>
        <v>-20.116621646543535</v>
      </c>
      <c r="G243" s="11">
        <f t="shared" si="27"/>
        <v>-20.122669575583338</v>
      </c>
    </row>
    <row r="244" spans="5:7" x14ac:dyDescent="0.25">
      <c r="E244" s="11">
        <f t="shared" si="25"/>
        <v>-178</v>
      </c>
      <c r="F244" s="11">
        <f t="shared" si="26"/>
        <v>-20.023447454108691</v>
      </c>
      <c r="G244" s="11">
        <f t="shared" si="27"/>
        <v>-20.038520114011853</v>
      </c>
    </row>
    <row r="245" spans="5:7" x14ac:dyDescent="0.25">
      <c r="E245" s="11">
        <f t="shared" si="25"/>
        <v>-177</v>
      </c>
      <c r="F245" s="11">
        <f t="shared" si="26"/>
        <v>-19.927910820607167</v>
      </c>
      <c r="G245" s="11">
        <f t="shared" si="27"/>
        <v>-19.951925449596267</v>
      </c>
    </row>
    <row r="246" spans="5:7" x14ac:dyDescent="0.25">
      <c r="E246" s="11">
        <f t="shared" si="25"/>
        <v>-176</v>
      </c>
      <c r="F246" s="11">
        <f t="shared" si="26"/>
        <v>-19.830152091158425</v>
      </c>
      <c r="G246" s="11">
        <f t="shared" si="27"/>
        <v>-19.862774436752762</v>
      </c>
    </row>
    <row r="247" spans="5:7" x14ac:dyDescent="0.25">
      <c r="E247" s="11">
        <f t="shared" si="25"/>
        <v>-175</v>
      </c>
      <c r="F247" s="11">
        <f t="shared" si="26"/>
        <v>-19.730318974625334</v>
      </c>
      <c r="G247" s="11">
        <f t="shared" si="27"/>
        <v>-19.770955929897507</v>
      </c>
    </row>
    <row r="248" spans="5:7" x14ac:dyDescent="0.25">
      <c r="E248" s="11">
        <f t="shared" si="25"/>
        <v>-174</v>
      </c>
      <c r="F248" s="11">
        <f t="shared" si="26"/>
        <v>-19.628564914987237</v>
      </c>
      <c r="G248" s="11">
        <f t="shared" si="27"/>
        <v>-19.676358783446688</v>
      </c>
    </row>
    <row r="249" spans="5:7" x14ac:dyDescent="0.25">
      <c r="E249" s="11">
        <f t="shared" si="25"/>
        <v>-173</v>
      </c>
      <c r="F249" s="11">
        <f t="shared" si="26"/>
        <v>-19.525047571711752</v>
      </c>
      <c r="G249" s="11">
        <f t="shared" si="27"/>
        <v>-19.578871851816473</v>
      </c>
    </row>
    <row r="250" spans="5:7" x14ac:dyDescent="0.25">
      <c r="E250" s="11">
        <f t="shared" si="25"/>
        <v>-172</v>
      </c>
      <c r="F250" s="11">
        <f t="shared" si="26"/>
        <v>-19.419927405469934</v>
      </c>
      <c r="G250" s="11">
        <f t="shared" si="27"/>
        <v>-19.478383989423051</v>
      </c>
    </row>
    <row r="251" spans="5:7" x14ac:dyDescent="0.25">
      <c r="E251" s="11">
        <f t="shared" si="25"/>
        <v>-171</v>
      </c>
      <c r="F251" s="11">
        <f t="shared" si="26"/>
        <v>-19.313366365647767</v>
      </c>
      <c r="G251" s="11">
        <f t="shared" si="27"/>
        <v>-19.374784050682589</v>
      </c>
    </row>
    <row r="252" spans="5:7" x14ac:dyDescent="0.25">
      <c r="E252" s="11">
        <f t="shared" si="25"/>
        <v>-170</v>
      </c>
      <c r="F252" s="11">
        <f t="shared" si="26"/>
        <v>-19.205526676130603</v>
      </c>
      <c r="G252" s="11">
        <f t="shared" si="27"/>
        <v>-19.267960890011267</v>
      </c>
    </row>
    <row r="253" spans="5:7" x14ac:dyDescent="0.25">
      <c r="E253" s="11">
        <f t="shared" si="25"/>
        <v>-169</v>
      </c>
      <c r="F253" s="11">
        <f t="shared" si="26"/>
        <v>-19.096569715866963</v>
      </c>
      <c r="G253" s="11">
        <f t="shared" si="27"/>
        <v>-19.157803361825266</v>
      </c>
    </row>
    <row r="254" spans="5:7" x14ac:dyDescent="0.25">
      <c r="E254" s="11">
        <f t="shared" si="25"/>
        <v>-168</v>
      </c>
      <c r="F254" s="11">
        <f t="shared" si="26"/>
        <v>-18.986654990877355</v>
      </c>
      <c r="G254" s="11">
        <f t="shared" si="27"/>
        <v>-19.04420032054076</v>
      </c>
    </row>
    <row r="255" spans="5:7" x14ac:dyDescent="0.25">
      <c r="E255" s="11">
        <f t="shared" si="25"/>
        <v>-167</v>
      </c>
      <c r="F255" s="11">
        <f t="shared" si="26"/>
        <v>-18.875939194213174</v>
      </c>
      <c r="G255" s="11">
        <f t="shared" si="27"/>
        <v>-18.927040620573926</v>
      </c>
    </row>
    <row r="256" spans="5:7" x14ac:dyDescent="0.25">
      <c r="E256" s="11">
        <f t="shared" si="25"/>
        <v>-166</v>
      </c>
      <c r="F256" s="11">
        <f t="shared" si="26"/>
        <v>-18.764575350684254</v>
      </c>
      <c r="G256" s="11">
        <f t="shared" si="27"/>
        <v>-18.806213116340938</v>
      </c>
    </row>
    <row r="257" spans="5:7" x14ac:dyDescent="0.25">
      <c r="E257" s="11">
        <f t="shared" si="25"/>
        <v>-165</v>
      </c>
      <c r="F257" s="11">
        <f t="shared" si="26"/>
        <v>-18.652712043004385</v>
      </c>
      <c r="G257" s="11">
        <f t="shared" si="27"/>
        <v>-18.681606662257984</v>
      </c>
    </row>
    <row r="258" spans="5:7" x14ac:dyDescent="0.25">
      <c r="E258" s="11">
        <f t="shared" si="25"/>
        <v>-164</v>
      </c>
      <c r="F258" s="11">
        <f t="shared" si="26"/>
        <v>-18.540492716162134</v>
      </c>
      <c r="G258" s="11">
        <f t="shared" si="27"/>
        <v>-18.55311011274123</v>
      </c>
    </row>
    <row r="259" spans="5:7" x14ac:dyDescent="0.25">
      <c r="E259" s="11">
        <f t="shared" si="25"/>
        <v>-163</v>
      </c>
      <c r="F259" s="11">
        <f t="shared" si="26"/>
        <v>-18.42805505689148</v>
      </c>
      <c r="G259" s="11">
        <f t="shared" si="27"/>
        <v>-18.420612322206864</v>
      </c>
    </row>
    <row r="260" spans="5:7" x14ac:dyDescent="0.25">
      <c r="E260" s="11">
        <f t="shared" si="25"/>
        <v>-162</v>
      </c>
      <c r="F260" s="11">
        <f t="shared" si="26"/>
        <v>-18.31553044506677</v>
      </c>
      <c r="G260" s="11">
        <f t="shared" si="27"/>
        <v>-18.284002145071053</v>
      </c>
    </row>
    <row r="261" spans="5:7" x14ac:dyDescent="0.25">
      <c r="E261" s="11">
        <f t="shared" si="25"/>
        <v>-161</v>
      </c>
      <c r="F261" s="11">
        <f t="shared" si="26"/>
        <v>-18.20304347403362</v>
      </c>
      <c r="G261" s="11">
        <f t="shared" si="27"/>
        <v>-18.143168435749981</v>
      </c>
    </row>
    <row r="262" spans="5:7" x14ac:dyDescent="0.25">
      <c r="E262" s="11">
        <f t="shared" si="25"/>
        <v>-160</v>
      </c>
      <c r="F262" s="11">
        <f t="shared" si="26"/>
        <v>-18.090711536805429</v>
      </c>
      <c r="G262" s="11">
        <f t="shared" si="27"/>
        <v>-17.998000048659819</v>
      </c>
    </row>
    <row r="263" spans="5:7" x14ac:dyDescent="0.25">
      <c r="E263" s="11">
        <f t="shared" si="25"/>
        <v>-159</v>
      </c>
      <c r="F263" s="11">
        <f t="shared" si="26"/>
        <v>-17.978644475209421</v>
      </c>
      <c r="G263" s="11">
        <f t="shared" si="27"/>
        <v>-17.917440702450104</v>
      </c>
    </row>
    <row r="264" spans="5:7" x14ac:dyDescent="0.25">
      <c r="E264" s="11">
        <f t="shared" si="25"/>
        <v>-158</v>
      </c>
      <c r="F264" s="11">
        <f t="shared" si="26"/>
        <v>-17.866944289052071</v>
      </c>
      <c r="G264" s="11">
        <f t="shared" si="27"/>
        <v>-17.832730898032942</v>
      </c>
    </row>
    <row r="265" spans="5:7" x14ac:dyDescent="0.25">
      <c r="E265" s="11">
        <f t="shared" si="25"/>
        <v>-157</v>
      </c>
      <c r="F265" s="11">
        <f t="shared" si="26"/>
        <v>-17.755704902459797</v>
      </c>
      <c r="G265" s="11">
        <f t="shared" si="27"/>
        <v>-17.744166000553804</v>
      </c>
    </row>
    <row r="266" spans="5:7" x14ac:dyDescent="0.25">
      <c r="E266" s="11">
        <f t="shared" si="25"/>
        <v>-156</v>
      </c>
      <c r="F266" s="11">
        <f t="shared" si="26"/>
        <v>-17.645011984587029</v>
      </c>
      <c r="G266" s="11">
        <f t="shared" si="27"/>
        <v>-17.652041375158149</v>
      </c>
    </row>
    <row r="267" spans="5:7" x14ac:dyDescent="0.25">
      <c r="E267" s="11">
        <f t="shared" si="25"/>
        <v>-155</v>
      </c>
      <c r="F267" s="11">
        <f t="shared" si="26"/>
        <v>-17.534942821931907</v>
      </c>
      <c r="G267" s="11">
        <f t="shared" si="27"/>
        <v>-17.556652386991452</v>
      </c>
    </row>
    <row r="268" spans="5:7" x14ac:dyDescent="0.25">
      <c r="E268" s="11">
        <f t="shared" si="25"/>
        <v>-154</v>
      </c>
      <c r="F268" s="11">
        <f t="shared" si="26"/>
        <v>-17.425566239564773</v>
      </c>
      <c r="G268" s="11">
        <f t="shared" si="27"/>
        <v>-17.458294401199169</v>
      </c>
    </row>
    <row r="269" spans="5:7" x14ac:dyDescent="0.25">
      <c r="E269" s="11">
        <f t="shared" si="25"/>
        <v>-153</v>
      </c>
      <c r="F269" s="11">
        <f t="shared" si="26"/>
        <v>-17.316942568614422</v>
      </c>
      <c r="G269" s="11">
        <f t="shared" si="27"/>
        <v>-17.357262782926774</v>
      </c>
    </row>
    <row r="270" spans="5:7" x14ac:dyDescent="0.25">
      <c r="E270" s="11">
        <f t="shared" si="25"/>
        <v>-152</v>
      </c>
      <c r="F270" s="11">
        <f t="shared" si="26"/>
        <v>-17.209123657404916</v>
      </c>
      <c r="G270" s="11">
        <f t="shared" si="27"/>
        <v>-17.253852897319728</v>
      </c>
    </row>
    <row r="271" spans="5:7" x14ac:dyDescent="0.25">
      <c r="E271" s="11">
        <f t="shared" si="25"/>
        <v>-151</v>
      </c>
      <c r="F271" s="11">
        <f t="shared" si="26"/>
        <v>-17.1021529237035</v>
      </c>
      <c r="G271" s="11">
        <f t="shared" si="27"/>
        <v>-17.148360109523498</v>
      </c>
    </row>
    <row r="272" spans="5:7" x14ac:dyDescent="0.25">
      <c r="E272" s="11">
        <f t="shared" si="25"/>
        <v>-150</v>
      </c>
      <c r="F272" s="11">
        <f t="shared" si="26"/>
        <v>-16.996065445568377</v>
      </c>
      <c r="G272" s="11">
        <f t="shared" si="27"/>
        <v>-17.041079784683546</v>
      </c>
    </row>
    <row r="273" spans="5:7" x14ac:dyDescent="0.25">
      <c r="E273" s="11">
        <f t="shared" si="25"/>
        <v>-149</v>
      </c>
      <c r="F273" s="11">
        <f t="shared" si="26"/>
        <v>-16.890888088361407</v>
      </c>
      <c r="G273" s="11">
        <f t="shared" si="27"/>
        <v>-16.932307287945342</v>
      </c>
    </row>
    <row r="274" spans="5:7" x14ac:dyDescent="0.25">
      <c r="E274" s="11">
        <f t="shared" si="25"/>
        <v>-148</v>
      </c>
      <c r="F274" s="11">
        <f t="shared" si="26"/>
        <v>-16.786639665511416</v>
      </c>
      <c r="G274" s="11">
        <f t="shared" si="27"/>
        <v>-16.82233798445435</v>
      </c>
    </row>
    <row r="275" spans="5:7" x14ac:dyDescent="0.25">
      <c r="E275" s="11">
        <f t="shared" si="25"/>
        <v>-147</v>
      </c>
      <c r="F275" s="11">
        <f t="shared" si="26"/>
        <v>-16.683331130694285</v>
      </c>
      <c r="G275" s="11">
        <f t="shared" si="27"/>
        <v>-16.711467239356029</v>
      </c>
    </row>
    <row r="276" spans="5:7" x14ac:dyDescent="0.25">
      <c r="E276" s="11">
        <f t="shared" si="25"/>
        <v>-146</v>
      </c>
      <c r="F276" s="11">
        <f t="shared" si="26"/>
        <v>-16.580965799134901</v>
      </c>
      <c r="G276" s="11">
        <f t="shared" si="27"/>
        <v>-16.599990417795858</v>
      </c>
    </row>
    <row r="277" spans="5:7" x14ac:dyDescent="0.25">
      <c r="E277" s="11">
        <f t="shared" si="25"/>
        <v>-145</v>
      </c>
      <c r="F277" s="11">
        <f t="shared" si="26"/>
        <v>-16.479539595770149</v>
      </c>
      <c r="G277" s="11">
        <f t="shared" si="27"/>
        <v>-16.488202884919289</v>
      </c>
    </row>
    <row r="278" spans="5:7" x14ac:dyDescent="0.25">
      <c r="E278" s="11">
        <f t="shared" si="25"/>
        <v>-144</v>
      </c>
      <c r="F278" s="11">
        <f t="shared" si="26"/>
        <v>-16.379041328103142</v>
      </c>
      <c r="G278" s="11">
        <f t="shared" si="27"/>
        <v>-16.376400005871801</v>
      </c>
    </row>
    <row r="279" spans="5:7" x14ac:dyDescent="0.25">
      <c r="E279" s="11">
        <f t="shared" si="25"/>
        <v>-143</v>
      </c>
      <c r="F279" s="11">
        <f t="shared" si="26"/>
        <v>-16.27945298158383</v>
      </c>
      <c r="G279" s="11">
        <f t="shared" si="27"/>
        <v>-16.264877145798845</v>
      </c>
    </row>
    <row r="280" spans="5:7" x14ac:dyDescent="0.25">
      <c r="E280" s="11">
        <f t="shared" si="25"/>
        <v>-142</v>
      </c>
      <c r="F280" s="11">
        <f t="shared" si="26"/>
        <v>-16.180750035434102</v>
      </c>
      <c r="G280" s="11">
        <f t="shared" si="27"/>
        <v>-16.153929669845898</v>
      </c>
    </row>
    <row r="281" spans="5:7" x14ac:dyDescent="0.25">
      <c r="E281" s="11">
        <f t="shared" si="25"/>
        <v>-141</v>
      </c>
      <c r="F281" s="11">
        <f t="shared" si="26"/>
        <v>-16.082901796882453</v>
      </c>
      <c r="G281" s="11">
        <f t="shared" si="27"/>
        <v>-16.04385294315842</v>
      </c>
    </row>
    <row r="282" spans="5:7" x14ac:dyDescent="0.25">
      <c r="E282" s="11">
        <f t="shared" si="25"/>
        <v>-140</v>
      </c>
      <c r="F282" s="11">
        <f t="shared" si="26"/>
        <v>-15.985871751797816</v>
      </c>
      <c r="G282" s="11">
        <f t="shared" si="27"/>
        <v>-15.934942330881876</v>
      </c>
    </row>
    <row r="283" spans="5:7" x14ac:dyDescent="0.25">
      <c r="E283" s="11">
        <f t="shared" si="25"/>
        <v>-139</v>
      </c>
      <c r="F283" s="11">
        <f t="shared" si="26"/>
        <v>-15.889617929809418</v>
      </c>
      <c r="G283" s="11">
        <f t="shared" si="27"/>
        <v>-15.827493198161735</v>
      </c>
    </row>
    <row r="284" spans="5:7" x14ac:dyDescent="0.25">
      <c r="E284" s="11">
        <f t="shared" si="25"/>
        <v>-138</v>
      </c>
      <c r="F284" s="11">
        <f t="shared" si="26"/>
        <v>-15.794093282004468</v>
      </c>
      <c r="G284" s="11">
        <f t="shared" si="27"/>
        <v>-15.721800910143459</v>
      </c>
    </row>
    <row r="285" spans="5:7" x14ac:dyDescent="0.25">
      <c r="E285" s="11">
        <f t="shared" si="25"/>
        <v>-137</v>
      </c>
      <c r="F285" s="11">
        <f t="shared" si="26"/>
        <v>-15.699246069368229</v>
      </c>
      <c r="G285" s="11">
        <f t="shared" si="27"/>
        <v>-15.618160831972517</v>
      </c>
    </row>
    <row r="286" spans="5:7" x14ac:dyDescent="0.25">
      <c r="E286" s="11">
        <f t="shared" si="25"/>
        <v>-136</v>
      </c>
      <c r="F286" s="11">
        <f t="shared" si="26"/>
        <v>-15.605020260198785</v>
      </c>
      <c r="G286" s="11">
        <f t="shared" si="27"/>
        <v>-15.516868328794372</v>
      </c>
    </row>
    <row r="287" spans="5:7" x14ac:dyDescent="0.25">
      <c r="E287" s="11">
        <f t="shared" ref="E287:E350" si="28">E80</f>
        <v>-135</v>
      </c>
      <c r="F287" s="11">
        <f t="shared" ref="F287:F350" si="29">$H$217*0+E287*$I$217+E287^2*$J$217+E287^3*$K$217+E287^4*$L$217+E287^5*$M$217+E287^6*$N$217+E287^7*$O$217+E287^8*$P$217</f>
        <v>-15.511355934732023</v>
      </c>
      <c r="G287" s="11">
        <f t="shared" ref="G287:G350" si="30">F80</f>
        <v>-15.418218765754487</v>
      </c>
    </row>
    <row r="288" spans="5:7" x14ac:dyDescent="0.25">
      <c r="E288" s="11">
        <f t="shared" si="28"/>
        <v>-134</v>
      </c>
      <c r="F288" s="11">
        <f t="shared" si="29"/>
        <v>-15.418189695315959</v>
      </c>
      <c r="G288" s="11">
        <f t="shared" si="30"/>
        <v>-15.322417124550444</v>
      </c>
    </row>
    <row r="289" spans="5:7" x14ac:dyDescent="0.25">
      <c r="E289" s="11">
        <f t="shared" si="28"/>
        <v>-133</v>
      </c>
      <c r="F289" s="11">
        <f t="shared" si="29"/>
        <v>-15.325455080489505</v>
      </c>
      <c r="G289" s="11">
        <f t="shared" si="30"/>
        <v>-15.229306853088254</v>
      </c>
    </row>
    <row r="290" spans="5:7" x14ac:dyDescent="0.25">
      <c r="E290" s="11">
        <f t="shared" si="28"/>
        <v>-132</v>
      </c>
      <c r="F290" s="11">
        <f t="shared" si="29"/>
        <v>-15.23308298138403</v>
      </c>
      <c r="G290" s="11">
        <f t="shared" si="30"/>
        <v>-15.138641015826042</v>
      </c>
    </row>
    <row r="291" spans="5:7" x14ac:dyDescent="0.25">
      <c r="E291" s="11">
        <f t="shared" si="28"/>
        <v>-131</v>
      </c>
      <c r="F291" s="11">
        <f t="shared" si="29"/>
        <v>-15.141002058918644</v>
      </c>
      <c r="G291" s="11">
        <f t="shared" si="30"/>
        <v>-15.050172677221935</v>
      </c>
    </row>
    <row r="292" spans="5:7" x14ac:dyDescent="0.25">
      <c r="E292" s="11">
        <f t="shared" si="28"/>
        <v>-130</v>
      </c>
      <c r="F292" s="11">
        <f t="shared" si="29"/>
        <v>-15.0491391603083</v>
      </c>
      <c r="G292" s="11">
        <f t="shared" si="30"/>
        <v>-14.963654901734058</v>
      </c>
    </row>
    <row r="293" spans="5:7" x14ac:dyDescent="0.25">
      <c r="E293" s="11">
        <f t="shared" si="28"/>
        <v>-129</v>
      </c>
      <c r="F293" s="11">
        <f t="shared" si="29"/>
        <v>-14.957419733447523</v>
      </c>
      <c r="G293" s="11">
        <f t="shared" si="30"/>
        <v>-14.878840753820537</v>
      </c>
    </row>
    <row r="294" spans="5:7" x14ac:dyDescent="0.25">
      <c r="E294" s="11">
        <f t="shared" si="28"/>
        <v>-128</v>
      </c>
      <c r="F294" s="11">
        <f t="shared" si="29"/>
        <v>-14.865768237805156</v>
      </c>
      <c r="G294" s="11">
        <f t="shared" si="30"/>
        <v>-14.795483297939498</v>
      </c>
    </row>
    <row r="295" spans="5:7" x14ac:dyDescent="0.25">
      <c r="E295" s="11">
        <f t="shared" si="28"/>
        <v>-127</v>
      </c>
      <c r="F295" s="11">
        <f t="shared" si="29"/>
        <v>-14.774108550483689</v>
      </c>
      <c r="G295" s="11">
        <f t="shared" si="30"/>
        <v>-14.713335598549062</v>
      </c>
    </row>
    <row r="296" spans="5:7" x14ac:dyDescent="0.25">
      <c r="E296" s="11">
        <f t="shared" si="28"/>
        <v>-126</v>
      </c>
      <c r="F296" s="11">
        <f t="shared" si="29"/>
        <v>-14.682364366183862</v>
      </c>
      <c r="G296" s="11">
        <f t="shared" si="30"/>
        <v>-14.632150720107362</v>
      </c>
    </row>
    <row r="297" spans="5:7" x14ac:dyDescent="0.25">
      <c r="E297" s="11">
        <f t="shared" si="28"/>
        <v>-125</v>
      </c>
      <c r="F297" s="11">
        <f t="shared" si="29"/>
        <v>-14.590459589835788</v>
      </c>
      <c r="G297" s="11">
        <f t="shared" si="30"/>
        <v>-14.551681727072513</v>
      </c>
    </row>
    <row r="298" spans="5:7" x14ac:dyDescent="0.25">
      <c r="E298" s="11">
        <f t="shared" si="28"/>
        <v>-124</v>
      </c>
      <c r="F298" s="11">
        <f t="shared" si="29"/>
        <v>-14.498318720725393</v>
      </c>
      <c r="G298" s="11">
        <f t="shared" si="30"/>
        <v>-14.471681683902649</v>
      </c>
    </row>
    <row r="299" spans="5:7" x14ac:dyDescent="0.25">
      <c r="E299" s="11">
        <f t="shared" si="28"/>
        <v>-123</v>
      </c>
      <c r="F299" s="11">
        <f t="shared" si="29"/>
        <v>-14.405867226993479</v>
      </c>
      <c r="G299" s="11">
        <f t="shared" si="30"/>
        <v>-14.391903655055893</v>
      </c>
    </row>
    <row r="300" spans="5:7" x14ac:dyDescent="0.25">
      <c r="E300" s="11">
        <f t="shared" si="28"/>
        <v>-122</v>
      </c>
      <c r="F300" s="11">
        <f t="shared" si="29"/>
        <v>-14.313031909432596</v>
      </c>
      <c r="G300" s="11">
        <f t="shared" si="30"/>
        <v>-14.312100704990369</v>
      </c>
    </row>
    <row r="301" spans="5:7" x14ac:dyDescent="0.25">
      <c r="E301" s="11">
        <f t="shared" si="28"/>
        <v>-121</v>
      </c>
      <c r="F301" s="11">
        <f t="shared" si="29"/>
        <v>-14.219741253555739</v>
      </c>
      <c r="G301" s="11">
        <f t="shared" si="30"/>
        <v>-14.232025898164203</v>
      </c>
    </row>
    <row r="302" spans="5:7" x14ac:dyDescent="0.25">
      <c r="E302" s="11">
        <f t="shared" si="28"/>
        <v>-120</v>
      </c>
      <c r="F302" s="11">
        <f t="shared" si="29"/>
        <v>-14.125925768973943</v>
      </c>
      <c r="G302" s="11">
        <f t="shared" si="30"/>
        <v>-14.151432299035521</v>
      </c>
    </row>
    <row r="303" spans="5:7" x14ac:dyDescent="0.25">
      <c r="E303" s="11">
        <f t="shared" si="28"/>
        <v>-119</v>
      </c>
      <c r="F303" s="11">
        <f t="shared" si="29"/>
        <v>-14.03151831515072</v>
      </c>
      <c r="G303" s="11">
        <f t="shared" si="30"/>
        <v>-14.070072972062448</v>
      </c>
    </row>
    <row r="304" spans="5:7" x14ac:dyDescent="0.25">
      <c r="E304" s="11">
        <f t="shared" si="28"/>
        <v>-118</v>
      </c>
      <c r="F304" s="11">
        <f t="shared" si="29"/>
        <v>-13.936454412673207</v>
      </c>
      <c r="G304" s="11">
        <f t="shared" si="30"/>
        <v>-13.98770098170311</v>
      </c>
    </row>
    <row r="305" spans="5:7" x14ac:dyDescent="0.25">
      <c r="E305" s="11">
        <f t="shared" si="28"/>
        <v>-117</v>
      </c>
      <c r="F305" s="11">
        <f t="shared" si="29"/>
        <v>-13.840672539217806</v>
      </c>
      <c r="G305" s="11">
        <f t="shared" si="30"/>
        <v>-13.904069392415629</v>
      </c>
    </row>
    <row r="306" spans="5:7" x14ac:dyDescent="0.25">
      <c r="E306" s="11">
        <f t="shared" si="28"/>
        <v>-116</v>
      </c>
      <c r="F306" s="11">
        <f t="shared" si="29"/>
        <v>-13.744114409438666</v>
      </c>
      <c r="G306" s="11">
        <f t="shared" si="30"/>
        <v>-13.818931268658137</v>
      </c>
    </row>
    <row r="307" spans="5:7" x14ac:dyDescent="0.25">
      <c r="E307" s="11">
        <f t="shared" si="28"/>
        <v>-115</v>
      </c>
      <c r="F307" s="11">
        <f t="shared" si="29"/>
        <v>-13.646725238068669</v>
      </c>
      <c r="G307" s="11">
        <f t="shared" si="30"/>
        <v>-13.732039674888751</v>
      </c>
    </row>
    <row r="308" spans="5:7" x14ac:dyDescent="0.25">
      <c r="E308" s="11">
        <f t="shared" si="28"/>
        <v>-114</v>
      </c>
      <c r="F308" s="11">
        <f t="shared" si="29"/>
        <v>-13.548453985562482</v>
      </c>
      <c r="G308" s="11">
        <f t="shared" si="30"/>
        <v>-13.643147675565604</v>
      </c>
    </row>
    <row r="309" spans="5:7" x14ac:dyDescent="0.25">
      <c r="E309" s="11">
        <f t="shared" si="28"/>
        <v>-113</v>
      </c>
      <c r="F309" s="11">
        <f t="shared" si="29"/>
        <v>-13.449253585667734</v>
      </c>
      <c r="G309" s="11">
        <f t="shared" si="30"/>
        <v>-13.552008335146816</v>
      </c>
    </row>
    <row r="310" spans="5:7" x14ac:dyDescent="0.25">
      <c r="E310" s="11">
        <f t="shared" si="28"/>
        <v>-112</v>
      </c>
      <c r="F310" s="11">
        <f t="shared" si="29"/>
        <v>-13.349081154360356</v>
      </c>
      <c r="G310" s="11">
        <f t="shared" si="30"/>
        <v>-13.458374718090516</v>
      </c>
    </row>
    <row r="311" spans="5:7" x14ac:dyDescent="0.25">
      <c r="E311" s="11">
        <f t="shared" si="28"/>
        <v>-111</v>
      </c>
      <c r="F311" s="11">
        <f t="shared" si="29"/>
        <v>-13.247898179629669</v>
      </c>
      <c r="G311" s="11">
        <f t="shared" si="30"/>
        <v>-13.361999888854829</v>
      </c>
    </row>
    <row r="312" spans="5:7" x14ac:dyDescent="0.25">
      <c r="E312" s="11">
        <f t="shared" si="28"/>
        <v>-110</v>
      </c>
      <c r="F312" s="11">
        <f t="shared" si="29"/>
        <v>-13.145670691654367</v>
      </c>
      <c r="G312" s="11">
        <f t="shared" si="30"/>
        <v>-13.262636911897877</v>
      </c>
    </row>
    <row r="313" spans="5:7" x14ac:dyDescent="0.25">
      <c r="E313" s="11">
        <f t="shared" si="28"/>
        <v>-109</v>
      </c>
      <c r="F313" s="11">
        <f t="shared" si="29"/>
        <v>-13.042369412951295</v>
      </c>
      <c r="G313" s="11">
        <f t="shared" si="30"/>
        <v>-13.160107382361836</v>
      </c>
    </row>
    <row r="314" spans="5:7" x14ac:dyDescent="0.25">
      <c r="E314" s="11">
        <f t="shared" si="28"/>
        <v>-108</v>
      </c>
      <c r="F314" s="11">
        <f t="shared" si="29"/>
        <v>-12.937969888145101</v>
      </c>
      <c r="G314" s="11">
        <f t="shared" si="30"/>
        <v>-13.054507018125094</v>
      </c>
    </row>
    <row r="315" spans="5:7" x14ac:dyDescent="0.25">
      <c r="E315" s="11">
        <f t="shared" si="28"/>
        <v>-107</v>
      </c>
      <c r="F315" s="11">
        <f t="shared" si="29"/>
        <v>-12.832452593042206</v>
      </c>
      <c r="G315" s="11">
        <f t="shared" si="30"/>
        <v>-12.94600006775007</v>
      </c>
    </row>
    <row r="316" spans="5:7" x14ac:dyDescent="0.25">
      <c r="E316" s="11">
        <f t="shared" si="28"/>
        <v>-106</v>
      </c>
      <c r="F316" s="11">
        <f t="shared" si="29"/>
        <v>-12.725803022753539</v>
      </c>
      <c r="G316" s="11">
        <f t="shared" si="30"/>
        <v>-12.834750779799204</v>
      </c>
    </row>
    <row r="317" spans="5:7" x14ac:dyDescent="0.25">
      <c r="E317" s="11">
        <f t="shared" si="28"/>
        <v>-105</v>
      </c>
      <c r="F317" s="11">
        <f t="shared" si="29"/>
        <v>-12.618011758658255</v>
      </c>
      <c r="G317" s="11">
        <f t="shared" si="30"/>
        <v>-12.72092340283492</v>
      </c>
    </row>
    <row r="318" spans="5:7" x14ac:dyDescent="0.25">
      <c r="E318" s="11">
        <f t="shared" si="28"/>
        <v>-104</v>
      </c>
      <c r="F318" s="11">
        <f t="shared" si="29"/>
        <v>-12.509074514051136</v>
      </c>
      <c r="G318" s="11">
        <f t="shared" si="30"/>
        <v>-12.604682185419652</v>
      </c>
    </row>
    <row r="319" spans="5:7" x14ac:dyDescent="0.25">
      <c r="E319" s="11">
        <f t="shared" si="28"/>
        <v>-103</v>
      </c>
      <c r="F319" s="11">
        <f t="shared" si="29"/>
        <v>-12.398992158368436</v>
      </c>
      <c r="G319" s="11">
        <f t="shared" si="30"/>
        <v>-12.486191376115833</v>
      </c>
    </row>
    <row r="320" spans="5:7" x14ac:dyDescent="0.25">
      <c r="E320" s="11">
        <f t="shared" si="28"/>
        <v>-102</v>
      </c>
      <c r="F320" s="11">
        <f t="shared" si="29"/>
        <v>-12.287770719936358</v>
      </c>
      <c r="G320" s="11">
        <f t="shared" si="30"/>
        <v>-12.365615223485886</v>
      </c>
    </row>
    <row r="321" spans="5:7" x14ac:dyDescent="0.25">
      <c r="E321" s="11">
        <f t="shared" si="28"/>
        <v>-101</v>
      </c>
      <c r="F321" s="11">
        <f t="shared" si="29"/>
        <v>-12.175421367238627</v>
      </c>
      <c r="G321" s="11">
        <f t="shared" si="30"/>
        <v>-12.243117976092247</v>
      </c>
    </row>
    <row r="322" spans="5:7" x14ac:dyDescent="0.25">
      <c r="E322" s="11">
        <f t="shared" si="28"/>
        <v>-100</v>
      </c>
      <c r="F322" s="11">
        <f t="shared" si="29"/>
        <v>-12.06196036875099</v>
      </c>
      <c r="G322" s="11">
        <f t="shared" si="30"/>
        <v>-12.118863882497346</v>
      </c>
    </row>
    <row r="323" spans="5:7" x14ac:dyDescent="0.25">
      <c r="E323" s="11">
        <f t="shared" si="28"/>
        <v>-99</v>
      </c>
      <c r="F323" s="11">
        <f t="shared" si="29"/>
        <v>-11.947409031438857</v>
      </c>
      <c r="G323" s="11">
        <f t="shared" si="30"/>
        <v>-11.993017191263609</v>
      </c>
    </row>
    <row r="324" spans="5:7" x14ac:dyDescent="0.25">
      <c r="E324" s="11">
        <f t="shared" si="28"/>
        <v>-98</v>
      </c>
      <c r="F324" s="11">
        <f t="shared" si="29"/>
        <v>-11.831793618068286</v>
      </c>
      <c r="G324" s="11">
        <f t="shared" si="30"/>
        <v>-11.865742150953473</v>
      </c>
    </row>
    <row r="325" spans="5:7" x14ac:dyDescent="0.25">
      <c r="E325" s="11">
        <f t="shared" si="28"/>
        <v>-97</v>
      </c>
      <c r="F325" s="11">
        <f t="shared" si="29"/>
        <v>-11.715145243529179</v>
      </c>
      <c r="G325" s="11">
        <f t="shared" si="30"/>
        <v>-11.737203010129367</v>
      </c>
    </row>
    <row r="326" spans="5:7" x14ac:dyDescent="0.25">
      <c r="E326" s="11">
        <f t="shared" si="28"/>
        <v>-96</v>
      </c>
      <c r="F326" s="11">
        <f t="shared" si="29"/>
        <v>-11.59749975042266</v>
      </c>
      <c r="G326" s="11">
        <f t="shared" si="30"/>
        <v>-11.607564017353718</v>
      </c>
    </row>
    <row r="327" spans="5:7" x14ac:dyDescent="0.25">
      <c r="E327" s="11">
        <f t="shared" si="28"/>
        <v>-95</v>
      </c>
      <c r="F327" s="11">
        <f t="shared" si="29"/>
        <v>-11.478897564211383</v>
      </c>
      <c r="G327" s="11">
        <f t="shared" si="30"/>
        <v>-11.476989421188961</v>
      </c>
    </row>
    <row r="328" spans="5:7" x14ac:dyDescent="0.25">
      <c r="E328" s="11">
        <f t="shared" si="28"/>
        <v>-94</v>
      </c>
      <c r="F328" s="11">
        <f t="shared" si="29"/>
        <v>-11.359383528289515</v>
      </c>
      <c r="G328" s="11">
        <f t="shared" si="30"/>
        <v>-11.345643470197523</v>
      </c>
    </row>
    <row r="329" spans="5:7" x14ac:dyDescent="0.25">
      <c r="E329" s="11">
        <f t="shared" si="28"/>
        <v>-93</v>
      </c>
      <c r="F329" s="11">
        <f t="shared" si="29"/>
        <v>-11.239006719371986</v>
      </c>
      <c r="G329" s="11">
        <f t="shared" si="30"/>
        <v>-11.213690412941837</v>
      </c>
    </row>
    <row r="330" spans="5:7" x14ac:dyDescent="0.25">
      <c r="E330" s="11">
        <f t="shared" si="28"/>
        <v>-92</v>
      </c>
      <c r="F330" s="11">
        <f t="shared" si="29"/>
        <v>-11.117820243658883</v>
      </c>
      <c r="G330" s="11">
        <f t="shared" si="30"/>
        <v>-11.081294497984331</v>
      </c>
    </row>
    <row r="331" spans="5:7" x14ac:dyDescent="0.25">
      <c r="E331" s="11">
        <f t="shared" si="28"/>
        <v>-91</v>
      </c>
      <c r="F331" s="11">
        <f t="shared" si="29"/>
        <v>-10.995881014281997</v>
      </c>
      <c r="G331" s="11">
        <f t="shared" si="30"/>
        <v>-10.948619973887435</v>
      </c>
    </row>
    <row r="332" spans="5:7" x14ac:dyDescent="0.25">
      <c r="E332" s="11">
        <f t="shared" si="28"/>
        <v>-90</v>
      </c>
      <c r="F332" s="11">
        <f t="shared" si="29"/>
        <v>-10.873249510585865</v>
      </c>
      <c r="G332" s="11">
        <f t="shared" si="30"/>
        <v>-10.815831089213585</v>
      </c>
    </row>
    <row r="333" spans="5:7" x14ac:dyDescent="0.25">
      <c r="E333" s="11">
        <f t="shared" si="28"/>
        <v>-89</v>
      </c>
      <c r="F333" s="11">
        <f t="shared" si="29"/>
        <v>-10.749989519854498</v>
      </c>
      <c r="G333" s="11">
        <f t="shared" si="30"/>
        <v>-10.683092092525207</v>
      </c>
    </row>
    <row r="334" spans="5:7" x14ac:dyDescent="0.25">
      <c r="E334" s="11">
        <f t="shared" si="28"/>
        <v>-88</v>
      </c>
      <c r="F334" s="11">
        <f t="shared" si="29"/>
        <v>-10.626167862139187</v>
      </c>
      <c r="G334" s="11">
        <f t="shared" si="30"/>
        <v>-10.550567232384731</v>
      </c>
    </row>
    <row r="335" spans="5:7" x14ac:dyDescent="0.25">
      <c r="E335" s="11">
        <f t="shared" si="28"/>
        <v>-87</v>
      </c>
      <c r="F335" s="11">
        <f t="shared" si="29"/>
        <v>-10.501854098898088</v>
      </c>
      <c r="G335" s="11">
        <f t="shared" si="30"/>
        <v>-10.418420757354589</v>
      </c>
    </row>
    <row r="336" spans="5:7" x14ac:dyDescent="0.25">
      <c r="E336" s="11">
        <f t="shared" si="28"/>
        <v>-86</v>
      </c>
      <c r="F336" s="11">
        <f t="shared" si="29"/>
        <v>-10.377120226205804</v>
      </c>
      <c r="G336" s="11">
        <f t="shared" si="30"/>
        <v>-10.286816915997214</v>
      </c>
    </row>
    <row r="337" spans="5:7" x14ac:dyDescent="0.25">
      <c r="E337" s="11">
        <f t="shared" si="28"/>
        <v>-85</v>
      </c>
      <c r="F337" s="11">
        <f t="shared" si="29"/>
        <v>-10.252040353345826</v>
      </c>
      <c r="G337" s="11">
        <f t="shared" si="30"/>
        <v>-10.155919956875032</v>
      </c>
    </row>
    <row r="338" spans="5:7" x14ac:dyDescent="0.25">
      <c r="E338" s="11">
        <f t="shared" si="28"/>
        <v>-84</v>
      </c>
      <c r="F338" s="11">
        <f t="shared" si="29"/>
        <v>-10.126690367646002</v>
      </c>
      <c r="G338" s="11">
        <f t="shared" si="30"/>
        <v>-10.025894128550476</v>
      </c>
    </row>
    <row r="339" spans="5:7" x14ac:dyDescent="0.25">
      <c r="E339" s="11">
        <f t="shared" si="28"/>
        <v>-83</v>
      </c>
      <c r="F339" s="11">
        <f t="shared" si="29"/>
        <v>-10.001147586470974</v>
      </c>
      <c r="G339" s="11">
        <f t="shared" si="30"/>
        <v>-9.8969036795859751</v>
      </c>
    </row>
    <row r="340" spans="5:7" x14ac:dyDescent="0.25">
      <c r="E340" s="11">
        <f t="shared" si="28"/>
        <v>-82</v>
      </c>
      <c r="F340" s="11">
        <f t="shared" si="29"/>
        <v>-9.8754903973345058</v>
      </c>
      <c r="G340" s="11">
        <f t="shared" si="30"/>
        <v>-9.7691128585439611</v>
      </c>
    </row>
    <row r="341" spans="5:7" x14ac:dyDescent="0.25">
      <c r="E341" s="11">
        <f t="shared" si="28"/>
        <v>-81</v>
      </c>
      <c r="F341" s="11">
        <f t="shared" si="29"/>
        <v>-9.7497978871459452</v>
      </c>
      <c r="G341" s="11">
        <f t="shared" si="30"/>
        <v>-9.642685913986865</v>
      </c>
    </row>
    <row r="342" spans="5:7" x14ac:dyDescent="0.25">
      <c r="E342" s="11">
        <f t="shared" si="28"/>
        <v>-80</v>
      </c>
      <c r="F342" s="11">
        <f t="shared" si="29"/>
        <v>-9.6241494616578827</v>
      </c>
      <c r="G342" s="11">
        <f t="shared" si="30"/>
        <v>-9.5177870944771161</v>
      </c>
    </row>
    <row r="343" spans="5:7" x14ac:dyDescent="0.25">
      <c r="E343" s="11">
        <f t="shared" si="28"/>
        <v>-79</v>
      </c>
      <c r="F343" s="11">
        <f t="shared" si="29"/>
        <v>-9.4986244562298197</v>
      </c>
      <c r="G343" s="11">
        <f t="shared" si="30"/>
        <v>-9.3945420142617415</v>
      </c>
    </row>
    <row r="344" spans="5:7" x14ac:dyDescent="0.25">
      <c r="E344" s="11">
        <f t="shared" si="28"/>
        <v>-78</v>
      </c>
      <c r="F344" s="11">
        <f t="shared" si="29"/>
        <v>-9.3733017390760924</v>
      </c>
      <c r="G344" s="11">
        <f t="shared" si="30"/>
        <v>-9.2729217503261445</v>
      </c>
    </row>
    <row r="345" spans="5:7" x14ac:dyDescent="0.25">
      <c r="E345" s="11">
        <f t="shared" si="28"/>
        <v>-77</v>
      </c>
      <c r="F345" s="11">
        <f t="shared" si="29"/>
        <v>-9.248259308216177</v>
      </c>
      <c r="G345" s="11">
        <f t="shared" si="30"/>
        <v>-9.1528587453403301</v>
      </c>
    </row>
    <row r="346" spans="5:7" x14ac:dyDescent="0.25">
      <c r="E346" s="11">
        <f t="shared" si="28"/>
        <v>-76</v>
      </c>
      <c r="F346" s="11">
        <f t="shared" si="29"/>
        <v>-9.1235738833966558</v>
      </c>
      <c r="G346" s="11">
        <f t="shared" si="30"/>
        <v>-9.0342854419742977</v>
      </c>
    </row>
    <row r="347" spans="5:7" x14ac:dyDescent="0.25">
      <c r="E347" s="11">
        <f t="shared" si="28"/>
        <v>-75</v>
      </c>
      <c r="F347" s="11">
        <f t="shared" si="29"/>
        <v>-8.9993204943045484</v>
      </c>
      <c r="G347" s="11">
        <f t="shared" si="30"/>
        <v>-8.9171342828980524</v>
      </c>
    </row>
    <row r="348" spans="5:7" x14ac:dyDescent="0.25">
      <c r="E348" s="11">
        <f t="shared" si="28"/>
        <v>-74</v>
      </c>
      <c r="F348" s="11">
        <f t="shared" si="29"/>
        <v>-8.8755720664441835</v>
      </c>
      <c r="G348" s="11">
        <f t="shared" si="30"/>
        <v>-8.8013377107815938</v>
      </c>
    </row>
    <row r="349" spans="5:7" x14ac:dyDescent="0.25">
      <c r="E349" s="11">
        <f t="shared" si="28"/>
        <v>-73</v>
      </c>
      <c r="F349" s="11">
        <f t="shared" si="29"/>
        <v>-8.7523990060983969</v>
      </c>
      <c r="G349" s="11">
        <f t="shared" si="30"/>
        <v>-8.6868281682949213</v>
      </c>
    </row>
    <row r="350" spans="5:7" x14ac:dyDescent="0.25">
      <c r="E350" s="11">
        <f t="shared" si="28"/>
        <v>-72</v>
      </c>
      <c r="F350" s="11">
        <f t="shared" si="29"/>
        <v>-8.6298687858477585</v>
      </c>
      <c r="G350" s="11">
        <f t="shared" si="30"/>
        <v>-8.57353809810804</v>
      </c>
    </row>
    <row r="351" spans="5:7" x14ac:dyDescent="0.25">
      <c r="E351" s="11">
        <f t="shared" ref="E351:E414" si="31">E144</f>
        <v>-71</v>
      </c>
      <c r="F351" s="11">
        <f t="shared" ref="F351:F414" si="32">$H$217*0+E351*$I$217+E351^2*$J$217+E351^3*$K$217+E351^4*$L$217+E351^5*$M$217+E351^6*$N$217+E351^7*$O$217+E351^8*$P$217</f>
        <v>-8.5080455321716446</v>
      </c>
      <c r="G351" s="11">
        <f t="shared" ref="G351:G414" si="33">F144</f>
        <v>-8.4613999428909494</v>
      </c>
    </row>
    <row r="352" spans="5:7" x14ac:dyDescent="0.25">
      <c r="E352" s="11">
        <f t="shared" si="31"/>
        <v>-70</v>
      </c>
      <c r="F352" s="11">
        <f t="shared" si="32"/>
        <v>-8.3869896167055664</v>
      </c>
      <c r="G352" s="11">
        <f t="shared" si="33"/>
        <v>-8.3503461453136545</v>
      </c>
    </row>
    <row r="353" spans="5:7" x14ac:dyDescent="0.25">
      <c r="E353" s="11">
        <f t="shared" si="31"/>
        <v>-69</v>
      </c>
      <c r="F353" s="11">
        <f t="shared" si="32"/>
        <v>-8.266757252781014</v>
      </c>
      <c r="G353" s="11">
        <f t="shared" si="33"/>
        <v>-8.240309148046153</v>
      </c>
    </row>
    <row r="354" spans="5:7" x14ac:dyDescent="0.25">
      <c r="E354" s="11">
        <f t="shared" si="31"/>
        <v>-68</v>
      </c>
      <c r="F354" s="11">
        <f t="shared" si="32"/>
        <v>-8.1474000989240043</v>
      </c>
      <c r="G354" s="11">
        <f t="shared" si="33"/>
        <v>-8.1312213937584481</v>
      </c>
    </row>
    <row r="355" spans="5:7" x14ac:dyDescent="0.25">
      <c r="E355" s="11">
        <f t="shared" si="31"/>
        <v>-67</v>
      </c>
      <c r="F355" s="11">
        <f t="shared" si="32"/>
        <v>-8.0289648710405075</v>
      </c>
      <c r="G355" s="11">
        <f t="shared" si="33"/>
        <v>-8.0230153251205412</v>
      </c>
    </row>
    <row r="356" spans="5:7" x14ac:dyDescent="0.25">
      <c r="E356" s="11">
        <f t="shared" si="31"/>
        <v>-66</v>
      </c>
      <c r="F356" s="11">
        <f t="shared" si="32"/>
        <v>-7.9114929650664134</v>
      </c>
      <c r="G356" s="11">
        <f t="shared" si="33"/>
        <v>-7.9156233848024353</v>
      </c>
    </row>
    <row r="357" spans="5:7" x14ac:dyDescent="0.25">
      <c r="E357" s="11">
        <f t="shared" si="31"/>
        <v>-65</v>
      </c>
      <c r="F357" s="11">
        <f t="shared" si="32"/>
        <v>-7.7950200919124057</v>
      </c>
      <c r="G357" s="11">
        <f t="shared" si="33"/>
        <v>-7.808978015474132</v>
      </c>
    </row>
    <row r="358" spans="5:7" x14ac:dyDescent="0.25">
      <c r="E358" s="11">
        <f t="shared" si="31"/>
        <v>-64</v>
      </c>
      <c r="F358" s="11">
        <f t="shared" si="32"/>
        <v>-7.6795759265836212</v>
      </c>
      <c r="G358" s="11">
        <f t="shared" si="33"/>
        <v>-7.7030116598056306</v>
      </c>
    </row>
    <row r="359" spans="5:7" x14ac:dyDescent="0.25">
      <c r="E359" s="11">
        <f t="shared" si="31"/>
        <v>-63</v>
      </c>
      <c r="F359" s="11">
        <f t="shared" si="32"/>
        <v>-7.5651837734052734</v>
      </c>
      <c r="G359" s="11">
        <f t="shared" si="33"/>
        <v>-7.5976567604669363</v>
      </c>
    </row>
    <row r="360" spans="5:7" x14ac:dyDescent="0.25">
      <c r="E360" s="11">
        <f t="shared" si="31"/>
        <v>-62</v>
      </c>
      <c r="F360" s="11">
        <f t="shared" si="32"/>
        <v>-7.4518602493370425</v>
      </c>
      <c r="G360" s="11">
        <f t="shared" si="33"/>
        <v>-7.4928457601280485</v>
      </c>
    </row>
    <row r="361" spans="5:7" x14ac:dyDescent="0.25">
      <c r="E361" s="11">
        <f t="shared" si="31"/>
        <v>-61</v>
      </c>
      <c r="F361" s="11">
        <f t="shared" si="32"/>
        <v>-7.3396149874087415</v>
      </c>
      <c r="G361" s="11">
        <f t="shared" si="33"/>
        <v>-7.3885111014589686</v>
      </c>
    </row>
    <row r="362" spans="5:7" x14ac:dyDescent="0.25">
      <c r="E362" s="11">
        <f t="shared" si="31"/>
        <v>-60</v>
      </c>
      <c r="F362" s="11">
        <f t="shared" si="32"/>
        <v>-7.2284503623618539</v>
      </c>
      <c r="G362" s="11">
        <f t="shared" si="33"/>
        <v>-7.2845852271296989</v>
      </c>
    </row>
    <row r="363" spans="5:7" x14ac:dyDescent="0.25">
      <c r="E363" s="11">
        <f t="shared" si="31"/>
        <v>-59</v>
      </c>
      <c r="F363" s="11">
        <f t="shared" si="32"/>
        <v>-7.1183612406316952</v>
      </c>
      <c r="G363" s="11">
        <f t="shared" si="33"/>
        <v>-7.1810005798102434</v>
      </c>
    </row>
    <row r="364" spans="5:7" x14ac:dyDescent="0.25">
      <c r="E364" s="11">
        <f t="shared" si="31"/>
        <v>-58</v>
      </c>
      <c r="F364" s="11">
        <f t="shared" si="32"/>
        <v>-7.0093347568562381</v>
      </c>
      <c r="G364" s="11">
        <f t="shared" si="33"/>
        <v>-7.0776896021705991</v>
      </c>
    </row>
    <row r="365" spans="5:7" x14ac:dyDescent="0.25">
      <c r="E365" s="11">
        <f t="shared" si="31"/>
        <v>-57</v>
      </c>
      <c r="F365" s="11">
        <f t="shared" si="32"/>
        <v>-6.9013501191483622</v>
      </c>
      <c r="G365" s="11">
        <f t="shared" si="33"/>
        <v>-6.9745847368807716</v>
      </c>
    </row>
    <row r="366" spans="5:7" x14ac:dyDescent="0.25">
      <c r="E366" s="11">
        <f t="shared" si="31"/>
        <v>-56</v>
      </c>
      <c r="F366" s="11">
        <f t="shared" si="32"/>
        <v>-6.7943784454196789</v>
      </c>
      <c r="G366" s="11">
        <f t="shared" si="33"/>
        <v>-6.8716184266107607</v>
      </c>
    </row>
    <row r="367" spans="5:7" x14ac:dyDescent="0.25">
      <c r="E367" s="11">
        <f t="shared" si="31"/>
        <v>-55</v>
      </c>
      <c r="F367" s="11">
        <f t="shared" si="32"/>
        <v>-6.6883826330941467</v>
      </c>
      <c r="G367" s="11">
        <f t="shared" si="33"/>
        <v>-6.7687231140305686</v>
      </c>
    </row>
    <row r="368" spans="5:7" x14ac:dyDescent="0.25">
      <c r="E368" s="11">
        <f t="shared" si="31"/>
        <v>-54</v>
      </c>
      <c r="F368" s="11">
        <f t="shared" si="32"/>
        <v>-6.5833172646016207</v>
      </c>
      <c r="G368" s="11">
        <f t="shared" si="33"/>
        <v>-6.6658312418101975</v>
      </c>
    </row>
    <row r="369" spans="5:7" x14ac:dyDescent="0.25">
      <c r="E369" s="11">
        <f t="shared" si="31"/>
        <v>-53</v>
      </c>
      <c r="F369" s="11">
        <f t="shared" si="32"/>
        <v>-6.4791285510916072</v>
      </c>
      <c r="G369" s="11">
        <f t="shared" si="33"/>
        <v>-6.5628752526196488</v>
      </c>
    </row>
    <row r="370" spans="5:7" x14ac:dyDescent="0.25">
      <c r="E370" s="11">
        <f t="shared" si="31"/>
        <v>-52</v>
      </c>
      <c r="F370" s="11">
        <f t="shared" si="32"/>
        <v>-6.3757543168588935</v>
      </c>
      <c r="G370" s="11">
        <f t="shared" si="33"/>
        <v>-6.4597875891289238</v>
      </c>
    </row>
    <row r="371" spans="5:7" x14ac:dyDescent="0.25">
      <c r="E371" s="11">
        <f t="shared" si="31"/>
        <v>-51</v>
      </c>
      <c r="F371" s="11">
        <f t="shared" si="32"/>
        <v>-6.2731240270235116</v>
      </c>
      <c r="G371" s="11">
        <f t="shared" si="33"/>
        <v>-6.3565006940080249</v>
      </c>
    </row>
    <row r="372" spans="5:7" x14ac:dyDescent="0.25">
      <c r="E372" s="11">
        <f t="shared" si="31"/>
        <v>-50</v>
      </c>
      <c r="F372" s="11">
        <f t="shared" si="32"/>
        <v>-6.171158861058319</v>
      </c>
      <c r="G372" s="11">
        <f t="shared" si="33"/>
        <v>-6.2529470099269524</v>
      </c>
    </row>
    <row r="373" spans="5:7" x14ac:dyDescent="0.25">
      <c r="E373" s="11">
        <f t="shared" si="31"/>
        <v>-49</v>
      </c>
      <c r="F373" s="11">
        <f t="shared" si="32"/>
        <v>-6.0697718348085576</v>
      </c>
      <c r="G373" s="11">
        <f t="shared" si="33"/>
        <v>-6.1490589795557096</v>
      </c>
    </row>
    <row r="374" spans="5:7" x14ac:dyDescent="0.25">
      <c r="E374" s="11">
        <f t="shared" si="31"/>
        <v>-48</v>
      </c>
      <c r="F374" s="11">
        <f t="shared" si="32"/>
        <v>-5.9688679736986376</v>
      </c>
      <c r="G374" s="11">
        <f t="shared" si="33"/>
        <v>-6.0447690455642977</v>
      </c>
    </row>
    <row r="375" spans="5:7" x14ac:dyDescent="0.25">
      <c r="E375" s="11">
        <f t="shared" si="31"/>
        <v>-47</v>
      </c>
      <c r="F375" s="11">
        <f t="shared" si="32"/>
        <v>-5.8683445398723153</v>
      </c>
      <c r="G375" s="11">
        <f t="shared" si="33"/>
        <v>-5.9400096506227174</v>
      </c>
    </row>
    <row r="376" spans="5:7" x14ac:dyDescent="0.25">
      <c r="E376" s="11">
        <f t="shared" si="31"/>
        <v>-46</v>
      </c>
      <c r="F376" s="11">
        <f t="shared" si="32"/>
        <v>-5.7680913160632672</v>
      </c>
      <c r="G376" s="11">
        <f t="shared" si="33"/>
        <v>-5.8347132374009725</v>
      </c>
    </row>
    <row r="377" spans="5:7" x14ac:dyDescent="0.25">
      <c r="E377" s="11">
        <f t="shared" si="31"/>
        <v>-45</v>
      </c>
      <c r="F377" s="11">
        <f t="shared" si="32"/>
        <v>-5.6679909490442189</v>
      </c>
      <c r="G377" s="11">
        <f t="shared" si="33"/>
        <v>-5.7288122485690618</v>
      </c>
    </row>
    <row r="378" spans="5:7" x14ac:dyDescent="0.25">
      <c r="E378" s="11">
        <f t="shared" si="31"/>
        <v>-44</v>
      </c>
      <c r="F378" s="11">
        <f t="shared" si="32"/>
        <v>-5.5679193555534283</v>
      </c>
      <c r="G378" s="11">
        <f t="shared" si="33"/>
        <v>-5.6222391267969893</v>
      </c>
    </row>
    <row r="379" spans="5:7" x14ac:dyDescent="0.25">
      <c r="E379" s="11">
        <f t="shared" si="31"/>
        <v>-43</v>
      </c>
      <c r="F379" s="11">
        <f t="shared" si="32"/>
        <v>-5.4677461936485434</v>
      </c>
      <c r="G379" s="11">
        <f t="shared" si="33"/>
        <v>-5.5149263147547574</v>
      </c>
    </row>
    <row r="380" spans="5:7" x14ac:dyDescent="0.25">
      <c r="E380" s="11">
        <f t="shared" si="31"/>
        <v>-42</v>
      </c>
      <c r="F380" s="11">
        <f t="shared" si="32"/>
        <v>-5.3673354024885382</v>
      </c>
      <c r="G380" s="11">
        <f t="shared" si="33"/>
        <v>-5.4068062551123646</v>
      </c>
    </row>
    <row r="381" spans="5:7" x14ac:dyDescent="0.25">
      <c r="E381" s="11">
        <f t="shared" si="31"/>
        <v>-41</v>
      </c>
      <c r="F381" s="11">
        <f t="shared" si="32"/>
        <v>-5.2665458135954593</v>
      </c>
      <c r="G381" s="11">
        <f t="shared" si="33"/>
        <v>-5.2978113905398159</v>
      </c>
    </row>
    <row r="382" spans="5:7" x14ac:dyDescent="0.25">
      <c r="E382" s="11">
        <f t="shared" si="31"/>
        <v>-40</v>
      </c>
      <c r="F382" s="11">
        <f t="shared" si="32"/>
        <v>-5.1652318366987595</v>
      </c>
      <c r="G382" s="11">
        <f t="shared" si="33"/>
        <v>-5.18787416370711</v>
      </c>
    </row>
    <row r="383" spans="5:7" x14ac:dyDescent="0.25">
      <c r="E383" s="11">
        <f t="shared" si="31"/>
        <v>-39</v>
      </c>
      <c r="F383" s="11">
        <f t="shared" si="32"/>
        <v>-5.0632442233156283</v>
      </c>
      <c r="G383" s="11">
        <f t="shared" si="33"/>
        <v>-5.0769270172842509</v>
      </c>
    </row>
    <row r="384" spans="5:7" x14ac:dyDescent="0.25">
      <c r="E384" s="11">
        <f t="shared" si="31"/>
        <v>-38</v>
      </c>
      <c r="F384" s="11">
        <f t="shared" si="32"/>
        <v>-4.9604309112720024</v>
      </c>
      <c r="G384" s="11">
        <f t="shared" si="33"/>
        <v>-4.9649023939412409</v>
      </c>
    </row>
    <row r="385" spans="5:7" x14ac:dyDescent="0.25">
      <c r="E385" s="11">
        <f t="shared" si="31"/>
        <v>-37</v>
      </c>
      <c r="F385" s="11">
        <f t="shared" si="32"/>
        <v>-4.856637953419618</v>
      </c>
      <c r="G385" s="11">
        <f t="shared" si="33"/>
        <v>-4.8517327363480787</v>
      </c>
    </row>
    <row r="386" spans="5:7" x14ac:dyDescent="0.25">
      <c r="E386" s="11">
        <f t="shared" si="31"/>
        <v>-36</v>
      </c>
      <c r="F386" s="11">
        <f t="shared" si="32"/>
        <v>-4.7517105338554826</v>
      </c>
      <c r="G386" s="11">
        <f t="shared" si="33"/>
        <v>-4.7373504871747683</v>
      </c>
    </row>
    <row r="387" spans="5:7" x14ac:dyDescent="0.25">
      <c r="E387" s="11">
        <f t="shared" si="31"/>
        <v>-35</v>
      </c>
      <c r="F387" s="11">
        <f t="shared" si="32"/>
        <v>-4.6454940750010927</v>
      </c>
      <c r="G387" s="11">
        <f t="shared" si="33"/>
        <v>-4.6216880890913101</v>
      </c>
    </row>
    <row r="388" spans="5:7" x14ac:dyDescent="0.25">
      <c r="E388" s="11">
        <f t="shared" si="31"/>
        <v>-34</v>
      </c>
      <c r="F388" s="11">
        <f t="shared" si="32"/>
        <v>-4.5378354389496369</v>
      </c>
      <c r="G388" s="11">
        <f t="shared" si="33"/>
        <v>-4.5046956619714686</v>
      </c>
    </row>
    <row r="389" spans="5:7" x14ac:dyDescent="0.25">
      <c r="E389" s="11">
        <f t="shared" si="31"/>
        <v>-33</v>
      </c>
      <c r="F389" s="11">
        <f t="shared" si="32"/>
        <v>-4.4285842265403055</v>
      </c>
      <c r="G389" s="11">
        <f t="shared" si="33"/>
        <v>-4.3863940345040575</v>
      </c>
    </row>
    <row r="390" spans="5:7" x14ac:dyDescent="0.25">
      <c r="E390" s="11">
        <f t="shared" si="31"/>
        <v>-32</v>
      </c>
      <c r="F390" s="11">
        <f t="shared" si="32"/>
        <v>-4.3175941776698226</v>
      </c>
      <c r="G390" s="11">
        <f t="shared" si="33"/>
        <v>-4.2668217125816525</v>
      </c>
    </row>
    <row r="391" spans="5:7" x14ac:dyDescent="0.25">
      <c r="E391" s="11">
        <f t="shared" si="31"/>
        <v>-31</v>
      </c>
      <c r="F391" s="11">
        <f t="shared" si="32"/>
        <v>-4.2047246764022432</v>
      </c>
      <c r="G391" s="11">
        <f t="shared" si="33"/>
        <v>-4.1460172020968287</v>
      </c>
    </row>
    <row r="392" spans="5:7" x14ac:dyDescent="0.25">
      <c r="E392" s="11">
        <f t="shared" si="31"/>
        <v>-30</v>
      </c>
      <c r="F392" s="11">
        <f t="shared" si="32"/>
        <v>-4.0898423644888808</v>
      </c>
      <c r="G392" s="11">
        <f t="shared" si="33"/>
        <v>-4.0240190089421617</v>
      </c>
    </row>
    <row r="393" spans="5:7" x14ac:dyDescent="0.25">
      <c r="E393" s="11">
        <f t="shared" si="31"/>
        <v>-29</v>
      </c>
      <c r="F393" s="11">
        <f t="shared" si="32"/>
        <v>-3.9728228669613488</v>
      </c>
      <c r="G393" s="11">
        <f t="shared" si="33"/>
        <v>-3.9008656390102274</v>
      </c>
    </row>
    <row r="394" spans="5:7" x14ac:dyDescent="0.25">
      <c r="E394" s="11">
        <f t="shared" si="31"/>
        <v>-28</v>
      </c>
      <c r="F394" s="11">
        <f t="shared" si="32"/>
        <v>-3.8535526335114159</v>
      </c>
      <c r="G394" s="11">
        <f t="shared" si="33"/>
        <v>-3.7765955981936008</v>
      </c>
    </row>
    <row r="395" spans="5:7" x14ac:dyDescent="0.25">
      <c r="E395" s="11">
        <f t="shared" si="31"/>
        <v>-27</v>
      </c>
      <c r="F395" s="11">
        <f t="shared" si="32"/>
        <v>-3.7319308994224714</v>
      </c>
      <c r="G395" s="11">
        <f t="shared" si="33"/>
        <v>-3.6512473923848581</v>
      </c>
    </row>
    <row r="396" spans="5:7" x14ac:dyDescent="0.25">
      <c r="E396" s="11">
        <f t="shared" si="31"/>
        <v>-26</v>
      </c>
      <c r="F396" s="11">
        <f t="shared" si="32"/>
        <v>-3.6078717698682405</v>
      </c>
      <c r="G396" s="11">
        <f t="shared" si="33"/>
        <v>-3.5248595274765746</v>
      </c>
    </row>
    <row r="397" spans="5:7" x14ac:dyDescent="0.25">
      <c r="E397" s="11">
        <f t="shared" si="31"/>
        <v>-25</v>
      </c>
      <c r="F397" s="11">
        <f t="shared" si="32"/>
        <v>-3.4813064314453288</v>
      </c>
      <c r="G397" s="11">
        <f t="shared" si="33"/>
        <v>-3.3974705093613258</v>
      </c>
    </row>
    <row r="398" spans="5:7" x14ac:dyDescent="0.25">
      <c r="E398" s="11">
        <f t="shared" si="31"/>
        <v>-24</v>
      </c>
      <c r="F398" s="11">
        <f t="shared" si="32"/>
        <v>-3.3521854948571286</v>
      </c>
      <c r="G398" s="11">
        <f t="shared" si="33"/>
        <v>-3.2691188439316874</v>
      </c>
    </row>
    <row r="399" spans="5:7" x14ac:dyDescent="0.25">
      <c r="E399" s="11">
        <f t="shared" si="31"/>
        <v>-23</v>
      </c>
      <c r="F399" s="11">
        <f t="shared" si="32"/>
        <v>-3.2204814727175126</v>
      </c>
      <c r="G399" s="11">
        <f t="shared" si="33"/>
        <v>-3.1398430370802348</v>
      </c>
    </row>
    <row r="400" spans="5:7" x14ac:dyDescent="0.25">
      <c r="E400" s="11">
        <f t="shared" si="31"/>
        <v>-22</v>
      </c>
      <c r="F400" s="11">
        <f t="shared" si="32"/>
        <v>-3.0861913964937173</v>
      </c>
      <c r="G400" s="11">
        <f t="shared" si="33"/>
        <v>-3.0096815946995434</v>
      </c>
    </row>
    <row r="401" spans="5:7" x14ac:dyDescent="0.25">
      <c r="E401" s="11">
        <f t="shared" si="31"/>
        <v>-21</v>
      </c>
      <c r="F401" s="11">
        <f t="shared" si="32"/>
        <v>-2.9493395766586761</v>
      </c>
      <c r="G401" s="11">
        <f t="shared" si="33"/>
        <v>-2.8786730226821904</v>
      </c>
    </row>
    <row r="402" spans="5:7" x14ac:dyDescent="0.25">
      <c r="E402" s="11">
        <f t="shared" si="31"/>
        <v>-20</v>
      </c>
      <c r="F402" s="11">
        <f t="shared" si="32"/>
        <v>-2.8099805101740758</v>
      </c>
      <c r="G402" s="11">
        <f t="shared" si="33"/>
        <v>-2.7468558269207493</v>
      </c>
    </row>
    <row r="403" spans="5:7" x14ac:dyDescent="0.25">
      <c r="E403" s="11">
        <f t="shared" si="31"/>
        <v>-19</v>
      </c>
      <c r="F403" s="11">
        <f t="shared" si="32"/>
        <v>-2.6682019394762611</v>
      </c>
      <c r="G403" s="11">
        <f t="shared" si="33"/>
        <v>-2.6142685133077963</v>
      </c>
    </row>
    <row r="404" spans="5:7" x14ac:dyDescent="0.25">
      <c r="E404" s="11">
        <f t="shared" si="31"/>
        <v>-18</v>
      </c>
      <c r="F404" s="11">
        <f t="shared" si="32"/>
        <v>-2.5241280671880975</v>
      </c>
      <c r="G404" s="11">
        <f t="shared" si="33"/>
        <v>-2.4809495877359078</v>
      </c>
    </row>
    <row r="405" spans="5:7" x14ac:dyDescent="0.25">
      <c r="E405" s="11">
        <f t="shared" si="31"/>
        <v>-17</v>
      </c>
      <c r="F405" s="11">
        <f t="shared" si="32"/>
        <v>-2.377922930830791</v>
      </c>
      <c r="G405" s="11">
        <f t="shared" si="33"/>
        <v>-2.3469375560976582</v>
      </c>
    </row>
    <row r="406" spans="5:7" x14ac:dyDescent="0.25">
      <c r="E406" s="11">
        <f t="shared" si="31"/>
        <v>-16</v>
      </c>
      <c r="F406" s="11">
        <f t="shared" si="32"/>
        <v>-2.2297939418606156</v>
      </c>
      <c r="G406" s="11">
        <f t="shared" si="33"/>
        <v>-2.2122709242856238</v>
      </c>
    </row>
    <row r="407" spans="5:7" x14ac:dyDescent="0.25">
      <c r="E407" s="11">
        <f t="shared" si="31"/>
        <v>-15</v>
      </c>
      <c r="F407" s="11">
        <f t="shared" si="32"/>
        <v>-2.079995593406426</v>
      </c>
      <c r="G407" s="11">
        <f t="shared" si="33"/>
        <v>-2.0769881981923799</v>
      </c>
    </row>
    <row r="408" spans="5:7" x14ac:dyDescent="0.25">
      <c r="E408" s="11">
        <f t="shared" si="31"/>
        <v>-14</v>
      </c>
      <c r="F408" s="11">
        <f t="shared" si="32"/>
        <v>-1.9288333411347456</v>
      </c>
      <c r="G408" s="11">
        <f t="shared" si="33"/>
        <v>-1.9411278837105026</v>
      </c>
    </row>
    <row r="409" spans="5:7" x14ac:dyDescent="0.25">
      <c r="E409" s="11">
        <f t="shared" si="31"/>
        <v>-13</v>
      </c>
      <c r="F409" s="11">
        <f t="shared" si="32"/>
        <v>-1.7766676617201624</v>
      </c>
      <c r="G409" s="11">
        <f t="shared" si="33"/>
        <v>-1.8047284867325672</v>
      </c>
    </row>
    <row r="410" spans="5:7" x14ac:dyDescent="0.25">
      <c r="E410" s="11">
        <f t="shared" si="31"/>
        <v>-12</v>
      </c>
      <c r="F410" s="11">
        <f t="shared" si="32"/>
        <v>-1.6239182934496998</v>
      </c>
      <c r="G410" s="11">
        <f t="shared" si="33"/>
        <v>-1.6678285131511488</v>
      </c>
    </row>
    <row r="411" spans="5:7" x14ac:dyDescent="0.25">
      <c r="E411" s="11">
        <f t="shared" si="31"/>
        <v>-11</v>
      </c>
      <c r="F411" s="11">
        <f t="shared" si="32"/>
        <v>-1.4710686635407302</v>
      </c>
      <c r="G411" s="11">
        <f t="shared" si="33"/>
        <v>-1.5304664688588234</v>
      </c>
    </row>
    <row r="412" spans="5:7" x14ac:dyDescent="0.25">
      <c r="E412" s="11">
        <f t="shared" si="31"/>
        <v>-10</v>
      </c>
      <c r="F412" s="11">
        <f t="shared" si="32"/>
        <v>-1.3186705068029618</v>
      </c>
      <c r="G412" s="11">
        <f t="shared" si="33"/>
        <v>-1.3926808597481668</v>
      </c>
    </row>
    <row r="413" spans="5:7" x14ac:dyDescent="0.25">
      <c r="E413" s="11">
        <f t="shared" si="31"/>
        <v>-9</v>
      </c>
      <c r="F413" s="11">
        <f t="shared" si="32"/>
        <v>-1.1673486803259336</v>
      </c>
      <c r="G413" s="11">
        <f t="shared" si="33"/>
        <v>-1.2545101917117545</v>
      </c>
    </row>
    <row r="414" spans="5:7" x14ac:dyDescent="0.25">
      <c r="E414" s="11">
        <f t="shared" si="31"/>
        <v>-8</v>
      </c>
      <c r="F414" s="11">
        <f t="shared" si="32"/>
        <v>-1.0178061789243897</v>
      </c>
      <c r="G414" s="11">
        <f t="shared" si="33"/>
        <v>-1.1159929706421616</v>
      </c>
    </row>
    <row r="415" spans="5:7" x14ac:dyDescent="0.25">
      <c r="E415" s="11">
        <f t="shared" ref="E415:E422" si="34">E208</f>
        <v>-7</v>
      </c>
      <c r="F415" s="11">
        <f t="shared" ref="F415:F422" si="35">$H$217*0+E415*$I$217+E415^2*$J$217+E415^3*$K$217+E415^4*$L$217+E415^5*$M$217+E415^6*$N$217+E415^7*$O$217+E415^8*$P$217</f>
        <v>-0.87082935612483592</v>
      </c>
      <c r="G415" s="11">
        <f t="shared" ref="G415:G422" si="36">F208</f>
        <v>-0.97716770243196416</v>
      </c>
    </row>
    <row r="416" spans="5:7" x14ac:dyDescent="0.25">
      <c r="E416" s="11">
        <f t="shared" si="34"/>
        <v>-6</v>
      </c>
      <c r="F416" s="11">
        <f t="shared" si="35"/>
        <v>-0.72729335552750496</v>
      </c>
      <c r="G416" s="11">
        <f t="shared" si="36"/>
        <v>-0.83807289297373755</v>
      </c>
    </row>
    <row r="417" spans="5:7" x14ac:dyDescent="0.25">
      <c r="E417" s="11">
        <f t="shared" si="34"/>
        <v>-5</v>
      </c>
      <c r="F417" s="11">
        <f t="shared" si="35"/>
        <v>-0.58816775742888538</v>
      </c>
      <c r="G417" s="11">
        <f t="shared" si="36"/>
        <v>-0.6987470481600575</v>
      </c>
    </row>
    <row r="418" spans="5:7" x14ac:dyDescent="0.25">
      <c r="E418" s="11">
        <f t="shared" si="34"/>
        <v>-4</v>
      </c>
      <c r="F418" s="11">
        <f t="shared" si="35"/>
        <v>-0.4545224456409</v>
      </c>
      <c r="G418" s="11">
        <f t="shared" si="36"/>
        <v>-0.55922867388349951</v>
      </c>
    </row>
    <row r="419" spans="5:7" x14ac:dyDescent="0.25">
      <c r="E419" s="11">
        <f t="shared" si="34"/>
        <v>-3</v>
      </c>
      <c r="F419" s="11">
        <f t="shared" si="35"/>
        <v>-0.32753369949375005</v>
      </c>
      <c r="G419" s="11">
        <f t="shared" si="36"/>
        <v>-0.4195562760366392</v>
      </c>
    </row>
    <row r="420" spans="5:7" x14ac:dyDescent="0.25">
      <c r="E420" s="11">
        <f t="shared" si="34"/>
        <v>-2</v>
      </c>
      <c r="F420" s="11">
        <f t="shared" si="35"/>
        <v>-0.20849051606036081</v>
      </c>
      <c r="G420" s="11">
        <f t="shared" si="36"/>
        <v>-0.27976836051205206</v>
      </c>
    </row>
    <row r="421" spans="5:7" x14ac:dyDescent="0.25">
      <c r="E421" s="11">
        <f t="shared" si="34"/>
        <v>-1</v>
      </c>
      <c r="F421" s="11">
        <f t="shared" si="35"/>
        <v>-9.8801167691305397E-2</v>
      </c>
      <c r="G421" s="11">
        <f t="shared" si="36"/>
        <v>-0.13990343320231383</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2022-01-12T20:50:26Z</dcterms:modified>
</cp:coreProperties>
</file>