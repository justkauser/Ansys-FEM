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C403" i="43"/>
  <c r="G403" i="43"/>
  <c r="B403" i="43"/>
  <c r="H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H434" i="43" l="1"/>
  <c r="H418" i="43"/>
  <c r="H415" i="43"/>
  <c r="H410" i="43"/>
  <c r="H424" i="43"/>
  <c r="H405" i="43"/>
  <c r="H413" i="43"/>
  <c r="H409" i="43"/>
  <c r="H421" i="43"/>
  <c r="H433" i="43"/>
  <c r="H426" i="43"/>
  <c r="H408" i="43"/>
  <c r="H420" i="43"/>
  <c r="H417" i="43"/>
  <c r="H414" i="43"/>
  <c r="H430" i="43"/>
  <c r="H423" i="43"/>
  <c r="H416" i="43"/>
  <c r="H404" i="43"/>
  <c r="H427" i="43"/>
  <c r="H422" i="43"/>
  <c r="H428" i="43"/>
  <c r="H432" i="43"/>
  <c r="H412" i="43"/>
  <c r="H425" i="43"/>
  <c r="H407" i="43"/>
  <c r="H419" i="43"/>
  <c r="H431" i="43"/>
  <c r="H411" i="43"/>
  <c r="H429" i="43"/>
  <c r="H406" i="43"/>
  <c r="D406" i="43"/>
  <c r="D417" i="43"/>
  <c r="D419" i="43"/>
  <c r="D426" i="43"/>
  <c r="D430" i="43"/>
  <c r="D404" i="43"/>
  <c r="D434" i="43"/>
  <c r="D407" i="43"/>
  <c r="D414" i="43"/>
  <c r="D425" i="43"/>
  <c r="D429" i="43"/>
  <c r="D411" i="43"/>
  <c r="D416" i="43"/>
  <c r="D423" i="43"/>
  <c r="D428" i="43"/>
  <c r="D427" i="43"/>
  <c r="D432" i="43"/>
  <c r="D409" i="43"/>
  <c r="D421" i="43"/>
  <c r="D418" i="43"/>
  <c r="D410" i="43"/>
  <c r="D412" i="43"/>
  <c r="D420" i="43"/>
  <c r="D422" i="43"/>
  <c r="D431" i="43"/>
  <c r="D405" i="43"/>
  <c r="D408" i="43"/>
  <c r="D413" i="43"/>
  <c r="D415" i="43"/>
  <c r="D424" i="43"/>
  <c r="D433" i="43"/>
  <c r="B405" i="43"/>
  <c r="B424" i="43"/>
  <c r="B425" i="43"/>
  <c r="B413" i="43"/>
  <c r="B414" i="43"/>
  <c r="B408" i="43"/>
  <c r="B410" i="43"/>
  <c r="B407" i="43"/>
  <c r="B431" i="43"/>
  <c r="B427" i="43"/>
  <c r="B420" i="43"/>
  <c r="B415" i="43"/>
  <c r="B417" i="43"/>
  <c r="B409" i="43"/>
  <c r="B406" i="43"/>
  <c r="B429" i="43"/>
  <c r="B411" i="43"/>
  <c r="B416" i="43"/>
  <c r="B432" i="43"/>
  <c r="B404" i="43"/>
  <c r="B428" i="43"/>
  <c r="B434" i="43"/>
  <c r="B430" i="43"/>
  <c r="B423" i="43"/>
  <c r="B418" i="43"/>
  <c r="B419" i="43"/>
  <c r="B433" i="43"/>
  <c r="B426" i="43"/>
  <c r="B421" i="43"/>
  <c r="B422" i="43"/>
  <c r="B412" i="43"/>
  <c r="G410" i="43"/>
  <c r="G413" i="43"/>
  <c r="G431" i="43"/>
  <c r="G416" i="43"/>
  <c r="G434" i="43"/>
  <c r="G428" i="43"/>
  <c r="G429" i="43"/>
  <c r="G411" i="43"/>
  <c r="G427" i="43"/>
  <c r="G409" i="43"/>
  <c r="G423" i="43"/>
  <c r="G405" i="43"/>
  <c r="G407" i="43"/>
  <c r="G418" i="43"/>
  <c r="G422" i="43"/>
  <c r="G426" i="43"/>
  <c r="G408" i="43"/>
  <c r="G424" i="43"/>
  <c r="G404" i="43"/>
  <c r="G406" i="43"/>
  <c r="G419" i="43"/>
  <c r="G421" i="43"/>
  <c r="G420" i="43"/>
  <c r="G417" i="43"/>
  <c r="G433" i="43"/>
  <c r="G415" i="43"/>
  <c r="G425" i="43"/>
  <c r="G432" i="43"/>
  <c r="G414" i="43"/>
  <c r="G430" i="43"/>
  <c r="G412" i="43"/>
  <c r="C406" i="43"/>
  <c r="C423" i="43"/>
  <c r="C428" i="43"/>
  <c r="C404" i="43"/>
  <c r="C434" i="43"/>
  <c r="C425" i="43"/>
  <c r="C420" i="43"/>
  <c r="C409" i="43"/>
  <c r="C421" i="43"/>
  <c r="C427" i="43"/>
  <c r="C429" i="43"/>
  <c r="C410" i="43"/>
  <c r="C422" i="43"/>
  <c r="C407" i="43"/>
  <c r="C414" i="43"/>
  <c r="C418" i="43"/>
  <c r="C432" i="43"/>
  <c r="C412" i="43"/>
  <c r="C431" i="43"/>
  <c r="C405" i="43"/>
  <c r="C408" i="43"/>
  <c r="C415" i="43"/>
  <c r="C424" i="43"/>
  <c r="C433" i="43"/>
  <c r="C417" i="43"/>
  <c r="C419" i="43"/>
  <c r="C426" i="43"/>
  <c r="C430" i="43"/>
  <c r="C413" i="43"/>
  <c r="C411" i="43"/>
  <c r="C416" i="43"/>
  <c r="E405" i="43"/>
  <c r="E408" i="43"/>
  <c r="E413" i="43"/>
  <c r="E415" i="43"/>
  <c r="E424" i="43"/>
  <c r="E433" i="43"/>
  <c r="E430" i="43"/>
  <c r="E423" i="43"/>
  <c r="E434" i="43"/>
  <c r="E406" i="43"/>
  <c r="E417" i="43"/>
  <c r="E419" i="43"/>
  <c r="E426" i="43"/>
  <c r="E404" i="43"/>
  <c r="E411" i="43"/>
  <c r="E416" i="43"/>
  <c r="E418" i="43"/>
  <c r="E425" i="43"/>
  <c r="E427" i="43"/>
  <c r="E429" i="43"/>
  <c r="E410" i="43"/>
  <c r="E420" i="43"/>
  <c r="E422" i="43"/>
  <c r="E431" i="43"/>
  <c r="E432" i="43"/>
  <c r="E412" i="43"/>
  <c r="E421" i="43"/>
  <c r="E409" i="43"/>
  <c r="E407" i="43"/>
  <c r="E428" i="43"/>
  <c r="E414" i="43"/>
  <c r="F415" i="43"/>
  <c r="F410" i="43"/>
  <c r="F420" i="43"/>
  <c r="F431" i="43"/>
  <c r="F419" i="43"/>
  <c r="F430" i="43"/>
  <c r="F424" i="43"/>
  <c r="F416" i="43"/>
  <c r="F423" i="43"/>
  <c r="F404" i="43"/>
  <c r="F434" i="43"/>
  <c r="F427" i="43"/>
  <c r="F421" i="43"/>
  <c r="F425" i="43"/>
  <c r="F426" i="43"/>
  <c r="F412" i="43"/>
  <c r="F432" i="43"/>
  <c r="F418" i="43"/>
  <c r="F417" i="43"/>
  <c r="F414" i="43"/>
  <c r="F422" i="43"/>
  <c r="F411" i="43"/>
  <c r="F405" i="43"/>
  <c r="F409" i="43"/>
  <c r="F428" i="43"/>
  <c r="F429" i="43"/>
  <c r="F406" i="43"/>
  <c r="F408" i="43"/>
  <c r="F407"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U15" i="8"/>
  <c r="R15" i="8"/>
  <c r="BB15" i="8" s="1"/>
  <c r="AP15" i="8"/>
  <c r="O3" i="8"/>
  <c r="AY3" i="8" s="1"/>
  <c r="Q33" i="8"/>
  <c r="BA33" i="8" s="1"/>
  <c r="AQ7" i="8" l="1"/>
  <c r="AP5" i="8"/>
  <c r="AP3" i="8"/>
  <c r="F16" i="43" s="1"/>
  <c r="F55" i="43" s="1"/>
  <c r="AO4"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1" i="43" s="1"/>
  <c r="J282" i="43" s="1"/>
  <c r="AM21" i="8"/>
  <c r="AO8" i="8"/>
  <c r="AO7" i="8"/>
  <c r="L408" i="43" s="1"/>
  <c r="AN10" i="8"/>
  <c r="K411" i="43" s="1"/>
  <c r="AS9" i="8"/>
  <c r="P410" i="43" s="1"/>
  <c r="AQ21" i="8"/>
  <c r="N422" i="43" s="1"/>
  <c r="AS5" i="8"/>
  <c r="P406" i="43" s="1"/>
  <c r="AR31" i="8"/>
  <c r="O432" i="43" s="1"/>
  <c r="AM8" i="8"/>
  <c r="J409" i="43" s="1"/>
  <c r="AM24" i="8"/>
  <c r="AN11" i="8"/>
  <c r="K412" i="43" s="1"/>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J404" i="43"/>
  <c r="B130" i="43"/>
  <c r="N404" i="43"/>
  <c r="B286" i="43"/>
  <c r="AY30" i="8"/>
  <c r="AM30" i="8"/>
  <c r="BB12" i="8"/>
  <c r="AP12" i="8"/>
  <c r="BE15" i="8"/>
  <c r="AS15" i="8"/>
  <c r="J432" i="43"/>
  <c r="O422" i="43"/>
  <c r="T32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32" i="43"/>
  <c r="AD169" i="43"/>
  <c r="BB31" i="8"/>
  <c r="AP31" i="8"/>
  <c r="BE33" i="8"/>
  <c r="AS33" i="8"/>
  <c r="AY26" i="8"/>
  <c r="AM26" i="8"/>
  <c r="O423" i="43"/>
  <c r="U325" i="43"/>
  <c r="M416" i="43"/>
  <c r="R16" i="43"/>
  <c r="N247" i="43"/>
  <c r="BE7" i="8"/>
  <c r="AS7" i="8"/>
  <c r="BB19" i="8"/>
  <c r="AP19" i="8"/>
  <c r="N408" i="43"/>
  <c r="F286" i="43"/>
  <c r="T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AO5" i="8"/>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Y18" i="8"/>
  <c r="AM18" i="8"/>
  <c r="BC11" i="8"/>
  <c r="BE25" i="8"/>
  <c r="BD28" i="8"/>
  <c r="BD6" i="8"/>
  <c r="AZ12" i="8"/>
  <c r="BD33" i="8"/>
  <c r="AQ5" i="8"/>
  <c r="AR26" i="8"/>
  <c r="S208" i="43"/>
  <c r="L421" i="43"/>
  <c r="Z364" i="43"/>
  <c r="P428" i="43"/>
  <c r="BE23" i="8"/>
  <c r="O405" i="43" l="1"/>
  <c r="P286" i="43"/>
  <c r="C280" i="43"/>
  <c r="X286" i="43"/>
  <c r="X319" i="43" s="1"/>
  <c r="M405" i="43"/>
  <c r="J280" i="43"/>
  <c r="S164" i="43"/>
  <c r="S165" i="43" s="1"/>
  <c r="G16" i="43"/>
  <c r="G51" i="43" s="1"/>
  <c r="AF359" i="43"/>
  <c r="AF360" i="43" s="1"/>
  <c r="J169" i="43"/>
  <c r="J203" i="43" s="1"/>
  <c r="J204" i="43" s="1"/>
  <c r="AA358" i="43"/>
  <c r="T208" i="43"/>
  <c r="Q208" i="43"/>
  <c r="Q241" i="43" s="1"/>
  <c r="I202" i="43"/>
  <c r="F208" i="43"/>
  <c r="AB16" i="43"/>
  <c r="AB49" i="43" s="1"/>
  <c r="AB50" i="43" s="1"/>
  <c r="P432" i="43"/>
  <c r="V169" i="43"/>
  <c r="P364" i="43"/>
  <c r="P397" i="43" s="1"/>
  <c r="P16" i="43"/>
  <c r="P49" i="43" s="1"/>
  <c r="P50" i="43" s="1"/>
  <c r="AD286" i="43"/>
  <c r="V398" i="43"/>
  <c r="V399" i="43" s="1"/>
  <c r="M426" i="43"/>
  <c r="U364" i="43"/>
  <c r="U397" i="43" s="1"/>
  <c r="X280" i="43"/>
  <c r="G130" i="43"/>
  <c r="G163" i="43" s="1"/>
  <c r="L247" i="43"/>
  <c r="H247" i="43"/>
  <c r="H280" i="43" s="1"/>
  <c r="P430" i="43"/>
  <c r="AB397" i="43"/>
  <c r="AB169" i="43"/>
  <c r="AB203" i="43" s="1"/>
  <c r="AB204" i="43" s="1"/>
  <c r="B364" i="43"/>
  <c r="B397" i="43" s="1"/>
  <c r="Z359" i="43"/>
  <c r="Z360" i="43" s="1"/>
  <c r="J422" i="43"/>
  <c r="T130" i="43"/>
  <c r="M359" i="43"/>
  <c r="M360" i="43" s="1"/>
  <c r="G364" i="43"/>
  <c r="G397" i="43" s="1"/>
  <c r="L409" i="43"/>
  <c r="G208" i="43"/>
  <c r="M407" i="43"/>
  <c r="G169" i="43"/>
  <c r="G202" i="43" s="1"/>
  <c r="Z169" i="43"/>
  <c r="Z202" i="43" s="1"/>
  <c r="W281" i="43"/>
  <c r="W282" i="43" s="1"/>
  <c r="I49" i="43"/>
  <c r="I50" i="43" s="1"/>
  <c r="I286" i="43"/>
  <c r="I319" i="43" s="1"/>
  <c r="AA130" i="43"/>
  <c r="AA163" i="43" s="1"/>
  <c r="D364" i="43"/>
  <c r="D398" i="43" s="1"/>
  <c r="D399" i="43" s="1"/>
  <c r="I51" i="43"/>
  <c r="F130" i="43"/>
  <c r="F163" i="43" s="1"/>
  <c r="AD325" i="43"/>
  <c r="AD359" i="43" s="1"/>
  <c r="AD360" i="43" s="1"/>
  <c r="E247" i="43"/>
  <c r="E280" i="43" s="1"/>
  <c r="R364" i="43"/>
  <c r="R397" i="43" s="1"/>
  <c r="AA16" i="43"/>
  <c r="AA55" i="43" s="1"/>
  <c r="AE247" i="43"/>
  <c r="AE281" i="43" s="1"/>
  <c r="J410" i="43"/>
  <c r="H130" i="43"/>
  <c r="R208" i="43"/>
  <c r="R241" i="43" s="1"/>
  <c r="W364" i="43"/>
  <c r="W398" i="43" s="1"/>
  <c r="W399" i="43" s="1"/>
  <c r="M433" i="43"/>
  <c r="Y286" i="43"/>
  <c r="Y320" i="43" s="1"/>
  <c r="Y321" i="43" s="1"/>
  <c r="L426" i="43"/>
  <c r="E364" i="43"/>
  <c r="E397" i="43" s="1"/>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20" i="43"/>
  <c r="X321" i="43" s="1"/>
  <c r="N417" i="43"/>
  <c r="O286" i="43"/>
  <c r="N413" i="43"/>
  <c r="K286" i="43"/>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5" i="43"/>
  <c r="G49" i="43"/>
  <c r="G50" i="43" s="1"/>
  <c r="L428" i="43"/>
  <c r="Z208" i="43"/>
  <c r="Z398" i="43"/>
  <c r="Z399" i="43" s="1"/>
  <c r="Z397" i="43"/>
  <c r="N406" i="43"/>
  <c r="D286" i="43"/>
  <c r="J319" i="43"/>
  <c r="J320" i="43"/>
  <c r="J321" i="43" s="1"/>
  <c r="AB202" i="43"/>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429" i="43"/>
  <c r="AA364" i="43"/>
  <c r="O421" i="43"/>
  <c r="S325" i="43"/>
  <c r="AD242" i="43"/>
  <c r="AD243" i="43" s="1"/>
  <c r="AD241" i="43"/>
  <c r="O418" i="43"/>
  <c r="P325" i="43"/>
  <c r="K404" i="43"/>
  <c r="B169" i="43"/>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P419" i="43"/>
  <c r="Q364" i="43"/>
  <c r="N431" i="43"/>
  <c r="AC286"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H397" i="43"/>
  <c r="H398" i="43"/>
  <c r="H399" i="43" s="1"/>
  <c r="J358" i="43"/>
  <c r="J359" i="43"/>
  <c r="J360" i="43" s="1"/>
  <c r="O130" i="43"/>
  <c r="J417" i="43"/>
  <c r="R242" i="43"/>
  <c r="R243" i="43" s="1"/>
  <c r="P421" i="43"/>
  <c r="S364" i="43"/>
  <c r="M420" i="43"/>
  <c r="R247" i="43"/>
  <c r="V16" i="43"/>
  <c r="Q16" i="43"/>
  <c r="M415" i="43"/>
  <c r="M247" i="43"/>
  <c r="L434" i="43"/>
  <c r="AF208" i="43"/>
  <c r="D281" i="43"/>
  <c r="D282" i="43" s="1"/>
  <c r="D280" i="43"/>
  <c r="H281" i="43"/>
  <c r="H282" i="43" s="1"/>
  <c r="P413" i="43"/>
  <c r="K364" i="43"/>
  <c r="AC51" i="43"/>
  <c r="AC49" i="43"/>
  <c r="AC50" i="43" s="1"/>
  <c r="AC55" i="43"/>
  <c r="O417" i="43"/>
  <c r="O325" i="43"/>
  <c r="J405" i="43"/>
  <c r="C130" i="43"/>
  <c r="AI51" i="43"/>
  <c r="AI55" i="43"/>
  <c r="AI49" i="43"/>
  <c r="AI50" i="43" s="1"/>
  <c r="P416" i="43"/>
  <c r="N364" i="43"/>
  <c r="B320" i="43"/>
  <c r="B321" i="43" s="1"/>
  <c r="B319" i="43"/>
  <c r="P398" i="43" l="1"/>
  <c r="P399" i="43" s="1"/>
  <c r="J202" i="43"/>
  <c r="R398" i="43"/>
  <c r="R399" i="43" s="1"/>
  <c r="AA164" i="43"/>
  <c r="AA165" i="43" s="1"/>
  <c r="AB319" i="43"/>
  <c r="W397" i="43"/>
  <c r="E281" i="43"/>
  <c r="E282" i="43" s="1"/>
  <c r="I320" i="43"/>
  <c r="I321" i="43" s="1"/>
  <c r="P55" i="43"/>
  <c r="U55" i="43"/>
  <c r="G398" i="43"/>
  <c r="G399" i="43" s="1"/>
  <c r="U398" i="43"/>
  <c r="U399" i="43" s="1"/>
  <c r="G164" i="43"/>
  <c r="G165" i="43" s="1"/>
  <c r="B398" i="43"/>
  <c r="B399" i="43" s="1"/>
  <c r="P51" i="43"/>
  <c r="E398" i="43"/>
  <c r="E399" i="43" s="1"/>
  <c r="AD358" i="43"/>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<sst xmlns="http://schemas.openxmlformats.org/spreadsheetml/2006/main" count="311" uniqueCount="164">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</sst>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-3.1765554857142859E-4</c:v>
                </c:pt>
                <c:pt idx="1">
                  <c:v>-3.1956785142857146E-4</c:v>
                </c:pt>
                <c:pt idx="2">
                  <c:v>-3.2602421142857144E-4</c:v>
                </c:pt>
                <c:pt idx="3">
                  <c:v>-3.3090011428571432E-4</c:v>
                </c:pt>
                <c:pt idx="4">
                  <c:v>-3.3562091428571432E-4</c:v>
                </c:pt>
                <c:pt idx="5">
                  <c:v>-3.4095297142857148E-4</c:v>
                </c:pt>
                <c:pt idx="6">
                  <c:v>-3.4677661714285719E-4</c:v>
                </c:pt>
                <c:pt idx="7">
                  <c:v>-3.5371800571428575E-4</c:v>
                </c:pt>
                <c:pt idx="8">
                  <c:v>-3.6188184000000005E-4</c:v>
                </c:pt>
                <c:pt idx="9">
                  <c:v>-3.704156685714286E-4</c:v>
                </c:pt>
                <c:pt idx="10">
                  <c:v>-3.7939892000000004E-4</c:v>
                </c:pt>
                <c:pt idx="11">
                  <c:v>-3.8849084571428573E-4</c:v>
                </c:pt>
                <c:pt idx="12">
                  <c:v>-4.0148532E-4</c:v>
                </c:pt>
                <c:pt idx="13">
                  <c:v>-4.165129028571429E-4</c:v>
                </c:pt>
                <c:pt idx="14">
                  <c:v>-4.3171997714285714E-4</c:v>
                </c:pt>
                <c:pt idx="15">
                  <c:v>-4.4481564000000003E-4</c:v>
                </c:pt>
                <c:pt idx="16">
                  <c:v>-4.5926486857142857E-4</c:v>
                </c:pt>
                <c:pt idx="17">
                  <c:v>-4.7422432E-4</c:v>
                </c:pt>
                <c:pt idx="18">
                  <c:v>-4.9147261714285718E-4</c:v>
                </c:pt>
                <c:pt idx="19">
                  <c:v>-5.1080495999999997E-4</c:v>
                </c:pt>
                <c:pt idx="20">
                  <c:v>-5.5237050285714281E-4</c:v>
                </c:pt>
                <c:pt idx="21">
                  <c:v>-6.5347891428571428E-4</c:v>
                </c:pt>
                <c:pt idx="22">
                  <c:v>-8.2994857142857151E-4</c:v>
                </c:pt>
                <c:pt idx="23">
                  <c:v>-1.0604901142857144E-3</c:v>
                </c:pt>
                <c:pt idx="24">
                  <c:v>-1.3626403428571429E-3</c:v>
                </c:pt>
                <c:pt idx="25">
                  <c:v>-1.7953448000000002E-3</c:v>
                </c:pt>
                <c:pt idx="26">
                  <c:v>-2.5186729142857144E-3</c:v>
                </c:pt>
                <c:pt idx="27">
                  <c:v>-3.6098497142857144E-3</c:v>
                </c:pt>
                <c:pt idx="28">
                  <c:v>-5.1771965142857149E-3</c:v>
                </c:pt>
                <c:pt idx="29">
                  <c:v>-6.6766028571428569E-3</c:v>
                </c:pt>
                <c:pt idx="30">
                  <c:v>-7.9544497142857145E-3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-3.2385028571428571E-4</c:v>
                </c:pt>
                <c:pt idx="1">
                  <c:v>-3.3142164571428574E-4</c:v>
                </c:pt>
                <c:pt idx="2">
                  <c:v>-3.362832742857143E-4</c:v>
                </c:pt>
                <c:pt idx="3">
                  <c:v>-3.4131923428571434E-4</c:v>
                </c:pt>
                <c:pt idx="4">
                  <c:v>-3.4687351428571431E-4</c:v>
                </c:pt>
                <c:pt idx="5">
                  <c:v>-3.5323632000000007E-4</c:v>
                </c:pt>
                <c:pt idx="6">
                  <c:v>-3.604695828571429E-4</c:v>
                </c:pt>
                <c:pt idx="7">
                  <c:v>-3.6940146857142862E-4</c:v>
                </c:pt>
                <c:pt idx="8">
                  <c:v>-3.778486685714286E-4</c:v>
                </c:pt>
                <c:pt idx="9">
                  <c:v>-3.8717555428571435E-4</c:v>
                </c:pt>
                <c:pt idx="10">
                  <c:v>-3.9797395428571429E-4</c:v>
                </c:pt>
                <c:pt idx="11">
                  <c:v>-4.1174637142857144E-4</c:v>
                </c:pt>
                <c:pt idx="12">
                  <c:v>-4.2728338285714294E-4</c:v>
                </c:pt>
                <c:pt idx="13">
                  <c:v>-4.4168786857142855E-4</c:v>
                </c:pt>
                <c:pt idx="14">
                  <c:v>-4.5537212571428577E-4</c:v>
                </c:pt>
                <c:pt idx="15">
                  <c:v>-4.7008845714285722E-4</c:v>
                </c:pt>
                <c:pt idx="16">
                  <c:v>-4.8622577714285719E-4</c:v>
                </c:pt>
                <c:pt idx="17">
                  <c:v>-5.042617714285714E-4</c:v>
                </c:pt>
                <c:pt idx="18">
                  <c:v>-5.3436528571428575E-4</c:v>
                </c:pt>
                <c:pt idx="19">
                  <c:v>-6.1334434285714289E-4</c:v>
                </c:pt>
                <c:pt idx="20">
                  <c:v>-7.6379371428571426E-4</c:v>
                </c:pt>
                <c:pt idx="21">
                  <c:v>-9.6756845714285724E-4</c:v>
                </c:pt>
                <c:pt idx="22">
                  <c:v>-1.2198500000000002E-3</c:v>
                </c:pt>
                <c:pt idx="23">
                  <c:v>-1.5611176000000001E-3</c:v>
                </c:pt>
                <c:pt idx="24">
                  <c:v>-2.0873740571428572E-3</c:v>
                </c:pt>
                <c:pt idx="25">
                  <c:v>-2.9592241714285717E-3</c:v>
                </c:pt>
                <c:pt idx="26">
                  <c:v>-4.2434921142857143E-3</c:v>
                </c:pt>
                <c:pt idx="27">
                  <c:v>-5.8771245714285712E-3</c:v>
                </c:pt>
                <c:pt idx="28">
                  <c:v>-7.2722080000000014E-3</c:v>
                </c:pt>
                <c:pt idx="29">
                  <c:v>-8.3137022857142865E-3</c:v>
                </c:pt>
                <c:pt idx="30">
                  <c:v>-8.936981714285714E-3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-3.3333392571428572E-4</c:v>
                </c:pt>
                <c:pt idx="1">
                  <c:v>-3.3902407428571435E-4</c:v>
                </c:pt>
                <c:pt idx="2">
                  <c:v>-3.4420747428571429E-4</c:v>
                </c:pt>
                <c:pt idx="3">
                  <c:v>-3.4984034857142864E-4</c:v>
                </c:pt>
                <c:pt idx="4">
                  <c:v>-3.5637131428571434E-4</c:v>
                </c:pt>
                <c:pt idx="5">
                  <c:v>-3.6370544000000001E-4</c:v>
                </c:pt>
                <c:pt idx="6">
                  <c:v>-3.7287631428571427E-4</c:v>
                </c:pt>
                <c:pt idx="7">
                  <c:v>-3.8131252000000001E-4</c:v>
                </c:pt>
                <c:pt idx="8">
                  <c:v>-3.9080617142857142E-4</c:v>
                </c:pt>
                <c:pt idx="9">
                  <c:v>-4.0198573142857146E-4</c:v>
                </c:pt>
                <c:pt idx="10">
                  <c:v>-4.1611814857142864E-4</c:v>
                </c:pt>
                <c:pt idx="11">
                  <c:v>-4.3179653142857147E-4</c:v>
                </c:pt>
                <c:pt idx="12">
                  <c:v>-4.4603799428571429E-4</c:v>
                </c:pt>
                <c:pt idx="13">
                  <c:v>-4.5998946857142857E-4</c:v>
                </c:pt>
                <c:pt idx="14">
                  <c:v>-4.7481256571428577E-4</c:v>
                </c:pt>
                <c:pt idx="15">
                  <c:v>-4.9127769714285715E-4</c:v>
                </c:pt>
                <c:pt idx="16">
                  <c:v>-5.0905381142857145E-4</c:v>
                </c:pt>
                <c:pt idx="17">
                  <c:v>-5.3754890285714289E-4</c:v>
                </c:pt>
                <c:pt idx="18">
                  <c:v>-6.0763388571428577E-4</c:v>
                </c:pt>
                <c:pt idx="19">
                  <c:v>-7.5412742857142862E-4</c:v>
                </c:pt>
                <c:pt idx="20">
                  <c:v>-9.5998822857142866E-4</c:v>
                </c:pt>
                <c:pt idx="21">
                  <c:v>-1.2203956E-3</c:v>
                </c:pt>
                <c:pt idx="22">
                  <c:v>-1.5747096571428571E-3</c:v>
                </c:pt>
                <c:pt idx="23">
                  <c:v>-2.126671542857143E-3</c:v>
                </c:pt>
                <c:pt idx="24">
                  <c:v>-3.0271867428571433E-3</c:v>
                </c:pt>
                <c:pt idx="25">
                  <c:v>-4.3534069142857146E-3</c:v>
                </c:pt>
                <c:pt idx="26">
                  <c:v>-5.9767857142857149E-3</c:v>
                </c:pt>
                <c:pt idx="27">
                  <c:v>-7.3654439999999996E-3</c:v>
                </c:pt>
                <c:pt idx="28">
                  <c:v>-8.3538388571428573E-3</c:v>
                </c:pt>
                <c:pt idx="29">
                  <c:v>-8.9823782857142865E-3</c:v>
                </c:pt>
                <c:pt idx="30">
                  <c:v>-9.3296577142857155E-3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-3.403251942857143E-4</c:v>
                </c:pt>
                <c:pt idx="1">
                  <c:v>-3.4632799428571432E-4</c:v>
                </c:pt>
                <c:pt idx="2">
                  <c:v>-3.5206168571428573E-4</c:v>
                </c:pt>
                <c:pt idx="3">
                  <c:v>-3.5859454857142857E-4</c:v>
                </c:pt>
                <c:pt idx="4">
                  <c:v>-3.6596454857142861E-4</c:v>
                </c:pt>
                <c:pt idx="5">
                  <c:v>-3.7513532571428575E-4</c:v>
                </c:pt>
                <c:pt idx="6">
                  <c:v>-3.8366720571428569E-4</c:v>
                </c:pt>
                <c:pt idx="7">
                  <c:v>-3.9319581142857146E-4</c:v>
                </c:pt>
                <c:pt idx="8">
                  <c:v>-4.0432668571428575E-4</c:v>
                </c:pt>
                <c:pt idx="9">
                  <c:v>-4.1845078857142859E-4</c:v>
                </c:pt>
                <c:pt idx="10">
                  <c:v>-4.3423338285714292E-4</c:v>
                </c:pt>
                <c:pt idx="11">
                  <c:v>-4.4869412571428574E-4</c:v>
                </c:pt>
                <c:pt idx="12">
                  <c:v>-4.6266420000000007E-4</c:v>
                </c:pt>
                <c:pt idx="13">
                  <c:v>-4.775777771428572E-4</c:v>
                </c:pt>
                <c:pt idx="14">
                  <c:v>-4.940049657142857E-4</c:v>
                </c:pt>
                <c:pt idx="15">
                  <c:v>-5.1156064000000003E-4</c:v>
                </c:pt>
                <c:pt idx="16">
                  <c:v>-5.3645994857142863E-4</c:v>
                </c:pt>
                <c:pt idx="17">
                  <c:v>-5.9246891428571438E-4</c:v>
                </c:pt>
                <c:pt idx="18">
                  <c:v>-7.2165205714285711E-4</c:v>
                </c:pt>
                <c:pt idx="19">
                  <c:v>-9.2102622857142874E-4</c:v>
                </c:pt>
                <c:pt idx="20">
                  <c:v>-1.1794936000000002E-3</c:v>
                </c:pt>
                <c:pt idx="21">
                  <c:v>-1.5301973142857145E-3</c:v>
                </c:pt>
                <c:pt idx="22">
                  <c:v>-2.0701796571428576E-3</c:v>
                </c:pt>
                <c:pt idx="23">
                  <c:v>-2.9545460000000002E-3</c:v>
                </c:pt>
                <c:pt idx="24">
                  <c:v>-4.2581054285714291E-3</c:v>
                </c:pt>
                <c:pt idx="25">
                  <c:v>-5.8863280000000006E-3</c:v>
                </c:pt>
                <c:pt idx="26">
                  <c:v>-7.2844622857142858E-3</c:v>
                </c:pt>
                <c:pt idx="27">
                  <c:v>-8.3061679999999992E-3</c:v>
                </c:pt>
                <c:pt idx="28">
                  <c:v>-8.9411811428571422E-3</c:v>
                </c:pt>
                <c:pt idx="29">
                  <c:v>-9.2980605714285732E-3</c:v>
                </c:pt>
                <c:pt idx="30">
                  <c:v>-9.6590897142857148E-3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-3.4942501142857146E-4</c:v>
                </c:pt>
                <c:pt idx="1">
                  <c:v>-3.5648601714285716E-4</c:v>
                </c:pt>
                <c:pt idx="2">
                  <c:v>-3.6348173142857149E-4</c:v>
                </c:pt>
                <c:pt idx="3">
                  <c:v>-3.7166670857142863E-4</c:v>
                </c:pt>
                <c:pt idx="4">
                  <c:v>-3.8023785142857143E-4</c:v>
                </c:pt>
                <c:pt idx="5">
                  <c:v>-3.8966249142857143E-4</c:v>
                </c:pt>
                <c:pt idx="6">
                  <c:v>-3.9857573142857144E-4</c:v>
                </c:pt>
                <c:pt idx="7">
                  <c:v>-4.1107237714285716E-4</c:v>
                </c:pt>
                <c:pt idx="8">
                  <c:v>-4.2596614285714284E-4</c:v>
                </c:pt>
                <c:pt idx="9">
                  <c:v>-4.4192214857142857E-4</c:v>
                </c:pt>
                <c:pt idx="10">
                  <c:v>-4.5590130285714283E-4</c:v>
                </c:pt>
                <c:pt idx="11">
                  <c:v>-4.7041819428571432E-4</c:v>
                </c:pt>
                <c:pt idx="12">
                  <c:v>-4.8552683428571436E-4</c:v>
                </c:pt>
                <c:pt idx="13">
                  <c:v>-5.0266556571428576E-4</c:v>
                </c:pt>
                <c:pt idx="14">
                  <c:v>-5.2012852571428571E-4</c:v>
                </c:pt>
                <c:pt idx="15">
                  <c:v>-5.4532661142857146E-4</c:v>
                </c:pt>
                <c:pt idx="16">
                  <c:v>-5.9216714285714289E-4</c:v>
                </c:pt>
                <c:pt idx="17">
                  <c:v>-7.0827571428571431E-4</c:v>
                </c:pt>
                <c:pt idx="18">
                  <c:v>-9.0756428571428581E-4</c:v>
                </c:pt>
                <c:pt idx="19">
                  <c:v>-1.1832574285714286E-3</c:v>
                </c:pt>
                <c:pt idx="20">
                  <c:v>-1.5661336571428574E-3</c:v>
                </c:pt>
                <c:pt idx="21">
                  <c:v>-2.1722050857142859E-3</c:v>
                </c:pt>
                <c:pt idx="22">
                  <c:v>-3.1303788000000003E-3</c:v>
                </c:pt>
                <c:pt idx="23">
                  <c:v>-4.5407554857142861E-3</c:v>
                </c:pt>
                <c:pt idx="24">
                  <c:v>-6.1332525714285716E-3</c:v>
                </c:pt>
                <c:pt idx="25">
                  <c:v>-7.5139828571428573E-3</c:v>
                </c:pt>
                <c:pt idx="26">
                  <c:v>-8.4066577142857153E-3</c:v>
                </c:pt>
                <c:pt idx="27">
                  <c:v>-9.0518805714285711E-3</c:v>
                </c:pt>
                <c:pt idx="28">
                  <c:v>-9.3563582857142859E-3</c:v>
                </c:pt>
                <c:pt idx="29">
                  <c:v>-9.698237142857143E-3</c:v>
                </c:pt>
                <c:pt idx="30">
                  <c:v>-1.012065142857143E-2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-3.7173529714285713E-4</c:v>
                </c:pt>
                <c:pt idx="1">
                  <c:v>-3.8212683428571429E-4</c:v>
                </c:pt>
                <c:pt idx="2">
                  <c:v>-3.9116091428571429E-4</c:v>
                </c:pt>
                <c:pt idx="3">
                  <c:v>-4.0084070285714289E-4</c:v>
                </c:pt>
                <c:pt idx="4">
                  <c:v>-4.1181157714285721E-4</c:v>
                </c:pt>
                <c:pt idx="5">
                  <c:v>-4.2589937714285713E-4</c:v>
                </c:pt>
                <c:pt idx="6">
                  <c:v>-4.420115542857143E-4</c:v>
                </c:pt>
                <c:pt idx="7">
                  <c:v>-4.5721752571428574E-4</c:v>
                </c:pt>
                <c:pt idx="8">
                  <c:v>-4.7125333142857142E-4</c:v>
                </c:pt>
                <c:pt idx="9">
                  <c:v>-4.8648615428571431E-4</c:v>
                </c:pt>
                <c:pt idx="10">
                  <c:v>-5.028533485714286E-4</c:v>
                </c:pt>
                <c:pt idx="11">
                  <c:v>-5.2051835428571435E-4</c:v>
                </c:pt>
                <c:pt idx="12">
                  <c:v>-5.4071768571428572E-4</c:v>
                </c:pt>
                <c:pt idx="13">
                  <c:v>-5.6753465714285724E-4</c:v>
                </c:pt>
                <c:pt idx="14">
                  <c:v>-6.0179708571428576E-4</c:v>
                </c:pt>
                <c:pt idx="15">
                  <c:v>-6.6458657142857145E-4</c:v>
                </c:pt>
                <c:pt idx="16">
                  <c:v>-8.1709234285714302E-4</c:v>
                </c:pt>
                <c:pt idx="17">
                  <c:v>-1.1108585142857144E-3</c:v>
                </c:pt>
                <c:pt idx="18">
                  <c:v>-1.5874490285714285E-3</c:v>
                </c:pt>
                <c:pt idx="19">
                  <c:v>-2.3751488000000004E-3</c:v>
                </c:pt>
                <c:pt idx="20">
                  <c:v>-3.5625850285714291E-3</c:v>
                </c:pt>
                <c:pt idx="21">
                  <c:v>-5.1735060571428577E-3</c:v>
                </c:pt>
                <c:pt idx="22">
                  <c:v>-6.6533691428571429E-3</c:v>
                </c:pt>
                <c:pt idx="23">
                  <c:v>-7.8597879999999995E-3</c:v>
                </c:pt>
                <c:pt idx="24">
                  <c:v>-8.5845314285714295E-3</c:v>
                </c:pt>
                <c:pt idx="25">
                  <c:v>-9.184025142857143E-3</c:v>
                </c:pt>
                <c:pt idx="26">
                  <c:v>-9.5224000000000003E-3</c:v>
                </c:pt>
                <c:pt idx="27">
                  <c:v>-9.8091748571428571E-3</c:v>
                </c:pt>
                <c:pt idx="28">
                  <c:v>-1.0384158857142858E-2</c:v>
                </c:pt>
                <c:pt idx="29">
                  <c:v>-1.0416116571428572E-2</c:v>
                </c:pt>
                <c:pt idx="30">
                  <c:v>-1.0529876000000001E-2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-3.9813363428571429E-4</c:v>
                </c:pt>
                <c:pt idx="1">
                  <c:v>-4.1063771428571428E-4</c:v>
                </c:pt>
                <c:pt idx="2">
                  <c:v>-4.2372155999999999E-4</c:v>
                </c:pt>
                <c:pt idx="3">
                  <c:v>-4.3944785714285716E-4</c:v>
                </c:pt>
                <c:pt idx="4">
                  <c:v>-4.5578372000000007E-4</c:v>
                </c:pt>
                <c:pt idx="5">
                  <c:v>-4.6982645714285716E-4</c:v>
                </c:pt>
                <c:pt idx="6">
                  <c:v>-4.8496462857142863E-4</c:v>
                </c:pt>
                <c:pt idx="7">
                  <c:v>-5.0056704571428581E-4</c:v>
                </c:pt>
                <c:pt idx="8">
                  <c:v>-5.1841342285714287E-4</c:v>
                </c:pt>
                <c:pt idx="9">
                  <c:v>-5.3625677714285716E-4</c:v>
                </c:pt>
                <c:pt idx="10">
                  <c:v>-5.6095232E-4</c:v>
                </c:pt>
                <c:pt idx="11">
                  <c:v>-5.8981965714285716E-4</c:v>
                </c:pt>
                <c:pt idx="12">
                  <c:v>-6.2802862857142862E-4</c:v>
                </c:pt>
                <c:pt idx="13">
                  <c:v>-6.7961274285714289E-4</c:v>
                </c:pt>
                <c:pt idx="14">
                  <c:v>-7.6706560000000014E-4</c:v>
                </c:pt>
                <c:pt idx="15">
                  <c:v>-9.6394508571428573E-4</c:v>
                </c:pt>
                <c:pt idx="16">
                  <c:v>-1.4137288571428573E-3</c:v>
                </c:pt>
                <c:pt idx="17">
                  <c:v>-2.2145592571428574E-3</c:v>
                </c:pt>
                <c:pt idx="18">
                  <c:v>-3.505241085714286E-3</c:v>
                </c:pt>
                <c:pt idx="19">
                  <c:v>-5.0682833714285717E-3</c:v>
                </c:pt>
                <c:pt idx="20">
                  <c:v>-6.5951834285714293E-3</c:v>
                </c:pt>
                <c:pt idx="21">
                  <c:v>-7.6842982857142856E-3</c:v>
                </c:pt>
                <c:pt idx="22">
                  <c:v>-8.5483737142857154E-3</c:v>
                </c:pt>
                <c:pt idx="23">
                  <c:v>-9.1112971428571436E-3</c:v>
                </c:pt>
                <c:pt idx="24">
                  <c:v>-9.4835811428571441E-3</c:v>
                </c:pt>
                <c:pt idx="25">
                  <c:v>-1.0088114857142857E-2</c:v>
                </c:pt>
                <c:pt idx="26">
                  <c:v>-1.028188342857143E-2</c:v>
                </c:pt>
                <c:pt idx="27">
                  <c:v>-1.0456755428571428E-2</c:v>
                </c:pt>
                <c:pt idx="28">
                  <c:v>-1.0466368571428573E-2</c:v>
                </c:pt>
                <c:pt idx="29">
                  <c:v>-1.0536541142857144E-2</c:v>
                </c:pt>
                <c:pt idx="30">
                  <c:v>-1.0580144000000001E-2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05501392"/>
        <c:axId val="4054966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055013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05496688"/>
        <c:crossesAt val="-8.0000000000000019E-3"/>
        <c:crossBetween val="midCat"/>
      </c:valAx>
      <c:valAx>
        <c:axId val="405496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0550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31480.640098913249</c:v>
                </c:pt>
                <c:pt idx="1">
                  <c:v>31292.259078304567</c:v>
                </c:pt>
                <c:pt idx="2">
                  <c:v>30672.568629740854</c:v>
                </c:pt>
                <c:pt idx="3">
                  <c:v>30220.600018788577</c:v>
                </c:pt>
                <c:pt idx="4">
                  <c:v>29795.52100107502</c:v>
                </c:pt>
                <c:pt idx="5">
                  <c:v>29329.558144340641</c:v>
                </c:pt>
                <c:pt idx="6">
                  <c:v>28837.00776134057</c:v>
                </c:pt>
                <c:pt idx="7">
                  <c:v>28271.10816653608</c:v>
                </c:pt>
                <c:pt idx="8">
                  <c:v>27633.32915517396</c:v>
                </c:pt>
                <c:pt idx="9">
                  <c:v>26996.698164974259</c:v>
                </c:pt>
                <c:pt idx="10">
                  <c:v>26357.481460411112</c:v>
                </c:pt>
                <c:pt idx="11">
                  <c:v>25740.632270533515</c:v>
                </c:pt>
                <c:pt idx="12">
                  <c:v>24907.510939627879</c:v>
                </c:pt>
                <c:pt idx="13">
                  <c:v>24008.860065086232</c:v>
                </c:pt>
                <c:pt idx="14">
                  <c:v>23163.16253461437</c:v>
                </c:pt>
                <c:pt idx="15">
                  <c:v>22481.223906605439</c:v>
                </c:pt>
                <c:pt idx="16">
                  <c:v>21773.927605448269</c:v>
                </c:pt>
                <c:pt idx="17">
                  <c:v>21087.066981296954</c:v>
                </c:pt>
                <c:pt idx="18">
                  <c:v>20347.013549064694</c:v>
                </c:pt>
                <c:pt idx="19">
                  <c:v>19576.943810412493</c:v>
                </c:pt>
                <c:pt idx="20">
                  <c:v>18103.790749641561</c:v>
                </c:pt>
                <c:pt idx="21">
                  <c:v>15302.712576320093</c:v>
                </c:pt>
                <c:pt idx="22">
                  <c:v>12048.939349081869</c:v>
                </c:pt>
                <c:pt idx="23">
                  <c:v>9429.6022803903543</c:v>
                </c:pt>
                <c:pt idx="24">
                  <c:v>7338.6936269861963</c:v>
                </c:pt>
                <c:pt idx="25">
                  <c:v>5569.9607117251235</c:v>
                </c:pt>
                <c:pt idx="26">
                  <c:v>3970.3448364735204</c:v>
                </c:pt>
                <c:pt idx="27">
                  <c:v>2770.1984269388659</c:v>
                </c:pt>
                <c:pt idx="28">
                  <c:v>1931.547309901501</c:v>
                </c:pt>
                <c:pt idx="29">
                  <c:v>1497.7676842500314</c:v>
                </c:pt>
                <c:pt idx="30">
                  <c:v>1257.1579881937778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30878.465887235372</c:v>
                </c:pt>
                <c:pt idx="1">
                  <c:v>30173.044305684456</c:v>
                </c:pt>
                <c:pt idx="2">
                  <c:v>29736.834284252152</c:v>
                </c:pt>
                <c:pt idx="3">
                  <c:v>29298.085180951497</c:v>
                </c:pt>
                <c:pt idx="4">
                  <c:v>28828.952307275773</c:v>
                </c:pt>
                <c:pt idx="5">
                  <c:v>28309.659663536291</c:v>
                </c:pt>
                <c:pt idx="6">
                  <c:v>27741.591733589026</c:v>
                </c:pt>
                <c:pt idx="7">
                  <c:v>27070.818204033123</c:v>
                </c:pt>
                <c:pt idx="8">
                  <c:v>26465.621905743457</c:v>
                </c:pt>
                <c:pt idx="9">
                  <c:v>25828.07692610817</c:v>
                </c:pt>
                <c:pt idx="10">
                  <c:v>25127.272506935918</c:v>
                </c:pt>
                <c:pt idx="11">
                  <c:v>24286.795692466159</c:v>
                </c:pt>
                <c:pt idx="12">
                  <c:v>23403.671664300084</c:v>
                </c:pt>
                <c:pt idx="13">
                  <c:v>22640.42259603702</c:v>
                </c:pt>
                <c:pt idx="14">
                  <c:v>21960.061750187804</c:v>
                </c:pt>
                <c:pt idx="15">
                  <c:v>21272.592100599177</c:v>
                </c:pt>
                <c:pt idx="16">
                  <c:v>20566.577236529185</c:v>
                </c:pt>
                <c:pt idx="17">
                  <c:v>19830.969878343232</c:v>
                </c:pt>
                <c:pt idx="18">
                  <c:v>18713.790486283193</c:v>
                </c:pt>
                <c:pt idx="19">
                  <c:v>16304.055163233405</c:v>
                </c:pt>
                <c:pt idx="20">
                  <c:v>13092.540319413096</c:v>
                </c:pt>
                <c:pt idx="21">
                  <c:v>10335.186028623857</c:v>
                </c:pt>
                <c:pt idx="22">
                  <c:v>8197.7292290035639</c:v>
                </c:pt>
                <c:pt idx="23">
                  <c:v>6405.6673244859958</c:v>
                </c:pt>
                <c:pt idx="24">
                  <c:v>4790.708194240824</c:v>
                </c:pt>
                <c:pt idx="25">
                  <c:v>3379.2640978505115</c:v>
                </c:pt>
                <c:pt idx="26">
                  <c:v>2356.5496837698847</c:v>
                </c:pt>
                <c:pt idx="27">
                  <c:v>1701.5123430622245</c:v>
                </c:pt>
                <c:pt idx="28">
                  <c:v>1375.0981820101952</c:v>
                </c:pt>
                <c:pt idx="29">
                  <c:v>1202.8335459141151</c:v>
                </c:pt>
                <c:pt idx="30">
                  <c:v>1118.9460065712183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29999.946685809031</c:v>
                </c:pt>
                <c:pt idx="1">
                  <c:v>29496.430367279601</c:v>
                </c:pt>
                <c:pt idx="2">
                  <c:v>29052.245366698105</c:v>
                </c:pt>
                <c:pt idx="3">
                  <c:v>28584.467288678825</c:v>
                </c:pt>
                <c:pt idx="4">
                  <c:v>28060.619918422162</c:v>
                </c:pt>
                <c:pt idx="5">
                  <c:v>27494.777092143577</c:v>
                </c:pt>
                <c:pt idx="6">
                  <c:v>26818.544425800024</c:v>
                </c:pt>
                <c:pt idx="7">
                  <c:v>26225.207606610977</c:v>
                </c:pt>
                <c:pt idx="8">
                  <c:v>25588.132253504406</c:v>
                </c:pt>
                <c:pt idx="9">
                  <c:v>24876.504856185158</c:v>
                </c:pt>
                <c:pt idx="10">
                  <c:v>24031.636289671351</c:v>
                </c:pt>
                <c:pt idx="11">
                  <c:v>23159.055879665437</c:v>
                </c:pt>
                <c:pt idx="12">
                  <c:v>22419.614759531887</c:v>
                </c:pt>
                <c:pt idx="13">
                  <c:v>21739.628150741388</c:v>
                </c:pt>
                <c:pt idx="14">
                  <c:v>21060.942195066949</c:v>
                </c:pt>
                <c:pt idx="15">
                  <c:v>20355.086457531841</c:v>
                </c:pt>
                <c:pt idx="16">
                  <c:v>19644.288630187701</c:v>
                </c:pt>
                <c:pt idx="17">
                  <c:v>18602.958627296397</c:v>
                </c:pt>
                <c:pt idx="18">
                  <c:v>16457.278363014269</c:v>
                </c:pt>
                <c:pt idx="19">
                  <c:v>13260.358423699518</c:v>
                </c:pt>
                <c:pt idx="20">
                  <c:v>10416.794396407478</c:v>
                </c:pt>
                <c:pt idx="21">
                  <c:v>8194.0642853841819</c:v>
                </c:pt>
                <c:pt idx="22">
                  <c:v>6350.3770073677797</c:v>
                </c:pt>
                <c:pt idx="23">
                  <c:v>4702.1835758262832</c:v>
                </c:pt>
                <c:pt idx="24">
                  <c:v>3303.3971305522173</c:v>
                </c:pt>
                <c:pt idx="25">
                  <c:v>2297.0515269741904</c:v>
                </c:pt>
                <c:pt idx="26">
                  <c:v>1673.1401254855093</c:v>
                </c:pt>
                <c:pt idx="27">
                  <c:v>1357.6914032609575</c:v>
                </c:pt>
                <c:pt idx="28">
                  <c:v>1197.054452570582</c:v>
                </c:pt>
                <c:pt idx="29">
                  <c:v>1113.2908993494691</c:v>
                </c:pt>
                <c:pt idx="30">
                  <c:v>1071.8506837274263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29383.660592593882</c:v>
                </c:pt>
                <c:pt idx="1">
                  <c:v>28874.362353018976</c:v>
                </c:pt>
                <c:pt idx="2">
                  <c:v>28404.113272682163</c:v>
                </c:pt>
                <c:pt idx="3">
                  <c:v>27886.648137396591</c:v>
                </c:pt>
                <c:pt idx="4">
                  <c:v>27325.05112595137</c:v>
                </c:pt>
                <c:pt idx="5">
                  <c:v>26657.046976205856</c:v>
                </c:pt>
                <c:pt idx="6">
                  <c:v>26064.255300065783</c:v>
                </c:pt>
                <c:pt idx="7">
                  <c:v>25432.620870674291</c:v>
                </c:pt>
                <c:pt idx="8">
                  <c:v>24732.475874883068</c:v>
                </c:pt>
                <c:pt idx="9">
                  <c:v>23897.672732651627</c:v>
                </c:pt>
                <c:pt idx="10">
                  <c:v>23029.090794914468</c:v>
                </c:pt>
                <c:pt idx="11">
                  <c:v>22286.897525303651</c:v>
                </c:pt>
                <c:pt idx="12">
                  <c:v>21613.94808589037</c:v>
                </c:pt>
                <c:pt idx="13">
                  <c:v>20938.997747813366</c:v>
                </c:pt>
                <c:pt idx="14">
                  <c:v>20242.711498943983</c:v>
                </c:pt>
                <c:pt idx="15">
                  <c:v>19548.024648651623</c:v>
                </c:pt>
                <c:pt idx="16">
                  <c:v>18640.720573138031</c:v>
                </c:pt>
                <c:pt idx="17">
                  <c:v>16878.522668241734</c:v>
                </c:pt>
                <c:pt idx="18">
                  <c:v>13857.093458018669</c:v>
                </c:pt>
                <c:pt idx="19">
                  <c:v>10857.454098251519</c:v>
                </c:pt>
                <c:pt idx="20">
                  <c:v>8478.2147185877038</c:v>
                </c:pt>
                <c:pt idx="21">
                  <c:v>6535.1049218563885</c:v>
                </c:pt>
                <c:pt idx="22">
                  <c:v>4830.4986311194953</c:v>
                </c:pt>
                <c:pt idx="23">
                  <c:v>3384.614759763429</c:v>
                </c:pt>
                <c:pt idx="24">
                  <c:v>2348.4622839305662</c:v>
                </c:pt>
                <c:pt idx="25">
                  <c:v>1698.8519837834383</c:v>
                </c:pt>
                <c:pt idx="26">
                  <c:v>1372.7849232758351</c:v>
                </c:pt>
                <c:pt idx="27">
                  <c:v>1203.9246015731924</c:v>
                </c:pt>
                <c:pt idx="28">
                  <c:v>1118.4204681938156</c:v>
                </c:pt>
                <c:pt idx="29">
                  <c:v>1075.493101295594</c:v>
                </c:pt>
                <c:pt idx="30">
                  <c:v>1035.294245710347</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28618.44365151913</c:v>
                </c:pt>
                <c:pt idx="1">
                  <c:v>28051.591139948217</c:v>
                </c:pt>
                <c:pt idx="2">
                  <c:v>27511.699035595466</c:v>
                </c:pt>
                <c:pt idx="3">
                  <c:v>26905.826562828006</c:v>
                </c:pt>
                <c:pt idx="4">
                  <c:v>26299.328071704411</c:v>
                </c:pt>
                <c:pt idx="5">
                  <c:v>25663.234773606862</c:v>
                </c:pt>
                <c:pt idx="6">
                  <c:v>25089.33487786146</c:v>
                </c:pt>
                <c:pt idx="7">
                  <c:v>24326.616323637743</c:v>
                </c:pt>
                <c:pt idx="8">
                  <c:v>23476.044206061986</c:v>
                </c:pt>
                <c:pt idx="9">
                  <c:v>22628.420033542818</c:v>
                </c:pt>
                <c:pt idx="10">
                  <c:v>21934.572104378283</c:v>
                </c:pt>
                <c:pt idx="11">
                  <c:v>21257.681189784882</c:v>
                </c:pt>
                <c:pt idx="12">
                  <c:v>20596.183967280733</c:v>
                </c:pt>
                <c:pt idx="13">
                  <c:v>19893.942776426389</c:v>
                </c:pt>
                <c:pt idx="14">
                  <c:v>19226.017235388372</c:v>
                </c:pt>
                <c:pt idx="15">
                  <c:v>18337.634346879531</c:v>
                </c:pt>
                <c:pt idx="16">
                  <c:v>16887.124050400827</c:v>
                </c:pt>
                <c:pt idx="17">
                  <c:v>14118.795545721701</c:v>
                </c:pt>
                <c:pt idx="18">
                  <c:v>11018.50321504183</c:v>
                </c:pt>
                <c:pt idx="19">
                  <c:v>8451.2463294426198</c:v>
                </c:pt>
                <c:pt idx="20">
                  <c:v>6385.151072127067</c:v>
                </c:pt>
                <c:pt idx="21">
                  <c:v>4603.6168802687898</c:v>
                </c:pt>
                <c:pt idx="22">
                  <c:v>3194.5015727809041</c:v>
                </c:pt>
                <c:pt idx="23">
                  <c:v>2202.2766985496346</c:v>
                </c:pt>
                <c:pt idx="24">
                  <c:v>1630.4562519705228</c:v>
                </c:pt>
                <c:pt idx="25">
                  <c:v>1330.8521179941092</c:v>
                </c:pt>
                <c:pt idx="26">
                  <c:v>1189.5333841184786</c:v>
                </c:pt>
                <c:pt idx="27">
                  <c:v>1104.7428124012242</c:v>
                </c:pt>
                <c:pt idx="28">
                  <c:v>1068.7919054220547</c:v>
                </c:pt>
                <c:pt idx="29">
                  <c:v>1031.115227715906</c:v>
                </c:pt>
                <c:pt idx="30">
                  <c:v>988.07868945759549</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26900.86219107953</c:v>
                </c:pt>
                <c:pt idx="1">
                  <c:v>26169.321551815046</c:v>
                </c:pt>
                <c:pt idx="2">
                  <c:v>25564.926440211086</c:v>
                </c:pt>
                <c:pt idx="3">
                  <c:v>24947.566274385907</c:v>
                </c:pt>
                <c:pt idx="4">
                  <c:v>24282.950152542715</c:v>
                </c:pt>
                <c:pt idx="5">
                  <c:v>23479.724405996851</c:v>
                </c:pt>
                <c:pt idx="6">
                  <c:v>22623.842981118192</c:v>
                </c:pt>
                <c:pt idx="7">
                  <c:v>21871.427575698352</c:v>
                </c:pt>
                <c:pt idx="8">
                  <c:v>21220.009139639824</c:v>
                </c:pt>
                <c:pt idx="9">
                  <c:v>20555.569592073076</c:v>
                </c:pt>
                <c:pt idx="10">
                  <c:v>19886.513689148745</c:v>
                </c:pt>
                <c:pt idx="11">
                  <c:v>19211.618413960798</c:v>
                </c:pt>
                <c:pt idx="12">
                  <c:v>18493.939192667691</c:v>
                </c:pt>
                <c:pt idx="13">
                  <c:v>17620.069319366423</c:v>
                </c:pt>
                <c:pt idx="14">
                  <c:v>16616.896687245979</c:v>
                </c:pt>
                <c:pt idx="15">
                  <c:v>15046.948629287466</c:v>
                </c:pt>
                <c:pt idx="16">
                  <c:v>12238.518800742644</c:v>
                </c:pt>
                <c:pt idx="17">
                  <c:v>9002.0464995310685</c:v>
                </c:pt>
                <c:pt idx="18">
                  <c:v>6299.4148599524888</c:v>
                </c:pt>
                <c:pt idx="19">
                  <c:v>4210.2625317622196</c:v>
                </c:pt>
                <c:pt idx="20">
                  <c:v>2806.9505484925726</c:v>
                </c:pt>
                <c:pt idx="21">
                  <c:v>1932.9251555032763</c:v>
                </c:pt>
                <c:pt idx="22">
                  <c:v>1502.9979225992142</c:v>
                </c:pt>
                <c:pt idx="23">
                  <c:v>1272.2989475034187</c:v>
                </c:pt>
                <c:pt idx="24">
                  <c:v>1164.8859443530655</c:v>
                </c:pt>
                <c:pt idx="25">
                  <c:v>1088.8471933003668</c:v>
                </c:pt>
                <c:pt idx="26">
                  <c:v>1050.1554230026043</c:v>
                </c:pt>
                <c:pt idx="27">
                  <c:v>1019.453740568014</c:v>
                </c:pt>
                <c:pt idx="28">
                  <c:v>963.00529851018121</c:v>
                </c:pt>
                <c:pt idx="29">
                  <c:v>960.05069945453749</c:v>
                </c:pt>
                <c:pt idx="30">
                  <c:v>949.67879963638688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25117.194677462641</c:v>
                </c:pt>
                <c:pt idx="1">
                  <c:v>24352.366215057835</c:v>
                </c:pt>
                <c:pt idx="2">
                  <c:v>23600.404001155854</c:v>
                </c:pt>
                <c:pt idx="3">
                  <c:v>22755.828336532693</c:v>
                </c:pt>
                <c:pt idx="4">
                  <c:v>21940.230774368156</c:v>
                </c:pt>
                <c:pt idx="5">
                  <c:v>21284.454819366129</c:v>
                </c:pt>
                <c:pt idx="6">
                  <c:v>20620.060538141159</c:v>
                </c:pt>
                <c:pt idx="7">
                  <c:v>19977.343865556446</c:v>
                </c:pt>
                <c:pt idx="8">
                  <c:v>19289.623993311725</c:v>
                </c:pt>
                <c:pt idx="9">
                  <c:v>18647.782976803352</c:v>
                </c:pt>
                <c:pt idx="10">
                  <c:v>17826.827064375098</c:v>
                </c:pt>
                <c:pt idx="11">
                  <c:v>16954.334903724568</c:v>
                </c:pt>
                <c:pt idx="12">
                  <c:v>15922.841006065146</c:v>
                </c:pt>
                <c:pt idx="13">
                  <c:v>14714.26206336163</c:v>
                </c:pt>
                <c:pt idx="14">
                  <c:v>13036.6946451516</c:v>
                </c:pt>
                <c:pt idx="15">
                  <c:v>10374.034940579602</c:v>
                </c:pt>
                <c:pt idx="16">
                  <c:v>7073.4921689368193</c:v>
                </c:pt>
                <c:pt idx="17">
                  <c:v>4515.5711989850433</c:v>
                </c:pt>
                <c:pt idx="18">
                  <c:v>2852.8708170046552</c:v>
                </c:pt>
                <c:pt idx="19">
                  <c:v>1973.0546354951243</c:v>
                </c:pt>
                <c:pt idx="20">
                  <c:v>1516.2580553375271</c:v>
                </c:pt>
                <c:pt idx="21">
                  <c:v>1301.3550005718525</c:v>
                </c:pt>
                <c:pt idx="22">
                  <c:v>1169.8131520956299</c:v>
                </c:pt>
                <c:pt idx="23">
                  <c:v>1097.5385659372946</c:v>
                </c:pt>
                <c:pt idx="24">
                  <c:v>1054.4539925755591</c:v>
                </c:pt>
                <c:pt idx="25">
                  <c:v>991.26547839803118</c:v>
                </c:pt>
                <c:pt idx="26">
                  <c:v>972.58445589957489</c:v>
                </c:pt>
                <c:pt idx="27">
                  <c:v>956.31958386217809</c:v>
                </c:pt>
                <c:pt idx="28">
                  <c:v>955.44122412221554</c:v>
                </c:pt>
                <c:pt idx="29">
                  <c:v>949.07805744004781</c:v>
                </c:pt>
                <c:pt idx="30">
                  <c:v>945.16671984804736</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28582168"/>
        <c:axId val="4538478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858216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47896"/>
        <c:crosses val="autoZero"/>
        <c:crossBetween val="midCat"/>
      </c:valAx>
      <c:valAx>
        <c:axId val="45384789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858216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36512.309937517843</c:v>
                </c:pt>
                <c:pt idx="1">
                  <c:v>36610.57382827648</c:v>
                </c:pt>
                <c:pt idx="2">
                  <c:v>36951.279568968181</c:v>
                </c:pt>
                <c:pt idx="3">
                  <c:v>37215.952432993952</c:v>
                </c:pt>
                <c:pt idx="4">
                  <c:v>37490.368188835579</c:v>
                </c:pt>
                <c:pt idx="5">
                  <c:v>37836.258940978238</c:v>
                </c:pt>
                <c:pt idx="6">
                  <c:v>38252.851083355687</c:v>
                </c:pt>
                <c:pt idx="7">
                  <c:v>38813.753225395143</c:v>
                </c:pt>
                <c:pt idx="8">
                  <c:v>39375.916474455924</c:v>
                </c:pt>
                <c:pt idx="9">
                  <c:v>40380.83139009236</c:v>
                </c:pt>
                <c:pt idx="10">
                  <c:v>41249.50745141707</c:v>
                </c:pt>
                <c:pt idx="11">
                  <c:v>42652.687114413609</c:v>
                </c:pt>
                <c:pt idx="12">
                  <c:v>44483.118491309542</c:v>
                </c:pt>
                <c:pt idx="13">
                  <c:v>47428.273679676793</c:v>
                </c:pt>
                <c:pt idx="14">
                  <c:v>51289.058156457933</c:v>
                </c:pt>
                <c:pt idx="15">
                  <c:v>55562.619945805782</c:v>
                </c:pt>
                <c:pt idx="16">
                  <c:v>61665.255060885051</c:v>
                </c:pt>
                <c:pt idx="17">
                  <c:v>70272.962674375391</c:v>
                </c:pt>
                <c:pt idx="18">
                  <c:v>84700.077991831757</c:v>
                </c:pt>
                <c:pt idx="19">
                  <c:v>107212.65476912535</c:v>
                </c:pt>
                <c:pt idx="20">
                  <c:v>143939.45001969935</c:v>
                </c:pt>
                <c:pt idx="21">
                  <c:v>111668.9881054026</c:v>
                </c:pt>
                <c:pt idx="22">
                  <c:v>58458.094598826036</c:v>
                </c:pt>
                <c:pt idx="23">
                  <c:v>33372.30837553781</c:v>
                </c:pt>
                <c:pt idx="24">
                  <c:v>21233.601895930122</c:v>
                </c:pt>
                <c:pt idx="25">
                  <c:v>13689.337461098799</c:v>
                </c:pt>
                <c:pt idx="26">
                  <c:v>8396.4313151766983</c:v>
                </c:pt>
                <c:pt idx="27">
                  <c:v>5147.5408755925846</c:v>
                </c:pt>
                <c:pt idx="28">
                  <c:v>3272.6492527690871</c:v>
                </c:pt>
                <c:pt idx="29">
                  <c:v>2365.557333823856</c:v>
                </c:pt>
                <c:pt idx="30">
                  <c:v>1898.1488471489934</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36299.179580462805</c:v>
                </c:pt>
                <c:pt idx="1">
                  <c:v>36699.448711367004</c:v>
                </c:pt>
                <c:pt idx="2">
                  <c:v>36952.248636182238</c:v>
                </c:pt>
                <c:pt idx="3">
                  <c:v>37240.32428278539</c:v>
                </c:pt>
                <c:pt idx="4">
                  <c:v>37593.431761530461</c:v>
                </c:pt>
                <c:pt idx="5">
                  <c:v>38044.404559415321</c:v>
                </c:pt>
                <c:pt idx="6">
                  <c:v>38620.878018516763</c:v>
                </c:pt>
                <c:pt idx="7">
                  <c:v>39241.146193966451</c:v>
                </c:pt>
                <c:pt idx="8">
                  <c:v>40234.327482181536</c:v>
                </c:pt>
                <c:pt idx="9">
                  <c:v>41142.122240439152</c:v>
                </c:pt>
                <c:pt idx="10">
                  <c:v>42572.326003011323</c:v>
                </c:pt>
                <c:pt idx="11">
                  <c:v>44790.844034825786</c:v>
                </c:pt>
                <c:pt idx="12">
                  <c:v>47965.25101202567</c:v>
                </c:pt>
                <c:pt idx="13">
                  <c:v>51758.433630086693</c:v>
                </c:pt>
                <c:pt idx="14">
                  <c:v>56351.844688906232</c:v>
                </c:pt>
                <c:pt idx="15">
                  <c:v>62836.484888256178</c:v>
                </c:pt>
                <c:pt idx="16">
                  <c:v>72617.835197599168</c:v>
                </c:pt>
                <c:pt idx="17">
                  <c:v>87667.778594674644</c:v>
                </c:pt>
                <c:pt idx="18">
                  <c:v>108467.1368438135</c:v>
                </c:pt>
                <c:pt idx="19">
                  <c:v>101435.40958285246</c:v>
                </c:pt>
                <c:pt idx="20">
                  <c:v>60197.654699373015</c:v>
                </c:pt>
                <c:pt idx="21">
                  <c:v>35592.744482087299</c:v>
                </c:pt>
                <c:pt idx="22">
                  <c:v>23196.038763417302</c:v>
                </c:pt>
                <c:pt idx="23">
                  <c:v>15600.918867376864</c:v>
                </c:pt>
                <c:pt idx="24">
                  <c:v>10221.308262041164</c:v>
                </c:pt>
                <c:pt idx="25">
                  <c:v>6359.4486089142256</c:v>
                </c:pt>
                <c:pt idx="26">
                  <c:v>4028.3826490239189</c:v>
                </c:pt>
                <c:pt idx="27">
                  <c:v>2717.1210267500423</c:v>
                </c:pt>
                <c:pt idx="28">
                  <c:v>2090.6826802924697</c:v>
                </c:pt>
                <c:pt idx="29">
                  <c:v>1769.7999913633751</c:v>
                </c:pt>
                <c:pt idx="30">
                  <c:v>1610.7927755041981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36358.36373983293</c:v>
                </c:pt>
                <c:pt idx="1">
                  <c:v>36686.239718917139</c:v>
                </c:pt>
                <c:pt idx="2">
                  <c:v>36987.044642982437</c:v>
                </c:pt>
                <c:pt idx="3">
                  <c:v>37341.858031419586</c:v>
                </c:pt>
                <c:pt idx="4">
                  <c:v>37797.91016866592</c:v>
                </c:pt>
                <c:pt idx="5">
                  <c:v>38370.8920780728</c:v>
                </c:pt>
                <c:pt idx="6">
                  <c:v>39005.017226510136</c:v>
                </c:pt>
                <c:pt idx="7">
                  <c:v>39971.994022108353</c:v>
                </c:pt>
                <c:pt idx="8">
                  <c:v>40882.751585795231</c:v>
                </c:pt>
                <c:pt idx="9">
                  <c:v>42332.923381303306</c:v>
                </c:pt>
                <c:pt idx="10">
                  <c:v>44570.076027890333</c:v>
                </c:pt>
                <c:pt idx="11">
                  <c:v>47723.544650734701</c:v>
                </c:pt>
                <c:pt idx="12">
                  <c:v>51405.936198888216</c:v>
                </c:pt>
                <c:pt idx="13">
                  <c:v>55992.32233276176</c:v>
                </c:pt>
                <c:pt idx="14">
                  <c:v>62396.526503031571</c:v>
                </c:pt>
                <c:pt idx="15">
                  <c:v>72220.935313936774</c:v>
                </c:pt>
                <c:pt idx="16">
                  <c:v>87241.046762945829</c:v>
                </c:pt>
                <c:pt idx="17">
                  <c:v>112091.19380836448</c:v>
                </c:pt>
                <c:pt idx="18">
                  <c:v>114124.34153515651</c:v>
                </c:pt>
                <c:pt idx="19">
                  <c:v>68394.010154204807</c:v>
                </c:pt>
                <c:pt idx="20">
                  <c:v>38740.564182156799</c:v>
                </c:pt>
                <c:pt idx="21">
                  <c:v>24493.378949802292</c:v>
                </c:pt>
                <c:pt idx="22">
                  <c:v>16120.446077614522</c:v>
                </c:pt>
                <c:pt idx="23">
                  <c:v>10360.516368135783</c:v>
                </c:pt>
                <c:pt idx="24">
                  <c:v>6352.5044658106381</c:v>
                </c:pt>
                <c:pt idx="25">
                  <c:v>3985.2275131089514</c:v>
                </c:pt>
                <c:pt idx="26">
                  <c:v>2695.276643194657</c:v>
                </c:pt>
                <c:pt idx="27">
                  <c:v>2075.7860717174367</c:v>
                </c:pt>
                <c:pt idx="28">
                  <c:v>1766.2399047530398</c:v>
                </c:pt>
                <c:pt idx="29">
                  <c:v>1606.2351441606138</c:v>
                </c:pt>
                <c:pt idx="30">
                  <c:v>1575.8044324046975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36325.416364517048</c:v>
                </c:pt>
                <c:pt idx="1">
                  <c:v>36687.481046985231</c:v>
                </c:pt>
                <c:pt idx="2">
                  <c:v>37040.477685853191</c:v>
                </c:pt>
                <c:pt idx="3">
                  <c:v>37480.564185723189</c:v>
                </c:pt>
                <c:pt idx="4">
                  <c:v>38034.596355781418</c:v>
                </c:pt>
                <c:pt idx="5">
                  <c:v>38647.942158297199</c:v>
                </c:pt>
                <c:pt idx="6">
                  <c:v>39581.880536953788</c:v>
                </c:pt>
                <c:pt idx="7">
                  <c:v>40457.622409102529</c:v>
                </c:pt>
                <c:pt idx="8">
                  <c:v>41836.102883344225</c:v>
                </c:pt>
                <c:pt idx="9">
                  <c:v>43963.932893854777</c:v>
                </c:pt>
                <c:pt idx="10">
                  <c:v>46976.092551170099</c:v>
                </c:pt>
                <c:pt idx="11">
                  <c:v>50517.80461052616</c:v>
                </c:pt>
                <c:pt idx="12">
                  <c:v>54855.510428800502</c:v>
                </c:pt>
                <c:pt idx="13">
                  <c:v>60907.942517520132</c:v>
                </c:pt>
                <c:pt idx="14">
                  <c:v>70062.571481338528</c:v>
                </c:pt>
                <c:pt idx="15">
                  <c:v>84208.71905738597</c:v>
                </c:pt>
                <c:pt idx="16">
                  <c:v>109958.55693405851</c:v>
                </c:pt>
                <c:pt idx="17">
                  <c:v>131119.14309519043</c:v>
                </c:pt>
                <c:pt idx="18">
                  <c:v>85831.596837512931</c:v>
                </c:pt>
                <c:pt idx="19">
                  <c:v>45978.388580965024</c:v>
                </c:pt>
                <c:pt idx="20">
                  <c:v>27679.005904232457</c:v>
                </c:pt>
                <c:pt idx="21">
                  <c:v>17754.300167590423</c:v>
                </c:pt>
                <c:pt idx="22">
                  <c:v>11239.628231633958</c:v>
                </c:pt>
                <c:pt idx="23">
                  <c:v>6780.3904753259076</c:v>
                </c:pt>
                <c:pt idx="24">
                  <c:v>4190.4405323928358</c:v>
                </c:pt>
                <c:pt idx="25">
                  <c:v>2788.2784343615817</c:v>
                </c:pt>
                <c:pt idx="26">
                  <c:v>2123.3255636604308</c:v>
                </c:pt>
                <c:pt idx="27">
                  <c:v>1789.6066070394293</c:v>
                </c:pt>
                <c:pt idx="28">
                  <c:v>1620.7625048541847</c:v>
                </c:pt>
                <c:pt idx="29">
                  <c:v>1589.3581085744822</c:v>
                </c:pt>
                <c:pt idx="30">
                  <c:v>1466.3593780712374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36308.296107474693</c:v>
                </c:pt>
                <c:pt idx="1">
                  <c:v>36761.739457116491</c:v>
                </c:pt>
                <c:pt idx="2">
                  <c:v>37230.23477152027</c:v>
                </c:pt>
                <c:pt idx="3">
                  <c:v>37716.299204306764</c:v>
                </c:pt>
                <c:pt idx="4">
                  <c:v>38516.394272123573</c:v>
                </c:pt>
                <c:pt idx="5">
                  <c:v>39264.482457549166</c:v>
                </c:pt>
                <c:pt idx="6">
                  <c:v>40357.830513393368</c:v>
                </c:pt>
                <c:pt idx="7">
                  <c:v>41736.08570178465</c:v>
                </c:pt>
                <c:pt idx="8">
                  <c:v>43978.725655859154</c:v>
                </c:pt>
                <c:pt idx="9">
                  <c:v>47046.030804343041</c:v>
                </c:pt>
                <c:pt idx="10">
                  <c:v>50479.692654247083</c:v>
                </c:pt>
                <c:pt idx="11">
                  <c:v>54990.08984312298</c:v>
                </c:pt>
                <c:pt idx="12">
                  <c:v>61164.375379262776</c:v>
                </c:pt>
                <c:pt idx="13">
                  <c:v>70891.060936983718</c:v>
                </c:pt>
                <c:pt idx="14">
                  <c:v>85635.911727872503</c:v>
                </c:pt>
                <c:pt idx="15">
                  <c:v>119026.41291323678</c:v>
                </c:pt>
                <c:pt idx="16">
                  <c:v>173369.63198085185</c:v>
                </c:pt>
                <c:pt idx="17">
                  <c:v>130628.38523460364</c:v>
                </c:pt>
                <c:pt idx="18">
                  <c:v>60723.229626384789</c:v>
                </c:pt>
                <c:pt idx="19">
                  <c:v>32891.493444086351</c:v>
                </c:pt>
                <c:pt idx="20">
                  <c:v>19687.06122462291</c:v>
                </c:pt>
                <c:pt idx="21">
                  <c:v>11791.37460274017</c:v>
                </c:pt>
                <c:pt idx="22">
                  <c:v>6807.7075853850884</c:v>
                </c:pt>
                <c:pt idx="23">
                  <c:v>4093.4015046080817</c:v>
                </c:pt>
                <c:pt idx="24">
                  <c:v>2737.1778701390231</c:v>
                </c:pt>
                <c:pt idx="25">
                  <c:v>2087.4169172282668</c:v>
                </c:pt>
                <c:pt idx="26">
                  <c:v>1779.8514912256878</c:v>
                </c:pt>
                <c:pt idx="27">
                  <c:v>1609.4758284873408</c:v>
                </c:pt>
                <c:pt idx="28">
                  <c:v>1578.2927353151501</c:v>
                </c:pt>
                <c:pt idx="29">
                  <c:v>1463.3272301717411</c:v>
                </c:pt>
                <c:pt idx="30">
                  <c:v>1425.6932274455485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36730.628964166252</c:v>
                </c:pt>
                <c:pt idx="1">
                  <c:v>37467.217790171519</c:v>
                </c:pt>
                <c:pt idx="2">
                  <c:v>38316.058702479007</c:v>
                </c:pt>
                <c:pt idx="3">
                  <c:v>39112.809724562008</c:v>
                </c:pt>
                <c:pt idx="4">
                  <c:v>40291.478223423001</c:v>
                </c:pt>
                <c:pt idx="5">
                  <c:v>42108.179956694046</c:v>
                </c:pt>
                <c:pt idx="6">
                  <c:v>44711.836556826791</c:v>
                </c:pt>
                <c:pt idx="7">
                  <c:v>47846.378457034145</c:v>
                </c:pt>
                <c:pt idx="8">
                  <c:v>51484.872258824078</c:v>
                </c:pt>
                <c:pt idx="9">
                  <c:v>56557.358744199089</c:v>
                </c:pt>
                <c:pt idx="10">
                  <c:v>63876.903148452388</c:v>
                </c:pt>
                <c:pt idx="11">
                  <c:v>75271.400713022202</c:v>
                </c:pt>
                <c:pt idx="12">
                  <c:v>96376.788966608874</c:v>
                </c:pt>
                <c:pt idx="13">
                  <c:v>160943.82609826379</c:v>
                </c:pt>
                <c:pt idx="14">
                  <c:v>1080963.5523797481</c:v>
                </c:pt>
                <c:pt idx="15">
                  <c:v>-199161.38263066887</c:v>
                </c:pt>
                <c:pt idx="16">
                  <c:v>-145321.22134929974</c:v>
                </c:pt>
                <c:pt idx="17">
                  <c:v>-1015796.5063565745</c:v>
                </c:pt>
                <c:pt idx="18">
                  <c:v>77509.491590884703</c:v>
                </c:pt>
                <c:pt idx="19">
                  <c:v>23516.669287095461</c:v>
                </c:pt>
                <c:pt idx="20">
                  <c:v>9377.7192036505076</c:v>
                </c:pt>
                <c:pt idx="21">
                  <c:v>4631.7484707554549</c:v>
                </c:pt>
                <c:pt idx="22">
                  <c:v>2894.8174529768339</c:v>
                </c:pt>
                <c:pt idx="23">
                  <c:v>2151.8715170883579</c:v>
                </c:pt>
                <c:pt idx="24">
                  <c:v>1829.6415140515619</c:v>
                </c:pt>
                <c:pt idx="25">
                  <c:v>1636.8617525270804</c:v>
                </c:pt>
                <c:pt idx="26">
                  <c:v>1526.3552001944799</c:v>
                </c:pt>
                <c:pt idx="27">
                  <c:v>1499.092997339136</c:v>
                </c:pt>
                <c:pt idx="28">
                  <c:v>1371.7010824116753</c:v>
                </c:pt>
                <c:pt idx="29">
                  <c:v>1380.5625191129011</c:v>
                </c:pt>
                <c:pt idx="30">
                  <c:v>1334.2372600164617</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37797.204821109102</c:v>
                </c:pt>
                <c:pt idx="1">
                  <c:v>38969.811000425005</c:v>
                </c:pt>
                <c:pt idx="2">
                  <c:v>40428.993668981318</c:v>
                </c:pt>
                <c:pt idx="3">
                  <c:v>42572.527957439939</c:v>
                </c:pt>
                <c:pt idx="4">
                  <c:v>45392.44269781241</c:v>
                </c:pt>
                <c:pt idx="5">
                  <c:v>48453.596544344859</c:v>
                </c:pt>
                <c:pt idx="6">
                  <c:v>52590.237484890778</c:v>
                </c:pt>
                <c:pt idx="7">
                  <c:v>58155.882289702677</c:v>
                </c:pt>
                <c:pt idx="8">
                  <c:v>66920.728343792769</c:v>
                </c:pt>
                <c:pt idx="9">
                  <c:v>79977.412550640627</c:v>
                </c:pt>
                <c:pt idx="10">
                  <c:v>112789.72296137114</c:v>
                </c:pt>
                <c:pt idx="11">
                  <c:v>237907.63093484289</c:v>
                </c:pt>
                <c:pt idx="12">
                  <c:v>-396474.23393248365</c:v>
                </c:pt>
                <c:pt idx="13">
                  <c:v>-81593.252321957276</c:v>
                </c:pt>
                <c:pt idx="14">
                  <c:v>-36702.49207404445</c:v>
                </c:pt>
                <c:pt idx="15">
                  <c:v>-21885.492452218914</c:v>
                </c:pt>
                <c:pt idx="16">
                  <c:v>-15681.108968026225</c:v>
                </c:pt>
                <c:pt idx="17">
                  <c:v>-14556.422147887421</c:v>
                </c:pt>
                <c:pt idx="18">
                  <c:v>-26590.220542328079</c:v>
                </c:pt>
                <c:pt idx="19">
                  <c:v>14669.904104932601</c:v>
                </c:pt>
                <c:pt idx="20">
                  <c:v>4576.4426490144579</c:v>
                </c:pt>
                <c:pt idx="21">
                  <c:v>2723.4473377726486</c:v>
                </c:pt>
                <c:pt idx="22">
                  <c:v>2064.0595872064814</c:v>
                </c:pt>
                <c:pt idx="23">
                  <c:v>1754.2256840813566</c:v>
                </c:pt>
                <c:pt idx="24">
                  <c:v>1594.2557525849165</c:v>
                </c:pt>
                <c:pt idx="25">
                  <c:v>1464.4689456514832</c:v>
                </c:pt>
                <c:pt idx="26">
                  <c:v>1436.6844383710725</c:v>
                </c:pt>
                <c:pt idx="27">
                  <c:v>1364.5517829467524</c:v>
                </c:pt>
                <c:pt idx="28">
                  <c:v>1361.7314251663213</c:v>
                </c:pt>
                <c:pt idx="29">
                  <c:v>1333.6605450428303</c:v>
                </c:pt>
                <c:pt idx="30">
                  <c:v>1316.3534272051288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53841624"/>
        <c:axId val="4538451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538416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45152"/>
        <c:crosses val="autoZero"/>
        <c:crossBetween val="midCat"/>
        <c:majorUnit val="10000"/>
      </c:valAx>
      <c:valAx>
        <c:axId val="45384515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41624"/>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0.35630124857075646</c:v>
                </c:pt>
                <c:pt idx="1">
                  <c:v>0.35754452968932648</c:v>
                </c:pt>
                <c:pt idx="2">
                  <c:v>0.36165310562298819</c:v>
                </c:pt>
                <c:pt idx="3">
                  <c:v>0.36466108374180073</c:v>
                </c:pt>
                <c:pt idx="4">
                  <c:v>0.36754144046190884</c:v>
                </c:pt>
                <c:pt idx="5">
                  <c:v>0.370804888550193</c:v>
                </c:pt>
                <c:pt idx="6">
                  <c:v>0.37435791518518591</c:v>
                </c:pt>
                <c:pt idx="7">
                  <c:v>0.37860356266689338</c:v>
                </c:pt>
                <c:pt idx="8">
                  <c:v>0.3830362497801571</c:v>
                </c:pt>
                <c:pt idx="9">
                  <c:v>0.3885746147548032</c:v>
                </c:pt>
                <c:pt idx="10">
                  <c:v>0.39350385378760994</c:v>
                </c:pt>
                <c:pt idx="11">
                  <c:v>0.3994176998294558</c:v>
                </c:pt>
                <c:pt idx="12">
                  <c:v>0.40667803957849036</c:v>
                </c:pt>
                <c:pt idx="13">
                  <c:v>0.41563098618052757</c:v>
                </c:pt>
                <c:pt idx="14">
                  <c:v>0.42473000620666873</c:v>
                </c:pt>
                <c:pt idx="15">
                  <c:v>0.43256490326130231</c:v>
                </c:pt>
                <c:pt idx="16">
                  <c:v>0.44115019988714382</c:v>
                </c:pt>
                <c:pt idx="17">
                  <c:v>0.44998771889219014</c:v>
                </c:pt>
                <c:pt idx="18">
                  <c:v>0.45996262334999088</c:v>
                </c:pt>
                <c:pt idx="19">
                  <c:v>0.46956680183483623</c:v>
                </c:pt>
                <c:pt idx="20">
                  <c:v>0.47903772414122292</c:v>
                </c:pt>
                <c:pt idx="21">
                  <c:v>0.47716060529136328</c:v>
                </c:pt>
                <c:pt idx="22">
                  <c:v>0.46564792999221977</c:v>
                </c:pt>
                <c:pt idx="23">
                  <c:v>0.45290705208702148</c:v>
                </c:pt>
                <c:pt idx="24">
                  <c:v>0.44239716791845213</c:v>
                </c:pt>
                <c:pt idx="25">
                  <c:v>0.43218614210325657</c:v>
                </c:pt>
                <c:pt idx="26">
                  <c:v>0.42118983475560917</c:v>
                </c:pt>
                <c:pt idx="27">
                  <c:v>0.41030673694844755</c:v>
                </c:pt>
                <c:pt idx="28">
                  <c:v>0.40163181973202289</c:v>
                </c:pt>
                <c:pt idx="29">
                  <c:v>0.39447393905626088</c:v>
                </c:pt>
                <c:pt idx="30">
                  <c:v>0.38961543680816352</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0.35822238847580368</c:v>
                </c:pt>
                <c:pt idx="1">
                  <c:v>0.36297230900756061</c:v>
                </c:pt>
                <c:pt idx="2">
                  <c:v>0.36587720016252284</c:v>
                </c:pt>
                <c:pt idx="3">
                  <c:v>0.36887831159186607</c:v>
                </c:pt>
                <c:pt idx="4">
                  <c:v>0.37218976402514115</c:v>
                </c:pt>
                <c:pt idx="5">
                  <c:v>0.37597974879010976</c:v>
                </c:pt>
                <c:pt idx="6">
                  <c:v>0.38028240528223994</c:v>
                </c:pt>
                <c:pt idx="7">
                  <c:v>0.38502366848042691</c:v>
                </c:pt>
                <c:pt idx="8">
                  <c:v>0.39036881537925455</c:v>
                </c:pt>
                <c:pt idx="9">
                  <c:v>0.39537050464903906</c:v>
                </c:pt>
                <c:pt idx="10">
                  <c:v>0.40162908291974087</c:v>
                </c:pt>
                <c:pt idx="11">
                  <c:v>0.40962886792375586</c:v>
                </c:pt>
                <c:pt idx="12">
                  <c:v>0.41867837941529656</c:v>
                </c:pt>
                <c:pt idx="13">
                  <c:v>0.42709586628964896</c:v>
                </c:pt>
                <c:pt idx="14">
                  <c:v>0.43505074568715052</c:v>
                </c:pt>
                <c:pt idx="15">
                  <c:v>0.4435768562950097</c:v>
                </c:pt>
                <c:pt idx="16">
                  <c:v>0.45279723137673222</c:v>
                </c:pt>
                <c:pt idx="17">
                  <c:v>0.46229901453678091</c:v>
                </c:pt>
                <c:pt idx="18">
                  <c:v>0.47124506858203208</c:v>
                </c:pt>
                <c:pt idx="19">
                  <c:v>0.47321110509258563</c:v>
                </c:pt>
                <c:pt idx="20">
                  <c:v>0.46375124472651186</c:v>
                </c:pt>
                <c:pt idx="21">
                  <c:v>0.45160443427908353</c:v>
                </c:pt>
                <c:pt idx="22">
                  <c:v>0.44109820996726762</c:v>
                </c:pt>
                <c:pt idx="23">
                  <c:v>0.43156741408481064</c:v>
                </c:pt>
                <c:pt idx="24">
                  <c:v>0.42188364295087255</c:v>
                </c:pt>
                <c:pt idx="25">
                  <c:v>0.41143718306244093</c:v>
                </c:pt>
                <c:pt idx="26">
                  <c:v>0.40250224101141935</c:v>
                </c:pt>
                <c:pt idx="27">
                  <c:v>0.39563019544640299</c:v>
                </c:pt>
                <c:pt idx="28">
                  <c:v>0.39037885447878123</c:v>
                </c:pt>
                <c:pt idx="29">
                  <c:v>0.38672603761404833</c:v>
                </c:pt>
                <c:pt idx="30">
                  <c:v>0.38422408895096449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0.36248030439214479</c:v>
                </c:pt>
                <c:pt idx="1">
                  <c:v>0.36599684880364075</c:v>
                </c:pt>
                <c:pt idx="2">
                  <c:v>0.3690881917928967</c:v>
                </c:pt>
                <c:pt idx="3">
                  <c:v>0.37241990268834624</c:v>
                </c:pt>
                <c:pt idx="4">
                  <c:v>0.37626908563107048</c:v>
                </c:pt>
                <c:pt idx="5">
                  <c:v>0.38057450321022734</c:v>
                </c:pt>
                <c:pt idx="6">
                  <c:v>0.38540557799671754</c:v>
                </c:pt>
                <c:pt idx="7">
                  <c:v>0.39065174151638138</c:v>
                </c:pt>
                <c:pt idx="8">
                  <c:v>0.39568489048571837</c:v>
                </c:pt>
                <c:pt idx="9">
                  <c:v>0.40206005606197565</c:v>
                </c:pt>
                <c:pt idx="10">
                  <c:v>0.41013538517549597</c:v>
                </c:pt>
                <c:pt idx="11">
                  <c:v>0.41912078880855963</c:v>
                </c:pt>
                <c:pt idx="12">
                  <c:v>0.42731184885992224</c:v>
                </c:pt>
                <c:pt idx="13">
                  <c:v>0.43528985390311487</c:v>
                </c:pt>
                <c:pt idx="14">
                  <c:v>0.44374435198182682</c:v>
                </c:pt>
                <c:pt idx="15">
                  <c:v>0.4530258865404922</c:v>
                </c:pt>
                <c:pt idx="16">
                  <c:v>0.4624712423049252</c:v>
                </c:pt>
                <c:pt idx="17">
                  <c:v>0.472339547834149</c:v>
                </c:pt>
                <c:pt idx="18">
                  <c:v>0.47596586591192652</c:v>
                </c:pt>
                <c:pt idx="19">
                  <c:v>0.467686355394276</c:v>
                </c:pt>
                <c:pt idx="20">
                  <c:v>0.45518567072905775</c:v>
                </c:pt>
                <c:pt idx="21">
                  <c:v>0.44424299792624622</c:v>
                </c:pt>
                <c:pt idx="22">
                  <c:v>0.43434448632508005</c:v>
                </c:pt>
                <c:pt idx="23">
                  <c:v>0.4243573162967042</c:v>
                </c:pt>
                <c:pt idx="24">
                  <c:v>0.41333084590675495</c:v>
                </c:pt>
                <c:pt idx="25">
                  <c:v>0.40393473900723353</c:v>
                </c:pt>
                <c:pt idx="26">
                  <c:v>0.39653875112040632</c:v>
                </c:pt>
                <c:pt idx="27">
                  <c:v>0.39098977798021606</c:v>
                </c:pt>
                <c:pt idx="28">
                  <c:v>0.3870430484038202</c:v>
                </c:pt>
                <c:pt idx="29">
                  <c:v>0.38448236617193715</c:v>
                </c:pt>
                <c:pt idx="30">
                  <c:v>0.38663454871196923</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0.36518318974545844</c:v>
                </c:pt>
                <c:pt idx="1">
                  <c:v>0.36882736050098436</c:v>
                </c:pt>
                <c:pt idx="2">
                  <c:v>0.37219336319227825</c:v>
                </c:pt>
                <c:pt idx="3">
                  <c:v>0.37599507129787302</c:v>
                </c:pt>
                <c:pt idx="4">
                  <c:v>0.38026229738162298</c:v>
                </c:pt>
                <c:pt idx="5">
                  <c:v>0.38504326712911008</c:v>
                </c:pt>
                <c:pt idx="6">
                  <c:v>0.3902517391523288</c:v>
                </c:pt>
                <c:pt idx="7">
                  <c:v>0.3952293809495166</c:v>
                </c:pt>
                <c:pt idx="8">
                  <c:v>0.40147076260964087</c:v>
                </c:pt>
                <c:pt idx="9">
                  <c:v>0.40940425041002942</c:v>
                </c:pt>
                <c:pt idx="10">
                  <c:v>0.41829499665235975</c:v>
                </c:pt>
                <c:pt idx="11">
                  <c:v>0.42647180633597898</c:v>
                </c:pt>
                <c:pt idx="12">
                  <c:v>0.43433066882756743</c:v>
                </c:pt>
                <c:pt idx="13">
                  <c:v>0.44270315473281591</c:v>
                </c:pt>
                <c:pt idx="14">
                  <c:v>0.45184611157581306</c:v>
                </c:pt>
                <c:pt idx="15">
                  <c:v>0.46131037089059196</c:v>
                </c:pt>
                <c:pt idx="16">
                  <c:v>0.47174583907960166</c:v>
                </c:pt>
                <c:pt idx="17">
                  <c:v>0.4785455651633464</c:v>
                </c:pt>
                <c:pt idx="18">
                  <c:v>0.47309247804501914</c:v>
                </c:pt>
                <c:pt idx="19">
                  <c:v>0.46064290770314031</c:v>
                </c:pt>
                <c:pt idx="20">
                  <c:v>0.4489491858443076</c:v>
                </c:pt>
                <c:pt idx="21">
                  <c:v>0.4386523747282936</c:v>
                </c:pt>
                <c:pt idx="22">
                  <c:v>0.42837102005556782</c:v>
                </c:pt>
                <c:pt idx="23">
                  <c:v>0.41680383865599463</c:v>
                </c:pt>
                <c:pt idx="24">
                  <c:v>0.40659445525370808</c:v>
                </c:pt>
                <c:pt idx="25">
                  <c:v>0.39845275356724935</c:v>
                </c:pt>
                <c:pt idx="26">
                  <c:v>0.39224568708238411</c:v>
                </c:pt>
                <c:pt idx="27">
                  <c:v>0.38787809596090866</c:v>
                </c:pt>
                <c:pt idx="28">
                  <c:v>0.38499029882085894</c:v>
                </c:pt>
                <c:pt idx="29">
                  <c:v>0.38721934392954199</c:v>
                </c:pt>
                <c:pt idx="30">
                  <c:v>0.38232827263758129</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0.36863221026765319</c:v>
                </c:pt>
                <c:pt idx="1">
                  <c:v>0.37282252529303772</c:v>
                </c:pt>
                <c:pt idx="2">
                  <c:v>0.37683979967521414</c:v>
                </c:pt>
                <c:pt idx="3">
                  <c:v>0.38110433627523177</c:v>
                </c:pt>
                <c:pt idx="4">
                  <c:v>0.38619855445668116</c:v>
                </c:pt>
                <c:pt idx="5">
                  <c:v>0.39106679808589229</c:v>
                </c:pt>
                <c:pt idx="6">
                  <c:v>0.3963879931160027</c:v>
                </c:pt>
                <c:pt idx="7">
                  <c:v>0.40285538315908109</c:v>
                </c:pt>
                <c:pt idx="8">
                  <c:v>0.41103257368208007</c:v>
                </c:pt>
                <c:pt idx="9">
                  <c:v>0.41983588680183309</c:v>
                </c:pt>
                <c:pt idx="10">
                  <c:v>0.42757955080202326</c:v>
                </c:pt>
                <c:pt idx="11">
                  <c:v>0.43557117518681004</c:v>
                </c:pt>
                <c:pt idx="12">
                  <c:v>0.44387750538454862</c:v>
                </c:pt>
                <c:pt idx="13">
                  <c:v>0.45322884034206029</c:v>
                </c:pt>
                <c:pt idx="14">
                  <c:v>0.46258186383207356</c:v>
                </c:pt>
                <c:pt idx="15">
                  <c:v>0.47432273798443014</c:v>
                </c:pt>
                <c:pt idx="16">
                  <c:v>0.48376578041431351</c:v>
                </c:pt>
                <c:pt idx="17">
                  <c:v>0.48198605466394245</c:v>
                </c:pt>
                <c:pt idx="18">
                  <c:v>0.4697575834848377</c:v>
                </c:pt>
                <c:pt idx="19">
                  <c:v>0.45717612952718178</c:v>
                </c:pt>
                <c:pt idx="20">
                  <c:v>0.44594460629687532</c:v>
                </c:pt>
                <c:pt idx="21">
                  <c:v>0.434929598465433</c:v>
                </c:pt>
                <c:pt idx="22">
                  <c:v>0.42179203907937823</c:v>
                </c:pt>
                <c:pt idx="23">
                  <c:v>0.41033224666289325</c:v>
                </c:pt>
                <c:pt idx="24">
                  <c:v>0.4007215747188721</c:v>
                </c:pt>
                <c:pt idx="25">
                  <c:v>0.39374011271937204</c:v>
                </c:pt>
                <c:pt idx="26">
                  <c:v>0.38861117627110647</c:v>
                </c:pt>
                <c:pt idx="27">
                  <c:v>0.38560014458873937</c:v>
                </c:pt>
                <c:pt idx="28">
                  <c:v>0.3871362832437798</c:v>
                </c:pt>
                <c:pt idx="29">
                  <c:v>0.38256041819676806</c:v>
                </c:pt>
                <c:pt idx="30">
                  <c:v>0.38449143307545414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0.37793628483137087</c:v>
                </c:pt>
                <c:pt idx="1">
                  <c:v>0.38359013961497546</c:v>
                </c:pt>
                <c:pt idx="2">
                  <c:v>0.38879803357507531</c:v>
                </c:pt>
                <c:pt idx="3">
                  <c:v>0.39369396518229266</c:v>
                </c:pt>
                <c:pt idx="4">
                  <c:v>0.39955299390320337</c:v>
                </c:pt>
                <c:pt idx="5">
                  <c:v>0.40706586214307822</c:v>
                </c:pt>
                <c:pt idx="6">
                  <c:v>0.41566795758745645</c:v>
                </c:pt>
                <c:pt idx="7">
                  <c:v>0.42381371282768104</c:v>
                </c:pt>
                <c:pt idx="8">
                  <c:v>0.4313066531046153</c:v>
                </c:pt>
                <c:pt idx="9">
                  <c:v>0.43942559657284386</c:v>
                </c:pt>
                <c:pt idx="10">
                  <c:v>0.44811240393904789</c:v>
                </c:pt>
                <c:pt idx="11">
                  <c:v>0.45746144788065762</c:v>
                </c:pt>
                <c:pt idx="12">
                  <c:v>0.46801799238356173</c:v>
                </c:pt>
                <c:pt idx="13">
                  <c:v>0.48175339625577546</c:v>
                </c:pt>
                <c:pt idx="14">
                  <c:v>0.49743794989654311</c:v>
                </c:pt>
                <c:pt idx="15">
                  <c:v>0.51259192288395838</c:v>
                </c:pt>
                <c:pt idx="16">
                  <c:v>0.51403616838971011</c:v>
                </c:pt>
                <c:pt idx="17">
                  <c:v>0.5014770094934039</c:v>
                </c:pt>
                <c:pt idx="18">
                  <c:v>0.48645453021159774</c:v>
                </c:pt>
                <c:pt idx="19">
                  <c:v>0.4701611476781099</c:v>
                </c:pt>
                <c:pt idx="20">
                  <c:v>0.45011312652299118</c:v>
                </c:pt>
                <c:pt idx="21">
                  <c:v>0.4304465269178715</c:v>
                </c:pt>
                <c:pt idx="22">
                  <c:v>0.4134661657131648</c:v>
                </c:pt>
                <c:pt idx="23">
                  <c:v>0.40145795280992319</c:v>
                </c:pt>
                <c:pt idx="24">
                  <c:v>0.39388759715980831</c:v>
                </c:pt>
                <c:pt idx="25">
                  <c:v>0.38913264548056237</c:v>
                </c:pt>
                <c:pt idx="26">
                  <c:v>0.38533081696091021</c:v>
                </c:pt>
                <c:pt idx="27">
                  <c:v>0.38665882832958254</c:v>
                </c:pt>
                <c:pt idx="28">
                  <c:v>0.38299135639461379</c:v>
                </c:pt>
                <c:pt idx="29">
                  <c:v>0.38409909171523421</c:v>
                </c:pt>
                <c:pt idx="30">
                  <c:v>0.3813705742729408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0.38924580183314195</c:v>
                </c:pt>
                <c:pt idx="1">
                  <c:v>0.39584943836485698</c:v>
                </c:pt>
                <c:pt idx="2">
                  <c:v>0.40270842012381908</c:v>
                </c:pt>
                <c:pt idx="3">
                  <c:v>0.41091348721691345</c:v>
                </c:pt>
                <c:pt idx="4">
                  <c:v>0.4194424245153569</c:v>
                </c:pt>
                <c:pt idx="5">
                  <c:v>0.42678749588145798</c:v>
                </c:pt>
                <c:pt idx="6">
                  <c:v>0.43465181142518666</c:v>
                </c:pt>
                <c:pt idx="7">
                  <c:v>0.44274771218601872</c:v>
                </c:pt>
                <c:pt idx="8">
                  <c:v>0.45195902059370185</c:v>
                </c:pt>
                <c:pt idx="9">
                  <c:v>0.46113948013135203</c:v>
                </c:pt>
                <c:pt idx="10">
                  <c:v>0.47365772549082252</c:v>
                </c:pt>
                <c:pt idx="11">
                  <c:v>0.4881226067745259</c:v>
                </c:pt>
                <c:pt idx="12">
                  <c:v>0.50669351651940164</c:v>
                </c:pt>
                <c:pt idx="13">
                  <c:v>0.53005612524039958</c:v>
                </c:pt>
                <c:pt idx="14">
                  <c:v>0.55919986131936705</c:v>
                </c:pt>
                <c:pt idx="15">
                  <c:v>0.57900237233431018</c:v>
                </c:pt>
                <c:pt idx="16">
                  <c:v>0.57518061151754496</c:v>
                </c:pt>
                <c:pt idx="17">
                  <c:v>0.55170193555701907</c:v>
                </c:pt>
                <c:pt idx="18">
                  <c:v>0.51788170461933092</c:v>
                </c:pt>
                <c:pt idx="19">
                  <c:v>0.47758387260768681</c:v>
                </c:pt>
                <c:pt idx="20">
                  <c:v>0.44478032496615921</c:v>
                </c:pt>
                <c:pt idx="21">
                  <c:v>0.42036104495683302</c:v>
                </c:pt>
                <c:pt idx="22">
                  <c:v>0.4055410706691478</c:v>
                </c:pt>
                <c:pt idx="23">
                  <c:v>0.39572430960120469</c:v>
                </c:pt>
                <c:pt idx="24">
                  <c:v>0.38976528275906863</c:v>
                </c:pt>
                <c:pt idx="25">
                  <c:v>0.38718715165869028</c:v>
                </c:pt>
                <c:pt idx="26">
                  <c:v>0.38717257249588954</c:v>
                </c:pt>
                <c:pt idx="27">
                  <c:v>0.38319490743974016</c:v>
                </c:pt>
                <c:pt idx="28">
                  <c:v>0.38306049116776481</c:v>
                </c:pt>
                <c:pt idx="29">
                  <c:v>0.38139434968818992</c:v>
                </c:pt>
                <c:pt idx="30">
                  <c:v>0.38033017319991108</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3845544"/>
        <c:axId val="4538435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38455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3843584"/>
        <c:crosses val="autoZero"/>
        <c:crossBetween val="midCat"/>
        <c:majorUnit val="10000"/>
      </c:valAx>
      <c:valAx>
        <c:axId val="45384358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384554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3846720"/>
        <c:axId val="4538471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384672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47112"/>
        <c:crosses val="autoZero"/>
        <c:crossBetween val="midCat"/>
        <c:majorUnit val="10000"/>
      </c:valAx>
      <c:valAx>
        <c:axId val="453847112"/>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4672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6.2584855829560292E-3</c:v>
                </c:pt>
                <c:pt idx="1">
                  <c:v>8.2839409378199242E-3</c:v>
                </c:pt>
                <c:pt idx="2">
                  <c:v>2.2436136837792188E-3</c:v>
                </c:pt>
                <c:pt idx="3">
                  <c:v>3.771460611301743E-4</c:v>
                </c:pt>
                <c:pt idx="4">
                  <c:v>5.3773469585616223E-5</c:v>
                </c:pt>
                <c:pt idx="5">
                  <c:v>8.2986540132672836E-6</c:v>
                </c:pt>
                <c:pt idx="6">
                  <c:v>1.7762902671676217E-5</c:v>
                </c:pt>
                <c:pt idx="7">
                  <c:v>5.927590909585528E-5</c:v>
                </c:pt>
                <c:pt idx="8">
                  <c:v>1.5066949756039946E-4</c:v>
                </c:pt>
                <c:pt idx="9">
                  <c:v>3.2234391883334334E-4</c:v>
                </c:pt>
                <c:pt idx="10">
                  <c:v>5.7802674068207279E-4</c:v>
                </c:pt>
                <c:pt idx="11">
                  <c:v>8.7005368254914662E-4</c:v>
                </c:pt>
                <c:pt idx="12">
                  <c:v>1.1092379698642754E-3</c:v>
                </c:pt>
                <c:pt idx="13">
                  <c:v>1.2128364719025436E-3</c:v>
                </c:pt>
                <c:pt idx="14">
                  <c:v>1.1339907855815292E-3</c:v>
                </c:pt>
                <c:pt idx="15">
                  <c:v>9.2053759726134013E-4</c:v>
                </c:pt>
                <c:pt idx="16">
                  <c:v>6.6576801242101979E-4</c:v>
                </c:pt>
                <c:pt idx="17">
                  <c:v>4.5870213036361954E-4</c:v>
                </c:pt>
                <c:pt idx="18">
                  <c:v>2.9389013872538458E-4</c:v>
                </c:pt>
                <c:pt idx="19">
                  <c:v>1.6593923642786081E-4</c:v>
                </c:pt>
                <c:pt idx="20">
                  <c:v>8.2680542901092898E-5</c:v>
                </c:pt>
                <c:pt idx="21">
                  <c:v>3.7557722760490515E-5</c:v>
                </c:pt>
                <c:pt idx="22">
                  <c:v>1.5955967082689637E-5</c:v>
                </c:pt>
                <c:pt idx="23">
                  <c:v>1.2387554044983806E-5</c:v>
                </c:pt>
                <c:pt idx="24">
                  <c:v>1.4447421240959094E-5</c:v>
                </c:pt>
                <c:pt idx="25">
                  <c:v>1.6223004092321256E-5</c:v>
                </c:pt>
                <c:pt idx="26">
                  <c:v>2.3411533823225929E-5</c:v>
                </c:pt>
                <c:pt idx="27">
                  <c:v>6.2341690152839559E-5</c:v>
                </c:pt>
                <c:pt idx="28">
                  <c:v>1.1364130236948987E-4</c:v>
                </c:pt>
                <c:pt idx="29">
                  <c:v>1.100108118238921E-4</c:v>
                </c:pt>
                <c:pt idx="30">
                  <c:v>4.7056671242453376E-5</c:v>
                </c:pt>
              </c:numCache>
            </c:numRef>
          </c:yVal>
          <c:smooth val="1"/>
        </c:ser>
        <c:dLbls>
          <c:showLegendKey val="0"/>
          <c:showVal val="0"/>
          <c:showCatName val="0"/>
          <c:showSerName val="0"/>
          <c:showPercent val="0"/>
          <c:showBubbleSize val="0"/>
        </c:dLbls>
        <c:axId val="453843192"/>
        <c:axId val="453843976"/>
      </c:scatterChart>
      <c:valAx>
        <c:axId val="4538431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43976"/>
        <c:crossesAt val="-1.5000000000000005E-3"/>
        <c:crossBetween val="midCat"/>
      </c:valAx>
      <c:valAx>
        <c:axId val="45384397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4319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10389.692468569694</c:v>
                </c:pt>
                <c:pt idx="1">
                  <c:v>10301.393058117992</c:v>
                </c:pt>
                <c:pt idx="2">
                  <c:v>9968.4703397048888</c:v>
                </c:pt>
                <c:pt idx="3">
                  <c:v>9744.3666211086711</c:v>
                </c:pt>
                <c:pt idx="4">
                  <c:v>9485.6230303506763</c:v>
                </c:pt>
                <c:pt idx="5">
                  <c:v>9224.3764926407584</c:v>
                </c:pt>
                <c:pt idx="6">
                  <c:v>8983.4950393918589</c:v>
                </c:pt>
                <c:pt idx="7">
                  <c:v>8670.9074213877102</c:v>
                </c:pt>
                <c:pt idx="8">
                  <c:v>8317.4929906208345</c:v>
                </c:pt>
                <c:pt idx="9">
                  <c:v>7971.2431477275059</c:v>
                </c:pt>
                <c:pt idx="10">
                  <c:v>7677.9936091269574</c:v>
                </c:pt>
                <c:pt idx="11">
                  <c:v>7410.3523675229317</c:v>
                </c:pt>
                <c:pt idx="12">
                  <c:v>7124.3363170584926</c:v>
                </c:pt>
                <c:pt idx="13">
                  <c:v>6853.0400453335606</c:v>
                </c:pt>
                <c:pt idx="14">
                  <c:v>6565.1761395028971</c:v>
                </c:pt>
                <c:pt idx="15">
                  <c:v>6224.727583674593</c:v>
                </c:pt>
                <c:pt idx="16">
                  <c:v>5686.8413351175996</c:v>
                </c:pt>
                <c:pt idx="17">
                  <c:v>4765.6561351786004</c:v>
                </c:pt>
                <c:pt idx="18">
                  <c:v>3747.3067359468569</c:v>
                </c:pt>
                <c:pt idx="19">
                  <c:v>2900.3524527773006</c:v>
                </c:pt>
                <c:pt idx="20">
                  <c:v>2207.7689271656145</c:v>
                </c:pt>
                <c:pt idx="21">
                  <c:v>1604.1866397343597</c:v>
                </c:pt>
                <c:pt idx="22">
                  <c:v>1123.3888338154557</c:v>
                </c:pt>
                <c:pt idx="23">
                  <c:v>780.77487931738005</c:v>
                </c:pt>
                <c:pt idx="24">
                  <c:v>581.99742386686194</c:v>
                </c:pt>
                <c:pt idx="25">
                  <c:v>477.44686985321619</c:v>
                </c:pt>
                <c:pt idx="26">
                  <c:v>428.30763414696457</c:v>
                </c:pt>
                <c:pt idx="27">
                  <c:v>398.67623002567353</c:v>
                </c:pt>
                <c:pt idx="28">
                  <c:v>385.20744480091901</c:v>
                </c:pt>
                <c:pt idx="29">
                  <c:v>372.94162626331786</c:v>
                </c:pt>
                <c:pt idx="30">
                  <c:v>356.82134614902191</c:v>
                </c:pt>
              </c:numCache>
            </c:numRef>
          </c:yVal>
          <c:smooth val="1"/>
        </c:ser>
        <c:dLbls>
          <c:showLegendKey val="0"/>
          <c:showVal val="0"/>
          <c:showCatName val="0"/>
          <c:showSerName val="0"/>
          <c:showPercent val="0"/>
          <c:showBubbleSize val="0"/>
        </c:dLbls>
        <c:axId val="405499432"/>
        <c:axId val="453328792"/>
      </c:scatterChart>
      <c:valAx>
        <c:axId val="4054994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8792"/>
        <c:crosses val="autoZero"/>
        <c:crossBetween val="midCat"/>
      </c:valAx>
      <c:valAx>
        <c:axId val="4533287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0549943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8.1517163944540061E-2</c:v>
                </c:pt>
                <c:pt idx="1">
                  <c:v>9.7573143064330528E-2</c:v>
                </c:pt>
                <c:pt idx="2">
                  <c:v>7.6556020115637113E-2</c:v>
                </c:pt>
                <c:pt idx="3">
                  <c:v>6.0687220386801036E-2</c:v>
                </c:pt>
                <c:pt idx="4">
                  <c:v>4.5400998678232871E-2</c:v>
                </c:pt>
                <c:pt idx="5">
                  <c:v>2.9177018255793684E-2</c:v>
                </c:pt>
                <c:pt idx="6">
                  <c:v>2.0948839405921699E-2</c:v>
                </c:pt>
                <c:pt idx="7">
                  <c:v>3.113986728993717E-2</c:v>
                </c:pt>
                <c:pt idx="8">
                  <c:v>2.7555095605418807E-2</c:v>
                </c:pt>
                <c:pt idx="9">
                  <c:v>2.7809116246288467E-2</c:v>
                </c:pt>
                <c:pt idx="10">
                  <c:v>2.8248252403603635E-2</c:v>
                </c:pt>
                <c:pt idx="11">
                  <c:v>2.719706593226557E-2</c:v>
                </c:pt>
                <c:pt idx="12">
                  <c:v>2.6190409718723617E-2</c:v>
                </c:pt>
                <c:pt idx="13">
                  <c:v>2.5390002339733313E-2</c:v>
                </c:pt>
                <c:pt idx="14">
                  <c:v>2.5481288153350334E-2</c:v>
                </c:pt>
                <c:pt idx="15">
                  <c:v>2.6603195081776814E-2</c:v>
                </c:pt>
                <c:pt idx="16">
                  <c:v>2.4455532478612079E-2</c:v>
                </c:pt>
                <c:pt idx="17">
                  <c:v>2.626465766382104E-2</c:v>
                </c:pt>
                <c:pt idx="18">
                  <c:v>2.177896536713015E-2</c:v>
                </c:pt>
                <c:pt idx="19">
                  <c:v>2.1543714920494172E-2</c:v>
                </c:pt>
                <c:pt idx="20">
                  <c:v>8.7845870573750318E-3</c:v>
                </c:pt>
                <c:pt idx="21">
                  <c:v>7.6189667134854103E-2</c:v>
                </c:pt>
                <c:pt idx="22">
                  <c:v>0.12626367561722954</c:v>
                </c:pt>
                <c:pt idx="23">
                  <c:v>0.12027045177726735</c:v>
                </c:pt>
                <c:pt idx="24">
                  <c:v>0.10666106197475485</c:v>
                </c:pt>
                <c:pt idx="25">
                  <c:v>9.5397263950799865E-2</c:v>
                </c:pt>
                <c:pt idx="26">
                  <c:v>0.11294505661590888</c:v>
                </c:pt>
                <c:pt idx="27">
                  <c:v>7.4343738570597687E-2</c:v>
                </c:pt>
                <c:pt idx="28">
                  <c:v>8.2607784965001721E-2</c:v>
                </c:pt>
                <c:pt idx="29">
                  <c:v>4.2338014226016497E-2</c:v>
                </c:pt>
                <c:pt idx="30">
                  <c:v>3.6713940467165716E-2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3.3623098440017929E-2</c:v>
                </c:pt>
                <c:pt idx="1">
                  <c:v>1.4628149238836393E-2</c:v>
                </c:pt>
                <c:pt idx="2">
                  <c:v>2.172582855177096E-3</c:v>
                </c:pt>
                <c:pt idx="3">
                  <c:v>1.1573064283770345E-2</c:v>
                </c:pt>
                <c:pt idx="4">
                  <c:v>1.210565084613395E-2</c:v>
                </c:pt>
                <c:pt idx="5">
                  <c:v>9.8837780161170116E-3</c:v>
                </c:pt>
                <c:pt idx="6">
                  <c:v>1.1508367214755191E-2</c:v>
                </c:pt>
                <c:pt idx="7">
                  <c:v>9.8565031250759903E-3</c:v>
                </c:pt>
                <c:pt idx="8">
                  <c:v>1.096130358106079E-2</c:v>
                </c:pt>
                <c:pt idx="9">
                  <c:v>1.1924502439507054E-2</c:v>
                </c:pt>
                <c:pt idx="10">
                  <c:v>1.1390405096239347E-2</c:v>
                </c:pt>
                <c:pt idx="11">
                  <c:v>1.1644075343701611E-2</c:v>
                </c:pt>
                <c:pt idx="12">
                  <c:v>1.0875136626208055E-2</c:v>
                </c:pt>
                <c:pt idx="13">
                  <c:v>1.2019604767382086E-2</c:v>
                </c:pt>
                <c:pt idx="14">
                  <c:v>1.1771706968010272E-2</c:v>
                </c:pt>
                <c:pt idx="15">
                  <c:v>1.1344912422300388E-2</c:v>
                </c:pt>
                <c:pt idx="16">
                  <c:v>9.4414366563938968E-3</c:v>
                </c:pt>
                <c:pt idx="17">
                  <c:v>1.5132574055396279E-2</c:v>
                </c:pt>
                <c:pt idx="18">
                  <c:v>4.1919896974566391E-2</c:v>
                </c:pt>
                <c:pt idx="19">
                  <c:v>3.9920909016784849E-2</c:v>
                </c:pt>
                <c:pt idx="20">
                  <c:v>2.338842417255341E-2</c:v>
                </c:pt>
                <c:pt idx="21">
                  <c:v>9.8897868809392393E-3</c:v>
                </c:pt>
                <c:pt idx="22">
                  <c:v>1.410683724336503E-2</c:v>
                </c:pt>
                <c:pt idx="23">
                  <c:v>7.5758914755562545E-3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6.2626190348798062E-3</c:v>
                </c:pt>
                <c:pt idx="1">
                  <c:v>8.2499816851891346E-3</c:v>
                </c:pt>
                <c:pt idx="2">
                  <c:v>2.2931658160535006E-3</c:v>
                </c:pt>
                <c:pt idx="3">
                  <c:v>3.3700576249894032E-4</c:v>
                </c:pt>
                <c:pt idx="4">
                  <c:v>1.0386945830519927E-4</c:v>
                </c:pt>
                <c:pt idx="5">
                  <c:v>4.2435873271531012E-5</c:v>
                </c:pt>
                <c:pt idx="6">
                  <c:v>7.1096977333672581E-5</c:v>
                </c:pt>
                <c:pt idx="7">
                  <c:v>1.6206482641543197E-5</c:v>
                </c:pt>
                <c:pt idx="8">
                  <c:v>2.3445544995901534E-4</c:v>
                </c:pt>
                <c:pt idx="9">
                  <c:v>2.4093965822829711E-4</c:v>
                </c:pt>
                <c:pt idx="10">
                  <c:v>6.4537508231253765E-4</c:v>
                </c:pt>
                <c:pt idx="11">
                  <c:v>8.0037721502631664E-4</c:v>
                </c:pt>
                <c:pt idx="12">
                  <c:v>1.1869954066335603E-3</c:v>
                </c:pt>
                <c:pt idx="13">
                  <c:v>1.1469944751556782E-3</c:v>
                </c:pt>
                <c:pt idx="14">
                  <c:v>1.2239572222090087E-3</c:v>
                </c:pt>
                <c:pt idx="15">
                  <c:v>8.223668681046222E-4</c:v>
                </c:pt>
                <c:pt idx="16">
                  <c:v>9.0476479463956201E-4</c:v>
                </c:pt>
                <c:pt idx="17">
                  <c:v>1.0949366951901461E-4</c:v>
                </c:pt>
                <c:pt idx="18">
                  <c:v>6.6485362960271672E-4</c:v>
                </c:pt>
                <c:pt idx="19">
                  <c:v>2.0436014095960071E-4</c:v>
                </c:pt>
                <c:pt idx="20">
                  <c:v>5.2906107192381797E-4</c:v>
                </c:pt>
                <c:pt idx="21">
                  <c:v>3.770555862086438E-4</c:v>
                </c:pt>
                <c:pt idx="22">
                  <c:v>8.284459608628702E-4</c:v>
                </c:pt>
                <c:pt idx="23">
                  <c:v>5.5910922434952357E-4</c:v>
                </c:pt>
                <c:pt idx="24">
                  <c:v>5.0897476501601271E-4</c:v>
                </c:pt>
                <c:pt idx="25">
                  <c:v>2.1192342679809172E-4</c:v>
                </c:pt>
                <c:pt idx="26">
                  <c:v>1.9433388799716035E-4</c:v>
                </c:pt>
                <c:pt idx="27">
                  <c:v>3.0860489963846648E-5</c:v>
                </c:pt>
                <c:pt idx="28">
                  <c:v>1.5346246987416609E-4</c:v>
                </c:pt>
                <c:pt idx="29">
                  <c:v>3.2618960100713903E-5</c:v>
                </c:pt>
                <c:pt idx="30">
                  <c:v>1.6448804221785818E-4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4.1039281563193385E-2</c:v>
                </c:pt>
                <c:pt idx="1">
                  <c:v>4.92186487479577E-2</c:v>
                </c:pt>
                <c:pt idx="2">
                  <c:v>5.8149144553952169E-2</c:v>
                </c:pt>
                <c:pt idx="3">
                  <c:v>6.1981772212225429E-2</c:v>
                </c:pt>
                <c:pt idx="4">
                  <c:v>6.1491248169816576E-2</c:v>
                </c:pt>
                <c:pt idx="5">
                  <c:v>5.4473400655595333E-2</c:v>
                </c:pt>
                <c:pt idx="6">
                  <c:v>5.6018153188845191E-2</c:v>
                </c:pt>
                <c:pt idx="7">
                  <c:v>5.7048795369900228E-2</c:v>
                </c:pt>
                <c:pt idx="8">
                  <c:v>5.7654859564139828E-2</c:v>
                </c:pt>
                <c:pt idx="9">
                  <c:v>6.0544507991673255E-2</c:v>
                </c:pt>
                <c:pt idx="10">
                  <c:v>6.6914027118566421E-2</c:v>
                </c:pt>
                <c:pt idx="11">
                  <c:v>7.0711159457636591E-2</c:v>
                </c:pt>
                <c:pt idx="12">
                  <c:v>2.4769967174381274E-2</c:v>
                </c:pt>
                <c:pt idx="13">
                  <c:v>7.7148306544751535E-2</c:v>
                </c:pt>
                <c:pt idx="14">
                  <c:v>0.16802462523615233</c:v>
                </c:pt>
                <c:pt idx="15">
                  <c:v>0.17929388264894569</c:v>
                </c:pt>
                <c:pt idx="16">
                  <c:v>9.9402710112101472E-2</c:v>
                </c:pt>
                <c:pt idx="17">
                  <c:v>2.3158315572097462E-2</c:v>
                </c:pt>
                <c:pt idx="18">
                  <c:v>4.0951337634230887E-2</c:v>
                </c:pt>
                <c:pt idx="19">
                  <c:v>5.4140831104523404E-2</c:v>
                </c:pt>
                <c:pt idx="20">
                  <c:v>1.7426107335342857E-2</c:v>
                </c:pt>
                <c:pt idx="21">
                  <c:v>1.1668192407119291E-3</c:v>
                </c:pt>
                <c:pt idx="22">
                  <c:v>6.6649399124710327E-4</c:v>
                </c:pt>
                <c:pt idx="23">
                  <c:v>1.7667477219447199E-3</c:v>
                </c:pt>
                <c:pt idx="24">
                  <c:v>7.5402089236733406E-3</c:v>
                </c:pt>
                <c:pt idx="25">
                  <c:v>2.966188124179172E-2</c:v>
                </c:pt>
                <c:pt idx="26">
                  <c:v>1.0986520467348146E-2</c:v>
                </c:pt>
                <c:pt idx="27">
                  <c:v>0.22847706309654772</c:v>
                </c:pt>
                <c:pt idx="28">
                  <c:v>0.27355232163701759</c:v>
                </c:pt>
                <c:pt idx="29">
                  <c:v>0.26956280048485265</c:v>
                </c:pt>
                <c:pt idx="30">
                  <c:v>0.2671050987849356</c:v>
                </c:pt>
              </c:numCache>
            </c:numRef>
          </c:yVal>
          <c:smooth val="1"/>
        </c:ser>
        <c:dLbls>
          <c:showLegendKey val="0"/>
          <c:showVal val="0"/>
          <c:showCatName val="0"/>
          <c:showSerName val="0"/>
          <c:showPercent val="0"/>
          <c:showBubbleSize val="0"/>
        </c:dLbls>
        <c:axId val="453322912"/>
        <c:axId val="453322128"/>
      </c:scatterChart>
      <c:valAx>
        <c:axId val="4533229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2128"/>
        <c:crossesAt val="1.0000000000000005E-9"/>
        <c:crossBetween val="midCat"/>
      </c:valAx>
      <c:valAx>
        <c:axId val="453322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291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-11.207038780645185</c:v>
                </c:pt>
                <c:pt idx="1">
                  <c:v>-7.262337894521731</c:v>
                </c:pt>
                <c:pt idx="2">
                  <c:v>-4.7930791601083342</c:v>
                </c:pt>
                <c:pt idx="3">
                  <c:v>-2.6397977545749804</c:v>
                </c:pt>
                <c:pt idx="4">
                  <c:v>0</c:v>
                </c:pt>
                <c:pt idx="5">
                  <c:v>5.0230571207020684</c:v>
                </c:pt>
                <c:pt idx="6">
                  <c:v>9.9050925593456753</c:v>
                </c:pt>
              </c:numCache>
            </c:numRef>
          </c:yVal>
          <c:smooth val="0"/>
        </c:ser>
        <c:dLbls>
          <c:showLegendKey val="0"/>
          <c:showVal val="0"/>
          <c:showCatName val="0"/>
          <c:showSerName val="0"/>
          <c:showPercent val="0"/>
          <c:showBubbleSize val="0"/>
        </c:dLbls>
        <c:axId val="453329184"/>
        <c:axId val="453324480"/>
      </c:scatterChart>
      <c:valAx>
        <c:axId val="4533291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4480"/>
        <c:crossesAt val="-100"/>
        <c:crossBetween val="midCat"/>
      </c:valAx>
      <c:valAx>
        <c:axId val="453324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918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ser>
        <c:dLbls>
          <c:showLegendKey val="0"/>
          <c:showVal val="0"/>
          <c:showCatName val="0"/>
          <c:showSerName val="0"/>
          <c:showPercent val="0"/>
          <c:showBubbleSize val="0"/>
        </c:dLbls>
        <c:axId val="453324088"/>
        <c:axId val="453323304"/>
      </c:scatterChart>
      <c:valAx>
        <c:axId val="45332408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3304"/>
        <c:crosses val="autoZero"/>
        <c:crossBetween val="midCat"/>
      </c:valAx>
      <c:valAx>
        <c:axId val="45332330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408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1.3578284345844646E-20</c:v>
                </c:pt>
                <c:pt idx="1">
                  <c:v>1.3578284345844645E-19</c:v>
                </c:pt>
                <c:pt idx="2">
                  <c:v>1.3578284345844646E-18</c:v>
                </c:pt>
                <c:pt idx="3">
                  <c:v>1.3578284345844645E-17</c:v>
                </c:pt>
                <c:pt idx="4">
                  <c:v>1.3578284345844644E-16</c:v>
                </c:pt>
                <c:pt idx="5">
                  <c:v>1.3578284345844645E-15</c:v>
                </c:pt>
                <c:pt idx="6">
                  <c:v>1.3578284345844645E-14</c:v>
                </c:pt>
                <c:pt idx="7">
                  <c:v>1.3578284345844645E-13</c:v>
                </c:pt>
                <c:pt idx="8">
                  <c:v>1.3578284345844644E-12</c:v>
                </c:pt>
                <c:pt idx="9">
                  <c:v>1.3578284345844644E-11</c:v>
                </c:pt>
                <c:pt idx="10">
                  <c:v>1.3578284345844646E-10</c:v>
                </c:pt>
                <c:pt idx="11">
                  <c:v>1.3578284345844646E-9</c:v>
                </c:pt>
                <c:pt idx="12">
                  <c:v>1.3578284345844645E-8</c:v>
                </c:pt>
                <c:pt idx="13">
                  <c:v>1.3578284345844645E-7</c:v>
                </c:pt>
                <c:pt idx="14">
                  <c:v>1.3578284345844646E-6</c:v>
                </c:pt>
                <c:pt idx="15">
                  <c:v>1.3578284345844645E-5</c:v>
                </c:pt>
                <c:pt idx="16">
                  <c:v>1.3578284345844646E-4</c:v>
                </c:pt>
                <c:pt idx="17">
                  <c:v>1.3578284345844645E-3</c:v>
                </c:pt>
                <c:pt idx="18">
                  <c:v>1.3578284345844644E-2</c:v>
                </c:pt>
                <c:pt idx="19">
                  <c:v>0.13578284345844643</c:v>
                </c:pt>
                <c:pt idx="20">
                  <c:v>1.3578284345844644</c:v>
                </c:pt>
                <c:pt idx="21">
                  <c:v>13.578284345844645</c:v>
                </c:pt>
                <c:pt idx="22">
                  <c:v>135.78284345844645</c:v>
                </c:pt>
                <c:pt idx="23">
                  <c:v>1357.8284345844645</c:v>
                </c:pt>
                <c:pt idx="24">
                  <c:v>13578.284345844644</c:v>
                </c:pt>
                <c:pt idx="25">
                  <c:v>135782.84345844644</c:v>
                </c:pt>
                <c:pt idx="26">
                  <c:v>1357828.4345844644</c:v>
                </c:pt>
                <c:pt idx="27">
                  <c:v>13578284.345844645</c:v>
                </c:pt>
                <c:pt idx="28">
                  <c:v>135782843.45844644</c:v>
                </c:pt>
                <c:pt idx="29">
                  <c:v>1357828434.5844646</c:v>
                </c:pt>
                <c:pt idx="30">
                  <c:v>13578284345.844645</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7.0146616319195381E-19</c:v>
                </c:pt>
                <c:pt idx="1">
                  <c:v>7.0146616319195371E-18</c:v>
                </c:pt>
                <c:pt idx="2">
                  <c:v>7.0146616319195374E-17</c:v>
                </c:pt>
                <c:pt idx="3">
                  <c:v>7.0146616319195372E-16</c:v>
                </c:pt>
                <c:pt idx="4">
                  <c:v>7.0146616319195368E-15</c:v>
                </c:pt>
                <c:pt idx="5">
                  <c:v>7.0146616319195374E-14</c:v>
                </c:pt>
                <c:pt idx="6">
                  <c:v>7.0146616319195379E-13</c:v>
                </c:pt>
                <c:pt idx="7">
                  <c:v>7.0146616319195375E-12</c:v>
                </c:pt>
                <c:pt idx="8">
                  <c:v>7.0146616319195372E-11</c:v>
                </c:pt>
                <c:pt idx="9">
                  <c:v>7.0146616319195372E-10</c:v>
                </c:pt>
                <c:pt idx="10">
                  <c:v>7.0146616319195382E-9</c:v>
                </c:pt>
                <c:pt idx="11">
                  <c:v>7.0146616319195376E-8</c:v>
                </c:pt>
                <c:pt idx="12">
                  <c:v>7.0146616319195371E-7</c:v>
                </c:pt>
                <c:pt idx="13">
                  <c:v>7.0146616319195375E-6</c:v>
                </c:pt>
                <c:pt idx="14">
                  <c:v>7.0146616319195375E-5</c:v>
                </c:pt>
                <c:pt idx="15">
                  <c:v>7.0146616319195375E-4</c:v>
                </c:pt>
                <c:pt idx="16">
                  <c:v>7.0146616319195377E-3</c:v>
                </c:pt>
                <c:pt idx="17">
                  <c:v>7.0146616319195373E-2</c:v>
                </c:pt>
                <c:pt idx="18">
                  <c:v>0.70146616319195376</c:v>
                </c:pt>
                <c:pt idx="19">
                  <c:v>7.0146616319195374</c:v>
                </c:pt>
                <c:pt idx="20">
                  <c:v>70.146616319195374</c:v>
                </c:pt>
                <c:pt idx="21">
                  <c:v>701.4661631919538</c:v>
                </c:pt>
                <c:pt idx="22">
                  <c:v>7014.6616319195373</c:v>
                </c:pt>
                <c:pt idx="23">
                  <c:v>70146.616319195367</c:v>
                </c:pt>
                <c:pt idx="24">
                  <c:v>701466.16319195379</c:v>
                </c:pt>
                <c:pt idx="25">
                  <c:v>7014661.6319195377</c:v>
                </c:pt>
                <c:pt idx="26">
                  <c:v>70146616.319195375</c:v>
                </c:pt>
                <c:pt idx="27">
                  <c:v>701466163.19195378</c:v>
                </c:pt>
                <c:pt idx="28">
                  <c:v>7014661631.9195375</c:v>
                </c:pt>
                <c:pt idx="29">
                  <c:v>70146616319.195374</c:v>
                </c:pt>
                <c:pt idx="30">
                  <c:v>701466163191.95374</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8.286901360483213E-18</c:v>
                </c:pt>
                <c:pt idx="1">
                  <c:v>8.2869013604832124E-17</c:v>
                </c:pt>
                <c:pt idx="2">
                  <c:v>8.2869013604832124E-16</c:v>
                </c:pt>
                <c:pt idx="3">
                  <c:v>8.2869013604832116E-15</c:v>
                </c:pt>
                <c:pt idx="4">
                  <c:v>8.2869013604832113E-14</c:v>
                </c:pt>
                <c:pt idx="5">
                  <c:v>8.286901360483213E-13</c:v>
                </c:pt>
                <c:pt idx="6">
                  <c:v>8.286901360483213E-12</c:v>
                </c:pt>
                <c:pt idx="7">
                  <c:v>8.2869013604832124E-11</c:v>
                </c:pt>
                <c:pt idx="8">
                  <c:v>8.2869013604832119E-10</c:v>
                </c:pt>
                <c:pt idx="9">
                  <c:v>8.2869013604832115E-9</c:v>
                </c:pt>
                <c:pt idx="10">
                  <c:v>8.2869013604832128E-8</c:v>
                </c:pt>
                <c:pt idx="11">
                  <c:v>8.2869013604832123E-7</c:v>
                </c:pt>
                <c:pt idx="12">
                  <c:v>8.286901360483212E-6</c:v>
                </c:pt>
                <c:pt idx="13">
                  <c:v>8.2869013604832127E-5</c:v>
                </c:pt>
                <c:pt idx="14">
                  <c:v>8.2869013604832125E-4</c:v>
                </c:pt>
                <c:pt idx="15">
                  <c:v>8.286901360483212E-3</c:v>
                </c:pt>
                <c:pt idx="16">
                  <c:v>8.286901360483212E-2</c:v>
                </c:pt>
                <c:pt idx="17">
                  <c:v>0.8286901360483212</c:v>
                </c:pt>
                <c:pt idx="18">
                  <c:v>8.2869013604832116</c:v>
                </c:pt>
                <c:pt idx="19">
                  <c:v>82.869013604832119</c:v>
                </c:pt>
                <c:pt idx="20">
                  <c:v>828.69013604832128</c:v>
                </c:pt>
                <c:pt idx="21">
                  <c:v>8286.9013604832126</c:v>
                </c:pt>
                <c:pt idx="22">
                  <c:v>82869.013604832129</c:v>
                </c:pt>
                <c:pt idx="23">
                  <c:v>828690.13604832126</c:v>
                </c:pt>
                <c:pt idx="24">
                  <c:v>8286901.3604832124</c:v>
                </c:pt>
                <c:pt idx="25">
                  <c:v>82869013.604832128</c:v>
                </c:pt>
                <c:pt idx="26">
                  <c:v>828690136.04832125</c:v>
                </c:pt>
                <c:pt idx="27">
                  <c:v>8286901360.4832125</c:v>
                </c:pt>
                <c:pt idx="28">
                  <c:v>82869013604.832123</c:v>
                </c:pt>
                <c:pt idx="29">
                  <c:v>828690136048.32129</c:v>
                </c:pt>
                <c:pt idx="30">
                  <c:v>8286901360483.2119</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7.1375703506228395E-17</c:v>
                </c:pt>
                <c:pt idx="1">
                  <c:v>7.1375703506228395E-16</c:v>
                </c:pt>
                <c:pt idx="2">
                  <c:v>7.1375703506228393E-15</c:v>
                </c:pt>
                <c:pt idx="3">
                  <c:v>7.1375703506228393E-14</c:v>
                </c:pt>
                <c:pt idx="4">
                  <c:v>7.1375703506228388E-13</c:v>
                </c:pt>
                <c:pt idx="5">
                  <c:v>7.1375703506228392E-12</c:v>
                </c:pt>
                <c:pt idx="6">
                  <c:v>7.1375703506228393E-11</c:v>
                </c:pt>
                <c:pt idx="7">
                  <c:v>7.1375703506228396E-10</c:v>
                </c:pt>
                <c:pt idx="8">
                  <c:v>7.1375703506228392E-9</c:v>
                </c:pt>
                <c:pt idx="9">
                  <c:v>7.1375703506228392E-8</c:v>
                </c:pt>
                <c:pt idx="10">
                  <c:v>7.1375703506228397E-7</c:v>
                </c:pt>
                <c:pt idx="11">
                  <c:v>7.1375703506228397E-6</c:v>
                </c:pt>
                <c:pt idx="12">
                  <c:v>7.1375703506228397E-5</c:v>
                </c:pt>
                <c:pt idx="13">
                  <c:v>7.1375703506228389E-4</c:v>
                </c:pt>
                <c:pt idx="14">
                  <c:v>7.1375703506228391E-3</c:v>
                </c:pt>
                <c:pt idx="15">
                  <c:v>7.1375703506228391E-2</c:v>
                </c:pt>
                <c:pt idx="16">
                  <c:v>0.71375703506228394</c:v>
                </c:pt>
                <c:pt idx="17">
                  <c:v>7.1375703506228394</c:v>
                </c:pt>
                <c:pt idx="18">
                  <c:v>71.37570350622839</c:v>
                </c:pt>
                <c:pt idx="19">
                  <c:v>713.75703506228388</c:v>
                </c:pt>
                <c:pt idx="20">
                  <c:v>7137.5703506228392</c:v>
                </c:pt>
                <c:pt idx="21">
                  <c:v>71375.703506228398</c:v>
                </c:pt>
                <c:pt idx="22">
                  <c:v>713757.03506228386</c:v>
                </c:pt>
                <c:pt idx="23">
                  <c:v>7137570.3506228393</c:v>
                </c:pt>
                <c:pt idx="24">
                  <c:v>71375703.506228387</c:v>
                </c:pt>
                <c:pt idx="25">
                  <c:v>713757035.06228387</c:v>
                </c:pt>
                <c:pt idx="26">
                  <c:v>7137570350.622839</c:v>
                </c:pt>
                <c:pt idx="27">
                  <c:v>71375703506.228394</c:v>
                </c:pt>
                <c:pt idx="28">
                  <c:v>713757035062.28394</c:v>
                </c:pt>
                <c:pt idx="29">
                  <c:v>7137570350622.8389</c:v>
                </c:pt>
                <c:pt idx="30">
                  <c:v>71375703506228.391</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1.5187489469101345E-13</c:v>
                </c:pt>
                <c:pt idx="1">
                  <c:v>1.5187489469101344E-12</c:v>
                </c:pt>
                <c:pt idx="2">
                  <c:v>1.5187489469101346E-11</c:v>
                </c:pt>
                <c:pt idx="3">
                  <c:v>1.5187489469101346E-10</c:v>
                </c:pt>
                <c:pt idx="4">
                  <c:v>1.5187489469101345E-9</c:v>
                </c:pt>
                <c:pt idx="5">
                  <c:v>1.5187489469101344E-8</c:v>
                </c:pt>
                <c:pt idx="6">
                  <c:v>1.5187489469101346E-7</c:v>
                </c:pt>
                <c:pt idx="7">
                  <c:v>1.5187489469101346E-6</c:v>
                </c:pt>
                <c:pt idx="8">
                  <c:v>1.5187489469101344E-5</c:v>
                </c:pt>
                <c:pt idx="9">
                  <c:v>1.5187489469101344E-4</c:v>
                </c:pt>
                <c:pt idx="10">
                  <c:v>1.5187489469101346E-3</c:v>
                </c:pt>
                <c:pt idx="11">
                  <c:v>1.5187489469101347E-2</c:v>
                </c:pt>
                <c:pt idx="12">
                  <c:v>0.15187489469101345</c:v>
                </c:pt>
                <c:pt idx="13">
                  <c:v>1.5187489469101345</c:v>
                </c:pt>
                <c:pt idx="14">
                  <c:v>15.187489469101346</c:v>
                </c:pt>
                <c:pt idx="15">
                  <c:v>151.87489469101345</c:v>
                </c:pt>
                <c:pt idx="16">
                  <c:v>1518.7489469101345</c:v>
                </c:pt>
                <c:pt idx="17">
                  <c:v>15187.489469101345</c:v>
                </c:pt>
                <c:pt idx="18">
                  <c:v>151874.89469101344</c:v>
                </c:pt>
                <c:pt idx="19">
                  <c:v>1518748.9469101345</c:v>
                </c:pt>
                <c:pt idx="20">
                  <c:v>15187489.469101345</c:v>
                </c:pt>
                <c:pt idx="21">
                  <c:v>151874894.69101346</c:v>
                </c:pt>
                <c:pt idx="22">
                  <c:v>1518748946.9101346</c:v>
                </c:pt>
                <c:pt idx="23">
                  <c:v>15187489469.101345</c:v>
                </c:pt>
                <c:pt idx="24">
                  <c:v>151874894691.01346</c:v>
                </c:pt>
                <c:pt idx="25">
                  <c:v>1518748946910.1345</c:v>
                </c:pt>
                <c:pt idx="26">
                  <c:v>15187489469101.346</c:v>
                </c:pt>
                <c:pt idx="27">
                  <c:v>151874894691013.44</c:v>
                </c:pt>
                <c:pt idx="28">
                  <c:v>1518748946910134.5</c:v>
                </c:pt>
                <c:pt idx="29">
                  <c:v>1.5187489469101346E+16</c:v>
                </c:pt>
                <c:pt idx="30">
                  <c:v>1.5187489469101344E+17</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2.0032125910446975E-11</c:v>
                </c:pt>
                <c:pt idx="1">
                  <c:v>2.0032125910446973E-10</c:v>
                </c:pt>
                <c:pt idx="2">
                  <c:v>2.0032125910446976E-9</c:v>
                </c:pt>
                <c:pt idx="3">
                  <c:v>2.0032125910446973E-8</c:v>
                </c:pt>
                <c:pt idx="4">
                  <c:v>2.0032125910446973E-7</c:v>
                </c:pt>
                <c:pt idx="5">
                  <c:v>2.0032125910446973E-6</c:v>
                </c:pt>
                <c:pt idx="6">
                  <c:v>2.0032125910446976E-5</c:v>
                </c:pt>
                <c:pt idx="7">
                  <c:v>2.0032125910446975E-4</c:v>
                </c:pt>
                <c:pt idx="8">
                  <c:v>2.0032125910446974E-3</c:v>
                </c:pt>
                <c:pt idx="9">
                  <c:v>2.0032125910446973E-2</c:v>
                </c:pt>
                <c:pt idx="10">
                  <c:v>0.20032125910446977</c:v>
                </c:pt>
                <c:pt idx="11">
                  <c:v>2.0032125910446976</c:v>
                </c:pt>
                <c:pt idx="12">
                  <c:v>20.032125910446975</c:v>
                </c:pt>
                <c:pt idx="13">
                  <c:v>200.32125910446973</c:v>
                </c:pt>
                <c:pt idx="14">
                  <c:v>2003.2125910446975</c:v>
                </c:pt>
                <c:pt idx="15">
                  <c:v>20032.125910446975</c:v>
                </c:pt>
                <c:pt idx="16">
                  <c:v>200321.25910446973</c:v>
                </c:pt>
                <c:pt idx="17">
                  <c:v>2003212.5910446974</c:v>
                </c:pt>
                <c:pt idx="18">
                  <c:v>20032125.910446975</c:v>
                </c:pt>
                <c:pt idx="19">
                  <c:v>200321259.10446975</c:v>
                </c:pt>
                <c:pt idx="20">
                  <c:v>2003212591.0446973</c:v>
                </c:pt>
                <c:pt idx="21">
                  <c:v>20032125910.446976</c:v>
                </c:pt>
                <c:pt idx="22">
                  <c:v>200321259104.46973</c:v>
                </c:pt>
                <c:pt idx="23">
                  <c:v>2003212591044.6973</c:v>
                </c:pt>
                <c:pt idx="24">
                  <c:v>20032125910446.973</c:v>
                </c:pt>
                <c:pt idx="25">
                  <c:v>200321259104469.75</c:v>
                </c:pt>
                <c:pt idx="26">
                  <c:v>2003212591044697.5</c:v>
                </c:pt>
                <c:pt idx="27">
                  <c:v>2.0032125910446972E+16</c:v>
                </c:pt>
                <c:pt idx="28">
                  <c:v>2.0032125910446973E+17</c:v>
                </c:pt>
                <c:pt idx="29">
                  <c:v>2.0032125910446973E+18</c:v>
                </c:pt>
                <c:pt idx="30">
                  <c:v>2.0032125910446973E+19</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53324872"/>
        <c:axId val="453323696"/>
      </c:scatterChart>
      <c:valAx>
        <c:axId val="45332487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3696"/>
        <c:crosses val="autoZero"/>
        <c:crossBetween val="midCat"/>
      </c:valAx>
      <c:valAx>
        <c:axId val="453323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487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1.3578284345844646E-20</c:v>
                </c:pt>
                <c:pt idx="1">
                  <c:v>1.3578284345844645E-19</c:v>
                </c:pt>
                <c:pt idx="2">
                  <c:v>1.3578284345844646E-18</c:v>
                </c:pt>
                <c:pt idx="3">
                  <c:v>1.3578284345844645E-17</c:v>
                </c:pt>
                <c:pt idx="4">
                  <c:v>1.3578284345844644E-16</c:v>
                </c:pt>
                <c:pt idx="5">
                  <c:v>1.3578284345844645E-15</c:v>
                </c:pt>
                <c:pt idx="6">
                  <c:v>1.3578284345844645E-14</c:v>
                </c:pt>
                <c:pt idx="7">
                  <c:v>1.3578284345844645E-13</c:v>
                </c:pt>
                <c:pt idx="8">
                  <c:v>1.3578284345844644E-12</c:v>
                </c:pt>
                <c:pt idx="9">
                  <c:v>1.3578284345844644E-11</c:v>
                </c:pt>
                <c:pt idx="10">
                  <c:v>1.3578284345844646E-10</c:v>
                </c:pt>
                <c:pt idx="11">
                  <c:v>1.3578284345844646E-9</c:v>
                </c:pt>
                <c:pt idx="12">
                  <c:v>1.3578284345844645E-8</c:v>
                </c:pt>
                <c:pt idx="13">
                  <c:v>1.3578284345844645E-7</c:v>
                </c:pt>
                <c:pt idx="14">
                  <c:v>1.3578284345844646E-6</c:v>
                </c:pt>
                <c:pt idx="15">
                  <c:v>1.3578284345844645E-5</c:v>
                </c:pt>
                <c:pt idx="16">
                  <c:v>1.3578284345844646E-4</c:v>
                </c:pt>
                <c:pt idx="17">
                  <c:v>1.3578284345844645E-3</c:v>
                </c:pt>
                <c:pt idx="18">
                  <c:v>1.3578284345844644E-2</c:v>
                </c:pt>
                <c:pt idx="19">
                  <c:v>0.13578284345844643</c:v>
                </c:pt>
                <c:pt idx="20">
                  <c:v>1.3578284345844644</c:v>
                </c:pt>
                <c:pt idx="21">
                  <c:v>13.578284345844645</c:v>
                </c:pt>
                <c:pt idx="22">
                  <c:v>135.78284345844645</c:v>
                </c:pt>
                <c:pt idx="23">
                  <c:v>1357.8284345844645</c:v>
                </c:pt>
                <c:pt idx="24">
                  <c:v>13578.284345844644</c:v>
                </c:pt>
                <c:pt idx="25">
                  <c:v>135782.84345844644</c:v>
                </c:pt>
                <c:pt idx="26">
                  <c:v>1357828.4345844644</c:v>
                </c:pt>
                <c:pt idx="27">
                  <c:v>13578284.345844645</c:v>
                </c:pt>
                <c:pt idx="28">
                  <c:v>135782843.45844644</c:v>
                </c:pt>
                <c:pt idx="29">
                  <c:v>1357828434.5844646</c:v>
                </c:pt>
                <c:pt idx="30">
                  <c:v>13578284345.844645</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7.0146616319195381E-19</c:v>
                </c:pt>
                <c:pt idx="1">
                  <c:v>7.0146616319195371E-18</c:v>
                </c:pt>
                <c:pt idx="2">
                  <c:v>7.0146616319195374E-17</c:v>
                </c:pt>
                <c:pt idx="3">
                  <c:v>7.0146616319195372E-16</c:v>
                </c:pt>
                <c:pt idx="4">
                  <c:v>7.0146616319195368E-15</c:v>
                </c:pt>
                <c:pt idx="5">
                  <c:v>7.0146616319195374E-14</c:v>
                </c:pt>
                <c:pt idx="6">
                  <c:v>7.0146616319195379E-13</c:v>
                </c:pt>
                <c:pt idx="7">
                  <c:v>7.0146616319195375E-12</c:v>
                </c:pt>
                <c:pt idx="8">
                  <c:v>7.0146616319195372E-11</c:v>
                </c:pt>
                <c:pt idx="9">
                  <c:v>7.0146616319195372E-10</c:v>
                </c:pt>
                <c:pt idx="10">
                  <c:v>7.0146616319195382E-9</c:v>
                </c:pt>
                <c:pt idx="11">
                  <c:v>7.0146616319195376E-8</c:v>
                </c:pt>
                <c:pt idx="12">
                  <c:v>7.0146616319195371E-7</c:v>
                </c:pt>
                <c:pt idx="13">
                  <c:v>7.0146616319195375E-6</c:v>
                </c:pt>
                <c:pt idx="14">
                  <c:v>7.0146616319195375E-5</c:v>
                </c:pt>
                <c:pt idx="15">
                  <c:v>7.0146616319195375E-4</c:v>
                </c:pt>
                <c:pt idx="16">
                  <c:v>7.0146616319195377E-3</c:v>
                </c:pt>
                <c:pt idx="17">
                  <c:v>7.0146616319195373E-2</c:v>
                </c:pt>
                <c:pt idx="18">
                  <c:v>0.70146616319195376</c:v>
                </c:pt>
                <c:pt idx="19">
                  <c:v>7.0146616319195374</c:v>
                </c:pt>
                <c:pt idx="20">
                  <c:v>70.146616319195374</c:v>
                </c:pt>
                <c:pt idx="21">
                  <c:v>701.4661631919538</c:v>
                </c:pt>
                <c:pt idx="22">
                  <c:v>7014.6616319195373</c:v>
                </c:pt>
                <c:pt idx="23">
                  <c:v>70146.616319195367</c:v>
                </c:pt>
                <c:pt idx="24">
                  <c:v>701466.16319195379</c:v>
                </c:pt>
                <c:pt idx="25">
                  <c:v>7014661.6319195377</c:v>
                </c:pt>
                <c:pt idx="26">
                  <c:v>70146616.319195375</c:v>
                </c:pt>
                <c:pt idx="27">
                  <c:v>701466163.19195378</c:v>
                </c:pt>
                <c:pt idx="28">
                  <c:v>7014661631.9195375</c:v>
                </c:pt>
                <c:pt idx="29">
                  <c:v>70146616319.195374</c:v>
                </c:pt>
                <c:pt idx="30">
                  <c:v>701466163191.95374</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8.286901360483213E-18</c:v>
                </c:pt>
                <c:pt idx="1">
                  <c:v>8.2869013604832124E-17</c:v>
                </c:pt>
                <c:pt idx="2">
                  <c:v>8.2869013604832124E-16</c:v>
                </c:pt>
                <c:pt idx="3">
                  <c:v>8.2869013604832116E-15</c:v>
                </c:pt>
                <c:pt idx="4">
                  <c:v>8.2869013604832113E-14</c:v>
                </c:pt>
                <c:pt idx="5">
                  <c:v>8.286901360483213E-13</c:v>
                </c:pt>
                <c:pt idx="6">
                  <c:v>8.286901360483213E-12</c:v>
                </c:pt>
                <c:pt idx="7">
                  <c:v>8.2869013604832124E-11</c:v>
                </c:pt>
                <c:pt idx="8">
                  <c:v>8.2869013604832119E-10</c:v>
                </c:pt>
                <c:pt idx="9">
                  <c:v>8.2869013604832115E-9</c:v>
                </c:pt>
                <c:pt idx="10">
                  <c:v>8.2869013604832128E-8</c:v>
                </c:pt>
                <c:pt idx="11">
                  <c:v>8.2869013604832123E-7</c:v>
                </c:pt>
                <c:pt idx="12">
                  <c:v>8.286901360483212E-6</c:v>
                </c:pt>
                <c:pt idx="13">
                  <c:v>8.2869013604832127E-5</c:v>
                </c:pt>
                <c:pt idx="14">
                  <c:v>8.2869013604832125E-4</c:v>
                </c:pt>
                <c:pt idx="15">
                  <c:v>8.286901360483212E-3</c:v>
                </c:pt>
                <c:pt idx="16">
                  <c:v>8.286901360483212E-2</c:v>
                </c:pt>
                <c:pt idx="17">
                  <c:v>0.8286901360483212</c:v>
                </c:pt>
                <c:pt idx="18">
                  <c:v>8.2869013604832116</c:v>
                </c:pt>
                <c:pt idx="19">
                  <c:v>82.869013604832119</c:v>
                </c:pt>
                <c:pt idx="20">
                  <c:v>828.69013604832128</c:v>
                </c:pt>
                <c:pt idx="21">
                  <c:v>8286.9013604832126</c:v>
                </c:pt>
                <c:pt idx="22">
                  <c:v>82869.013604832129</c:v>
                </c:pt>
                <c:pt idx="23">
                  <c:v>828690.13604832126</c:v>
                </c:pt>
                <c:pt idx="24">
                  <c:v>8286901.3604832124</c:v>
                </c:pt>
                <c:pt idx="25">
                  <c:v>82869013.604832128</c:v>
                </c:pt>
                <c:pt idx="26">
                  <c:v>828690136.04832125</c:v>
                </c:pt>
                <c:pt idx="27">
                  <c:v>8286901360.4832125</c:v>
                </c:pt>
                <c:pt idx="28">
                  <c:v>82869013604.832123</c:v>
                </c:pt>
                <c:pt idx="29">
                  <c:v>828690136048.32129</c:v>
                </c:pt>
                <c:pt idx="30">
                  <c:v>8286901360483.2119</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7.1375703506228395E-17</c:v>
                </c:pt>
                <c:pt idx="1">
                  <c:v>7.1375703506228395E-16</c:v>
                </c:pt>
                <c:pt idx="2">
                  <c:v>7.1375703506228393E-15</c:v>
                </c:pt>
                <c:pt idx="3">
                  <c:v>7.1375703506228393E-14</c:v>
                </c:pt>
                <c:pt idx="4">
                  <c:v>7.1375703506228388E-13</c:v>
                </c:pt>
                <c:pt idx="5">
                  <c:v>7.1375703506228392E-12</c:v>
                </c:pt>
                <c:pt idx="6">
                  <c:v>7.1375703506228393E-11</c:v>
                </c:pt>
                <c:pt idx="7">
                  <c:v>7.1375703506228396E-10</c:v>
                </c:pt>
                <c:pt idx="8">
                  <c:v>7.1375703506228392E-9</c:v>
                </c:pt>
                <c:pt idx="9">
                  <c:v>7.1375703506228392E-8</c:v>
                </c:pt>
                <c:pt idx="10">
                  <c:v>7.1375703506228397E-7</c:v>
                </c:pt>
                <c:pt idx="11">
                  <c:v>7.1375703506228397E-6</c:v>
                </c:pt>
                <c:pt idx="12">
                  <c:v>7.1375703506228397E-5</c:v>
                </c:pt>
                <c:pt idx="13">
                  <c:v>7.1375703506228389E-4</c:v>
                </c:pt>
                <c:pt idx="14">
                  <c:v>7.1375703506228391E-3</c:v>
                </c:pt>
                <c:pt idx="15">
                  <c:v>7.1375703506228391E-2</c:v>
                </c:pt>
                <c:pt idx="16">
                  <c:v>0.71375703506228394</c:v>
                </c:pt>
                <c:pt idx="17">
                  <c:v>7.1375703506228394</c:v>
                </c:pt>
                <c:pt idx="18">
                  <c:v>71.37570350622839</c:v>
                </c:pt>
                <c:pt idx="19">
                  <c:v>713.75703506228388</c:v>
                </c:pt>
                <c:pt idx="20">
                  <c:v>7137.5703506228392</c:v>
                </c:pt>
                <c:pt idx="21">
                  <c:v>71375.703506228398</c:v>
                </c:pt>
                <c:pt idx="22">
                  <c:v>713757.03506228386</c:v>
                </c:pt>
                <c:pt idx="23">
                  <c:v>7137570.3506228393</c:v>
                </c:pt>
                <c:pt idx="24">
                  <c:v>71375703.506228387</c:v>
                </c:pt>
                <c:pt idx="25">
                  <c:v>713757035.06228387</c:v>
                </c:pt>
                <c:pt idx="26">
                  <c:v>7137570350.622839</c:v>
                </c:pt>
                <c:pt idx="27">
                  <c:v>71375703506.228394</c:v>
                </c:pt>
                <c:pt idx="28">
                  <c:v>713757035062.28394</c:v>
                </c:pt>
                <c:pt idx="29">
                  <c:v>7137570350622.8389</c:v>
                </c:pt>
                <c:pt idx="30">
                  <c:v>71375703506228.391</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1.5187489469101345E-13</c:v>
                </c:pt>
                <c:pt idx="1">
                  <c:v>1.5187489469101344E-12</c:v>
                </c:pt>
                <c:pt idx="2">
                  <c:v>1.5187489469101346E-11</c:v>
                </c:pt>
                <c:pt idx="3">
                  <c:v>1.5187489469101346E-10</c:v>
                </c:pt>
                <c:pt idx="4">
                  <c:v>1.5187489469101345E-9</c:v>
                </c:pt>
                <c:pt idx="5">
                  <c:v>1.5187489469101344E-8</c:v>
                </c:pt>
                <c:pt idx="6">
                  <c:v>1.5187489469101346E-7</c:v>
                </c:pt>
                <c:pt idx="7">
                  <c:v>1.5187489469101346E-6</c:v>
                </c:pt>
                <c:pt idx="8">
                  <c:v>1.5187489469101344E-5</c:v>
                </c:pt>
                <c:pt idx="9">
                  <c:v>1.5187489469101344E-4</c:v>
                </c:pt>
                <c:pt idx="10">
                  <c:v>1.5187489469101346E-3</c:v>
                </c:pt>
                <c:pt idx="11">
                  <c:v>1.5187489469101347E-2</c:v>
                </c:pt>
                <c:pt idx="12">
                  <c:v>0.15187489469101345</c:v>
                </c:pt>
                <c:pt idx="13">
                  <c:v>1.5187489469101345</c:v>
                </c:pt>
                <c:pt idx="14">
                  <c:v>15.187489469101346</c:v>
                </c:pt>
                <c:pt idx="15">
                  <c:v>151.87489469101345</c:v>
                </c:pt>
                <c:pt idx="16">
                  <c:v>1518.7489469101345</c:v>
                </c:pt>
                <c:pt idx="17">
                  <c:v>15187.489469101345</c:v>
                </c:pt>
                <c:pt idx="18">
                  <c:v>151874.89469101344</c:v>
                </c:pt>
                <c:pt idx="19">
                  <c:v>1518748.9469101345</c:v>
                </c:pt>
                <c:pt idx="20">
                  <c:v>15187489.469101345</c:v>
                </c:pt>
                <c:pt idx="21">
                  <c:v>151874894.69101346</c:v>
                </c:pt>
                <c:pt idx="22">
                  <c:v>1518748946.9101346</c:v>
                </c:pt>
                <c:pt idx="23">
                  <c:v>15187489469.101345</c:v>
                </c:pt>
                <c:pt idx="24">
                  <c:v>151874894691.01346</c:v>
                </c:pt>
                <c:pt idx="25">
                  <c:v>1518748946910.1345</c:v>
                </c:pt>
                <c:pt idx="26">
                  <c:v>15187489469101.346</c:v>
                </c:pt>
                <c:pt idx="27">
                  <c:v>151874894691013.44</c:v>
                </c:pt>
                <c:pt idx="28">
                  <c:v>1518748946910134.5</c:v>
                </c:pt>
                <c:pt idx="29">
                  <c:v>1.5187489469101346E+16</c:v>
                </c:pt>
                <c:pt idx="30">
                  <c:v>1.5187489469101344E+17</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2.0032125910446975E-11</c:v>
                </c:pt>
                <c:pt idx="1">
                  <c:v>2.0032125910446973E-10</c:v>
                </c:pt>
                <c:pt idx="2">
                  <c:v>2.0032125910446976E-9</c:v>
                </c:pt>
                <c:pt idx="3">
                  <c:v>2.0032125910446973E-8</c:v>
                </c:pt>
                <c:pt idx="4">
                  <c:v>2.0032125910446973E-7</c:v>
                </c:pt>
                <c:pt idx="5">
                  <c:v>2.0032125910446973E-6</c:v>
                </c:pt>
                <c:pt idx="6">
                  <c:v>2.0032125910446976E-5</c:v>
                </c:pt>
                <c:pt idx="7">
                  <c:v>2.0032125910446975E-4</c:v>
                </c:pt>
                <c:pt idx="8">
                  <c:v>2.0032125910446974E-3</c:v>
                </c:pt>
                <c:pt idx="9">
                  <c:v>2.0032125910446973E-2</c:v>
                </c:pt>
                <c:pt idx="10">
                  <c:v>0.20032125910446977</c:v>
                </c:pt>
                <c:pt idx="11">
                  <c:v>2.0032125910446976</c:v>
                </c:pt>
                <c:pt idx="12">
                  <c:v>20.032125910446975</c:v>
                </c:pt>
                <c:pt idx="13">
                  <c:v>200.32125910446973</c:v>
                </c:pt>
                <c:pt idx="14">
                  <c:v>2003.2125910446975</c:v>
                </c:pt>
                <c:pt idx="15">
                  <c:v>20032.125910446975</c:v>
                </c:pt>
                <c:pt idx="16">
                  <c:v>200321.25910446973</c:v>
                </c:pt>
                <c:pt idx="17">
                  <c:v>2003212.5910446974</c:v>
                </c:pt>
                <c:pt idx="18">
                  <c:v>20032125.910446975</c:v>
                </c:pt>
                <c:pt idx="19">
                  <c:v>200321259.10446975</c:v>
                </c:pt>
                <c:pt idx="20">
                  <c:v>2003212591.0446973</c:v>
                </c:pt>
                <c:pt idx="21">
                  <c:v>20032125910.446976</c:v>
                </c:pt>
                <c:pt idx="22">
                  <c:v>200321259104.46973</c:v>
                </c:pt>
                <c:pt idx="23">
                  <c:v>2003212591044.6973</c:v>
                </c:pt>
                <c:pt idx="24">
                  <c:v>20032125910446.973</c:v>
                </c:pt>
                <c:pt idx="25">
                  <c:v>200321259104469.75</c:v>
                </c:pt>
                <c:pt idx="26">
                  <c:v>2003212591044697.5</c:v>
                </c:pt>
                <c:pt idx="27">
                  <c:v>2.0032125910446972E+16</c:v>
                </c:pt>
                <c:pt idx="28">
                  <c:v>2.0032125910446973E+17</c:v>
                </c:pt>
                <c:pt idx="29">
                  <c:v>2.0032125910446973E+18</c:v>
                </c:pt>
                <c:pt idx="30">
                  <c:v>2.0032125910446973E+19</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53325656"/>
        <c:axId val="453326048"/>
      </c:scatterChart>
      <c:valAx>
        <c:axId val="45332565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6048"/>
        <c:crosses val="autoZero"/>
        <c:crossBetween val="midCat"/>
      </c:valAx>
      <c:valAx>
        <c:axId val="4533260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5656"/>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-11.207038780645185</c:v>
                </c:pt>
                <c:pt idx="1">
                  <c:v>-11.133323703991014</c:v>
                </c:pt>
                <c:pt idx="2">
                  <c:v>-11.059515184764614</c:v>
                </c:pt>
                <c:pt idx="3">
                  <c:v>-10.985519780393755</c:v>
                </c:pt>
                <c:pt idx="4">
                  <c:v>-10.911244048306212</c:v>
                </c:pt>
                <c:pt idx="5">
                  <c:v>-10.836594545929755</c:v>
                </c:pt>
                <c:pt idx="6">
                  <c:v>-10.761477830692154</c:v>
                </c:pt>
                <c:pt idx="7">
                  <c:v>-10.685800460021182</c:v>
                </c:pt>
                <c:pt idx="8">
                  <c:v>-10.609468991344611</c:v>
                </c:pt>
                <c:pt idx="9">
                  <c:v>-10.532389982090212</c:v>
                </c:pt>
                <c:pt idx="10">
                  <c:v>-10.454469989685755</c:v>
                </c:pt>
                <c:pt idx="11">
                  <c:v>-10.375615571559011</c:v>
                </c:pt>
                <c:pt idx="12">
                  <c:v>-10.295733285137754</c:v>
                </c:pt>
                <c:pt idx="13">
                  <c:v>-10.214729687849754</c:v>
                </c:pt>
                <c:pt idx="14">
                  <c:v>-10.132511337122782</c:v>
                </c:pt>
                <c:pt idx="15">
                  <c:v>-10.048984790384612</c:v>
                </c:pt>
                <c:pt idx="16">
                  <c:v>-9.9640566050630106</c:v>
                </c:pt>
                <c:pt idx="17">
                  <c:v>-9.8776333385857527</c:v>
                </c:pt>
                <c:pt idx="18">
                  <c:v>-9.7896215483806088</c:v>
                </c:pt>
                <c:pt idx="19">
                  <c:v>-9.6999277918753517</c:v>
                </c:pt>
                <c:pt idx="20">
                  <c:v>-9.6084586264977521</c:v>
                </c:pt>
                <c:pt idx="21">
                  <c:v>-9.5151206096755807</c:v>
                </c:pt>
                <c:pt idx="22">
                  <c:v>-9.4198202988366084</c:v>
                </c:pt>
                <c:pt idx="23">
                  <c:v>-9.3224642514086078</c:v>
                </c:pt>
                <c:pt idx="24">
                  <c:v>-9.2229590248193496</c:v>
                </c:pt>
                <c:pt idx="25">
                  <c:v>-9.1212111764966064</c:v>
                </c:pt>
                <c:pt idx="26">
                  <c:v>-9.0171272638681472</c:v>
                </c:pt>
                <c:pt idx="27">
                  <c:v>-8.9106138443617464</c:v>
                </c:pt>
                <c:pt idx="28">
                  <c:v>-8.8015774754051748</c:v>
                </c:pt>
                <c:pt idx="29">
                  <c:v>-8.6899247144262031</c:v>
                </c:pt>
                <c:pt idx="30">
                  <c:v>-8.5755621188526021</c:v>
                </c:pt>
                <c:pt idx="31">
                  <c:v>-8.4583962461121427</c:v>
                </c:pt>
                <c:pt idx="32">
                  <c:v>-8.3383336536325992</c:v>
                </c:pt>
                <c:pt idx="33">
                  <c:v>-8.2152808988417405</c:v>
                </c:pt>
                <c:pt idx="34">
                  <c:v>-8.0891445391673393</c:v>
                </c:pt>
                <c:pt idx="35">
                  <c:v>-7.9598311320371664</c:v>
                </c:pt>
                <c:pt idx="36">
                  <c:v>-7.8272472348789943</c:v>
                </c:pt>
                <c:pt idx="37">
                  <c:v>-7.691299405120593</c:v>
                </c:pt>
                <c:pt idx="38">
                  <c:v>-7.551894200189734</c:v>
                </c:pt>
                <c:pt idx="39">
                  <c:v>-7.4089381775141891</c:v>
                </c:pt>
                <c:pt idx="40">
                  <c:v>-7.262337894521731</c:v>
                </c:pt>
                <c:pt idx="41">
                  <c:v>-7.1854783316087749</c:v>
                </c:pt>
                <c:pt idx="42">
                  <c:v>-7.1051016585778886</c:v>
                </c:pt>
                <c:pt idx="43">
                  <c:v>-7.021428468200285</c:v>
                </c:pt>
                <c:pt idx="44">
                  <c:v>-6.9346793532471782</c:v>
                </c:pt>
                <c:pt idx="45">
                  <c:v>-6.8450749064897787</c:v>
                </c:pt>
                <c:pt idx="46">
                  <c:v>-6.7528357206993004</c:v>
                </c:pt>
                <c:pt idx="47">
                  <c:v>-6.6581823886469564</c:v>
                </c:pt>
                <c:pt idx="48">
                  <c:v>-6.56133550310396</c:v>
                </c:pt>
                <c:pt idx="49">
                  <c:v>-6.4625156568415232</c:v>
                </c:pt>
                <c:pt idx="50">
                  <c:v>-6.3619434426308583</c:v>
                </c:pt>
                <c:pt idx="51">
                  <c:v>-6.2598394532431785</c:v>
                </c:pt>
                <c:pt idx="52">
                  <c:v>-6.1564242814496986</c:v>
                </c:pt>
                <c:pt idx="53">
                  <c:v>-6.0519185200216281</c:v>
                </c:pt>
                <c:pt idx="54">
                  <c:v>-5.9465427617301829</c:v>
                </c:pt>
                <c:pt idx="55">
                  <c:v>-5.8405175993465734</c:v>
                </c:pt>
                <c:pt idx="56">
                  <c:v>-5.7340636256420146</c:v>
                </c:pt>
                <c:pt idx="57">
                  <c:v>-5.6274014333877176</c:v>
                </c:pt>
                <c:pt idx="58">
                  <c:v>-5.5207516153548966</c:v>
                </c:pt>
                <c:pt idx="59">
                  <c:v>-5.4143347643147628</c:v>
                </c:pt>
                <c:pt idx="60">
                  <c:v>-5.3083714730385303</c:v>
                </c:pt>
                <c:pt idx="61">
                  <c:v>-5.2030823342974131</c:v>
                </c:pt>
                <c:pt idx="62">
                  <c:v>-5.0986879408626198</c:v>
                </c:pt>
                <c:pt idx="63">
                  <c:v>-4.995408885505368</c:v>
                </c:pt>
                <c:pt idx="64">
                  <c:v>-4.8934657609968681</c:v>
                </c:pt>
                <c:pt idx="65">
                  <c:v>-4.7930791601083342</c:v>
                </c:pt>
                <c:pt idx="66">
                  <c:v>-4.6944188135043783</c:v>
                </c:pt>
                <c:pt idx="67">
                  <c:v>-4.5974510034232212</c:v>
                </c:pt>
                <c:pt idx="68">
                  <c:v>-4.502091149996482</c:v>
                </c:pt>
                <c:pt idx="69">
                  <c:v>-4.4082546733557813</c:v>
                </c:pt>
                <c:pt idx="70">
                  <c:v>-4.315856993632738</c:v>
                </c:pt>
                <c:pt idx="71">
                  <c:v>-4.2248135309589738</c:v>
                </c:pt>
                <c:pt idx="72">
                  <c:v>-4.1350397054661077</c:v>
                </c:pt>
                <c:pt idx="73">
                  <c:v>-4.0464509372857602</c:v>
                </c:pt>
                <c:pt idx="74">
                  <c:v>-3.9589626465495504</c:v>
                </c:pt>
                <c:pt idx="75">
                  <c:v>-3.872490253389099</c:v>
                </c:pt>
                <c:pt idx="76">
                  <c:v>-3.7869491779360267</c:v>
                </c:pt>
                <c:pt idx="77">
                  <c:v>-3.7022548403219533</c:v>
                </c:pt>
                <c:pt idx="78">
                  <c:v>-3.6183226606784977</c:v>
                </c:pt>
                <c:pt idx="79">
                  <c:v>-3.5350680591372807</c:v>
                </c:pt>
                <c:pt idx="80">
                  <c:v>-3.452406455829923</c:v>
                </c:pt>
                <c:pt idx="81">
                  <c:v>-3.3702532708880439</c:v>
                </c:pt>
                <c:pt idx="82">
                  <c:v>-3.2885239244432634</c:v>
                </c:pt>
                <c:pt idx="83">
                  <c:v>-3.207133836627202</c:v>
                </c:pt>
                <c:pt idx="84">
                  <c:v>-3.1259984275714787</c:v>
                </c:pt>
                <c:pt idx="85">
                  <c:v>-3.0450331174077148</c:v>
                </c:pt>
                <c:pt idx="86">
                  <c:v>-2.9641533262675299</c:v>
                </c:pt>
                <c:pt idx="87">
                  <c:v>-2.883274474282544</c:v>
                </c:pt>
                <c:pt idx="88">
                  <c:v>-2.8023119815843769</c:v>
                </c:pt>
                <c:pt idx="89">
                  <c:v>-2.7211812683046492</c:v>
                </c:pt>
                <c:pt idx="90">
                  <c:v>-2.6397977545749804</c:v>
                </c:pt>
                <c:pt idx="91">
                  <c:v>-2.558089407786758</c:v>
                </c:pt>
                <c:pt idx="92">
                  <c:v>-2.4760343843704344</c:v>
                </c:pt>
                <c:pt idx="93">
                  <c:v>-2.3936233880162314</c:v>
                </c:pt>
                <c:pt idx="94">
                  <c:v>-2.3108471224143696</c:v>
                </c:pt>
                <c:pt idx="95">
                  <c:v>-2.2276962912550689</c:v>
                </c:pt>
                <c:pt idx="96">
                  <c:v>-2.1441615982285502</c:v>
                </c:pt>
                <c:pt idx="97">
                  <c:v>-2.0602337470250331</c:v>
                </c:pt>
                <c:pt idx="98">
                  <c:v>-1.9759034413347392</c:v>
                </c:pt>
                <c:pt idx="99">
                  <c:v>-1.891161384847889</c:v>
                </c:pt>
                <c:pt idx="100">
                  <c:v>-1.8059982812547024</c:v>
                </c:pt>
                <c:pt idx="101">
                  <c:v>-1.7204048342454001</c:v>
                </c:pt>
                <c:pt idx="102">
                  <c:v>-1.6343717475102033</c:v>
                </c:pt>
                <c:pt idx="103">
                  <c:v>-1.5478897247393315</c:v>
                </c:pt>
                <c:pt idx="104">
                  <c:v>-1.4609494696230059</c:v>
                </c:pt>
                <c:pt idx="105">
                  <c:v>-1.3735416858514464</c:v>
                </c:pt>
                <c:pt idx="106">
                  <c:v>-1.2856570771148743</c:v>
                </c:pt>
                <c:pt idx="107">
                  <c:v>-1.19728634710351</c:v>
                </c:pt>
                <c:pt idx="108">
                  <c:v>-1.1084201995075735</c:v>
                </c:pt>
                <c:pt idx="109">
                  <c:v>-1.0190493380172858</c:v>
                </c:pt>
                <c:pt idx="110">
                  <c:v>-0.9291644663228672</c:v>
                </c:pt>
                <c:pt idx="111">
                  <c:v>-0.83875628811453828</c:v>
                </c:pt>
                <c:pt idx="112">
                  <c:v>-0.74781550708251943</c:v>
                </c:pt>
                <c:pt idx="113">
                  <c:v>-0.65633282691703143</c:v>
                </c:pt>
                <c:pt idx="114">
                  <c:v>-0.56429895130829477</c:v>
                </c:pt>
                <c:pt idx="115">
                  <c:v>-0.47170458394652981</c:v>
                </c:pt>
                <c:pt idx="116">
                  <c:v>-0.37854042852195713</c:v>
                </c:pt>
                <c:pt idx="117">
                  <c:v>-0.28479718872479726</c:v>
                </c:pt>
                <c:pt idx="118">
                  <c:v>-0.19046556824527078</c:v>
                </c:pt>
                <c:pt idx="119">
                  <c:v>-9.5536270773598192E-2</c:v>
                </c:pt>
                <c:pt idx="120">
                  <c:v>0</c:v>
                </c:pt>
                <c:pt idx="121">
                  <c:v>9.6151936466568819E-2</c:v>
                </c:pt>
                <c:pt idx="122">
                  <c:v>0.19292581534221545</c:v>
                </c:pt>
                <c:pt idx="123">
                  <c:v>0.29032730942431267</c:v>
                </c:pt>
                <c:pt idx="124">
                  <c:v>0.38836209151023326</c:v>
                </c:pt>
                <c:pt idx="125">
                  <c:v>0.48703583439734993</c:v>
                </c:pt>
                <c:pt idx="126">
                  <c:v>0.58635421088303552</c:v>
                </c:pt>
                <c:pt idx="127">
                  <c:v>0.6863228937646626</c:v>
                </c:pt>
                <c:pt idx="128">
                  <c:v>0.78694755583960407</c:v>
                </c:pt>
                <c:pt idx="129">
                  <c:v>0.88823386990523268</c:v>
                </c:pt>
                <c:pt idx="130">
                  <c:v>0.99018750875892125</c:v>
                </c:pt>
                <c:pt idx="131">
                  <c:v>1.0928141451980424</c:v>
                </c:pt>
                <c:pt idx="132">
                  <c:v>1.1961194520199689</c:v>
                </c:pt>
                <c:pt idx="133">
                  <c:v>1.3001091020220736</c:v>
                </c:pt>
                <c:pt idx="134">
                  <c:v>1.4047887680017292</c:v>
                </c:pt>
                <c:pt idx="135">
                  <c:v>1.5101641227563083</c:v>
                </c:pt>
                <c:pt idx="136">
                  <c:v>1.6162408390831842</c:v>
                </c:pt>
                <c:pt idx="137">
                  <c:v>1.7230245897797292</c:v>
                </c:pt>
                <c:pt idx="138">
                  <c:v>1.830521047643316</c:v>
                </c:pt>
                <c:pt idx="139">
                  <c:v>1.9387358854713175</c:v>
                </c:pt>
                <c:pt idx="140">
                  <c:v>2.0476747760611067</c:v>
                </c:pt>
                <c:pt idx="141">
                  <c:v>2.1573433922100556</c:v>
                </c:pt>
                <c:pt idx="142">
                  <c:v>2.2677474067155377</c:v>
                </c:pt>
                <c:pt idx="143">
                  <c:v>2.3788924923749253</c:v>
                </c:pt>
                <c:pt idx="144">
                  <c:v>2.4907843219855921</c:v>
                </c:pt>
                <c:pt idx="145">
                  <c:v>2.6034285683449099</c:v>
                </c:pt>
                <c:pt idx="146">
                  <c:v>2.716830904250251</c:v>
                </c:pt>
                <c:pt idx="147">
                  <c:v>2.8309970024989899</c:v>
                </c:pt>
                <c:pt idx="148">
                  <c:v>2.9459325358884976</c:v>
                </c:pt>
                <c:pt idx="149">
                  <c:v>3.0616431772161476</c:v>
                </c:pt>
                <c:pt idx="150">
                  <c:v>3.1781345992793124</c:v>
                </c:pt>
                <c:pt idx="151">
                  <c:v>3.2954124748753659</c:v>
                </c:pt>
                <c:pt idx="152">
                  <c:v>3.4134824768016792</c:v>
                </c:pt>
                <c:pt idx="153">
                  <c:v>3.5323502778556257</c:v>
                </c:pt>
                <c:pt idx="154">
                  <c:v>3.6520215508345792</c:v>
                </c:pt>
                <c:pt idx="155">
                  <c:v>3.7725019685359107</c:v>
                </c:pt>
                <c:pt idx="156">
                  <c:v>3.8937972037569937</c:v>
                </c:pt>
                <c:pt idx="157">
                  <c:v>4.0159129292952009</c:v>
                </c:pt>
                <c:pt idx="158">
                  <c:v>4.1388548179479061</c:v>
                </c:pt>
                <c:pt idx="159">
                  <c:v>4.2626285425124806</c:v>
                </c:pt>
                <c:pt idx="160">
                  <c:v>4.3872397757862975</c:v>
                </c:pt>
                <c:pt idx="161">
                  <c:v>4.5126941905667293</c:v>
                </c:pt>
                <c:pt idx="162">
                  <c:v>4.6389974596511507</c:v>
                </c:pt>
                <c:pt idx="163">
                  <c:v>4.7661552558369324</c:v>
                </c:pt>
                <c:pt idx="164">
                  <c:v>4.8941732519214467</c:v>
                </c:pt>
                <c:pt idx="165">
                  <c:v>5.0230571207020684</c:v>
                </c:pt>
                <c:pt idx="166">
                  <c:v>5.152807439293305</c:v>
                </c:pt>
                <c:pt idx="167">
                  <c:v>5.2834044020782054</c:v>
                </c:pt>
                <c:pt idx="168">
                  <c:v>5.41482310775696</c:v>
                </c:pt>
                <c:pt idx="169">
                  <c:v>5.547038655029751</c:v>
                </c:pt>
                <c:pt idx="170">
                  <c:v>5.6800261425967662</c:v>
                </c:pt>
                <c:pt idx="171">
                  <c:v>5.8137606691581931</c:v>
                </c:pt>
                <c:pt idx="172">
                  <c:v>5.9482173334142168</c:v>
                </c:pt>
                <c:pt idx="173">
                  <c:v>6.083371234065023</c:v>
                </c:pt>
                <c:pt idx="174">
                  <c:v>6.2191974698107995</c:v>
                </c:pt>
                <c:pt idx="175">
                  <c:v>6.3556711393517329</c:v>
                </c:pt>
                <c:pt idx="176">
                  <c:v>6.4927673413880065</c:v>
                </c:pt>
                <c:pt idx="177">
                  <c:v>6.6304611746198105</c:v>
                </c:pt>
                <c:pt idx="178">
                  <c:v>6.7687277377473283</c:v>
                </c:pt>
                <c:pt idx="179">
                  <c:v>6.9075421294707464</c:v>
                </c:pt>
                <c:pt idx="180">
                  <c:v>7.0468794484902535</c:v>
                </c:pt>
                <c:pt idx="181">
                  <c:v>7.1867147935060345</c:v>
                </c:pt>
                <c:pt idx="182">
                  <c:v>7.3270232632182744</c:v>
                </c:pt>
                <c:pt idx="183">
                  <c:v>7.4677799563271616</c:v>
                </c:pt>
                <c:pt idx="184">
                  <c:v>7.6089599715328813</c:v>
                </c:pt>
                <c:pt idx="185">
                  <c:v>7.7505384075356201</c:v>
                </c:pt>
                <c:pt idx="186">
                  <c:v>7.8924903630355638</c:v>
                </c:pt>
                <c:pt idx="187">
                  <c:v>8.0347909367329002</c:v>
                </c:pt>
                <c:pt idx="188">
                  <c:v>8.1774152273278133</c:v>
                </c:pt>
                <c:pt idx="189">
                  <c:v>8.3203383335204926</c:v>
                </c:pt>
                <c:pt idx="190">
                  <c:v>8.4635353540111211</c:v>
                </c:pt>
                <c:pt idx="191">
                  <c:v>8.6069813874998857</c:v>
                </c:pt>
                <c:pt idx="192">
                  <c:v>8.7506515326869749</c:v>
                </c:pt>
                <c:pt idx="193">
                  <c:v>8.8945208882725719</c:v>
                </c:pt>
                <c:pt idx="194">
                  <c:v>9.038564552956867</c:v>
                </c:pt>
                <c:pt idx="195">
                  <c:v>9.1827576254400434</c:v>
                </c:pt>
                <c:pt idx="196">
                  <c:v>9.327075204422286</c:v>
                </c:pt>
                <c:pt idx="197">
                  <c:v>9.4714923886037869</c:v>
                </c:pt>
                <c:pt idx="198">
                  <c:v>9.6159842766847277</c:v>
                </c:pt>
                <c:pt idx="199">
                  <c:v>9.7605259673652949</c:v>
                </c:pt>
                <c:pt idx="200">
                  <c:v>9.9050925593456753</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-11.207038780645185</c:v>
                </c:pt>
                <c:pt idx="1">
                  <c:v>-7.262337894521731</c:v>
                </c:pt>
                <c:pt idx="2">
                  <c:v>-4.7930791601083342</c:v>
                </c:pt>
                <c:pt idx="3">
                  <c:v>-2.6397977545749804</c:v>
                </c:pt>
                <c:pt idx="4">
                  <c:v>0</c:v>
                </c:pt>
                <c:pt idx="5">
                  <c:v>5.0230571207020684</c:v>
                </c:pt>
                <c:pt idx="6">
                  <c:v>9.9050925593456753</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-11.168861910536013</c:v>
                </c:pt>
                <c:pt idx="1">
                  <c:v>-11.108972456658535</c:v>
                </c:pt>
                <c:pt idx="2">
                  <c:v>-11.047367438116449</c:v>
                </c:pt>
                <c:pt idx="3">
                  <c:v>-10.983921900234996</c:v>
                </c:pt>
                <c:pt idx="4">
                  <c:v>-10.918532236787415</c:v>
                </c:pt>
                <c:pt idx="5">
                  <c:v>-10.851114793921486</c:v>
                </c:pt>
                <c:pt idx="6">
                  <c:v>-10.781604527240185</c:v>
                </c:pt>
                <c:pt idx="7">
                  <c:v>-10.709953710855682</c:v>
                </c:pt>
                <c:pt idx="8">
                  <c:v>-10.636130697247808</c:v>
                </c:pt>
                <c:pt idx="9">
                  <c:v>-10.560118726770533</c:v>
                </c:pt>
                <c:pt idx="10">
                  <c:v>-10.481914785661623</c:v>
                </c:pt>
                <c:pt idx="11">
                  <c:v>-10.401528511423102</c:v>
                </c:pt>
                <c:pt idx="12">
                  <c:v>-10.318981144451936</c:v>
                </c:pt>
                <c:pt idx="13">
                  <c:v>-10.234304524812538</c:v>
                </c:pt>
                <c:pt idx="14">
                  <c:v>-10.147540133054749</c:v>
                </c:pt>
                <c:pt idx="15">
                  <c:v>-10.05873817399304</c:v>
                </c:pt>
                <c:pt idx="16">
                  <c:v>-9.9679567023746003</c:v>
                </c:pt>
                <c:pt idx="17">
                  <c:v>-9.8752607893762274</c:v>
                </c:pt>
                <c:pt idx="18">
                  <c:v>-9.7807217288819306</c:v>
                </c:pt>
                <c:pt idx="19">
                  <c:v>-9.6844162825051221</c:v>
                </c:pt>
                <c:pt idx="20">
                  <c:v>-9.5864259623315267</c:v>
                </c:pt>
                <c:pt idx="21">
                  <c:v>-9.4868363503707691</c:v>
                </c:pt>
                <c:pt idx="22">
                  <c:v>-9.385736453716925</c:v>
                </c:pt>
                <c:pt idx="23">
                  <c:v>-9.2832180944301559</c:v>
                </c:pt>
                <c:pt idx="24">
                  <c:v>-9.1793753331637404</c:v>
                </c:pt>
                <c:pt idx="25">
                  <c:v>-9.0743039255728313</c:v>
                </c:pt>
                <c:pt idx="26">
                  <c:v>-8.968100810553354</c:v>
                </c:pt>
                <c:pt idx="27">
                  <c:v>-8.8608636293715115</c:v>
                </c:pt>
                <c:pt idx="28">
                  <c:v>-8.7526902747564161</c:v>
                </c:pt>
                <c:pt idx="29">
                  <c:v>-8.6436784690404522</c:v>
                </c:pt>
                <c:pt idx="30">
                  <c:v>-8.5339253704440203</c:v>
                </c:pt>
                <c:pt idx="31">
                  <c:v>-8.4235272066134037</c:v>
                </c:pt>
                <c:pt idx="32">
                  <c:v>-8.3125789345325138</c:v>
                </c:pt>
                <c:pt idx="33">
                  <c:v>-8.2011739259413723</c:v>
                </c:pt>
                <c:pt idx="34">
                  <c:v>-8.089403677406267</c:v>
                </c:pt>
                <c:pt idx="35">
                  <c:v>-7.9773575441985063</c:v>
                </c:pt>
                <c:pt idx="36">
                  <c:v>-7.8651224971508764</c:v>
                </c:pt>
                <c:pt idx="37">
                  <c:v>-7.7527829016728127</c:v>
                </c:pt>
                <c:pt idx="38">
                  <c:v>-7.6404203181175685</c:v>
                </c:pt>
                <c:pt idx="39">
                  <c:v>-7.5281133227064867</c:v>
                </c:pt>
                <c:pt idx="40">
                  <c:v>-7.4159373482277706</c:v>
                </c:pt>
                <c:pt idx="41">
                  <c:v>-7.3039645437390304</c:v>
                </c:pt>
                <c:pt idx="42">
                  <c:v>-7.1922636525150905</c:v>
                </c:pt>
                <c:pt idx="43">
                  <c:v>-7.0808999074944783</c:v>
                </c:pt>
                <c:pt idx="44">
                  <c:v>-6.9699349434901858</c:v>
                </c:pt>
                <c:pt idx="45">
                  <c:v>-6.8594267254422991</c:v>
                </c:pt>
                <c:pt idx="46">
                  <c:v>-6.7494294920021671</c:v>
                </c:pt>
                <c:pt idx="47">
                  <c:v>-6.6399937137498393</c:v>
                </c:pt>
                <c:pt idx="48">
                  <c:v>-6.5311660653585797</c:v>
                </c:pt>
                <c:pt idx="49">
                  <c:v>-6.4229894110323356</c:v>
                </c:pt>
                <c:pt idx="50">
                  <c:v>-6.3155028025540476</c:v>
                </c:pt>
                <c:pt idx="51">
                  <c:v>-6.2087414892948294</c:v>
                </c:pt>
                <c:pt idx="52">
                  <c:v>-6.1027369395460678</c:v>
                </c:pt>
                <c:pt idx="53">
                  <c:v>-5.99751687254851</c:v>
                </c:pt>
                <c:pt idx="54">
                  <c:v>-5.8931053006046046</c:v>
                </c:pt>
                <c:pt idx="55">
                  <c:v>-5.7895225806722612</c:v>
                </c:pt>
                <c:pt idx="56">
                  <c:v>-5.6867854748503763</c:v>
                </c:pt>
                <c:pt idx="57">
                  <c:v>-5.5849072191784872</c:v>
                </c:pt>
                <c:pt idx="58">
                  <c:v>-5.4838976001849842</c:v>
                </c:pt>
                <c:pt idx="59">
                  <c:v>-5.3837630386303976</c:v>
                </c:pt>
                <c:pt idx="60">
                  <c:v>-5.2845066799042755</c:v>
                </c:pt>
                <c:pt idx="61">
                  <c:v>-5.1861284905463396</c:v>
                </c:pt>
                <c:pt idx="62">
                  <c:v>-5.0886253603745466</c:v>
                </c:pt>
                <c:pt idx="63">
                  <c:v>-4.9919912097148522</c:v>
                </c:pt>
                <c:pt idx="64">
                  <c:v>-4.8962171012394622</c:v>
                </c:pt>
                <c:pt idx="65">
                  <c:v>-4.8012913559324666</c:v>
                </c:pt>
                <c:pt idx="66">
                  <c:v>-4.7071996727137888</c:v>
                </c:pt>
                <c:pt idx="67">
                  <c:v>-4.6139252512644582</c:v>
                </c:pt>
                <c:pt idx="68">
                  <c:v>-4.5214489176082751</c:v>
                </c:pt>
                <c:pt idx="69">
                  <c:v>-4.429749252017003</c:v>
                </c:pt>
                <c:pt idx="70">
                  <c:v>-4.3388027188182727</c:v>
                </c:pt>
                <c:pt idx="71">
                  <c:v>-4.2485837976974672</c:v>
                </c:pt>
                <c:pt idx="72">
                  <c:v>-4.1590651160969125</c:v>
                </c:pt>
                <c:pt idx="73">
                  <c:v>-4.0702175823277393</c:v>
                </c:pt>
                <c:pt idx="74">
                  <c:v>-3.9820105190218942</c:v>
                </c:pt>
                <c:pt idx="75">
                  <c:v>-3.894411796563793</c:v>
                </c:pt>
                <c:pt idx="76">
                  <c:v>-3.8073879661531911</c:v>
                </c:pt>
                <c:pt idx="77">
                  <c:v>-3.7209043921629243</c:v>
                </c:pt>
                <c:pt idx="78">
                  <c:v>-3.6349253834672095</c:v>
                </c:pt>
                <c:pt idx="79">
                  <c:v>-3.5494143234282838</c:v>
                </c:pt>
                <c:pt idx="80">
                  <c:v>-3.4643337982411881</c:v>
                </c:pt>
                <c:pt idx="81">
                  <c:v>-3.3796457233486303</c:v>
                </c:pt>
                <c:pt idx="82">
                  <c:v>-3.2953114676498343</c:v>
                </c:pt>
                <c:pt idx="83">
                  <c:v>-3.2112919752394373</c:v>
                </c:pt>
                <c:pt idx="84">
                  <c:v>-3.1275478844244877</c:v>
                </c:pt>
                <c:pt idx="85">
                  <c:v>-3.0440396437797199</c:v>
                </c:pt>
                <c:pt idx="86">
                  <c:v>-2.9607276250132806</c:v>
                </c:pt>
                <c:pt idx="87">
                  <c:v>-2.8775722324272199</c:v>
                </c:pt>
                <c:pt idx="88">
                  <c:v>-2.7945340087690478</c:v>
                </c:pt>
                <c:pt idx="89">
                  <c:v>-2.7115737372827842</c:v>
                </c:pt>
                <c:pt idx="90">
                  <c:v>-2.6286525397799543</c:v>
                </c:pt>
                <c:pt idx="91">
                  <c:v>-2.545731970563049</c:v>
                </c:pt>
                <c:pt idx="92">
                  <c:v>-2.4627741060460684</c:v>
                </c:pt>
                <c:pt idx="93">
                  <c:v>-2.3797416299287608</c:v>
                </c:pt>
                <c:pt idx="94">
                  <c:v>-2.2965979137933243</c:v>
                </c:pt>
                <c:pt idx="95">
                  <c:v>-2.2133070930043042</c:v>
                </c:pt>
                <c:pt idx="96">
                  <c:v>-2.1298341378045746</c:v>
                </c:pt>
                <c:pt idx="97">
                  <c:v>-2.0461449195122681</c:v>
                </c:pt>
                <c:pt idx="98">
                  <c:v>-1.9622062717356716</c:v>
                </c:pt>
                <c:pt idx="99">
                  <c:v>-1.8779860465350819</c:v>
                </c:pt>
                <c:pt idx="100">
                  <c:v>-1.7934531654727477</c:v>
                </c:pt>
                <c:pt idx="101">
                  <c:v>-1.708577665504043</c:v>
                </c:pt>
                <c:pt idx="102">
                  <c:v>-1.6233307396751098</c:v>
                </c:pt>
                <c:pt idx="103">
                  <c:v>-1.5376847726042464</c:v>
                </c:pt>
                <c:pt idx="104">
                  <c:v>-1.4516133707364032</c:v>
                </c:pt>
                <c:pt idx="105">
                  <c:v>-1.3650913873722013</c:v>
                </c:pt>
                <c:pt idx="106">
                  <c:v>-1.2780949424849399</c:v>
                </c:pt>
                <c:pt idx="107">
                  <c:v>-1.1906014373511551</c:v>
                </c:pt>
                <c:pt idx="108">
                  <c:v>-1.1025895640323198</c:v>
                </c:pt>
                <c:pt idx="109">
                  <c:v>-1.0140393097573601</c:v>
                </c:pt>
                <c:pt idx="110">
                  <c:v>-0.9249319562677244</c:v>
                </c:pt>
                <c:pt idx="111">
                  <c:v>-0.83525007419879138</c:v>
                </c:pt>
                <c:pt idx="112">
                  <c:v>-0.74497751258348877</c:v>
                </c:pt>
                <c:pt idx="113">
                  <c:v>-0.65409938357603747</c:v>
                </c:pt>
                <c:pt idx="114">
                  <c:v>-0.56260204250580859</c:v>
                </c:pt>
                <c:pt idx="115">
                  <c:v>-0.47047306338334721</c:v>
                </c:pt>
                <c:pt idx="116">
                  <c:v>-0.37770120999267215</c:v>
                </c:pt>
                <c:pt idx="117">
                  <c:v>-0.2842764027160305</c:v>
                </c:pt>
                <c:pt idx="118">
                  <c:v>-0.19018968124934779</c:v>
                </c:pt>
                <c:pt idx="119">
                  <c:v>-9.5433163378674468E-2</c:v>
                </c:pt>
                <c:pt idx="120">
                  <c:v>0</c:v>
                </c:pt>
                <c:pt idx="121">
                  <c:v>9.6115673423138703E-2</c:v>
                </c:pt>
                <c:pt idx="122">
                  <c:v>0.19291878875775795</c:v>
                </c:pt>
                <c:pt idx="123">
                  <c:v>0.29041340023668094</c:v>
                </c:pt>
                <c:pt idx="124">
                  <c:v>0.38860274240032328</c:v>
                </c:pt>
                <c:pt idx="125">
                  <c:v>0.48748929070232533</c:v>
                </c:pt>
                <c:pt idx="126">
                  <c:v>0.58707482452428528</c:v>
                </c:pt>
                <c:pt idx="127">
                  <c:v>0.68736049233278018</c:v>
                </c:pt>
                <c:pt idx="128">
                  <c:v>0.78834687869980091</c:v>
                </c:pt>
                <c:pt idx="129">
                  <c:v>0.89003407289566328</c:v>
                </c:pt>
                <c:pt idx="130">
                  <c:v>0.99242173875139394</c:v>
                </c:pt>
                <c:pt idx="131">
                  <c:v>1.095509185475525</c:v>
                </c:pt>
                <c:pt idx="132">
                  <c:v>1.1992954390981712</c:v>
                </c:pt>
                <c:pt idx="133">
                  <c:v>1.3037793142031944</c:v>
                </c:pt>
                <c:pt idx="134">
                  <c:v>1.4089594855972052</c:v>
                </c:pt>
                <c:pt idx="135">
                  <c:v>1.5148345595520782</c:v>
                </c:pt>
                <c:pt idx="136">
                  <c:v>1.6214031442456009</c:v>
                </c:pt>
                <c:pt idx="137">
                  <c:v>1.7286639190128095</c:v>
                </c:pt>
                <c:pt idx="138">
                  <c:v>1.8366157020085092</c:v>
                </c:pt>
                <c:pt idx="139">
                  <c:v>1.9452575158693919</c:v>
                </c:pt>
                <c:pt idx="140">
                  <c:v>2.0545886509521334</c:v>
                </c:pt>
                <c:pt idx="141">
                  <c:v>2.1646087257117581</c:v>
                </c:pt>
                <c:pt idx="142">
                  <c:v>2.2753177437725123</c:v>
                </c:pt>
                <c:pt idx="143">
                  <c:v>2.3867161472314207</c:v>
                </c:pt>
                <c:pt idx="144">
                  <c:v>2.4988048657226347</c:v>
                </c:pt>
                <c:pt idx="145">
                  <c:v>2.6115853607586299</c:v>
                </c:pt>
                <c:pt idx="146">
                  <c:v>2.7250596648522092</c:v>
                </c:pt>
                <c:pt idx="147">
                  <c:v>2.8392304149112686</c:v>
                </c:pt>
                <c:pt idx="148">
                  <c:v>2.9541008793861492</c:v>
                </c:pt>
                <c:pt idx="149">
                  <c:v>3.0696749786373929</c:v>
                </c:pt>
                <c:pt idx="150">
                  <c:v>3.1859572979796185</c:v>
                </c:pt>
                <c:pt idx="151">
                  <c:v>3.3029530928451813</c:v>
                </c:pt>
                <c:pt idx="152">
                  <c:v>3.4206682854992363</c:v>
                </c:pt>
                <c:pt idx="153">
                  <c:v>3.5391094527257265</c:v>
                </c:pt>
                <c:pt idx="154">
                  <c:v>3.6582838038917833</c:v>
                </c:pt>
                <c:pt idx="155">
                  <c:v>3.7781991487859425</c:v>
                </c:pt>
                <c:pt idx="156">
                  <c:v>3.898863854613539</c:v>
                </c:pt>
                <c:pt idx="157">
                  <c:v>4.02028679152055</c:v>
                </c:pt>
                <c:pt idx="158">
                  <c:v>4.1424772660051188</c:v>
                </c:pt>
                <c:pt idx="159">
                  <c:v>4.2654449415639233</c:v>
                </c:pt>
                <c:pt idx="160">
                  <c:v>4.3891997459084582</c:v>
                </c:pt>
                <c:pt idx="161">
                  <c:v>4.5137517640743052</c:v>
                </c:pt>
                <c:pt idx="162">
                  <c:v>4.6391111167343233</c:v>
                </c:pt>
                <c:pt idx="163">
                  <c:v>4.7652878230146678</c:v>
                </c:pt>
                <c:pt idx="164">
                  <c:v>4.8922916471005218</c:v>
                </c:pt>
                <c:pt idx="165">
                  <c:v>5.0201319279062488</c:v>
                </c:pt>
                <c:pt idx="166">
                  <c:v>5.1488173910727424</c:v>
                </c:pt>
                <c:pt idx="167">
                  <c:v>5.278355942542591</c:v>
                </c:pt>
                <c:pt idx="168">
                  <c:v>5.4087544429516567</c:v>
                </c:pt>
                <c:pt idx="169">
                  <c:v>5.5400184620636006</c:v>
                </c:pt>
                <c:pt idx="170">
                  <c:v>5.672152012461785</c:v>
                </c:pt>
                <c:pt idx="171">
                  <c:v>5.8051572617009928</c:v>
                </c:pt>
                <c:pt idx="172">
                  <c:v>5.9390342221092656</c:v>
                </c:pt>
                <c:pt idx="173">
                  <c:v>6.0737804174181509</c:v>
                </c:pt>
                <c:pt idx="174">
                  <c:v>6.209390525387545</c:v>
                </c:pt>
                <c:pt idx="175">
                  <c:v>6.3458559955792957</c:v>
                </c:pt>
                <c:pt idx="176">
                  <c:v>6.4831646414216477</c:v>
                </c:pt>
                <c:pt idx="177">
                  <c:v>6.6213002056945136</c:v>
                </c:pt>
                <c:pt idx="178">
                  <c:v>6.7602418985535717</c:v>
                </c:pt>
                <c:pt idx="179">
                  <c:v>6.8999639071990408</c:v>
                </c:pt>
                <c:pt idx="180">
                  <c:v>7.0404348762829887</c:v>
                </c:pt>
                <c:pt idx="181">
                  <c:v>7.1816173581369123</c:v>
                </c:pt>
                <c:pt idx="182">
                  <c:v>7.3234672318893059</c:v>
                </c:pt>
                <c:pt idx="183">
                  <c:v>7.465933090530851</c:v>
                </c:pt>
                <c:pt idx="184">
                  <c:v>7.6089555949727998</c:v>
                </c:pt>
                <c:pt idx="185">
                  <c:v>7.7524667941320562</c:v>
                </c:pt>
                <c:pt idx="186">
                  <c:v>7.8963894100643968</c:v>
                </c:pt>
                <c:pt idx="187">
                  <c:v>8.0406360871552618</c:v>
                </c:pt>
                <c:pt idx="188">
                  <c:v>8.1851086043653343</c:v>
                </c:pt>
                <c:pt idx="189">
                  <c:v>8.3296970495162874</c:v>
                </c:pt>
                <c:pt idx="190">
                  <c:v>8.4742789545897796</c:v>
                </c:pt>
                <c:pt idx="191">
                  <c:v>8.6187183910009217</c:v>
                </c:pt>
                <c:pt idx="192">
                  <c:v>8.7628650237951984</c:v>
                </c:pt>
                <c:pt idx="193">
                  <c:v>8.9065531237059066</c:v>
                </c:pt>
                <c:pt idx="194">
                  <c:v>9.0496005359970315</c:v>
                </c:pt>
                <c:pt idx="195">
                  <c:v>9.1918076050044064</c:v>
                </c:pt>
                <c:pt idx="196">
                  <c:v>9.3329560532760194</c:v>
                </c:pt>
                <c:pt idx="197">
                  <c:v>9.4728078142001806</c:v>
                </c:pt>
                <c:pt idx="198">
                  <c:v>9.6111038169982326</c:v>
                </c:pt>
                <c:pt idx="199">
                  <c:v>9.7475627229464585</c:v>
                </c:pt>
                <c:pt idx="200">
                  <c:v>9.8818796116796985</c:v>
                </c:pt>
              </c:numCache>
            </c:numRef>
          </c:yVal>
          <c:smooth val="1"/>
        </c:ser>
        <c:dLbls>
          <c:showLegendKey val="0"/>
          <c:showVal val="0"/>
          <c:showCatName val="0"/>
          <c:showSerName val="0"/>
          <c:showPercent val="0"/>
          <c:showBubbleSize val="0"/>
        </c:dLbls>
        <c:axId val="453326832"/>
        <c:axId val="453327616"/>
      </c:scatterChart>
      <c:valAx>
        <c:axId val="45332683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7616"/>
        <c:crossesAt val="-1000"/>
        <c:crossBetween val="midCat"/>
      </c:valAx>
      <c:valAx>
        <c:axId val="453327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683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151</v>
      </c>
    </row>
    <row r="22" spans="1:2" s="11" customFormat="1" x14ac:dyDescent="0.25">
      <c r="A22" s="61" t="s">
        <v>156</v>
      </c>
      <c r="B22" s="99">
        <f>CTE!N8-0.5</f>
        <v>161</v>
      </c>
    </row>
    <row r="23" spans="1:2" s="11" customFormat="1" x14ac:dyDescent="0.25">
      <c r="A23" s="61" t="s">
        <v>157</v>
      </c>
      <c r="B23" s="99">
        <f>CTE!N9</f>
        <v>180.5</v>
      </c>
    </row>
    <row r="24" spans="1:2" s="11" customFormat="1" x14ac:dyDescent="0.25"/>
    <row r="25" spans="1:2" s="11" customFormat="1" x14ac:dyDescent="0.25">
      <c r="A25" s="61" t="s">
        <v>146</v>
      </c>
      <c r="B25" s="53">
        <f>CTE!O5</f>
        <v>1.9566746857142857E-5</v>
      </c>
    </row>
    <row r="26" spans="1:2" s="11" customFormat="1" x14ac:dyDescent="0.25">
      <c r="A26" s="61" t="s">
        <v>147</v>
      </c>
      <c r="B26" s="53">
        <f>CTE!O6</f>
        <v>2.1190465714285718E-5</v>
      </c>
    </row>
    <row r="27" spans="1:2" s="11" customFormat="1" x14ac:dyDescent="0.25">
      <c r="A27" s="61" t="s">
        <v>148</v>
      </c>
      <c r="B27" s="53">
        <f>CTE!O8</f>
        <v>5.3153978285714289E-5</v>
      </c>
    </row>
    <row r="28" spans="1:2" s="11" customFormat="1" x14ac:dyDescent="0.25">
      <c r="A28" s="61" t="s">
        <v>149</v>
      </c>
      <c r="B28" s="53">
        <f>CTE!O9</f>
        <v>5.310945314285715E-5</v>
      </c>
    </row>
    <row r="29" spans="1:2" s="11" customFormat="1" x14ac:dyDescent="0.25">
      <c r="A29" s="61"/>
    </row>
    <row r="30" spans="1:2" s="11" customFormat="1" x14ac:dyDescent="0.25">
      <c r="A30" s="61" t="s">
        <v>150</v>
      </c>
      <c r="B30" s="52">
        <f>CTE!P5</f>
        <v>1.9838334999999999E-5</v>
      </c>
    </row>
    <row r="31" spans="1:2" s="11" customFormat="1" x14ac:dyDescent="0.25">
      <c r="A31" s="61" t="s">
        <v>151</v>
      </c>
      <c r="B31" s="52">
        <f>CTE!P6</f>
        <v>2.1019518444444445E-5</v>
      </c>
    </row>
    <row r="32" spans="1:2" s="11" customFormat="1" x14ac:dyDescent="0.25">
      <c r="A32" s="61" t="s">
        <v>152</v>
      </c>
      <c r="B32" s="52">
        <f>CTE!P8</f>
        <v>4.2214975555555561E-5</v>
      </c>
    </row>
    <row r="33" spans="1:2" s="11" customFormat="1" x14ac:dyDescent="0.25">
      <c r="A33" s="61" t="s">
        <v>153</v>
      </c>
      <c r="B33" s="52">
        <f>CTE!P9</f>
        <v>4.2465003333333332E-5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9.5773520484443431E-2</v>
      </c>
      <c r="D59" s="55">
        <v>1</v>
      </c>
    </row>
    <row r="60" spans="1:4" s="11" customFormat="1" x14ac:dyDescent="0.25">
      <c r="A60" s="54">
        <v>2</v>
      </c>
      <c r="B60" s="56">
        <f>'Shiftfunktion bestimmen'!N2</f>
        <v>3.4129390089845425E-4</v>
      </c>
      <c r="D60" s="55">
        <v>2</v>
      </c>
    </row>
    <row r="61" spans="1:4" s="11" customFormat="1" x14ac:dyDescent="0.25">
      <c r="A61" s="54">
        <v>3</v>
      </c>
      <c r="B61" s="56">
        <f>'Shiftfunktion bestimmen'!N3</f>
        <v>8.9747032822115535E-7</v>
      </c>
      <c r="D61" s="55">
        <v>3</v>
      </c>
    </row>
    <row r="62" spans="1:4" s="11" customFormat="1" x14ac:dyDescent="0.25">
      <c r="A62" s="54">
        <v>4</v>
      </c>
      <c r="B62" s="56">
        <f>'Shiftfunktion bestimmen'!N4</f>
        <v>-3.8883027388107284E-8</v>
      </c>
      <c r="D62" s="55">
        <v>4</v>
      </c>
    </row>
    <row r="63" spans="1:4" s="11" customFormat="1" x14ac:dyDescent="0.25">
      <c r="A63" s="54">
        <v>5</v>
      </c>
      <c r="B63" s="56">
        <f>'Shiftfunktion bestimmen'!N5</f>
        <v>4.4617950269473089E-10</v>
      </c>
      <c r="D63" s="55">
        <v>5</v>
      </c>
    </row>
    <row r="64" spans="1:4" s="11" customFormat="1" x14ac:dyDescent="0.25">
      <c r="A64" s="54">
        <v>6</v>
      </c>
      <c r="B64" s="56">
        <f>'Shiftfunktion bestimmen'!N6</f>
        <v>4.3613451063549792E-12</v>
      </c>
      <c r="D64" s="55">
        <v>6</v>
      </c>
    </row>
    <row r="65" spans="1:5" s="11" customFormat="1" x14ac:dyDescent="0.25">
      <c r="A65" s="54">
        <v>7</v>
      </c>
      <c r="B65" s="56">
        <f>'Shiftfunktion bestimmen'!N7</f>
        <v>-4.4561336578419947E-14</v>
      </c>
      <c r="D65" s="55">
        <v>7</v>
      </c>
    </row>
    <row r="66" spans="1:5" x14ac:dyDescent="0.25">
      <c r="A66" s="54">
        <v>8</v>
      </c>
      <c r="B66" s="56">
        <f>'Shiftfunktion bestimmen'!N8</f>
        <v>-2.9919235930895075E-16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8.8124140087449648E-2</v>
      </c>
      <c r="D74" s="51">
        <v>1</v>
      </c>
      <c r="E74" s="56">
        <f>'Mastercurve bestimmen'!A18</f>
        <v>1.0000000000000001E-20</v>
      </c>
    </row>
    <row r="75" spans="1:5" x14ac:dyDescent="0.25">
      <c r="A75" s="50">
        <f>A74+1</f>
        <v>2</v>
      </c>
      <c r="B75" s="56">
        <f>'Mastercurve bestimmen'!C19</f>
        <v>3.6514591817959942E-2</v>
      </c>
      <c r="D75" s="51">
        <v>2</v>
      </c>
      <c r="E75" s="56">
        <f>'Mastercurve bestimmen'!A19</f>
        <v>3.9038946506297401E-14</v>
      </c>
    </row>
    <row r="76" spans="1:5" x14ac:dyDescent="0.25">
      <c r="A76" s="50">
        <f t="shared" ref="A76:A104" si="0">A75+1</f>
        <v>3</v>
      </c>
      <c r="B76" s="56">
        <f>'Mastercurve bestimmen'!C20</f>
        <v>1.7686200365280833E-2</v>
      </c>
      <c r="D76" s="51">
        <v>3</v>
      </c>
      <c r="E76" s="56">
        <f>'Mastercurve bestimmen'!A20</f>
        <v>4.3276437088188502E-13</v>
      </c>
    </row>
    <row r="77" spans="1:5" x14ac:dyDescent="0.25">
      <c r="A77" s="50">
        <f t="shared" si="0"/>
        <v>4</v>
      </c>
      <c r="B77" s="56">
        <f>'Mastercurve bestimmen'!C21</f>
        <v>2.4470489121356472E-2</v>
      </c>
      <c r="D77" s="51">
        <v>4</v>
      </c>
      <c r="E77" s="56">
        <f>'Mastercurve bestimmen'!A21</f>
        <v>4.7973886968128502E-12</v>
      </c>
    </row>
    <row r="78" spans="1:5" x14ac:dyDescent="0.25">
      <c r="A78" s="50">
        <f t="shared" si="0"/>
        <v>5</v>
      </c>
      <c r="B78" s="56">
        <f>'Mastercurve bestimmen'!C22</f>
        <v>2.4627512030384147E-2</v>
      </c>
      <c r="D78" s="51">
        <v>5</v>
      </c>
      <c r="E78" s="56">
        <f>'Mastercurve bestimmen'!A22</f>
        <v>5.31812225239524E-11</v>
      </c>
    </row>
    <row r="79" spans="1:5" x14ac:dyDescent="0.25">
      <c r="A79" s="50">
        <f t="shared" si="0"/>
        <v>6</v>
      </c>
      <c r="B79" s="56">
        <f>'Mastercurve bestimmen'!C23</f>
        <v>1.9757999415409316E-2</v>
      </c>
      <c r="D79" s="51">
        <v>6</v>
      </c>
      <c r="E79" s="56">
        <f>'Mastercurve bestimmen'!A23</f>
        <v>5.8953789402578301E-10</v>
      </c>
    </row>
    <row r="80" spans="1:5" x14ac:dyDescent="0.25">
      <c r="A80" s="50">
        <f t="shared" si="0"/>
        <v>7</v>
      </c>
      <c r="B80" s="56">
        <f>'Mastercurve bestimmen'!C24</f>
        <v>3.0456673139818591E-2</v>
      </c>
      <c r="D80" s="51">
        <v>7</v>
      </c>
      <c r="E80" s="56">
        <f>'Mastercurve bestimmen'!A24</f>
        <v>6.5352940755699598E-9</v>
      </c>
    </row>
    <row r="81" spans="1:5" x14ac:dyDescent="0.25">
      <c r="A81" s="50">
        <f t="shared" si="0"/>
        <v>8</v>
      </c>
      <c r="B81" s="56">
        <f>'Mastercurve bestimmen'!C25</f>
        <v>3.3429649525112674E-2</v>
      </c>
      <c r="D81" s="51">
        <v>8</v>
      </c>
      <c r="E81" s="56">
        <f>'Mastercurve bestimmen'!A25</f>
        <v>7.2446689325643296E-8</v>
      </c>
    </row>
    <row r="82" spans="1:5" x14ac:dyDescent="0.25">
      <c r="A82" s="50">
        <f t="shared" si="0"/>
        <v>9</v>
      </c>
      <c r="B82" s="56">
        <f>'Mastercurve bestimmen'!C26</f>
        <v>3.254093488233234E-2</v>
      </c>
      <c r="D82" s="51">
        <f>A82</f>
        <v>9</v>
      </c>
      <c r="E82" s="56">
        <f>'Mastercurve bestimmen'!A26</f>
        <v>8.03104303120212E-7</v>
      </c>
    </row>
    <row r="83" spans="1:5" x14ac:dyDescent="0.25">
      <c r="A83" s="50">
        <f t="shared" si="0"/>
        <v>10</v>
      </c>
      <c r="B83" s="56">
        <f>'Mastercurve bestimmen'!C27</f>
        <v>2.4641511300848837E-2</v>
      </c>
      <c r="C83" s="11"/>
      <c r="D83" s="51">
        <f t="shared" ref="D83:D104" si="1">A83</f>
        <v>10</v>
      </c>
      <c r="E83" s="56">
        <f>'Mastercurve bestimmen'!A27</f>
        <v>8.9027742702096099E-6</v>
      </c>
    </row>
    <row r="84" spans="1:5" x14ac:dyDescent="0.25">
      <c r="A84" s="50">
        <f t="shared" si="0"/>
        <v>11</v>
      </c>
      <c r="B84" s="56">
        <f>'Mastercurve bestimmen'!C28</f>
        <v>2.412241796775583E-2</v>
      </c>
      <c r="C84" s="11"/>
      <c r="D84" s="51">
        <f t="shared" si="1"/>
        <v>11</v>
      </c>
      <c r="E84" s="56">
        <f>'Mastercurve bestimmen'!A28</f>
        <v>9.86912775817142E-5</v>
      </c>
    </row>
    <row r="85" spans="1:5" x14ac:dyDescent="0.25">
      <c r="A85" s="50">
        <f t="shared" si="0"/>
        <v>12</v>
      </c>
      <c r="B85" s="56">
        <f>'Mastercurve bestimmen'!C29</f>
        <v>2.8528246553067089E-2</v>
      </c>
      <c r="C85" s="11"/>
      <c r="D85" s="51">
        <f t="shared" si="1"/>
        <v>12</v>
      </c>
      <c r="E85" s="56">
        <f>'Mastercurve bestimmen'!A29</f>
        <v>1.0940374286813801E-3</v>
      </c>
    </row>
    <row r="86" spans="1:5" x14ac:dyDescent="0.25">
      <c r="A86" s="50">
        <f t="shared" si="0"/>
        <v>13</v>
      </c>
      <c r="B86" s="56">
        <f>'Mastercurve bestimmen'!C30</f>
        <v>2.1048719571397968E-2</v>
      </c>
      <c r="C86" s="11"/>
      <c r="D86" s="51">
        <f t="shared" si="1"/>
        <v>13</v>
      </c>
      <c r="E86" s="56">
        <f>'Mastercurve bestimmen'!A30</f>
        <v>1.2127899493091E-2</v>
      </c>
    </row>
    <row r="87" spans="1:5" x14ac:dyDescent="0.25">
      <c r="A87" s="50">
        <f t="shared" si="0"/>
        <v>14</v>
      </c>
      <c r="B87" s="56">
        <f>'Mastercurve bestimmen'!C31</f>
        <v>3.1114198963852646E-2</v>
      </c>
      <c r="C87" s="11"/>
      <c r="D87" s="51">
        <f t="shared" si="1"/>
        <v>14</v>
      </c>
      <c r="E87" s="56">
        <f>'Mastercurve bestimmen'!A31</f>
        <v>0.13444324870292301</v>
      </c>
    </row>
    <row r="88" spans="1:5" x14ac:dyDescent="0.25">
      <c r="A88" s="50">
        <f t="shared" si="0"/>
        <v>15</v>
      </c>
      <c r="B88" s="56">
        <f>'Mastercurve bestimmen'!C32</f>
        <v>2.5140718095571668E-2</v>
      </c>
      <c r="C88" s="11"/>
      <c r="D88" s="51">
        <f t="shared" si="1"/>
        <v>15</v>
      </c>
      <c r="E88" s="56">
        <f>'Mastercurve bestimmen'!A32</f>
        <v>1.49036419143257</v>
      </c>
    </row>
    <row r="89" spans="1:5" x14ac:dyDescent="0.25">
      <c r="A89" s="50">
        <f t="shared" si="0"/>
        <v>16</v>
      </c>
      <c r="B89" s="56">
        <f>'Mastercurve bestimmen'!C33</f>
        <v>7.3741618123119579E-2</v>
      </c>
      <c r="C89" s="11"/>
      <c r="D89" s="51">
        <f t="shared" si="1"/>
        <v>16</v>
      </c>
      <c r="E89" s="56">
        <f>'Mastercurve bestimmen'!A33</f>
        <v>16.521360830937301</v>
      </c>
    </row>
    <row r="90" spans="1:5" x14ac:dyDescent="0.25">
      <c r="A90" s="50">
        <f t="shared" si="0"/>
        <v>17</v>
      </c>
      <c r="B90" s="56">
        <f>'Mastercurve bestimmen'!C34</f>
        <v>9.9846945696723061E-2</v>
      </c>
      <c r="C90" s="11"/>
      <c r="D90" s="51">
        <f t="shared" si="1"/>
        <v>17</v>
      </c>
      <c r="E90" s="56">
        <f>'Mastercurve bestimmen'!A34</f>
        <v>183.146753843879</v>
      </c>
    </row>
    <row r="91" spans="1:5" x14ac:dyDescent="0.25">
      <c r="A91" s="50">
        <f t="shared" si="0"/>
        <v>18</v>
      </c>
      <c r="B91" s="56">
        <f>'Mastercurve bestimmen'!C35</f>
        <v>8.4959897030223219E-2</v>
      </c>
      <c r="C91" s="11"/>
      <c r="D91" s="51">
        <f t="shared" si="1"/>
        <v>18</v>
      </c>
      <c r="E91" s="56">
        <f>'Mastercurve bestimmen'!A35</f>
        <v>2030.26456396616</v>
      </c>
    </row>
    <row r="92" spans="1:5" x14ac:dyDescent="0.25">
      <c r="A92" s="50">
        <f t="shared" si="0"/>
        <v>19</v>
      </c>
      <c r="B92" s="56">
        <f>'Mastercurve bestimmen'!C36</f>
        <v>6.3888587804479924E-2</v>
      </c>
      <c r="C92" s="11"/>
      <c r="D92" s="51">
        <f t="shared" si="1"/>
        <v>19</v>
      </c>
      <c r="E92" s="56">
        <f>'Mastercurve bestimmen'!A36</f>
        <v>22506.400540467101</v>
      </c>
    </row>
    <row r="93" spans="1:5" x14ac:dyDescent="0.25">
      <c r="A93" s="50">
        <f t="shared" si="0"/>
        <v>20</v>
      </c>
      <c r="B93" s="56">
        <f>'Mastercurve bestimmen'!C37</f>
        <v>6.4356714781999613E-2</v>
      </c>
      <c r="C93" s="11"/>
      <c r="D93" s="51">
        <f t="shared" si="1"/>
        <v>20</v>
      </c>
      <c r="E93" s="56">
        <f>'Mastercurve bestimmen'!A37</f>
        <v>249493.62476110301</v>
      </c>
    </row>
    <row r="94" spans="1:5" x14ac:dyDescent="0.25">
      <c r="A94" s="50">
        <f t="shared" si="0"/>
        <v>21</v>
      </c>
      <c r="B94" s="56">
        <f>'Mastercurve bestimmen'!C38</f>
        <v>2.3762961942572935E-2</v>
      </c>
      <c r="C94" s="11"/>
      <c r="D94" s="51">
        <f t="shared" si="1"/>
        <v>21</v>
      </c>
      <c r="E94" s="56">
        <f>'Mastercurve bestimmen'!A38</f>
        <v>2765749.6224023802</v>
      </c>
    </row>
    <row r="95" spans="1:5" x14ac:dyDescent="0.25">
      <c r="A95" s="50">
        <f t="shared" si="0"/>
        <v>22</v>
      </c>
      <c r="B95" s="56">
        <f>'Mastercurve bestimmen'!C39</f>
        <v>4.2794407584768095E-2</v>
      </c>
      <c r="C95" s="11"/>
      <c r="D95" s="51">
        <f t="shared" si="1"/>
        <v>22</v>
      </c>
      <c r="E95" s="56">
        <f>'Mastercurve bestimmen'!A39</f>
        <v>10000000</v>
      </c>
    </row>
    <row r="96" spans="1:5" x14ac:dyDescent="0.25">
      <c r="A96" s="50">
        <f t="shared" si="0"/>
        <v>23</v>
      </c>
      <c r="B96" s="56">
        <f>'Mastercurve bestimmen'!C40</f>
        <v>2.2817294808056693E-2</v>
      </c>
      <c r="C96" s="11"/>
      <c r="D96" s="51">
        <f t="shared" si="1"/>
        <v>23</v>
      </c>
      <c r="E96" s="56">
        <f>'Mastercurve bestimmen'!A40</f>
        <v>100000000</v>
      </c>
    </row>
    <row r="97" spans="1:5" x14ac:dyDescent="0.25">
      <c r="A97" s="50">
        <f t="shared" si="0"/>
        <v>24</v>
      </c>
      <c r="B97" s="56">
        <f>'Mastercurve bestimmen'!C41</f>
        <v>1.5874068547548043E-2</v>
      </c>
      <c r="C97" s="11"/>
      <c r="D97" s="51">
        <f t="shared" si="1"/>
        <v>24</v>
      </c>
      <c r="E97" s="56">
        <f>'Mastercurve bestimmen'!A41</f>
        <v>1000000000</v>
      </c>
    </row>
    <row r="98" spans="1:5" x14ac:dyDescent="0.25">
      <c r="A98" s="50">
        <f t="shared" si="0"/>
        <v>25</v>
      </c>
      <c r="B98" s="56">
        <f>'Mastercurve bestimmen'!C42</f>
        <v>5.5424436077778048E-3</v>
      </c>
      <c r="C98" s="11"/>
      <c r="D98" s="51">
        <f t="shared" si="1"/>
        <v>25</v>
      </c>
      <c r="E98" s="56">
        <f>'Mastercurve bestimmen'!A42</f>
        <v>10000000000</v>
      </c>
    </row>
    <row r="99" spans="1:5" x14ac:dyDescent="0.25">
      <c r="A99" s="50">
        <f t="shared" si="0"/>
        <v>26</v>
      </c>
      <c r="B99" s="56">
        <f>'Mastercurve bestimmen'!C43</f>
        <v>3.8861309197679899E-3</v>
      </c>
      <c r="C99" s="11"/>
      <c r="D99" s="51">
        <f t="shared" si="1"/>
        <v>26</v>
      </c>
      <c r="E99" s="56">
        <f>'Mastercurve bestimmen'!A43</f>
        <v>100000000000</v>
      </c>
    </row>
    <row r="100" spans="1:5" x14ac:dyDescent="0.25">
      <c r="A100" s="50">
        <f t="shared" si="0"/>
        <v>27</v>
      </c>
      <c r="B100" s="56">
        <f>'Mastercurve bestimmen'!C44</f>
        <v>2.064572113999586E-3</v>
      </c>
      <c r="C100" s="11"/>
      <c r="D100" s="51">
        <f t="shared" si="1"/>
        <v>27</v>
      </c>
      <c r="E100" s="56">
        <f>'Mastercurve bestimmen'!A44</f>
        <v>1000000000000</v>
      </c>
    </row>
    <row r="101" spans="1:5" x14ac:dyDescent="0.25">
      <c r="A101" s="50">
        <f t="shared" si="0"/>
        <v>28</v>
      </c>
      <c r="B101" s="56">
        <f>'Mastercurve bestimmen'!C45</f>
        <v>5.3484126683110472E-4</v>
      </c>
      <c r="C101" s="11"/>
      <c r="D101" s="51">
        <f t="shared" si="1"/>
        <v>28</v>
      </c>
      <c r="E101" s="56">
        <f>'Mastercurve bestimmen'!A45</f>
        <v>10000000000000</v>
      </c>
    </row>
    <row r="102" spans="1:5" x14ac:dyDescent="0.25">
      <c r="A102" s="50">
        <f t="shared" si="0"/>
        <v>29</v>
      </c>
      <c r="B102" s="56">
        <f>'Mastercurve bestimmen'!C46</f>
        <v>1.465148476990797E-3</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1.026110794379005E-2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30950.077000000001</v>
      </c>
    </row>
    <row r="108" spans="1:5" s="11" customFormat="1" x14ac:dyDescent="0.25">
      <c r="A108" s="61" t="str">
        <f>STUTT!B3</f>
        <v>mp,PRXY,MatID,</v>
      </c>
      <c r="B108" s="52">
        <f>STUTT!C3</f>
        <v>0.34430355000000001</v>
      </c>
    </row>
    <row r="109" spans="1:5" s="11" customFormat="1" x14ac:dyDescent="0.25">
      <c r="A109" s="61" t="str">
        <f>STUTT!B4</f>
        <v>mp,ey,MatID,</v>
      </c>
      <c r="B109" s="52">
        <f>STUTT!C4</f>
        <v>32732.228999999999</v>
      </c>
    </row>
    <row r="110" spans="1:5" s="11" customFormat="1" x14ac:dyDescent="0.25">
      <c r="A110" s="61" t="str">
        <f>STUTT!B5</f>
        <v>mp,PRYZ,MatID,</v>
      </c>
      <c r="B110" s="52">
        <f>STUTT!C5</f>
        <v>0.36416230999999999</v>
      </c>
    </row>
    <row r="111" spans="1:5" s="11" customFormat="1" x14ac:dyDescent="0.25">
      <c r="A111" s="61" t="str">
        <f>STUTT!B6</f>
        <v>mp,ez,MatID,</v>
      </c>
      <c r="B111" s="52">
        <f>STUTT!C6</f>
        <v>30950.077000000001</v>
      </c>
    </row>
    <row r="112" spans="1:5" s="11" customFormat="1" x14ac:dyDescent="0.25">
      <c r="A112" s="61" t="str">
        <f>STUTT!B7</f>
        <v>mp,PRXZ,MatID,</v>
      </c>
      <c r="B112" s="52">
        <f>STUTT!C7</f>
        <v>0.35675860999999998</v>
      </c>
    </row>
    <row r="113" spans="1:4" s="11" customFormat="1" x14ac:dyDescent="0.25">
      <c r="A113" s="61" t="str">
        <f>STUTT!B8</f>
        <v>MP,GXZ,</v>
      </c>
      <c r="B113" s="52" t="str">
        <f>STUTT!C8</f>
        <v>MatID,</v>
      </c>
      <c r="C113" s="112">
        <f>STUTT!D8</f>
        <v>11405.888999999999</v>
      </c>
      <c r="D113" s="112"/>
    </row>
    <row r="114" spans="1:4" s="11" customFormat="1" x14ac:dyDescent="0.25">
      <c r="A114" s="61" t="str">
        <f>STUTT!B9</f>
        <v>MP,GXY,</v>
      </c>
      <c r="B114" s="52" t="str">
        <f>STUTT!C9</f>
        <v>MatID,</v>
      </c>
      <c r="C114" s="112">
        <f>STUTT!D9</f>
        <v>11852.276</v>
      </c>
      <c r="D114" s="112"/>
    </row>
    <row r="115" spans="1:4" x14ac:dyDescent="0.25">
      <c r="A115" s="61" t="str">
        <f>STUTT!B10</f>
        <v>MP,GYZ,</v>
      </c>
      <c r="B115" s="52" t="str">
        <f>STUTT!C10</f>
        <v>MatID,</v>
      </c>
      <c r="C115" s="112">
        <f>STUTT!D10</f>
        <v>11852.276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2.367E-7</v>
      </c>
      <c r="C3" s="3">
        <v>-3.157E-7</v>
      </c>
      <c r="D3" s="3">
        <v>2.367E-7</v>
      </c>
      <c r="E3" s="3">
        <v>-1.0000000000000001E-5</v>
      </c>
      <c r="F3" s="3">
        <v>-1.0000000000000001E-5</v>
      </c>
      <c r="G3" s="3">
        <v>-1.0000000000000001E-5</v>
      </c>
      <c r="H3" s="3">
        <v>-1.7133474E-6</v>
      </c>
      <c r="I3" s="3">
        <v>-8.9191822000000001E-7</v>
      </c>
      <c r="J3" s="3">
        <v>-1.7133474E-6</v>
      </c>
      <c r="L3" s="48">
        <f>ABS(H3/(-0.5)/$L$1)</f>
        <v>1.9581113142857145E-5</v>
      </c>
      <c r="R3">
        <f>ABS(I3/(-0.5)/$R$1)</f>
        <v>1.9820404888888889E-5</v>
      </c>
    </row>
    <row r="4" spans="1:18" x14ac:dyDescent="0.25">
      <c r="A4">
        <v>-39</v>
      </c>
      <c r="B4" s="3">
        <v>-2.368E-7</v>
      </c>
      <c r="C4" s="3">
        <v>3.1580000000000001E-7</v>
      </c>
      <c r="D4" s="3">
        <v>-2.368E-7</v>
      </c>
      <c r="E4" s="3">
        <v>1.0000000000000001E-5</v>
      </c>
      <c r="F4" s="3">
        <v>1.0000000000000001E-5</v>
      </c>
      <c r="G4" s="3">
        <v>1.0000000000000001E-5</v>
      </c>
      <c r="H4" s="3">
        <v>1.713317E-6</v>
      </c>
      <c r="I4" s="3">
        <v>8.9193782999999999E-7</v>
      </c>
      <c r="J4" s="3">
        <v>1.713317E-6</v>
      </c>
      <c r="L4" s="48">
        <f t="shared" ref="L4:L14" si="0">ABS(H4/(-0.5)/$L$1)</f>
        <v>1.9580765714285715E-5</v>
      </c>
      <c r="N4" s="39" t="s">
        <v>27</v>
      </c>
      <c r="O4" s="39" t="s">
        <v>130</v>
      </c>
      <c r="P4" s="85" t="s">
        <v>131</v>
      </c>
      <c r="R4" s="11">
        <f t="shared" ref="R4:R14" si="1">ABS(I4/(-0.5)/$R$1)</f>
        <v>1.9820840666666667E-5</v>
      </c>
    </row>
    <row r="5" spans="1:18" x14ac:dyDescent="0.25">
      <c r="A5">
        <v>0</v>
      </c>
      <c r="B5" s="3">
        <v>2.3949999999999999E-7</v>
      </c>
      <c r="C5" s="3">
        <v>-3.2210000000000001E-7</v>
      </c>
      <c r="D5" s="3">
        <v>2.3949999999999999E-7</v>
      </c>
      <c r="E5" s="3">
        <v>-1.0000000000000001E-5</v>
      </c>
      <c r="F5" s="3">
        <v>-1.0000000000000001E-5</v>
      </c>
      <c r="G5" s="3">
        <v>-1.0000000000000001E-5</v>
      </c>
      <c r="H5" s="3">
        <v>-1.7121061999999999E-6</v>
      </c>
      <c r="I5" s="3">
        <v>-8.9271494999999996E-7</v>
      </c>
      <c r="J5" s="3">
        <v>-1.7121061999999999E-6</v>
      </c>
      <c r="L5" s="48">
        <f t="shared" si="0"/>
        <v>1.9566928000000001E-5</v>
      </c>
      <c r="M5" s="48"/>
      <c r="N5" s="10">
        <f>(INDEX(A:A,ROW(A2)*2+1)+INDEX(A:A,ROW(A2)*2+2))/2</f>
        <v>0.5</v>
      </c>
      <c r="O5" s="89">
        <f>(INDEX(L:L,ROW(L2)*2+1)+INDEX(L:L,ROW(L2)*2+2))/2</f>
        <v>1.9566746857142857E-5</v>
      </c>
      <c r="P5" s="89">
        <f>(INDEX(R:R,ROW(M2)*2+1)+INDEX(R:R,ROW(R2)*2+2))/2</f>
        <v>1.9838334999999999E-5</v>
      </c>
      <c r="R5" s="11">
        <f t="shared" si="1"/>
        <v>1.983811E-5</v>
      </c>
    </row>
    <row r="6" spans="1:18" x14ac:dyDescent="0.25">
      <c r="A6">
        <v>1</v>
      </c>
      <c r="B6" s="3">
        <v>-2.396E-7</v>
      </c>
      <c r="C6" s="3">
        <v>3.2230000000000002E-7</v>
      </c>
      <c r="D6" s="3">
        <v>-2.396E-7</v>
      </c>
      <c r="E6" s="3">
        <v>1.0000000000000001E-5</v>
      </c>
      <c r="F6" s="3">
        <v>1.0000000000000001E-5</v>
      </c>
      <c r="G6" s="3">
        <v>1.0000000000000001E-5</v>
      </c>
      <c r="H6" s="3">
        <v>1.7120744999999999E-6</v>
      </c>
      <c r="I6" s="3">
        <v>8.9273520000000004E-7</v>
      </c>
      <c r="J6" s="3">
        <v>1.7120744999999999E-6</v>
      </c>
      <c r="L6" s="48">
        <f t="shared" si="0"/>
        <v>1.9566565714285714E-5</v>
      </c>
      <c r="M6" s="49"/>
      <c r="N6" s="10">
        <f>(INDEX(A:A,ROW(A3)*2+1)+INDEX(A:A,ROW(A3)*2+2))/2</f>
        <v>151.5</v>
      </c>
      <c r="O6" s="89">
        <f t="shared" ref="O6:O7" si="2">(INDEX(L:L,ROW(L3)*2+1)+INDEX(L:L,ROW(L3)*2+2))/2</f>
        <v>2.1190465714285718E-5</v>
      </c>
      <c r="P6" s="89">
        <f t="shared" ref="P6:P9" si="3">(INDEX(R:R,ROW(M3)*2+1)+INDEX(R:R,ROW(R3)*2+2))/2</f>
        <v>2.1019518444444445E-5</v>
      </c>
      <c r="R6" s="11">
        <f t="shared" si="1"/>
        <v>1.9838560000000001E-5</v>
      </c>
    </row>
    <row r="7" spans="1:18" x14ac:dyDescent="0.25">
      <c r="A7">
        <v>151</v>
      </c>
      <c r="B7" s="3">
        <v>1.9250000000000001E-7</v>
      </c>
      <c r="C7" s="3">
        <v>8.252E-8</v>
      </c>
      <c r="D7" s="3">
        <v>1.9250000000000001E-7</v>
      </c>
      <c r="E7" s="3">
        <v>-1.0689999999999999E-5</v>
      </c>
      <c r="F7" s="3">
        <v>-1.0689999999999999E-5</v>
      </c>
      <c r="G7" s="3">
        <v>-1.0689999999999999E-5</v>
      </c>
      <c r="H7" s="3">
        <v>-1.7805354E-6</v>
      </c>
      <c r="I7" s="3">
        <v>-9.2090522999999996E-7</v>
      </c>
      <c r="J7" s="3">
        <v>-1.7805354E-6</v>
      </c>
      <c r="L7" s="48">
        <f t="shared" si="0"/>
        <v>2.0348976000000002E-5</v>
      </c>
      <c r="M7" s="48"/>
      <c r="N7" s="10">
        <f>(INDEX(A:A,ROW(A4)*2+1)+INDEX(A:A,ROW(A4)*2+2))/2</f>
        <v>156.5</v>
      </c>
      <c r="O7" s="89">
        <f t="shared" si="2"/>
        <v>3.8018201714285711E-5</v>
      </c>
      <c r="P7" s="89">
        <f t="shared" si="3"/>
        <v>3.2143815555555557E-5</v>
      </c>
      <c r="R7" s="11">
        <f t="shared" si="1"/>
        <v>2.0464560666666667E-5</v>
      </c>
    </row>
    <row r="8" spans="1:18" x14ac:dyDescent="0.25">
      <c r="A8">
        <v>152</v>
      </c>
      <c r="B8" s="3">
        <v>-7.673E-8</v>
      </c>
      <c r="C8" s="3">
        <v>-9.414E-7</v>
      </c>
      <c r="D8" s="3">
        <v>-7.673E-8</v>
      </c>
      <c r="E8" s="3">
        <v>1.206E-5</v>
      </c>
      <c r="F8" s="3">
        <v>1.206E-5</v>
      </c>
      <c r="G8" s="3">
        <v>1.206E-5</v>
      </c>
      <c r="H8" s="3">
        <v>1.9277960999999998E-6</v>
      </c>
      <c r="I8" s="3">
        <v>9.7085143000000009E-7</v>
      </c>
      <c r="J8" s="3">
        <v>1.9277960999999998E-6</v>
      </c>
      <c r="L8" s="48">
        <f t="shared" si="0"/>
        <v>2.2031955428571429E-5</v>
      </c>
      <c r="M8" s="49"/>
      <c r="N8" s="10">
        <f>(INDEX(A:A,ROW(A5)*2+1)+INDEX(A:A,ROW(A5)*2+2))/2</f>
        <v>161.5</v>
      </c>
      <c r="O8" s="89">
        <f t="shared" ref="O8:O9" si="4">(INDEX(L:L,ROW(L5)*2+1)+INDEX(L:L,ROW(L5)*2+2))/2</f>
        <v>5.3153978285714289E-5</v>
      </c>
      <c r="P8" s="89">
        <f t="shared" si="3"/>
        <v>4.2214975555555561E-5</v>
      </c>
      <c r="R8" s="11">
        <f t="shared" si="1"/>
        <v>2.1574476222222224E-5</v>
      </c>
    </row>
    <row r="9" spans="1:18" x14ac:dyDescent="0.25">
      <c r="A9">
        <v>156</v>
      </c>
      <c r="B9" s="3">
        <v>-9.64E-7</v>
      </c>
      <c r="C9" s="3">
        <v>8.6619999999999994E-6</v>
      </c>
      <c r="D9" s="3">
        <v>-9.64E-7</v>
      </c>
      <c r="E9" s="3">
        <v>-2.444E-5</v>
      </c>
      <c r="F9" s="3">
        <v>-2.444E-5</v>
      </c>
      <c r="G9" s="3">
        <v>-2.444E-5</v>
      </c>
      <c r="H9" s="3">
        <v>-3.2530239999999998E-6</v>
      </c>
      <c r="I9" s="3">
        <v>-1.4212904999999999E-6</v>
      </c>
      <c r="J9" s="3">
        <v>-3.2530239999999998E-6</v>
      </c>
      <c r="L9" s="48">
        <f t="shared" si="0"/>
        <v>3.7177417142857142E-5</v>
      </c>
      <c r="M9" s="48"/>
      <c r="N9" s="10">
        <f>(INDEX(A:A,ROW(A6)*2+1)+INDEX(A:A,ROW(A6)*2+2))/2</f>
        <v>180.5</v>
      </c>
      <c r="O9" s="89">
        <f t="shared" si="4"/>
        <v>5.310945314285715E-5</v>
      </c>
      <c r="P9" s="89">
        <f t="shared" si="3"/>
        <v>4.2465003333333332E-5</v>
      </c>
      <c r="R9" s="11">
        <f t="shared" si="1"/>
        <v>3.1584233333333335E-5</v>
      </c>
    </row>
    <row r="10" spans="1:18" x14ac:dyDescent="0.25">
      <c r="A10">
        <v>157</v>
      </c>
      <c r="B10" s="3">
        <v>1.079E-6</v>
      </c>
      <c r="C10" s="3">
        <v>-9.5170000000000005E-6</v>
      </c>
      <c r="D10" s="3">
        <v>1.079E-6</v>
      </c>
      <c r="E10" s="3">
        <v>2.5809999999999999E-5</v>
      </c>
      <c r="F10" s="3">
        <v>2.5809999999999999E-5</v>
      </c>
      <c r="G10" s="3">
        <v>2.5809999999999999E-5</v>
      </c>
      <c r="H10" s="3">
        <v>3.4001612999999999E-6</v>
      </c>
      <c r="I10" s="3">
        <v>1.4716529000000001E-6</v>
      </c>
      <c r="J10" s="3">
        <v>3.4001612999999999E-6</v>
      </c>
      <c r="L10" s="48">
        <f t="shared" si="0"/>
        <v>3.8858986285714286E-5</v>
      </c>
      <c r="M10" s="49"/>
      <c r="N10" s="10"/>
      <c r="O10" s="3"/>
      <c r="R10" s="11">
        <f t="shared" si="1"/>
        <v>3.270339777777778E-5</v>
      </c>
    </row>
    <row r="11" spans="1:18" x14ac:dyDescent="0.25">
      <c r="A11">
        <v>161</v>
      </c>
      <c r="B11" s="3">
        <v>-2.058E-6</v>
      </c>
      <c r="C11" s="3">
        <v>1.679E-5</v>
      </c>
      <c r="D11" s="3">
        <v>-2.058E-6</v>
      </c>
      <c r="E11" s="3">
        <v>-3.7499999999999997E-5</v>
      </c>
      <c r="F11" s="3">
        <v>-3.7499999999999997E-5</v>
      </c>
      <c r="G11" s="3">
        <v>-3.7499999999999997E-5</v>
      </c>
      <c r="H11" s="3">
        <v>-4.6510748000000003E-6</v>
      </c>
      <c r="I11" s="3">
        <v>-1.8993824000000001E-6</v>
      </c>
      <c r="J11" s="3">
        <v>-4.6510748000000003E-6</v>
      </c>
      <c r="L11" s="48">
        <f t="shared" si="0"/>
        <v>5.3155140571428577E-5</v>
      </c>
      <c r="M11" s="48"/>
      <c r="N11" s="10"/>
      <c r="O11" s="3"/>
      <c r="R11" s="11">
        <f t="shared" si="1"/>
        <v>4.2208497777777784E-5</v>
      </c>
    </row>
    <row r="12" spans="1:18" x14ac:dyDescent="0.25">
      <c r="A12">
        <v>162</v>
      </c>
      <c r="B12" s="3">
        <v>2.057E-6</v>
      </c>
      <c r="C12" s="3">
        <v>-1.6779999999999999E-5</v>
      </c>
      <c r="D12" s="3">
        <v>2.057E-6</v>
      </c>
      <c r="E12" s="3">
        <v>3.7499999999999997E-5</v>
      </c>
      <c r="F12" s="3">
        <v>3.7499999999999997E-5</v>
      </c>
      <c r="G12" s="3">
        <v>3.7499999999999997E-5</v>
      </c>
      <c r="H12" s="3">
        <v>4.6508714000000002E-6</v>
      </c>
      <c r="I12" s="3">
        <v>1.8999654000000001E-6</v>
      </c>
      <c r="J12" s="3">
        <v>4.6508714000000002E-6</v>
      </c>
      <c r="L12" s="48">
        <f t="shared" si="0"/>
        <v>5.3152816000000008E-5</v>
      </c>
      <c r="M12" s="49"/>
      <c r="N12" s="10"/>
      <c r="O12" s="3"/>
      <c r="R12" s="11">
        <f t="shared" si="1"/>
        <v>4.2221453333333337E-5</v>
      </c>
    </row>
    <row r="13" spans="1:18" x14ac:dyDescent="0.25">
      <c r="A13">
        <v>180</v>
      </c>
      <c r="B13" s="3">
        <v>-2.0360000000000001E-6</v>
      </c>
      <c r="C13" s="3">
        <v>1.6670000000000001E-5</v>
      </c>
      <c r="D13" s="3">
        <v>-2.0360000000000001E-6</v>
      </c>
      <c r="E13" s="3">
        <v>-3.7499999999999997E-5</v>
      </c>
      <c r="F13" s="3">
        <v>-3.7499999999999997E-5</v>
      </c>
      <c r="G13" s="3">
        <v>-3.7499999999999997E-5</v>
      </c>
      <c r="H13" s="3">
        <v>-4.6471805000000002E-6</v>
      </c>
      <c r="I13" s="3">
        <v>-1.9106244E-6</v>
      </c>
      <c r="J13" s="3">
        <v>-4.6471805000000002E-6</v>
      </c>
      <c r="L13" s="48">
        <f t="shared" si="0"/>
        <v>5.3110634285714288E-5</v>
      </c>
      <c r="M13" s="48"/>
      <c r="N13" s="10"/>
      <c r="O13" s="3"/>
      <c r="R13" s="11">
        <f t="shared" si="1"/>
        <v>4.2458320000000001E-5</v>
      </c>
    </row>
    <row r="14" spans="1:18" x14ac:dyDescent="0.25">
      <c r="A14" s="11">
        <v>181</v>
      </c>
      <c r="B14" s="3">
        <v>2.035E-6</v>
      </c>
      <c r="C14" s="3">
        <v>-1.6670000000000001E-5</v>
      </c>
      <c r="D14" s="3">
        <v>2.035E-6</v>
      </c>
      <c r="E14" s="3">
        <v>3.7499999999999997E-5</v>
      </c>
      <c r="F14" s="3">
        <v>3.7499999999999997E-5</v>
      </c>
      <c r="G14" s="3">
        <v>3.7499999999999997E-5</v>
      </c>
      <c r="H14" s="3">
        <v>4.6469738000000004E-6</v>
      </c>
      <c r="I14" s="3">
        <v>1.9112258999999999E-6</v>
      </c>
      <c r="J14" s="3">
        <v>4.6469738000000004E-6</v>
      </c>
      <c r="L14" s="48">
        <f t="shared" si="0"/>
        <v>5.3108272000000005E-5</v>
      </c>
      <c r="M14" s="49"/>
      <c r="N14" s="10"/>
      <c r="O14" s="3"/>
      <c r="R14" s="11">
        <f t="shared" si="1"/>
        <v>4.247168666666667E-5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30950.077000000001</v>
      </c>
    </row>
    <row r="3" spans="2:4" x14ac:dyDescent="0.25">
      <c r="B3" t="s">
        <v>118</v>
      </c>
      <c r="C3" s="3">
        <v>0.34430355000000001</v>
      </c>
    </row>
    <row r="4" spans="2:4" x14ac:dyDescent="0.25">
      <c r="B4" t="s">
        <v>119</v>
      </c>
      <c r="C4" s="3">
        <v>32732.228999999999</v>
      </c>
    </row>
    <row r="5" spans="2:4" x14ac:dyDescent="0.25">
      <c r="B5" t="s">
        <v>120</v>
      </c>
      <c r="C5" s="3">
        <v>0.36416230999999999</v>
      </c>
    </row>
    <row r="6" spans="2:4" x14ac:dyDescent="0.25">
      <c r="B6" t="s">
        <v>121</v>
      </c>
      <c r="C6" s="3">
        <v>30950.077000000001</v>
      </c>
    </row>
    <row r="7" spans="2:4" x14ac:dyDescent="0.25">
      <c r="B7" t="s">
        <v>122</v>
      </c>
      <c r="C7" s="3">
        <v>0.35675860999999998</v>
      </c>
    </row>
    <row r="8" spans="2:4" x14ac:dyDescent="0.25">
      <c r="B8" t="s">
        <v>123</v>
      </c>
      <c r="C8" t="s">
        <v>124</v>
      </c>
      <c r="D8" s="3">
        <v>11405.888999999999</v>
      </c>
    </row>
    <row r="9" spans="2:4" x14ac:dyDescent="0.25">
      <c r="B9" t="s">
        <v>125</v>
      </c>
      <c r="C9" t="s">
        <v>124</v>
      </c>
      <c r="D9" s="3">
        <v>11852.276</v>
      </c>
    </row>
    <row r="10" spans="2:4" x14ac:dyDescent="0.25">
      <c r="B10" t="s">
        <v>126</v>
      </c>
      <c r="C10" t="s">
        <v>124</v>
      </c>
      <c r="D10" s="3">
        <v>11852.276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-3.1765554857142859E-4</v>
      </c>
      <c r="C3" s="2">
        <f>IF('Modell einstellen'!$B$2="Ja",creep_res0!O3,creep_res0!C3)</f>
        <v>-3.2385028571428571E-4</v>
      </c>
      <c r="D3" s="2">
        <f>IF('Modell einstellen'!$B$2="Ja",creep_res25!O3,creep_res25!C3)</f>
        <v>-3.3333392571428572E-4</v>
      </c>
      <c r="E3" s="2">
        <f>IF('Modell einstellen'!$B$2="Ja",creep_res50!O3,creep_res50!C3)</f>
        <v>-3.403251942857143E-4</v>
      </c>
      <c r="F3" s="2">
        <f>IF('Modell einstellen'!$B$2="Ja",creep_res80!O3,creep_res80!C3)</f>
        <v>-3.4942501142857146E-4</v>
      </c>
      <c r="G3" s="2">
        <f>IF('Modell einstellen'!$B$2="Ja",creep_res125!O3,creep_res125!C3)</f>
        <v>-3.7173529714285713E-4</v>
      </c>
      <c r="H3" s="2">
        <f>IF('Modell einstellen'!$B$2="Ja",creep_res160!O3,creep_res160!C3)</f>
        <v>-3.9813363428571429E-4</v>
      </c>
      <c r="M3" s="9">
        <f>-10</f>
        <v>-10</v>
      </c>
      <c r="N3" s="2">
        <f t="shared" ref="N3:N33" si="4">A3</f>
        <v>1.0000000000000001E-15</v>
      </c>
      <c r="O3" s="2">
        <f t="shared" ref="O3:O33" si="5">$M$3/B3</f>
        <v>31480.640098913249</v>
      </c>
      <c r="P3" s="2">
        <f t="shared" ref="P3:P33" si="6">$M$3/C3</f>
        <v>30878.465887235372</v>
      </c>
      <c r="Q3" s="2">
        <f t="shared" ref="Q3:Q33" si="7">$M$3/D3</f>
        <v>29999.946685809031</v>
      </c>
      <c r="R3" s="2">
        <f>$M$3/E3</f>
        <v>29383.660592593882</v>
      </c>
      <c r="S3" s="2">
        <f t="shared" ref="S3:S33" si="8">$M$3/F3</f>
        <v>28618.44365151913</v>
      </c>
      <c r="T3" s="2">
        <f t="shared" ref="T3:T33" si="9">$M$3/G3</f>
        <v>26900.86219107953</v>
      </c>
      <c r="U3" s="2">
        <f t="shared" ref="U3:U33" si="10">$M$3/H3</f>
        <v>25117.194677462641</v>
      </c>
      <c r="W3" s="2">
        <v>18599.275035544593</v>
      </c>
      <c r="Z3" s="2">
        <v>1.0000000000000001E-15</v>
      </c>
      <c r="AA3" s="3">
        <f>IF('Modell einstellen'!$B$2="Ja",'creep_res-40'!P3,'creep_res-40'!L3)</f>
        <v>0.35630124857075646</v>
      </c>
      <c r="AB3" s="2">
        <f>IF('Modell einstellen'!$B$2="Ja",creep_res0!P3,creep_res0!L3)</f>
        <v>0.35822238847580368</v>
      </c>
      <c r="AC3" s="2">
        <f>IF('Modell einstellen'!$B$2="Ja",creep_res25!P3,creep_res25!L3)</f>
        <v>0.36248030439214479</v>
      </c>
      <c r="AD3" s="2">
        <f>IF('Modell einstellen'!$B$2="Ja",creep_res50!P3,creep_res50!L3)</f>
        <v>0.36518318974545844</v>
      </c>
      <c r="AE3" s="2">
        <f>IF('Modell einstellen'!$B$2="Ja",creep_res80!P3,creep_res80!L3)</f>
        <v>0.36863221026765319</v>
      </c>
      <c r="AF3" s="2">
        <f>IF('Modell einstellen'!$B$2="Ja",creep_res125!P3,creep_res125!L3)</f>
        <v>0.37793628483137087</v>
      </c>
      <c r="AG3" s="2">
        <f>IF('Modell einstellen'!$B$2="Ja",creep_res160!P3,creep_res160!L3)</f>
        <v>0.38924580183314195</v>
      </c>
      <c r="AL3" s="2">
        <f t="shared" ref="AL3:AL33" si="11">Z3</f>
        <v>1.0000000000000001E-15</v>
      </c>
      <c r="AM3" s="2">
        <f t="shared" ref="AM3:AM33" si="12">O3/(2*(1+AA3))</f>
        <v>11605.327404987251</v>
      </c>
      <c r="AN3" s="2">
        <f t="shared" ref="AN3:AN33" si="13">P3/(2*(1+AB3))</f>
        <v>11367.234905429283</v>
      </c>
      <c r="AO3" s="2">
        <f t="shared" ref="AO3:AO33" si="14">Q3/(2*(1+AC3))</f>
        <v>11009.313892134818</v>
      </c>
      <c r="AP3" s="2">
        <f t="shared" ref="AP3:AP33" si="15">R3/(2*(1+AD3))</f>
        <v>10761.801351389528</v>
      </c>
      <c r="AQ3" s="2">
        <f t="shared" ref="AQ3:AQ33" si="16">S3/(2*(1+AE3))</f>
        <v>10455.125722169887</v>
      </c>
      <c r="AR3" s="2">
        <f t="shared" ref="AR3:AR33" si="17">T3/(2*(1+AF3))</f>
        <v>9761.2866745763949</v>
      </c>
      <c r="AS3" s="2">
        <f t="shared" ref="AS3:AS33" si="18">U3/(2*(1+AG3))</f>
        <v>9039.8670430819093</v>
      </c>
      <c r="AX3" s="2">
        <f>AL3</f>
        <v>1.0000000000000001E-15</v>
      </c>
      <c r="AY3" s="37">
        <f t="shared" ref="AY3:AY33" si="19">O3/(3*(1-(2*AA3)))</f>
        <v>36512.309937517843</v>
      </c>
      <c r="AZ3" s="37">
        <f t="shared" ref="AZ3:AZ33" si="20">P3/(3*(1-(2*AB3)))</f>
        <v>36299.179580462805</v>
      </c>
      <c r="BA3" s="37">
        <f t="shared" ref="BA3:BA33" si="21">Q3/(3*(1-(2*AC3)))</f>
        <v>36358.36373983293</v>
      </c>
      <c r="BB3" s="37">
        <f t="shared" ref="BB3:BB33" si="22">R3/(3*(1-(2*AD3)))</f>
        <v>36325.416364517048</v>
      </c>
      <c r="BC3" s="37">
        <f t="shared" ref="BC3:BC33" si="23">S3/(3*(1-(2*AE3)))</f>
        <v>36308.296107474693</v>
      </c>
      <c r="BD3" s="37">
        <f t="shared" ref="BD3:BD33" si="24">T3/(3*(1-(2*AF3)))</f>
        <v>36730.628964166252</v>
      </c>
      <c r="BE3" s="37">
        <f t="shared" ref="BE3:BE33" si="25">U3/(3*(1-(2*AG3)))</f>
        <v>37797.204821109102</v>
      </c>
    </row>
    <row r="4" spans="1:308" x14ac:dyDescent="0.25">
      <c r="A4" s="2">
        <f>'creep_res-40'!A4</f>
        <v>1E-14</v>
      </c>
      <c r="B4" s="3">
        <f>'creep_res-40'!O4</f>
        <v>-3.1956785142857146E-4</v>
      </c>
      <c r="C4" s="2">
        <f>IF('Modell einstellen'!$B$2="Ja",creep_res0!O4,creep_res0!C4)</f>
        <v>-3.3142164571428574E-4</v>
      </c>
      <c r="D4" s="2">
        <f>IF('Modell einstellen'!$B$2="Ja",creep_res25!O4,creep_res25!C4)</f>
        <v>-3.3902407428571435E-4</v>
      </c>
      <c r="E4" s="2">
        <f>IF('Modell einstellen'!$B$2="Ja",creep_res50!O4,creep_res50!C4)</f>
        <v>-3.4632799428571432E-4</v>
      </c>
      <c r="F4" s="2">
        <f>IF('Modell einstellen'!$B$2="Ja",creep_res80!O4,creep_res80!C4)</f>
        <v>-3.5648601714285716E-4</v>
      </c>
      <c r="G4" s="2">
        <f>IF('Modell einstellen'!$B$2="Ja",creep_res125!O4,creep_res125!C4)</f>
        <v>-3.8212683428571429E-4</v>
      </c>
      <c r="H4" s="2">
        <f>IF('Modell einstellen'!$B$2="Ja",creep_res160!O4,creep_res160!C4)</f>
        <v>-4.1063771428571428E-4</v>
      </c>
      <c r="M4" s="9">
        <f t="shared" ref="M4:M32" si="26">M3</f>
        <v>-10</v>
      </c>
      <c r="N4" s="2">
        <f t="shared" si="4"/>
        <v>1E-14</v>
      </c>
      <c r="O4" s="2">
        <f t="shared" si="5"/>
        <v>31292.259078304567</v>
      </c>
      <c r="P4" s="2">
        <f t="shared" si="6"/>
        <v>30173.044305684456</v>
      </c>
      <c r="Q4" s="2">
        <f t="shared" si="7"/>
        <v>29496.430367279601</v>
      </c>
      <c r="R4" s="2">
        <f t="shared" ref="R4:R33" si="27">$M$3/E4</f>
        <v>28874.362353018976</v>
      </c>
      <c r="S4" s="2">
        <f t="shared" si="8"/>
        <v>28051.591139948217</v>
      </c>
      <c r="T4" s="2">
        <f t="shared" si="9"/>
        <v>26169.321551815046</v>
      </c>
      <c r="U4" s="2">
        <f t="shared" si="10"/>
        <v>24352.366215057835</v>
      </c>
      <c r="Z4" s="2">
        <v>1E-14</v>
      </c>
      <c r="AA4" s="3">
        <f>IF('Modell einstellen'!$B$2="Ja",'creep_res-40'!P4,'creep_res-40'!L4)</f>
        <v>0.35754452968932648</v>
      </c>
      <c r="AB4" s="2">
        <f>IF('Modell einstellen'!$B$2="Ja",creep_res0!P4,creep_res0!L4)</f>
        <v>0.36297230900756061</v>
      </c>
      <c r="AC4" s="2">
        <f>IF('Modell einstellen'!$B$2="Ja",creep_res25!P4,creep_res25!L4)</f>
        <v>0.36599684880364075</v>
      </c>
      <c r="AD4" s="2">
        <f>IF('Modell einstellen'!$B$2="Ja",creep_res50!P4,creep_res50!L4)</f>
        <v>0.36882736050098436</v>
      </c>
      <c r="AE4" s="2">
        <f>IF('Modell einstellen'!$B$2="Ja",creep_res80!P4,creep_res80!L4)</f>
        <v>0.37282252529303772</v>
      </c>
      <c r="AF4" s="2">
        <f>IF('Modell einstellen'!$B$2="Ja",creep_res125!P4,creep_res125!L4)</f>
        <v>0.38359013961497546</v>
      </c>
      <c r="AG4" s="2">
        <f>IF('Modell einstellen'!$B$2="Ja",creep_res160!P4,creep_res160!L4)</f>
        <v>0.39584943836485698</v>
      </c>
      <c r="AL4" s="2">
        <f t="shared" si="11"/>
        <v>1E-14</v>
      </c>
      <c r="AM4" s="2">
        <f t="shared" si="12"/>
        <v>11525.315889809444</v>
      </c>
      <c r="AN4" s="2">
        <f t="shared" si="13"/>
        <v>11068.839809245561</v>
      </c>
      <c r="AO4" s="2">
        <f t="shared" si="14"/>
        <v>10796.668525667899</v>
      </c>
      <c r="AP4" s="2">
        <f t="shared" si="15"/>
        <v>10547.11616169445</v>
      </c>
      <c r="AQ4" s="2">
        <f t="shared" si="16"/>
        <v>10216.758037955571</v>
      </c>
      <c r="AR4" s="2">
        <f t="shared" si="17"/>
        <v>9457.0352890406648</v>
      </c>
      <c r="AS4" s="2">
        <f t="shared" si="18"/>
        <v>8723.1350121775959</v>
      </c>
      <c r="AX4" s="2">
        <f t="shared" ref="AX4:AX32" si="28">AL4</f>
        <v>1E-14</v>
      </c>
      <c r="AY4" s="37">
        <f t="shared" si="19"/>
        <v>36610.57382827648</v>
      </c>
      <c r="AZ4" s="37">
        <f t="shared" si="20"/>
        <v>36699.448711367004</v>
      </c>
      <c r="BA4" s="37">
        <f t="shared" si="21"/>
        <v>36686.239718917139</v>
      </c>
      <c r="BB4" s="37">
        <f t="shared" si="22"/>
        <v>36687.481046985231</v>
      </c>
      <c r="BC4" s="37">
        <f t="shared" si="23"/>
        <v>36761.739457116491</v>
      </c>
      <c r="BD4" s="37">
        <f t="shared" si="24"/>
        <v>37467.217790171519</v>
      </c>
      <c r="BE4" s="37">
        <f t="shared" si="25"/>
        <v>38969.811000425005</v>
      </c>
      <c r="BF4" s="5"/>
      <c r="BG4" s="5"/>
    </row>
    <row r="5" spans="1:308" x14ac:dyDescent="0.25">
      <c r="A5" s="2">
        <f>'creep_res-40'!A5</f>
        <v>1E-13</v>
      </c>
      <c r="B5" s="3">
        <f>'creep_res-40'!O5</f>
        <v>-3.2602421142857144E-4</v>
      </c>
      <c r="C5" s="2">
        <f>IF('Modell einstellen'!$B$2="Ja",creep_res0!O5,creep_res0!C5)</f>
        <v>-3.362832742857143E-4</v>
      </c>
      <c r="D5" s="2">
        <f>IF('Modell einstellen'!$B$2="Ja",creep_res25!O5,creep_res25!C5)</f>
        <v>-3.4420747428571429E-4</v>
      </c>
      <c r="E5" s="2">
        <f>IF('Modell einstellen'!$B$2="Ja",creep_res50!O5,creep_res50!C5)</f>
        <v>-3.5206168571428573E-4</v>
      </c>
      <c r="F5" s="2">
        <f>IF('Modell einstellen'!$B$2="Ja",creep_res80!O5,creep_res80!C5)</f>
        <v>-3.6348173142857149E-4</v>
      </c>
      <c r="G5" s="2">
        <f>IF('Modell einstellen'!$B$2="Ja",creep_res125!O5,creep_res125!C5)</f>
        <v>-3.9116091428571429E-4</v>
      </c>
      <c r="H5" s="2">
        <f>IF('Modell einstellen'!$B$2="Ja",creep_res160!O5,creep_res160!C5)</f>
        <v>-4.2372155999999999E-4</v>
      </c>
      <c r="M5" s="9">
        <f t="shared" si="26"/>
        <v>-10</v>
      </c>
      <c r="N5" s="2">
        <f t="shared" si="4"/>
        <v>1E-13</v>
      </c>
      <c r="O5" s="2">
        <f t="shared" si="5"/>
        <v>30672.568629740854</v>
      </c>
      <c r="P5" s="2">
        <f t="shared" si="6"/>
        <v>29736.834284252152</v>
      </c>
      <c r="Q5" s="2">
        <f t="shared" si="7"/>
        <v>29052.245366698105</v>
      </c>
      <c r="R5" s="2">
        <f t="shared" si="27"/>
        <v>28404.113272682163</v>
      </c>
      <c r="S5" s="2">
        <f t="shared" si="8"/>
        <v>27511.699035595466</v>
      </c>
      <c r="T5" s="2">
        <f t="shared" si="9"/>
        <v>25564.926440211086</v>
      </c>
      <c r="U5" s="2">
        <f t="shared" si="10"/>
        <v>23600.404001155854</v>
      </c>
      <c r="Z5" s="2">
        <v>1E-13</v>
      </c>
      <c r="AA5" s="3">
        <f>IF('Modell einstellen'!$B$2="Ja",'creep_res-40'!P5,'creep_res-40'!L5)</f>
        <v>0.36165310562298819</v>
      </c>
      <c r="AB5" s="2">
        <f>IF('Modell einstellen'!$B$2="Ja",creep_res0!P5,creep_res0!L5)</f>
        <v>0.36587720016252284</v>
      </c>
      <c r="AC5" s="2">
        <f>IF('Modell einstellen'!$B$2="Ja",creep_res25!P5,creep_res25!L5)</f>
        <v>0.3690881917928967</v>
      </c>
      <c r="AD5" s="2">
        <f>IF('Modell einstellen'!$B$2="Ja",creep_res50!P5,creep_res50!L5)</f>
        <v>0.37219336319227825</v>
      </c>
      <c r="AE5" s="2">
        <f>IF('Modell einstellen'!$B$2="Ja",creep_res80!P5,creep_res80!L5)</f>
        <v>0.37683979967521414</v>
      </c>
      <c r="AF5" s="2">
        <f>IF('Modell einstellen'!$B$2="Ja",creep_res125!P5,creep_res125!L5)</f>
        <v>0.38879803357507531</v>
      </c>
      <c r="AG5" s="2">
        <f>IF('Modell einstellen'!$B$2="Ja",creep_res160!P5,creep_res160!L5)</f>
        <v>0.40270842012381908</v>
      </c>
      <c r="AL5" s="2">
        <f t="shared" si="11"/>
        <v>1E-13</v>
      </c>
      <c r="AM5" s="2">
        <f t="shared" si="12"/>
        <v>11262.989267632682</v>
      </c>
      <c r="AN5" s="2">
        <f t="shared" si="13"/>
        <v>10885.617784934777</v>
      </c>
      <c r="AO5" s="2">
        <f t="shared" si="14"/>
        <v>10610.07082701246</v>
      </c>
      <c r="AP5" s="2">
        <f t="shared" si="15"/>
        <v>10349.894568285434</v>
      </c>
      <c r="AQ5" s="2">
        <f t="shared" si="16"/>
        <v>9990.8860283110862</v>
      </c>
      <c r="AR5" s="2">
        <f t="shared" si="17"/>
        <v>9203.9756041421206</v>
      </c>
      <c r="AS5" s="2">
        <f t="shared" si="18"/>
        <v>8412.4411255307823</v>
      </c>
      <c r="AX5" s="2">
        <f t="shared" si="28"/>
        <v>1E-13</v>
      </c>
      <c r="AY5" s="37">
        <f t="shared" si="19"/>
        <v>36951.279568968181</v>
      </c>
      <c r="AZ5" s="37">
        <f t="shared" si="20"/>
        <v>36952.248636182238</v>
      </c>
      <c r="BA5" s="37">
        <f t="shared" si="21"/>
        <v>36987.044642982437</v>
      </c>
      <c r="BB5" s="37">
        <f t="shared" si="22"/>
        <v>37040.477685853191</v>
      </c>
      <c r="BC5" s="37">
        <f t="shared" si="23"/>
        <v>37230.23477152027</v>
      </c>
      <c r="BD5" s="37">
        <f t="shared" si="24"/>
        <v>38316.058702479007</v>
      </c>
      <c r="BE5" s="37">
        <f t="shared" si="25"/>
        <v>40428.993668981318</v>
      </c>
    </row>
    <row r="6" spans="1:308" x14ac:dyDescent="0.25">
      <c r="A6" s="2">
        <f>'creep_res-40'!A6</f>
        <v>9.9999999999999998E-13</v>
      </c>
      <c r="B6" s="3">
        <f>'creep_res-40'!O6</f>
        <v>-3.3090011428571432E-4</v>
      </c>
      <c r="C6" s="2">
        <f>IF('Modell einstellen'!$B$2="Ja",creep_res0!O6,creep_res0!C6)</f>
        <v>-3.4131923428571434E-4</v>
      </c>
      <c r="D6" s="2">
        <f>IF('Modell einstellen'!$B$2="Ja",creep_res25!O6,creep_res25!C6)</f>
        <v>-3.4984034857142864E-4</v>
      </c>
      <c r="E6" s="2">
        <f>IF('Modell einstellen'!$B$2="Ja",creep_res50!O6,creep_res50!C6)</f>
        <v>-3.5859454857142857E-4</v>
      </c>
      <c r="F6" s="2">
        <f>IF('Modell einstellen'!$B$2="Ja",creep_res80!O6,creep_res80!C6)</f>
        <v>-3.7166670857142863E-4</v>
      </c>
      <c r="G6" s="2">
        <f>IF('Modell einstellen'!$B$2="Ja",creep_res125!O6,creep_res125!C6)</f>
        <v>-4.0084070285714289E-4</v>
      </c>
      <c r="H6" s="2">
        <f>IF('Modell einstellen'!$B$2="Ja",creep_res160!O6,creep_res160!C6)</f>
        <v>-4.3944785714285716E-4</v>
      </c>
      <c r="M6" s="9">
        <f t="shared" si="26"/>
        <v>-10</v>
      </c>
      <c r="N6" s="2">
        <f t="shared" si="4"/>
        <v>9.9999999999999998E-13</v>
      </c>
      <c r="O6" s="2">
        <f t="shared" si="5"/>
        <v>30220.600018788577</v>
      </c>
      <c r="P6" s="2">
        <f t="shared" si="6"/>
        <v>29298.085180951497</v>
      </c>
      <c r="Q6" s="2">
        <f t="shared" si="7"/>
        <v>28584.467288678825</v>
      </c>
      <c r="R6" s="2">
        <f t="shared" si="27"/>
        <v>27886.648137396591</v>
      </c>
      <c r="S6" s="2">
        <f t="shared" si="8"/>
        <v>26905.826562828006</v>
      </c>
      <c r="T6" s="2">
        <f t="shared" si="9"/>
        <v>24947.566274385907</v>
      </c>
      <c r="U6" s="2">
        <f t="shared" si="10"/>
        <v>22755.828336532693</v>
      </c>
      <c r="Z6" s="2">
        <v>9.9999999999999998E-13</v>
      </c>
      <c r="AA6" s="3">
        <f>IF('Modell einstellen'!$B$2="Ja",'creep_res-40'!P6,'creep_res-40'!L6)</f>
        <v>0.36466108374180073</v>
      </c>
      <c r="AB6" s="2">
        <f>IF('Modell einstellen'!$B$2="Ja",creep_res0!P6,creep_res0!L6)</f>
        <v>0.36887831159186607</v>
      </c>
      <c r="AC6" s="2">
        <f>IF('Modell einstellen'!$B$2="Ja",creep_res25!P6,creep_res25!L6)</f>
        <v>0.37241990268834624</v>
      </c>
      <c r="AD6" s="2">
        <f>IF('Modell einstellen'!$B$2="Ja",creep_res50!P6,creep_res50!L6)</f>
        <v>0.37599507129787302</v>
      </c>
      <c r="AE6" s="2">
        <f>IF('Modell einstellen'!$B$2="Ja",creep_res80!P6,creep_res80!L6)</f>
        <v>0.38110433627523177</v>
      </c>
      <c r="AF6" s="2">
        <f>IF('Modell einstellen'!$B$2="Ja",creep_res125!P6,creep_res125!L6)</f>
        <v>0.39369396518229266</v>
      </c>
      <c r="AG6" s="2">
        <f>IF('Modell einstellen'!$B$2="Ja",creep_res160!P6,creep_res160!L6)</f>
        <v>0.41091348721691345</v>
      </c>
      <c r="AL6" s="2">
        <f t="shared" si="11"/>
        <v>9.9999999999999998E-13</v>
      </c>
      <c r="AM6" s="2">
        <f t="shared" si="12"/>
        <v>11072.566067439215</v>
      </c>
      <c r="AN6" s="2">
        <f t="shared" si="13"/>
        <v>10701.493672903915</v>
      </c>
      <c r="AO6" s="2">
        <f t="shared" si="14"/>
        <v>10413.892727978708</v>
      </c>
      <c r="AP6" s="2">
        <f t="shared" si="15"/>
        <v>10133.265997491257</v>
      </c>
      <c r="AQ6" s="2">
        <f t="shared" si="16"/>
        <v>9740.6929571272121</v>
      </c>
      <c r="AR6" s="2">
        <f t="shared" si="17"/>
        <v>8950.159395690147</v>
      </c>
      <c r="AS6" s="2">
        <f t="shared" si="18"/>
        <v>8064.2181617455262</v>
      </c>
      <c r="AX6" s="2">
        <f t="shared" si="28"/>
        <v>9.9999999999999998E-13</v>
      </c>
      <c r="AY6" s="37">
        <f t="shared" si="19"/>
        <v>37215.952432993952</v>
      </c>
      <c r="AZ6" s="37">
        <f t="shared" si="20"/>
        <v>37240.32428278539</v>
      </c>
      <c r="BA6" s="37">
        <f t="shared" si="21"/>
        <v>37341.858031419586</v>
      </c>
      <c r="BB6" s="37">
        <f t="shared" si="22"/>
        <v>37480.564185723189</v>
      </c>
      <c r="BC6" s="37">
        <f t="shared" si="23"/>
        <v>37716.299204306764</v>
      </c>
      <c r="BD6" s="37">
        <f t="shared" si="24"/>
        <v>39112.809724562008</v>
      </c>
      <c r="BE6" s="37">
        <f t="shared" si="25"/>
        <v>42572.527957439939</v>
      </c>
    </row>
    <row r="7" spans="1:308" x14ac:dyDescent="0.25">
      <c r="A7" s="2">
        <f>'creep_res-40'!A7</f>
        <v>9.9999999999999994E-12</v>
      </c>
      <c r="B7" s="3">
        <f>'creep_res-40'!O7</f>
        <v>-3.3562091428571432E-4</v>
      </c>
      <c r="C7" s="2">
        <f>IF('Modell einstellen'!$B$2="Ja",creep_res0!O7,creep_res0!C7)</f>
        <v>-3.4687351428571431E-4</v>
      </c>
      <c r="D7" s="2">
        <f>IF('Modell einstellen'!$B$2="Ja",creep_res25!O7,creep_res25!C7)</f>
        <v>-3.5637131428571434E-4</v>
      </c>
      <c r="E7" s="2">
        <f>IF('Modell einstellen'!$B$2="Ja",creep_res50!O7,creep_res50!C7)</f>
        <v>-3.6596454857142861E-4</v>
      </c>
      <c r="F7" s="2">
        <f>IF('Modell einstellen'!$B$2="Ja",creep_res80!O7,creep_res80!C7)</f>
        <v>-3.8023785142857143E-4</v>
      </c>
      <c r="G7" s="2">
        <f>IF('Modell einstellen'!$B$2="Ja",creep_res125!O7,creep_res125!C7)</f>
        <v>-4.1181157714285721E-4</v>
      </c>
      <c r="H7" s="2">
        <f>IF('Modell einstellen'!$B$2="Ja",creep_res160!O7,creep_res160!C7)</f>
        <v>-4.5578372000000007E-4</v>
      </c>
      <c r="M7" s="9">
        <f t="shared" si="26"/>
        <v>-10</v>
      </c>
      <c r="N7" s="2">
        <f t="shared" si="4"/>
        <v>9.9999999999999994E-12</v>
      </c>
      <c r="O7" s="2">
        <f t="shared" si="5"/>
        <v>29795.52100107502</v>
      </c>
      <c r="P7" s="2">
        <f t="shared" si="6"/>
        <v>28828.952307275773</v>
      </c>
      <c r="Q7" s="2">
        <f t="shared" si="7"/>
        <v>28060.619918422162</v>
      </c>
      <c r="R7" s="2">
        <f t="shared" si="27"/>
        <v>27325.05112595137</v>
      </c>
      <c r="S7" s="2">
        <f t="shared" si="8"/>
        <v>26299.328071704411</v>
      </c>
      <c r="T7" s="2">
        <f t="shared" si="9"/>
        <v>24282.950152542715</v>
      </c>
      <c r="U7" s="2">
        <f t="shared" si="10"/>
        <v>21940.230774368156</v>
      </c>
      <c r="Z7" s="2">
        <v>9.9999999999999994E-12</v>
      </c>
      <c r="AA7" s="3">
        <f>IF('Modell einstellen'!$B$2="Ja",'creep_res-40'!P7,'creep_res-40'!L7)</f>
        <v>0.36754144046190884</v>
      </c>
      <c r="AB7" s="2">
        <f>IF('Modell einstellen'!$B$2="Ja",creep_res0!P7,creep_res0!L7)</f>
        <v>0.37218976402514115</v>
      </c>
      <c r="AC7" s="2">
        <f>IF('Modell einstellen'!$B$2="Ja",creep_res25!P7,creep_res25!L7)</f>
        <v>0.37626908563107048</v>
      </c>
      <c r="AD7" s="2">
        <f>IF('Modell einstellen'!$B$2="Ja",creep_res50!P7,creep_res50!L7)</f>
        <v>0.38026229738162298</v>
      </c>
      <c r="AE7" s="2">
        <f>IF('Modell einstellen'!$B$2="Ja",creep_res80!P7,creep_res80!L7)</f>
        <v>0.38619855445668116</v>
      </c>
      <c r="AF7" s="2">
        <f>IF('Modell einstellen'!$B$2="Ja",creep_res125!P7,creep_res125!L7)</f>
        <v>0.39955299390320337</v>
      </c>
      <c r="AG7" s="2">
        <f>IF('Modell einstellen'!$B$2="Ja",creep_res160!P7,creep_res160!L7)</f>
        <v>0.4194424245153569</v>
      </c>
      <c r="AL7" s="2">
        <f t="shared" si="11"/>
        <v>9.9999999999999994E-12</v>
      </c>
      <c r="AM7" s="2">
        <f t="shared" si="12"/>
        <v>10893.827462738938</v>
      </c>
      <c r="AN7" s="2">
        <f t="shared" si="13"/>
        <v>10504.725025316387</v>
      </c>
      <c r="AO7" s="2">
        <f t="shared" si="14"/>
        <v>10194.452600653791</v>
      </c>
      <c r="AP7" s="2">
        <f t="shared" si="15"/>
        <v>9898.4994293430227</v>
      </c>
      <c r="AQ7" s="2">
        <f t="shared" si="16"/>
        <v>9486.1331326421696</v>
      </c>
      <c r="AR7" s="2">
        <f t="shared" si="17"/>
        <v>8675.2521191856285</v>
      </c>
      <c r="AS7" s="2">
        <f t="shared" si="18"/>
        <v>7728.4680221740073</v>
      </c>
      <c r="AX7" s="2">
        <f t="shared" si="28"/>
        <v>9.9999999999999994E-12</v>
      </c>
      <c r="AY7" s="37">
        <f t="shared" si="19"/>
        <v>37490.368188835579</v>
      </c>
      <c r="AZ7" s="37">
        <f t="shared" si="20"/>
        <v>37593.431761530461</v>
      </c>
      <c r="BA7" s="37">
        <f t="shared" si="21"/>
        <v>37797.91016866592</v>
      </c>
      <c r="BB7" s="37">
        <f t="shared" si="22"/>
        <v>38034.596355781418</v>
      </c>
      <c r="BC7" s="37">
        <f t="shared" si="23"/>
        <v>38516.394272123573</v>
      </c>
      <c r="BD7" s="37">
        <f t="shared" si="24"/>
        <v>40291.478223423001</v>
      </c>
      <c r="BE7" s="37">
        <f t="shared" si="25"/>
        <v>45392.44269781241</v>
      </c>
    </row>
    <row r="8" spans="1:308" x14ac:dyDescent="0.25">
      <c r="A8" s="2">
        <f>'creep_res-40'!A8</f>
        <v>1E-10</v>
      </c>
      <c r="B8" s="3">
        <f>'creep_res-40'!O8</f>
        <v>-3.4095297142857148E-4</v>
      </c>
      <c r="C8" s="2">
        <f>IF('Modell einstellen'!$B$2="Ja",creep_res0!O8,creep_res0!C8)</f>
        <v>-3.5323632000000007E-4</v>
      </c>
      <c r="D8" s="2">
        <f>IF('Modell einstellen'!$B$2="Ja",creep_res25!O8,creep_res25!C8)</f>
        <v>-3.6370544000000001E-4</v>
      </c>
      <c r="E8" s="2">
        <f>IF('Modell einstellen'!$B$2="Ja",creep_res50!O8,creep_res50!C8)</f>
        <v>-3.7513532571428575E-4</v>
      </c>
      <c r="F8" s="2">
        <f>IF('Modell einstellen'!$B$2="Ja",creep_res80!O8,creep_res80!C8)</f>
        <v>-3.8966249142857143E-4</v>
      </c>
      <c r="G8" s="2">
        <f>IF('Modell einstellen'!$B$2="Ja",creep_res125!O8,creep_res125!C8)</f>
        <v>-4.2589937714285713E-4</v>
      </c>
      <c r="H8" s="2">
        <f>IF('Modell einstellen'!$B$2="Ja",creep_res160!O8,creep_res160!C8)</f>
        <v>-4.6982645714285716E-4</v>
      </c>
      <c r="M8" s="9">
        <f t="shared" si="26"/>
        <v>-10</v>
      </c>
      <c r="N8" s="2">
        <f t="shared" si="4"/>
        <v>1E-10</v>
      </c>
      <c r="O8" s="2">
        <f t="shared" si="5"/>
        <v>29329.558144340641</v>
      </c>
      <c r="P8" s="2">
        <f t="shared" si="6"/>
        <v>28309.659663536291</v>
      </c>
      <c r="Q8" s="2">
        <f t="shared" si="7"/>
        <v>27494.777092143577</v>
      </c>
      <c r="R8" s="2">
        <f t="shared" si="27"/>
        <v>26657.046976205856</v>
      </c>
      <c r="S8" s="2">
        <f t="shared" si="8"/>
        <v>25663.234773606862</v>
      </c>
      <c r="T8" s="2">
        <f t="shared" si="9"/>
        <v>23479.724405996851</v>
      </c>
      <c r="U8" s="2">
        <f t="shared" si="10"/>
        <v>21284.454819366129</v>
      </c>
      <c r="Z8" s="2">
        <v>1E-10</v>
      </c>
      <c r="AA8" s="3">
        <f>IF('Modell einstellen'!$B$2="Ja",'creep_res-40'!P8,'creep_res-40'!L8)</f>
        <v>0.370804888550193</v>
      </c>
      <c r="AB8" s="2">
        <f>IF('Modell einstellen'!$B$2="Ja",creep_res0!P8,creep_res0!L8)</f>
        <v>0.37597974879010976</v>
      </c>
      <c r="AC8" s="2">
        <f>IF('Modell einstellen'!$B$2="Ja",creep_res25!P8,creep_res25!L8)</f>
        <v>0.38057450321022734</v>
      </c>
      <c r="AD8" s="2">
        <f>IF('Modell einstellen'!$B$2="Ja",creep_res50!P8,creep_res50!L8)</f>
        <v>0.38504326712911008</v>
      </c>
      <c r="AE8" s="2">
        <f>IF('Modell einstellen'!$B$2="Ja",creep_res80!P8,creep_res80!L8)</f>
        <v>0.39106679808589229</v>
      </c>
      <c r="AF8" s="2">
        <f>IF('Modell einstellen'!$B$2="Ja",creep_res125!P8,creep_res125!L8)</f>
        <v>0.40706586214307822</v>
      </c>
      <c r="AG8" s="2">
        <f>IF('Modell einstellen'!$B$2="Ja",creep_res160!P8,creep_res160!L8)</f>
        <v>0.42678749588145798</v>
      </c>
      <c r="AL8" s="2">
        <f t="shared" si="11"/>
        <v>1E-10</v>
      </c>
      <c r="AM8" s="2">
        <f t="shared" si="12"/>
        <v>10697.933159313619</v>
      </c>
      <c r="AN8" s="2">
        <f t="shared" si="13"/>
        <v>10287.091684462941</v>
      </c>
      <c r="AO8" s="2">
        <f t="shared" si="14"/>
        <v>9957.7302884452874</v>
      </c>
      <c r="AP8" s="2">
        <f t="shared" si="15"/>
        <v>9623.1820365655622</v>
      </c>
      <c r="AQ8" s="2">
        <f t="shared" si="16"/>
        <v>9224.2999433670138</v>
      </c>
      <c r="AR8" s="2">
        <f t="shared" si="17"/>
        <v>8343.5058150850455</v>
      </c>
      <c r="AS8" s="2">
        <f t="shared" si="18"/>
        <v>7458.8734765357476</v>
      </c>
      <c r="AX8" s="2">
        <f t="shared" si="28"/>
        <v>1E-10</v>
      </c>
      <c r="AY8" s="37">
        <f t="shared" si="19"/>
        <v>37836.258940978238</v>
      </c>
      <c r="AZ8" s="37">
        <f t="shared" si="20"/>
        <v>38044.404559415321</v>
      </c>
      <c r="BA8" s="37">
        <f t="shared" si="21"/>
        <v>38370.8920780728</v>
      </c>
      <c r="BB8" s="37">
        <f t="shared" si="22"/>
        <v>38647.942158297199</v>
      </c>
      <c r="BC8" s="37">
        <f t="shared" si="23"/>
        <v>39264.482457549166</v>
      </c>
      <c r="BD8" s="37">
        <f t="shared" si="24"/>
        <v>42108.179956694046</v>
      </c>
      <c r="BE8" s="37">
        <f t="shared" si="25"/>
        <v>48453.596544344859</v>
      </c>
    </row>
    <row r="9" spans="1:308" x14ac:dyDescent="0.25">
      <c r="A9" s="2">
        <f>'creep_res-40'!A9</f>
        <v>1.0000000000000001E-9</v>
      </c>
      <c r="B9" s="3">
        <f>'creep_res-40'!O9</f>
        <v>-3.4677661714285719E-4</v>
      </c>
      <c r="C9" s="2">
        <f>IF('Modell einstellen'!$B$2="Ja",creep_res0!O9,creep_res0!C9)</f>
        <v>-3.604695828571429E-4</v>
      </c>
      <c r="D9" s="2">
        <f>IF('Modell einstellen'!$B$2="Ja",creep_res25!O9,creep_res25!C9)</f>
        <v>-3.7287631428571427E-4</v>
      </c>
      <c r="E9" s="2">
        <f>IF('Modell einstellen'!$B$2="Ja",creep_res50!O9,creep_res50!C9)</f>
        <v>-3.8366720571428569E-4</v>
      </c>
      <c r="F9" s="2">
        <f>IF('Modell einstellen'!$B$2="Ja",creep_res80!O9,creep_res80!C9)</f>
        <v>-3.9857573142857144E-4</v>
      </c>
      <c r="G9" s="2">
        <f>IF('Modell einstellen'!$B$2="Ja",creep_res125!O9,creep_res125!C9)</f>
        <v>-4.420115542857143E-4</v>
      </c>
      <c r="H9" s="2">
        <f>IF('Modell einstellen'!$B$2="Ja",creep_res160!O9,creep_res160!C9)</f>
        <v>-4.8496462857142863E-4</v>
      </c>
      <c r="M9" s="9">
        <f t="shared" si="26"/>
        <v>-10</v>
      </c>
      <c r="N9" s="2">
        <f t="shared" si="4"/>
        <v>1.0000000000000001E-9</v>
      </c>
      <c r="O9" s="2">
        <f t="shared" si="5"/>
        <v>28837.00776134057</v>
      </c>
      <c r="P9" s="2">
        <f t="shared" si="6"/>
        <v>27741.591733589026</v>
      </c>
      <c r="Q9" s="2">
        <f t="shared" si="7"/>
        <v>26818.544425800024</v>
      </c>
      <c r="R9" s="2">
        <f t="shared" si="27"/>
        <v>26064.255300065783</v>
      </c>
      <c r="S9" s="2">
        <f t="shared" si="8"/>
        <v>25089.33487786146</v>
      </c>
      <c r="T9" s="2">
        <f t="shared" si="9"/>
        <v>22623.842981118192</v>
      </c>
      <c r="U9" s="2">
        <f t="shared" si="10"/>
        <v>20620.060538141159</v>
      </c>
      <c r="Z9" s="2">
        <v>1.0000000000000001E-9</v>
      </c>
      <c r="AA9" s="3">
        <f>IF('Modell einstellen'!$B$2="Ja",'creep_res-40'!P9,'creep_res-40'!L9)</f>
        <v>0.37435791518518591</v>
      </c>
      <c r="AB9" s="2">
        <f>IF('Modell einstellen'!$B$2="Ja",creep_res0!P9,creep_res0!L9)</f>
        <v>0.38028240528223994</v>
      </c>
      <c r="AC9" s="2">
        <f>IF('Modell einstellen'!$B$2="Ja",creep_res25!P9,creep_res25!L9)</f>
        <v>0.38540557799671754</v>
      </c>
      <c r="AD9" s="2">
        <f>IF('Modell einstellen'!$B$2="Ja",creep_res50!P9,creep_res50!L9)</f>
        <v>0.3902517391523288</v>
      </c>
      <c r="AE9" s="2">
        <f>IF('Modell einstellen'!$B$2="Ja",creep_res80!P9,creep_res80!L9)</f>
        <v>0.3963879931160027</v>
      </c>
      <c r="AF9" s="2">
        <f>IF('Modell einstellen'!$B$2="Ja",creep_res125!P9,creep_res125!L9)</f>
        <v>0.41566795758745645</v>
      </c>
      <c r="AG9" s="2">
        <f>IF('Modell einstellen'!$B$2="Ja",creep_res160!P9,creep_res160!L9)</f>
        <v>0.43465181142518666</v>
      </c>
      <c r="AL9" s="2">
        <f t="shared" si="11"/>
        <v>1.0000000000000001E-9</v>
      </c>
      <c r="AM9" s="2">
        <f t="shared" si="12"/>
        <v>10491.083669953241</v>
      </c>
      <c r="AN9" s="2">
        <f t="shared" si="13"/>
        <v>10049.244860118473</v>
      </c>
      <c r="AO9" s="2">
        <f t="shared" si="14"/>
        <v>9678.9506451169946</v>
      </c>
      <c r="AP9" s="2">
        <f t="shared" si="15"/>
        <v>9373.9337150399151</v>
      </c>
      <c r="AQ9" s="2">
        <f t="shared" si="16"/>
        <v>8983.6546151744242</v>
      </c>
      <c r="AR9" s="2">
        <f t="shared" si="17"/>
        <v>7990.5188430178014</v>
      </c>
      <c r="AS9" s="2">
        <f t="shared" si="18"/>
        <v>7186.4338001487413</v>
      </c>
      <c r="AX9" s="2">
        <f t="shared" si="28"/>
        <v>1.0000000000000001E-9</v>
      </c>
      <c r="AY9" s="37">
        <f t="shared" si="19"/>
        <v>38252.851083355687</v>
      </c>
      <c r="AZ9" s="37">
        <f t="shared" si="20"/>
        <v>38620.878018516763</v>
      </c>
      <c r="BA9" s="37">
        <f t="shared" si="21"/>
        <v>39005.017226510136</v>
      </c>
      <c r="BB9" s="37">
        <f t="shared" si="22"/>
        <v>39581.880536953788</v>
      </c>
      <c r="BC9" s="37">
        <f t="shared" si="23"/>
        <v>40357.830513393368</v>
      </c>
      <c r="BD9" s="37">
        <f t="shared" si="24"/>
        <v>44711.836556826791</v>
      </c>
      <c r="BE9" s="37">
        <f t="shared" si="25"/>
        <v>52590.237484890778</v>
      </c>
    </row>
    <row r="10" spans="1:308" x14ac:dyDescent="0.25">
      <c r="A10" s="2">
        <f>'creep_res-40'!A10</f>
        <v>1E-8</v>
      </c>
      <c r="B10" s="3">
        <f>'creep_res-40'!O10</f>
        <v>-3.5371800571428575E-4</v>
      </c>
      <c r="C10" s="2">
        <f>IF('Modell einstellen'!$B$2="Ja",creep_res0!O10,creep_res0!C10)</f>
        <v>-3.6940146857142862E-4</v>
      </c>
      <c r="D10" s="2">
        <f>IF('Modell einstellen'!$B$2="Ja",creep_res25!O10,creep_res25!C10)</f>
        <v>-3.8131252000000001E-4</v>
      </c>
      <c r="E10" s="2">
        <f>IF('Modell einstellen'!$B$2="Ja",creep_res50!O10,creep_res50!C10)</f>
        <v>-3.9319581142857146E-4</v>
      </c>
      <c r="F10" s="2">
        <f>IF('Modell einstellen'!$B$2="Ja",creep_res80!O10,creep_res80!C10)</f>
        <v>-4.1107237714285716E-4</v>
      </c>
      <c r="G10" s="2">
        <f>IF('Modell einstellen'!$B$2="Ja",creep_res125!O10,creep_res125!C10)</f>
        <v>-4.5721752571428574E-4</v>
      </c>
      <c r="H10" s="2">
        <f>IF('Modell einstellen'!$B$2="Ja",creep_res160!O10,creep_res160!C10)</f>
        <v>-5.0056704571428581E-4</v>
      </c>
      <c r="M10" s="9">
        <f t="shared" si="26"/>
        <v>-10</v>
      </c>
      <c r="N10" s="2">
        <f t="shared" si="4"/>
        <v>1E-8</v>
      </c>
      <c r="O10" s="2">
        <f t="shared" si="5"/>
        <v>28271.10816653608</v>
      </c>
      <c r="P10" s="2">
        <f t="shared" si="6"/>
        <v>27070.818204033123</v>
      </c>
      <c r="Q10" s="2">
        <f t="shared" si="7"/>
        <v>26225.207606610977</v>
      </c>
      <c r="R10" s="2">
        <f t="shared" si="27"/>
        <v>25432.620870674291</v>
      </c>
      <c r="S10" s="2">
        <f t="shared" si="8"/>
        <v>24326.616323637743</v>
      </c>
      <c r="T10" s="2">
        <f t="shared" si="9"/>
        <v>21871.427575698352</v>
      </c>
      <c r="U10" s="2">
        <f t="shared" si="10"/>
        <v>19977.343865556446</v>
      </c>
      <c r="Z10" s="2">
        <v>1E-8</v>
      </c>
      <c r="AA10" s="3">
        <f>IF('Modell einstellen'!$B$2="Ja",'creep_res-40'!P10,'creep_res-40'!L10)</f>
        <v>0.37860356266689338</v>
      </c>
      <c r="AB10" s="2">
        <f>IF('Modell einstellen'!$B$2="Ja",creep_res0!P10,creep_res0!L10)</f>
        <v>0.38502366848042691</v>
      </c>
      <c r="AC10" s="2">
        <f>IF('Modell einstellen'!$B$2="Ja",creep_res25!P10,creep_res25!L10)</f>
        <v>0.39065174151638138</v>
      </c>
      <c r="AD10" s="2">
        <f>IF('Modell einstellen'!$B$2="Ja",creep_res50!P10,creep_res50!L10)</f>
        <v>0.3952293809495166</v>
      </c>
      <c r="AE10" s="2">
        <f>IF('Modell einstellen'!$B$2="Ja",creep_res80!P10,creep_res80!L10)</f>
        <v>0.40285538315908109</v>
      </c>
      <c r="AF10" s="2">
        <f>IF('Modell einstellen'!$B$2="Ja",creep_res125!P10,creep_res125!L10)</f>
        <v>0.42381371282768104</v>
      </c>
      <c r="AG10" s="2">
        <f>IF('Modell einstellen'!$B$2="Ja",creep_res160!P10,creep_res160!L10)</f>
        <v>0.44274771218601872</v>
      </c>
      <c r="AL10" s="2">
        <f t="shared" si="11"/>
        <v>1E-8</v>
      </c>
      <c r="AM10" s="2">
        <f t="shared" si="12"/>
        <v>10253.530794540358</v>
      </c>
      <c r="AN10" s="2">
        <f t="shared" si="13"/>
        <v>9772.6915503667024</v>
      </c>
      <c r="AO10" s="2">
        <f t="shared" si="14"/>
        <v>9429.10680786792</v>
      </c>
      <c r="AP10" s="2">
        <f t="shared" si="15"/>
        <v>9114.1360760931802</v>
      </c>
      <c r="AQ10" s="2">
        <f t="shared" si="16"/>
        <v>8670.3934759322055</v>
      </c>
      <c r="AR10" s="2">
        <f t="shared" si="17"/>
        <v>7680.5790598342728</v>
      </c>
      <c r="AS10" s="2">
        <f t="shared" si="18"/>
        <v>6923.3670228065112</v>
      </c>
      <c r="AX10" s="2">
        <f t="shared" si="28"/>
        <v>1E-8</v>
      </c>
      <c r="AY10" s="37">
        <f t="shared" si="19"/>
        <v>38813.753225395143</v>
      </c>
      <c r="AZ10" s="37">
        <f t="shared" si="20"/>
        <v>39241.146193966451</v>
      </c>
      <c r="BA10" s="37">
        <f t="shared" si="21"/>
        <v>39971.994022108353</v>
      </c>
      <c r="BB10" s="37">
        <f t="shared" si="22"/>
        <v>40457.622409102529</v>
      </c>
      <c r="BC10" s="37">
        <f t="shared" si="23"/>
        <v>41736.08570178465</v>
      </c>
      <c r="BD10" s="37">
        <f t="shared" si="24"/>
        <v>47846.378457034145</v>
      </c>
      <c r="BE10" s="37">
        <f t="shared" si="25"/>
        <v>58155.882289702677</v>
      </c>
    </row>
    <row r="11" spans="1:308" x14ac:dyDescent="0.25">
      <c r="A11" s="2">
        <f>'creep_res-40'!A11</f>
        <v>9.9999999999999995E-8</v>
      </c>
      <c r="B11" s="3">
        <f>'creep_res-40'!O11</f>
        <v>-3.6188184000000005E-4</v>
      </c>
      <c r="C11" s="2">
        <f>IF('Modell einstellen'!$B$2="Ja",creep_res0!O11,creep_res0!C11)</f>
        <v>-3.778486685714286E-4</v>
      </c>
      <c r="D11" s="2">
        <f>IF('Modell einstellen'!$B$2="Ja",creep_res25!O11,creep_res25!C11)</f>
        <v>-3.9080617142857142E-4</v>
      </c>
      <c r="E11" s="2">
        <f>IF('Modell einstellen'!$B$2="Ja",creep_res50!O11,creep_res50!C11)</f>
        <v>-4.0432668571428575E-4</v>
      </c>
      <c r="F11" s="2">
        <f>IF('Modell einstellen'!$B$2="Ja",creep_res80!O11,creep_res80!C11)</f>
        <v>-4.2596614285714284E-4</v>
      </c>
      <c r="G11" s="2">
        <f>IF('Modell einstellen'!$B$2="Ja",creep_res125!O11,creep_res125!C11)</f>
        <v>-4.7125333142857142E-4</v>
      </c>
      <c r="H11" s="2">
        <f>IF('Modell einstellen'!$B$2="Ja",creep_res160!O11,creep_res160!C11)</f>
        <v>-5.1841342285714287E-4</v>
      </c>
      <c r="M11" s="9">
        <f t="shared" si="26"/>
        <v>-10</v>
      </c>
      <c r="N11" s="2">
        <f t="shared" si="4"/>
        <v>9.9999999999999995E-8</v>
      </c>
      <c r="O11" s="2">
        <f t="shared" si="5"/>
        <v>27633.32915517396</v>
      </c>
      <c r="P11" s="2">
        <f t="shared" si="6"/>
        <v>26465.621905743457</v>
      </c>
      <c r="Q11" s="2">
        <f t="shared" si="7"/>
        <v>25588.132253504406</v>
      </c>
      <c r="R11" s="2">
        <f t="shared" si="27"/>
        <v>24732.475874883068</v>
      </c>
      <c r="S11" s="2">
        <f t="shared" si="8"/>
        <v>23476.044206061986</v>
      </c>
      <c r="T11" s="2">
        <f t="shared" si="9"/>
        <v>21220.009139639824</v>
      </c>
      <c r="U11" s="2">
        <f t="shared" si="10"/>
        <v>19289.623993311725</v>
      </c>
      <c r="Z11" s="2">
        <v>9.9999999999999995E-8</v>
      </c>
      <c r="AA11" s="3">
        <f>IF('Modell einstellen'!$B$2="Ja",'creep_res-40'!P11,'creep_res-40'!L11)</f>
        <v>0.3830362497801571</v>
      </c>
      <c r="AB11" s="2">
        <f>IF('Modell einstellen'!$B$2="Ja",creep_res0!P11,creep_res0!L11)</f>
        <v>0.39036881537925455</v>
      </c>
      <c r="AC11" s="2">
        <f>IF('Modell einstellen'!$B$2="Ja",creep_res25!P11,creep_res25!L11)</f>
        <v>0.39568489048571837</v>
      </c>
      <c r="AD11" s="2">
        <f>IF('Modell einstellen'!$B$2="Ja",creep_res50!P11,creep_res50!L11)</f>
        <v>0.40147076260964087</v>
      </c>
      <c r="AE11" s="2">
        <f>IF('Modell einstellen'!$B$2="Ja",creep_res80!P11,creep_res80!L11)</f>
        <v>0.41103257368208007</v>
      </c>
      <c r="AF11" s="2">
        <f>IF('Modell einstellen'!$B$2="Ja",creep_res125!P11,creep_res125!L11)</f>
        <v>0.4313066531046153</v>
      </c>
      <c r="AG11" s="2">
        <f>IF('Modell einstellen'!$B$2="Ja",creep_res160!P11,creep_res160!L11)</f>
        <v>0.45195902059370185</v>
      </c>
      <c r="AL11" s="2">
        <f t="shared" si="11"/>
        <v>9.9999999999999995E-8</v>
      </c>
      <c r="AM11" s="2">
        <f t="shared" si="12"/>
        <v>9990.0957619753135</v>
      </c>
      <c r="AN11" s="2">
        <f t="shared" si="13"/>
        <v>9517.4825603824975</v>
      </c>
      <c r="AO11" s="2">
        <f t="shared" si="14"/>
        <v>9166.8729911518094</v>
      </c>
      <c r="AP11" s="2">
        <f t="shared" si="15"/>
        <v>8823.7573464712859</v>
      </c>
      <c r="AQ11" s="2">
        <f t="shared" si="16"/>
        <v>8318.7463719570296</v>
      </c>
      <c r="AR11" s="2">
        <f t="shared" si="17"/>
        <v>7412.8102086341796</v>
      </c>
      <c r="AS11" s="2">
        <f t="shared" si="18"/>
        <v>6642.6199774647403</v>
      </c>
      <c r="AX11" s="2">
        <f t="shared" si="28"/>
        <v>9.9999999999999995E-8</v>
      </c>
      <c r="AY11" s="37">
        <f t="shared" si="19"/>
        <v>39375.916474455924</v>
      </c>
      <c r="AZ11" s="37">
        <f t="shared" si="20"/>
        <v>40234.327482181536</v>
      </c>
      <c r="BA11" s="37">
        <f t="shared" si="21"/>
        <v>40882.751585795231</v>
      </c>
      <c r="BB11" s="37">
        <f t="shared" si="22"/>
        <v>41836.102883344225</v>
      </c>
      <c r="BC11" s="37">
        <f t="shared" si="23"/>
        <v>43978.725655859154</v>
      </c>
      <c r="BD11" s="37">
        <f t="shared" si="24"/>
        <v>51484.872258824078</v>
      </c>
      <c r="BE11" s="37">
        <f t="shared" si="25"/>
        <v>66920.728343792769</v>
      </c>
    </row>
    <row r="12" spans="1:308" x14ac:dyDescent="0.25">
      <c r="A12" s="2">
        <f>'creep_res-40'!A12</f>
        <v>9.9999999999999995E-7</v>
      </c>
      <c r="B12" s="3">
        <f>'creep_res-40'!O12</f>
        <v>-3.704156685714286E-4</v>
      </c>
      <c r="C12" s="2">
        <f>IF('Modell einstellen'!$B$2="Ja",creep_res0!O12,creep_res0!C12)</f>
        <v>-3.8717555428571435E-4</v>
      </c>
      <c r="D12" s="2">
        <f>IF('Modell einstellen'!$B$2="Ja",creep_res25!O12,creep_res25!C12)</f>
        <v>-4.0198573142857146E-4</v>
      </c>
      <c r="E12" s="2">
        <f>IF('Modell einstellen'!$B$2="Ja",creep_res50!O12,creep_res50!C12)</f>
        <v>-4.1845078857142859E-4</v>
      </c>
      <c r="F12" s="2">
        <f>IF('Modell einstellen'!$B$2="Ja",creep_res80!O12,creep_res80!C12)</f>
        <v>-4.4192214857142857E-4</v>
      </c>
      <c r="G12" s="2">
        <f>IF('Modell einstellen'!$B$2="Ja",creep_res125!O12,creep_res125!C12)</f>
        <v>-4.8648615428571431E-4</v>
      </c>
      <c r="H12" s="2">
        <f>IF('Modell einstellen'!$B$2="Ja",creep_res160!O12,creep_res160!C12)</f>
        <v>-5.3625677714285716E-4</v>
      </c>
      <c r="M12" s="9">
        <f t="shared" si="26"/>
        <v>-10</v>
      </c>
      <c r="N12" s="2">
        <f t="shared" si="4"/>
        <v>9.9999999999999995E-7</v>
      </c>
      <c r="O12" s="2">
        <f t="shared" si="5"/>
        <v>26996.698164974259</v>
      </c>
      <c r="P12" s="2">
        <f t="shared" si="6"/>
        <v>25828.07692610817</v>
      </c>
      <c r="Q12" s="2">
        <f t="shared" si="7"/>
        <v>24876.504856185158</v>
      </c>
      <c r="R12" s="2">
        <f t="shared" si="27"/>
        <v>23897.672732651627</v>
      </c>
      <c r="S12" s="2">
        <f t="shared" si="8"/>
        <v>22628.420033542818</v>
      </c>
      <c r="T12" s="2">
        <f t="shared" si="9"/>
        <v>20555.569592073076</v>
      </c>
      <c r="U12" s="2">
        <f t="shared" si="10"/>
        <v>18647.782976803352</v>
      </c>
      <c r="Z12" s="2">
        <v>9.9999999999999995E-7</v>
      </c>
      <c r="AA12" s="3">
        <f>IF('Modell einstellen'!$B$2="Ja",'creep_res-40'!P12,'creep_res-40'!L12)</f>
        <v>0.3885746147548032</v>
      </c>
      <c r="AB12" s="2">
        <f>IF('Modell einstellen'!$B$2="Ja",creep_res0!P12,creep_res0!L12)</f>
        <v>0.39537050464903906</v>
      </c>
      <c r="AC12" s="2">
        <f>IF('Modell einstellen'!$B$2="Ja",creep_res25!P12,creep_res25!L12)</f>
        <v>0.40206005606197565</v>
      </c>
      <c r="AD12" s="2">
        <f>IF('Modell einstellen'!$B$2="Ja",creep_res50!P12,creep_res50!L12)</f>
        <v>0.40940425041002942</v>
      </c>
      <c r="AE12" s="2">
        <f>IF('Modell einstellen'!$B$2="Ja",creep_res80!P12,creep_res80!L12)</f>
        <v>0.41983588680183309</v>
      </c>
      <c r="AF12" s="2">
        <f>IF('Modell einstellen'!$B$2="Ja",creep_res125!P12,creep_res125!L12)</f>
        <v>0.43942559657284386</v>
      </c>
      <c r="AG12" s="2">
        <f>IF('Modell einstellen'!$B$2="Ja",creep_res160!P12,creep_res160!L12)</f>
        <v>0.46113948013135203</v>
      </c>
      <c r="AL12" s="2">
        <f t="shared" si="11"/>
        <v>9.9999999999999995E-7</v>
      </c>
      <c r="AM12" s="2">
        <f t="shared" si="12"/>
        <v>9721.0109842535821</v>
      </c>
      <c r="AN12" s="2">
        <f t="shared" si="13"/>
        <v>9254.9171850971579</v>
      </c>
      <c r="AO12" s="2">
        <f t="shared" si="14"/>
        <v>8871.4120157080979</v>
      </c>
      <c r="AP12" s="2">
        <f t="shared" si="15"/>
        <v>8477.9341078683501</v>
      </c>
      <c r="AQ12" s="2">
        <f t="shared" si="16"/>
        <v>7968.6744939632144</v>
      </c>
      <c r="AR12" s="2">
        <f t="shared" si="17"/>
        <v>7140.1987157287695</v>
      </c>
      <c r="AS12" s="2">
        <f t="shared" si="18"/>
        <v>6381.2467017614817</v>
      </c>
      <c r="AX12" s="2">
        <f t="shared" si="28"/>
        <v>9.9999999999999995E-7</v>
      </c>
      <c r="AY12" s="37">
        <f t="shared" si="19"/>
        <v>40380.83139009236</v>
      </c>
      <c r="AZ12" s="37">
        <f t="shared" si="20"/>
        <v>41142.122240439152</v>
      </c>
      <c r="BA12" s="37">
        <f t="shared" si="21"/>
        <v>42332.923381303306</v>
      </c>
      <c r="BB12" s="37">
        <f t="shared" si="22"/>
        <v>43963.932893854777</v>
      </c>
      <c r="BC12" s="37">
        <f t="shared" si="23"/>
        <v>47046.030804343041</v>
      </c>
      <c r="BD12" s="37">
        <f t="shared" si="24"/>
        <v>56557.358744199089</v>
      </c>
      <c r="BE12" s="37">
        <f t="shared" si="25"/>
        <v>79977.412550640627</v>
      </c>
    </row>
    <row r="13" spans="1:308" x14ac:dyDescent="0.25">
      <c r="A13" s="2">
        <f>'creep_res-40'!A13</f>
        <v>1.0000000000000001E-5</v>
      </c>
      <c r="B13" s="3">
        <f>'creep_res-40'!O13</f>
        <v>-3.7939892000000004E-4</v>
      </c>
      <c r="C13" s="2">
        <f>IF('Modell einstellen'!$B$2="Ja",creep_res0!O13,creep_res0!C13)</f>
        <v>-3.9797395428571429E-4</v>
      </c>
      <c r="D13" s="2">
        <f>IF('Modell einstellen'!$B$2="Ja",creep_res25!O13,creep_res25!C13)</f>
        <v>-4.1611814857142864E-4</v>
      </c>
      <c r="E13" s="2">
        <f>IF('Modell einstellen'!$B$2="Ja",creep_res50!O13,creep_res50!C13)</f>
        <v>-4.3423338285714292E-4</v>
      </c>
      <c r="F13" s="2">
        <f>IF('Modell einstellen'!$B$2="Ja",creep_res80!O13,creep_res80!C13)</f>
        <v>-4.5590130285714283E-4</v>
      </c>
      <c r="G13" s="2">
        <f>IF('Modell einstellen'!$B$2="Ja",creep_res125!O13,creep_res125!C13)</f>
        <v>-5.028533485714286E-4</v>
      </c>
      <c r="H13" s="2">
        <f>IF('Modell einstellen'!$B$2="Ja",creep_res160!O13,creep_res160!C13)</f>
        <v>-5.6095232E-4</v>
      </c>
      <c r="M13" s="9">
        <f t="shared" si="26"/>
        <v>-10</v>
      </c>
      <c r="N13" s="2">
        <f t="shared" si="4"/>
        <v>1.0000000000000001E-5</v>
      </c>
      <c r="O13" s="2">
        <f t="shared" si="5"/>
        <v>26357.481460411112</v>
      </c>
      <c r="P13" s="2">
        <f t="shared" si="6"/>
        <v>25127.272506935918</v>
      </c>
      <c r="Q13" s="2">
        <f t="shared" si="7"/>
        <v>24031.636289671351</v>
      </c>
      <c r="R13" s="2">
        <f t="shared" si="27"/>
        <v>23029.090794914468</v>
      </c>
      <c r="S13" s="2">
        <f t="shared" si="8"/>
        <v>21934.572104378283</v>
      </c>
      <c r="T13" s="2">
        <f t="shared" si="9"/>
        <v>19886.513689148745</v>
      </c>
      <c r="U13" s="2">
        <f t="shared" si="10"/>
        <v>17826.827064375098</v>
      </c>
      <c r="Z13" s="2">
        <v>1.0000000000000001E-5</v>
      </c>
      <c r="AA13" s="3">
        <f>IF('Modell einstellen'!$B$2="Ja",'creep_res-40'!P13,'creep_res-40'!L13)</f>
        <v>0.39350385378760994</v>
      </c>
      <c r="AB13" s="2">
        <f>IF('Modell einstellen'!$B$2="Ja",creep_res0!P13,creep_res0!L13)</f>
        <v>0.40162908291974087</v>
      </c>
      <c r="AC13" s="2">
        <f>IF('Modell einstellen'!$B$2="Ja",creep_res25!P13,creep_res25!L13)</f>
        <v>0.41013538517549597</v>
      </c>
      <c r="AD13" s="2">
        <f>IF('Modell einstellen'!$B$2="Ja",creep_res50!P13,creep_res50!L13)</f>
        <v>0.41829499665235975</v>
      </c>
      <c r="AE13" s="2">
        <f>IF('Modell einstellen'!$B$2="Ja",creep_res80!P13,creep_res80!L13)</f>
        <v>0.42757955080202326</v>
      </c>
      <c r="AF13" s="2">
        <f>IF('Modell einstellen'!$B$2="Ja",creep_res125!P13,creep_res125!L13)</f>
        <v>0.44811240393904789</v>
      </c>
      <c r="AG13" s="2">
        <f>IF('Modell einstellen'!$B$2="Ja",creep_res160!P13,creep_res160!L13)</f>
        <v>0.47365772549082252</v>
      </c>
      <c r="AL13" s="2">
        <f t="shared" si="11"/>
        <v>1.0000000000000001E-5</v>
      </c>
      <c r="AM13" s="2">
        <f t="shared" si="12"/>
        <v>9457.2689514888043</v>
      </c>
      <c r="AN13" s="2">
        <f t="shared" si="13"/>
        <v>8963.5955807199589</v>
      </c>
      <c r="AO13" s="2">
        <f t="shared" si="14"/>
        <v>8521.038668453999</v>
      </c>
      <c r="AP13" s="2">
        <f t="shared" si="15"/>
        <v>8118.5828227804013</v>
      </c>
      <c r="AQ13" s="2">
        <f t="shared" si="16"/>
        <v>7682.4342615636733</v>
      </c>
      <c r="AR13" s="2">
        <f t="shared" si="17"/>
        <v>6866.3570711275343</v>
      </c>
      <c r="AS13" s="2">
        <f t="shared" si="18"/>
        <v>6048.4964574924006</v>
      </c>
      <c r="AX13" s="2">
        <f t="shared" si="28"/>
        <v>1.0000000000000001E-5</v>
      </c>
      <c r="AY13" s="37">
        <f t="shared" si="19"/>
        <v>41249.50745141707</v>
      </c>
      <c r="AZ13" s="37">
        <f t="shared" si="20"/>
        <v>42572.326003011323</v>
      </c>
      <c r="BA13" s="37">
        <f t="shared" si="21"/>
        <v>44570.076027890333</v>
      </c>
      <c r="BB13" s="37">
        <f t="shared" si="22"/>
        <v>46976.092551170099</v>
      </c>
      <c r="BC13" s="37">
        <f t="shared" si="23"/>
        <v>50479.692654247083</v>
      </c>
      <c r="BD13" s="37">
        <f t="shared" si="24"/>
        <v>63876.903148452388</v>
      </c>
      <c r="BE13" s="37">
        <f t="shared" si="25"/>
        <v>112789.72296137114</v>
      </c>
    </row>
    <row r="14" spans="1:308" x14ac:dyDescent="0.25">
      <c r="A14" s="2">
        <f>'creep_res-40'!A14</f>
        <v>1E-4</v>
      </c>
      <c r="B14" s="3">
        <f>'creep_res-40'!O14</f>
        <v>-3.8849084571428573E-4</v>
      </c>
      <c r="C14" s="2">
        <f>IF('Modell einstellen'!$B$2="Ja",creep_res0!O14,creep_res0!C14)</f>
        <v>-4.1174637142857144E-4</v>
      </c>
      <c r="D14" s="2">
        <f>IF('Modell einstellen'!$B$2="Ja",creep_res25!O14,creep_res25!C14)</f>
        <v>-4.3179653142857147E-4</v>
      </c>
      <c r="E14" s="2">
        <f>IF('Modell einstellen'!$B$2="Ja",creep_res50!O14,creep_res50!C14)</f>
        <v>-4.4869412571428574E-4</v>
      </c>
      <c r="F14" s="2">
        <f>IF('Modell einstellen'!$B$2="Ja",creep_res80!O14,creep_res80!C14)</f>
        <v>-4.7041819428571432E-4</v>
      </c>
      <c r="G14" s="2">
        <f>IF('Modell einstellen'!$B$2="Ja",creep_res125!O14,creep_res125!C14)</f>
        <v>-5.2051835428571435E-4</v>
      </c>
      <c r="H14" s="2">
        <f>IF('Modell einstellen'!$B$2="Ja",creep_res160!O14,creep_res160!C14)</f>
        <v>-5.8981965714285716E-4</v>
      </c>
      <c r="M14" s="9">
        <f t="shared" si="26"/>
        <v>-10</v>
      </c>
      <c r="N14" s="2">
        <f t="shared" si="4"/>
        <v>1E-4</v>
      </c>
      <c r="O14" s="2">
        <f t="shared" si="5"/>
        <v>25740.632270533515</v>
      </c>
      <c r="P14" s="2">
        <f t="shared" si="6"/>
        <v>24286.795692466159</v>
      </c>
      <c r="Q14" s="2">
        <f t="shared" si="7"/>
        <v>23159.055879665437</v>
      </c>
      <c r="R14" s="2">
        <f t="shared" si="27"/>
        <v>22286.897525303651</v>
      </c>
      <c r="S14" s="2">
        <f t="shared" si="8"/>
        <v>21257.681189784882</v>
      </c>
      <c r="T14" s="2">
        <f t="shared" si="9"/>
        <v>19211.618413960798</v>
      </c>
      <c r="U14" s="2">
        <f t="shared" si="10"/>
        <v>16954.334903724568</v>
      </c>
      <c r="Z14" s="2">
        <v>1E-4</v>
      </c>
      <c r="AA14" s="3">
        <f>IF('Modell einstellen'!$B$2="Ja",'creep_res-40'!P14,'creep_res-40'!L14)</f>
        <v>0.3994176998294558</v>
      </c>
      <c r="AB14" s="2">
        <f>IF('Modell einstellen'!$B$2="Ja",creep_res0!P14,creep_res0!L14)</f>
        <v>0.40962886792375586</v>
      </c>
      <c r="AC14" s="2">
        <f>IF('Modell einstellen'!$B$2="Ja",creep_res25!P14,creep_res25!L14)</f>
        <v>0.41912078880855963</v>
      </c>
      <c r="AD14" s="2">
        <f>IF('Modell einstellen'!$B$2="Ja",creep_res50!P14,creep_res50!L14)</f>
        <v>0.42647180633597898</v>
      </c>
      <c r="AE14" s="2">
        <f>IF('Modell einstellen'!$B$2="Ja",creep_res80!P14,creep_res80!L14)</f>
        <v>0.43557117518681004</v>
      </c>
      <c r="AF14" s="2">
        <f>IF('Modell einstellen'!$B$2="Ja",creep_res125!P14,creep_res125!L14)</f>
        <v>0.45746144788065762</v>
      </c>
      <c r="AG14" s="2">
        <f>IF('Modell einstellen'!$B$2="Ja",creep_res160!P14,creep_res160!L14)</f>
        <v>0.4881226067745259</v>
      </c>
      <c r="AL14" s="2">
        <f t="shared" si="11"/>
        <v>1E-4</v>
      </c>
      <c r="AM14" s="2">
        <f t="shared" si="12"/>
        <v>9196.9082117763955</v>
      </c>
      <c r="AN14" s="2">
        <f t="shared" si="13"/>
        <v>8614.6063850970258</v>
      </c>
      <c r="AO14" s="2">
        <f t="shared" si="14"/>
        <v>8159.6492921187164</v>
      </c>
      <c r="AP14" s="2">
        <f t="shared" si="15"/>
        <v>7811.8955545814642</v>
      </c>
      <c r="AQ14" s="2">
        <f t="shared" si="16"/>
        <v>7403.9105678680935</v>
      </c>
      <c r="AR14" s="2">
        <f t="shared" si="17"/>
        <v>6590.7809918049779</v>
      </c>
      <c r="AS14" s="2">
        <f t="shared" si="18"/>
        <v>5696.5517580815231</v>
      </c>
      <c r="AX14" s="2">
        <f t="shared" si="28"/>
        <v>1E-4</v>
      </c>
      <c r="AY14" s="37">
        <f t="shared" si="19"/>
        <v>42652.687114413609</v>
      </c>
      <c r="AZ14" s="37">
        <f t="shared" si="20"/>
        <v>44790.844034825786</v>
      </c>
      <c r="BA14" s="37">
        <f t="shared" si="21"/>
        <v>47723.544650734701</v>
      </c>
      <c r="BB14" s="37">
        <f t="shared" si="22"/>
        <v>50517.80461052616</v>
      </c>
      <c r="BC14" s="37">
        <f t="shared" si="23"/>
        <v>54990.08984312298</v>
      </c>
      <c r="BD14" s="37">
        <f t="shared" si="24"/>
        <v>75271.400713022202</v>
      </c>
      <c r="BE14" s="37">
        <f t="shared" si="25"/>
        <v>237907.63093484289</v>
      </c>
    </row>
    <row r="15" spans="1:308" x14ac:dyDescent="0.25">
      <c r="A15" s="2">
        <f>'creep_res-40'!A15</f>
        <v>1E-3</v>
      </c>
      <c r="B15" s="3">
        <f>'creep_res-40'!O15</f>
        <v>-4.0148532E-4</v>
      </c>
      <c r="C15" s="2">
        <f>IF('Modell einstellen'!$B$2="Ja",creep_res0!O15,creep_res0!C15)</f>
        <v>-4.2728338285714294E-4</v>
      </c>
      <c r="D15" s="2">
        <f>IF('Modell einstellen'!$B$2="Ja",creep_res25!O15,creep_res25!C15)</f>
        <v>-4.4603799428571429E-4</v>
      </c>
      <c r="E15" s="2">
        <f>IF('Modell einstellen'!$B$2="Ja",creep_res50!O15,creep_res50!C15)</f>
        <v>-4.6266420000000007E-4</v>
      </c>
      <c r="F15" s="2">
        <f>IF('Modell einstellen'!$B$2="Ja",creep_res80!O15,creep_res80!C15)</f>
        <v>-4.8552683428571436E-4</v>
      </c>
      <c r="G15" s="2">
        <f>IF('Modell einstellen'!$B$2="Ja",creep_res125!O15,creep_res125!C15)</f>
        <v>-5.4071768571428572E-4</v>
      </c>
      <c r="H15" s="2">
        <f>IF('Modell einstellen'!$B$2="Ja",creep_res160!O15,creep_res160!C15)</f>
        <v>-6.2802862857142862E-4</v>
      </c>
      <c r="M15" s="9">
        <f t="shared" si="26"/>
        <v>-10</v>
      </c>
      <c r="N15" s="2">
        <f t="shared" si="4"/>
        <v>1E-3</v>
      </c>
      <c r="O15" s="2">
        <f t="shared" si="5"/>
        <v>24907.510939627879</v>
      </c>
      <c r="P15" s="2">
        <f t="shared" si="6"/>
        <v>23403.671664300084</v>
      </c>
      <c r="Q15" s="2">
        <f t="shared" si="7"/>
        <v>22419.614759531887</v>
      </c>
      <c r="R15" s="2">
        <f t="shared" si="27"/>
        <v>21613.94808589037</v>
      </c>
      <c r="S15" s="2">
        <f t="shared" si="8"/>
        <v>20596.183967280733</v>
      </c>
      <c r="T15" s="2">
        <f t="shared" si="9"/>
        <v>18493.939192667691</v>
      </c>
      <c r="U15" s="2">
        <f t="shared" si="10"/>
        <v>15922.841006065146</v>
      </c>
      <c r="Z15" s="2">
        <v>1E-3</v>
      </c>
      <c r="AA15" s="3">
        <f>IF('Modell einstellen'!$B$2="Ja",'creep_res-40'!P15,'creep_res-40'!L15)</f>
        <v>0.40667803957849036</v>
      </c>
      <c r="AB15" s="2">
        <f>IF('Modell einstellen'!$B$2="Ja",creep_res0!P15,creep_res0!L15)</f>
        <v>0.41867837941529656</v>
      </c>
      <c r="AC15" s="2">
        <f>IF('Modell einstellen'!$B$2="Ja",creep_res25!P15,creep_res25!L15)</f>
        <v>0.42731184885992224</v>
      </c>
      <c r="AD15" s="2">
        <f>IF('Modell einstellen'!$B$2="Ja",creep_res50!P15,creep_res50!L15)</f>
        <v>0.43433066882756743</v>
      </c>
      <c r="AE15" s="2">
        <f>IF('Modell einstellen'!$B$2="Ja",creep_res80!P15,creep_res80!L15)</f>
        <v>0.44387750538454862</v>
      </c>
      <c r="AF15" s="2">
        <f>IF('Modell einstellen'!$B$2="Ja",creep_res125!P15,creep_res125!L15)</f>
        <v>0.46801799238356173</v>
      </c>
      <c r="AG15" s="2">
        <f>IF('Modell einstellen'!$B$2="Ja",creep_res160!P15,creep_res160!L15)</f>
        <v>0.50669351651940164</v>
      </c>
      <c r="AL15" s="2">
        <f t="shared" si="11"/>
        <v>1E-3</v>
      </c>
      <c r="AM15" s="2">
        <f t="shared" si="12"/>
        <v>8853.3090866661241</v>
      </c>
      <c r="AN15" s="2">
        <f t="shared" si="13"/>
        <v>8248.4064055257641</v>
      </c>
      <c r="AO15" s="2">
        <f t="shared" si="14"/>
        <v>7853.7898979258625</v>
      </c>
      <c r="AP15" s="2">
        <f t="shared" si="15"/>
        <v>7534.5067060295696</v>
      </c>
      <c r="AQ15" s="2">
        <f t="shared" si="16"/>
        <v>7132.2476769922887</v>
      </c>
      <c r="AR15" s="2">
        <f t="shared" si="17"/>
        <v>6298.9484082003064</v>
      </c>
      <c r="AS15" s="2">
        <f t="shared" si="18"/>
        <v>5284.0344872686346</v>
      </c>
      <c r="AX15" s="2">
        <f t="shared" si="28"/>
        <v>1E-3</v>
      </c>
      <c r="AY15" s="37">
        <f t="shared" si="19"/>
        <v>44483.118491309542</v>
      </c>
      <c r="AZ15" s="37">
        <f t="shared" si="20"/>
        <v>47965.25101202567</v>
      </c>
      <c r="BA15" s="37">
        <f t="shared" si="21"/>
        <v>51405.936198888216</v>
      </c>
      <c r="BB15" s="37">
        <f t="shared" si="22"/>
        <v>54855.510428800502</v>
      </c>
      <c r="BC15" s="37">
        <f t="shared" si="23"/>
        <v>61164.375379262776</v>
      </c>
      <c r="BD15" s="37">
        <f t="shared" si="24"/>
        <v>96376.788966608874</v>
      </c>
      <c r="BE15" s="37">
        <f t="shared" si="25"/>
        <v>-396474.23393248365</v>
      </c>
    </row>
    <row r="16" spans="1:308" x14ac:dyDescent="0.25">
      <c r="A16" s="2">
        <f>'creep_res-40'!A16</f>
        <v>0.01</v>
      </c>
      <c r="B16" s="3">
        <f>'creep_res-40'!O16</f>
        <v>-4.165129028571429E-4</v>
      </c>
      <c r="C16" s="2">
        <f>IF('Modell einstellen'!$B$2="Ja",creep_res0!O16,creep_res0!C16)</f>
        <v>-4.4168786857142855E-4</v>
      </c>
      <c r="D16" s="2">
        <f>IF('Modell einstellen'!$B$2="Ja",creep_res25!O16,creep_res25!C16)</f>
        <v>-4.5998946857142857E-4</v>
      </c>
      <c r="E16" s="2">
        <f>IF('Modell einstellen'!$B$2="Ja",creep_res50!O16,creep_res50!C16)</f>
        <v>-4.775777771428572E-4</v>
      </c>
      <c r="F16" s="2">
        <f>IF('Modell einstellen'!$B$2="Ja",creep_res80!O16,creep_res80!C16)</f>
        <v>-5.0266556571428576E-4</v>
      </c>
      <c r="G16" s="2">
        <f>IF('Modell einstellen'!$B$2="Ja",creep_res125!O16,creep_res125!C16)</f>
        <v>-5.6753465714285724E-4</v>
      </c>
      <c r="H16" s="2">
        <f>IF('Modell einstellen'!$B$2="Ja",creep_res160!O16,creep_res160!C16)</f>
        <v>-6.7961274285714289E-4</v>
      </c>
      <c r="M16" s="9">
        <f t="shared" si="26"/>
        <v>-10</v>
      </c>
      <c r="N16" s="2">
        <f t="shared" si="4"/>
        <v>0.01</v>
      </c>
      <c r="O16" s="2">
        <f t="shared" si="5"/>
        <v>24008.860065086232</v>
      </c>
      <c r="P16" s="2">
        <f t="shared" si="6"/>
        <v>22640.42259603702</v>
      </c>
      <c r="Q16" s="2">
        <f t="shared" si="7"/>
        <v>21739.628150741388</v>
      </c>
      <c r="R16" s="2">
        <f t="shared" si="27"/>
        <v>20938.997747813366</v>
      </c>
      <c r="S16" s="2">
        <f t="shared" si="8"/>
        <v>19893.942776426389</v>
      </c>
      <c r="T16" s="2">
        <f t="shared" si="9"/>
        <v>17620.069319366423</v>
      </c>
      <c r="U16" s="2">
        <f t="shared" si="10"/>
        <v>14714.26206336163</v>
      </c>
      <c r="Z16" s="2">
        <v>0.01</v>
      </c>
      <c r="AA16" s="3">
        <f>IF('Modell einstellen'!$B$2="Ja",'creep_res-40'!P16,'creep_res-40'!L16)</f>
        <v>0.41563098618052757</v>
      </c>
      <c r="AB16" s="2">
        <f>IF('Modell einstellen'!$B$2="Ja",creep_res0!P16,creep_res0!L16)</f>
        <v>0.42709586628964896</v>
      </c>
      <c r="AC16" s="2">
        <f>IF('Modell einstellen'!$B$2="Ja",creep_res25!P16,creep_res25!L16)</f>
        <v>0.43528985390311487</v>
      </c>
      <c r="AD16" s="2">
        <f>IF('Modell einstellen'!$B$2="Ja",creep_res50!P16,creep_res50!L16)</f>
        <v>0.44270315473281591</v>
      </c>
      <c r="AE16" s="2">
        <f>IF('Modell einstellen'!$B$2="Ja",creep_res80!P16,creep_res80!L16)</f>
        <v>0.45322884034206029</v>
      </c>
      <c r="AF16" s="2">
        <f>IF('Modell einstellen'!$B$2="Ja",creep_res125!P16,creep_res125!L16)</f>
        <v>0.48175339625577546</v>
      </c>
      <c r="AG16" s="2">
        <f>IF('Modell einstellen'!$B$2="Ja",creep_res160!P16,creep_res160!L16)</f>
        <v>0.53005612524039958</v>
      </c>
      <c r="AL16" s="2">
        <f t="shared" si="11"/>
        <v>0.01</v>
      </c>
      <c r="AM16" s="2">
        <f t="shared" si="12"/>
        <v>8479.914716286281</v>
      </c>
      <c r="AN16" s="2">
        <f t="shared" si="13"/>
        <v>7932.3411730217404</v>
      </c>
      <c r="AO16" s="2">
        <f t="shared" si="14"/>
        <v>7573.2536155058961</v>
      </c>
      <c r="AP16" s="2">
        <f t="shared" si="15"/>
        <v>7256.8628130889483</v>
      </c>
      <c r="AQ16" s="2">
        <f t="shared" si="16"/>
        <v>6844.7384968439528</v>
      </c>
      <c r="AR16" s="2">
        <f t="shared" si="17"/>
        <v>5945.6821100901007</v>
      </c>
      <c r="AS16" s="2">
        <f t="shared" si="18"/>
        <v>4808.4059861038604</v>
      </c>
      <c r="AX16" s="2">
        <f t="shared" si="28"/>
        <v>0.01</v>
      </c>
      <c r="AY16" s="37">
        <f t="shared" si="19"/>
        <v>47428.273679676793</v>
      </c>
      <c r="AZ16" s="37">
        <f t="shared" si="20"/>
        <v>51758.433630086693</v>
      </c>
      <c r="BA16" s="37">
        <f t="shared" si="21"/>
        <v>55992.32233276176</v>
      </c>
      <c r="BB16" s="37">
        <f t="shared" si="22"/>
        <v>60907.942517520132</v>
      </c>
      <c r="BC16" s="37">
        <f t="shared" si="23"/>
        <v>70891.060936983718</v>
      </c>
      <c r="BD16" s="37">
        <f t="shared" si="24"/>
        <v>160943.82609826379</v>
      </c>
      <c r="BE16" s="37">
        <f t="shared" si="25"/>
        <v>-81593.252321957276</v>
      </c>
    </row>
    <row r="17" spans="1:57" x14ac:dyDescent="0.25">
      <c r="A17" s="2">
        <f>'creep_res-40'!A17</f>
        <v>0.1</v>
      </c>
      <c r="B17" s="3">
        <f>'creep_res-40'!O17</f>
        <v>-4.3171997714285714E-4</v>
      </c>
      <c r="C17" s="2">
        <f>IF('Modell einstellen'!$B$2="Ja",creep_res0!O17,creep_res0!C17)</f>
        <v>-4.5537212571428577E-4</v>
      </c>
      <c r="D17" s="2">
        <f>IF('Modell einstellen'!$B$2="Ja",creep_res25!O17,creep_res25!C17)</f>
        <v>-4.7481256571428577E-4</v>
      </c>
      <c r="E17" s="2">
        <f>IF('Modell einstellen'!$B$2="Ja",creep_res50!O17,creep_res50!C17)</f>
        <v>-4.940049657142857E-4</v>
      </c>
      <c r="F17" s="2">
        <f>IF('Modell einstellen'!$B$2="Ja",creep_res80!O17,creep_res80!C17)</f>
        <v>-5.2012852571428571E-4</v>
      </c>
      <c r="G17" s="2">
        <f>IF('Modell einstellen'!$B$2="Ja",creep_res125!O17,creep_res125!C17)</f>
        <v>-6.0179708571428576E-4</v>
      </c>
      <c r="H17" s="2">
        <f>IF('Modell einstellen'!$B$2="Ja",creep_res160!O17,creep_res160!C17)</f>
        <v>-7.6706560000000014E-4</v>
      </c>
      <c r="M17" s="9">
        <f t="shared" si="26"/>
        <v>-10</v>
      </c>
      <c r="N17" s="2">
        <f t="shared" si="4"/>
        <v>0.1</v>
      </c>
      <c r="O17" s="2">
        <f t="shared" si="5"/>
        <v>23163.16253461437</v>
      </c>
      <c r="P17" s="2">
        <f t="shared" si="6"/>
        <v>21960.061750187804</v>
      </c>
      <c r="Q17" s="2">
        <f t="shared" si="7"/>
        <v>21060.942195066949</v>
      </c>
      <c r="R17" s="2">
        <f t="shared" si="27"/>
        <v>20242.711498943983</v>
      </c>
      <c r="S17" s="2">
        <f t="shared" si="8"/>
        <v>19226.017235388372</v>
      </c>
      <c r="T17" s="2">
        <f t="shared" si="9"/>
        <v>16616.896687245979</v>
      </c>
      <c r="U17" s="2">
        <f t="shared" si="10"/>
        <v>13036.6946451516</v>
      </c>
      <c r="Z17" s="2">
        <v>0.1</v>
      </c>
      <c r="AA17" s="3">
        <f>IF('Modell einstellen'!$B$2="Ja",'creep_res-40'!P17,'creep_res-40'!L17)</f>
        <v>0.42473000620666873</v>
      </c>
      <c r="AB17" s="2">
        <f>IF('Modell einstellen'!$B$2="Ja",creep_res0!P17,creep_res0!L17)</f>
        <v>0.43505074568715052</v>
      </c>
      <c r="AC17" s="2">
        <f>IF('Modell einstellen'!$B$2="Ja",creep_res25!P17,creep_res25!L17)</f>
        <v>0.44374435198182682</v>
      </c>
      <c r="AD17" s="2">
        <f>IF('Modell einstellen'!$B$2="Ja",creep_res50!P17,creep_res50!L17)</f>
        <v>0.45184611157581306</v>
      </c>
      <c r="AE17" s="2">
        <f>IF('Modell einstellen'!$B$2="Ja",creep_res80!P17,creep_res80!L17)</f>
        <v>0.46258186383207356</v>
      </c>
      <c r="AF17" s="2">
        <f>IF('Modell einstellen'!$B$2="Ja",creep_res125!P17,creep_res125!L17)</f>
        <v>0.49743794989654311</v>
      </c>
      <c r="AG17" s="2">
        <f>IF('Modell einstellen'!$B$2="Ja",creep_res160!P17,creep_res160!L17)</f>
        <v>0.55919986131936705</v>
      </c>
      <c r="AL17" s="2">
        <f t="shared" si="11"/>
        <v>0.1</v>
      </c>
      <c r="AM17" s="2">
        <f t="shared" si="12"/>
        <v>8128.965640404419</v>
      </c>
      <c r="AN17" s="2">
        <f t="shared" si="13"/>
        <v>7651.3188875674869</v>
      </c>
      <c r="AO17" s="2">
        <f t="shared" si="14"/>
        <v>7293.8613287583112</v>
      </c>
      <c r="AP17" s="2">
        <f t="shared" si="15"/>
        <v>6971.3695334324493</v>
      </c>
      <c r="AQ17" s="2">
        <f t="shared" si="16"/>
        <v>6572.6294407257219</v>
      </c>
      <c r="AR17" s="2">
        <f t="shared" si="17"/>
        <v>5548.4424875147679</v>
      </c>
      <c r="AS17" s="2">
        <f t="shared" si="18"/>
        <v>4180.5720256158129</v>
      </c>
      <c r="AX17" s="2">
        <f t="shared" si="28"/>
        <v>0.1</v>
      </c>
      <c r="AY17" s="37">
        <f t="shared" si="19"/>
        <v>51289.058156457933</v>
      </c>
      <c r="AZ17" s="37">
        <f t="shared" si="20"/>
        <v>56351.844688906232</v>
      </c>
      <c r="BA17" s="37">
        <f t="shared" si="21"/>
        <v>62396.526503031571</v>
      </c>
      <c r="BB17" s="37">
        <f t="shared" si="22"/>
        <v>70062.571481338528</v>
      </c>
      <c r="BC17" s="37">
        <f t="shared" si="23"/>
        <v>85635.911727872503</v>
      </c>
      <c r="BD17" s="37">
        <f t="shared" si="24"/>
        <v>1080963.5523797481</v>
      </c>
      <c r="BE17" s="37">
        <f t="shared" si="25"/>
        <v>-36702.49207404445</v>
      </c>
    </row>
    <row r="18" spans="1:57" x14ac:dyDescent="0.25">
      <c r="A18" s="2">
        <f>'creep_res-40'!A18</f>
        <v>1</v>
      </c>
      <c r="B18" s="3">
        <f>'creep_res-40'!O18</f>
        <v>-4.4481564000000003E-4</v>
      </c>
      <c r="C18" s="2">
        <f>IF('Modell einstellen'!$B$2="Ja",creep_res0!O18,creep_res0!C18)</f>
        <v>-4.7008845714285722E-4</v>
      </c>
      <c r="D18" s="2">
        <f>IF('Modell einstellen'!$B$2="Ja",creep_res25!O18,creep_res25!C18)</f>
        <v>-4.9127769714285715E-4</v>
      </c>
      <c r="E18" s="2">
        <f>IF('Modell einstellen'!$B$2="Ja",creep_res50!O18,creep_res50!C18)</f>
        <v>-5.1156064000000003E-4</v>
      </c>
      <c r="F18" s="2">
        <f>IF('Modell einstellen'!$B$2="Ja",creep_res80!O18,creep_res80!C18)</f>
        <v>-5.4532661142857146E-4</v>
      </c>
      <c r="G18" s="2">
        <f>IF('Modell einstellen'!$B$2="Ja",creep_res125!O18,creep_res125!C18)</f>
        <v>-6.6458657142857145E-4</v>
      </c>
      <c r="H18" s="2">
        <f>IF('Modell einstellen'!$B$2="Ja",creep_res160!O18,creep_res160!C18)</f>
        <v>-9.6394508571428573E-4</v>
      </c>
      <c r="M18" s="9">
        <f t="shared" si="26"/>
        <v>-10</v>
      </c>
      <c r="N18" s="2">
        <f t="shared" si="4"/>
        <v>1</v>
      </c>
      <c r="O18" s="2">
        <f t="shared" si="5"/>
        <v>22481.223906605439</v>
      </c>
      <c r="P18" s="2">
        <f t="shared" si="6"/>
        <v>21272.592100599177</v>
      </c>
      <c r="Q18" s="2">
        <f t="shared" si="7"/>
        <v>20355.086457531841</v>
      </c>
      <c r="R18" s="2">
        <f t="shared" si="27"/>
        <v>19548.024648651623</v>
      </c>
      <c r="S18" s="2">
        <f t="shared" si="8"/>
        <v>18337.634346879531</v>
      </c>
      <c r="T18" s="2">
        <f t="shared" si="9"/>
        <v>15046.948629287466</v>
      </c>
      <c r="U18" s="2">
        <f t="shared" si="10"/>
        <v>10374.034940579602</v>
      </c>
      <c r="Z18" s="2">
        <v>1</v>
      </c>
      <c r="AA18" s="3">
        <f>IF('Modell einstellen'!$B$2="Ja",'creep_res-40'!P18,'creep_res-40'!L18)</f>
        <v>0.43256490326130231</v>
      </c>
      <c r="AB18" s="2">
        <f>IF('Modell einstellen'!$B$2="Ja",creep_res0!P18,creep_res0!L18)</f>
        <v>0.4435768562950097</v>
      </c>
      <c r="AC18" s="2">
        <f>IF('Modell einstellen'!$B$2="Ja",creep_res25!P18,creep_res25!L18)</f>
        <v>0.4530258865404922</v>
      </c>
      <c r="AD18" s="2">
        <f>IF('Modell einstellen'!$B$2="Ja",creep_res50!P18,creep_res50!L18)</f>
        <v>0.46131037089059196</v>
      </c>
      <c r="AE18" s="2">
        <f>IF('Modell einstellen'!$B$2="Ja",creep_res80!P18,creep_res80!L18)</f>
        <v>0.47432273798443014</v>
      </c>
      <c r="AF18" s="2">
        <f>IF('Modell einstellen'!$B$2="Ja",creep_res125!P18,creep_res125!L18)</f>
        <v>0.51259192288395838</v>
      </c>
      <c r="AG18" s="2">
        <f>IF('Modell einstellen'!$B$2="Ja",creep_res160!P18,creep_res160!L18)</f>
        <v>0.57900237233431018</v>
      </c>
      <c r="AL18" s="2">
        <f t="shared" si="11"/>
        <v>1</v>
      </c>
      <c r="AM18" s="2">
        <f t="shared" si="12"/>
        <v>7846.4940246078413</v>
      </c>
      <c r="AN18" s="2">
        <f t="shared" si="13"/>
        <v>7368.015082756323</v>
      </c>
      <c r="AO18" s="2">
        <f t="shared" si="14"/>
        <v>7004.3784649959834</v>
      </c>
      <c r="AP18" s="2">
        <f t="shared" si="15"/>
        <v>6688.5259415281262</v>
      </c>
      <c r="AQ18" s="2">
        <f t="shared" si="16"/>
        <v>6219.0027578185491</v>
      </c>
      <c r="AR18" s="2">
        <f t="shared" si="17"/>
        <v>4973.8956031837224</v>
      </c>
      <c r="AS18" s="2">
        <f t="shared" si="18"/>
        <v>3284.9966289927738</v>
      </c>
      <c r="AX18" s="2">
        <f t="shared" si="28"/>
        <v>1</v>
      </c>
      <c r="AY18" s="37">
        <f t="shared" si="19"/>
        <v>55562.619945805782</v>
      </c>
      <c r="AZ18" s="37">
        <f t="shared" si="20"/>
        <v>62836.484888256178</v>
      </c>
      <c r="BA18" s="37">
        <f t="shared" si="21"/>
        <v>72220.935313936774</v>
      </c>
      <c r="BB18" s="37">
        <f t="shared" si="22"/>
        <v>84208.71905738597</v>
      </c>
      <c r="BC18" s="37">
        <f t="shared" si="23"/>
        <v>119026.41291323678</v>
      </c>
      <c r="BD18" s="37">
        <f t="shared" si="24"/>
        <v>-199161.38263066887</v>
      </c>
      <c r="BE18" s="37">
        <f t="shared" si="25"/>
        <v>-21885.492452218914</v>
      </c>
    </row>
    <row r="19" spans="1:57" x14ac:dyDescent="0.25">
      <c r="A19" s="2">
        <f>'creep_res-40'!A19</f>
        <v>10</v>
      </c>
      <c r="B19" s="3">
        <f>'creep_res-40'!O19</f>
        <v>-4.5926486857142857E-4</v>
      </c>
      <c r="C19" s="2">
        <f>IF('Modell einstellen'!$B$2="Ja",creep_res0!O19,creep_res0!C19)</f>
        <v>-4.8622577714285719E-4</v>
      </c>
      <c r="D19" s="2">
        <f>IF('Modell einstellen'!$B$2="Ja",creep_res25!O19,creep_res25!C19)</f>
        <v>-5.0905381142857145E-4</v>
      </c>
      <c r="E19" s="2">
        <f>IF('Modell einstellen'!$B$2="Ja",creep_res50!O19,creep_res50!C19)</f>
        <v>-5.3645994857142863E-4</v>
      </c>
      <c r="F19" s="2">
        <f>IF('Modell einstellen'!$B$2="Ja",creep_res80!O19,creep_res80!C19)</f>
        <v>-5.9216714285714289E-4</v>
      </c>
      <c r="G19" s="2">
        <f>IF('Modell einstellen'!$B$2="Ja",creep_res125!O19,creep_res125!C19)</f>
        <v>-8.1709234285714302E-4</v>
      </c>
      <c r="H19" s="2">
        <f>IF('Modell einstellen'!$B$2="Ja",creep_res160!O19,creep_res160!C19)</f>
        <v>-1.4137288571428573E-3</v>
      </c>
      <c r="M19" s="9">
        <f t="shared" si="26"/>
        <v>-10</v>
      </c>
      <c r="N19" s="2">
        <f t="shared" si="4"/>
        <v>10</v>
      </c>
      <c r="O19" s="2">
        <f t="shared" si="5"/>
        <v>21773.927605448269</v>
      </c>
      <c r="P19" s="2">
        <f t="shared" si="6"/>
        <v>20566.577236529185</v>
      </c>
      <c r="Q19" s="2">
        <f t="shared" si="7"/>
        <v>19644.288630187701</v>
      </c>
      <c r="R19" s="2">
        <f t="shared" si="27"/>
        <v>18640.720573138031</v>
      </c>
      <c r="S19" s="2">
        <f t="shared" si="8"/>
        <v>16887.124050400827</v>
      </c>
      <c r="T19" s="2">
        <f t="shared" si="9"/>
        <v>12238.518800742644</v>
      </c>
      <c r="U19" s="2">
        <f t="shared" si="10"/>
        <v>7073.4921689368193</v>
      </c>
      <c r="Z19" s="2">
        <v>10</v>
      </c>
      <c r="AA19" s="3">
        <f>IF('Modell einstellen'!$B$2="Ja",'creep_res-40'!P19,'creep_res-40'!L19)</f>
        <v>0.44115019988714382</v>
      </c>
      <c r="AB19" s="2">
        <f>IF('Modell einstellen'!$B$2="Ja",creep_res0!P19,creep_res0!L19)</f>
        <v>0.45279723137673222</v>
      </c>
      <c r="AC19" s="2">
        <f>IF('Modell einstellen'!$B$2="Ja",creep_res25!P19,creep_res25!L19)</f>
        <v>0.4624712423049252</v>
      </c>
      <c r="AD19" s="2">
        <f>IF('Modell einstellen'!$B$2="Ja",creep_res50!P19,creep_res50!L19)</f>
        <v>0.47174583907960166</v>
      </c>
      <c r="AE19" s="2">
        <f>IF('Modell einstellen'!$B$2="Ja",creep_res80!P19,creep_res80!L19)</f>
        <v>0.48376578041431351</v>
      </c>
      <c r="AF19" s="2">
        <f>IF('Modell einstellen'!$B$2="Ja",creep_res125!P19,creep_res125!L19)</f>
        <v>0.51403616838971011</v>
      </c>
      <c r="AG19" s="2">
        <f>IF('Modell einstellen'!$B$2="Ja",creep_res160!P19,creep_res160!L19)</f>
        <v>0.57518061151754496</v>
      </c>
      <c r="AL19" s="2">
        <f t="shared" si="11"/>
        <v>10</v>
      </c>
      <c r="AM19" s="2">
        <f t="shared" si="12"/>
        <v>7554.3574872186746</v>
      </c>
      <c r="AN19" s="2">
        <f t="shared" si="13"/>
        <v>7078.2683200185556</v>
      </c>
      <c r="AO19" s="2">
        <f t="shared" si="14"/>
        <v>6716.1281746734903</v>
      </c>
      <c r="AP19" s="2">
        <f t="shared" si="15"/>
        <v>6332.8599538611707</v>
      </c>
      <c r="AQ19" s="2">
        <f t="shared" si="16"/>
        <v>5690.6299745251627</v>
      </c>
      <c r="AR19" s="2">
        <f t="shared" si="17"/>
        <v>4041.6864062630743</v>
      </c>
      <c r="AS19" s="2">
        <f t="shared" si="18"/>
        <v>2245.2955925232422</v>
      </c>
      <c r="AX19" s="2">
        <f t="shared" si="28"/>
        <v>10</v>
      </c>
      <c r="AY19" s="37">
        <f t="shared" si="19"/>
        <v>61665.255060885051</v>
      </c>
      <c r="AZ19" s="37">
        <f t="shared" si="20"/>
        <v>72617.835197599168</v>
      </c>
      <c r="BA19" s="37">
        <f t="shared" si="21"/>
        <v>87241.046762945829</v>
      </c>
      <c r="BB19" s="37">
        <f t="shared" si="22"/>
        <v>109958.55693405851</v>
      </c>
      <c r="BC19" s="37">
        <f t="shared" si="23"/>
        <v>173369.63198085185</v>
      </c>
      <c r="BD19" s="37">
        <f t="shared" si="24"/>
        <v>-145321.22134929974</v>
      </c>
      <c r="BE19" s="37">
        <f t="shared" si="25"/>
        <v>-15681.108968026225</v>
      </c>
    </row>
    <row r="20" spans="1:57" x14ac:dyDescent="0.25">
      <c r="A20" s="2">
        <f>'creep_res-40'!A20</f>
        <v>100</v>
      </c>
      <c r="B20" s="3">
        <f>'creep_res-40'!O20</f>
        <v>-4.7422432E-4</v>
      </c>
      <c r="C20" s="2">
        <f>IF('Modell einstellen'!$B$2="Ja",creep_res0!O20,creep_res0!C20)</f>
        <v>-5.042617714285714E-4</v>
      </c>
      <c r="D20" s="2">
        <f>IF('Modell einstellen'!$B$2="Ja",creep_res25!O20,creep_res25!C20)</f>
        <v>-5.3754890285714289E-4</v>
      </c>
      <c r="E20" s="2">
        <f>IF('Modell einstellen'!$B$2="Ja",creep_res50!O20,creep_res50!C20)</f>
        <v>-5.9246891428571438E-4</v>
      </c>
      <c r="F20" s="2">
        <f>IF('Modell einstellen'!$B$2="Ja",creep_res80!O20,creep_res80!C20)</f>
        <v>-7.0827571428571431E-4</v>
      </c>
      <c r="G20" s="2">
        <f>IF('Modell einstellen'!$B$2="Ja",creep_res125!O20,creep_res125!C20)</f>
        <v>-1.1108585142857144E-3</v>
      </c>
      <c r="H20" s="2">
        <f>IF('Modell einstellen'!$B$2="Ja",creep_res160!O20,creep_res160!C20)</f>
        <v>-2.2145592571428574E-3</v>
      </c>
      <c r="M20" s="9">
        <f t="shared" si="26"/>
        <v>-10</v>
      </c>
      <c r="N20" s="2">
        <f t="shared" si="4"/>
        <v>100</v>
      </c>
      <c r="O20" s="2">
        <f t="shared" si="5"/>
        <v>21087.066981296954</v>
      </c>
      <c r="P20" s="2">
        <f t="shared" si="6"/>
        <v>19830.969878343232</v>
      </c>
      <c r="Q20" s="2">
        <f t="shared" si="7"/>
        <v>18602.958627296397</v>
      </c>
      <c r="R20" s="2">
        <f t="shared" si="27"/>
        <v>16878.522668241734</v>
      </c>
      <c r="S20" s="2">
        <f t="shared" si="8"/>
        <v>14118.795545721701</v>
      </c>
      <c r="T20" s="2">
        <f t="shared" si="9"/>
        <v>9002.0464995310685</v>
      </c>
      <c r="U20" s="2">
        <f t="shared" si="10"/>
        <v>4515.5711989850433</v>
      </c>
      <c r="Z20" s="2">
        <v>100</v>
      </c>
      <c r="AA20" s="3">
        <f>IF('Modell einstellen'!$B$2="Ja",'creep_res-40'!P20,'creep_res-40'!L20)</f>
        <v>0.44998771889219014</v>
      </c>
      <c r="AB20" s="2">
        <f>IF('Modell einstellen'!$B$2="Ja",creep_res0!P20,creep_res0!L20)</f>
        <v>0.46229901453678091</v>
      </c>
      <c r="AC20" s="2">
        <f>IF('Modell einstellen'!$B$2="Ja",creep_res25!P20,creep_res25!L20)</f>
        <v>0.472339547834149</v>
      </c>
      <c r="AD20" s="2">
        <f>IF('Modell einstellen'!$B$2="Ja",creep_res50!P20,creep_res50!L20)</f>
        <v>0.4785455651633464</v>
      </c>
      <c r="AE20" s="2">
        <f>IF('Modell einstellen'!$B$2="Ja",creep_res80!P20,creep_res80!L20)</f>
        <v>0.48198605466394245</v>
      </c>
      <c r="AF20" s="2">
        <f>IF('Modell einstellen'!$B$2="Ja",creep_res125!P20,creep_res125!L20)</f>
        <v>0.5014770094934039</v>
      </c>
      <c r="AG20" s="2">
        <f>IF('Modell einstellen'!$B$2="Ja",creep_res160!P20,creep_res160!L20)</f>
        <v>0.55170193555701907</v>
      </c>
      <c r="AL20" s="2">
        <f t="shared" si="11"/>
        <v>100</v>
      </c>
      <c r="AM20" s="2">
        <f t="shared" si="12"/>
        <v>7271.4639946770558</v>
      </c>
      <c r="AN20" s="2">
        <f t="shared" si="13"/>
        <v>6780.7506129740432</v>
      </c>
      <c r="AO20" s="2">
        <f t="shared" si="14"/>
        <v>6317.4824905918776</v>
      </c>
      <c r="AP20" s="2">
        <f t="shared" si="15"/>
        <v>5707.8128215740962</v>
      </c>
      <c r="AQ20" s="2">
        <f t="shared" si="16"/>
        <v>4763.4711208275512</v>
      </c>
      <c r="AR20" s="2">
        <f t="shared" si="17"/>
        <v>2997.7303823547541</v>
      </c>
      <c r="AS20" s="2">
        <f t="shared" si="18"/>
        <v>1455.0382053123094</v>
      </c>
      <c r="AX20" s="2">
        <f t="shared" si="28"/>
        <v>100</v>
      </c>
      <c r="AY20" s="37">
        <f t="shared" si="19"/>
        <v>70272.962674375391</v>
      </c>
      <c r="AZ20" s="37">
        <f t="shared" si="20"/>
        <v>87667.778594674644</v>
      </c>
      <c r="BA20" s="37">
        <f t="shared" si="21"/>
        <v>112091.19380836448</v>
      </c>
      <c r="BB20" s="37">
        <f t="shared" si="22"/>
        <v>131119.14309519043</v>
      </c>
      <c r="BC20" s="37">
        <f t="shared" si="23"/>
        <v>130628.38523460364</v>
      </c>
      <c r="BD20" s="37">
        <f t="shared" si="24"/>
        <v>-1015796.5063565745</v>
      </c>
      <c r="BE20" s="37">
        <f t="shared" si="25"/>
        <v>-14556.422147887421</v>
      </c>
    </row>
    <row r="21" spans="1:57" x14ac:dyDescent="0.25">
      <c r="A21" s="2">
        <f>'creep_res-40'!A21</f>
        <v>1000</v>
      </c>
      <c r="B21" s="3">
        <f>'creep_res-40'!O21</f>
        <v>-4.9147261714285718E-4</v>
      </c>
      <c r="C21" s="2">
        <f>IF('Modell einstellen'!$B$2="Ja",creep_res0!O21,creep_res0!C21)</f>
        <v>-5.3436528571428575E-4</v>
      </c>
      <c r="D21" s="2">
        <f>IF('Modell einstellen'!$B$2="Ja",creep_res25!O21,creep_res25!C21)</f>
        <v>-6.0763388571428577E-4</v>
      </c>
      <c r="E21" s="2">
        <f>IF('Modell einstellen'!$B$2="Ja",creep_res50!O21,creep_res50!C21)</f>
        <v>-7.2165205714285711E-4</v>
      </c>
      <c r="F21" s="2">
        <f>IF('Modell einstellen'!$B$2="Ja",creep_res80!O21,creep_res80!C21)</f>
        <v>-9.0756428571428581E-4</v>
      </c>
      <c r="G21" s="2">
        <f>IF('Modell einstellen'!$B$2="Ja",creep_res125!O21,creep_res125!C21)</f>
        <v>-1.5874490285714285E-3</v>
      </c>
      <c r="H21" s="2">
        <f>IF('Modell einstellen'!$B$2="Ja",creep_res160!O21,creep_res160!C21)</f>
        <v>-3.505241085714286E-3</v>
      </c>
      <c r="M21" s="9">
        <f t="shared" si="26"/>
        <v>-10</v>
      </c>
      <c r="N21" s="2">
        <f t="shared" si="4"/>
        <v>1000</v>
      </c>
      <c r="O21" s="2">
        <f t="shared" si="5"/>
        <v>20347.013549064694</v>
      </c>
      <c r="P21" s="2">
        <f t="shared" si="6"/>
        <v>18713.790486283193</v>
      </c>
      <c r="Q21" s="2">
        <f t="shared" si="7"/>
        <v>16457.278363014269</v>
      </c>
      <c r="R21" s="2">
        <f t="shared" si="27"/>
        <v>13857.093458018669</v>
      </c>
      <c r="S21" s="2">
        <f t="shared" si="8"/>
        <v>11018.50321504183</v>
      </c>
      <c r="T21" s="2">
        <f t="shared" si="9"/>
        <v>6299.4148599524888</v>
      </c>
      <c r="U21" s="2">
        <f t="shared" si="10"/>
        <v>2852.8708170046552</v>
      </c>
      <c r="Z21" s="2">
        <v>1000</v>
      </c>
      <c r="AA21" s="3">
        <f>IF('Modell einstellen'!$B$2="Ja",'creep_res-40'!P21,'creep_res-40'!L21)</f>
        <v>0.45996262334999088</v>
      </c>
      <c r="AB21" s="2">
        <f>IF('Modell einstellen'!$B$2="Ja",creep_res0!P21,creep_res0!L21)</f>
        <v>0.47124506858203208</v>
      </c>
      <c r="AC21" s="2">
        <f>IF('Modell einstellen'!$B$2="Ja",creep_res25!P21,creep_res25!L21)</f>
        <v>0.47596586591192652</v>
      </c>
      <c r="AD21" s="2">
        <f>IF('Modell einstellen'!$B$2="Ja",creep_res50!P21,creep_res50!L21)</f>
        <v>0.47309247804501914</v>
      </c>
      <c r="AE21" s="2">
        <f>IF('Modell einstellen'!$B$2="Ja",creep_res80!P21,creep_res80!L21)</f>
        <v>0.4697575834848377</v>
      </c>
      <c r="AF21" s="2">
        <f>IF('Modell einstellen'!$B$2="Ja",creep_res125!P21,creep_res125!L21)</f>
        <v>0.48645453021159774</v>
      </c>
      <c r="AG21" s="2">
        <f>IF('Modell einstellen'!$B$2="Ja",creep_res160!P21,creep_res160!L21)</f>
        <v>0.51788170461933092</v>
      </c>
      <c r="AL21" s="2">
        <f t="shared" si="11"/>
        <v>1000</v>
      </c>
      <c r="AM21" s="2">
        <f t="shared" si="12"/>
        <v>6968.3337174677063</v>
      </c>
      <c r="AN21" s="2">
        <f t="shared" si="13"/>
        <v>6359.8481605512916</v>
      </c>
      <c r="AO21" s="2">
        <f t="shared" si="14"/>
        <v>5575.0877249610812</v>
      </c>
      <c r="AP21" s="2">
        <f t="shared" si="15"/>
        <v>4703.4024219609055</v>
      </c>
      <c r="AQ21" s="2">
        <f t="shared" si="16"/>
        <v>3748.4083561986595</v>
      </c>
      <c r="AR21" s="2">
        <f t="shared" si="17"/>
        <v>2118.9396419195423</v>
      </c>
      <c r="AS21" s="2">
        <f t="shared" si="18"/>
        <v>939.75400333325899</v>
      </c>
      <c r="AX21" s="2">
        <f t="shared" si="28"/>
        <v>1000</v>
      </c>
      <c r="AY21" s="37">
        <f t="shared" si="19"/>
        <v>84700.077991831757</v>
      </c>
      <c r="AZ21" s="37">
        <f t="shared" si="20"/>
        <v>108467.1368438135</v>
      </c>
      <c r="BA21" s="37">
        <f t="shared" si="21"/>
        <v>114124.34153515651</v>
      </c>
      <c r="BB21" s="37">
        <f t="shared" si="22"/>
        <v>85831.596837512931</v>
      </c>
      <c r="BC21" s="37">
        <f t="shared" si="23"/>
        <v>60723.229626384789</v>
      </c>
      <c r="BD21" s="37">
        <f t="shared" si="24"/>
        <v>77509.491590884703</v>
      </c>
      <c r="BE21" s="37">
        <f t="shared" si="25"/>
        <v>-26590.220542328079</v>
      </c>
    </row>
    <row r="22" spans="1:57" x14ac:dyDescent="0.25">
      <c r="A22" s="2">
        <f>'creep_res-40'!A22</f>
        <v>10000</v>
      </c>
      <c r="B22" s="3">
        <f>'creep_res-40'!O22</f>
        <v>-5.1080495999999997E-4</v>
      </c>
      <c r="C22" s="2">
        <f>IF('Modell einstellen'!$B$2="Ja",creep_res0!O22,creep_res0!C22)</f>
        <v>-6.1334434285714289E-4</v>
      </c>
      <c r="D22" s="2">
        <f>IF('Modell einstellen'!$B$2="Ja",creep_res25!O22,creep_res25!C22)</f>
        <v>-7.5412742857142862E-4</v>
      </c>
      <c r="E22" s="2">
        <f>IF('Modell einstellen'!$B$2="Ja",creep_res50!O22,creep_res50!C22)</f>
        <v>-9.2102622857142874E-4</v>
      </c>
      <c r="F22" s="2">
        <f>IF('Modell einstellen'!$B$2="Ja",creep_res80!O22,creep_res80!C22)</f>
        <v>-1.1832574285714286E-3</v>
      </c>
      <c r="G22" s="2">
        <f>IF('Modell einstellen'!$B$2="Ja",creep_res125!O22,creep_res125!C22)</f>
        <v>-2.3751488000000004E-3</v>
      </c>
      <c r="H22" s="2">
        <f>IF('Modell einstellen'!$B$2="Ja",creep_res160!O22,creep_res160!C22)</f>
        <v>-5.0682833714285717E-3</v>
      </c>
      <c r="M22" s="9">
        <f t="shared" si="26"/>
        <v>-10</v>
      </c>
      <c r="N22" s="2">
        <f t="shared" si="4"/>
        <v>10000</v>
      </c>
      <c r="O22" s="2">
        <f t="shared" si="5"/>
        <v>19576.943810412493</v>
      </c>
      <c r="P22" s="2">
        <f t="shared" si="6"/>
        <v>16304.055163233405</v>
      </c>
      <c r="Q22" s="2">
        <f t="shared" si="7"/>
        <v>13260.358423699518</v>
      </c>
      <c r="R22" s="2">
        <f t="shared" si="27"/>
        <v>10857.454098251519</v>
      </c>
      <c r="S22" s="2">
        <f t="shared" si="8"/>
        <v>8451.2463294426198</v>
      </c>
      <c r="T22" s="2">
        <f t="shared" si="9"/>
        <v>4210.2625317622196</v>
      </c>
      <c r="U22" s="2">
        <f t="shared" si="10"/>
        <v>1973.0546354951243</v>
      </c>
      <c r="Z22" s="2">
        <v>10000</v>
      </c>
      <c r="AA22" s="3">
        <f>IF('Modell einstellen'!$B$2="Ja",'creep_res-40'!P22,'creep_res-40'!L22)</f>
        <v>0.46956680183483623</v>
      </c>
      <c r="AB22" s="2">
        <f>IF('Modell einstellen'!$B$2="Ja",creep_res0!P22,creep_res0!L22)</f>
        <v>0.47321110509258563</v>
      </c>
      <c r="AC22" s="2">
        <f>IF('Modell einstellen'!$B$2="Ja",creep_res25!P22,creep_res25!L22)</f>
        <v>0.467686355394276</v>
      </c>
      <c r="AD22" s="2">
        <f>IF('Modell einstellen'!$B$2="Ja",creep_res50!P22,creep_res50!L22)</f>
        <v>0.46064290770314031</v>
      </c>
      <c r="AE22" s="2">
        <f>IF('Modell einstellen'!$B$2="Ja",creep_res80!P22,creep_res80!L22)</f>
        <v>0.45717612952718178</v>
      </c>
      <c r="AF22" s="2">
        <f>IF('Modell einstellen'!$B$2="Ja",creep_res125!P22,creep_res125!L22)</f>
        <v>0.4701611476781099</v>
      </c>
      <c r="AG22" s="2">
        <f>IF('Modell einstellen'!$B$2="Ja",creep_res160!P22,creep_res160!L22)</f>
        <v>0.47758387260768681</v>
      </c>
      <c r="AL22" s="2">
        <f t="shared" si="11"/>
        <v>10000</v>
      </c>
      <c r="AM22" s="2">
        <f t="shared" si="12"/>
        <v>6660.7873102364538</v>
      </c>
      <c r="AN22" s="2">
        <f t="shared" si="13"/>
        <v>5533.5094566127227</v>
      </c>
      <c r="AO22" s="2">
        <f t="shared" si="14"/>
        <v>4517.4360226770941</v>
      </c>
      <c r="AP22" s="2">
        <f t="shared" si="15"/>
        <v>3716.6695709784594</v>
      </c>
      <c r="AQ22" s="2">
        <f t="shared" si="16"/>
        <v>2899.8712503562774</v>
      </c>
      <c r="AR22" s="2">
        <f t="shared" si="17"/>
        <v>1431.9051140793895</v>
      </c>
      <c r="AS22" s="2">
        <f t="shared" si="18"/>
        <v>667.66248335298053</v>
      </c>
      <c r="AX22" s="2">
        <f t="shared" si="28"/>
        <v>10000</v>
      </c>
      <c r="AY22" s="37">
        <f t="shared" si="19"/>
        <v>107212.65476912535</v>
      </c>
      <c r="AZ22" s="37">
        <f t="shared" si="20"/>
        <v>101435.40958285246</v>
      </c>
      <c r="BA22" s="37">
        <f t="shared" si="21"/>
        <v>68394.010154204807</v>
      </c>
      <c r="BB22" s="37">
        <f t="shared" si="22"/>
        <v>45978.388580965024</v>
      </c>
      <c r="BC22" s="37">
        <f t="shared" si="23"/>
        <v>32891.493444086351</v>
      </c>
      <c r="BD22" s="37">
        <f t="shared" si="24"/>
        <v>23516.669287095461</v>
      </c>
      <c r="BE22" s="37">
        <f t="shared" si="25"/>
        <v>14669.904104932601</v>
      </c>
    </row>
    <row r="23" spans="1:57" x14ac:dyDescent="0.25">
      <c r="A23" s="2">
        <f>'creep_res-40'!A23</f>
        <v>100000</v>
      </c>
      <c r="B23" s="3">
        <f>'creep_res-40'!O23</f>
        <v>-5.5237050285714281E-4</v>
      </c>
      <c r="C23" s="2">
        <f>IF('Modell einstellen'!$B$2="Ja",creep_res0!O23,creep_res0!C23)</f>
        <v>-7.6379371428571426E-4</v>
      </c>
      <c r="D23" s="2">
        <f>IF('Modell einstellen'!$B$2="Ja",creep_res25!O23,creep_res25!C23)</f>
        <v>-9.5998822857142866E-4</v>
      </c>
      <c r="E23" s="2">
        <f>IF('Modell einstellen'!$B$2="Ja",creep_res50!O23,creep_res50!C23)</f>
        <v>-1.1794936000000002E-3</v>
      </c>
      <c r="F23" s="2">
        <f>IF('Modell einstellen'!$B$2="Ja",creep_res80!O23,creep_res80!C23)</f>
        <v>-1.5661336571428574E-3</v>
      </c>
      <c r="G23" s="2">
        <f>IF('Modell einstellen'!$B$2="Ja",creep_res125!O23,creep_res125!C23)</f>
        <v>-3.5625850285714291E-3</v>
      </c>
      <c r="H23" s="2">
        <f>IF('Modell einstellen'!$B$2="Ja",creep_res160!O23,creep_res160!C23)</f>
        <v>-6.5951834285714293E-3</v>
      </c>
      <c r="M23" s="9">
        <f t="shared" si="26"/>
        <v>-10</v>
      </c>
      <c r="N23" s="2">
        <f t="shared" si="4"/>
        <v>100000</v>
      </c>
      <c r="O23" s="2">
        <f t="shared" si="5"/>
        <v>18103.790749641561</v>
      </c>
      <c r="P23" s="2">
        <f t="shared" si="6"/>
        <v>13092.540319413096</v>
      </c>
      <c r="Q23" s="2">
        <f t="shared" si="7"/>
        <v>10416.794396407478</v>
      </c>
      <c r="R23" s="2">
        <f t="shared" si="27"/>
        <v>8478.2147185877038</v>
      </c>
      <c r="S23" s="2">
        <f t="shared" si="8"/>
        <v>6385.151072127067</v>
      </c>
      <c r="T23" s="2">
        <f t="shared" si="9"/>
        <v>2806.9505484925726</v>
      </c>
      <c r="U23" s="2">
        <f t="shared" si="10"/>
        <v>1516.2580553375271</v>
      </c>
      <c r="Z23" s="2">
        <v>100000</v>
      </c>
      <c r="AA23" s="3">
        <f>IF('Modell einstellen'!$B$2="Ja",'creep_res-40'!P23,'creep_res-40'!L23)</f>
        <v>0.47903772414122292</v>
      </c>
      <c r="AB23" s="2">
        <f>IF('Modell einstellen'!$B$2="Ja",creep_res0!P23,creep_res0!L23)</f>
        <v>0.46375124472651186</v>
      </c>
      <c r="AC23" s="2">
        <f>IF('Modell einstellen'!$B$2="Ja",creep_res25!P23,creep_res25!L23)</f>
        <v>0.45518567072905775</v>
      </c>
      <c r="AD23" s="2">
        <f>IF('Modell einstellen'!$B$2="Ja",creep_res50!P23,creep_res50!L23)</f>
        <v>0.4489491858443076</v>
      </c>
      <c r="AE23" s="2">
        <f>IF('Modell einstellen'!$B$2="Ja",creep_res80!P23,creep_res80!L23)</f>
        <v>0.44594460629687532</v>
      </c>
      <c r="AF23" s="2">
        <f>IF('Modell einstellen'!$B$2="Ja",creep_res125!P23,creep_res125!L23)</f>
        <v>0.45011312652299118</v>
      </c>
      <c r="AG23" s="2">
        <f>IF('Modell einstellen'!$B$2="Ja",creep_res160!P23,creep_res160!L23)</f>
        <v>0.44478032496615921</v>
      </c>
      <c r="AL23" s="2">
        <f t="shared" si="11"/>
        <v>100000</v>
      </c>
      <c r="AM23" s="2">
        <f t="shared" si="12"/>
        <v>6120.1247453486039</v>
      </c>
      <c r="AN23" s="2">
        <f t="shared" si="13"/>
        <v>4472.2559132167689</v>
      </c>
      <c r="AO23" s="2">
        <f t="shared" si="14"/>
        <v>3579.1976948167016</v>
      </c>
      <c r="AP23" s="2">
        <f t="shared" si="15"/>
        <v>2925.6425281910142</v>
      </c>
      <c r="AQ23" s="2">
        <f t="shared" si="16"/>
        <v>2207.9514817928284</v>
      </c>
      <c r="AR23" s="2">
        <f t="shared" si="17"/>
        <v>967.83847313448518</v>
      </c>
      <c r="AS23" s="2">
        <f t="shared" si="18"/>
        <v>524.73653922891083</v>
      </c>
      <c r="AX23" s="2">
        <f t="shared" si="28"/>
        <v>100000</v>
      </c>
      <c r="AY23" s="37">
        <f t="shared" si="19"/>
        <v>143939.45001969935</v>
      </c>
      <c r="AZ23" s="37">
        <f t="shared" si="20"/>
        <v>60197.654699373015</v>
      </c>
      <c r="BA23" s="37">
        <f t="shared" si="21"/>
        <v>38740.564182156799</v>
      </c>
      <c r="BB23" s="37">
        <f t="shared" si="22"/>
        <v>27679.005904232457</v>
      </c>
      <c r="BC23" s="37">
        <f t="shared" si="23"/>
        <v>19687.06122462291</v>
      </c>
      <c r="BD23" s="37">
        <f t="shared" si="24"/>
        <v>9377.7192036505076</v>
      </c>
      <c r="BE23" s="37">
        <f t="shared" si="25"/>
        <v>4576.4426490144579</v>
      </c>
    </row>
    <row r="24" spans="1:57" x14ac:dyDescent="0.25">
      <c r="A24" s="2">
        <f>'creep_res-40'!A24</f>
        <v>1000000</v>
      </c>
      <c r="B24" s="3">
        <f>'creep_res-40'!O24</f>
        <v>-6.5347891428571428E-4</v>
      </c>
      <c r="C24" s="2">
        <f>IF('Modell einstellen'!$B$2="Ja",creep_res0!O24,creep_res0!C24)</f>
        <v>-9.6756845714285724E-4</v>
      </c>
      <c r="D24" s="2">
        <f>IF('Modell einstellen'!$B$2="Ja",creep_res25!O24,creep_res25!C24)</f>
        <v>-1.2203956E-3</v>
      </c>
      <c r="E24" s="2">
        <f>IF('Modell einstellen'!$B$2="Ja",creep_res50!O24,creep_res50!C24)</f>
        <v>-1.5301973142857145E-3</v>
      </c>
      <c r="F24" s="2">
        <f>IF('Modell einstellen'!$B$2="Ja",creep_res80!O24,creep_res80!C24)</f>
        <v>-2.1722050857142859E-3</v>
      </c>
      <c r="G24" s="2">
        <f>IF('Modell einstellen'!$B$2="Ja",creep_res125!O24,creep_res125!C24)</f>
        <v>-5.1735060571428577E-3</v>
      </c>
      <c r="H24" s="2">
        <f>IF('Modell einstellen'!$B$2="Ja",creep_res160!O24,creep_res160!C24)</f>
        <v>-7.6842982857142856E-3</v>
      </c>
      <c r="M24" s="9">
        <f t="shared" si="26"/>
        <v>-10</v>
      </c>
      <c r="N24" s="2">
        <f t="shared" si="4"/>
        <v>1000000</v>
      </c>
      <c r="O24" s="2">
        <f t="shared" si="5"/>
        <v>15302.712576320093</v>
      </c>
      <c r="P24" s="2">
        <f t="shared" si="6"/>
        <v>10335.186028623857</v>
      </c>
      <c r="Q24" s="2">
        <f t="shared" si="7"/>
        <v>8194.0642853841819</v>
      </c>
      <c r="R24" s="2">
        <f t="shared" si="27"/>
        <v>6535.1049218563885</v>
      </c>
      <c r="S24" s="2">
        <f t="shared" si="8"/>
        <v>4603.6168802687898</v>
      </c>
      <c r="T24" s="2">
        <f t="shared" si="9"/>
        <v>1932.9251555032763</v>
      </c>
      <c r="U24" s="2">
        <f t="shared" si="10"/>
        <v>1301.3550005718525</v>
      </c>
      <c r="Z24" s="2">
        <v>1000000</v>
      </c>
      <c r="AA24" s="3">
        <f>IF('Modell einstellen'!$B$2="Ja",'creep_res-40'!P24,'creep_res-40'!L24)</f>
        <v>0.47716060529136328</v>
      </c>
      <c r="AB24" s="2">
        <f>IF('Modell einstellen'!$B$2="Ja",creep_res0!P24,creep_res0!L24)</f>
        <v>0.45160443427908353</v>
      </c>
      <c r="AC24" s="2">
        <f>IF('Modell einstellen'!$B$2="Ja",creep_res25!P24,creep_res25!L24)</f>
        <v>0.44424299792624622</v>
      </c>
      <c r="AD24" s="2">
        <f>IF('Modell einstellen'!$B$2="Ja",creep_res50!P24,creep_res50!L24)</f>
        <v>0.4386523747282936</v>
      </c>
      <c r="AE24" s="2">
        <f>IF('Modell einstellen'!$B$2="Ja",creep_res80!P24,creep_res80!L24)</f>
        <v>0.434929598465433</v>
      </c>
      <c r="AF24" s="2">
        <f>IF('Modell einstellen'!$B$2="Ja",creep_res125!P24,creep_res125!L24)</f>
        <v>0.4304465269178715</v>
      </c>
      <c r="AG24" s="2">
        <f>IF('Modell einstellen'!$B$2="Ja",creep_res160!P24,creep_res160!L24)</f>
        <v>0.42036104495683302</v>
      </c>
      <c r="AL24" s="2">
        <f t="shared" si="11"/>
        <v>1000000</v>
      </c>
      <c r="AM24" s="2">
        <f t="shared" si="12"/>
        <v>5179.772775385416</v>
      </c>
      <c r="AN24" s="2">
        <f t="shared" si="13"/>
        <v>3559.9181790033126</v>
      </c>
      <c r="AO24" s="2">
        <f t="shared" si="14"/>
        <v>2836.8024969308635</v>
      </c>
      <c r="AP24" s="2">
        <f t="shared" si="15"/>
        <v>2271.2592133629987</v>
      </c>
      <c r="AQ24" s="2">
        <f t="shared" si="16"/>
        <v>1604.1263924000411</v>
      </c>
      <c r="AR24" s="2">
        <f t="shared" si="17"/>
        <v>675.63698437161315</v>
      </c>
      <c r="AS24" s="2">
        <f t="shared" si="18"/>
        <v>458.1071148045329</v>
      </c>
      <c r="AX24" s="2">
        <f t="shared" si="28"/>
        <v>1000000</v>
      </c>
      <c r="AY24" s="37">
        <f t="shared" si="19"/>
        <v>111668.9881054026</v>
      </c>
      <c r="AZ24" s="37">
        <f t="shared" si="20"/>
        <v>35592.744482087299</v>
      </c>
      <c r="BA24" s="37">
        <f t="shared" si="21"/>
        <v>24493.378949802292</v>
      </c>
      <c r="BB24" s="37">
        <f t="shared" si="22"/>
        <v>17754.300167590423</v>
      </c>
      <c r="BC24" s="37">
        <f t="shared" si="23"/>
        <v>11791.37460274017</v>
      </c>
      <c r="BD24" s="37">
        <f t="shared" si="24"/>
        <v>4631.7484707554549</v>
      </c>
      <c r="BE24" s="37">
        <f t="shared" si="25"/>
        <v>2723.4473377726486</v>
      </c>
    </row>
    <row r="25" spans="1:57" x14ac:dyDescent="0.25">
      <c r="A25" s="2">
        <f>'creep_res-40'!A25</f>
        <v>10000000</v>
      </c>
      <c r="B25" s="3">
        <f>'creep_res-40'!O25</f>
        <v>-8.2994857142857151E-4</v>
      </c>
      <c r="C25" s="2">
        <f>IF('Modell einstellen'!$B$2="Ja",creep_res0!O25,creep_res0!C25)</f>
        <v>-1.2198500000000002E-3</v>
      </c>
      <c r="D25" s="2">
        <f>IF('Modell einstellen'!$B$2="Ja",creep_res25!O25,creep_res25!C25)</f>
        <v>-1.5747096571428571E-3</v>
      </c>
      <c r="E25" s="2">
        <f>IF('Modell einstellen'!$B$2="Ja",creep_res50!O25,creep_res50!C25)</f>
        <v>-2.0701796571428576E-3</v>
      </c>
      <c r="F25" s="2">
        <f>IF('Modell einstellen'!$B$2="Ja",creep_res80!O25,creep_res80!C25)</f>
        <v>-3.1303788000000003E-3</v>
      </c>
      <c r="G25" s="2">
        <f>IF('Modell einstellen'!$B$2="Ja",creep_res125!O25,creep_res125!C25)</f>
        <v>-6.6533691428571429E-3</v>
      </c>
      <c r="H25" s="2">
        <f>IF('Modell einstellen'!$B$2="Ja",creep_res160!O25,creep_res160!C25)</f>
        <v>-8.5483737142857154E-3</v>
      </c>
      <c r="M25" s="9">
        <f t="shared" si="26"/>
        <v>-10</v>
      </c>
      <c r="N25" s="2">
        <f t="shared" si="4"/>
        <v>10000000</v>
      </c>
      <c r="O25" s="2">
        <f t="shared" si="5"/>
        <v>12048.939349081869</v>
      </c>
      <c r="P25" s="2">
        <f t="shared" si="6"/>
        <v>8197.7292290035639</v>
      </c>
      <c r="Q25" s="2">
        <f t="shared" si="7"/>
        <v>6350.3770073677797</v>
      </c>
      <c r="R25" s="2">
        <f t="shared" si="27"/>
        <v>4830.4986311194953</v>
      </c>
      <c r="S25" s="2">
        <f t="shared" si="8"/>
        <v>3194.5015727809041</v>
      </c>
      <c r="T25" s="2">
        <f t="shared" si="9"/>
        <v>1502.9979225992142</v>
      </c>
      <c r="U25" s="2">
        <f t="shared" si="10"/>
        <v>1169.8131520956299</v>
      </c>
      <c r="Z25" s="2">
        <v>10000000</v>
      </c>
      <c r="AA25" s="3">
        <f>IF('Modell einstellen'!$B$2="Ja",'creep_res-40'!P25,'creep_res-40'!L25)</f>
        <v>0.46564792999221977</v>
      </c>
      <c r="AB25" s="2">
        <f>IF('Modell einstellen'!$B$2="Ja",creep_res0!P25,creep_res0!L25)</f>
        <v>0.44109820996726762</v>
      </c>
      <c r="AC25" s="2">
        <f>IF('Modell einstellen'!$B$2="Ja",creep_res25!P25,creep_res25!L25)</f>
        <v>0.43434448632508005</v>
      </c>
      <c r="AD25" s="2">
        <f>IF('Modell einstellen'!$B$2="Ja",creep_res50!P25,creep_res50!L25)</f>
        <v>0.42837102005556782</v>
      </c>
      <c r="AE25" s="2">
        <f>IF('Modell einstellen'!$B$2="Ja",creep_res80!P25,creep_res80!L25)</f>
        <v>0.42179203907937823</v>
      </c>
      <c r="AF25" s="2">
        <f>IF('Modell einstellen'!$B$2="Ja",creep_res125!P25,creep_res125!L25)</f>
        <v>0.4134661657131648</v>
      </c>
      <c r="AG25" s="2">
        <f>IF('Modell einstellen'!$B$2="Ja",creep_res160!P25,creep_res160!L25)</f>
        <v>0.4055410706691478</v>
      </c>
      <c r="AL25" s="2">
        <f t="shared" si="11"/>
        <v>10000000</v>
      </c>
      <c r="AM25" s="2">
        <f t="shared" si="12"/>
        <v>4110.4480491252179</v>
      </c>
      <c r="AN25" s="2">
        <f t="shared" si="13"/>
        <v>2844.2645935941323</v>
      </c>
      <c r="AO25" s="2">
        <f t="shared" si="14"/>
        <v>2213.6861360404496</v>
      </c>
      <c r="AP25" s="2">
        <f t="shared" si="15"/>
        <v>1690.9117320692962</v>
      </c>
      <c r="AQ25" s="2">
        <f t="shared" si="16"/>
        <v>1123.4067588567204</v>
      </c>
      <c r="AR25" s="2">
        <f t="shared" si="17"/>
        <v>531.67099399258564</v>
      </c>
      <c r="AS25" s="2">
        <f t="shared" si="18"/>
        <v>416.14335450856197</v>
      </c>
      <c r="AX25" s="2">
        <f t="shared" si="28"/>
        <v>10000000</v>
      </c>
      <c r="AY25" s="37">
        <f t="shared" si="19"/>
        <v>58458.094598826036</v>
      </c>
      <c r="AZ25" s="37">
        <f t="shared" si="20"/>
        <v>23196.038763417302</v>
      </c>
      <c r="BA25" s="37">
        <f t="shared" si="21"/>
        <v>16120.446077614522</v>
      </c>
      <c r="BB25" s="37">
        <f t="shared" si="22"/>
        <v>11239.628231633958</v>
      </c>
      <c r="BC25" s="37">
        <f t="shared" si="23"/>
        <v>6807.7075853850884</v>
      </c>
      <c r="BD25" s="37">
        <f t="shared" si="24"/>
        <v>2894.8174529768339</v>
      </c>
      <c r="BE25" s="37">
        <f t="shared" si="25"/>
        <v>2064.0595872064814</v>
      </c>
    </row>
    <row r="26" spans="1:57" x14ac:dyDescent="0.25">
      <c r="A26" s="2">
        <f>'creep_res-40'!A26</f>
        <v>100000000</v>
      </c>
      <c r="B26" s="3">
        <f>'creep_res-40'!O26</f>
        <v>-1.0604901142857144E-3</v>
      </c>
      <c r="C26" s="2">
        <f>IF('Modell einstellen'!$B$2="Ja",creep_res0!O26,creep_res0!C26)</f>
        <v>-1.5611176000000001E-3</v>
      </c>
      <c r="D26" s="2">
        <f>IF('Modell einstellen'!$B$2="Ja",creep_res25!O26,creep_res25!C26)</f>
        <v>-2.126671542857143E-3</v>
      </c>
      <c r="E26" s="2">
        <f>IF('Modell einstellen'!$B$2="Ja",creep_res50!O26,creep_res50!C26)</f>
        <v>-2.9545460000000002E-3</v>
      </c>
      <c r="F26" s="2">
        <f>IF('Modell einstellen'!$B$2="Ja",creep_res80!O26,creep_res80!C26)</f>
        <v>-4.5407554857142861E-3</v>
      </c>
      <c r="G26" s="2">
        <f>IF('Modell einstellen'!$B$2="Ja",creep_res125!O26,creep_res125!C26)</f>
        <v>-7.8597879999999995E-3</v>
      </c>
      <c r="H26" s="2">
        <f>IF('Modell einstellen'!$B$2="Ja",creep_res160!O26,creep_res160!C26)</f>
        <v>-9.1112971428571436E-3</v>
      </c>
      <c r="M26" s="9">
        <f t="shared" si="26"/>
        <v>-10</v>
      </c>
      <c r="N26" s="2">
        <f t="shared" si="4"/>
        <v>100000000</v>
      </c>
      <c r="O26" s="2">
        <f t="shared" si="5"/>
        <v>9429.6022803903543</v>
      </c>
      <c r="P26" s="2">
        <f t="shared" si="6"/>
        <v>6405.6673244859958</v>
      </c>
      <c r="Q26" s="2">
        <f t="shared" si="7"/>
        <v>4702.1835758262832</v>
      </c>
      <c r="R26" s="2">
        <f t="shared" si="27"/>
        <v>3384.614759763429</v>
      </c>
      <c r="S26" s="2">
        <f t="shared" si="8"/>
        <v>2202.2766985496346</v>
      </c>
      <c r="T26" s="2">
        <f t="shared" si="9"/>
        <v>1272.2989475034187</v>
      </c>
      <c r="U26" s="2">
        <f t="shared" si="10"/>
        <v>1097.5385659372946</v>
      </c>
      <c r="Z26" s="2">
        <v>100000000</v>
      </c>
      <c r="AA26" s="3">
        <f>IF('Modell einstellen'!$B$2="Ja",'creep_res-40'!P26,'creep_res-40'!L26)</f>
        <v>0.45290705208702148</v>
      </c>
      <c r="AB26" s="2">
        <f>IF('Modell einstellen'!$B$2="Ja",creep_res0!P26,creep_res0!L26)</f>
        <v>0.43156741408481064</v>
      </c>
      <c r="AC26" s="2">
        <f>IF('Modell einstellen'!$B$2="Ja",creep_res25!P26,creep_res25!L26)</f>
        <v>0.4243573162967042</v>
      </c>
      <c r="AD26" s="2">
        <f>IF('Modell einstellen'!$B$2="Ja",creep_res50!P26,creep_res50!L26)</f>
        <v>0.41680383865599463</v>
      </c>
      <c r="AE26" s="2">
        <f>IF('Modell einstellen'!$B$2="Ja",creep_res80!P26,creep_res80!L26)</f>
        <v>0.41033224666289325</v>
      </c>
      <c r="AF26" s="2">
        <f>IF('Modell einstellen'!$B$2="Ja",creep_res125!P26,creep_res125!L26)</f>
        <v>0.40145795280992319</v>
      </c>
      <c r="AG26" s="2">
        <f>IF('Modell einstellen'!$B$2="Ja",creep_res160!P26,creep_res160!L26)</f>
        <v>0.39572430960120469</v>
      </c>
      <c r="AL26" s="2">
        <f t="shared" si="11"/>
        <v>100000000</v>
      </c>
      <c r="AM26" s="2">
        <f t="shared" si="12"/>
        <v>3245.0810486621449</v>
      </c>
      <c r="AN26" s="2">
        <f t="shared" si="13"/>
        <v>2237.2915384432267</v>
      </c>
      <c r="AO26" s="2">
        <f t="shared" si="14"/>
        <v>1650.6334197278006</v>
      </c>
      <c r="AP26" s="2">
        <f t="shared" si="15"/>
        <v>1194.4542594457305</v>
      </c>
      <c r="AQ26" s="2">
        <f t="shared" si="16"/>
        <v>780.76520754617513</v>
      </c>
      <c r="AR26" s="2">
        <f t="shared" si="17"/>
        <v>453.91977153237434</v>
      </c>
      <c r="AS26" s="2">
        <f t="shared" si="18"/>
        <v>393.17885286775953</v>
      </c>
      <c r="AX26" s="2">
        <f t="shared" si="28"/>
        <v>100000000</v>
      </c>
      <c r="AY26" s="37">
        <f t="shared" si="19"/>
        <v>33372.30837553781</v>
      </c>
      <c r="AZ26" s="37">
        <f t="shared" si="20"/>
        <v>15600.918867376864</v>
      </c>
      <c r="BA26" s="37">
        <f t="shared" si="21"/>
        <v>10360.516368135783</v>
      </c>
      <c r="BB26" s="37">
        <f t="shared" si="22"/>
        <v>6780.3904753259076</v>
      </c>
      <c r="BC26" s="37">
        <f t="shared" si="23"/>
        <v>4093.4015046080817</v>
      </c>
      <c r="BD26" s="37">
        <f t="shared" si="24"/>
        <v>2151.8715170883579</v>
      </c>
      <c r="BE26" s="37">
        <f t="shared" si="25"/>
        <v>1754.2256840813566</v>
      </c>
    </row>
    <row r="27" spans="1:57" x14ac:dyDescent="0.25">
      <c r="A27" s="2">
        <f>'creep_res-40'!A27</f>
        <v>1000000000</v>
      </c>
      <c r="B27" s="3">
        <f>'creep_res-40'!O27</f>
        <v>-1.3626403428571429E-3</v>
      </c>
      <c r="C27" s="2">
        <f>IF('Modell einstellen'!$B$2="Ja",creep_res0!O27,creep_res0!C27)</f>
        <v>-2.0873740571428572E-3</v>
      </c>
      <c r="D27" s="2">
        <f>IF('Modell einstellen'!$B$2="Ja",creep_res25!O27,creep_res25!C27)</f>
        <v>-3.0271867428571433E-3</v>
      </c>
      <c r="E27" s="2">
        <f>IF('Modell einstellen'!$B$2="Ja",creep_res50!O27,creep_res50!C27)</f>
        <v>-4.2581054285714291E-3</v>
      </c>
      <c r="F27" s="2">
        <f>IF('Modell einstellen'!$B$2="Ja",creep_res80!O27,creep_res80!C27)</f>
        <v>-6.1332525714285716E-3</v>
      </c>
      <c r="G27" s="2">
        <f>IF('Modell einstellen'!$B$2="Ja",creep_res125!O27,creep_res125!C27)</f>
        <v>-8.5845314285714295E-3</v>
      </c>
      <c r="H27" s="2">
        <f>IF('Modell einstellen'!$B$2="Ja",creep_res160!O27,creep_res160!C27)</f>
        <v>-9.4835811428571441E-3</v>
      </c>
      <c r="M27" s="9">
        <f t="shared" si="26"/>
        <v>-10</v>
      </c>
      <c r="N27" s="2">
        <f t="shared" si="4"/>
        <v>1000000000</v>
      </c>
      <c r="O27" s="2">
        <f t="shared" si="5"/>
        <v>7338.6936269861963</v>
      </c>
      <c r="P27" s="2">
        <f t="shared" si="6"/>
        <v>4790.708194240824</v>
      </c>
      <c r="Q27" s="2">
        <f t="shared" si="7"/>
        <v>3303.3971305522173</v>
      </c>
      <c r="R27" s="2">
        <f t="shared" si="27"/>
        <v>2348.4622839305662</v>
      </c>
      <c r="S27" s="2">
        <f t="shared" si="8"/>
        <v>1630.4562519705228</v>
      </c>
      <c r="T27" s="2">
        <f t="shared" si="9"/>
        <v>1164.8859443530655</v>
      </c>
      <c r="U27" s="2">
        <f t="shared" si="10"/>
        <v>1054.4539925755591</v>
      </c>
      <c r="Z27" s="2">
        <v>1000000000</v>
      </c>
      <c r="AA27" s="3">
        <f>IF('Modell einstellen'!$B$2="Ja",'creep_res-40'!P27,'creep_res-40'!L27)</f>
        <v>0.44239716791845213</v>
      </c>
      <c r="AB27" s="2">
        <f>IF('Modell einstellen'!$B$2="Ja",creep_res0!P27,creep_res0!L27)</f>
        <v>0.42188364295087255</v>
      </c>
      <c r="AC27" s="2">
        <f>IF('Modell einstellen'!$B$2="Ja",creep_res25!P27,creep_res25!L27)</f>
        <v>0.41333084590675495</v>
      </c>
      <c r="AD27" s="2">
        <f>IF('Modell einstellen'!$B$2="Ja",creep_res50!P27,creep_res50!L27)</f>
        <v>0.40659445525370808</v>
      </c>
      <c r="AE27" s="2">
        <f>IF('Modell einstellen'!$B$2="Ja",creep_res80!P27,creep_res80!L27)</f>
        <v>0.4007215747188721</v>
      </c>
      <c r="AF27" s="2">
        <f>IF('Modell einstellen'!$B$2="Ja",creep_res125!P27,creep_res125!L27)</f>
        <v>0.39388759715980831</v>
      </c>
      <c r="AG27" s="2">
        <f>IF('Modell einstellen'!$B$2="Ja",creep_res160!P27,creep_res160!L27)</f>
        <v>0.38976528275906863</v>
      </c>
      <c r="AL27" s="2">
        <f t="shared" si="11"/>
        <v>1000000000</v>
      </c>
      <c r="AM27" s="2">
        <f t="shared" si="12"/>
        <v>2543.9226414929772</v>
      </c>
      <c r="AN27" s="2">
        <f t="shared" si="13"/>
        <v>1684.6343995836892</v>
      </c>
      <c r="AO27" s="2">
        <f t="shared" si="14"/>
        <v>1168.6567020451771</v>
      </c>
      <c r="AP27" s="2">
        <f t="shared" si="15"/>
        <v>834.8043301176574</v>
      </c>
      <c r="AQ27" s="2">
        <f t="shared" si="16"/>
        <v>582.0058323502866</v>
      </c>
      <c r="AR27" s="2">
        <f t="shared" si="17"/>
        <v>417.85505040960345</v>
      </c>
      <c r="AS27" s="2">
        <f t="shared" si="18"/>
        <v>379.36405724647841</v>
      </c>
      <c r="AX27" s="2">
        <f t="shared" si="28"/>
        <v>1000000000</v>
      </c>
      <c r="AY27" s="37">
        <f t="shared" si="19"/>
        <v>21233.601895930122</v>
      </c>
      <c r="AZ27" s="37">
        <f t="shared" si="20"/>
        <v>10221.308262041164</v>
      </c>
      <c r="BA27" s="37">
        <f t="shared" si="21"/>
        <v>6352.5044658106381</v>
      </c>
      <c r="BB27" s="37">
        <f t="shared" si="22"/>
        <v>4190.4405323928358</v>
      </c>
      <c r="BC27" s="37">
        <f t="shared" si="23"/>
        <v>2737.1778701390231</v>
      </c>
      <c r="BD27" s="37">
        <f t="shared" si="24"/>
        <v>1829.6415140515619</v>
      </c>
      <c r="BE27" s="37">
        <f t="shared" si="25"/>
        <v>1594.2557525849165</v>
      </c>
    </row>
    <row r="28" spans="1:57" x14ac:dyDescent="0.25">
      <c r="A28" s="2">
        <f>'creep_res-40'!A28</f>
        <v>10000000000</v>
      </c>
      <c r="B28" s="3">
        <f>'creep_res-40'!O28</f>
        <v>-1.7953448000000002E-3</v>
      </c>
      <c r="C28" s="2">
        <f>IF('Modell einstellen'!$B$2="Ja",creep_res0!O28,creep_res0!C28)</f>
        <v>-2.9592241714285717E-3</v>
      </c>
      <c r="D28" s="2">
        <f>IF('Modell einstellen'!$B$2="Ja",creep_res25!O28,creep_res25!C28)</f>
        <v>-4.3534069142857146E-3</v>
      </c>
      <c r="E28" s="2">
        <f>IF('Modell einstellen'!$B$2="Ja",creep_res50!O28,creep_res50!C28)</f>
        <v>-5.8863280000000006E-3</v>
      </c>
      <c r="F28" s="2">
        <f>IF('Modell einstellen'!$B$2="Ja",creep_res80!O28,creep_res80!C28)</f>
        <v>-7.5139828571428573E-3</v>
      </c>
      <c r="G28" s="2">
        <f>IF('Modell einstellen'!$B$2="Ja",creep_res125!O28,creep_res125!C28)</f>
        <v>-9.184025142857143E-3</v>
      </c>
      <c r="H28" s="2">
        <f>IF('Modell einstellen'!$B$2="Ja",creep_res160!O28,creep_res160!C28)</f>
        <v>-1.0088114857142857E-2</v>
      </c>
      <c r="M28" s="9">
        <f t="shared" si="26"/>
        <v>-10</v>
      </c>
      <c r="N28" s="2">
        <f t="shared" si="4"/>
        <v>10000000000</v>
      </c>
      <c r="O28" s="2">
        <f t="shared" si="5"/>
        <v>5569.9607117251235</v>
      </c>
      <c r="P28" s="2">
        <f t="shared" si="6"/>
        <v>3379.2640978505115</v>
      </c>
      <c r="Q28" s="2">
        <f t="shared" si="7"/>
        <v>2297.0515269741904</v>
      </c>
      <c r="R28" s="2">
        <f t="shared" si="27"/>
        <v>1698.8519837834383</v>
      </c>
      <c r="S28" s="2">
        <f t="shared" si="8"/>
        <v>1330.8521179941092</v>
      </c>
      <c r="T28" s="2">
        <f t="shared" si="9"/>
        <v>1088.8471933003668</v>
      </c>
      <c r="U28" s="2">
        <f t="shared" si="10"/>
        <v>991.26547839803118</v>
      </c>
      <c r="Z28" s="2">
        <v>10000000000</v>
      </c>
      <c r="AA28" s="3">
        <f>IF('Modell einstellen'!$B$2="Ja",'creep_res-40'!P28,'creep_res-40'!L28)</f>
        <v>0.43218614210325657</v>
      </c>
      <c r="AB28" s="2">
        <f>IF('Modell einstellen'!$B$2="Ja",creep_res0!P28,creep_res0!L28)</f>
        <v>0.41143718306244093</v>
      </c>
      <c r="AC28" s="2">
        <f>IF('Modell einstellen'!$B$2="Ja",creep_res25!P28,creep_res25!L28)</f>
        <v>0.40393473900723353</v>
      </c>
      <c r="AD28" s="2">
        <f>IF('Modell einstellen'!$B$2="Ja",creep_res50!P28,creep_res50!L28)</f>
        <v>0.39845275356724935</v>
      </c>
      <c r="AE28" s="2">
        <f>IF('Modell einstellen'!$B$2="Ja",creep_res80!P28,creep_res80!L28)</f>
        <v>0.39374011271937204</v>
      </c>
      <c r="AF28" s="2">
        <f>IF('Modell einstellen'!$B$2="Ja",creep_res125!P28,creep_res125!L28)</f>
        <v>0.38913264548056237</v>
      </c>
      <c r="AG28" s="2">
        <f>IF('Modell einstellen'!$B$2="Ja",creep_res160!P28,creep_res160!L28)</f>
        <v>0.38718715165869028</v>
      </c>
      <c r="AL28" s="2">
        <f t="shared" si="11"/>
        <v>10000000000</v>
      </c>
      <c r="AM28" s="2">
        <f t="shared" si="12"/>
        <v>1944.565914995268</v>
      </c>
      <c r="AN28" s="2">
        <f t="shared" si="13"/>
        <v>1197.1004230306633</v>
      </c>
      <c r="AO28" s="2">
        <f t="shared" si="14"/>
        <v>818.07631905971209</v>
      </c>
      <c r="AP28" s="2">
        <f t="shared" si="15"/>
        <v>607.40413984309237</v>
      </c>
      <c r="AQ28" s="2">
        <f t="shared" si="16"/>
        <v>477.43912435634792</v>
      </c>
      <c r="AR28" s="2">
        <f t="shared" si="17"/>
        <v>391.91620643386665</v>
      </c>
      <c r="AS28" s="2">
        <f t="shared" si="18"/>
        <v>357.29334618358928</v>
      </c>
      <c r="AX28" s="2">
        <f t="shared" si="28"/>
        <v>10000000000</v>
      </c>
      <c r="AY28" s="37">
        <f t="shared" si="19"/>
        <v>13689.337461098799</v>
      </c>
      <c r="AZ28" s="37">
        <f t="shared" si="20"/>
        <v>6359.4486089142256</v>
      </c>
      <c r="BA28" s="37">
        <f t="shared" si="21"/>
        <v>3985.2275131089514</v>
      </c>
      <c r="BB28" s="37">
        <f t="shared" si="22"/>
        <v>2788.2784343615817</v>
      </c>
      <c r="BC28" s="37">
        <f t="shared" si="23"/>
        <v>2087.4169172282668</v>
      </c>
      <c r="BD28" s="37">
        <f t="shared" si="24"/>
        <v>1636.8617525270804</v>
      </c>
      <c r="BE28" s="37">
        <f t="shared" si="25"/>
        <v>1464.4689456514832</v>
      </c>
    </row>
    <row r="29" spans="1:57" x14ac:dyDescent="0.25">
      <c r="A29" s="2">
        <f>'creep_res-40'!A29</f>
        <v>100000000000</v>
      </c>
      <c r="B29" s="3">
        <f>'creep_res-40'!O29</f>
        <v>-2.5186729142857144E-3</v>
      </c>
      <c r="C29" s="2">
        <f>IF('Modell einstellen'!$B$2="Ja",creep_res0!O29,creep_res0!C29)</f>
        <v>-4.2434921142857143E-3</v>
      </c>
      <c r="D29" s="2">
        <f>IF('Modell einstellen'!$B$2="Ja",creep_res25!O29,creep_res25!C29)</f>
        <v>-5.9767857142857149E-3</v>
      </c>
      <c r="E29" s="2">
        <f>IF('Modell einstellen'!$B$2="Ja",creep_res50!O29,creep_res50!C29)</f>
        <v>-7.2844622857142858E-3</v>
      </c>
      <c r="F29" s="2">
        <f>IF('Modell einstellen'!$B$2="Ja",creep_res80!O29,creep_res80!C29)</f>
        <v>-8.4066577142857153E-3</v>
      </c>
      <c r="G29" s="2">
        <f>IF('Modell einstellen'!$B$2="Ja",creep_res125!O29,creep_res125!C29)</f>
        <v>-9.5224000000000003E-3</v>
      </c>
      <c r="H29" s="2">
        <f>IF('Modell einstellen'!$B$2="Ja",creep_res160!O29,creep_res160!C29)</f>
        <v>-1.028188342857143E-2</v>
      </c>
      <c r="M29" s="9">
        <f t="shared" si="26"/>
        <v>-10</v>
      </c>
      <c r="N29" s="2">
        <f t="shared" si="4"/>
        <v>100000000000</v>
      </c>
      <c r="O29" s="2">
        <f t="shared" si="5"/>
        <v>3970.3448364735204</v>
      </c>
      <c r="P29" s="2">
        <f t="shared" si="6"/>
        <v>2356.5496837698847</v>
      </c>
      <c r="Q29" s="2">
        <f t="shared" si="7"/>
        <v>1673.1401254855093</v>
      </c>
      <c r="R29" s="2">
        <f t="shared" si="27"/>
        <v>1372.7849232758351</v>
      </c>
      <c r="S29" s="2">
        <f t="shared" si="8"/>
        <v>1189.5333841184786</v>
      </c>
      <c r="T29" s="2">
        <f t="shared" si="9"/>
        <v>1050.1554230026043</v>
      </c>
      <c r="U29" s="2">
        <f t="shared" si="10"/>
        <v>972.58445589957489</v>
      </c>
      <c r="Z29" s="2">
        <v>100000000000</v>
      </c>
      <c r="AA29" s="3">
        <f>IF('Modell einstellen'!$B$2="Ja",'creep_res-40'!P29,'creep_res-40'!L29)</f>
        <v>0.42118983475560917</v>
      </c>
      <c r="AB29" s="2">
        <f>IF('Modell einstellen'!$B$2="Ja",creep_res0!P29,creep_res0!L29)</f>
        <v>0.40250224101141935</v>
      </c>
      <c r="AC29" s="2">
        <f>IF('Modell einstellen'!$B$2="Ja",creep_res25!P29,creep_res25!L29)</f>
        <v>0.39653875112040632</v>
      </c>
      <c r="AD29" s="2">
        <f>IF('Modell einstellen'!$B$2="Ja",creep_res50!P29,creep_res50!L29)</f>
        <v>0.39224568708238411</v>
      </c>
      <c r="AE29" s="2">
        <f>IF('Modell einstellen'!$B$2="Ja",creep_res80!P29,creep_res80!L29)</f>
        <v>0.38861117627110647</v>
      </c>
      <c r="AF29" s="2">
        <f>IF('Modell einstellen'!$B$2="Ja",creep_res125!P29,creep_res125!L29)</f>
        <v>0.38533081696091021</v>
      </c>
      <c r="AG29" s="2">
        <f>IF('Modell einstellen'!$B$2="Ja",creep_res160!P29,creep_res160!L29)</f>
        <v>0.38717257249588954</v>
      </c>
      <c r="AL29" s="2">
        <f t="shared" si="11"/>
        <v>100000000000</v>
      </c>
      <c r="AM29" s="2">
        <f t="shared" si="12"/>
        <v>1396.8383179282553</v>
      </c>
      <c r="AN29" s="2">
        <f t="shared" si="13"/>
        <v>840.12332203849121</v>
      </c>
      <c r="AO29" s="2">
        <f t="shared" si="14"/>
        <v>599.03104161742488</v>
      </c>
      <c r="AP29" s="2">
        <f t="shared" si="15"/>
        <v>493.01101666641495</v>
      </c>
      <c r="AQ29" s="2">
        <f t="shared" si="16"/>
        <v>428.31766172038903</v>
      </c>
      <c r="AR29" s="2">
        <f t="shared" si="17"/>
        <v>379.02694798430821</v>
      </c>
      <c r="AS29" s="2">
        <f t="shared" si="18"/>
        <v>350.56361233759071</v>
      </c>
      <c r="AX29" s="2">
        <f t="shared" si="28"/>
        <v>100000000000</v>
      </c>
      <c r="AY29" s="37">
        <f t="shared" si="19"/>
        <v>8396.4313151766983</v>
      </c>
      <c r="AZ29" s="37">
        <f t="shared" si="20"/>
        <v>4028.3826490239189</v>
      </c>
      <c r="BA29" s="37">
        <f t="shared" si="21"/>
        <v>2695.276643194657</v>
      </c>
      <c r="BB29" s="37">
        <f t="shared" si="22"/>
        <v>2123.3255636604308</v>
      </c>
      <c r="BC29" s="37">
        <f t="shared" si="23"/>
        <v>1779.8514912256878</v>
      </c>
      <c r="BD29" s="37">
        <f t="shared" si="24"/>
        <v>1526.3552001944799</v>
      </c>
      <c r="BE29" s="37">
        <f t="shared" si="25"/>
        <v>1436.6844383710725</v>
      </c>
    </row>
    <row r="30" spans="1:57" x14ac:dyDescent="0.25">
      <c r="A30" s="2">
        <f>'creep_res-40'!A30</f>
        <v>1000000000000</v>
      </c>
      <c r="B30" s="3">
        <f>'creep_res-40'!O30</f>
        <v>-3.6098497142857144E-3</v>
      </c>
      <c r="C30" s="2">
        <f>IF('Modell einstellen'!$B$2="Ja",creep_res0!O30,creep_res0!C30)</f>
        <v>-5.8771245714285712E-3</v>
      </c>
      <c r="D30" s="2">
        <f>IF('Modell einstellen'!$B$2="Ja",creep_res25!O30,creep_res25!C30)</f>
        <v>-7.3654439999999996E-3</v>
      </c>
      <c r="E30" s="2">
        <f>IF('Modell einstellen'!$B$2="Ja",creep_res50!O30,creep_res50!C30)</f>
        <v>-8.3061679999999992E-3</v>
      </c>
      <c r="F30" s="2">
        <f>IF('Modell einstellen'!$B$2="Ja",creep_res80!O30,creep_res80!C30)</f>
        <v>-9.0518805714285711E-3</v>
      </c>
      <c r="G30" s="2">
        <f>IF('Modell einstellen'!$B$2="Ja",creep_res125!O30,creep_res125!C30)</f>
        <v>-9.8091748571428571E-3</v>
      </c>
      <c r="H30" s="2">
        <f>IF('Modell einstellen'!$B$2="Ja",creep_res160!O30,creep_res160!C30)</f>
        <v>-1.0456755428571428E-2</v>
      </c>
      <c r="M30" s="9">
        <f t="shared" si="26"/>
        <v>-10</v>
      </c>
      <c r="N30" s="2">
        <f t="shared" si="4"/>
        <v>1000000000000</v>
      </c>
      <c r="O30" s="2">
        <f t="shared" si="5"/>
        <v>2770.1984269388659</v>
      </c>
      <c r="P30" s="2">
        <f t="shared" si="6"/>
        <v>1701.5123430622245</v>
      </c>
      <c r="Q30" s="2">
        <f t="shared" si="7"/>
        <v>1357.6914032609575</v>
      </c>
      <c r="R30" s="2">
        <f t="shared" si="27"/>
        <v>1203.9246015731924</v>
      </c>
      <c r="S30" s="2">
        <f t="shared" si="8"/>
        <v>1104.7428124012242</v>
      </c>
      <c r="T30" s="2">
        <f t="shared" si="9"/>
        <v>1019.453740568014</v>
      </c>
      <c r="U30" s="2">
        <f t="shared" si="10"/>
        <v>956.31958386217809</v>
      </c>
      <c r="Z30" s="2">
        <v>1000000000000</v>
      </c>
      <c r="AA30" s="3">
        <f>IF('Modell einstellen'!$B$2="Ja",'creep_res-40'!P30,'creep_res-40'!L30)</f>
        <v>0.41030673694844755</v>
      </c>
      <c r="AB30" s="2">
        <f>IF('Modell einstellen'!$B$2="Ja",creep_res0!P30,creep_res0!L30)</f>
        <v>0.39563019544640299</v>
      </c>
      <c r="AC30" s="2">
        <f>IF('Modell einstellen'!$B$2="Ja",creep_res25!P30,creep_res25!L30)</f>
        <v>0.39098977798021606</v>
      </c>
      <c r="AD30" s="2">
        <f>IF('Modell einstellen'!$B$2="Ja",creep_res50!P30,creep_res50!L30)</f>
        <v>0.38787809596090866</v>
      </c>
      <c r="AE30" s="2">
        <f>IF('Modell einstellen'!$B$2="Ja",creep_res80!P30,creep_res80!L30)</f>
        <v>0.38560014458873937</v>
      </c>
      <c r="AF30" s="2">
        <f>IF('Modell einstellen'!$B$2="Ja",creep_res125!P30,creep_res125!L30)</f>
        <v>0.38665882832958254</v>
      </c>
      <c r="AG30" s="2">
        <f>IF('Modell einstellen'!$B$2="Ja",creep_res160!P30,creep_res160!L30)</f>
        <v>0.38319490743974016</v>
      </c>
      <c r="AL30" s="2">
        <f t="shared" si="11"/>
        <v>1000000000000</v>
      </c>
      <c r="AM30" s="2">
        <f t="shared" si="12"/>
        <v>982.12621210790121</v>
      </c>
      <c r="AN30" s="2">
        <f t="shared" si="13"/>
        <v>609.58567269963044</v>
      </c>
      <c r="AO30" s="2">
        <f t="shared" si="14"/>
        <v>488.03069035934635</v>
      </c>
      <c r="AP30" s="2">
        <f t="shared" si="15"/>
        <v>433.7285115590953</v>
      </c>
      <c r="AQ30" s="2">
        <f t="shared" si="16"/>
        <v>398.6513774250231</v>
      </c>
      <c r="AR30" s="2">
        <f t="shared" si="17"/>
        <v>367.59357086994629</v>
      </c>
      <c r="AS30" s="2">
        <f t="shared" si="18"/>
        <v>345.69227327199394</v>
      </c>
      <c r="AX30" s="2">
        <f t="shared" si="28"/>
        <v>1000000000000</v>
      </c>
      <c r="AY30" s="37">
        <f t="shared" si="19"/>
        <v>5147.5408755925846</v>
      </c>
      <c r="AZ30" s="37">
        <f t="shared" si="20"/>
        <v>2717.1210267500423</v>
      </c>
      <c r="BA30" s="37">
        <f t="shared" si="21"/>
        <v>2075.7860717174367</v>
      </c>
      <c r="BB30" s="37">
        <f t="shared" si="22"/>
        <v>1789.6066070394293</v>
      </c>
      <c r="BC30" s="37">
        <f t="shared" si="23"/>
        <v>1609.4758284873408</v>
      </c>
      <c r="BD30" s="37">
        <f t="shared" si="24"/>
        <v>1499.092997339136</v>
      </c>
      <c r="BE30" s="37">
        <f t="shared" si="25"/>
        <v>1364.5517829467524</v>
      </c>
    </row>
    <row r="31" spans="1:57" x14ac:dyDescent="0.25">
      <c r="A31" s="2">
        <f>'creep_res-40'!A31</f>
        <v>10000000000000</v>
      </c>
      <c r="B31" s="3">
        <f>'creep_res-40'!O31</f>
        <v>-5.1771965142857149E-3</v>
      </c>
      <c r="C31" s="2">
        <f>IF('Modell einstellen'!$B$2="Ja",creep_res0!O31,creep_res0!C31)</f>
        <v>-7.2722080000000014E-3</v>
      </c>
      <c r="D31" s="2">
        <f>IF('Modell einstellen'!$B$2="Ja",creep_res25!O31,creep_res25!C31)</f>
        <v>-8.3538388571428573E-3</v>
      </c>
      <c r="E31" s="2">
        <f>IF('Modell einstellen'!$B$2="Ja",creep_res50!O31,creep_res50!C31)</f>
        <v>-8.9411811428571422E-3</v>
      </c>
      <c r="F31" s="2">
        <f>IF('Modell einstellen'!$B$2="Ja",creep_res80!O31,creep_res80!C31)</f>
        <v>-9.3563582857142859E-3</v>
      </c>
      <c r="G31" s="2">
        <f>IF('Modell einstellen'!$B$2="Ja",creep_res125!O31,creep_res125!C31)</f>
        <v>-1.0384158857142858E-2</v>
      </c>
      <c r="H31" s="2">
        <f>IF('Modell einstellen'!$B$2="Ja",creep_res160!O31,creep_res160!C31)</f>
        <v>-1.0466368571428573E-2</v>
      </c>
      <c r="M31" s="9">
        <f t="shared" si="26"/>
        <v>-10</v>
      </c>
      <c r="N31" s="2">
        <f t="shared" si="4"/>
        <v>10000000000000</v>
      </c>
      <c r="O31" s="2">
        <f t="shared" si="5"/>
        <v>1931.547309901501</v>
      </c>
      <c r="P31" s="2">
        <f t="shared" si="6"/>
        <v>1375.0981820101952</v>
      </c>
      <c r="Q31" s="2">
        <f t="shared" si="7"/>
        <v>1197.054452570582</v>
      </c>
      <c r="R31" s="2">
        <f t="shared" si="27"/>
        <v>1118.4204681938156</v>
      </c>
      <c r="S31" s="2">
        <f t="shared" si="8"/>
        <v>1068.7919054220547</v>
      </c>
      <c r="T31" s="2">
        <f t="shared" si="9"/>
        <v>963.00529851018121</v>
      </c>
      <c r="U31" s="2">
        <f t="shared" si="10"/>
        <v>955.44122412221554</v>
      </c>
      <c r="Z31" s="2">
        <v>10000000000000</v>
      </c>
      <c r="AA31" s="3">
        <f>IF('Modell einstellen'!$B$2="Ja",'creep_res-40'!P31,'creep_res-40'!L31)</f>
        <v>0.40163181973202289</v>
      </c>
      <c r="AB31" s="2">
        <f>IF('Modell einstellen'!$B$2="Ja",creep_res0!P31,creep_res0!L31)</f>
        <v>0.39037885447878123</v>
      </c>
      <c r="AC31" s="2">
        <f>IF('Modell einstellen'!$B$2="Ja",creep_res25!P31,creep_res25!L31)</f>
        <v>0.3870430484038202</v>
      </c>
      <c r="AD31" s="2">
        <f>IF('Modell einstellen'!$B$2="Ja",creep_res50!P31,creep_res50!L31)</f>
        <v>0.38499029882085894</v>
      </c>
      <c r="AE31" s="2">
        <f>IF('Modell einstellen'!$B$2="Ja",creep_res80!P31,creep_res80!L31)</f>
        <v>0.3871362832437798</v>
      </c>
      <c r="AF31" s="2">
        <f>IF('Modell einstellen'!$B$2="Ja",creep_res125!P31,creep_res125!L31)</f>
        <v>0.38299135639461379</v>
      </c>
      <c r="AG31" s="2">
        <f>IF('Modell einstellen'!$B$2="Ja",creep_res160!P31,creep_res160!L31)</f>
        <v>0.38306049116776481</v>
      </c>
      <c r="AL31" s="2">
        <f t="shared" si="11"/>
        <v>10000000000000</v>
      </c>
      <c r="AM31" s="2">
        <f t="shared" si="12"/>
        <v>689.03519551617785</v>
      </c>
      <c r="AN31" s="2">
        <f t="shared" si="13"/>
        <v>494.5048529689002</v>
      </c>
      <c r="AO31" s="2">
        <f t="shared" si="14"/>
        <v>431.51308603872349</v>
      </c>
      <c r="AP31" s="2">
        <f t="shared" si="15"/>
        <v>403.76473002951963</v>
      </c>
      <c r="AQ31" s="2">
        <f t="shared" si="16"/>
        <v>385.25122525189607</v>
      </c>
      <c r="AR31" s="2">
        <f t="shared" si="17"/>
        <v>348.16027376363564</v>
      </c>
      <c r="AS31" s="2">
        <f t="shared" si="18"/>
        <v>345.40832820533547</v>
      </c>
      <c r="AX31" s="2">
        <f t="shared" si="28"/>
        <v>10000000000000</v>
      </c>
      <c r="AY31" s="37">
        <f t="shared" si="19"/>
        <v>3272.6492527690871</v>
      </c>
      <c r="AZ31" s="37">
        <f t="shared" si="20"/>
        <v>2090.6826802924697</v>
      </c>
      <c r="BA31" s="37">
        <f t="shared" si="21"/>
        <v>1766.2399047530398</v>
      </c>
      <c r="BB31" s="37">
        <f t="shared" si="22"/>
        <v>1620.7625048541847</v>
      </c>
      <c r="BC31" s="37">
        <f t="shared" si="23"/>
        <v>1578.2927353151501</v>
      </c>
      <c r="BD31" s="37">
        <f t="shared" si="24"/>
        <v>1371.7010824116753</v>
      </c>
      <c r="BE31" s="37">
        <f t="shared" si="25"/>
        <v>1361.7314251663213</v>
      </c>
    </row>
    <row r="32" spans="1:57" x14ac:dyDescent="0.25">
      <c r="A32" s="2">
        <f>'creep_res-40'!A32</f>
        <v>100000000000000</v>
      </c>
      <c r="B32" s="3">
        <f>'creep_res-40'!O32</f>
        <v>-6.6766028571428569E-3</v>
      </c>
      <c r="C32" s="2">
        <f>IF('Modell einstellen'!$B$2="Ja",creep_res0!O32,creep_res0!C32)</f>
        <v>-8.3137022857142865E-3</v>
      </c>
      <c r="D32" s="2">
        <f>IF('Modell einstellen'!$B$2="Ja",creep_res25!O32,creep_res25!C32)</f>
        <v>-8.9823782857142865E-3</v>
      </c>
      <c r="E32" s="2">
        <f>IF('Modell einstellen'!$B$2="Ja",creep_res50!O32,creep_res50!C32)</f>
        <v>-9.2980605714285732E-3</v>
      </c>
      <c r="F32" s="2">
        <f>IF('Modell einstellen'!$B$2="Ja",creep_res80!O32,creep_res80!C32)</f>
        <v>-9.698237142857143E-3</v>
      </c>
      <c r="G32" s="2">
        <f>IF('Modell einstellen'!$B$2="Ja",creep_res125!O32,creep_res125!C32)</f>
        <v>-1.0416116571428572E-2</v>
      </c>
      <c r="H32" s="2">
        <f>IF('Modell einstellen'!$B$2="Ja",creep_res160!O32,creep_res160!C32)</f>
        <v>-1.0536541142857144E-2</v>
      </c>
      <c r="M32" s="9">
        <f t="shared" si="26"/>
        <v>-10</v>
      </c>
      <c r="N32" s="2">
        <f t="shared" si="4"/>
        <v>100000000000000</v>
      </c>
      <c r="O32" s="2">
        <f t="shared" si="5"/>
        <v>1497.7676842500314</v>
      </c>
      <c r="P32" s="2">
        <f t="shared" si="6"/>
        <v>1202.8335459141151</v>
      </c>
      <c r="Q32" s="2">
        <f t="shared" si="7"/>
        <v>1113.2908993494691</v>
      </c>
      <c r="R32" s="2">
        <f t="shared" si="27"/>
        <v>1075.493101295594</v>
      </c>
      <c r="S32" s="2">
        <f t="shared" si="8"/>
        <v>1031.115227715906</v>
      </c>
      <c r="T32" s="2">
        <f t="shared" si="9"/>
        <v>960.05069945453749</v>
      </c>
      <c r="U32" s="2">
        <f t="shared" si="10"/>
        <v>949.07805744004781</v>
      </c>
      <c r="Z32" s="2">
        <v>100000000000000</v>
      </c>
      <c r="AA32" s="3">
        <f>IF('Modell einstellen'!$B$2="Ja",'creep_res-40'!P32,'creep_res-40'!L32)</f>
        <v>0.39447393905626088</v>
      </c>
      <c r="AB32" s="2">
        <f>IF('Modell einstellen'!$B$2="Ja",creep_res0!P32,creep_res0!L32)</f>
        <v>0.38672603761404833</v>
      </c>
      <c r="AC32" s="2">
        <f>IF('Modell einstellen'!$B$2="Ja",creep_res25!P32,creep_res25!L32)</f>
        <v>0.38448236617193715</v>
      </c>
      <c r="AD32" s="2">
        <f>IF('Modell einstellen'!$B$2="Ja",creep_res50!P32,creep_res50!L32)</f>
        <v>0.38721934392954199</v>
      </c>
      <c r="AE32" s="2">
        <f>IF('Modell einstellen'!$B$2="Ja",creep_res80!P32,creep_res80!L32)</f>
        <v>0.38256041819676806</v>
      </c>
      <c r="AF32" s="2">
        <f>IF('Modell einstellen'!$B$2="Ja",creep_res125!P32,creep_res125!L32)</f>
        <v>0.38409909171523421</v>
      </c>
      <c r="AG32" s="2">
        <f>IF('Modell einstellen'!$B$2="Ja",creep_res160!P32,creep_res160!L32)</f>
        <v>0.38139434968818992</v>
      </c>
      <c r="AL32" s="2">
        <f t="shared" si="11"/>
        <v>100000000000000</v>
      </c>
      <c r="AM32" s="2">
        <f t="shared" si="12"/>
        <v>537.03681449352746</v>
      </c>
      <c r="AN32" s="2">
        <f t="shared" si="13"/>
        <v>433.69545003412065</v>
      </c>
      <c r="AO32" s="2">
        <f t="shared" si="14"/>
        <v>402.06033913876905</v>
      </c>
      <c r="AP32" s="2">
        <f t="shared" si="15"/>
        <v>387.64349199783766</v>
      </c>
      <c r="AQ32" s="2">
        <f t="shared" si="16"/>
        <v>372.90060316523403</v>
      </c>
      <c r="AR32" s="2">
        <f t="shared" si="17"/>
        <v>346.81429429478277</v>
      </c>
      <c r="AS32" s="2">
        <f t="shared" si="18"/>
        <v>343.52176757284224</v>
      </c>
      <c r="AX32" s="2">
        <f t="shared" si="28"/>
        <v>100000000000000</v>
      </c>
      <c r="AY32" s="37">
        <f t="shared" si="19"/>
        <v>2365.557333823856</v>
      </c>
      <c r="AZ32" s="37">
        <f t="shared" si="20"/>
        <v>1769.7999913633751</v>
      </c>
      <c r="BA32" s="37">
        <f t="shared" si="21"/>
        <v>1606.2351441606138</v>
      </c>
      <c r="BB32" s="37">
        <f t="shared" si="22"/>
        <v>1589.3581085744822</v>
      </c>
      <c r="BC32" s="37">
        <f t="shared" si="23"/>
        <v>1463.3272301717411</v>
      </c>
      <c r="BD32" s="37">
        <f t="shared" si="24"/>
        <v>1380.5625191129011</v>
      </c>
      <c r="BE32" s="37">
        <f t="shared" si="25"/>
        <v>1333.6605450428303</v>
      </c>
    </row>
    <row r="33" spans="1:60" x14ac:dyDescent="0.25">
      <c r="A33" s="2">
        <f>'creep_res-40'!A33</f>
        <v>1000000000000000</v>
      </c>
      <c r="B33" s="3">
        <f>'creep_res-40'!O33</f>
        <v>-7.9544497142857145E-3</v>
      </c>
      <c r="C33" s="2">
        <f>IF('Modell einstellen'!$B$2="Ja",creep_res0!O33,creep_res0!C33)</f>
        <v>-8.936981714285714E-3</v>
      </c>
      <c r="D33" s="2">
        <f>IF('Modell einstellen'!$B$2="Ja",creep_res25!O33,creep_res25!C33)</f>
        <v>-9.3296577142857155E-3</v>
      </c>
      <c r="E33" s="2">
        <f>IF('Modell einstellen'!$B$2="Ja",creep_res50!O33,creep_res50!C33)</f>
        <v>-9.6590897142857148E-3</v>
      </c>
      <c r="F33" s="2">
        <f>IF('Modell einstellen'!$B$2="Ja",creep_res80!O33,creep_res80!C33)</f>
        <v>-1.012065142857143E-2</v>
      </c>
      <c r="G33" s="2">
        <f>IF('Modell einstellen'!$B$2="Ja",creep_res125!O33,creep_res125!C33)</f>
        <v>-1.0529876000000001E-2</v>
      </c>
      <c r="H33" s="2">
        <f>IF('Modell einstellen'!$B$2="Ja",creep_res160!O33,creep_res160!C33)</f>
        <v>-1.0580144000000001E-2</v>
      </c>
      <c r="M33" s="9">
        <f>M31</f>
        <v>-10</v>
      </c>
      <c r="N33" s="2">
        <f t="shared" si="4"/>
        <v>1000000000000000</v>
      </c>
      <c r="O33" s="2">
        <f t="shared" si="5"/>
        <v>1257.1579881937778</v>
      </c>
      <c r="P33" s="2">
        <f t="shared" si="6"/>
        <v>1118.9460065712183</v>
      </c>
      <c r="Q33" s="2">
        <f t="shared" si="7"/>
        <v>1071.8506837274263</v>
      </c>
      <c r="R33" s="2">
        <f t="shared" si="27"/>
        <v>1035.294245710347</v>
      </c>
      <c r="S33" s="2">
        <f t="shared" si="8"/>
        <v>988.07868945759549</v>
      </c>
      <c r="T33" s="2">
        <f t="shared" si="9"/>
        <v>949.67879963638688</v>
      </c>
      <c r="U33" s="2">
        <f t="shared" si="10"/>
        <v>945.16671984804736</v>
      </c>
      <c r="Z33" s="2">
        <v>1000000000000000</v>
      </c>
      <c r="AA33" s="3">
        <f>IF('Modell einstellen'!$B$2="Ja",'creep_res-40'!P33,'creep_res-40'!L33)</f>
        <v>0.38961543680816352</v>
      </c>
      <c r="AB33" s="2">
        <f>IF('Modell einstellen'!$B$2="Ja",creep_res0!P33,creep_res0!L33)</f>
        <v>0.38422408895096449</v>
      </c>
      <c r="AC33" s="2">
        <f>IF('Modell einstellen'!$B$2="Ja",creep_res25!P33,creep_res25!L33)</f>
        <v>0.38663454871196923</v>
      </c>
      <c r="AD33" s="2">
        <f>IF('Modell einstellen'!$B$2="Ja",creep_res50!P33,creep_res50!L33)</f>
        <v>0.38232827263758129</v>
      </c>
      <c r="AE33" s="2">
        <f>IF('Modell einstellen'!$B$2="Ja",creep_res80!P33,creep_res80!L33)</f>
        <v>0.38449143307545414</v>
      </c>
      <c r="AF33" s="2">
        <f>IF('Modell einstellen'!$B$2="Ja",creep_res125!P33,creep_res125!L33)</f>
        <v>0.3813705742729408</v>
      </c>
      <c r="AG33" s="2">
        <f>IF('Modell einstellen'!$B$2="Ja",creep_res160!P33,creep_res160!L33)</f>
        <v>0.38033017319991108</v>
      </c>
      <c r="AL33" s="2">
        <f t="shared" si="11"/>
        <v>1000000000000000</v>
      </c>
      <c r="AM33" s="2">
        <f t="shared" si="12"/>
        <v>452.34025000519932</v>
      </c>
      <c r="AN33" s="2">
        <f t="shared" si="13"/>
        <v>404.17805740514621</v>
      </c>
      <c r="AO33" s="2">
        <f t="shared" si="14"/>
        <v>386.49357349528668</v>
      </c>
      <c r="AP33" s="2">
        <f t="shared" si="15"/>
        <v>374.47481405228427</v>
      </c>
      <c r="AQ33" s="2">
        <f t="shared" si="16"/>
        <v>356.83813776395743</v>
      </c>
      <c r="AR33" s="2">
        <f t="shared" si="17"/>
        <v>343.74512434370951</v>
      </c>
      <c r="AS33" s="2">
        <f t="shared" si="18"/>
        <v>342.36979608181048</v>
      </c>
      <c r="AX33" s="2">
        <f>AL33</f>
        <v>1000000000000000</v>
      </c>
      <c r="AY33" s="37">
        <f t="shared" si="19"/>
        <v>1898.1488471489934</v>
      </c>
      <c r="AZ33" s="37">
        <f t="shared" si="20"/>
        <v>1610.7927755041981</v>
      </c>
      <c r="BA33" s="37">
        <f t="shared" si="21"/>
        <v>1575.8044324046975</v>
      </c>
      <c r="BB33" s="37">
        <f t="shared" si="22"/>
        <v>1466.3593780712374</v>
      </c>
      <c r="BC33" s="37">
        <f t="shared" si="23"/>
        <v>1425.6932274455485</v>
      </c>
      <c r="BD33" s="37">
        <f t="shared" si="24"/>
        <v>1334.2372600164617</v>
      </c>
      <c r="BE33" s="37">
        <f t="shared" si="25"/>
        <v>1316.3534272051288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D7" sqref="D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110</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10455.125722169887</v>
      </c>
      <c r="G16" s="26">
        <f>INDEX(Comparison!$AM$3:$AS$33,G14,$B$3)</f>
        <v>10216.758037955571</v>
      </c>
      <c r="H16" s="26">
        <f>INDEX(Comparison!$AM$3:$AS$33,H14,$B$3)</f>
        <v>9990.8860283110862</v>
      </c>
      <c r="I16" s="26">
        <f>INDEX(Comparison!$AM$3:$AS$33,I14,$B$3)</f>
        <v>9740.6929571272121</v>
      </c>
      <c r="J16" s="26">
        <f>INDEX(Comparison!$AM$3:$AS$33,J14,$B$3)</f>
        <v>9486.1331326421696</v>
      </c>
      <c r="K16" s="26">
        <f>INDEX(Comparison!$AM$3:$AS$33,K14,$B$3)</f>
        <v>9224.2999433670138</v>
      </c>
      <c r="L16" s="26">
        <f>INDEX(Comparison!$AM$3:$AS$33,L14,$B$3)</f>
        <v>8983.6546151744242</v>
      </c>
      <c r="M16" s="26">
        <f>INDEX(Comparison!$AM$3:$AS$33,M14,$B$3)</f>
        <v>8670.3934759322055</v>
      </c>
      <c r="N16" s="26">
        <f>INDEX(Comparison!$AM$3:$AS$33,N14,$B$3)</f>
        <v>8318.7463719570296</v>
      </c>
      <c r="O16" s="26">
        <f>INDEX(Comparison!$AM$3:$AS$33,O14,$B$3)</f>
        <v>7968.6744939632144</v>
      </c>
      <c r="P16" s="26">
        <f>INDEX(Comparison!$AM$3:$AS$33,P14,$B$3)</f>
        <v>7682.4342615636733</v>
      </c>
      <c r="Q16" s="26">
        <f>INDEX(Comparison!$AM$3:$AS$33,Q14,$B$3)</f>
        <v>7403.9105678680935</v>
      </c>
      <c r="R16" s="26">
        <f>INDEX(Comparison!$AM$3:$AS$33,R14,$B$3)</f>
        <v>7132.2476769922887</v>
      </c>
      <c r="S16" s="26">
        <f>INDEX(Comparison!$AM$3:$AS$33,S14,$B$3)</f>
        <v>6844.7384968439528</v>
      </c>
      <c r="T16" s="26">
        <f>INDEX(Comparison!$AM$3:$AS$33,T14,$B$3)</f>
        <v>6572.6294407257219</v>
      </c>
      <c r="U16" s="26">
        <f>INDEX(Comparison!$AM$3:$AS$33,U14,$B$3)</f>
        <v>6219.0027578185491</v>
      </c>
      <c r="V16" s="26">
        <f>INDEX(Comparison!$AM$3:$AS$33,V14,$B$3)</f>
        <v>5690.6299745251627</v>
      </c>
      <c r="W16" s="26">
        <f>INDEX(Comparison!$AM$3:$AS$33,W14,$B$3)</f>
        <v>4763.4711208275512</v>
      </c>
      <c r="X16" s="26">
        <f>INDEX(Comparison!$AM$3:$AS$33,X14,$B$3)</f>
        <v>3748.4083561986595</v>
      </c>
      <c r="Y16" s="26">
        <f>INDEX(Comparison!$AM$3:$AS$33,Y14,$B$3)</f>
        <v>2899.8712503562774</v>
      </c>
      <c r="Z16" s="26">
        <f>INDEX(Comparison!$AM$3:$AS$33,Z14,$B$3)</f>
        <v>2207.9514817928284</v>
      </c>
      <c r="AA16" s="26">
        <f>INDEX(Comparison!$AM$3:$AS$33,AA14,$B$3)</f>
        <v>1604.1263924000411</v>
      </c>
      <c r="AB16" s="26">
        <f>INDEX(Comparison!$AM$3:$AS$33,AB14,$B$3)</f>
        <v>1123.4067588567204</v>
      </c>
      <c r="AC16" s="26">
        <f>INDEX(Comparison!$AM$3:$AS$33,AC14,$B$3)</f>
        <v>780.76520754617513</v>
      </c>
      <c r="AD16" s="26">
        <f>INDEX(Comparison!$AM$3:$AS$33,AD14,$B$3)</f>
        <v>582.0058323502866</v>
      </c>
      <c r="AE16" s="26">
        <f>INDEX(Comparison!$AM$3:$AS$33,AE14,$B$3)</f>
        <v>477.43912435634792</v>
      </c>
      <c r="AF16" s="26">
        <f>INDEX(Comparison!$AM$3:$AS$33,AF14,$B$3)</f>
        <v>428.31766172038903</v>
      </c>
      <c r="AG16" s="26">
        <f>INDEX(Comparison!$AM$3:$AS$33,AG14,$B$3)</f>
        <v>398.6513774250231</v>
      </c>
      <c r="AH16" s="26">
        <f>INDEX(Comparison!$AM$3:$AS$33,AH14,$B$3)</f>
        <v>385.25122525189607</v>
      </c>
      <c r="AI16" s="26">
        <f>INDEX(Comparison!$AM$3:$AS$33,AI14,$B$3)</f>
        <v>372.90060316523403</v>
      </c>
      <c r="AJ16" s="26">
        <f>INDEX(Comparison!$AM$3:$AS$33,AJ14,$B$3)</f>
        <v>356.83813776395743</v>
      </c>
    </row>
    <row r="17" spans="1:36" x14ac:dyDescent="0.25">
      <c r="A17" s="14" t="s">
        <v>20</v>
      </c>
      <c r="B17" s="105">
        <v>1.9717227732529461E-2</v>
      </c>
      <c r="C17" s="18">
        <f t="shared" ref="C17:C48" si="3">ABS(B17/$B$49)</f>
        <v>2.1999256513753576E-2</v>
      </c>
      <c r="D17" s="66"/>
      <c r="E17" s="65" t="s">
        <v>22</v>
      </c>
      <c r="F17" s="27">
        <f>($C$17+SUM(F18:F48))*$B$51</f>
        <v>10389.692468569694</v>
      </c>
      <c r="G17" s="27">
        <f t="shared" ref="G17:M17" si="4">($C$17+SUM(G18:G48))*$B$51</f>
        <v>10301.393058117992</v>
      </c>
      <c r="H17" s="27">
        <f t="shared" si="4"/>
        <v>9968.4703397048888</v>
      </c>
      <c r="I17" s="27">
        <f t="shared" si="4"/>
        <v>9744.3666211086711</v>
      </c>
      <c r="J17" s="27">
        <f t="shared" si="4"/>
        <v>9485.6230303506763</v>
      </c>
      <c r="K17" s="27">
        <f t="shared" si="4"/>
        <v>9224.3764926407584</v>
      </c>
      <c r="L17" s="27">
        <f t="shared" si="4"/>
        <v>8983.4950393918589</v>
      </c>
      <c r="M17" s="27">
        <f t="shared" si="4"/>
        <v>8670.9074213877102</v>
      </c>
      <c r="N17" s="27">
        <f t="shared" ref="N17" si="5">($C$17+SUM(N18:N48))*$B$51</f>
        <v>8317.4929906208345</v>
      </c>
      <c r="O17" s="27">
        <f t="shared" ref="O17" si="6">($C$17+SUM(O18:O48))*$B$51</f>
        <v>7971.2431477275059</v>
      </c>
      <c r="P17" s="27">
        <f t="shared" ref="P17" si="7">($C$17+SUM(P18:P48))*$B$51</f>
        <v>7677.9936091269574</v>
      </c>
      <c r="Q17" s="27">
        <f t="shared" ref="Q17" si="8">($C$17+SUM(Q18:Q48))*$B$51</f>
        <v>7410.3523675229317</v>
      </c>
      <c r="R17" s="27">
        <f t="shared" ref="R17" si="9">($C$17+SUM(R18:R48))*$B$51</f>
        <v>7124.3363170584926</v>
      </c>
      <c r="S17" s="27">
        <f t="shared" ref="S17:T17" si="10">($C$17+SUM(S18:S48))*$B$51</f>
        <v>6853.0400453335606</v>
      </c>
      <c r="T17" s="27">
        <f t="shared" si="10"/>
        <v>6565.1761395028971</v>
      </c>
      <c r="U17" s="27">
        <f t="shared" ref="U17" si="11">($C$17+SUM(U18:U48))*$B$51</f>
        <v>6224.727583674593</v>
      </c>
      <c r="V17" s="27">
        <f t="shared" ref="V17" si="12">($C$17+SUM(V18:V48))*$B$51</f>
        <v>5686.8413351175996</v>
      </c>
      <c r="W17" s="27">
        <f t="shared" ref="W17" si="13">($C$17+SUM(W18:W48))*$B$51</f>
        <v>4765.6561351786004</v>
      </c>
      <c r="X17" s="27">
        <f t="shared" ref="X17" si="14">($C$17+SUM(X18:X48))*$B$51</f>
        <v>3747.3067359468569</v>
      </c>
      <c r="Y17" s="27">
        <f t="shared" ref="Y17" si="15">($C$17+SUM(Y18:Y48))*$B$51</f>
        <v>2900.3524527773006</v>
      </c>
      <c r="Z17" s="27">
        <f t="shared" ref="Z17:AA17" si="16">($C$17+SUM(Z18:Z48))*$B$51</f>
        <v>2207.7689271656145</v>
      </c>
      <c r="AA17" s="27">
        <f t="shared" si="16"/>
        <v>1604.1866397343597</v>
      </c>
      <c r="AB17" s="27">
        <f t="shared" ref="AB17" si="17">($C$17+SUM(AB18:AB48))*$B$51</f>
        <v>1123.3888338154557</v>
      </c>
      <c r="AC17" s="27">
        <f t="shared" ref="AC17" si="18">($C$17+SUM(AC18:AC48))*$B$51</f>
        <v>780.77487931738005</v>
      </c>
      <c r="AD17" s="27">
        <f t="shared" ref="AD17" si="19">($C$17+SUM(AD18:AD48))*$B$51</f>
        <v>581.99742386686194</v>
      </c>
      <c r="AE17" s="27">
        <f t="shared" ref="AE17" si="20">($C$17+SUM(AE18:AE48))*$B$51</f>
        <v>477.44686985321619</v>
      </c>
      <c r="AF17" s="27">
        <f t="shared" ref="AF17" si="21">($C$17+SUM(AF18:AF48))*$B$51</f>
        <v>428.30763414696457</v>
      </c>
      <c r="AG17" s="27">
        <f t="shared" ref="AG17:AH17" si="22">($C$17+SUM(AG18:AG48))*$B$51</f>
        <v>398.67623002567353</v>
      </c>
      <c r="AH17" s="27">
        <f t="shared" si="22"/>
        <v>385.20744480091901</v>
      </c>
      <c r="AI17" s="27">
        <f t="shared" ref="AI17" si="23">($C$17+SUM(AI18:AI48))*$B$51</f>
        <v>372.94162626331786</v>
      </c>
      <c r="AJ17" s="27">
        <f t="shared" ref="AJ17" si="24">($C$17+SUM(AJ18:AJ48))*$B$51</f>
        <v>356.82134614902191</v>
      </c>
    </row>
    <row r="18" spans="1:36" x14ac:dyDescent="0.25">
      <c r="A18" s="3">
        <f>0.000000000000001/10^5</f>
        <v>1.0000000000000001E-20</v>
      </c>
      <c r="B18" s="106">
        <v>7.8982839158735968E-2</v>
      </c>
      <c r="C18" s="18">
        <f t="shared" si="3"/>
        <v>8.8124140087449648E-2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3.2726857018325221E-2</v>
      </c>
      <c r="C19" s="18">
        <f t="shared" si="3"/>
        <v>3.6514591817959942E-2</v>
      </c>
      <c r="D19" s="17"/>
      <c r="F19" s="3">
        <f t="shared" si="25"/>
        <v>3.5591132195738791E-2</v>
      </c>
      <c r="G19" s="3">
        <f t="shared" si="25"/>
        <v>2.82631123312992E-2</v>
      </c>
      <c r="H19" s="3">
        <f t="shared" si="25"/>
        <v>2.8183945757674668E-3</v>
      </c>
      <c r="I19" s="3">
        <f t="shared" si="25"/>
        <v>2.740437435852812E-13</v>
      </c>
      <c r="J19" s="3">
        <f t="shared" si="25"/>
        <v>2.0701454674234542E-113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1.5851573897843869E-2</v>
      </c>
      <c r="C20" s="18">
        <f t="shared" si="3"/>
        <v>1.7686200365280833E-2</v>
      </c>
      <c r="D20" s="17"/>
      <c r="F20" s="3">
        <f t="shared" si="25"/>
        <v>1.7645379578496982E-2</v>
      </c>
      <c r="G20" s="3">
        <f t="shared" si="25"/>
        <v>1.7282206262165027E-2</v>
      </c>
      <c r="H20" s="3">
        <f t="shared" si="25"/>
        <v>1.403721571791897E-2</v>
      </c>
      <c r="I20" s="3">
        <f t="shared" si="25"/>
        <v>1.7542798420925887E-3</v>
      </c>
      <c r="J20" s="3">
        <f t="shared" si="25"/>
        <v>1.6303387967876827E-12</v>
      </c>
      <c r="K20" s="3">
        <f t="shared" si="25"/>
        <v>7.8355189929859825E-103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2.1932114225338719E-2</v>
      </c>
      <c r="C21" s="18">
        <f t="shared" si="3"/>
        <v>2.4470489121356472E-2</v>
      </c>
      <c r="D21" s="17"/>
      <c r="F21" s="3">
        <f t="shared" si="25"/>
        <v>2.4465388859433133E-2</v>
      </c>
      <c r="G21" s="3">
        <f t="shared" si="25"/>
        <v>2.4419534311541806E-2</v>
      </c>
      <c r="H21" s="3">
        <f t="shared" si="25"/>
        <v>2.3965689242648931E-2</v>
      </c>
      <c r="I21" s="3">
        <f t="shared" si="25"/>
        <v>1.986622657773935E-2</v>
      </c>
      <c r="J21" s="3">
        <f t="shared" si="25"/>
        <v>3.043476773756507E-3</v>
      </c>
      <c r="K21" s="3">
        <f t="shared" si="25"/>
        <v>2.1672852036841897E-11</v>
      </c>
      <c r="L21" s="3">
        <f t="shared" si="25"/>
        <v>7.2673622446618793E-93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2.2072848820373209E-2</v>
      </c>
      <c r="C22" s="18">
        <f t="shared" si="3"/>
        <v>2.4627512030384147E-2</v>
      </c>
      <c r="D22" s="17"/>
      <c r="F22" s="3">
        <f t="shared" si="25"/>
        <v>2.4627048948128425E-2</v>
      </c>
      <c r="G22" s="3">
        <f t="shared" si="25"/>
        <v>2.46228815996468E-2</v>
      </c>
      <c r="H22" s="3">
        <f t="shared" si="25"/>
        <v>2.4581246880697426E-2</v>
      </c>
      <c r="I22" s="3">
        <f t="shared" si="25"/>
        <v>2.4168752113711046E-2</v>
      </c>
      <c r="J22" s="3">
        <f t="shared" si="25"/>
        <v>2.040597804053736E-2</v>
      </c>
      <c r="K22" s="3">
        <f t="shared" si="25"/>
        <v>3.7565510107890011E-3</v>
      </c>
      <c r="L22" s="3">
        <f t="shared" si="25"/>
        <v>1.6792217340342331E-10</v>
      </c>
      <c r="M22" s="3">
        <f t="shared" si="25"/>
        <v>5.3492834055631188E-84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1.7708460909542773E-2</v>
      </c>
      <c r="C23" s="18">
        <f t="shared" si="3"/>
        <v>1.9757999415409316E-2</v>
      </c>
      <c r="D23" s="17"/>
      <c r="F23" s="3">
        <f t="shared" si="25"/>
        <v>1.9757965901053651E-2</v>
      </c>
      <c r="G23" s="3">
        <f t="shared" si="25"/>
        <v>1.9757664274410839E-2</v>
      </c>
      <c r="H23" s="3">
        <f t="shared" si="25"/>
        <v>1.9754648261227178E-2</v>
      </c>
      <c r="I23" s="3">
        <f t="shared" si="25"/>
        <v>1.972451343953879E-2</v>
      </c>
      <c r="J23" s="3">
        <f t="shared" si="25"/>
        <v>1.9425681999254735E-2</v>
      </c>
      <c r="K23" s="3">
        <f t="shared" si="25"/>
        <v>1.6675391380633547E-2</v>
      </c>
      <c r="L23" s="3">
        <f t="shared" si="25"/>
        <v>3.6230442989145816E-3</v>
      </c>
      <c r="M23" s="3">
        <f t="shared" si="25"/>
        <v>8.4927771346464767E-10</v>
      </c>
      <c r="N23" s="3">
        <f t="shared" si="25"/>
        <v>4.254128084723896E-76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2.7297338884956418E-2</v>
      </c>
      <c r="C24" s="18">
        <f t="shared" si="3"/>
        <v>3.0456673139818591E-2</v>
      </c>
      <c r="D24" s="17"/>
      <c r="F24" s="3">
        <f t="shared" si="25"/>
        <v>3.0456668479481894E-2</v>
      </c>
      <c r="G24" s="3">
        <f t="shared" si="25"/>
        <v>3.0456626536483705E-2</v>
      </c>
      <c r="H24" s="3">
        <f t="shared" si="25"/>
        <v>3.0456207109678675E-2</v>
      </c>
      <c r="I24" s="3">
        <f t="shared" si="25"/>
        <v>3.0452013159297749E-2</v>
      </c>
      <c r="J24" s="3">
        <f t="shared" si="25"/>
        <v>3.0410105406242813E-2</v>
      </c>
      <c r="K24" s="3">
        <f t="shared" si="25"/>
        <v>2.9994186832242947E-2</v>
      </c>
      <c r="L24" s="3">
        <f t="shared" si="25"/>
        <v>2.6135376508713285E-2</v>
      </c>
      <c r="M24" s="3">
        <f t="shared" si="25"/>
        <v>6.593946925608626E-3</v>
      </c>
      <c r="N24" s="3">
        <f t="shared" si="25"/>
        <v>6.8914769766222572E-9</v>
      </c>
      <c r="O24" s="3">
        <f t="shared" si="25"/>
        <v>1.07147226375373E-68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2.9961922226471985E-2</v>
      </c>
      <c r="C25" s="18">
        <f t="shared" si="3"/>
        <v>3.3429649525112674E-2</v>
      </c>
      <c r="D25" s="17"/>
      <c r="F25" s="3">
        <f t="shared" si="25"/>
        <v>3.3429649063674759E-2</v>
      </c>
      <c r="G25" s="3">
        <f t="shared" si="25"/>
        <v>3.3429644910733809E-2</v>
      </c>
      <c r="H25" s="3">
        <f t="shared" si="25"/>
        <v>3.3429603381352674E-2</v>
      </c>
      <c r="I25" s="3">
        <f t="shared" si="25"/>
        <v>3.3429188090378821E-2</v>
      </c>
      <c r="J25" s="3">
        <f t="shared" si="25"/>
        <v>3.3425035464380179E-2</v>
      </c>
      <c r="K25" s="3">
        <f t="shared" si="25"/>
        <v>3.338353756533638E-2</v>
      </c>
      <c r="L25" s="3">
        <f t="shared" si="25"/>
        <v>3.2971381676310238E-2</v>
      </c>
      <c r="M25" s="3">
        <f t="shared" si="25"/>
        <v>2.9119576618351618E-2</v>
      </c>
      <c r="N25" s="3">
        <f t="shared" si="25"/>
        <v>8.4074472577641939E-3</v>
      </c>
      <c r="O25" s="3">
        <f t="shared" si="25"/>
        <v>3.3841928535139822E-8</v>
      </c>
      <c r="P25" s="3">
        <f t="shared" si="25"/>
        <v>3.7788932941443104E-62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2.9165395807955147E-2</v>
      </c>
      <c r="C26" s="18">
        <f t="shared" si="3"/>
        <v>3.254093488233234E-2</v>
      </c>
      <c r="D26" s="17"/>
      <c r="F26" s="3">
        <f t="shared" si="25"/>
        <v>3.2540934841813397E-2</v>
      </c>
      <c r="G26" s="3">
        <f t="shared" si="25"/>
        <v>3.2540934477142944E-2</v>
      </c>
      <c r="H26" s="3">
        <f t="shared" si="25"/>
        <v>3.2540930830438616E-2</v>
      </c>
      <c r="I26" s="3">
        <f t="shared" si="25"/>
        <v>3.2540894363417804E-2</v>
      </c>
      <c r="J26" s="3">
        <f t="shared" si="25"/>
        <v>3.2540529695457336E-2</v>
      </c>
      <c r="K26" s="3">
        <f t="shared" si="25"/>
        <v>3.2536883240609958E-2</v>
      </c>
      <c r="L26" s="3">
        <f t="shared" si="25"/>
        <v>3.2500441158550386E-2</v>
      </c>
      <c r="M26" s="3">
        <f t="shared" si="25"/>
        <v>3.2138257691730635E-2</v>
      </c>
      <c r="N26" s="3">
        <f t="shared" si="25"/>
        <v>2.8731152989844518E-2</v>
      </c>
      <c r="O26" s="3">
        <f t="shared" si="25"/>
        <v>9.3682897570529916E-3</v>
      </c>
      <c r="P26" s="3">
        <f t="shared" si="25"/>
        <v>1.2727201376025061E-7</v>
      </c>
      <c r="Q26" s="3">
        <f t="shared" si="25"/>
        <v>2.7255799484401555E-56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2.2085395917302096E-2</v>
      </c>
      <c r="C27" s="18">
        <f t="shared" si="3"/>
        <v>2.4641511300848837E-2</v>
      </c>
      <c r="D27" s="17"/>
      <c r="F27" s="3">
        <f t="shared" si="25"/>
        <v>2.4641511298080992E-2</v>
      </c>
      <c r="G27" s="3">
        <f t="shared" si="25"/>
        <v>2.4641511273170373E-2</v>
      </c>
      <c r="H27" s="3">
        <f t="shared" si="25"/>
        <v>2.4641511024064203E-2</v>
      </c>
      <c r="I27" s="3">
        <f t="shared" si="25"/>
        <v>2.4641508533002638E-2</v>
      </c>
      <c r="J27" s="3">
        <f t="shared" si="25"/>
        <v>2.4641483622400845E-2</v>
      </c>
      <c r="K27" s="3">
        <f t="shared" si="25"/>
        <v>2.4641234517767955E-2</v>
      </c>
      <c r="L27" s="3">
        <f t="shared" si="25"/>
        <v>2.4638743609937935E-2</v>
      </c>
      <c r="M27" s="3">
        <f t="shared" si="25"/>
        <v>2.4613848376347142E-2</v>
      </c>
      <c r="N27" s="3">
        <f t="shared" si="25"/>
        <v>2.4366275346870584E-2</v>
      </c>
      <c r="O27" s="3">
        <f t="shared" si="25"/>
        <v>2.2023453084177986E-2</v>
      </c>
      <c r="P27" s="3">
        <f t="shared" si="25"/>
        <v>8.0139766591966529E-3</v>
      </c>
      <c r="Q27" s="3">
        <f t="shared" si="25"/>
        <v>3.2619302475212121E-7</v>
      </c>
      <c r="R27" s="3">
        <f t="shared" si="25"/>
        <v>4.0713706091411268E-51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2.1620149218776908E-2</v>
      </c>
      <c r="C28" s="18">
        <f t="shared" si="3"/>
        <v>2.412241796775583E-2</v>
      </c>
      <c r="D28" s="17"/>
      <c r="F28" s="3">
        <f t="shared" si="25"/>
        <v>2.4122417967511408E-2</v>
      </c>
      <c r="G28" s="3">
        <f t="shared" si="25"/>
        <v>2.4122417965311602E-2</v>
      </c>
      <c r="H28" s="3">
        <f t="shared" si="25"/>
        <v>2.4122417943313528E-2</v>
      </c>
      <c r="I28" s="3">
        <f t="shared" si="25"/>
        <v>2.4122417723332835E-2</v>
      </c>
      <c r="J28" s="3">
        <f t="shared" si="25"/>
        <v>2.412241552352597E-2</v>
      </c>
      <c r="K28" s="3">
        <f t="shared" si="25"/>
        <v>2.412239352546839E-2</v>
      </c>
      <c r="L28" s="3">
        <f t="shared" si="25"/>
        <v>2.4122173545995898E-2</v>
      </c>
      <c r="M28" s="3">
        <f t="shared" si="25"/>
        <v>2.4119973861601255E-2</v>
      </c>
      <c r="N28" s="3">
        <f t="shared" si="25"/>
        <v>2.4097988046961085E-2</v>
      </c>
      <c r="O28" s="3">
        <f t="shared" si="25"/>
        <v>2.3879229118782007E-2</v>
      </c>
      <c r="P28" s="3">
        <f t="shared" si="25"/>
        <v>2.1797941465918447E-2</v>
      </c>
      <c r="Q28" s="3">
        <f t="shared" si="25"/>
        <v>8.7572404954785864E-3</v>
      </c>
      <c r="R28" s="3">
        <f t="shared" si="25"/>
        <v>9.5914711104066199E-7</v>
      </c>
      <c r="S28" s="3">
        <f t="shared" si="25"/>
        <v>2.3826743340278326E-46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2.5568952011851304E-2</v>
      </c>
      <c r="C29" s="18">
        <f t="shared" si="3"/>
        <v>2.8528246553067089E-2</v>
      </c>
      <c r="D29" s="17"/>
      <c r="F29" s="3">
        <f t="shared" si="25"/>
        <v>2.8528246553041012E-2</v>
      </c>
      <c r="G29" s="3">
        <f t="shared" si="25"/>
        <v>2.8528246552806329E-2</v>
      </c>
      <c r="H29" s="3">
        <f t="shared" si="25"/>
        <v>2.8528246550459477E-2</v>
      </c>
      <c r="I29" s="3">
        <f t="shared" si="25"/>
        <v>2.8528246526990972E-2</v>
      </c>
      <c r="J29" s="3">
        <f t="shared" si="25"/>
        <v>2.8528246292305933E-2</v>
      </c>
      <c r="K29" s="3">
        <f t="shared" si="25"/>
        <v>2.8528243945455643E-2</v>
      </c>
      <c r="L29" s="3">
        <f t="shared" si="25"/>
        <v>2.8528220476963323E-2</v>
      </c>
      <c r="M29" s="3">
        <f t="shared" si="25"/>
        <v>2.8527985793101982E-2</v>
      </c>
      <c r="N29" s="3">
        <f t="shared" si="25"/>
        <v>2.8525639060668826E-2</v>
      </c>
      <c r="O29" s="3">
        <f t="shared" si="25"/>
        <v>2.8502182351131014E-2</v>
      </c>
      <c r="P29" s="3">
        <f t="shared" si="25"/>
        <v>2.8268673511322801E-2</v>
      </c>
      <c r="Q29" s="3">
        <f t="shared" si="25"/>
        <v>2.6036259236996477E-2</v>
      </c>
      <c r="R29" s="3">
        <f t="shared" si="25"/>
        <v>1.1436948296676902E-2</v>
      </c>
      <c r="S29" s="3">
        <f t="shared" si="25"/>
        <v>3.0593267566986482E-6</v>
      </c>
      <c r="T29" s="3">
        <f t="shared" si="25"/>
        <v>5.7382958776105634E-42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1.8865291970569024E-2</v>
      </c>
      <c r="C30" s="18">
        <f t="shared" si="3"/>
        <v>2.1048719571397968E-2</v>
      </c>
      <c r="D30" s="17"/>
      <c r="F30" s="3">
        <f t="shared" si="25"/>
        <v>2.1048719571396233E-2</v>
      </c>
      <c r="G30" s="3">
        <f t="shared" si="25"/>
        <v>2.104871957138061E-2</v>
      </c>
      <c r="H30" s="3">
        <f t="shared" si="25"/>
        <v>2.1048719571224412E-2</v>
      </c>
      <c r="I30" s="3">
        <f t="shared" si="25"/>
        <v>2.1048719569662405E-2</v>
      </c>
      <c r="J30" s="3">
        <f t="shared" si="25"/>
        <v>2.1048719554042351E-2</v>
      </c>
      <c r="K30" s="3">
        <f t="shared" si="25"/>
        <v>2.1048719397841784E-2</v>
      </c>
      <c r="L30" s="3">
        <f t="shared" si="25"/>
        <v>2.1048717835836197E-2</v>
      </c>
      <c r="M30" s="3">
        <f t="shared" si="25"/>
        <v>2.1048702215786714E-2</v>
      </c>
      <c r="N30" s="3">
        <f t="shared" si="25"/>
        <v>2.1048546015929391E-2</v>
      </c>
      <c r="O30" s="3">
        <f t="shared" si="25"/>
        <v>2.1046984081107473E-2</v>
      </c>
      <c r="P30" s="3">
        <f t="shared" si="25"/>
        <v>2.1031371106266995E-2</v>
      </c>
      <c r="Q30" s="3">
        <f t="shared" si="25"/>
        <v>2.0875876949238911E-2</v>
      </c>
      <c r="R30" s="3">
        <f t="shared" si="25"/>
        <v>1.9382783452380894E-2</v>
      </c>
      <c r="S30" s="3">
        <f t="shared" si="25"/>
        <v>9.2284826211163646E-3</v>
      </c>
      <c r="T30" s="3">
        <f t="shared" si="25"/>
        <v>5.5242312199804206E-6</v>
      </c>
      <c r="U30" s="3">
        <f t="shared" si="25"/>
        <v>3.2635279787705616E-38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2.7886658183287855E-2</v>
      </c>
      <c r="C31" s="18">
        <f t="shared" si="3"/>
        <v>3.1114198963852646E-2</v>
      </c>
      <c r="D31" s="17"/>
      <c r="F31" s="3">
        <f t="shared" si="25"/>
        <v>3.1114198963852414E-2</v>
      </c>
      <c r="G31" s="3">
        <f t="shared" si="25"/>
        <v>3.1114198963850332E-2</v>
      </c>
      <c r="H31" s="3">
        <f t="shared" si="25"/>
        <v>3.1114198963829501E-2</v>
      </c>
      <c r="I31" s="3">
        <f t="shared" si="25"/>
        <v>3.1114198963621217E-2</v>
      </c>
      <c r="J31" s="3">
        <f t="shared" si="25"/>
        <v>3.1114198961538345E-2</v>
      </c>
      <c r="K31" s="3">
        <f t="shared" si="25"/>
        <v>3.1114198940709648E-2</v>
      </c>
      <c r="L31" s="3">
        <f t="shared" si="25"/>
        <v>3.111419873242266E-2</v>
      </c>
      <c r="M31" s="3">
        <f t="shared" si="25"/>
        <v>3.1114196649552887E-2</v>
      </c>
      <c r="N31" s="3">
        <f t="shared" si="25"/>
        <v>3.1114175820862802E-2</v>
      </c>
      <c r="O31" s="3">
        <f t="shared" si="25"/>
        <v>3.111396753472884E-2</v>
      </c>
      <c r="P31" s="3">
        <f t="shared" si="25"/>
        <v>3.1111884750075251E-2</v>
      </c>
      <c r="Q31" s="3">
        <f t="shared" si="25"/>
        <v>3.1091064570245561E-2</v>
      </c>
      <c r="R31" s="3">
        <f t="shared" si="25"/>
        <v>3.0883627547011756E-2</v>
      </c>
      <c r="S31" s="3">
        <f t="shared" si="25"/>
        <v>2.8883874005384058E-2</v>
      </c>
      <c r="T31" s="3">
        <f t="shared" si="25"/>
        <v>1.4788590998856524E-2</v>
      </c>
      <c r="U31" s="3">
        <f t="shared" si="25"/>
        <v>1.8307977054281746E-5</v>
      </c>
      <c r="V31" s="3">
        <f t="shared" si="26"/>
        <v>1.5480178837003621E-34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2.2532818949576958E-2</v>
      </c>
      <c r="C32" s="18">
        <f t="shared" si="3"/>
        <v>2.5140718095571668E-2</v>
      </c>
      <c r="D32" s="17"/>
      <c r="F32" s="3">
        <f t="shared" si="25"/>
        <v>2.5140718095571651E-2</v>
      </c>
      <c r="G32" s="3">
        <f t="shared" si="25"/>
        <v>2.5140718095571502E-2</v>
      </c>
      <c r="H32" s="3">
        <f t="shared" si="25"/>
        <v>2.5140718095569982E-2</v>
      </c>
      <c r="I32" s="3">
        <f t="shared" si="25"/>
        <v>2.51407180955548E-2</v>
      </c>
      <c r="J32" s="3">
        <f t="shared" si="25"/>
        <v>2.514071809540298E-2</v>
      </c>
      <c r="K32" s="3">
        <f t="shared" si="25"/>
        <v>2.5140718093884785E-2</v>
      </c>
      <c r="L32" s="3">
        <f t="shared" si="25"/>
        <v>2.5140718078702825E-2</v>
      </c>
      <c r="M32" s="3">
        <f t="shared" si="25"/>
        <v>2.5140717926883251E-2</v>
      </c>
      <c r="N32" s="3">
        <f t="shared" si="25"/>
        <v>2.5140716408687525E-2</v>
      </c>
      <c r="O32" s="3">
        <f t="shared" si="25"/>
        <v>2.5140701226735309E-2</v>
      </c>
      <c r="P32" s="3">
        <f t="shared" si="25"/>
        <v>2.514054940771741E-2</v>
      </c>
      <c r="Q32" s="3">
        <f t="shared" si="25"/>
        <v>2.5139031267961555E-2</v>
      </c>
      <c r="R32" s="3">
        <f t="shared" si="25"/>
        <v>2.5123854911589423E-2</v>
      </c>
      <c r="S32" s="3">
        <f t="shared" si="25"/>
        <v>2.4972594341948883E-2</v>
      </c>
      <c r="T32" s="3">
        <f t="shared" si="25"/>
        <v>2.350918211025177E-2</v>
      </c>
      <c r="U32" s="3">
        <f t="shared" si="25"/>
        <v>1.2852159217831787E-2</v>
      </c>
      <c r="V32" s="3">
        <f t="shared" si="26"/>
        <v>3.0645158125064849E-5</v>
      </c>
      <c r="W32" s="3">
        <f t="shared" si="26"/>
        <v>1.820621056397011E-31</v>
      </c>
      <c r="X32" s="3">
        <f t="shared" si="26"/>
        <v>9.9723269302104421E-294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6.6092246207946417E-2</v>
      </c>
      <c r="C33" s="18">
        <f t="shared" si="3"/>
        <v>7.3741618123119579E-2</v>
      </c>
      <c r="D33" s="17"/>
      <c r="F33" s="3">
        <f t="shared" si="25"/>
        <v>7.3741618123119565E-2</v>
      </c>
      <c r="G33" s="3">
        <f t="shared" si="25"/>
        <v>7.3741618123119537E-2</v>
      </c>
      <c r="H33" s="3">
        <f t="shared" si="25"/>
        <v>7.3741618123119135E-2</v>
      </c>
      <c r="I33" s="3">
        <f t="shared" si="25"/>
        <v>7.374161812311511E-2</v>
      </c>
      <c r="J33" s="3">
        <f t="shared" si="25"/>
        <v>7.3741618123074948E-2</v>
      </c>
      <c r="K33" s="3">
        <f t="shared" si="25"/>
        <v>7.3741618122673228E-2</v>
      </c>
      <c r="L33" s="3">
        <f t="shared" si="25"/>
        <v>7.3741618118656163E-2</v>
      </c>
      <c r="M33" s="3">
        <f t="shared" si="25"/>
        <v>7.3741618078485463E-2</v>
      </c>
      <c r="N33" s="3">
        <f t="shared" si="25"/>
        <v>7.3741617676778518E-2</v>
      </c>
      <c r="O33" s="3">
        <f t="shared" si="25"/>
        <v>7.3741613659709049E-2</v>
      </c>
      <c r="P33" s="3">
        <f t="shared" si="25"/>
        <v>7.3741573489026449E-2</v>
      </c>
      <c r="Q33" s="3">
        <f t="shared" si="25"/>
        <v>7.3741171783403933E-2</v>
      </c>
      <c r="R33" s="3">
        <f t="shared" si="25"/>
        <v>7.3737154847532446E-2</v>
      </c>
      <c r="S33" s="3">
        <f t="shared" si="25"/>
        <v>7.3696997521750143E-2</v>
      </c>
      <c r="T33" s="3">
        <f t="shared" si="25"/>
        <v>7.3296625135384791E-2</v>
      </c>
      <c r="U33" s="3">
        <f t="shared" ref="P33:AE48" si="27">$C33*EXP(-U$15/$A33)</f>
        <v>6.9410602838520824E-2</v>
      </c>
      <c r="V33" s="3">
        <f t="shared" si="27"/>
        <v>4.0257258347642134E-2</v>
      </c>
      <c r="W33" s="3">
        <f t="shared" si="27"/>
        <v>1.7339156969631858E-4</v>
      </c>
      <c r="X33" s="3">
        <f t="shared" si="27"/>
        <v>3.8094810185413173E-28</v>
      </c>
      <c r="Y33" s="3">
        <f t="shared" si="27"/>
        <v>9.9826115328988084E-265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8.9489613681670965E-2</v>
      </c>
      <c r="C34" s="18">
        <f t="shared" si="3"/>
        <v>9.9846945696723061E-2</v>
      </c>
      <c r="D34" s="17"/>
      <c r="F34" s="3">
        <f t="shared" ref="F34:O48" si="28">$C34*EXP(-F$15/$A34)</f>
        <v>9.9846945696723061E-2</v>
      </c>
      <c r="G34" s="3">
        <f t="shared" si="28"/>
        <v>9.9846945696723061E-2</v>
      </c>
      <c r="H34" s="3">
        <f t="shared" si="28"/>
        <v>9.9846945696723005E-2</v>
      </c>
      <c r="I34" s="3">
        <f t="shared" si="28"/>
        <v>9.9846945696722519E-2</v>
      </c>
      <c r="J34" s="3">
        <f t="shared" si="28"/>
        <v>9.9846945696717607E-2</v>
      </c>
      <c r="K34" s="3">
        <f t="shared" si="28"/>
        <v>9.9846945696668549E-2</v>
      </c>
      <c r="L34" s="3">
        <f t="shared" si="28"/>
        <v>9.9846945696177886E-2</v>
      </c>
      <c r="M34" s="3">
        <f t="shared" si="28"/>
        <v>9.9846945691271324E-2</v>
      </c>
      <c r="N34" s="3">
        <f t="shared" si="28"/>
        <v>9.9846945642205601E-2</v>
      </c>
      <c r="O34" s="3">
        <f t="shared" si="28"/>
        <v>9.984694515154853E-2</v>
      </c>
      <c r="P34" s="3">
        <f t="shared" si="27"/>
        <v>9.9846940244977894E-2</v>
      </c>
      <c r="Q34" s="3">
        <f t="shared" si="27"/>
        <v>9.9846891179284802E-2</v>
      </c>
      <c r="R34" s="3">
        <f t="shared" si="27"/>
        <v>9.9846400523680046E-2</v>
      </c>
      <c r="S34" s="3">
        <f t="shared" si="27"/>
        <v>9.9841494100242192E-2</v>
      </c>
      <c r="T34" s="3">
        <f t="shared" si="27"/>
        <v>9.9792443124422078E-2</v>
      </c>
      <c r="U34" s="3">
        <f t="shared" si="27"/>
        <v>9.9303256814540844E-2</v>
      </c>
      <c r="V34" s="3">
        <f t="shared" si="27"/>
        <v>9.4541363537801529E-2</v>
      </c>
      <c r="W34" s="3">
        <f t="shared" si="27"/>
        <v>5.7836973261393247E-2</v>
      </c>
      <c r="X34" s="3">
        <f t="shared" si="27"/>
        <v>4.2466113201098358E-4</v>
      </c>
      <c r="Y34" s="3">
        <f t="shared" si="27"/>
        <v>1.9338022955357823E-25</v>
      </c>
      <c r="Z34" s="3">
        <f t="shared" si="27"/>
        <v>7.414940229972455E-239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7.6146829636259447E-2</v>
      </c>
      <c r="C35" s="18">
        <f t="shared" si="3"/>
        <v>8.4959897030223219E-2</v>
      </c>
      <c r="D35" s="17"/>
      <c r="F35" s="3">
        <f t="shared" si="28"/>
        <v>8.4959897030223219E-2</v>
      </c>
      <c r="G35" s="3">
        <f t="shared" si="28"/>
        <v>8.4959897030223219E-2</v>
      </c>
      <c r="H35" s="3">
        <f t="shared" si="28"/>
        <v>8.4959897030223219E-2</v>
      </c>
      <c r="I35" s="3">
        <f t="shared" si="28"/>
        <v>8.4959897030223178E-2</v>
      </c>
      <c r="J35" s="3">
        <f t="shared" si="28"/>
        <v>8.4959897030222803E-2</v>
      </c>
      <c r="K35" s="3">
        <f t="shared" si="28"/>
        <v>8.4959897030219028E-2</v>
      </c>
      <c r="L35" s="3">
        <f t="shared" si="28"/>
        <v>8.4959897030181378E-2</v>
      </c>
      <c r="M35" s="3">
        <f t="shared" si="28"/>
        <v>8.4959897029804748E-2</v>
      </c>
      <c r="N35" s="3">
        <f t="shared" si="28"/>
        <v>8.4959897026038539E-2</v>
      </c>
      <c r="O35" s="3">
        <f t="shared" si="28"/>
        <v>8.4959896988376499E-2</v>
      </c>
      <c r="P35" s="3">
        <f t="shared" si="27"/>
        <v>8.4959896611756097E-2</v>
      </c>
      <c r="Q35" s="3">
        <f t="shared" si="27"/>
        <v>8.4959892845552096E-2</v>
      </c>
      <c r="R35" s="3">
        <f t="shared" si="27"/>
        <v>8.4959855183521255E-2</v>
      </c>
      <c r="S35" s="3">
        <f t="shared" si="27"/>
        <v>8.4959478564131136E-2</v>
      </c>
      <c r="T35" s="3">
        <f t="shared" si="27"/>
        <v>8.4955712462052316E-2</v>
      </c>
      <c r="U35" s="3">
        <f t="shared" si="27"/>
        <v>8.4918060621995237E-2</v>
      </c>
      <c r="V35" s="3">
        <f t="shared" si="27"/>
        <v>8.4542458790523842E-2</v>
      </c>
      <c r="W35" s="3">
        <f t="shared" si="27"/>
        <v>8.087661170640012E-2</v>
      </c>
      <c r="X35" s="3">
        <f t="shared" si="27"/>
        <v>5.1916294489880693E-2</v>
      </c>
      <c r="Y35" s="3">
        <f t="shared" si="27"/>
        <v>6.1675272378810717E-4</v>
      </c>
      <c r="Z35" s="3">
        <f t="shared" si="27"/>
        <v>3.4529076666227603E-23</v>
      </c>
      <c r="AA35" s="3">
        <f t="shared" si="27"/>
        <v>1.0445370640520869E-215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5.7261291283325307E-2</v>
      </c>
      <c r="C36" s="18">
        <f t="shared" si="3"/>
        <v>6.3888587804479924E-2</v>
      </c>
      <c r="D36" s="17"/>
      <c r="F36" s="3">
        <f t="shared" si="28"/>
        <v>6.3888587804479924E-2</v>
      </c>
      <c r="G36" s="3">
        <f t="shared" si="28"/>
        <v>6.3888587804479924E-2</v>
      </c>
      <c r="H36" s="3">
        <f t="shared" si="28"/>
        <v>6.3888587804479924E-2</v>
      </c>
      <c r="I36" s="3">
        <f t="shared" si="28"/>
        <v>6.3888587804479924E-2</v>
      </c>
      <c r="J36" s="3">
        <f t="shared" si="28"/>
        <v>6.3888587804479896E-2</v>
      </c>
      <c r="K36" s="3">
        <f t="shared" si="28"/>
        <v>6.3888587804479646E-2</v>
      </c>
      <c r="L36" s="3">
        <f t="shared" si="28"/>
        <v>6.3888587804477093E-2</v>
      </c>
      <c r="M36" s="3">
        <f t="shared" si="28"/>
        <v>6.3888587804451544E-2</v>
      </c>
      <c r="N36" s="3">
        <f t="shared" si="28"/>
        <v>6.3888587804196054E-2</v>
      </c>
      <c r="O36" s="3">
        <f t="shared" si="28"/>
        <v>6.3888587801641236E-2</v>
      </c>
      <c r="P36" s="3">
        <f t="shared" si="27"/>
        <v>6.3888587776093075E-2</v>
      </c>
      <c r="Q36" s="3">
        <f t="shared" si="27"/>
        <v>6.3888587520611398E-2</v>
      </c>
      <c r="R36" s="3">
        <f t="shared" si="27"/>
        <v>6.3888584965794706E-2</v>
      </c>
      <c r="S36" s="3">
        <f t="shared" si="27"/>
        <v>6.3888559417633481E-2</v>
      </c>
      <c r="T36" s="3">
        <f t="shared" si="27"/>
        <v>6.3888303936583082E-2</v>
      </c>
      <c r="U36" s="3">
        <f t="shared" si="27"/>
        <v>6.3885749182268081E-2</v>
      </c>
      <c r="V36" s="3">
        <f t="shared" si="27"/>
        <v>6.3860207257192866E-2</v>
      </c>
      <c r="W36" s="3">
        <f t="shared" si="27"/>
        <v>6.3605348983567594E-2</v>
      </c>
      <c r="X36" s="3">
        <f t="shared" si="27"/>
        <v>6.1112042753259162E-2</v>
      </c>
      <c r="Y36" s="3">
        <f t="shared" si="27"/>
        <v>4.0969287509011881E-2</v>
      </c>
      <c r="Z36" s="3">
        <f t="shared" si="27"/>
        <v>7.5123275469086395E-4</v>
      </c>
      <c r="AA36" s="3">
        <f t="shared" si="27"/>
        <v>3.2280150981626427E-21</v>
      </c>
      <c r="AB36" s="3">
        <f t="shared" si="27"/>
        <v>6.927012578987442E-195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5.7680858472685809E-2</v>
      </c>
      <c r="C37" s="18">
        <f t="shared" si="3"/>
        <v>6.4356714781999613E-2</v>
      </c>
      <c r="D37" s="17"/>
      <c r="F37" s="3">
        <f t="shared" si="28"/>
        <v>6.4356714781999613E-2</v>
      </c>
      <c r="G37" s="3">
        <f t="shared" si="28"/>
        <v>6.4356714781999613E-2</v>
      </c>
      <c r="H37" s="3">
        <f t="shared" si="28"/>
        <v>6.4356714781999613E-2</v>
      </c>
      <c r="I37" s="3">
        <f t="shared" si="28"/>
        <v>6.4356714781999613E-2</v>
      </c>
      <c r="J37" s="3">
        <f t="shared" si="28"/>
        <v>6.4356714781999613E-2</v>
      </c>
      <c r="K37" s="3">
        <f t="shared" si="28"/>
        <v>6.4356714781999586E-2</v>
      </c>
      <c r="L37" s="3">
        <f t="shared" si="28"/>
        <v>6.435671478199935E-2</v>
      </c>
      <c r="M37" s="3">
        <f t="shared" si="28"/>
        <v>6.4356714781997032E-2</v>
      </c>
      <c r="N37" s="3">
        <f t="shared" si="28"/>
        <v>6.4356714781973814E-2</v>
      </c>
      <c r="O37" s="3">
        <f t="shared" si="28"/>
        <v>6.4356714781741667E-2</v>
      </c>
      <c r="P37" s="3">
        <f t="shared" si="27"/>
        <v>6.4356714779420121E-2</v>
      </c>
      <c r="Q37" s="3">
        <f t="shared" si="27"/>
        <v>6.4356714756204678E-2</v>
      </c>
      <c r="R37" s="3">
        <f t="shared" si="27"/>
        <v>6.4356714524050285E-2</v>
      </c>
      <c r="S37" s="3">
        <f t="shared" si="27"/>
        <v>6.43567122025063E-2</v>
      </c>
      <c r="T37" s="3">
        <f t="shared" si="27"/>
        <v>6.4356688987071212E-2</v>
      </c>
      <c r="U37" s="3">
        <f t="shared" si="27"/>
        <v>6.4356456833180808E-2</v>
      </c>
      <c r="V37" s="3">
        <f t="shared" si="27"/>
        <v>6.4354135340335961E-2</v>
      </c>
      <c r="W37" s="3">
        <f t="shared" si="27"/>
        <v>6.4330925017191065E-2</v>
      </c>
      <c r="X37" s="3">
        <f t="shared" si="27"/>
        <v>6.409928170202274E-2</v>
      </c>
      <c r="Y37" s="3">
        <f t="shared" si="27"/>
        <v>6.1828232204601659E-2</v>
      </c>
      <c r="Z37" s="3">
        <f t="shared" si="27"/>
        <v>4.3104587572402535E-2</v>
      </c>
      <c r="AA37" s="3">
        <f t="shared" si="27"/>
        <v>1.1692035946102922E-3</v>
      </c>
      <c r="AB37" s="3">
        <f t="shared" si="27"/>
        <v>2.5209058138053492E-19</v>
      </c>
      <c r="AC37" s="3">
        <f t="shared" si="27"/>
        <v>5.4729489788581111E-176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2.1297980317117438E-2</v>
      </c>
      <c r="C38" s="18">
        <f t="shared" si="3"/>
        <v>2.3762961942572935E-2</v>
      </c>
      <c r="D38" s="17"/>
      <c r="F38" s="3">
        <f t="shared" si="28"/>
        <v>2.3762961942572935E-2</v>
      </c>
      <c r="G38" s="3">
        <f t="shared" si="28"/>
        <v>2.3762961942572935E-2</v>
      </c>
      <c r="H38" s="3">
        <f t="shared" si="28"/>
        <v>2.3762961942572935E-2</v>
      </c>
      <c r="I38" s="3">
        <f t="shared" si="28"/>
        <v>2.3762961942572935E-2</v>
      </c>
      <c r="J38" s="3">
        <f t="shared" si="28"/>
        <v>2.3762961942572935E-2</v>
      </c>
      <c r="K38" s="3">
        <f t="shared" si="28"/>
        <v>2.3762961942572935E-2</v>
      </c>
      <c r="L38" s="3">
        <f t="shared" si="28"/>
        <v>2.3762961942572929E-2</v>
      </c>
      <c r="M38" s="3">
        <f t="shared" si="28"/>
        <v>2.3762961942572849E-2</v>
      </c>
      <c r="N38" s="3">
        <f t="shared" si="28"/>
        <v>2.3762961942572075E-2</v>
      </c>
      <c r="O38" s="3">
        <f t="shared" si="28"/>
        <v>2.3762961942564342E-2</v>
      </c>
      <c r="P38" s="3">
        <f t="shared" si="27"/>
        <v>2.3762961942487018E-2</v>
      </c>
      <c r="Q38" s="3">
        <f t="shared" si="27"/>
        <v>2.3762961941713748E-2</v>
      </c>
      <c r="R38" s="3">
        <f t="shared" si="27"/>
        <v>2.3762961933981065E-2</v>
      </c>
      <c r="S38" s="3">
        <f t="shared" si="27"/>
        <v>2.3762961856654233E-2</v>
      </c>
      <c r="T38" s="3">
        <f t="shared" si="27"/>
        <v>2.3762961083385926E-2</v>
      </c>
      <c r="U38" s="3">
        <f t="shared" si="27"/>
        <v>2.3762953350704222E-2</v>
      </c>
      <c r="V38" s="3">
        <f t="shared" si="27"/>
        <v>2.3762876024025607E-2</v>
      </c>
      <c r="W38" s="3">
        <f t="shared" si="27"/>
        <v>2.3762102771078823E-2</v>
      </c>
      <c r="X38" s="3">
        <f t="shared" si="27"/>
        <v>2.3754371625382721E-2</v>
      </c>
      <c r="Y38" s="3">
        <f t="shared" si="27"/>
        <v>2.3677198379133339E-2</v>
      </c>
      <c r="Z38" s="3">
        <f t="shared" si="27"/>
        <v>2.291912201875089E-2</v>
      </c>
      <c r="AA38" s="3">
        <f t="shared" si="27"/>
        <v>1.6552919966595591E-2</v>
      </c>
      <c r="AB38" s="3">
        <f t="shared" si="27"/>
        <v>6.3920623155070062E-4</v>
      </c>
      <c r="AC38" s="3">
        <f t="shared" si="27"/>
        <v>4.7130804165622871E-18</v>
      </c>
      <c r="AD38" s="3">
        <f t="shared" si="27"/>
        <v>2.2384291209858962E-159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3.8355254392348971E-2</v>
      </c>
      <c r="C39" s="18">
        <f t="shared" si="3"/>
        <v>4.2794407584768095E-2</v>
      </c>
      <c r="D39" s="17"/>
      <c r="F39" s="3">
        <f t="shared" si="28"/>
        <v>4.2794407584768095E-2</v>
      </c>
      <c r="G39" s="3">
        <f t="shared" si="28"/>
        <v>4.2794407584768095E-2</v>
      </c>
      <c r="H39" s="3">
        <f t="shared" si="28"/>
        <v>4.2794407584768095E-2</v>
      </c>
      <c r="I39" s="3">
        <f t="shared" si="28"/>
        <v>4.2794407584768095E-2</v>
      </c>
      <c r="J39" s="3">
        <f t="shared" si="28"/>
        <v>4.2794407584768095E-2</v>
      </c>
      <c r="K39" s="3">
        <f t="shared" si="28"/>
        <v>4.2794407584768095E-2</v>
      </c>
      <c r="L39" s="3">
        <f t="shared" si="28"/>
        <v>4.2794407584768088E-2</v>
      </c>
      <c r="M39" s="3">
        <f t="shared" si="28"/>
        <v>4.2794407584768053E-2</v>
      </c>
      <c r="N39" s="3">
        <f t="shared" si="28"/>
        <v>4.2794407584767664E-2</v>
      </c>
      <c r="O39" s="3">
        <f t="shared" si="28"/>
        <v>4.2794407584763813E-2</v>
      </c>
      <c r="P39" s="3">
        <f t="shared" si="27"/>
        <v>4.2794407584725302E-2</v>
      </c>
      <c r="Q39" s="3">
        <f t="shared" si="27"/>
        <v>4.2794407584340152E-2</v>
      </c>
      <c r="R39" s="3">
        <f t="shared" si="27"/>
        <v>4.2794407580488657E-2</v>
      </c>
      <c r="S39" s="3">
        <f t="shared" si="27"/>
        <v>4.2794407541973688E-2</v>
      </c>
      <c r="T39" s="3">
        <f t="shared" si="27"/>
        <v>4.2794407156824019E-2</v>
      </c>
      <c r="U39" s="3">
        <f t="shared" si="27"/>
        <v>4.279440330532755E-2</v>
      </c>
      <c r="V39" s="3">
        <f t="shared" si="27"/>
        <v>4.2794364790381907E-2</v>
      </c>
      <c r="W39" s="3">
        <f t="shared" si="27"/>
        <v>4.2793979642831957E-2</v>
      </c>
      <c r="X39" s="3">
        <f t="shared" si="27"/>
        <v>4.2790128357974522E-2</v>
      </c>
      <c r="Y39" s="3">
        <f t="shared" si="27"/>
        <v>4.2751634567256502E-2</v>
      </c>
      <c r="Z39" s="3">
        <f t="shared" si="27"/>
        <v>4.2368596114693791E-2</v>
      </c>
      <c r="AA39" s="3">
        <f t="shared" si="27"/>
        <v>3.8721981265380047E-2</v>
      </c>
      <c r="AB39" s="3">
        <f t="shared" si="27"/>
        <v>1.5743182747547421E-2</v>
      </c>
      <c r="AC39" s="3">
        <f t="shared" si="27"/>
        <v>1.9428630985756205E-6</v>
      </c>
      <c r="AD39" s="3">
        <f t="shared" si="27"/>
        <v>1.5919844756413963E-45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2.0450409207667979E-2</v>
      </c>
      <c r="C40" s="18">
        <f t="shared" si="3"/>
        <v>2.2817294808056693E-2</v>
      </c>
      <c r="D40" s="17"/>
      <c r="F40" s="3">
        <f t="shared" si="28"/>
        <v>2.2817294808056693E-2</v>
      </c>
      <c r="G40" s="3">
        <f t="shared" si="28"/>
        <v>2.2817294808056693E-2</v>
      </c>
      <c r="H40" s="3">
        <f t="shared" si="28"/>
        <v>2.2817294808056693E-2</v>
      </c>
      <c r="I40" s="3">
        <f t="shared" si="28"/>
        <v>2.2817294808056693E-2</v>
      </c>
      <c r="J40" s="3">
        <f t="shared" si="28"/>
        <v>2.2817294808056693E-2</v>
      </c>
      <c r="K40" s="3">
        <f t="shared" si="28"/>
        <v>2.2817294808056693E-2</v>
      </c>
      <c r="L40" s="3">
        <f t="shared" si="28"/>
        <v>2.2817294808056693E-2</v>
      </c>
      <c r="M40" s="3">
        <f t="shared" si="28"/>
        <v>2.2817294808056689E-2</v>
      </c>
      <c r="N40" s="3">
        <f t="shared" si="28"/>
        <v>2.2817294808056669E-2</v>
      </c>
      <c r="O40" s="3">
        <f t="shared" si="28"/>
        <v>2.2817294808056464E-2</v>
      </c>
      <c r="P40" s="3">
        <f t="shared" si="27"/>
        <v>2.281729480805441E-2</v>
      </c>
      <c r="Q40" s="3">
        <f t="shared" si="27"/>
        <v>2.2817294808033878E-2</v>
      </c>
      <c r="R40" s="3">
        <f t="shared" si="27"/>
        <v>2.2817294807828521E-2</v>
      </c>
      <c r="S40" s="3">
        <f t="shared" si="27"/>
        <v>2.2817294805774962E-2</v>
      </c>
      <c r="T40" s="3">
        <f t="shared" si="27"/>
        <v>2.28172947852394E-2</v>
      </c>
      <c r="U40" s="3">
        <f t="shared" si="27"/>
        <v>2.2817294579883747E-2</v>
      </c>
      <c r="V40" s="3">
        <f t="shared" si="27"/>
        <v>2.2817292526327328E-2</v>
      </c>
      <c r="W40" s="3">
        <f t="shared" si="27"/>
        <v>2.2817271990773293E-2</v>
      </c>
      <c r="X40" s="3">
        <f t="shared" si="27"/>
        <v>2.2817066636249474E-2</v>
      </c>
      <c r="Y40" s="3">
        <f t="shared" si="27"/>
        <v>2.2815013192658558E-2</v>
      </c>
      <c r="Z40" s="3">
        <f t="shared" si="27"/>
        <v>2.2794488918094109E-2</v>
      </c>
      <c r="AA40" s="3">
        <f t="shared" si="27"/>
        <v>2.2590258931322285E-2</v>
      </c>
      <c r="AB40" s="3">
        <f t="shared" si="27"/>
        <v>2.0645942120687322E-2</v>
      </c>
      <c r="AC40" s="3">
        <f t="shared" si="27"/>
        <v>8.3940136630319493E-3</v>
      </c>
      <c r="AD40" s="3">
        <f t="shared" si="27"/>
        <v>1.0359035816556843E-6</v>
      </c>
      <c r="AE40" s="3">
        <f t="shared" si="27"/>
        <v>8.4882070253236654E-46</v>
      </c>
      <c r="AF40" s="3">
        <f t="shared" si="29"/>
        <v>0</v>
      </c>
      <c r="AG40" s="3">
        <f t="shared" si="29"/>
        <v>0</v>
      </c>
      <c r="AH40" s="3">
        <f t="shared" si="29"/>
        <v>0</v>
      </c>
      <c r="AI40" s="3">
        <f t="shared" si="29"/>
        <v>0</v>
      </c>
      <c r="AJ40" s="3">
        <f t="shared" si="29"/>
        <v>0</v>
      </c>
    </row>
    <row r="41" spans="1:36" x14ac:dyDescent="0.25">
      <c r="A41" s="3">
        <f t="shared" si="30"/>
        <v>1000000000</v>
      </c>
      <c r="B41" s="106">
        <v>1.4227418294709644E-2</v>
      </c>
      <c r="C41" s="18">
        <f t="shared" si="3"/>
        <v>1.5874068547548043E-2</v>
      </c>
      <c r="D41" s="17"/>
      <c r="F41" s="3">
        <f t="shared" si="28"/>
        <v>1.5874068547548043E-2</v>
      </c>
      <c r="G41" s="3">
        <f t="shared" si="28"/>
        <v>1.5874068547548043E-2</v>
      </c>
      <c r="H41" s="3">
        <f t="shared" si="28"/>
        <v>1.5874068547548043E-2</v>
      </c>
      <c r="I41" s="3">
        <f t="shared" si="28"/>
        <v>1.5874068547548043E-2</v>
      </c>
      <c r="J41" s="3">
        <f t="shared" si="28"/>
        <v>1.5874068547548043E-2</v>
      </c>
      <c r="K41" s="3">
        <f t="shared" si="28"/>
        <v>1.5874068547548043E-2</v>
      </c>
      <c r="L41" s="3">
        <f t="shared" si="28"/>
        <v>1.5874068547548043E-2</v>
      </c>
      <c r="M41" s="3">
        <f t="shared" si="28"/>
        <v>1.5874068547548043E-2</v>
      </c>
      <c r="N41" s="3">
        <f t="shared" si="28"/>
        <v>1.587406854754804E-2</v>
      </c>
      <c r="O41" s="3">
        <f t="shared" si="28"/>
        <v>1.5874068547548026E-2</v>
      </c>
      <c r="P41" s="3">
        <f t="shared" si="27"/>
        <v>1.5874068547547884E-2</v>
      </c>
      <c r="Q41" s="3">
        <f t="shared" si="27"/>
        <v>1.5874068547546454E-2</v>
      </c>
      <c r="R41" s="3">
        <f t="shared" si="27"/>
        <v>1.5874068547532171E-2</v>
      </c>
      <c r="S41" s="3">
        <f t="shared" si="27"/>
        <v>1.5874068547389302E-2</v>
      </c>
      <c r="T41" s="3">
        <f t="shared" si="27"/>
        <v>1.5874068545960636E-2</v>
      </c>
      <c r="U41" s="3">
        <f t="shared" si="27"/>
        <v>1.5874068531673974E-2</v>
      </c>
      <c r="V41" s="3">
        <f t="shared" si="27"/>
        <v>1.5874068388807359E-2</v>
      </c>
      <c r="W41" s="3">
        <f t="shared" si="27"/>
        <v>1.5874066960141268E-2</v>
      </c>
      <c r="X41" s="3">
        <f t="shared" si="27"/>
        <v>1.5874052673487432E-2</v>
      </c>
      <c r="Y41" s="3">
        <f t="shared" si="27"/>
        <v>1.5873909807656267E-2</v>
      </c>
      <c r="Z41" s="3">
        <f t="shared" si="27"/>
        <v>1.5872481220060984E-2</v>
      </c>
      <c r="AA41" s="3">
        <f t="shared" si="27"/>
        <v>1.5858202413389751E-2</v>
      </c>
      <c r="AB41" s="3">
        <f t="shared" si="27"/>
        <v>1.5716118926422839E-2</v>
      </c>
      <c r="AC41" s="3">
        <f t="shared" si="27"/>
        <v>1.4363451198289206E-2</v>
      </c>
      <c r="AD41" s="3">
        <f t="shared" si="27"/>
        <v>5.8397434663891431E-3</v>
      </c>
      <c r="AE41" s="3">
        <f t="shared" si="27"/>
        <v>7.2068159710355114E-7</v>
      </c>
      <c r="AF41" s="3">
        <f t="shared" si="29"/>
        <v>5.9052741045441444E-46</v>
      </c>
      <c r="AG41" s="3">
        <f t="shared" si="29"/>
        <v>0</v>
      </c>
      <c r="AH41" s="3">
        <f t="shared" si="29"/>
        <v>0</v>
      </c>
      <c r="AI41" s="3">
        <f t="shared" si="29"/>
        <v>0</v>
      </c>
      <c r="AJ41" s="3">
        <f t="shared" si="29"/>
        <v>0</v>
      </c>
    </row>
    <row r="42" spans="1:36" x14ac:dyDescent="0.25">
      <c r="A42" s="3">
        <f t="shared" si="30"/>
        <v>10000000000</v>
      </c>
      <c r="B42" s="106">
        <v>4.9675143676303829E-3</v>
      </c>
      <c r="C42" s="18">
        <f t="shared" si="3"/>
        <v>5.5424436077778048E-3</v>
      </c>
      <c r="D42" s="17"/>
      <c r="F42" s="3">
        <f t="shared" si="28"/>
        <v>5.5424436077778048E-3</v>
      </c>
      <c r="G42" s="3">
        <f t="shared" si="28"/>
        <v>5.5424436077778048E-3</v>
      </c>
      <c r="H42" s="3">
        <f t="shared" si="28"/>
        <v>5.5424436077778048E-3</v>
      </c>
      <c r="I42" s="3">
        <f t="shared" si="28"/>
        <v>5.5424436077778048E-3</v>
      </c>
      <c r="J42" s="3">
        <f t="shared" si="28"/>
        <v>5.5424436077778048E-3</v>
      </c>
      <c r="K42" s="3">
        <f t="shared" si="28"/>
        <v>5.5424436077778048E-3</v>
      </c>
      <c r="L42" s="3">
        <f t="shared" si="28"/>
        <v>5.5424436077778048E-3</v>
      </c>
      <c r="M42" s="3">
        <f t="shared" si="28"/>
        <v>5.5424436077778048E-3</v>
      </c>
      <c r="N42" s="3">
        <f t="shared" si="28"/>
        <v>5.5424436077778048E-3</v>
      </c>
      <c r="O42" s="3">
        <f t="shared" si="28"/>
        <v>5.542443607777804E-3</v>
      </c>
      <c r="P42" s="3">
        <f t="shared" si="27"/>
        <v>5.5424436077777996E-3</v>
      </c>
      <c r="Q42" s="3">
        <f t="shared" si="27"/>
        <v>5.5424436077777493E-3</v>
      </c>
      <c r="R42" s="3">
        <f t="shared" si="27"/>
        <v>5.5424436077772506E-3</v>
      </c>
      <c r="S42" s="3">
        <f t="shared" si="27"/>
        <v>5.5424436077722624E-3</v>
      </c>
      <c r="T42" s="3">
        <f t="shared" si="27"/>
        <v>5.5424436077223804E-3</v>
      </c>
      <c r="U42" s="3">
        <f t="shared" si="27"/>
        <v>5.5424436072235607E-3</v>
      </c>
      <c r="V42" s="3">
        <f t="shared" si="27"/>
        <v>5.5424436022353616E-3</v>
      </c>
      <c r="W42" s="3">
        <f t="shared" si="27"/>
        <v>5.542443552353369E-3</v>
      </c>
      <c r="X42" s="3">
        <f t="shared" si="27"/>
        <v>5.5424430535334721E-3</v>
      </c>
      <c r="Y42" s="3">
        <f t="shared" si="27"/>
        <v>5.5424380653369687E-3</v>
      </c>
      <c r="Z42" s="3">
        <f t="shared" si="27"/>
        <v>5.5423881836188481E-3</v>
      </c>
      <c r="AA42" s="3">
        <f t="shared" si="27"/>
        <v>5.5418893911283211E-3</v>
      </c>
      <c r="AB42" s="3">
        <f t="shared" si="27"/>
        <v>5.5369039344683214E-3</v>
      </c>
      <c r="AC42" s="3">
        <f t="shared" si="27"/>
        <v>5.4872953724445549E-3</v>
      </c>
      <c r="AD42" s="3">
        <f t="shared" si="27"/>
        <v>5.0150103636715775E-3</v>
      </c>
      <c r="AE42" s="3">
        <f t="shared" si="27"/>
        <v>2.0389510571535317E-3</v>
      </c>
      <c r="AF42" s="3">
        <f t="shared" si="29"/>
        <v>2.5162655050564549E-7</v>
      </c>
      <c r="AG42" s="3">
        <f t="shared" si="29"/>
        <v>2.0618311313744462E-46</v>
      </c>
      <c r="AH42" s="3">
        <f t="shared" si="29"/>
        <v>0</v>
      </c>
      <c r="AI42" s="3">
        <f t="shared" si="29"/>
        <v>0</v>
      </c>
      <c r="AJ42" s="3">
        <f t="shared" si="29"/>
        <v>0</v>
      </c>
    </row>
    <row r="43" spans="1:36" x14ac:dyDescent="0.25">
      <c r="A43" s="3">
        <f t="shared" si="30"/>
        <v>100000000000</v>
      </c>
      <c r="B43" s="106">
        <v>3.4830144507649939E-3</v>
      </c>
      <c r="C43" s="18">
        <f t="shared" si="3"/>
        <v>3.8861309197679899E-3</v>
      </c>
      <c r="D43" s="17"/>
      <c r="F43" s="3">
        <f t="shared" si="28"/>
        <v>3.8861309197679899E-3</v>
      </c>
      <c r="G43" s="3">
        <f t="shared" si="28"/>
        <v>3.8861309197679899E-3</v>
      </c>
      <c r="H43" s="3">
        <f t="shared" si="28"/>
        <v>3.8861309197679899E-3</v>
      </c>
      <c r="I43" s="3">
        <f t="shared" si="28"/>
        <v>3.8861309197679899E-3</v>
      </c>
      <c r="J43" s="3">
        <f t="shared" si="28"/>
        <v>3.8861309197679899E-3</v>
      </c>
      <c r="K43" s="3">
        <f t="shared" si="28"/>
        <v>3.8861309197679899E-3</v>
      </c>
      <c r="L43" s="3">
        <f t="shared" si="28"/>
        <v>3.8861309197679899E-3</v>
      </c>
      <c r="M43" s="3">
        <f t="shared" si="28"/>
        <v>3.8861309197679899E-3</v>
      </c>
      <c r="N43" s="3">
        <f t="shared" si="28"/>
        <v>3.8861309197679899E-3</v>
      </c>
      <c r="O43" s="3">
        <f t="shared" si="28"/>
        <v>3.8861309197679899E-3</v>
      </c>
      <c r="P43" s="3">
        <f t="shared" si="27"/>
        <v>3.8861309197679894E-3</v>
      </c>
      <c r="Q43" s="3">
        <f t="shared" si="27"/>
        <v>3.886130919767986E-3</v>
      </c>
      <c r="R43" s="3">
        <f t="shared" si="27"/>
        <v>3.8861309197679508E-3</v>
      </c>
      <c r="S43" s="3">
        <f t="shared" si="27"/>
        <v>3.8861309197676013E-3</v>
      </c>
      <c r="T43" s="3">
        <f t="shared" si="27"/>
        <v>3.8861309197641036E-3</v>
      </c>
      <c r="U43" s="3">
        <f t="shared" si="27"/>
        <v>3.8861309197291286E-3</v>
      </c>
      <c r="V43" s="3">
        <f t="shared" si="27"/>
        <v>3.8861309193793767E-3</v>
      </c>
      <c r="W43" s="3">
        <f t="shared" si="27"/>
        <v>3.8861309158818589E-3</v>
      </c>
      <c r="X43" s="3">
        <f t="shared" si="27"/>
        <v>3.8861308809066807E-3</v>
      </c>
      <c r="Y43" s="3">
        <f t="shared" si="27"/>
        <v>3.8861305311549176E-3</v>
      </c>
      <c r="Z43" s="3">
        <f t="shared" si="27"/>
        <v>3.8861270336390131E-3</v>
      </c>
      <c r="AA43" s="3">
        <f t="shared" si="27"/>
        <v>3.8860920586530978E-3</v>
      </c>
      <c r="AB43" s="3">
        <f t="shared" si="27"/>
        <v>3.88574232610602E-3</v>
      </c>
      <c r="AC43" s="3">
        <f t="shared" si="27"/>
        <v>3.8822467312661555E-3</v>
      </c>
      <c r="AD43" s="3">
        <f t="shared" si="27"/>
        <v>3.8474632710438E-3</v>
      </c>
      <c r="AE43" s="3">
        <f t="shared" si="27"/>
        <v>3.5163166675925765E-3</v>
      </c>
      <c r="AF43" s="3">
        <f t="shared" si="29"/>
        <v>1.4296276710833113E-3</v>
      </c>
      <c r="AG43" s="3">
        <f t="shared" si="29"/>
        <v>1.7643007080528739E-7</v>
      </c>
      <c r="AH43" s="3">
        <f t="shared" si="29"/>
        <v>1.4456702274300655E-46</v>
      </c>
      <c r="AI43" s="3">
        <f t="shared" si="29"/>
        <v>0</v>
      </c>
      <c r="AJ43" s="3">
        <f t="shared" si="29"/>
        <v>0</v>
      </c>
    </row>
    <row r="44" spans="1:36" x14ac:dyDescent="0.25">
      <c r="A44" s="3">
        <f t="shared" si="30"/>
        <v>1000000000000</v>
      </c>
      <c r="B44" s="106">
        <v>1.8504097407341864E-3</v>
      </c>
      <c r="C44" s="18">
        <f t="shared" si="3"/>
        <v>2.064572113999586E-3</v>
      </c>
      <c r="D44" s="17"/>
      <c r="F44" s="3">
        <f t="shared" si="28"/>
        <v>2.064572113999586E-3</v>
      </c>
      <c r="G44" s="3">
        <f t="shared" si="28"/>
        <v>2.064572113999586E-3</v>
      </c>
      <c r="H44" s="3">
        <f t="shared" si="28"/>
        <v>2.064572113999586E-3</v>
      </c>
      <c r="I44" s="3">
        <f t="shared" si="28"/>
        <v>2.064572113999586E-3</v>
      </c>
      <c r="J44" s="3">
        <f t="shared" si="28"/>
        <v>2.064572113999586E-3</v>
      </c>
      <c r="K44" s="3">
        <f t="shared" si="28"/>
        <v>2.064572113999586E-3</v>
      </c>
      <c r="L44" s="3">
        <f t="shared" si="28"/>
        <v>2.064572113999586E-3</v>
      </c>
      <c r="M44" s="3">
        <f t="shared" si="28"/>
        <v>2.064572113999586E-3</v>
      </c>
      <c r="N44" s="3">
        <f t="shared" si="28"/>
        <v>2.064572113999586E-3</v>
      </c>
      <c r="O44" s="3">
        <f t="shared" si="28"/>
        <v>2.064572113999586E-3</v>
      </c>
      <c r="P44" s="3">
        <f t="shared" si="27"/>
        <v>2.064572113999586E-3</v>
      </c>
      <c r="Q44" s="3">
        <f t="shared" si="27"/>
        <v>2.0645721139995856E-3</v>
      </c>
      <c r="R44" s="3">
        <f t="shared" si="27"/>
        <v>2.0645721139995838E-3</v>
      </c>
      <c r="S44" s="3">
        <f t="shared" si="27"/>
        <v>2.0645721139995652E-3</v>
      </c>
      <c r="T44" s="3">
        <f t="shared" si="27"/>
        <v>2.0645721139993796E-3</v>
      </c>
      <c r="U44" s="3">
        <f t="shared" si="27"/>
        <v>2.0645721139975217E-3</v>
      </c>
      <c r="V44" s="3">
        <f t="shared" si="27"/>
        <v>2.0645721139789402E-3</v>
      </c>
      <c r="W44" s="3">
        <f t="shared" si="27"/>
        <v>2.0645721137931288E-3</v>
      </c>
      <c r="X44" s="3">
        <f t="shared" si="27"/>
        <v>2.064572111935014E-3</v>
      </c>
      <c r="Y44" s="3">
        <f t="shared" si="27"/>
        <v>2.0645720933538652E-3</v>
      </c>
      <c r="Z44" s="3">
        <f t="shared" si="27"/>
        <v>2.0645719075423848E-3</v>
      </c>
      <c r="AA44" s="3">
        <f t="shared" si="27"/>
        <v>2.0645700494285042E-3</v>
      </c>
      <c r="AB44" s="3">
        <f t="shared" si="27"/>
        <v>2.0645514683816741E-3</v>
      </c>
      <c r="AC44" s="3">
        <f t="shared" si="27"/>
        <v>2.0643656671107025E-3</v>
      </c>
      <c r="AD44" s="3">
        <f t="shared" si="27"/>
        <v>2.0625085738276341E-3</v>
      </c>
      <c r="AE44" s="3">
        <f t="shared" si="27"/>
        <v>2.0440292782284587E-3</v>
      </c>
      <c r="AF44" s="3">
        <f t="shared" si="29"/>
        <v>1.868102100980428E-3</v>
      </c>
      <c r="AG44" s="3">
        <f t="shared" si="29"/>
        <v>7.5951363555631099E-4</v>
      </c>
      <c r="AH44" s="3">
        <f t="shared" si="29"/>
        <v>9.3731428965166076E-8</v>
      </c>
      <c r="AI44" s="3">
        <f t="shared" si="29"/>
        <v>7.680365122052411E-47</v>
      </c>
      <c r="AJ44" s="3">
        <f t="shared" si="29"/>
        <v>0</v>
      </c>
    </row>
    <row r="45" spans="1:36" x14ac:dyDescent="0.25">
      <c r="A45" s="3">
        <f t="shared" si="30"/>
        <v>10000000000000</v>
      </c>
      <c r="B45" s="106">
        <v>4.7936106623742113E-4</v>
      </c>
      <c r="C45" s="18">
        <f t="shared" si="3"/>
        <v>5.3484126683110472E-4</v>
      </c>
      <c r="D45" s="17"/>
      <c r="F45" s="3">
        <f t="shared" si="28"/>
        <v>5.3484126683110472E-4</v>
      </c>
      <c r="G45" s="3">
        <f t="shared" si="28"/>
        <v>5.3484126683110472E-4</v>
      </c>
      <c r="H45" s="3">
        <f t="shared" si="28"/>
        <v>5.3484126683110472E-4</v>
      </c>
      <c r="I45" s="3">
        <f t="shared" si="28"/>
        <v>5.3484126683110472E-4</v>
      </c>
      <c r="J45" s="3">
        <f t="shared" si="28"/>
        <v>5.3484126683110472E-4</v>
      </c>
      <c r="K45" s="3">
        <f t="shared" si="28"/>
        <v>5.3484126683110472E-4</v>
      </c>
      <c r="L45" s="3">
        <f t="shared" si="28"/>
        <v>5.3484126683110472E-4</v>
      </c>
      <c r="M45" s="3">
        <f t="shared" si="28"/>
        <v>5.3484126683110472E-4</v>
      </c>
      <c r="N45" s="3">
        <f t="shared" si="28"/>
        <v>5.3484126683110472E-4</v>
      </c>
      <c r="O45" s="3">
        <f t="shared" si="28"/>
        <v>5.3484126683110472E-4</v>
      </c>
      <c r="P45" s="3">
        <f t="shared" si="27"/>
        <v>5.3484126683110472E-4</v>
      </c>
      <c r="Q45" s="3">
        <f t="shared" si="27"/>
        <v>5.3484126683110472E-4</v>
      </c>
      <c r="R45" s="3">
        <f t="shared" si="27"/>
        <v>5.3484126683110461E-4</v>
      </c>
      <c r="S45" s="3">
        <f t="shared" si="27"/>
        <v>5.3484126683110418E-4</v>
      </c>
      <c r="T45" s="3">
        <f t="shared" si="27"/>
        <v>5.3484126683109941E-4</v>
      </c>
      <c r="U45" s="3">
        <f t="shared" si="27"/>
        <v>5.3484126683105127E-4</v>
      </c>
      <c r="V45" s="3">
        <f t="shared" si="27"/>
        <v>5.3484126683056988E-4</v>
      </c>
      <c r="W45" s="3">
        <f t="shared" si="27"/>
        <v>5.3484126682575635E-4</v>
      </c>
      <c r="X45" s="3">
        <f t="shared" si="27"/>
        <v>5.3484126677762059E-4</v>
      </c>
      <c r="Y45" s="3">
        <f t="shared" si="27"/>
        <v>5.3484126629626345E-4</v>
      </c>
      <c r="Z45" s="3">
        <f t="shared" si="27"/>
        <v>5.3484126148269204E-4</v>
      </c>
      <c r="AA45" s="3">
        <f t="shared" si="27"/>
        <v>5.3484121334698069E-4</v>
      </c>
      <c r="AB45" s="3">
        <f t="shared" si="27"/>
        <v>5.3484073199010532E-4</v>
      </c>
      <c r="AC45" s="3">
        <f t="shared" si="27"/>
        <v>5.3483591844517842E-4</v>
      </c>
      <c r="AD45" s="3">
        <f t="shared" si="27"/>
        <v>5.3478778537853879E-4</v>
      </c>
      <c r="AE45" s="3">
        <f t="shared" si="27"/>
        <v>5.3430669289578916E-4</v>
      </c>
      <c r="AF45" s="3">
        <f t="shared" si="29"/>
        <v>5.2951950730832967E-4</v>
      </c>
      <c r="AG45" s="3">
        <f t="shared" si="29"/>
        <v>4.8394439093853847E-4</v>
      </c>
      <c r="AH45" s="3">
        <f t="shared" si="29"/>
        <v>1.9675710635725307E-4</v>
      </c>
      <c r="AI45" s="3">
        <f t="shared" si="29"/>
        <v>2.4281755948210576E-8</v>
      </c>
      <c r="AJ45" s="3">
        <f t="shared" si="29"/>
        <v>1.9896501477229423E-47</v>
      </c>
    </row>
    <row r="46" spans="1:36" x14ac:dyDescent="0.25">
      <c r="A46" s="3">
        <f t="shared" si="30"/>
        <v>100000000000000</v>
      </c>
      <c r="B46" s="106">
        <v>1.3131655683334355E-3</v>
      </c>
      <c r="C46" s="18">
        <f t="shared" si="3"/>
        <v>1.465148476990797E-3</v>
      </c>
      <c r="D46" s="17"/>
      <c r="F46" s="3">
        <f t="shared" si="28"/>
        <v>1.465148476990797E-3</v>
      </c>
      <c r="G46" s="3">
        <f t="shared" si="28"/>
        <v>1.465148476990797E-3</v>
      </c>
      <c r="H46" s="3">
        <f t="shared" si="28"/>
        <v>1.465148476990797E-3</v>
      </c>
      <c r="I46" s="3">
        <f t="shared" si="28"/>
        <v>1.465148476990797E-3</v>
      </c>
      <c r="J46" s="3">
        <f t="shared" si="28"/>
        <v>1.465148476990797E-3</v>
      </c>
      <c r="K46" s="3">
        <f t="shared" si="28"/>
        <v>1.465148476990797E-3</v>
      </c>
      <c r="L46" s="3">
        <f t="shared" si="28"/>
        <v>1.465148476990797E-3</v>
      </c>
      <c r="M46" s="3">
        <f t="shared" si="28"/>
        <v>1.465148476990797E-3</v>
      </c>
      <c r="N46" s="3">
        <f t="shared" si="28"/>
        <v>1.465148476990797E-3</v>
      </c>
      <c r="O46" s="3">
        <f t="shared" si="28"/>
        <v>1.465148476990797E-3</v>
      </c>
      <c r="P46" s="3">
        <f t="shared" si="27"/>
        <v>1.465148476990797E-3</v>
      </c>
      <c r="Q46" s="3">
        <f t="shared" si="27"/>
        <v>1.465148476990797E-3</v>
      </c>
      <c r="R46" s="3">
        <f t="shared" si="27"/>
        <v>1.465148476990797E-3</v>
      </c>
      <c r="S46" s="3">
        <f t="shared" si="27"/>
        <v>1.4651484769907968E-3</v>
      </c>
      <c r="T46" s="3">
        <f t="shared" si="27"/>
        <v>1.4651484769907955E-3</v>
      </c>
      <c r="U46" s="3">
        <f t="shared" si="27"/>
        <v>1.4651484769907823E-3</v>
      </c>
      <c r="V46" s="3">
        <f t="shared" si="27"/>
        <v>1.4651484769906504E-3</v>
      </c>
      <c r="W46" s="3">
        <f t="shared" si="27"/>
        <v>1.4651484769893318E-3</v>
      </c>
      <c r="X46" s="3">
        <f t="shared" si="27"/>
        <v>1.4651484769761455E-3</v>
      </c>
      <c r="Y46" s="3">
        <f t="shared" si="27"/>
        <v>1.465148476844282E-3</v>
      </c>
      <c r="Z46" s="3">
        <f t="shared" si="27"/>
        <v>1.4651484755256485E-3</v>
      </c>
      <c r="AA46" s="3">
        <f t="shared" si="27"/>
        <v>1.4651484623393123E-3</v>
      </c>
      <c r="AB46" s="3">
        <f t="shared" si="27"/>
        <v>1.4651483304759566E-3</v>
      </c>
      <c r="AC46" s="3">
        <f t="shared" si="27"/>
        <v>1.4651470118430526E-3</v>
      </c>
      <c r="AD46" s="3">
        <f t="shared" si="27"/>
        <v>1.4651338255792842E-3</v>
      </c>
      <c r="AE46" s="3">
        <f t="shared" si="27"/>
        <v>1.4650019694685962E-3</v>
      </c>
      <c r="AF46" s="3">
        <f t="shared" si="29"/>
        <v>1.4636840608439144E-3</v>
      </c>
      <c r="AG46" s="3">
        <f t="shared" si="29"/>
        <v>1.4505700060625855E-3</v>
      </c>
      <c r="AH46" s="3">
        <f t="shared" si="29"/>
        <v>1.3257211649596711E-3</v>
      </c>
      <c r="AI46" s="3">
        <f t="shared" si="29"/>
        <v>5.389980029485642E-4</v>
      </c>
      <c r="AJ46" s="3">
        <f t="shared" si="29"/>
        <v>6.651763794699384E-8</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9.1967018062309499E-3</v>
      </c>
      <c r="C48" s="18">
        <f t="shared" si="3"/>
        <v>1.026110794379005E-2</v>
      </c>
      <c r="D48" s="17"/>
      <c r="F48" s="3">
        <f t="shared" si="28"/>
        <v>1.026110794379005E-2</v>
      </c>
      <c r="G48" s="3">
        <f t="shared" si="28"/>
        <v>1.026110794379005E-2</v>
      </c>
      <c r="H48" s="3">
        <f t="shared" si="28"/>
        <v>1.026110794379005E-2</v>
      </c>
      <c r="I48" s="3">
        <f t="shared" si="28"/>
        <v>1.026110794379005E-2</v>
      </c>
      <c r="J48" s="3">
        <f t="shared" si="28"/>
        <v>1.026110794379005E-2</v>
      </c>
      <c r="K48" s="3">
        <f t="shared" si="28"/>
        <v>1.026110794379005E-2</v>
      </c>
      <c r="L48" s="3">
        <f t="shared" si="28"/>
        <v>1.026110794379005E-2</v>
      </c>
      <c r="M48" s="3">
        <f t="shared" si="28"/>
        <v>1.026110794379005E-2</v>
      </c>
      <c r="N48" s="3">
        <f t="shared" si="28"/>
        <v>1.026110794379005E-2</v>
      </c>
      <c r="O48" s="3">
        <f t="shared" si="28"/>
        <v>1.026110794379005E-2</v>
      </c>
      <c r="P48" s="3">
        <f t="shared" si="27"/>
        <v>1.026110794379005E-2</v>
      </c>
      <c r="Q48" s="3">
        <f t="shared" si="27"/>
        <v>1.026110794379005E-2</v>
      </c>
      <c r="R48" s="3">
        <f t="shared" si="27"/>
        <v>1.026110794379005E-2</v>
      </c>
      <c r="S48" s="3">
        <f t="shared" si="27"/>
        <v>1.026110794379005E-2</v>
      </c>
      <c r="T48" s="3">
        <f t="shared" si="27"/>
        <v>1.026110794379005E-2</v>
      </c>
      <c r="U48" s="3">
        <f t="shared" si="27"/>
        <v>1.0261107943790048E-2</v>
      </c>
      <c r="V48" s="3">
        <f t="shared" si="27"/>
        <v>1.0261107943790039E-2</v>
      </c>
      <c r="W48" s="3">
        <f t="shared" si="27"/>
        <v>1.0261107943789947E-2</v>
      </c>
      <c r="X48" s="3">
        <f t="shared" si="27"/>
        <v>1.0261107943789023E-2</v>
      </c>
      <c r="Y48" s="3">
        <f t="shared" si="27"/>
        <v>1.0261107943779789E-2</v>
      </c>
      <c r="Z48" s="3">
        <f t="shared" si="27"/>
        <v>1.0261107943687439E-2</v>
      </c>
      <c r="AA48" s="3">
        <f t="shared" si="27"/>
        <v>1.0261107942763938E-2</v>
      </c>
      <c r="AB48" s="3">
        <f t="shared" si="27"/>
        <v>1.0261107933528942E-2</v>
      </c>
      <c r="AC48" s="3">
        <f t="shared" si="27"/>
        <v>1.026110784117897E-2</v>
      </c>
      <c r="AD48" s="3">
        <f t="shared" si="27"/>
        <v>1.0261106917679307E-2</v>
      </c>
      <c r="AE48" s="3">
        <f t="shared" si="27"/>
        <v>1.0261097682687237E-2</v>
      </c>
      <c r="AF48" s="3">
        <f t="shared" si="29"/>
        <v>1.0261005333223666E-2</v>
      </c>
      <c r="AG48" s="3">
        <f t="shared" si="29"/>
        <v>1.0260081884299501E-2</v>
      </c>
      <c r="AH48" s="3">
        <f t="shared" si="29"/>
        <v>1.0250851964690475E-2</v>
      </c>
      <c r="AI48" s="3">
        <f t="shared" si="29"/>
        <v>1.0159008213831608E-2</v>
      </c>
      <c r="AJ48" s="3">
        <f t="shared" si="29"/>
        <v>9.2846344180472617E-3</v>
      </c>
    </row>
    <row r="49" spans="1:36" x14ac:dyDescent="0.25">
      <c r="B49" s="16">
        <f>SUM(B17:B48)</f>
        <v>0.89626791342710022</v>
      </c>
      <c r="C49" s="18">
        <f>SUM(C17:C48)</f>
        <v>1</v>
      </c>
      <c r="F49" s="3">
        <f t="shared" ref="F49:AJ49" si="31">F16-F17</f>
        <v>65.433253600192984</v>
      </c>
      <c r="G49" s="3">
        <f t="shared" si="31"/>
        <v>-84.635020162420915</v>
      </c>
      <c r="H49" s="3">
        <f t="shared" si="31"/>
        <v>22.415688606197364</v>
      </c>
      <c r="I49" s="3">
        <f t="shared" si="31"/>
        <v>-3.673663981458958</v>
      </c>
      <c r="J49" s="3">
        <f t="shared" si="31"/>
        <v>0.51010229149324005</v>
      </c>
      <c r="K49" s="3">
        <f t="shared" si="31"/>
        <v>-7.6549273744603852E-2</v>
      </c>
      <c r="L49" s="3">
        <f t="shared" si="31"/>
        <v>0.15957578256529814</v>
      </c>
      <c r="M49" s="3">
        <f t="shared" si="31"/>
        <v>-0.51394545550465409</v>
      </c>
      <c r="N49" s="3">
        <f t="shared" si="31"/>
        <v>1.2533813361951616</v>
      </c>
      <c r="O49" s="3">
        <f t="shared" si="31"/>
        <v>-2.5686537642914118</v>
      </c>
      <c r="P49" s="3">
        <f t="shared" si="31"/>
        <v>4.4406524367159363</v>
      </c>
      <c r="Q49" s="3">
        <f t="shared" si="31"/>
        <v>-6.441799654838178</v>
      </c>
      <c r="R49" s="3">
        <f t="shared" si="31"/>
        <v>7.9113599337961205</v>
      </c>
      <c r="S49" s="3">
        <f t="shared" si="31"/>
        <v>-8.3015484896077396</v>
      </c>
      <c r="T49" s="3">
        <f t="shared" si="31"/>
        <v>7.4533012228248481</v>
      </c>
      <c r="U49" s="3">
        <f t="shared" si="31"/>
        <v>-5.7248258560439353</v>
      </c>
      <c r="V49" s="3">
        <f t="shared" si="31"/>
        <v>3.788639407563096</v>
      </c>
      <c r="W49" s="3">
        <f t="shared" si="31"/>
        <v>-2.1850143510491762</v>
      </c>
      <c r="X49" s="3">
        <f t="shared" si="31"/>
        <v>1.1016202518026148</v>
      </c>
      <c r="Y49" s="3">
        <f t="shared" si="31"/>
        <v>-0.48120242102322663</v>
      </c>
      <c r="Z49" s="3">
        <f t="shared" si="31"/>
        <v>0.18255462721390359</v>
      </c>
      <c r="AA49" s="3">
        <f t="shared" si="31"/>
        <v>-6.0247334318546564E-2</v>
      </c>
      <c r="AB49" s="3">
        <f t="shared" si="31"/>
        <v>1.7925041264788888E-2</v>
      </c>
      <c r="AC49" s="3">
        <f t="shared" si="31"/>
        <v>-9.6717712049212423E-3</v>
      </c>
      <c r="AD49" s="3">
        <f t="shared" si="31"/>
        <v>8.4084834246596074E-3</v>
      </c>
      <c r="AE49" s="3">
        <f t="shared" si="31"/>
        <v>-7.7454968682673098E-3</v>
      </c>
      <c r="AF49" s="3">
        <f t="shared" si="31"/>
        <v>1.002757342445193E-2</v>
      </c>
      <c r="AG49" s="3">
        <f t="shared" si="31"/>
        <v>-2.4852600650433487E-2</v>
      </c>
      <c r="AH49" s="3">
        <f t="shared" si="31"/>
        <v>4.3780450977067176E-2</v>
      </c>
      <c r="AI49" s="3">
        <f t="shared" si="31"/>
        <v>-4.1023098083826426E-2</v>
      </c>
      <c r="AJ49" s="3">
        <f t="shared" si="31"/>
        <v>1.6791614935527832E-2</v>
      </c>
    </row>
    <row r="50" spans="1:36" x14ac:dyDescent="0.25">
      <c r="F50" s="57">
        <f t="shared" ref="F50:AJ50" si="32">F49/F17</f>
        <v>6.2979009049726866E-3</v>
      </c>
      <c r="G50" s="57">
        <f t="shared" si="32"/>
        <v>-8.2158810643308544E-3</v>
      </c>
      <c r="H50" s="57">
        <f t="shared" si="32"/>
        <v>2.2486588054452662E-3</v>
      </c>
      <c r="I50" s="57">
        <f t="shared" si="32"/>
        <v>-3.7700387560345969E-4</v>
      </c>
      <c r="J50" s="57">
        <f t="shared" si="32"/>
        <v>5.3776361327146475E-5</v>
      </c>
      <c r="K50" s="57">
        <f t="shared" si="32"/>
        <v>-8.2985851461803559E-6</v>
      </c>
      <c r="L50" s="57">
        <f t="shared" si="32"/>
        <v>1.7763218197992202E-5</v>
      </c>
      <c r="M50" s="57">
        <f t="shared" si="32"/>
        <v>-5.927239567071761E-5</v>
      </c>
      <c r="N50" s="57">
        <f t="shared" si="32"/>
        <v>1.5069220227880307E-4</v>
      </c>
      <c r="O50" s="57">
        <f t="shared" si="32"/>
        <v>-3.2224004671388054E-4</v>
      </c>
      <c r="P50" s="57">
        <f t="shared" si="32"/>
        <v>5.7836104883406776E-4</v>
      </c>
      <c r="Q50" s="57">
        <f t="shared" si="32"/>
        <v>-8.6929734719099286E-4</v>
      </c>
      <c r="R50" s="57">
        <f t="shared" si="32"/>
        <v>1.1104697450698925E-3</v>
      </c>
      <c r="S50" s="57">
        <f t="shared" si="32"/>
        <v>-1.2113672814826921E-3</v>
      </c>
      <c r="T50" s="57">
        <f t="shared" si="32"/>
        <v>1.1352781805773757E-3</v>
      </c>
      <c r="U50" s="57">
        <f t="shared" si="32"/>
        <v>-9.1969098712982474E-4</v>
      </c>
      <c r="V50" s="57">
        <f t="shared" si="32"/>
        <v>6.662115547636867E-4</v>
      </c>
      <c r="W50" s="57">
        <f t="shared" si="32"/>
        <v>-4.5849181918940305E-4</v>
      </c>
      <c r="X50" s="57">
        <f t="shared" si="32"/>
        <v>2.9397653553019353E-4</v>
      </c>
      <c r="Y50" s="57">
        <f t="shared" si="32"/>
        <v>-1.6591170516619107E-4</v>
      </c>
      <c r="Z50" s="57">
        <f t="shared" si="32"/>
        <v>8.2687379538524215E-5</v>
      </c>
      <c r="AA50" s="57">
        <f t="shared" si="32"/>
        <v>-3.7556312230927837E-5</v>
      </c>
      <c r="AB50" s="57">
        <f t="shared" si="32"/>
        <v>1.5956221679637521E-5</v>
      </c>
      <c r="AC50" s="57">
        <f t="shared" si="32"/>
        <v>-1.2387400595389453E-5</v>
      </c>
      <c r="AD50" s="57">
        <f t="shared" si="32"/>
        <v>1.4447629971955231E-5</v>
      </c>
      <c r="AE50" s="57">
        <f t="shared" si="32"/>
        <v>-1.6222740910729072E-5</v>
      </c>
      <c r="AF50" s="57">
        <f t="shared" si="32"/>
        <v>2.3412081935974046E-5</v>
      </c>
      <c r="AG50" s="57">
        <f t="shared" si="32"/>
        <v>-6.2337803908783465E-5</v>
      </c>
      <c r="AH50" s="57">
        <f t="shared" si="32"/>
        <v>1.1365421818286397E-4</v>
      </c>
      <c r="AI50" s="57">
        <f t="shared" si="32"/>
        <v>-1.0999871077642001E-4</v>
      </c>
      <c r="AJ50" s="57">
        <f t="shared" si="32"/>
        <v>4.7058885676965716E-5</v>
      </c>
    </row>
    <row r="51" spans="1:36" x14ac:dyDescent="0.25">
      <c r="A51" s="13" t="s">
        <v>21</v>
      </c>
      <c r="B51" s="3">
        <f>STUTT!D8</f>
        <v>11405.888999999999</v>
      </c>
      <c r="E51" s="11" t="s">
        <v>24</v>
      </c>
      <c r="F51" s="20">
        <f t="shared" ref="F51:AJ51" si="33">(F16-F17)^2</f>
        <v>4281.5106767071684</v>
      </c>
      <c r="G51" s="20">
        <f t="shared" si="33"/>
        <v>7163.0866378933952</v>
      </c>
      <c r="H51" s="20">
        <f t="shared" si="33"/>
        <v>502.4630956900063</v>
      </c>
      <c r="I51" s="20">
        <f t="shared" si="33"/>
        <v>13.495807048668883</v>
      </c>
      <c r="J51" s="20">
        <f t="shared" si="33"/>
        <v>0.26020434778665441</v>
      </c>
      <c r="K51" s="20">
        <f t="shared" si="33"/>
        <v>5.8597913108262966E-3</v>
      </c>
      <c r="L51" s="20">
        <f t="shared" si="33"/>
        <v>2.546443038132731E-2</v>
      </c>
      <c r="M51" s="20">
        <f t="shared" si="33"/>
        <v>0.2641399312338864</v>
      </c>
      <c r="N51" s="20">
        <f t="shared" si="33"/>
        <v>1.5709647739223687</v>
      </c>
      <c r="O51" s="20">
        <f t="shared" si="33"/>
        <v>6.5979821608084395</v>
      </c>
      <c r="P51" s="20">
        <f t="shared" si="33"/>
        <v>19.719394063711182</v>
      </c>
      <c r="Q51" s="20">
        <f t="shared" si="33"/>
        <v>41.496782793073265</v>
      </c>
      <c r="R51" s="20">
        <f t="shared" si="33"/>
        <v>62.589616002074557</v>
      </c>
      <c r="S51" s="20">
        <f t="shared" si="33"/>
        <v>68.915707325308546</v>
      </c>
      <c r="T51" s="20">
        <f t="shared" si="33"/>
        <v>55.551699118162375</v>
      </c>
      <c r="U51" s="20">
        <f t="shared" si="33"/>
        <v>32.773631082029176</v>
      </c>
      <c r="V51" s="20">
        <f t="shared" si="33"/>
        <v>14.353788560540048</v>
      </c>
      <c r="W51" s="20">
        <f t="shared" si="33"/>
        <v>4.7742877142908524</v>
      </c>
      <c r="X51" s="20">
        <f t="shared" si="33"/>
        <v>1.2135671791816565</v>
      </c>
      <c r="Y51" s="20">
        <f t="shared" si="33"/>
        <v>0.23155576999861466</v>
      </c>
      <c r="Z51" s="20">
        <f t="shared" si="33"/>
        <v>3.3326191917207308E-2</v>
      </c>
      <c r="AA51" s="20">
        <f t="shared" si="33"/>
        <v>3.6297412924907184E-3</v>
      </c>
      <c r="AB51" s="20">
        <f t="shared" si="33"/>
        <v>3.2130710434438443E-4</v>
      </c>
      <c r="AC51" s="20">
        <f t="shared" si="33"/>
        <v>9.3543158240343702E-5</v>
      </c>
      <c r="AD51" s="20">
        <f t="shared" si="33"/>
        <v>7.0702593502775356E-5</v>
      </c>
      <c r="AE51" s="20">
        <f t="shared" si="33"/>
        <v>5.9992721736338701E-5</v>
      </c>
      <c r="AF51" s="20">
        <f t="shared" si="33"/>
        <v>1.0055222878277461E-4</v>
      </c>
      <c r="AG51" s="20">
        <f t="shared" si="33"/>
        <v>6.1765175908992697E-4</v>
      </c>
      <c r="AH51" s="20">
        <f t="shared" si="33"/>
        <v>1.9167278877553822E-3</v>
      </c>
      <c r="AI51" s="20">
        <f t="shared" si="33"/>
        <v>1.6828945763952433E-3</v>
      </c>
      <c r="AJ51" s="20">
        <f t="shared" si="33"/>
        <v>2.8195833214304138E-4</v>
      </c>
    </row>
    <row r="52" spans="1:36" x14ac:dyDescent="0.25">
      <c r="A52" s="13"/>
    </row>
    <row r="53" spans="1:36" x14ac:dyDescent="0.25">
      <c r="E53" s="118" t="s">
        <v>25</v>
      </c>
      <c r="F53" s="118"/>
      <c r="G53" s="104">
        <f>SUM(F51:AJ51)</f>
        <v>12270.942963646625</v>
      </c>
      <c r="I53" s="3">
        <f>G53+C123</f>
        <v>12270.942963646625</v>
      </c>
      <c r="K53" s="3">
        <f>SUM(Z51:AJ51)</f>
        <v>4.2101263571688238E-2</v>
      </c>
    </row>
    <row r="55" spans="1:36" x14ac:dyDescent="0.25">
      <c r="E55" s="30" t="s">
        <v>30</v>
      </c>
      <c r="F55" s="31">
        <f t="shared" ref="F55:AJ55" si="34">ABS(F17-F16)/F16</f>
        <v>6.2584855829560292E-3</v>
      </c>
      <c r="G55" s="31">
        <f t="shared" si="34"/>
        <v>8.2839409378199242E-3</v>
      </c>
      <c r="H55" s="31">
        <f t="shared" si="34"/>
        <v>2.2436136837792188E-3</v>
      </c>
      <c r="I55" s="31">
        <f t="shared" si="34"/>
        <v>3.771460611301743E-4</v>
      </c>
      <c r="J55" s="31">
        <f t="shared" si="34"/>
        <v>5.3773469585616223E-5</v>
      </c>
      <c r="K55" s="31">
        <f t="shared" si="34"/>
        <v>8.2986540132672836E-6</v>
      </c>
      <c r="L55" s="31">
        <f t="shared" si="34"/>
        <v>1.7762902671676217E-5</v>
      </c>
      <c r="M55" s="31">
        <f t="shared" si="34"/>
        <v>5.927590909585528E-5</v>
      </c>
      <c r="N55" s="31">
        <f t="shared" si="34"/>
        <v>1.5066949756039946E-4</v>
      </c>
      <c r="O55" s="31">
        <f t="shared" si="34"/>
        <v>3.2234391883334334E-4</v>
      </c>
      <c r="P55" s="31">
        <f t="shared" si="34"/>
        <v>5.7802674068207279E-4</v>
      </c>
      <c r="Q55" s="31">
        <f t="shared" si="34"/>
        <v>8.7005368254914662E-4</v>
      </c>
      <c r="R55" s="31">
        <f t="shared" si="34"/>
        <v>1.1092379698642754E-3</v>
      </c>
      <c r="S55" s="31">
        <f t="shared" si="34"/>
        <v>1.2128364719025436E-3</v>
      </c>
      <c r="T55" s="31">
        <f t="shared" si="34"/>
        <v>1.1339907855815292E-3</v>
      </c>
      <c r="U55" s="31">
        <f t="shared" si="34"/>
        <v>9.2053759726134013E-4</v>
      </c>
      <c r="V55" s="31">
        <f t="shared" si="34"/>
        <v>6.6576801242101979E-4</v>
      </c>
      <c r="W55" s="31">
        <f t="shared" si="34"/>
        <v>4.5870213036361954E-4</v>
      </c>
      <c r="X55" s="31">
        <f t="shared" si="34"/>
        <v>2.9389013872538458E-4</v>
      </c>
      <c r="Y55" s="31">
        <f t="shared" si="34"/>
        <v>1.6593923642786081E-4</v>
      </c>
      <c r="Z55" s="31">
        <f t="shared" si="34"/>
        <v>8.2680542901092898E-5</v>
      </c>
      <c r="AA55" s="31">
        <f t="shared" si="34"/>
        <v>3.7557722760490515E-5</v>
      </c>
      <c r="AB55" s="31">
        <f t="shared" si="34"/>
        <v>1.5955967082689637E-5</v>
      </c>
      <c r="AC55" s="31">
        <f t="shared" si="34"/>
        <v>1.2387554044983806E-5</v>
      </c>
      <c r="AD55" s="31">
        <f t="shared" si="34"/>
        <v>1.4447421240959094E-5</v>
      </c>
      <c r="AE55" s="31">
        <f t="shared" si="34"/>
        <v>1.6223004092321256E-5</v>
      </c>
      <c r="AF55" s="31">
        <f t="shared" si="34"/>
        <v>2.3411533823225929E-5</v>
      </c>
      <c r="AG55" s="31">
        <f t="shared" si="34"/>
        <v>6.2341690152839559E-5</v>
      </c>
      <c r="AH55" s="31">
        <f t="shared" si="34"/>
        <v>1.1364130236948987E-4</v>
      </c>
      <c r="AI55" s="31">
        <f t="shared" si="34"/>
        <v>1.100108118238921E-4</v>
      </c>
      <c r="AJ55" s="31">
        <f t="shared" si="34"/>
        <v>4.7056671242453376E-5</v>
      </c>
    </row>
    <row r="56" spans="1:36" x14ac:dyDescent="0.25">
      <c r="E56" s="13" t="s">
        <v>31</v>
      </c>
      <c r="F56" s="32">
        <f>AVERAGE(F55:AJ55)</f>
        <v>8.2967766466963662E-4</v>
      </c>
    </row>
    <row r="57" spans="1:36" x14ac:dyDescent="0.25">
      <c r="A57" s="42"/>
      <c r="B57" s="15"/>
      <c r="C57" s="15"/>
      <c r="D57" s="15"/>
      <c r="F57" s="60">
        <f>AVERAGE(S55:X55)</f>
        <v>7.8095418937590606E-4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-11.207038780645185</v>
      </c>
    </row>
    <row r="119" spans="1:14" x14ac:dyDescent="0.25">
      <c r="L119" s="11">
        <f>L118+1</f>
        <v>2</v>
      </c>
      <c r="M119" s="11">
        <f t="shared" ref="M119:M124" si="35">INDEX($B$125:$K$126,1,L119)</f>
        <v>0</v>
      </c>
      <c r="N119" s="11">
        <f t="shared" ref="N119:N124" si="36">IF(L119=$B$3,0,INDEX($B$125:$K$126,2,L119))</f>
        <v>-7.262337894521731</v>
      </c>
    </row>
    <row r="120" spans="1:14" x14ac:dyDescent="0.25">
      <c r="L120" s="11">
        <f t="shared" ref="L120:L124" si="37">L119+1</f>
        <v>3</v>
      </c>
      <c r="M120" s="11">
        <f t="shared" si="35"/>
        <v>25</v>
      </c>
      <c r="N120" s="11">
        <f t="shared" si="36"/>
        <v>-4.7930791601083342</v>
      </c>
    </row>
    <row r="121" spans="1:14" x14ac:dyDescent="0.25">
      <c r="A121" s="103">
        <f>(A165+A204+A243+A282+A321+A360+A399)*10^9</f>
        <v>1.3817098028751684E+16</v>
      </c>
      <c r="L121" s="11">
        <f t="shared" si="37"/>
        <v>4</v>
      </c>
      <c r="M121" s="11">
        <f t="shared" si="35"/>
        <v>50</v>
      </c>
      <c r="N121" s="11">
        <f t="shared" si="36"/>
        <v>-2.6397977545749804</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8"/>
      <c r="B123" s="118"/>
      <c r="C123" s="3"/>
      <c r="D123" s="3"/>
      <c r="E123" s="3"/>
      <c r="F123" s="3"/>
      <c r="G123" s="3"/>
      <c r="H123" s="3"/>
      <c r="I123" s="3"/>
      <c r="J123" s="3"/>
      <c r="K123" s="3"/>
      <c r="L123" s="11">
        <f t="shared" si="37"/>
        <v>6</v>
      </c>
      <c r="M123" s="11">
        <f t="shared" si="35"/>
        <v>125</v>
      </c>
      <c r="N123" s="11">
        <f t="shared" si="36"/>
        <v>5.0230571207020684</v>
      </c>
    </row>
    <row r="124" spans="1:14" x14ac:dyDescent="0.25">
      <c r="B124" s="3"/>
      <c r="C124" s="3"/>
      <c r="D124" s="3"/>
      <c r="E124" s="3"/>
      <c r="F124" s="3"/>
      <c r="G124" s="3"/>
      <c r="H124" s="3"/>
      <c r="I124" s="3"/>
      <c r="J124" s="3"/>
      <c r="K124" s="3"/>
      <c r="L124" s="11">
        <f t="shared" si="37"/>
        <v>7</v>
      </c>
      <c r="M124" s="11">
        <f t="shared" si="35"/>
        <v>160</v>
      </c>
      <c r="N124" s="11">
        <f t="shared" si="36"/>
        <v>9.9050925593456753</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-11.207038780645185</v>
      </c>
      <c r="C126" s="107">
        <v>-7.262337894521731</v>
      </c>
      <c r="D126" s="107">
        <v>-4.7930791601083342</v>
      </c>
      <c r="E126" s="107">
        <v>-2.6397977545749804</v>
      </c>
      <c r="F126" s="107">
        <v>3.947161592567981E-3</v>
      </c>
      <c r="G126" s="107">
        <v>5.0230571207020684</v>
      </c>
      <c r="H126" s="107">
        <v>9.9050925593456753</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11605.327404987251</v>
      </c>
      <c r="C130" s="26">
        <f>INDEX(Comparison!$AM$3:$AS$33,G14,$B$122)</f>
        <v>11525.315889809444</v>
      </c>
      <c r="D130" s="26">
        <f>INDEX(Comparison!$AM$3:$AS$33,H14,$B$122)</f>
        <v>11262.989267632682</v>
      </c>
      <c r="E130" s="26">
        <f>INDEX(Comparison!$AM$3:$AS$33,I14,$B$122)</f>
        <v>11072.566067439215</v>
      </c>
      <c r="F130" s="26">
        <f>INDEX(Comparison!$AM$3:$AS$33,J14,$B$122)</f>
        <v>10893.827462738938</v>
      </c>
      <c r="G130" s="26">
        <f>INDEX(Comparison!$AM$3:$AS$33,K14,$B$122)</f>
        <v>10697.933159313619</v>
      </c>
      <c r="H130" s="26">
        <f>INDEX(Comparison!$AM$3:$AS$33,L14,$B$122)</f>
        <v>10491.083669953241</v>
      </c>
      <c r="I130" s="26">
        <f>INDEX(Comparison!$AM$3:$AS$33,M14,$B$122)</f>
        <v>10253.530794540358</v>
      </c>
      <c r="J130" s="26">
        <f>INDEX(Comparison!$AM$3:$AS$33,N14,$B$122)</f>
        <v>9990.0957619753135</v>
      </c>
      <c r="K130" s="26">
        <f>INDEX(Comparison!$AM$3:$AS$33,O14,$B$122)</f>
        <v>9721.0109842535821</v>
      </c>
      <c r="L130" s="26">
        <f>INDEX(Comparison!$AM$3:$AS$33,P14,$B$122)</f>
        <v>9457.2689514888043</v>
      </c>
      <c r="M130" s="26">
        <f>INDEX(Comparison!$AM$3:$AS$33,Q14,$B$122)</f>
        <v>9196.9082117763955</v>
      </c>
      <c r="N130" s="26">
        <f>INDEX(Comparison!$AM$3:$AS$33,R14,$B$122)</f>
        <v>8853.3090866661241</v>
      </c>
      <c r="O130" s="26">
        <f>INDEX(Comparison!$AM$3:$AS$33,S14,$B$122)</f>
        <v>8479.914716286281</v>
      </c>
      <c r="P130" s="26">
        <f>INDEX(Comparison!$AM$3:$AS$33,T14,$B$122)</f>
        <v>8128.965640404419</v>
      </c>
      <c r="Q130" s="26">
        <f>INDEX(Comparison!$AM$3:$AS$33,U14,$B$122)</f>
        <v>7846.4940246078413</v>
      </c>
      <c r="R130" s="26">
        <f>INDEX(Comparison!$AM$3:$AS$33,V14,$B$122)</f>
        <v>7554.3574872186746</v>
      </c>
      <c r="S130" s="26">
        <f>INDEX(Comparison!$AM$3:$AS$33,W14,$B$122)</f>
        <v>7271.4639946770558</v>
      </c>
      <c r="T130" s="26">
        <f>INDEX(Comparison!$AM$3:$AS$33,X14,$B$122)</f>
        <v>6968.3337174677063</v>
      </c>
      <c r="U130" s="26">
        <f>INDEX(Comparison!$AM$3:$AS$33,Y14,$B$122)</f>
        <v>6660.7873102364538</v>
      </c>
      <c r="V130" s="26">
        <f>INDEX(Comparison!$AM$3:$AS$33,Z14,$B$122)</f>
        <v>6120.1247453486039</v>
      </c>
      <c r="W130" s="26">
        <f>INDEX(Comparison!$AM$3:$AS$33,AA14,$B$122)</f>
        <v>5179.772775385416</v>
      </c>
      <c r="X130" s="26">
        <f>INDEX(Comparison!$AM$3:$AS$33,AB14,$B$122)</f>
        <v>4110.4480491252179</v>
      </c>
      <c r="Y130" s="26">
        <f>INDEX(Comparison!$AM$3:$AS$33,AC14,$B$122)</f>
        <v>3245.0810486621449</v>
      </c>
      <c r="Z130" s="26">
        <f>INDEX(Comparison!$AM$3:$AS$33,AD14,$B$122)</f>
        <v>2543.9226414929772</v>
      </c>
      <c r="AA130" s="26">
        <f>INDEX(Comparison!$AM$3:$AS$33,AE14,$B$122)</f>
        <v>1944.565914995268</v>
      </c>
      <c r="AB130" s="26">
        <f>INDEX(Comparison!$AM$3:$AS$33,AF14,$B$122)</f>
        <v>1396.8383179282553</v>
      </c>
      <c r="AC130" s="26">
        <f>INDEX(Comparison!$AM$3:$AS$33,AG14,$B$122)</f>
        <v>982.12621210790121</v>
      </c>
      <c r="AD130" s="26">
        <f>INDEX(Comparison!$AM$3:$AS$33,AH14,$B$122)</f>
        <v>689.03519551617785</v>
      </c>
      <c r="AE130" s="26">
        <f>INDEX(Comparison!$AM$3:$AS$33,AI14,$B$122)</f>
        <v>537.03681449352746</v>
      </c>
      <c r="AF130" s="26">
        <f>INDEX(Comparison!$AM$3:$AS$33,AJ14,$B$122)</f>
        <v>452.34025000519932</v>
      </c>
    </row>
    <row r="131" spans="1:33" x14ac:dyDescent="0.25">
      <c r="A131" s="68" t="s">
        <v>22</v>
      </c>
      <c r="B131" s="27">
        <f>($C$17+SUM(B132:B162))*$B$51</f>
        <v>10659.294028284841</v>
      </c>
      <c r="C131" s="27">
        <f t="shared" ref="C131:AF131" si="40">($C$17+SUM(C132:C162))*$B$51</f>
        <v>10400.754593631465</v>
      </c>
      <c r="D131" s="27">
        <f t="shared" si="40"/>
        <v>10400.739634697589</v>
      </c>
      <c r="E131" s="27">
        <f t="shared" si="40"/>
        <v>10400.602810257116</v>
      </c>
      <c r="F131" s="27">
        <f t="shared" si="40"/>
        <v>10399.236816502231</v>
      </c>
      <c r="G131" s="27">
        <f t="shared" si="40"/>
        <v>10385.799368225065</v>
      </c>
      <c r="H131" s="27">
        <f t="shared" si="40"/>
        <v>10271.307642957303</v>
      </c>
      <c r="I131" s="27">
        <f t="shared" si="40"/>
        <v>9934.2372063450875</v>
      </c>
      <c r="J131" s="27">
        <f t="shared" si="40"/>
        <v>9714.8177181467945</v>
      </c>
      <c r="K131" s="27">
        <f t="shared" si="40"/>
        <v>9450.6782597610272</v>
      </c>
      <c r="L131" s="27">
        <f t="shared" si="40"/>
        <v>9190.1176310983847</v>
      </c>
      <c r="M131" s="27">
        <f t="shared" si="40"/>
        <v>8946.7792927677183</v>
      </c>
      <c r="N131" s="27">
        <f t="shared" si="40"/>
        <v>8621.4372943198396</v>
      </c>
      <c r="O131" s="27">
        <f t="shared" si="40"/>
        <v>8264.6096617990333</v>
      </c>
      <c r="P131" s="27">
        <f t="shared" si="40"/>
        <v>7921.82912453259</v>
      </c>
      <c r="Q131" s="27">
        <f t="shared" si="40"/>
        <v>7637.7522133632028</v>
      </c>
      <c r="R131" s="27">
        <f t="shared" si="40"/>
        <v>7369.6116523349519</v>
      </c>
      <c r="S131" s="27">
        <f t="shared" si="40"/>
        <v>7080.4814821420623</v>
      </c>
      <c r="T131" s="27">
        <f t="shared" si="40"/>
        <v>6816.5706187683718</v>
      </c>
      <c r="U131" s="27">
        <f t="shared" si="40"/>
        <v>6517.2892072786744</v>
      </c>
      <c r="V131" s="27">
        <f t="shared" si="40"/>
        <v>6173.887513976114</v>
      </c>
      <c r="W131" s="27">
        <f t="shared" si="40"/>
        <v>5574.4179389762103</v>
      </c>
      <c r="X131" s="27">
        <f t="shared" si="40"/>
        <v>4629.4483282414385</v>
      </c>
      <c r="Y131" s="27">
        <f t="shared" si="40"/>
        <v>3635.3684124385895</v>
      </c>
      <c r="Z131" s="27">
        <f t="shared" si="40"/>
        <v>2815.2601320162416</v>
      </c>
      <c r="AA131" s="27">
        <f t="shared" si="40"/>
        <v>2130.0721828578003</v>
      </c>
      <c r="AB131" s="27">
        <f t="shared" si="40"/>
        <v>1554.604300829933</v>
      </c>
      <c r="AC131" s="27">
        <f t="shared" si="40"/>
        <v>1055.1411464641824</v>
      </c>
      <c r="AD131" s="27">
        <f t="shared" si="40"/>
        <v>745.95486678069619</v>
      </c>
      <c r="AE131" s="27">
        <f t="shared" si="40"/>
        <v>559.77388678544901</v>
      </c>
      <c r="AF131" s="27">
        <f t="shared" si="40"/>
        <v>468.94744301479307</v>
      </c>
    </row>
    <row r="132" spans="1:33" x14ac:dyDescent="0.25">
      <c r="B132" s="3">
        <f t="shared" ref="B132:Z133" si="41">$C18*EXP(-B$129/$A18/EXP(-$B$126))</f>
        <v>2.2667180120522948E-2</v>
      </c>
      <c r="C132" s="3">
        <f t="shared" ref="C132:AF132" si="42">$C18*EXP(-C$129/$A18/EXP(-$B$126))</f>
        <v>1.1171742759333614E-7</v>
      </c>
      <c r="D132" s="3">
        <f t="shared" si="42"/>
        <v>9.4483340826991469E-61</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3.6514579117683202E-2</v>
      </c>
      <c r="C133" s="3">
        <f t="shared" si="41"/>
        <v>3.6514464815391327E-2</v>
      </c>
      <c r="D133" s="3">
        <f t="shared" si="41"/>
        <v>3.6513321812151521E-2</v>
      </c>
      <c r="E133" s="3">
        <f t="shared" si="41"/>
        <v>3.6501893747421764E-2</v>
      </c>
      <c r="F133" s="3">
        <f t="shared" si="41"/>
        <v>3.6387809639245844E-2</v>
      </c>
      <c r="G133" s="3">
        <f t="shared" si="41"/>
        <v>3.5266396727578225E-2</v>
      </c>
      <c r="H133" s="3">
        <f t="shared" si="41"/>
        <v>2.5787713464416526E-2</v>
      </c>
      <c r="I133" s="3">
        <f t="shared" si="41"/>
        <v>1.1270165873306763E-3</v>
      </c>
      <c r="J133" s="3">
        <f t="shared" si="41"/>
        <v>2.864870716130273E-17</v>
      </c>
      <c r="K133" s="3">
        <f t="shared" si="41"/>
        <v>3.2273958059840028E-153</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1.7686199810363953E-2</v>
      </c>
      <c r="C134" s="3">
        <f t="shared" si="44"/>
        <v>1.7686194816112832E-2</v>
      </c>
      <c r="D134" s="3">
        <f t="shared" si="44"/>
        <v>1.7686144873679175E-2</v>
      </c>
      <c r="E134" s="3">
        <f t="shared" si="44"/>
        <v>1.7685645457099049E-2</v>
      </c>
      <c r="F134" s="3">
        <f t="shared" si="44"/>
        <v>1.7680652066863579E-2</v>
      </c>
      <c r="G134" s="3">
        <f t="shared" si="44"/>
        <v>1.7630795640115309E-2</v>
      </c>
      <c r="H134" s="3">
        <f t="shared" si="44"/>
        <v>1.7139898593712333E-2</v>
      </c>
      <c r="I134" s="3">
        <f t="shared" si="44"/>
        <v>1.2923246086592207E-2</v>
      </c>
      <c r="J134" s="3">
        <f t="shared" si="44"/>
        <v>7.673708117026288E-4</v>
      </c>
      <c r="K134" s="3">
        <f t="shared" si="44"/>
        <v>4.1815942811239142E-16</v>
      </c>
      <c r="L134" s="3">
        <f t="shared" si="44"/>
        <v>9.6540171116579344E-139</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2.4470489052096447E-2</v>
      </c>
      <c r="C135" s="3">
        <f t="shared" si="47"/>
        <v>2.4470488428756234E-2</v>
      </c>
      <c r="D135" s="3">
        <f t="shared" si="47"/>
        <v>2.4470482195354987E-2</v>
      </c>
      <c r="E135" s="3">
        <f t="shared" si="47"/>
        <v>2.4470419861429841E-2</v>
      </c>
      <c r="F135" s="3">
        <f t="shared" si="47"/>
        <v>2.4469796530911435E-2</v>
      </c>
      <c r="G135" s="3">
        <f t="shared" si="47"/>
        <v>2.4463564098949741E-2</v>
      </c>
      <c r="H135" s="3">
        <f t="shared" si="47"/>
        <v>2.4401327019325954E-2</v>
      </c>
      <c r="I135" s="3">
        <f t="shared" si="47"/>
        <v>2.3787598555412317E-2</v>
      </c>
      <c r="J135" s="3">
        <f t="shared" si="47"/>
        <v>1.8438354244379403E-2</v>
      </c>
      <c r="K135" s="3">
        <f t="shared" si="47"/>
        <v>1.4435694864548244E-3</v>
      </c>
      <c r="L135" s="3">
        <f t="shared" si="47"/>
        <v>1.2490881368234714E-14</v>
      </c>
      <c r="M135" s="3">
        <f t="shared" si="47"/>
        <v>2.9386440538020183E-125</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2.4627512024096226E-2</v>
      </c>
      <c r="C136" s="3">
        <f t="shared" si="49"/>
        <v>2.4627511967504928E-2</v>
      </c>
      <c r="D136" s="3">
        <f t="shared" si="49"/>
        <v>2.462751140159199E-2</v>
      </c>
      <c r="E136" s="3">
        <f t="shared" si="49"/>
        <v>2.462750574246329E-2</v>
      </c>
      <c r="F136" s="3">
        <f t="shared" si="49"/>
        <v>2.4627449151247809E-2</v>
      </c>
      <c r="G136" s="3">
        <f t="shared" si="49"/>
        <v>2.4626883246245148E-2</v>
      </c>
      <c r="H136" s="3">
        <f t="shared" si="49"/>
        <v>2.4621224911373907E-2</v>
      </c>
      <c r="I136" s="3">
        <f t="shared" si="49"/>
        <v>2.4564713017429129E-2</v>
      </c>
      <c r="J136" s="3">
        <f t="shared" si="49"/>
        <v>2.4006679174151141E-2</v>
      </c>
      <c r="K136" s="3">
        <f t="shared" si="49"/>
        <v>1.9078139797093295E-2</v>
      </c>
      <c r="L136" s="3">
        <f t="shared" si="49"/>
        <v>1.9167938575226069E-3</v>
      </c>
      <c r="M136" s="3">
        <f t="shared" si="49"/>
        <v>2.008950476337214E-13</v>
      </c>
      <c r="N136" s="3">
        <f t="shared" si="49"/>
        <v>3.2129757641094497E-113</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1.9757999414954246E-2</v>
      </c>
      <c r="C137" s="3">
        <f t="shared" si="51"/>
        <v>1.9757999410858641E-2</v>
      </c>
      <c r="D137" s="3">
        <f t="shared" si="51"/>
        <v>1.9757999369902534E-2</v>
      </c>
      <c r="E137" s="3">
        <f t="shared" si="51"/>
        <v>1.9757998960341486E-2</v>
      </c>
      <c r="F137" s="3">
        <f t="shared" si="51"/>
        <v>1.9757994864731471E-2</v>
      </c>
      <c r="G137" s="3">
        <f t="shared" si="51"/>
        <v>1.9757953908678041E-2</v>
      </c>
      <c r="H137" s="3">
        <f t="shared" si="51"/>
        <v>1.975754435281302E-2</v>
      </c>
      <c r="I137" s="3">
        <f t="shared" si="51"/>
        <v>1.9753449261058677E-2</v>
      </c>
      <c r="J137" s="3">
        <f t="shared" si="51"/>
        <v>1.9712544997310694E-2</v>
      </c>
      <c r="K137" s="3">
        <f t="shared" si="51"/>
        <v>1.9308132154928746E-2</v>
      </c>
      <c r="L137" s="3">
        <f t="shared" si="51"/>
        <v>1.5693359108033236E-2</v>
      </c>
      <c r="M137" s="3">
        <f t="shared" si="51"/>
        <v>1.9745694486302309E-3</v>
      </c>
      <c r="N137" s="3">
        <f t="shared" si="51"/>
        <v>1.9635294400308002E-12</v>
      </c>
      <c r="O137" s="3">
        <f t="shared" si="51"/>
        <v>1.8564679584400087E-102</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3.0456673139755312E-2</v>
      </c>
      <c r="C138" s="3">
        <f t="shared" si="53"/>
        <v>3.0456673139185798E-2</v>
      </c>
      <c r="D138" s="3">
        <f t="shared" si="53"/>
        <v>3.0456673133490653E-2</v>
      </c>
      <c r="E138" s="3">
        <f t="shared" si="53"/>
        <v>3.0456673076539209E-2</v>
      </c>
      <c r="F138" s="3">
        <f t="shared" si="53"/>
        <v>3.045667250702478E-2</v>
      </c>
      <c r="G138" s="3">
        <f t="shared" si="53"/>
        <v>3.0456666811881083E-2</v>
      </c>
      <c r="H138" s="3">
        <f t="shared" si="53"/>
        <v>3.0456609860502661E-2</v>
      </c>
      <c r="I138" s="3">
        <f t="shared" si="53"/>
        <v>3.0456040352575594E-2</v>
      </c>
      <c r="J138" s="3">
        <f t="shared" si="53"/>
        <v>3.0450345858979461E-2</v>
      </c>
      <c r="K138" s="3">
        <f t="shared" si="53"/>
        <v>3.0393459449967155E-2</v>
      </c>
      <c r="L138" s="3">
        <f t="shared" si="53"/>
        <v>2.9830407763494889E-2</v>
      </c>
      <c r="M138" s="3">
        <f t="shared" si="53"/>
        <v>2.474285083649666E-2</v>
      </c>
      <c r="N138" s="3">
        <f t="shared" si="53"/>
        <v>3.8137762272927199E-3</v>
      </c>
      <c r="O138" s="3">
        <f t="shared" si="53"/>
        <v>2.8867548924539489E-11</v>
      </c>
      <c r="P138" s="3">
        <f t="shared" si="53"/>
        <v>1.7822020660873529E-92</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3.3429649525106409E-2</v>
      </c>
      <c r="C139" s="3">
        <f t="shared" si="55"/>
        <v>3.3429649525050016E-2</v>
      </c>
      <c r="D139" s="3">
        <f t="shared" si="55"/>
        <v>3.342964952448612E-2</v>
      </c>
      <c r="E139" s="3">
        <f t="shared" si="55"/>
        <v>3.3429649518847138E-2</v>
      </c>
      <c r="F139" s="3">
        <f t="shared" si="55"/>
        <v>3.3429649462457321E-2</v>
      </c>
      <c r="G139" s="3">
        <f t="shared" si="55"/>
        <v>3.342964889855915E-2</v>
      </c>
      <c r="H139" s="3">
        <f t="shared" si="55"/>
        <v>3.3429643259578E-2</v>
      </c>
      <c r="I139" s="3">
        <f t="shared" si="55"/>
        <v>3.3429586869818735E-2</v>
      </c>
      <c r="J139" s="3">
        <f t="shared" si="55"/>
        <v>3.3429022977457666E-2</v>
      </c>
      <c r="K139" s="3">
        <f t="shared" si="55"/>
        <v>3.342338457696796E-2</v>
      </c>
      <c r="L139" s="3">
        <f t="shared" si="55"/>
        <v>3.3367052851532887E-2</v>
      </c>
      <c r="M139" s="3">
        <f t="shared" si="55"/>
        <v>3.2808931061241803E-2</v>
      </c>
      <c r="N139" s="3">
        <f t="shared" si="55"/>
        <v>2.7716245432387987E-2</v>
      </c>
      <c r="O139" s="3">
        <f t="shared" si="55"/>
        <v>5.1304749670053607E-3</v>
      </c>
      <c r="P139" s="3">
        <f t="shared" si="55"/>
        <v>2.4232003198686258E-10</v>
      </c>
      <c r="Q139" s="3">
        <f t="shared" si="55"/>
        <v>1.3387724452596044E-83</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3.2540934882331791E-2</v>
      </c>
      <c r="C140" s="3">
        <f t="shared" si="57"/>
        <v>3.2540934882326837E-2</v>
      </c>
      <c r="D140" s="3">
        <f t="shared" si="57"/>
        <v>3.2540934882277321E-2</v>
      </c>
      <c r="E140" s="3">
        <f t="shared" si="57"/>
        <v>3.2540934881782162E-2</v>
      </c>
      <c r="F140" s="3">
        <f t="shared" si="57"/>
        <v>3.254093487683056E-2</v>
      </c>
      <c r="G140" s="3">
        <f t="shared" si="57"/>
        <v>3.2540934827314572E-2</v>
      </c>
      <c r="H140" s="3">
        <f t="shared" si="57"/>
        <v>3.2540934332154658E-2</v>
      </c>
      <c r="I140" s="3">
        <f t="shared" si="57"/>
        <v>3.2540929380555951E-2</v>
      </c>
      <c r="J140" s="3">
        <f t="shared" si="57"/>
        <v>3.2540879864610295E-2</v>
      </c>
      <c r="K140" s="3">
        <f t="shared" si="57"/>
        <v>3.25403847092978E-2</v>
      </c>
      <c r="L140" s="3">
        <f t="shared" si="57"/>
        <v>3.2535433570550609E-2</v>
      </c>
      <c r="M140" s="3">
        <f t="shared" si="57"/>
        <v>3.2485963597536145E-2</v>
      </c>
      <c r="N140" s="3">
        <f t="shared" si="57"/>
        <v>3.1995382090931432E-2</v>
      </c>
      <c r="O140" s="3">
        <f t="shared" si="57"/>
        <v>2.7479117226594827E-2</v>
      </c>
      <c r="P140" s="3">
        <f t="shared" si="57"/>
        <v>6.0000868347819727E-3</v>
      </c>
      <c r="Q140" s="3">
        <f t="shared" si="57"/>
        <v>1.4781044490069408E-9</v>
      </c>
      <c r="R140" s="3">
        <f t="shared" si="57"/>
        <v>1.2166930006819468E-75</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2.4641511300848799E-2</v>
      </c>
      <c r="C141" s="3">
        <f t="shared" si="59"/>
        <v>2.4641511300848462E-2</v>
      </c>
      <c r="D141" s="3">
        <f t="shared" si="59"/>
        <v>2.4641511300845079E-2</v>
      </c>
      <c r="E141" s="3">
        <f t="shared" si="59"/>
        <v>2.4641511300811252E-2</v>
      </c>
      <c r="F141" s="3">
        <f t="shared" si="59"/>
        <v>2.4641511300473009E-2</v>
      </c>
      <c r="G141" s="3">
        <f t="shared" si="59"/>
        <v>2.4641511297090576E-2</v>
      </c>
      <c r="H141" s="3">
        <f t="shared" si="59"/>
        <v>2.464151126326623E-2</v>
      </c>
      <c r="I141" s="3">
        <f t="shared" si="59"/>
        <v>2.4641510925022789E-2</v>
      </c>
      <c r="J141" s="3">
        <f t="shared" si="59"/>
        <v>2.4641507542588644E-2</v>
      </c>
      <c r="K141" s="3">
        <f t="shared" si="59"/>
        <v>2.4641473718272681E-2</v>
      </c>
      <c r="L141" s="3">
        <f t="shared" si="59"/>
        <v>2.4641135477666675E-2</v>
      </c>
      <c r="M141" s="3">
        <f t="shared" si="59"/>
        <v>2.4637753326952921E-2</v>
      </c>
      <c r="N141" s="3">
        <f t="shared" si="59"/>
        <v>2.460395734148426E-2</v>
      </c>
      <c r="O141" s="3">
        <f t="shared" si="59"/>
        <v>2.426853673911401E-2</v>
      </c>
      <c r="P141" s="3">
        <f t="shared" si="59"/>
        <v>2.1155819503797267E-2</v>
      </c>
      <c r="Q141" s="3">
        <f t="shared" si="59"/>
        <v>5.3615760254802428E-3</v>
      </c>
      <c r="R141" s="3">
        <f t="shared" si="59"/>
        <v>5.8602834587804835E-9</v>
      </c>
      <c r="S141" s="3">
        <f t="shared" si="59"/>
        <v>1.4261991359926567E-68</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2.4122417967755827E-2</v>
      </c>
      <c r="C142" s="3">
        <f t="shared" si="61"/>
        <v>2.4122417967755799E-2</v>
      </c>
      <c r="D142" s="3">
        <f t="shared" si="61"/>
        <v>2.4122417967755497E-2</v>
      </c>
      <c r="E142" s="3">
        <f t="shared" si="61"/>
        <v>2.4122417967752514E-2</v>
      </c>
      <c r="F142" s="3">
        <f t="shared" si="61"/>
        <v>2.4122417967722642E-2</v>
      </c>
      <c r="G142" s="3">
        <f t="shared" si="61"/>
        <v>2.4122417967423947E-2</v>
      </c>
      <c r="H142" s="3">
        <f t="shared" si="61"/>
        <v>2.4122417964436985E-2</v>
      </c>
      <c r="I142" s="3">
        <f t="shared" si="61"/>
        <v>2.4122417934567379E-2</v>
      </c>
      <c r="J142" s="3">
        <f t="shared" si="61"/>
        <v>2.4122417635871335E-2</v>
      </c>
      <c r="K142" s="3">
        <f t="shared" si="61"/>
        <v>2.4122414648911086E-2</v>
      </c>
      <c r="L142" s="3">
        <f t="shared" si="61"/>
        <v>2.4122384779328952E-2</v>
      </c>
      <c r="M142" s="3">
        <f t="shared" si="61"/>
        <v>2.4122086085541818E-2</v>
      </c>
      <c r="N142" s="3">
        <f t="shared" si="61"/>
        <v>2.411909935108348E-2</v>
      </c>
      <c r="O142" s="3">
        <f t="shared" si="61"/>
        <v>2.4089252338483254E-2</v>
      </c>
      <c r="P142" s="3">
        <f t="shared" si="61"/>
        <v>2.3792806126417151E-2</v>
      </c>
      <c r="Q142" s="3">
        <f t="shared" si="61"/>
        <v>2.102176197386579E-2</v>
      </c>
      <c r="R142" s="3">
        <f t="shared" si="61"/>
        <v>6.094016133047356E-3</v>
      </c>
      <c r="S142" s="3">
        <f t="shared" si="61"/>
        <v>2.5541620777244999E-8</v>
      </c>
      <c r="T142" s="3">
        <f t="shared" si="61"/>
        <v>4.2726466863501577E-62</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2.8528246553067089E-2</v>
      </c>
      <c r="C143" s="3">
        <f t="shared" si="63"/>
        <v>2.8528246553067085E-2</v>
      </c>
      <c r="D143" s="3">
        <f t="shared" si="63"/>
        <v>2.8528246553067054E-2</v>
      </c>
      <c r="E143" s="3">
        <f t="shared" si="63"/>
        <v>2.8528246553066735E-2</v>
      </c>
      <c r="F143" s="3">
        <f t="shared" si="63"/>
        <v>2.8528246553063547E-2</v>
      </c>
      <c r="G143" s="3">
        <f t="shared" si="63"/>
        <v>2.8528246553031683E-2</v>
      </c>
      <c r="H143" s="3">
        <f t="shared" si="63"/>
        <v>2.8528246552713018E-2</v>
      </c>
      <c r="I143" s="3">
        <f t="shared" si="63"/>
        <v>2.85282465495264E-2</v>
      </c>
      <c r="J143" s="3">
        <f t="shared" si="63"/>
        <v>2.8528246517660196E-2</v>
      </c>
      <c r="K143" s="3">
        <f t="shared" si="63"/>
        <v>2.8528246198998179E-2</v>
      </c>
      <c r="L143" s="3">
        <f t="shared" si="63"/>
        <v>2.8528243012378173E-2</v>
      </c>
      <c r="M143" s="3">
        <f t="shared" si="63"/>
        <v>2.8528211146197722E-2</v>
      </c>
      <c r="N143" s="3">
        <f t="shared" si="63"/>
        <v>2.8527892486350889E-2</v>
      </c>
      <c r="O143" s="3">
        <f t="shared" si="63"/>
        <v>2.8524706083644529E-2</v>
      </c>
      <c r="P143" s="3">
        <f t="shared" si="63"/>
        <v>2.8492861624687626E-2</v>
      </c>
      <c r="Q143" s="3">
        <f t="shared" si="63"/>
        <v>2.8176365782557659E-2</v>
      </c>
      <c r="R143" s="3">
        <f t="shared" si="63"/>
        <v>2.5198463113849399E-2</v>
      </c>
      <c r="S143" s="3">
        <f t="shared" si="63"/>
        <v>8.2464080604206028E-3</v>
      </c>
      <c r="T143" s="3">
        <f t="shared" si="63"/>
        <v>1.1619100304929606E-7</v>
      </c>
      <c r="U143" s="3">
        <f t="shared" si="63"/>
        <v>3.5830205251472677E-56</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2.1048719571397968E-2</v>
      </c>
      <c r="C144" s="3">
        <f t="shared" si="65"/>
        <v>2.1048719571397968E-2</v>
      </c>
      <c r="D144" s="3">
        <f t="shared" si="65"/>
        <v>2.1048719571397964E-2</v>
      </c>
      <c r="E144" s="3">
        <f t="shared" si="65"/>
        <v>2.1048719571397943E-2</v>
      </c>
      <c r="F144" s="3">
        <f t="shared" si="65"/>
        <v>2.1048719571397732E-2</v>
      </c>
      <c r="G144" s="3">
        <f t="shared" si="65"/>
        <v>2.1048719571395612E-2</v>
      </c>
      <c r="H144" s="3">
        <f t="shared" si="65"/>
        <v>2.1048719571374403E-2</v>
      </c>
      <c r="I144" s="3">
        <f t="shared" si="65"/>
        <v>2.1048719571162309E-2</v>
      </c>
      <c r="J144" s="3">
        <f t="shared" si="65"/>
        <v>2.104871956904137E-2</v>
      </c>
      <c r="K144" s="3">
        <f t="shared" si="65"/>
        <v>2.1048719547832016E-2</v>
      </c>
      <c r="L144" s="3">
        <f t="shared" si="65"/>
        <v>2.1048719335738448E-2</v>
      </c>
      <c r="M144" s="3">
        <f t="shared" si="65"/>
        <v>2.1048717214802882E-2</v>
      </c>
      <c r="N144" s="3">
        <f t="shared" si="65"/>
        <v>2.1048696005458983E-2</v>
      </c>
      <c r="O144" s="3">
        <f t="shared" si="65"/>
        <v>2.1048483913195408E-2</v>
      </c>
      <c r="P144" s="3">
        <f t="shared" si="65"/>
        <v>2.1046363108096502E-2</v>
      </c>
      <c r="Q144" s="3">
        <f t="shared" si="65"/>
        <v>2.1025166806410811E-2</v>
      </c>
      <c r="R144" s="3">
        <f t="shared" si="65"/>
        <v>2.0814374351254741E-2</v>
      </c>
      <c r="S144" s="3">
        <f t="shared" si="65"/>
        <v>1.8819256983083614E-2</v>
      </c>
      <c r="T144" s="3">
        <f t="shared" si="65"/>
        <v>6.8705829644062771E-3</v>
      </c>
      <c r="U144" s="3">
        <f t="shared" si="65"/>
        <v>2.8900459187460333E-7</v>
      </c>
      <c r="V144" s="3">
        <f t="shared" si="65"/>
        <v>5.0120603571149897E-51</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3.1114198963852646E-2</v>
      </c>
      <c r="C145" s="3">
        <f t="shared" si="68"/>
        <v>3.1114198963852646E-2</v>
      </c>
      <c r="D145" s="3">
        <f t="shared" si="68"/>
        <v>3.1114198963852646E-2</v>
      </c>
      <c r="E145" s="3">
        <f t="shared" si="68"/>
        <v>3.1114198963852643E-2</v>
      </c>
      <c r="F145" s="3">
        <f t="shared" si="68"/>
        <v>3.1114198963852615E-2</v>
      </c>
      <c r="G145" s="3">
        <f t="shared" si="68"/>
        <v>3.111419896385233E-2</v>
      </c>
      <c r="H145" s="3">
        <f t="shared" si="68"/>
        <v>3.1114198963849503E-2</v>
      </c>
      <c r="I145" s="3">
        <f t="shared" si="68"/>
        <v>3.1114198963821223E-2</v>
      </c>
      <c r="J145" s="3">
        <f t="shared" si="68"/>
        <v>3.1114198963538404E-2</v>
      </c>
      <c r="K145" s="3">
        <f t="shared" si="68"/>
        <v>3.1114198960710222E-2</v>
      </c>
      <c r="L145" s="3">
        <f t="shared" si="68"/>
        <v>3.1114198932428425E-2</v>
      </c>
      <c r="M145" s="3">
        <f t="shared" si="68"/>
        <v>3.1114198649610434E-2</v>
      </c>
      <c r="N145" s="3">
        <f t="shared" si="68"/>
        <v>3.1114195821430667E-2</v>
      </c>
      <c r="O145" s="3">
        <f t="shared" si="68"/>
        <v>3.1114167539647158E-2</v>
      </c>
      <c r="P145" s="3">
        <f t="shared" si="68"/>
        <v>3.1113884723225935E-2</v>
      </c>
      <c r="Q145" s="3">
        <f t="shared" si="68"/>
        <v>3.1111056700398234E-2</v>
      </c>
      <c r="R145" s="3">
        <f t="shared" si="68"/>
        <v>3.1082790605820781E-2</v>
      </c>
      <c r="S145" s="3">
        <f t="shared" si="68"/>
        <v>3.0801538288120805E-2</v>
      </c>
      <c r="T145" s="3">
        <f t="shared" si="68"/>
        <v>2.8125253439383921E-2</v>
      </c>
      <c r="U145" s="3">
        <f t="shared" si="68"/>
        <v>1.1332789582295538E-2</v>
      </c>
      <c r="V145" s="3">
        <f t="shared" si="68"/>
        <v>1.2786174624944224E-6</v>
      </c>
      <c r="W145" s="3">
        <f t="shared" si="68"/>
        <v>4.2734506547408878E-46</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2.5140718095571668E-2</v>
      </c>
      <c r="C146" s="3">
        <f t="shared" si="70"/>
        <v>2.5140718095571668E-2</v>
      </c>
      <c r="D146" s="3">
        <f t="shared" si="70"/>
        <v>2.5140718095571668E-2</v>
      </c>
      <c r="E146" s="3">
        <f t="shared" si="70"/>
        <v>2.5140718095571668E-2</v>
      </c>
      <c r="F146" s="3">
        <f t="shared" si="70"/>
        <v>2.5140718095571665E-2</v>
      </c>
      <c r="G146" s="3">
        <f t="shared" si="70"/>
        <v>2.5140718095571647E-2</v>
      </c>
      <c r="H146" s="3">
        <f t="shared" si="70"/>
        <v>2.5140718095571439E-2</v>
      </c>
      <c r="I146" s="3">
        <f t="shared" si="70"/>
        <v>2.5140718095569378E-2</v>
      </c>
      <c r="J146" s="3">
        <f t="shared" si="70"/>
        <v>2.5140718095548763E-2</v>
      </c>
      <c r="K146" s="3">
        <f t="shared" si="70"/>
        <v>2.5140718095342619E-2</v>
      </c>
      <c r="L146" s="3">
        <f t="shared" si="70"/>
        <v>2.514071809328117E-2</v>
      </c>
      <c r="M146" s="3">
        <f t="shared" si="70"/>
        <v>2.5140718072666674E-2</v>
      </c>
      <c r="N146" s="3">
        <f t="shared" si="70"/>
        <v>2.5140717866521736E-2</v>
      </c>
      <c r="O146" s="3">
        <f t="shared" si="70"/>
        <v>2.5140715805072437E-2</v>
      </c>
      <c r="P146" s="3">
        <f t="shared" si="70"/>
        <v>2.5140695190588751E-2</v>
      </c>
      <c r="Q146" s="3">
        <f t="shared" si="70"/>
        <v>2.5140489046681553E-2</v>
      </c>
      <c r="R146" s="3">
        <f t="shared" si="70"/>
        <v>2.5138427700573791E-2</v>
      </c>
      <c r="S146" s="3">
        <f t="shared" si="70"/>
        <v>2.5117823533096252E-2</v>
      </c>
      <c r="T146" s="3">
        <f t="shared" si="70"/>
        <v>2.4912708404946464E-2</v>
      </c>
      <c r="U146" s="3">
        <f t="shared" si="70"/>
        <v>2.2951461358593737E-2</v>
      </c>
      <c r="V146" s="3">
        <f t="shared" si="70"/>
        <v>1.0108909894883479E-2</v>
      </c>
      <c r="W146" s="3">
        <f t="shared" si="70"/>
        <v>2.7774365755042418E-6</v>
      </c>
      <c r="X146" s="3">
        <f t="shared" si="70"/>
        <v>6.8083582313408637E-42</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7.3741618123119579E-2</v>
      </c>
      <c r="C147" s="3">
        <f t="shared" si="72"/>
        <v>7.3741618123119579E-2</v>
      </c>
      <c r="D147" s="3">
        <f t="shared" si="72"/>
        <v>7.3741618123119579E-2</v>
      </c>
      <c r="E147" s="3">
        <f t="shared" si="72"/>
        <v>7.3741618123119579E-2</v>
      </c>
      <c r="F147" s="3">
        <f t="shared" si="72"/>
        <v>7.3741618123119579E-2</v>
      </c>
      <c r="G147" s="3">
        <f t="shared" si="72"/>
        <v>7.3741618123119565E-2</v>
      </c>
      <c r="H147" s="3">
        <f t="shared" si="72"/>
        <v>7.3741618123119523E-2</v>
      </c>
      <c r="I147" s="3">
        <f t="shared" si="72"/>
        <v>7.3741618123118968E-2</v>
      </c>
      <c r="J147" s="3">
        <f t="shared" si="72"/>
        <v>7.3741618123113514E-2</v>
      </c>
      <c r="K147" s="3">
        <f t="shared" si="72"/>
        <v>7.3741618123058975E-2</v>
      </c>
      <c r="L147" s="3">
        <f t="shared" si="72"/>
        <v>7.3741618122513522E-2</v>
      </c>
      <c r="M147" s="3">
        <f t="shared" si="72"/>
        <v>7.3741618117059038E-2</v>
      </c>
      <c r="N147" s="3">
        <f t="shared" si="72"/>
        <v>7.3741618062514114E-2</v>
      </c>
      <c r="O147" s="3">
        <f t="shared" si="72"/>
        <v>7.3741617517064983E-2</v>
      </c>
      <c r="P147" s="3">
        <f t="shared" si="72"/>
        <v>7.3741612062573916E-2</v>
      </c>
      <c r="Q147" s="3">
        <f t="shared" si="72"/>
        <v>7.3741557517685338E-2</v>
      </c>
      <c r="R147" s="3">
        <f t="shared" si="72"/>
        <v>7.3741012071018505E-2</v>
      </c>
      <c r="S147" s="3">
        <f t="shared" si="72"/>
        <v>7.3735557826244136E-2</v>
      </c>
      <c r="T147" s="3">
        <f t="shared" si="72"/>
        <v>7.3681037561817195E-2</v>
      </c>
      <c r="U147" s="3">
        <f t="shared" si="72"/>
        <v>7.3138047190080477E-2</v>
      </c>
      <c r="V147" s="3">
        <f t="shared" si="72"/>
        <v>6.7923434104766561E-2</v>
      </c>
      <c r="W147" s="3">
        <f t="shared" si="72"/>
        <v>3.2417713674584916E-2</v>
      </c>
      <c r="X147" s="3">
        <f t="shared" si="72"/>
        <v>1.9879701196940817E-5</v>
      </c>
      <c r="Y147" s="3">
        <f t="shared" si="72"/>
        <v>1.4951492790171811E-37</v>
      </c>
      <c r="Z147" s="3">
        <f t="shared" si="72"/>
        <v>0</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9.9846945696723061E-2</v>
      </c>
      <c r="C148" s="3">
        <f t="shared" si="74"/>
        <v>9.9846945696723061E-2</v>
      </c>
      <c r="D148" s="3">
        <f t="shared" si="74"/>
        <v>9.9846945696723061E-2</v>
      </c>
      <c r="E148" s="3">
        <f t="shared" si="74"/>
        <v>9.9846945696723061E-2</v>
      </c>
      <c r="F148" s="3">
        <f t="shared" si="74"/>
        <v>9.9846945696723061E-2</v>
      </c>
      <c r="G148" s="3">
        <f t="shared" si="74"/>
        <v>9.9846945696723061E-2</v>
      </c>
      <c r="H148" s="3">
        <f t="shared" si="74"/>
        <v>9.9846945696723047E-2</v>
      </c>
      <c r="I148" s="3">
        <f t="shared" si="74"/>
        <v>9.9846945696722977E-2</v>
      </c>
      <c r="J148" s="3">
        <f t="shared" si="74"/>
        <v>9.9846945696722311E-2</v>
      </c>
      <c r="K148" s="3">
        <f t="shared" si="74"/>
        <v>9.984694569671565E-2</v>
      </c>
      <c r="L148" s="3">
        <f t="shared" si="74"/>
        <v>9.9846945696649037E-2</v>
      </c>
      <c r="M148" s="3">
        <f t="shared" si="74"/>
        <v>9.9846945695982806E-2</v>
      </c>
      <c r="N148" s="3">
        <f t="shared" si="74"/>
        <v>9.9846945689320524E-2</v>
      </c>
      <c r="O148" s="3">
        <f t="shared" si="74"/>
        <v>9.9846945622697719E-2</v>
      </c>
      <c r="P148" s="3">
        <f t="shared" si="74"/>
        <v>9.9846944956469577E-2</v>
      </c>
      <c r="Q148" s="3">
        <f t="shared" si="74"/>
        <v>9.9846938294188531E-2</v>
      </c>
      <c r="R148" s="3">
        <f t="shared" si="74"/>
        <v>9.9846871671402451E-2</v>
      </c>
      <c r="S148" s="3">
        <f t="shared" si="74"/>
        <v>9.9846205445986644E-2</v>
      </c>
      <c r="T148" s="3">
        <f t="shared" si="74"/>
        <v>9.983954343631897E-2</v>
      </c>
      <c r="U148" s="3">
        <f t="shared" si="74"/>
        <v>9.9772947782653901E-2</v>
      </c>
      <c r="V148" s="3">
        <f t="shared" si="74"/>
        <v>9.9109429523368028E-2</v>
      </c>
      <c r="W148" s="3">
        <f t="shared" si="74"/>
        <v>9.271216092418047E-2</v>
      </c>
      <c r="X148" s="3">
        <f t="shared" si="74"/>
        <v>4.7572281178358364E-2</v>
      </c>
      <c r="Y148" s="3">
        <f t="shared" si="74"/>
        <v>6.0190328243998745E-5</v>
      </c>
      <c r="Z148" s="3">
        <f t="shared" si="74"/>
        <v>6.3278191376909008E-34</v>
      </c>
      <c r="AA148" s="3">
        <f>$C34*EXP(-AA$129/$A34/EXP(-$B$126))</f>
        <v>0</v>
      </c>
      <c r="AB148" s="3">
        <f t="shared" si="67"/>
        <v>0</v>
      </c>
      <c r="AC148" s="3">
        <f t="shared" si="67"/>
        <v>0</v>
      </c>
      <c r="AD148" s="3">
        <f t="shared" si="67"/>
        <v>0</v>
      </c>
      <c r="AE148" s="3">
        <f t="shared" si="67"/>
        <v>0</v>
      </c>
      <c r="AF148" s="3">
        <f t="shared" si="67"/>
        <v>0</v>
      </c>
    </row>
    <row r="149" spans="1:32" x14ac:dyDescent="0.25">
      <c r="B149" s="3">
        <f t="shared" ref="B149:Z149" si="75">$C35*EXP(-B$129/$A35/EXP(-$B$126))</f>
        <v>8.4959897030223219E-2</v>
      </c>
      <c r="C149" s="3">
        <f t="shared" si="75"/>
        <v>8.4959897030223219E-2</v>
      </c>
      <c r="D149" s="3">
        <f t="shared" si="75"/>
        <v>8.4959897030223219E-2</v>
      </c>
      <c r="E149" s="3">
        <f t="shared" si="75"/>
        <v>8.4959897030223219E-2</v>
      </c>
      <c r="F149" s="3">
        <f t="shared" si="75"/>
        <v>8.4959897030223219E-2</v>
      </c>
      <c r="G149" s="3">
        <f t="shared" si="75"/>
        <v>8.4959897030223219E-2</v>
      </c>
      <c r="H149" s="3">
        <f t="shared" si="75"/>
        <v>8.4959897030223219E-2</v>
      </c>
      <c r="I149" s="3">
        <f t="shared" si="75"/>
        <v>8.4959897030223205E-2</v>
      </c>
      <c r="J149" s="3">
        <f t="shared" si="75"/>
        <v>8.4959897030223164E-2</v>
      </c>
      <c r="K149" s="3">
        <f t="shared" si="75"/>
        <v>8.495989703022265E-2</v>
      </c>
      <c r="L149" s="3">
        <f t="shared" si="75"/>
        <v>8.4959897030217543E-2</v>
      </c>
      <c r="M149" s="3">
        <f t="shared" si="75"/>
        <v>8.4959897030166404E-2</v>
      </c>
      <c r="N149" s="3">
        <f t="shared" si="75"/>
        <v>8.4959897029655007E-2</v>
      </c>
      <c r="O149" s="3">
        <f t="shared" si="75"/>
        <v>8.4959897024541153E-2</v>
      </c>
      <c r="P149" s="3">
        <f t="shared" si="75"/>
        <v>8.4959896973402574E-2</v>
      </c>
      <c r="Q149" s="3">
        <f t="shared" si="75"/>
        <v>8.4959896462016654E-2</v>
      </c>
      <c r="R149" s="3">
        <f t="shared" si="75"/>
        <v>8.4959891348157832E-2</v>
      </c>
      <c r="S149" s="3">
        <f t="shared" si="75"/>
        <v>8.4959840209586412E-2</v>
      </c>
      <c r="T149" s="3">
        <f t="shared" si="75"/>
        <v>8.4959328825565214E-2</v>
      </c>
      <c r="U149" s="3">
        <f t="shared" si="75"/>
        <v>8.4954215154644769E-2</v>
      </c>
      <c r="V149" s="3">
        <f t="shared" si="75"/>
        <v>8.4903095370833029E-2</v>
      </c>
      <c r="W149" s="3">
        <f t="shared" si="75"/>
        <v>8.4393586308612975E-2</v>
      </c>
      <c r="X149" s="3">
        <f t="shared" si="75"/>
        <v>7.9463672018511733E-2</v>
      </c>
      <c r="Y149" s="3">
        <f t="shared" si="75"/>
        <v>4.3527177155236227E-2</v>
      </c>
      <c r="Z149" s="3">
        <f t="shared" si="75"/>
        <v>1.0584716577652375E-4</v>
      </c>
      <c r="AA149" s="3">
        <f t="shared" ref="AA149" si="76">$C35*EXP(-AA$129/$A35/EXP(-$B$126))</f>
        <v>7.6536137210541821E-31</v>
      </c>
      <c r="AB149" s="3">
        <f t="shared" si="67"/>
        <v>2.9904710258058931E-292</v>
      </c>
      <c r="AC149" s="3">
        <f t="shared" si="67"/>
        <v>0</v>
      </c>
      <c r="AD149" s="3">
        <f t="shared" si="67"/>
        <v>0</v>
      </c>
      <c r="AE149" s="3">
        <f t="shared" si="67"/>
        <v>0</v>
      </c>
      <c r="AF149" s="3">
        <f t="shared" si="67"/>
        <v>0</v>
      </c>
    </row>
    <row r="150" spans="1:32" x14ac:dyDescent="0.25">
      <c r="B150" s="3">
        <f t="shared" ref="B150:Z150" si="77">$C36*EXP(-B$129/$A36/EXP(-$B$126))</f>
        <v>6.3888587804479924E-2</v>
      </c>
      <c r="C150" s="3">
        <f t="shared" si="77"/>
        <v>6.3888587804479924E-2</v>
      </c>
      <c r="D150" s="3">
        <f t="shared" si="77"/>
        <v>6.3888587804479924E-2</v>
      </c>
      <c r="E150" s="3">
        <f t="shared" si="77"/>
        <v>6.3888587804479924E-2</v>
      </c>
      <c r="F150" s="3">
        <f t="shared" si="77"/>
        <v>6.3888587804479924E-2</v>
      </c>
      <c r="G150" s="3">
        <f t="shared" si="77"/>
        <v>6.3888587804479924E-2</v>
      </c>
      <c r="H150" s="3">
        <f t="shared" si="77"/>
        <v>6.3888587804479924E-2</v>
      </c>
      <c r="I150" s="3">
        <f t="shared" si="77"/>
        <v>6.3888587804479924E-2</v>
      </c>
      <c r="J150" s="3">
        <f t="shared" si="77"/>
        <v>6.388858780447991E-2</v>
      </c>
      <c r="K150" s="3">
        <f t="shared" si="77"/>
        <v>6.3888587804479882E-2</v>
      </c>
      <c r="L150" s="3">
        <f t="shared" si="77"/>
        <v>6.3888587804479535E-2</v>
      </c>
      <c r="M150" s="3">
        <f t="shared" si="77"/>
        <v>6.3888587804476066E-2</v>
      </c>
      <c r="N150" s="3">
        <f t="shared" si="77"/>
        <v>6.3888587804441385E-2</v>
      </c>
      <c r="O150" s="3">
        <f t="shared" si="77"/>
        <v>6.3888587804094482E-2</v>
      </c>
      <c r="P150" s="3">
        <f t="shared" si="77"/>
        <v>6.3888587800625479E-2</v>
      </c>
      <c r="Q150" s="3">
        <f t="shared" si="77"/>
        <v>6.3888587765935451E-2</v>
      </c>
      <c r="R150" s="3">
        <f t="shared" si="77"/>
        <v>6.3888587419035164E-2</v>
      </c>
      <c r="S150" s="3">
        <f t="shared" si="77"/>
        <v>6.3888583950032454E-2</v>
      </c>
      <c r="T150" s="3">
        <f t="shared" si="77"/>
        <v>6.388854926001572E-2</v>
      </c>
      <c r="U150" s="3">
        <f t="shared" si="77"/>
        <v>6.3888202360884327E-2</v>
      </c>
      <c r="V150" s="3">
        <f t="shared" si="77"/>
        <v>6.3884733473165423E-2</v>
      </c>
      <c r="W150" s="3">
        <f t="shared" si="77"/>
        <v>6.3850054953400723E-2</v>
      </c>
      <c r="X150" s="3">
        <f t="shared" si="77"/>
        <v>6.3504303420378744E-2</v>
      </c>
      <c r="Y150" s="3">
        <f t="shared" si="77"/>
        <v>6.01481077215247E-2</v>
      </c>
      <c r="Z150" s="3">
        <f t="shared" si="77"/>
        <v>3.4947015393786411E-2</v>
      </c>
      <c r="AA150" s="3">
        <f t="shared" ref="AA150" si="78">$C36*EXP(-AA$129/$A36/EXP(-$B$126))</f>
        <v>1.5321148277133432E-4</v>
      </c>
      <c r="AB150" s="3">
        <f t="shared" si="67"/>
        <v>4.0188663112894913E-28</v>
      </c>
      <c r="AC150" s="3">
        <f t="shared" si="67"/>
        <v>6.1976350325813614E-264</v>
      </c>
      <c r="AD150" s="3">
        <f t="shared" si="67"/>
        <v>0</v>
      </c>
      <c r="AE150" s="3">
        <f t="shared" si="67"/>
        <v>0</v>
      </c>
      <c r="AF150" s="3">
        <f t="shared" si="67"/>
        <v>0</v>
      </c>
    </row>
    <row r="151" spans="1:32" x14ac:dyDescent="0.25">
      <c r="B151" s="3">
        <f t="shared" ref="B151:Z151" si="79">$C37*EXP(-B$129/$A37/EXP(-$B$126))</f>
        <v>6.4356714781999613E-2</v>
      </c>
      <c r="C151" s="3">
        <f t="shared" si="79"/>
        <v>6.4356714781999613E-2</v>
      </c>
      <c r="D151" s="3">
        <f t="shared" si="79"/>
        <v>6.4356714781999613E-2</v>
      </c>
      <c r="E151" s="3">
        <f t="shared" si="79"/>
        <v>6.4356714781999613E-2</v>
      </c>
      <c r="F151" s="3">
        <f t="shared" si="79"/>
        <v>6.4356714781999613E-2</v>
      </c>
      <c r="G151" s="3">
        <f t="shared" si="79"/>
        <v>6.4356714781999613E-2</v>
      </c>
      <c r="H151" s="3">
        <f t="shared" si="79"/>
        <v>6.4356714781999613E-2</v>
      </c>
      <c r="I151" s="3">
        <f t="shared" si="79"/>
        <v>6.4356714781999613E-2</v>
      </c>
      <c r="J151" s="3">
        <f t="shared" si="79"/>
        <v>6.4356714781999613E-2</v>
      </c>
      <c r="K151" s="3">
        <f t="shared" si="79"/>
        <v>6.4356714781999613E-2</v>
      </c>
      <c r="L151" s="3">
        <f t="shared" si="79"/>
        <v>6.4356714781999572E-2</v>
      </c>
      <c r="M151" s="3">
        <f t="shared" si="79"/>
        <v>6.4356714781999266E-2</v>
      </c>
      <c r="N151" s="3">
        <f t="shared" si="79"/>
        <v>6.4356714781996116E-2</v>
      </c>
      <c r="O151" s="3">
        <f t="shared" si="79"/>
        <v>6.4356714781964586E-2</v>
      </c>
      <c r="P151" s="3">
        <f t="shared" si="79"/>
        <v>6.4356714781649366E-2</v>
      </c>
      <c r="Q151" s="3">
        <f t="shared" si="79"/>
        <v>6.4356714778497109E-2</v>
      </c>
      <c r="R151" s="3">
        <f t="shared" si="79"/>
        <v>6.4356714746974519E-2</v>
      </c>
      <c r="S151" s="3">
        <f t="shared" si="79"/>
        <v>6.4356714431748674E-2</v>
      </c>
      <c r="T151" s="3">
        <f t="shared" si="79"/>
        <v>6.4356711279490275E-2</v>
      </c>
      <c r="U151" s="3">
        <f t="shared" si="79"/>
        <v>6.4356679756914864E-2</v>
      </c>
      <c r="V151" s="3">
        <f t="shared" si="79"/>
        <v>6.4356364532009935E-2</v>
      </c>
      <c r="W151" s="3">
        <f t="shared" si="79"/>
        <v>6.4353212367879387E-2</v>
      </c>
      <c r="X151" s="3">
        <f t="shared" si="79"/>
        <v>6.4321699216912595E-2</v>
      </c>
      <c r="Y151" s="3">
        <f t="shared" si="79"/>
        <v>6.4007415204431872E-2</v>
      </c>
      <c r="Z151" s="3">
        <f t="shared" si="79"/>
        <v>6.0947808796213518E-2</v>
      </c>
      <c r="AA151" s="3">
        <f t="shared" ref="AA151" si="80">$C37*EXP(-AA$129/$A37/EXP(-$B$126))</f>
        <v>3.7345318287289084E-2</v>
      </c>
      <c r="AB151" s="3">
        <f t="shared" si="67"/>
        <v>2.786229287537265E-4</v>
      </c>
      <c r="AC151" s="3">
        <f t="shared" si="67"/>
        <v>1.4887567072441934E-25</v>
      </c>
      <c r="AD151" s="3">
        <f t="shared" si="67"/>
        <v>2.8241809032576639E-238</v>
      </c>
      <c r="AE151" s="3">
        <f t="shared" si="67"/>
        <v>0</v>
      </c>
      <c r="AF151" s="3">
        <f t="shared" si="67"/>
        <v>0</v>
      </c>
    </row>
    <row r="152" spans="1:32" x14ac:dyDescent="0.25">
      <c r="B152" s="3">
        <f t="shared" ref="B152:Z152" si="81">$C38*EXP(-B$129/$A38/EXP(-$B$126))</f>
        <v>2.3762961942572935E-2</v>
      </c>
      <c r="C152" s="3">
        <f t="shared" si="81"/>
        <v>2.3762961942572935E-2</v>
      </c>
      <c r="D152" s="3">
        <f t="shared" si="81"/>
        <v>2.3762961942572935E-2</v>
      </c>
      <c r="E152" s="3">
        <f t="shared" si="81"/>
        <v>2.3762961942572935E-2</v>
      </c>
      <c r="F152" s="3">
        <f t="shared" si="81"/>
        <v>2.3762961942572935E-2</v>
      </c>
      <c r="G152" s="3">
        <f t="shared" si="81"/>
        <v>2.3762961942572935E-2</v>
      </c>
      <c r="H152" s="3">
        <f t="shared" si="81"/>
        <v>2.3762961942572935E-2</v>
      </c>
      <c r="I152" s="3">
        <f t="shared" si="81"/>
        <v>2.3762961942572935E-2</v>
      </c>
      <c r="J152" s="3">
        <f t="shared" si="81"/>
        <v>2.3762961942572935E-2</v>
      </c>
      <c r="K152" s="3">
        <f t="shared" si="81"/>
        <v>2.3762961942572935E-2</v>
      </c>
      <c r="L152" s="3">
        <f t="shared" si="81"/>
        <v>2.3762961942572935E-2</v>
      </c>
      <c r="M152" s="3">
        <f t="shared" si="81"/>
        <v>2.3762961942572925E-2</v>
      </c>
      <c r="N152" s="3">
        <f t="shared" si="81"/>
        <v>2.3762961942572821E-2</v>
      </c>
      <c r="O152" s="3">
        <f t="shared" si="81"/>
        <v>2.376296194257177E-2</v>
      </c>
      <c r="P152" s="3">
        <f t="shared" si="81"/>
        <v>2.3762961942561268E-2</v>
      </c>
      <c r="Q152" s="3">
        <f t="shared" si="81"/>
        <v>2.3762961942456272E-2</v>
      </c>
      <c r="R152" s="3">
        <f t="shared" si="81"/>
        <v>2.3762961941406306E-2</v>
      </c>
      <c r="S152" s="3">
        <f t="shared" si="81"/>
        <v>2.3762961930906649E-2</v>
      </c>
      <c r="T152" s="3">
        <f t="shared" si="81"/>
        <v>2.3762961825910079E-2</v>
      </c>
      <c r="U152" s="3">
        <f t="shared" si="81"/>
        <v>2.3762960775944388E-2</v>
      </c>
      <c r="V152" s="3">
        <f t="shared" si="81"/>
        <v>2.3762950276290048E-2</v>
      </c>
      <c r="W152" s="3">
        <f t="shared" si="81"/>
        <v>2.376284528000178E-2</v>
      </c>
      <c r="X152" s="3">
        <f t="shared" si="81"/>
        <v>2.3761795342634659E-2</v>
      </c>
      <c r="Y152" s="3">
        <f t="shared" si="81"/>
        <v>2.37512985200986E-2</v>
      </c>
      <c r="Z152" s="3">
        <f t="shared" si="81"/>
        <v>2.3646584991676038E-2</v>
      </c>
      <c r="AA152" s="3">
        <f t="shared" ref="AA152" si="82">$C38*EXP(-AA$129/$A38/EXP(-$B$126))</f>
        <v>2.262450788697444E-2</v>
      </c>
      <c r="AB152" s="3">
        <f t="shared" si="67"/>
        <v>1.4544080269591102E-2</v>
      </c>
      <c r="AC152" s="3">
        <f t="shared" si="67"/>
        <v>1.7529013503312339E-4</v>
      </c>
      <c r="AD152" s="3">
        <f t="shared" si="67"/>
        <v>1.1336254926279288E-23</v>
      </c>
      <c r="AE152" s="3">
        <f t="shared" si="67"/>
        <v>1.4507443374798813E-215</v>
      </c>
      <c r="AF152" s="3">
        <f t="shared" si="67"/>
        <v>0</v>
      </c>
    </row>
    <row r="153" spans="1:32" x14ac:dyDescent="0.25">
      <c r="B153" s="3">
        <f t="shared" ref="B153:Z153" si="83">$C39*EXP(-B$129/$A39/EXP(-$B$126))</f>
        <v>4.2794407584768095E-2</v>
      </c>
      <c r="C153" s="3">
        <f t="shared" si="83"/>
        <v>4.2794407584768095E-2</v>
      </c>
      <c r="D153" s="3">
        <f t="shared" si="83"/>
        <v>4.2794407584768095E-2</v>
      </c>
      <c r="E153" s="3">
        <f t="shared" si="83"/>
        <v>4.2794407584768095E-2</v>
      </c>
      <c r="F153" s="3">
        <f t="shared" si="83"/>
        <v>4.2794407584768095E-2</v>
      </c>
      <c r="G153" s="3">
        <f t="shared" si="83"/>
        <v>4.2794407584768095E-2</v>
      </c>
      <c r="H153" s="3">
        <f t="shared" si="83"/>
        <v>4.2794407584768095E-2</v>
      </c>
      <c r="I153" s="3">
        <f t="shared" si="83"/>
        <v>4.2794407584768095E-2</v>
      </c>
      <c r="J153" s="3">
        <f t="shared" si="83"/>
        <v>4.2794407584768095E-2</v>
      </c>
      <c r="K153" s="3">
        <f t="shared" si="83"/>
        <v>4.2794407584768095E-2</v>
      </c>
      <c r="L153" s="3">
        <f t="shared" si="83"/>
        <v>4.2794407584768095E-2</v>
      </c>
      <c r="M153" s="3">
        <f t="shared" si="83"/>
        <v>4.2794407584768088E-2</v>
      </c>
      <c r="N153" s="3">
        <f t="shared" si="83"/>
        <v>4.2794407584768039E-2</v>
      </c>
      <c r="O153" s="3">
        <f t="shared" si="83"/>
        <v>4.2794407584767512E-2</v>
      </c>
      <c r="P153" s="3">
        <f t="shared" si="83"/>
        <v>4.2794407584762287E-2</v>
      </c>
      <c r="Q153" s="3">
        <f t="shared" si="83"/>
        <v>4.2794407584709988E-2</v>
      </c>
      <c r="R153" s="3">
        <f t="shared" si="83"/>
        <v>4.2794407584187025E-2</v>
      </c>
      <c r="S153" s="3">
        <f t="shared" si="83"/>
        <v>4.2794407578957347E-2</v>
      </c>
      <c r="T153" s="3">
        <f t="shared" si="83"/>
        <v>4.2794407526660631E-2</v>
      </c>
      <c r="U153" s="3">
        <f t="shared" si="83"/>
        <v>4.2794407003693462E-2</v>
      </c>
      <c r="V153" s="3">
        <f t="shared" si="83"/>
        <v>4.2794401774022148E-2</v>
      </c>
      <c r="W153" s="3">
        <f t="shared" si="83"/>
        <v>4.2794349477344083E-2</v>
      </c>
      <c r="X153" s="3">
        <f t="shared" si="83"/>
        <v>4.2793826514078474E-2</v>
      </c>
      <c r="Y153" s="3">
        <f t="shared" si="83"/>
        <v>4.278859723290409E-2</v>
      </c>
      <c r="Z153" s="3">
        <f t="shared" si="83"/>
        <v>4.2736339553441999E-2</v>
      </c>
      <c r="AA153" s="3">
        <f t="shared" ref="AA153" si="84">$C39*EXP(-AA$129/$A39/EXP(-$B$126))</f>
        <v>4.2217260153488569E-2</v>
      </c>
      <c r="AB153" s="3">
        <f t="shared" si="67"/>
        <v>3.7360895654124357E-2</v>
      </c>
      <c r="AC153" s="3">
        <f t="shared" si="67"/>
        <v>1.1007523522072474E-2</v>
      </c>
      <c r="AD153" s="3">
        <f t="shared" si="67"/>
        <v>5.4251662779423968E-8</v>
      </c>
      <c r="AE153" s="3">
        <f t="shared" si="67"/>
        <v>4.5882531089760665E-61</v>
      </c>
      <c r="AF153" s="3">
        <f t="shared" si="67"/>
        <v>0</v>
      </c>
    </row>
    <row r="154" spans="1:32" x14ac:dyDescent="0.25">
      <c r="B154" s="3">
        <f t="shared" ref="B154:Z154" si="85">$C40*EXP(-B$129/$A40/EXP(-$B$126))</f>
        <v>2.2817294808056693E-2</v>
      </c>
      <c r="C154" s="3">
        <f t="shared" si="85"/>
        <v>2.2817294808056693E-2</v>
      </c>
      <c r="D154" s="3">
        <f t="shared" si="85"/>
        <v>2.2817294808056693E-2</v>
      </c>
      <c r="E154" s="3">
        <f t="shared" si="85"/>
        <v>2.2817294808056693E-2</v>
      </c>
      <c r="F154" s="3">
        <f t="shared" si="85"/>
        <v>2.2817294808056693E-2</v>
      </c>
      <c r="G154" s="3">
        <f t="shared" si="85"/>
        <v>2.2817294808056693E-2</v>
      </c>
      <c r="H154" s="3">
        <f t="shared" si="85"/>
        <v>2.2817294808056693E-2</v>
      </c>
      <c r="I154" s="3">
        <f t="shared" si="85"/>
        <v>2.2817294808056693E-2</v>
      </c>
      <c r="J154" s="3">
        <f t="shared" si="85"/>
        <v>2.2817294808056693E-2</v>
      </c>
      <c r="K154" s="3">
        <f t="shared" si="85"/>
        <v>2.2817294808056693E-2</v>
      </c>
      <c r="L154" s="3">
        <f t="shared" si="85"/>
        <v>2.2817294808056693E-2</v>
      </c>
      <c r="M154" s="3">
        <f t="shared" si="85"/>
        <v>2.2817294808056693E-2</v>
      </c>
      <c r="N154" s="3">
        <f t="shared" si="85"/>
        <v>2.2817294808056689E-2</v>
      </c>
      <c r="O154" s="3">
        <f t="shared" si="85"/>
        <v>2.2817294808056662E-2</v>
      </c>
      <c r="P154" s="3">
        <f t="shared" si="85"/>
        <v>2.2817294808056384E-2</v>
      </c>
      <c r="Q154" s="3">
        <f t="shared" si="85"/>
        <v>2.2817294808053595E-2</v>
      </c>
      <c r="R154" s="3">
        <f t="shared" si="85"/>
        <v>2.2817294808025711E-2</v>
      </c>
      <c r="S154" s="3">
        <f t="shared" si="85"/>
        <v>2.2817294807746875E-2</v>
      </c>
      <c r="T154" s="3">
        <f t="shared" si="85"/>
        <v>2.2817294804958498E-2</v>
      </c>
      <c r="U154" s="3">
        <f t="shared" si="85"/>
        <v>2.2817294777074722E-2</v>
      </c>
      <c r="V154" s="3">
        <f t="shared" si="85"/>
        <v>2.2817294498236978E-2</v>
      </c>
      <c r="W154" s="3">
        <f t="shared" si="85"/>
        <v>2.2817291709859733E-2</v>
      </c>
      <c r="X154" s="3">
        <f t="shared" si="85"/>
        <v>2.2817263826106035E-2</v>
      </c>
      <c r="Y154" s="3">
        <f t="shared" si="85"/>
        <v>2.2816984990443184E-2</v>
      </c>
      <c r="Z154" s="3">
        <f t="shared" si="85"/>
        <v>2.2814196821219115E-2</v>
      </c>
      <c r="AA154" s="3">
        <f t="shared" ref="AA154:AF154" si="86">$C40*EXP(-AA$129/$A40/EXP(-$B$126))</f>
        <v>2.2786333860950074E-2</v>
      </c>
      <c r="AB154" s="3">
        <f t="shared" si="86"/>
        <v>2.2509569013252028E-2</v>
      </c>
      <c r="AC154" s="3">
        <f t="shared" si="86"/>
        <v>1.9920233005787016E-2</v>
      </c>
      <c r="AD154" s="3">
        <f t="shared" si="86"/>
        <v>5.8690357802532768E-3</v>
      </c>
      <c r="AE154" s="3">
        <f t="shared" si="86"/>
        <v>2.8926120335078385E-8</v>
      </c>
      <c r="AF154" s="3">
        <f t="shared" si="86"/>
        <v>2.4463832951563665E-61</v>
      </c>
    </row>
    <row r="155" spans="1:32" x14ac:dyDescent="0.25">
      <c r="B155" s="3">
        <f t="shared" ref="B155:Z155" si="87">$C41*EXP(-B$129/$A41/EXP(-$B$126))</f>
        <v>1.5874068547548043E-2</v>
      </c>
      <c r="C155" s="3">
        <f t="shared" si="87"/>
        <v>1.5874068547548043E-2</v>
      </c>
      <c r="D155" s="3">
        <f t="shared" si="87"/>
        <v>1.5874068547548043E-2</v>
      </c>
      <c r="E155" s="3">
        <f t="shared" si="87"/>
        <v>1.5874068547548043E-2</v>
      </c>
      <c r="F155" s="3">
        <f t="shared" si="87"/>
        <v>1.5874068547548043E-2</v>
      </c>
      <c r="G155" s="3">
        <f t="shared" si="87"/>
        <v>1.5874068547548043E-2</v>
      </c>
      <c r="H155" s="3">
        <f t="shared" si="87"/>
        <v>1.5874068547548043E-2</v>
      </c>
      <c r="I155" s="3">
        <f t="shared" si="87"/>
        <v>1.5874068547548043E-2</v>
      </c>
      <c r="J155" s="3">
        <f t="shared" si="87"/>
        <v>1.5874068547548043E-2</v>
      </c>
      <c r="K155" s="3">
        <f t="shared" si="87"/>
        <v>1.5874068547548043E-2</v>
      </c>
      <c r="L155" s="3">
        <f t="shared" si="87"/>
        <v>1.5874068547548043E-2</v>
      </c>
      <c r="M155" s="3">
        <f t="shared" si="87"/>
        <v>1.5874068547548043E-2</v>
      </c>
      <c r="N155" s="3">
        <f t="shared" si="87"/>
        <v>1.5874068547548043E-2</v>
      </c>
      <c r="O155" s="3">
        <f t="shared" si="87"/>
        <v>1.587406854754804E-2</v>
      </c>
      <c r="P155" s="3">
        <f t="shared" si="87"/>
        <v>1.5874068547548022E-2</v>
      </c>
      <c r="Q155" s="3">
        <f t="shared" si="87"/>
        <v>1.5874068547547828E-2</v>
      </c>
      <c r="R155" s="3">
        <f t="shared" si="87"/>
        <v>1.5874068547545889E-2</v>
      </c>
      <c r="S155" s="3">
        <f t="shared" si="87"/>
        <v>1.5874068547526491E-2</v>
      </c>
      <c r="T155" s="3">
        <f t="shared" si="87"/>
        <v>1.58740685473325E-2</v>
      </c>
      <c r="U155" s="3">
        <f t="shared" si="87"/>
        <v>1.5874068545392618E-2</v>
      </c>
      <c r="V155" s="3">
        <f t="shared" si="87"/>
        <v>1.5874068525993781E-2</v>
      </c>
      <c r="W155" s="3">
        <f t="shared" si="87"/>
        <v>1.5874068332005428E-2</v>
      </c>
      <c r="X155" s="3">
        <f t="shared" si="87"/>
        <v>1.5874066392122025E-2</v>
      </c>
      <c r="Y155" s="3">
        <f t="shared" si="87"/>
        <v>1.5874046993301031E-2</v>
      </c>
      <c r="Z155" s="3">
        <f t="shared" si="87"/>
        <v>1.587385300639492E-2</v>
      </c>
      <c r="AA155" s="3">
        <f t="shared" ref="AA155:AF155" si="88">$C41*EXP(-AA$129/$A41/EXP(-$B$126))</f>
        <v>1.5871913267711726E-2</v>
      </c>
      <c r="AB155" s="3">
        <f t="shared" si="88"/>
        <v>1.5852528912775304E-2</v>
      </c>
      <c r="AC155" s="3">
        <f t="shared" si="88"/>
        <v>1.5659982679715318E-2</v>
      </c>
      <c r="AD155" s="3">
        <f t="shared" si="88"/>
        <v>1.385857293237662E-2</v>
      </c>
      <c r="AE155" s="3">
        <f t="shared" si="88"/>
        <v>4.0831078823093565E-3</v>
      </c>
      <c r="AF155" s="3">
        <f t="shared" si="88"/>
        <v>2.0123998961153132E-8</v>
      </c>
    </row>
    <row r="156" spans="1:32" x14ac:dyDescent="0.25">
      <c r="B156" s="3">
        <f t="shared" ref="B156:Z156" si="89">$C42*EXP(-B$129/$A42/EXP(-$B$126))</f>
        <v>5.5424436077778048E-3</v>
      </c>
      <c r="C156" s="3">
        <f t="shared" si="89"/>
        <v>5.5424436077778048E-3</v>
      </c>
      <c r="D156" s="3">
        <f t="shared" si="89"/>
        <v>5.5424436077778048E-3</v>
      </c>
      <c r="E156" s="3">
        <f t="shared" si="89"/>
        <v>5.5424436077778048E-3</v>
      </c>
      <c r="F156" s="3">
        <f t="shared" si="89"/>
        <v>5.5424436077778048E-3</v>
      </c>
      <c r="G156" s="3">
        <f t="shared" si="89"/>
        <v>5.5424436077778048E-3</v>
      </c>
      <c r="H156" s="3">
        <f t="shared" si="89"/>
        <v>5.5424436077778048E-3</v>
      </c>
      <c r="I156" s="3">
        <f t="shared" si="89"/>
        <v>5.5424436077778048E-3</v>
      </c>
      <c r="J156" s="3">
        <f t="shared" si="89"/>
        <v>5.5424436077778048E-3</v>
      </c>
      <c r="K156" s="3">
        <f t="shared" si="89"/>
        <v>5.5424436077778048E-3</v>
      </c>
      <c r="L156" s="3">
        <f t="shared" si="89"/>
        <v>5.5424436077778048E-3</v>
      </c>
      <c r="M156" s="3">
        <f t="shared" si="89"/>
        <v>5.5424436077778048E-3</v>
      </c>
      <c r="N156" s="3">
        <f t="shared" si="89"/>
        <v>5.5424436077778048E-3</v>
      </c>
      <c r="O156" s="3">
        <f t="shared" si="89"/>
        <v>5.5424436077778048E-3</v>
      </c>
      <c r="P156" s="3">
        <f t="shared" si="89"/>
        <v>5.542443607777804E-3</v>
      </c>
      <c r="Q156" s="3">
        <f t="shared" si="89"/>
        <v>5.542443607777797E-3</v>
      </c>
      <c r="R156" s="3">
        <f t="shared" si="89"/>
        <v>5.5424436077777294E-3</v>
      </c>
      <c r="S156" s="3">
        <f t="shared" si="89"/>
        <v>5.542443607777052E-3</v>
      </c>
      <c r="T156" s="3">
        <f t="shared" si="89"/>
        <v>5.5424436077702796E-3</v>
      </c>
      <c r="U156" s="3">
        <f t="shared" si="89"/>
        <v>5.5424436077025482E-3</v>
      </c>
      <c r="V156" s="3">
        <f t="shared" si="89"/>
        <v>5.5424436070252358E-3</v>
      </c>
      <c r="W156" s="3">
        <f t="shared" si="89"/>
        <v>5.5424436002521173E-3</v>
      </c>
      <c r="X156" s="3">
        <f t="shared" si="89"/>
        <v>5.5424435325209303E-3</v>
      </c>
      <c r="Y156" s="3">
        <f t="shared" si="89"/>
        <v>5.542442855209103E-3</v>
      </c>
      <c r="Z156" s="3">
        <f t="shared" si="89"/>
        <v>5.5424360820953865E-3</v>
      </c>
      <c r="AA156" s="3">
        <f t="shared" ref="AA156:AF156" si="90">$C42*EXP(-AA$129/$A42/EXP(-$B$126))</f>
        <v>5.5423683514134545E-3</v>
      </c>
      <c r="AB156" s="3">
        <f t="shared" si="90"/>
        <v>5.5416910901156828E-3</v>
      </c>
      <c r="AC156" s="3">
        <f t="shared" si="90"/>
        <v>5.5349230272346102E-3</v>
      </c>
      <c r="AD156" s="3">
        <f t="shared" si="90"/>
        <v>5.4676953574391519E-3</v>
      </c>
      <c r="AE156" s="3">
        <f t="shared" si="90"/>
        <v>4.8387317171965762E-3</v>
      </c>
      <c r="AF156" s="3">
        <f t="shared" si="90"/>
        <v>1.4256203514799752E-3</v>
      </c>
    </row>
    <row r="157" spans="1:32" x14ac:dyDescent="0.25">
      <c r="B157" s="3">
        <f t="shared" ref="B157:Z157" si="91">$C43*EXP(-B$129/$A43/EXP(-$B$126))</f>
        <v>3.8861309197679899E-3</v>
      </c>
      <c r="C157" s="3">
        <f t="shared" si="91"/>
        <v>3.8861309197679899E-3</v>
      </c>
      <c r="D157" s="3">
        <f t="shared" si="91"/>
        <v>3.8861309197679899E-3</v>
      </c>
      <c r="E157" s="3">
        <f t="shared" si="91"/>
        <v>3.8861309197679899E-3</v>
      </c>
      <c r="F157" s="3">
        <f t="shared" si="91"/>
        <v>3.8861309197679899E-3</v>
      </c>
      <c r="G157" s="3">
        <f t="shared" si="91"/>
        <v>3.8861309197679899E-3</v>
      </c>
      <c r="H157" s="3">
        <f t="shared" si="91"/>
        <v>3.8861309197679899E-3</v>
      </c>
      <c r="I157" s="3">
        <f t="shared" si="91"/>
        <v>3.8861309197679899E-3</v>
      </c>
      <c r="J157" s="3">
        <f t="shared" si="91"/>
        <v>3.8861309197679899E-3</v>
      </c>
      <c r="K157" s="3">
        <f t="shared" si="91"/>
        <v>3.8861309197679899E-3</v>
      </c>
      <c r="L157" s="3">
        <f t="shared" si="91"/>
        <v>3.8861309197679899E-3</v>
      </c>
      <c r="M157" s="3">
        <f t="shared" si="91"/>
        <v>3.8861309197679899E-3</v>
      </c>
      <c r="N157" s="3">
        <f t="shared" si="91"/>
        <v>3.8861309197679899E-3</v>
      </c>
      <c r="O157" s="3">
        <f t="shared" si="91"/>
        <v>3.8861309197679899E-3</v>
      </c>
      <c r="P157" s="3">
        <f t="shared" si="91"/>
        <v>3.8861309197679899E-3</v>
      </c>
      <c r="Q157" s="3">
        <f t="shared" si="91"/>
        <v>3.8861309197679894E-3</v>
      </c>
      <c r="R157" s="3">
        <f t="shared" si="91"/>
        <v>3.8861309197679847E-3</v>
      </c>
      <c r="S157" s="3">
        <f t="shared" si="91"/>
        <v>3.8861309197679374E-3</v>
      </c>
      <c r="T157" s="3">
        <f t="shared" si="91"/>
        <v>3.8861309197674621E-3</v>
      </c>
      <c r="U157" s="3">
        <f t="shared" si="91"/>
        <v>3.8861309197627133E-3</v>
      </c>
      <c r="V157" s="3">
        <f t="shared" si="91"/>
        <v>3.886130919715223E-3</v>
      </c>
      <c r="W157" s="3">
        <f t="shared" si="91"/>
        <v>3.8861309192403199E-3</v>
      </c>
      <c r="X157" s="3">
        <f t="shared" si="91"/>
        <v>3.8861309144912911E-3</v>
      </c>
      <c r="Y157" s="3">
        <f t="shared" si="91"/>
        <v>3.8861308670009994E-3</v>
      </c>
      <c r="Z157" s="3">
        <f t="shared" si="91"/>
        <v>3.8861303920981194E-3</v>
      </c>
      <c r="AA157" s="3">
        <f t="shared" ref="AA157:AF157" si="92">$C43*EXP(-AA$129/$A43/EXP(-$B$126))</f>
        <v>3.8861256430725087E-3</v>
      </c>
      <c r="AB157" s="3">
        <f t="shared" si="92"/>
        <v>3.8860781531355969E-3</v>
      </c>
      <c r="AC157" s="3">
        <f t="shared" si="92"/>
        <v>3.8856032856842905E-3</v>
      </c>
      <c r="AD157" s="3">
        <f t="shared" si="92"/>
        <v>3.8808578015097359E-3</v>
      </c>
      <c r="AE157" s="3">
        <f t="shared" si="92"/>
        <v>3.8337205557848618E-3</v>
      </c>
      <c r="AF157" s="3">
        <f t="shared" si="92"/>
        <v>3.3927174129966399E-3</v>
      </c>
    </row>
    <row r="158" spans="1:32" x14ac:dyDescent="0.25">
      <c r="B158" s="3">
        <f t="shared" ref="B158:Z158" si="93">$C44*EXP(-B$129/$A44/EXP(-$B$126))</f>
        <v>2.064572113999586E-3</v>
      </c>
      <c r="C158" s="3">
        <f t="shared" si="93"/>
        <v>2.064572113999586E-3</v>
      </c>
      <c r="D158" s="3">
        <f t="shared" si="93"/>
        <v>2.064572113999586E-3</v>
      </c>
      <c r="E158" s="3">
        <f t="shared" si="93"/>
        <v>2.064572113999586E-3</v>
      </c>
      <c r="F158" s="3">
        <f t="shared" si="93"/>
        <v>2.064572113999586E-3</v>
      </c>
      <c r="G158" s="3">
        <f t="shared" si="93"/>
        <v>2.064572113999586E-3</v>
      </c>
      <c r="H158" s="3">
        <f t="shared" si="93"/>
        <v>2.064572113999586E-3</v>
      </c>
      <c r="I158" s="3">
        <f t="shared" si="93"/>
        <v>2.064572113999586E-3</v>
      </c>
      <c r="J158" s="3">
        <f t="shared" si="93"/>
        <v>2.064572113999586E-3</v>
      </c>
      <c r="K158" s="3">
        <f t="shared" si="93"/>
        <v>2.064572113999586E-3</v>
      </c>
      <c r="L158" s="3">
        <f t="shared" si="93"/>
        <v>2.064572113999586E-3</v>
      </c>
      <c r="M158" s="3">
        <f t="shared" si="93"/>
        <v>2.064572113999586E-3</v>
      </c>
      <c r="N158" s="3">
        <f t="shared" si="93"/>
        <v>2.064572113999586E-3</v>
      </c>
      <c r="O158" s="3">
        <f t="shared" si="93"/>
        <v>2.064572113999586E-3</v>
      </c>
      <c r="P158" s="3">
        <f t="shared" si="93"/>
        <v>2.064572113999586E-3</v>
      </c>
      <c r="Q158" s="3">
        <f t="shared" si="93"/>
        <v>2.064572113999586E-3</v>
      </c>
      <c r="R158" s="3">
        <f t="shared" si="93"/>
        <v>2.0645721139995856E-3</v>
      </c>
      <c r="S158" s="3">
        <f t="shared" si="93"/>
        <v>2.0645721139995834E-3</v>
      </c>
      <c r="T158" s="3">
        <f t="shared" si="93"/>
        <v>2.0645721139995583E-3</v>
      </c>
      <c r="U158" s="3">
        <f t="shared" si="93"/>
        <v>2.0645721139993059E-3</v>
      </c>
      <c r="V158" s="3">
        <f t="shared" si="93"/>
        <v>2.0645721139967827E-3</v>
      </c>
      <c r="W158" s="3">
        <f t="shared" si="93"/>
        <v>2.0645721139715529E-3</v>
      </c>
      <c r="X158" s="3">
        <f t="shared" si="93"/>
        <v>2.0645721137192525E-3</v>
      </c>
      <c r="Y158" s="3">
        <f t="shared" si="93"/>
        <v>2.0645721111962512E-3</v>
      </c>
      <c r="Z158" s="3">
        <f t="shared" si="93"/>
        <v>2.0645720859662391E-3</v>
      </c>
      <c r="AA158" s="3">
        <f t="shared" ref="AA158:AF158" si="94">$C44*EXP(-AA$129/$A44/EXP(-$B$126))</f>
        <v>2.0645718336661329E-3</v>
      </c>
      <c r="AB158" s="3">
        <f t="shared" si="94"/>
        <v>2.0645693106667675E-3</v>
      </c>
      <c r="AC158" s="3">
        <f t="shared" si="94"/>
        <v>2.0645440808426912E-3</v>
      </c>
      <c r="AD158" s="3">
        <f t="shared" si="94"/>
        <v>2.0642917995587987E-3</v>
      </c>
      <c r="AE158" s="3">
        <f t="shared" si="94"/>
        <v>2.0617706816406208E-3</v>
      </c>
      <c r="AF158" s="3">
        <f t="shared" si="94"/>
        <v>2.0367282306621212E-3</v>
      </c>
    </row>
    <row r="159" spans="1:32" x14ac:dyDescent="0.25">
      <c r="A159" s="11" t="s">
        <v>75</v>
      </c>
      <c r="B159" s="3">
        <f t="shared" ref="B159:Z159" si="95">$C45*EXP(-B$129/$A45/EXP(-$B$126))</f>
        <v>5.3484126683110472E-4</v>
      </c>
      <c r="C159" s="3">
        <f t="shared" si="95"/>
        <v>5.3484126683110472E-4</v>
      </c>
      <c r="D159" s="3">
        <f t="shared" si="95"/>
        <v>5.3484126683110472E-4</v>
      </c>
      <c r="E159" s="3">
        <f t="shared" si="95"/>
        <v>5.3484126683110472E-4</v>
      </c>
      <c r="F159" s="3">
        <f t="shared" si="95"/>
        <v>5.3484126683110472E-4</v>
      </c>
      <c r="G159" s="3">
        <f t="shared" si="95"/>
        <v>5.3484126683110472E-4</v>
      </c>
      <c r="H159" s="3">
        <f t="shared" si="95"/>
        <v>5.3484126683110472E-4</v>
      </c>
      <c r="I159" s="3">
        <f t="shared" si="95"/>
        <v>5.3484126683110472E-4</v>
      </c>
      <c r="J159" s="3">
        <f t="shared" si="95"/>
        <v>5.3484126683110472E-4</v>
      </c>
      <c r="K159" s="3">
        <f t="shared" si="95"/>
        <v>5.3484126683110472E-4</v>
      </c>
      <c r="L159" s="3">
        <f t="shared" si="95"/>
        <v>5.3484126683110472E-4</v>
      </c>
      <c r="M159" s="3">
        <f t="shared" si="95"/>
        <v>5.3484126683110472E-4</v>
      </c>
      <c r="N159" s="3">
        <f t="shared" si="95"/>
        <v>5.3484126683110472E-4</v>
      </c>
      <c r="O159" s="3">
        <f t="shared" si="95"/>
        <v>5.3484126683110472E-4</v>
      </c>
      <c r="P159" s="3">
        <f t="shared" si="95"/>
        <v>5.3484126683110472E-4</v>
      </c>
      <c r="Q159" s="3">
        <f t="shared" si="95"/>
        <v>5.3484126683110472E-4</v>
      </c>
      <c r="R159" s="3">
        <f t="shared" si="95"/>
        <v>5.3484126683110472E-4</v>
      </c>
      <c r="S159" s="3">
        <f t="shared" si="95"/>
        <v>5.3484126683110461E-4</v>
      </c>
      <c r="T159" s="3">
        <f t="shared" si="95"/>
        <v>5.3484126683110396E-4</v>
      </c>
      <c r="U159" s="3">
        <f t="shared" si="95"/>
        <v>5.3484126683109746E-4</v>
      </c>
      <c r="V159" s="3">
        <f t="shared" si="95"/>
        <v>5.3484126683103208E-4</v>
      </c>
      <c r="W159" s="3">
        <f t="shared" si="95"/>
        <v>5.3484126683037852E-4</v>
      </c>
      <c r="X159" s="3">
        <f t="shared" si="95"/>
        <v>5.3484126682384252E-4</v>
      </c>
      <c r="Y159" s="3">
        <f t="shared" si="95"/>
        <v>5.3484126675848247E-4</v>
      </c>
      <c r="Z159" s="3">
        <f t="shared" si="95"/>
        <v>5.3484126610488204E-4</v>
      </c>
      <c r="AA159" s="3">
        <f t="shared" ref="AA159:AF159" si="96">$C45*EXP(-AA$129/$A45/EXP(-$B$126))</f>
        <v>5.3484125956887799E-4</v>
      </c>
      <c r="AB159" s="3">
        <f t="shared" si="96"/>
        <v>5.348411942088417E-4</v>
      </c>
      <c r="AC159" s="3">
        <f t="shared" si="96"/>
        <v>5.3484054060891763E-4</v>
      </c>
      <c r="AD159" s="3">
        <f t="shared" si="96"/>
        <v>5.3483400465360788E-4</v>
      </c>
      <c r="AE159" s="3">
        <f t="shared" si="96"/>
        <v>5.3476864949330129E-4</v>
      </c>
      <c r="AF159" s="3">
        <f t="shared" si="96"/>
        <v>5.341155369708346E-4</v>
      </c>
    </row>
    <row r="160" spans="1:32" x14ac:dyDescent="0.25">
      <c r="B160" s="3">
        <f t="shared" ref="B160:Z160" si="97">$C46*EXP(-B$129/$A46/EXP(-$B$126))</f>
        <v>1.465148476990797E-3</v>
      </c>
      <c r="C160" s="3">
        <f t="shared" si="97"/>
        <v>1.465148476990797E-3</v>
      </c>
      <c r="D160" s="3">
        <f t="shared" si="97"/>
        <v>1.465148476990797E-3</v>
      </c>
      <c r="E160" s="3">
        <f t="shared" si="97"/>
        <v>1.465148476990797E-3</v>
      </c>
      <c r="F160" s="3">
        <f t="shared" si="97"/>
        <v>1.465148476990797E-3</v>
      </c>
      <c r="G160" s="3">
        <f t="shared" si="97"/>
        <v>1.465148476990797E-3</v>
      </c>
      <c r="H160" s="3">
        <f t="shared" si="97"/>
        <v>1.465148476990797E-3</v>
      </c>
      <c r="I160" s="3">
        <f t="shared" si="97"/>
        <v>1.465148476990797E-3</v>
      </c>
      <c r="J160" s="3">
        <f t="shared" si="97"/>
        <v>1.465148476990797E-3</v>
      </c>
      <c r="K160" s="3">
        <f t="shared" si="97"/>
        <v>1.465148476990797E-3</v>
      </c>
      <c r="L160" s="3">
        <f t="shared" si="97"/>
        <v>1.465148476990797E-3</v>
      </c>
      <c r="M160" s="3">
        <f t="shared" si="97"/>
        <v>1.465148476990797E-3</v>
      </c>
      <c r="N160" s="3">
        <f t="shared" si="97"/>
        <v>1.465148476990797E-3</v>
      </c>
      <c r="O160" s="3">
        <f t="shared" si="97"/>
        <v>1.465148476990797E-3</v>
      </c>
      <c r="P160" s="3">
        <f t="shared" si="97"/>
        <v>1.465148476990797E-3</v>
      </c>
      <c r="Q160" s="3">
        <f t="shared" si="97"/>
        <v>1.465148476990797E-3</v>
      </c>
      <c r="R160" s="3">
        <f t="shared" si="97"/>
        <v>1.465148476990797E-3</v>
      </c>
      <c r="S160" s="3">
        <f t="shared" si="97"/>
        <v>1.465148476990797E-3</v>
      </c>
      <c r="T160" s="3">
        <f t="shared" si="97"/>
        <v>1.4651484769907968E-3</v>
      </c>
      <c r="U160" s="3">
        <f t="shared" si="97"/>
        <v>1.4651484769907951E-3</v>
      </c>
      <c r="V160" s="3">
        <f t="shared" si="97"/>
        <v>1.4651484769907771E-3</v>
      </c>
      <c r="W160" s="3">
        <f t="shared" si="97"/>
        <v>1.4651484769905982E-3</v>
      </c>
      <c r="X160" s="3">
        <f t="shared" si="97"/>
        <v>1.4651484769888077E-3</v>
      </c>
      <c r="Y160" s="3">
        <f t="shared" si="97"/>
        <v>1.4651484769709028E-3</v>
      </c>
      <c r="Z160" s="3">
        <f t="shared" si="97"/>
        <v>1.465148476791855E-3</v>
      </c>
      <c r="AA160" s="3">
        <f t="shared" ref="AA160:AF160" si="98">$C46*EXP(-AA$129/$A46/EXP(-$B$126))</f>
        <v>1.4651484750013769E-3</v>
      </c>
      <c r="AB160" s="3">
        <f t="shared" si="98"/>
        <v>1.4651484570965944E-3</v>
      </c>
      <c r="AC160" s="3">
        <f t="shared" si="98"/>
        <v>1.4651482780487842E-3</v>
      </c>
      <c r="AD160" s="3">
        <f t="shared" si="98"/>
        <v>1.4651464875718846E-3</v>
      </c>
      <c r="AE160" s="3">
        <f t="shared" si="98"/>
        <v>1.4651285829232314E-3</v>
      </c>
      <c r="AF160" s="3">
        <f t="shared" si="98"/>
        <v>1.464949548470348E-3</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1.026110794379005E-2</v>
      </c>
      <c r="C162" s="3">
        <f t="shared" si="101"/>
        <v>1.026110794379005E-2</v>
      </c>
      <c r="D162" s="3">
        <f t="shared" si="101"/>
        <v>1.026110794379005E-2</v>
      </c>
      <c r="E162" s="3">
        <f t="shared" si="101"/>
        <v>1.026110794379005E-2</v>
      </c>
      <c r="F162" s="3">
        <f t="shared" si="101"/>
        <v>1.026110794379005E-2</v>
      </c>
      <c r="G162" s="3">
        <f t="shared" si="101"/>
        <v>1.026110794379005E-2</v>
      </c>
      <c r="H162" s="3">
        <f t="shared" si="101"/>
        <v>1.026110794379005E-2</v>
      </c>
      <c r="I162" s="3">
        <f t="shared" si="101"/>
        <v>1.026110794379005E-2</v>
      </c>
      <c r="J162" s="3">
        <f t="shared" si="101"/>
        <v>1.026110794379005E-2</v>
      </c>
      <c r="K162" s="3">
        <f t="shared" si="101"/>
        <v>1.026110794379005E-2</v>
      </c>
      <c r="L162" s="3">
        <f t="shared" si="101"/>
        <v>1.026110794379005E-2</v>
      </c>
      <c r="M162" s="3">
        <f t="shared" si="101"/>
        <v>1.026110794379005E-2</v>
      </c>
      <c r="N162" s="3">
        <f t="shared" si="101"/>
        <v>1.026110794379005E-2</v>
      </c>
      <c r="O162" s="3">
        <f t="shared" si="101"/>
        <v>1.026110794379005E-2</v>
      </c>
      <c r="P162" s="3">
        <f t="shared" si="101"/>
        <v>1.026110794379005E-2</v>
      </c>
      <c r="Q162" s="3">
        <f t="shared" si="101"/>
        <v>1.026110794379005E-2</v>
      </c>
      <c r="R162" s="3">
        <f t="shared" si="101"/>
        <v>1.026110794379005E-2</v>
      </c>
      <c r="S162" s="3">
        <f t="shared" si="101"/>
        <v>1.026110794379005E-2</v>
      </c>
      <c r="T162" s="3">
        <f t="shared" si="101"/>
        <v>1.026110794379005E-2</v>
      </c>
      <c r="U162" s="3">
        <f t="shared" si="101"/>
        <v>1.026110794379005E-2</v>
      </c>
      <c r="V162" s="3">
        <f t="shared" si="101"/>
        <v>1.0261107943790048E-2</v>
      </c>
      <c r="W162" s="3">
        <f t="shared" si="101"/>
        <v>1.0261107943790036E-2</v>
      </c>
      <c r="X162" s="3">
        <f t="shared" si="101"/>
        <v>1.0261107943789911E-2</v>
      </c>
      <c r="Y162" s="3">
        <f t="shared" si="101"/>
        <v>1.0261107943788657E-2</v>
      </c>
      <c r="Z162" s="3">
        <f t="shared" si="101"/>
        <v>1.0261107943776116E-2</v>
      </c>
      <c r="AA162" s="3">
        <f t="shared" ref="AA162:AF162" si="102">$C48*EXP(-AA$129/$A48/EXP(-$B$126))</f>
        <v>1.0261107943650722E-2</v>
      </c>
      <c r="AB162" s="3">
        <f t="shared" si="102"/>
        <v>1.0261107942396767E-2</v>
      </c>
      <c r="AC162" s="3">
        <f t="shared" si="102"/>
        <v>1.0261107929857226E-2</v>
      </c>
      <c r="AD162" s="3">
        <f t="shared" si="102"/>
        <v>1.026110780446181E-2</v>
      </c>
      <c r="AE162" s="3">
        <f t="shared" si="102"/>
        <v>1.026110655050773E-2</v>
      </c>
      <c r="AF162" s="3">
        <f t="shared" si="102"/>
        <v>1.0261094010975372E-2</v>
      </c>
    </row>
    <row r="163" spans="1:34" x14ac:dyDescent="0.25">
      <c r="A163" s="79">
        <f>AVERAGE(B163:AF163)</f>
        <v>5.271073578739946E-2</v>
      </c>
      <c r="B163" s="80">
        <f>IF($A$64&lt;=B129,IF($B$64&gt;=B129,ABS((B131-B130)/B130),0),0)</f>
        <v>8.1517163944540061E-2</v>
      </c>
      <c r="C163" s="80">
        <f t="shared" ref="C163:AF163" si="103">IF($A$64&lt;=C129,IF($B$64&gt;=C129,ABS((C131-C130)/C130),0),0)</f>
        <v>9.7573143064330528E-2</v>
      </c>
      <c r="D163" s="80">
        <f t="shared" si="103"/>
        <v>7.6556020115637113E-2</v>
      </c>
      <c r="E163" s="80">
        <f t="shared" si="103"/>
        <v>6.0687220386801036E-2</v>
      </c>
      <c r="F163" s="80">
        <f t="shared" si="103"/>
        <v>4.5400998678232871E-2</v>
      </c>
      <c r="G163" s="80">
        <f t="shared" si="103"/>
        <v>2.9177018255793684E-2</v>
      </c>
      <c r="H163" s="80">
        <f t="shared" si="103"/>
        <v>2.0948839405921699E-2</v>
      </c>
      <c r="I163" s="80">
        <f t="shared" si="103"/>
        <v>3.113986728993717E-2</v>
      </c>
      <c r="J163" s="80">
        <f t="shared" si="103"/>
        <v>2.7555095605418807E-2</v>
      </c>
      <c r="K163" s="80">
        <f t="shared" si="103"/>
        <v>2.7809116246288467E-2</v>
      </c>
      <c r="L163" s="80">
        <f t="shared" si="103"/>
        <v>2.8248252403603635E-2</v>
      </c>
      <c r="M163" s="80">
        <f t="shared" si="103"/>
        <v>2.719706593226557E-2</v>
      </c>
      <c r="N163" s="80">
        <f t="shared" si="103"/>
        <v>2.6190409718723617E-2</v>
      </c>
      <c r="O163" s="80">
        <f t="shared" si="103"/>
        <v>2.5390002339733313E-2</v>
      </c>
      <c r="P163" s="80">
        <f t="shared" si="103"/>
        <v>2.5481288153350334E-2</v>
      </c>
      <c r="Q163" s="80">
        <f t="shared" si="103"/>
        <v>2.6603195081776814E-2</v>
      </c>
      <c r="R163" s="80">
        <f t="shared" si="103"/>
        <v>2.4455532478612079E-2</v>
      </c>
      <c r="S163" s="80">
        <f t="shared" si="103"/>
        <v>2.626465766382104E-2</v>
      </c>
      <c r="T163" s="80">
        <f t="shared" si="103"/>
        <v>2.177896536713015E-2</v>
      </c>
      <c r="U163" s="80">
        <f t="shared" si="103"/>
        <v>2.1543714920494172E-2</v>
      </c>
      <c r="V163" s="80">
        <f t="shared" si="103"/>
        <v>8.7845870573750318E-3</v>
      </c>
      <c r="W163" s="80">
        <f t="shared" si="103"/>
        <v>7.6189667134854103E-2</v>
      </c>
      <c r="X163" s="80">
        <f t="shared" si="103"/>
        <v>0.12626367561722954</v>
      </c>
      <c r="Y163" s="80">
        <f t="shared" si="103"/>
        <v>0.12027045177726735</v>
      </c>
      <c r="Z163" s="80">
        <f t="shared" si="103"/>
        <v>0.10666106197475485</v>
      </c>
      <c r="AA163" s="80">
        <f t="shared" si="103"/>
        <v>9.5397263950799865E-2</v>
      </c>
      <c r="AB163" s="80">
        <f t="shared" si="103"/>
        <v>0.11294505661590888</v>
      </c>
      <c r="AC163" s="80">
        <f t="shared" si="103"/>
        <v>7.4343738570597687E-2</v>
      </c>
      <c r="AD163" s="80">
        <f t="shared" si="103"/>
        <v>8.2607784965001721E-2</v>
      </c>
      <c r="AE163" s="80">
        <f t="shared" si="103"/>
        <v>4.2338014226016497E-2</v>
      </c>
      <c r="AF163" s="80">
        <f t="shared" si="103"/>
        <v>3.6713940467165716E-2</v>
      </c>
    </row>
    <row r="164" spans="1:34" x14ac:dyDescent="0.25">
      <c r="B164" s="21">
        <f>(B131-B130)^2</f>
        <v>894979.14983496291</v>
      </c>
      <c r="C164" s="21">
        <f t="shared" ref="C164:AF164" si="104">(C131-C130)^2</f>
        <v>1264638.108861496</v>
      </c>
      <c r="D164" s="21">
        <f t="shared" si="104"/>
        <v>743474.42949670169</v>
      </c>
      <c r="E164" s="21">
        <f t="shared" si="104"/>
        <v>451534.619002775</v>
      </c>
      <c r="F164" s="21">
        <f t="shared" si="104"/>
        <v>244619.90734484393</v>
      </c>
      <c r="G164" s="21">
        <f t="shared" si="104"/>
        <v>97427.503539313111</v>
      </c>
      <c r="H164" s="21">
        <f t="shared" si="104"/>
        <v>48301.502042119304</v>
      </c>
      <c r="I164" s="21">
        <f t="shared" si="104"/>
        <v>101948.39546261117</v>
      </c>
      <c r="J164" s="21">
        <f t="shared" si="104"/>
        <v>75778.001414056023</v>
      </c>
      <c r="K164" s="21">
        <f t="shared" si="104"/>
        <v>73079.781931567602</v>
      </c>
      <c r="L164" s="21">
        <f t="shared" si="104"/>
        <v>71369.827986344651</v>
      </c>
      <c r="M164" s="21">
        <f t="shared" si="104"/>
        <v>62564.476124449429</v>
      </c>
      <c r="N164" s="21">
        <f t="shared" si="104"/>
        <v>53764.528085878512</v>
      </c>
      <c r="O164" s="21">
        <f t="shared" si="104"/>
        <v>46356.266487756664</v>
      </c>
      <c r="P164" s="21">
        <f t="shared" si="104"/>
        <v>42905.536207520483</v>
      </c>
      <c r="Q164" s="21">
        <f t="shared" si="104"/>
        <v>43573.143761692285</v>
      </c>
      <c r="R164" s="21">
        <f t="shared" si="104"/>
        <v>34131.023506883706</v>
      </c>
      <c r="S164" s="21">
        <f t="shared" si="104"/>
        <v>36474.32009417894</v>
      </c>
      <c r="T164" s="21">
        <f t="shared" si="104"/>
        <v>23032.03812682394</v>
      </c>
      <c r="U164" s="21">
        <f t="shared" si="104"/>
        <v>20591.705552481439</v>
      </c>
      <c r="V164" s="21">
        <f t="shared" si="104"/>
        <v>2890.4352904951747</v>
      </c>
      <c r="W164" s="21">
        <f t="shared" si="104"/>
        <v>155744.80514560477</v>
      </c>
      <c r="X164" s="21">
        <f t="shared" si="104"/>
        <v>269361.28972271486</v>
      </c>
      <c r="Y164" s="21">
        <f t="shared" si="104"/>
        <v>152324.22632356684</v>
      </c>
      <c r="Z164" s="21">
        <f t="shared" si="104"/>
        <v>73624.033763462634</v>
      </c>
      <c r="AA164" s="21">
        <f t="shared" si="104"/>
        <v>34412.575416285559</v>
      </c>
      <c r="AB164" s="21">
        <f t="shared" si="104"/>
        <v>24890.105360932466</v>
      </c>
      <c r="AC164" s="21">
        <f t="shared" si="104"/>
        <v>5331.1806390520487</v>
      </c>
      <c r="AD164" s="21">
        <f t="shared" si="104"/>
        <v>3239.8489768608351</v>
      </c>
      <c r="AE164" s="21">
        <f t="shared" si="104"/>
        <v>516.97445640806666</v>
      </c>
      <c r="AF164" s="21">
        <f t="shared" si="104"/>
        <v>275.7988596578993</v>
      </c>
    </row>
    <row r="165" spans="1:34" x14ac:dyDescent="0.25">
      <c r="A165" s="71">
        <f>SUM(B165:AF165)</f>
        <v>5153155.5388194956</v>
      </c>
      <c r="B165" s="60">
        <f>IF($A$64&lt;=B129,IF($B$64&gt;=B129,ABS(B164),0),0)</f>
        <v>894979.14983496291</v>
      </c>
      <c r="C165" s="60">
        <f t="shared" ref="C165:AF165" si="105">IF($A$64&lt;=C129,IF($B$64&gt;=C129,ABS(C164),0),0)</f>
        <v>1264638.108861496</v>
      </c>
      <c r="D165" s="60">
        <f t="shared" si="105"/>
        <v>743474.42949670169</v>
      </c>
      <c r="E165" s="60">
        <f t="shared" si="105"/>
        <v>451534.619002775</v>
      </c>
      <c r="F165" s="60">
        <f t="shared" si="105"/>
        <v>244619.90734484393</v>
      </c>
      <c r="G165" s="60">
        <f t="shared" si="105"/>
        <v>97427.503539313111</v>
      </c>
      <c r="H165" s="60">
        <f t="shared" si="105"/>
        <v>48301.502042119304</v>
      </c>
      <c r="I165" s="60">
        <f t="shared" si="105"/>
        <v>101948.39546261117</v>
      </c>
      <c r="J165" s="60">
        <f t="shared" si="105"/>
        <v>75778.001414056023</v>
      </c>
      <c r="K165" s="60">
        <f t="shared" si="105"/>
        <v>73079.781931567602</v>
      </c>
      <c r="L165" s="60">
        <f t="shared" si="105"/>
        <v>71369.827986344651</v>
      </c>
      <c r="M165" s="60">
        <f t="shared" si="105"/>
        <v>62564.476124449429</v>
      </c>
      <c r="N165" s="60">
        <f t="shared" si="105"/>
        <v>53764.528085878512</v>
      </c>
      <c r="O165" s="60">
        <f t="shared" si="105"/>
        <v>46356.266487756664</v>
      </c>
      <c r="P165" s="60">
        <f t="shared" si="105"/>
        <v>42905.536207520483</v>
      </c>
      <c r="Q165" s="60">
        <f t="shared" si="105"/>
        <v>43573.143761692285</v>
      </c>
      <c r="R165" s="60">
        <f t="shared" si="105"/>
        <v>34131.023506883706</v>
      </c>
      <c r="S165" s="60">
        <f t="shared" si="105"/>
        <v>36474.32009417894</v>
      </c>
      <c r="T165" s="60">
        <f t="shared" si="105"/>
        <v>23032.03812682394</v>
      </c>
      <c r="U165" s="60">
        <f t="shared" si="105"/>
        <v>20591.705552481439</v>
      </c>
      <c r="V165" s="60">
        <f t="shared" si="105"/>
        <v>2890.4352904951747</v>
      </c>
      <c r="W165" s="60">
        <f t="shared" si="105"/>
        <v>155744.80514560477</v>
      </c>
      <c r="X165" s="60">
        <f t="shared" si="105"/>
        <v>269361.28972271486</v>
      </c>
      <c r="Y165" s="60">
        <f t="shared" si="105"/>
        <v>152324.22632356684</v>
      </c>
      <c r="Z165" s="60">
        <f t="shared" si="105"/>
        <v>73624.033763462634</v>
      </c>
      <c r="AA165" s="60">
        <f t="shared" si="105"/>
        <v>34412.575416285559</v>
      </c>
      <c r="AB165" s="60">
        <f t="shared" si="105"/>
        <v>24890.105360932466</v>
      </c>
      <c r="AC165" s="60">
        <f t="shared" si="105"/>
        <v>5331.1806390520487</v>
      </c>
      <c r="AD165" s="60">
        <f t="shared" si="105"/>
        <v>3239.8489768608351</v>
      </c>
      <c r="AE165" s="60">
        <f t="shared" si="105"/>
        <v>516.97445640806666</v>
      </c>
      <c r="AF165" s="60">
        <f t="shared" si="105"/>
        <v>275.7988596578993</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11367.234905429283</v>
      </c>
      <c r="C169" s="26">
        <f>INDEX(Comparison!$AM$3:$AS$33,G$14,$C$122)</f>
        <v>11068.839809245561</v>
      </c>
      <c r="D169" s="26">
        <f>INDEX(Comparison!$AM$3:$AS$33,H$14,$C$122)</f>
        <v>10885.617784934777</v>
      </c>
      <c r="E169" s="26">
        <f>INDEX(Comparison!$AM$3:$AS$33,I$14,$C$122)</f>
        <v>10701.493672903915</v>
      </c>
      <c r="F169" s="26">
        <f>INDEX(Comparison!$AM$3:$AS$33,J$14,$C$122)</f>
        <v>10504.725025316387</v>
      </c>
      <c r="G169" s="26">
        <f>INDEX(Comparison!$AM$3:$AS$33,K$14,$C$122)</f>
        <v>10287.091684462941</v>
      </c>
      <c r="H169" s="26">
        <f>INDEX(Comparison!$AM$3:$AS$33,L$14,$C$122)</f>
        <v>10049.244860118473</v>
      </c>
      <c r="I169" s="26">
        <f>INDEX(Comparison!$AM$3:$AS$33,M$14,$C$122)</f>
        <v>9772.6915503667024</v>
      </c>
      <c r="J169" s="26">
        <f>INDEX(Comparison!$AM$3:$AS$33,N$14,$C$122)</f>
        <v>9517.4825603824975</v>
      </c>
      <c r="K169" s="26">
        <f>INDEX(Comparison!$AM$3:$AS$33,O$14,$C$122)</f>
        <v>9254.9171850971579</v>
      </c>
      <c r="L169" s="26">
        <f>INDEX(Comparison!$AM$3:$AS$33,P$14,$C$122)</f>
        <v>8963.5955807199589</v>
      </c>
      <c r="M169" s="26">
        <f>INDEX(Comparison!$AM$3:$AS$33,Q$14,$C$122)</f>
        <v>8614.6063850970258</v>
      </c>
      <c r="N169" s="26">
        <f>INDEX(Comparison!$AM$3:$AS$33,R$14,$C$122)</f>
        <v>8248.4064055257641</v>
      </c>
      <c r="O169" s="26">
        <f>INDEX(Comparison!$AM$3:$AS$33,S$14,$C$122)</f>
        <v>7932.3411730217404</v>
      </c>
      <c r="P169" s="26">
        <f>INDEX(Comparison!$AM$3:$AS$33,T$14,$C$122)</f>
        <v>7651.3188875674869</v>
      </c>
      <c r="Q169" s="26">
        <f>INDEX(Comparison!$AM$3:$AS$33,U$14,$C$122)</f>
        <v>7368.015082756323</v>
      </c>
      <c r="R169" s="26">
        <f>INDEX(Comparison!$AM$3:$AS$33,V$14,$C$122)</f>
        <v>7078.2683200185556</v>
      </c>
      <c r="S169" s="26">
        <f>INDEX(Comparison!$AM$3:$AS$33,W$14,$C$122)</f>
        <v>6780.7506129740432</v>
      </c>
      <c r="T169" s="26">
        <f>INDEX(Comparison!$AM$3:$AS$33,X$14,$C$122)</f>
        <v>6359.8481605512916</v>
      </c>
      <c r="U169" s="26">
        <f>INDEX(Comparison!$AM$3:$AS$33,Y$14,$C$122)</f>
        <v>5533.5094566127227</v>
      </c>
      <c r="V169" s="26">
        <f>INDEX(Comparison!$AM$3:$AS$33,Z$14,$C$122)</f>
        <v>4472.2559132167689</v>
      </c>
      <c r="W169" s="26">
        <f>INDEX(Comparison!$AM$3:$AS$33,AA$14,$C$122)</f>
        <v>3559.9181790033126</v>
      </c>
      <c r="X169" s="26">
        <f>INDEX(Comparison!$AM$3:$AS$33,AB$14,$C$122)</f>
        <v>2844.2645935941323</v>
      </c>
      <c r="Y169" s="26">
        <f>INDEX(Comparison!$AM$3:$AS$33,AC$14,$C$122)</f>
        <v>2237.2915384432267</v>
      </c>
      <c r="Z169" s="26">
        <f>INDEX(Comparison!$AM$3:$AS$33,AD$14,$C$122)</f>
        <v>1684.6343995836892</v>
      </c>
      <c r="AA169" s="26">
        <f>INDEX(Comparison!$AM$3:$AS$33,AE$14,$C$122)</f>
        <v>1197.1004230306633</v>
      </c>
      <c r="AB169" s="26">
        <f>INDEX(Comparison!$AM$3:$AS$33,AF$14,$C$122)</f>
        <v>840.12332203849121</v>
      </c>
      <c r="AC169" s="26">
        <f>INDEX(Comparison!$AM$3:$AS$33,AG$14,$C$122)</f>
        <v>609.58567269963044</v>
      </c>
      <c r="AD169" s="26">
        <f>INDEX(Comparison!$AM$3:$AS$33,AH$14,$C$122)</f>
        <v>494.5048529689002</v>
      </c>
      <c r="AE169" s="26">
        <f>INDEX(Comparison!$AM$3:$AS$33,AI$14,$C$122)</f>
        <v>433.69545003412065</v>
      </c>
      <c r="AF169" s="26">
        <f>INDEX(Comparison!$AM$3:$AS$33,AJ$14,$C$122)</f>
        <v>404.17805740514621</v>
      </c>
      <c r="AG169" s="26"/>
      <c r="AH169" s="26"/>
    </row>
    <row r="170" spans="1:34" x14ac:dyDescent="0.25">
      <c r="A170" s="70" t="s">
        <v>22</v>
      </c>
      <c r="B170" s="27">
        <f>($C$17+SUM(B171:B201))*$B$51</f>
        <v>10400.746984715315</v>
      </c>
      <c r="C170" s="27">
        <f t="shared" ref="C170:AF170" si="106">($C$17+SUM(C171:C201))*$B$51</f>
        <v>10400.676293748966</v>
      </c>
      <c r="D170" s="27">
        <f t="shared" si="106"/>
        <v>10399.969985121736</v>
      </c>
      <c r="E170" s="27">
        <f t="shared" si="106"/>
        <v>10392.966645694054</v>
      </c>
      <c r="F170" s="27">
        <f t="shared" si="106"/>
        <v>10328.566629595964</v>
      </c>
      <c r="G170" s="27">
        <f t="shared" si="106"/>
        <v>10018.697496024974</v>
      </c>
      <c r="H170" s="27">
        <f t="shared" si="106"/>
        <v>9780.4749931293936</v>
      </c>
      <c r="I170" s="27">
        <f t="shared" si="106"/>
        <v>9530.3266044869924</v>
      </c>
      <c r="J170" s="27">
        <f t="shared" si="106"/>
        <v>9268.2595005261646</v>
      </c>
      <c r="K170" s="27">
        <f t="shared" si="106"/>
        <v>9026.3738508923288</v>
      </c>
      <c r="L170" s="27">
        <f t="shared" si="106"/>
        <v>8729.8975946525334</v>
      </c>
      <c r="M170" s="27">
        <f t="shared" si="106"/>
        <v>8379.8384848441056</v>
      </c>
      <c r="N170" s="27">
        <f t="shared" si="106"/>
        <v>8028.8624388015323</v>
      </c>
      <c r="O170" s="27">
        <f t="shared" si="106"/>
        <v>7723.0523336654842</v>
      </c>
      <c r="P170" s="27">
        <f t="shared" si="106"/>
        <v>7454.624934732401</v>
      </c>
      <c r="Q170" s="27">
        <f t="shared" si="106"/>
        <v>7171.8439515875889</v>
      </c>
      <c r="R170" s="27">
        <f t="shared" si="106"/>
        <v>6891.057384923598</v>
      </c>
      <c r="S170" s="27">
        <f t="shared" si="106"/>
        <v>6614.9291699431615</v>
      </c>
      <c r="T170" s="27">
        <f t="shared" si="106"/>
        <v>6275.3895920602454</v>
      </c>
      <c r="U170" s="27">
        <f t="shared" si="106"/>
        <v>5799.2672117288585</v>
      </c>
      <c r="V170" s="27">
        <f t="shared" si="106"/>
        <v>4907.2357523405126</v>
      </c>
      <c r="W170" s="27">
        <f t="shared" si="106"/>
        <v>3871.2106369967696</v>
      </c>
      <c r="X170" s="27">
        <f t="shared" si="106"/>
        <v>2999.1424658585252</v>
      </c>
      <c r="Y170" s="27">
        <f t="shared" si="106"/>
        <v>2298.3407404729965</v>
      </c>
      <c r="Z170" s="27">
        <f t="shared" si="106"/>
        <v>1670.7049443243859</v>
      </c>
      <c r="AA170" s="27">
        <f t="shared" si="106"/>
        <v>1207.7134592445836</v>
      </c>
      <c r="AB170" s="27">
        <f t="shared" si="106"/>
        <v>819.66351758026121</v>
      </c>
      <c r="AC170" s="27">
        <f t="shared" si="106"/>
        <v>607.26279534545881</v>
      </c>
      <c r="AD170" s="27">
        <f t="shared" si="106"/>
        <v>486.97912124297949</v>
      </c>
      <c r="AE170" s="27">
        <f t="shared" si="106"/>
        <v>434.70326006434152</v>
      </c>
      <c r="AF170" s="27">
        <f t="shared" si="106"/>
        <v>401.94794729075659</v>
      </c>
      <c r="AG170" s="27"/>
      <c r="AH170" s="27"/>
    </row>
    <row r="171" spans="1:34" x14ac:dyDescent="0.25">
      <c r="B171" s="3">
        <f t="shared" ref="B171:AF171" si="107">$C18*EXP(-B$168/$A18/EXP(-$C$126))</f>
        <v>3.0255650905920148E-32</v>
      </c>
      <c r="C171" s="3">
        <f t="shared" si="107"/>
        <v>2.0054460171309986E-306</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3.6513935716225701E-2</v>
      </c>
      <c r="C172" s="3">
        <f t="shared" si="108"/>
        <v>3.6508031331095814E-2</v>
      </c>
      <c r="D172" s="3">
        <f t="shared" si="108"/>
        <v>3.6449039965707593E-2</v>
      </c>
      <c r="E172" s="3">
        <f t="shared" si="108"/>
        <v>3.5864343633501272E-2</v>
      </c>
      <c r="F172" s="3">
        <f t="shared" si="108"/>
        <v>3.0509199924169644E-2</v>
      </c>
      <c r="G172" s="3">
        <f t="shared" si="108"/>
        <v>6.0549440767095654E-3</v>
      </c>
      <c r="H172" s="3">
        <f t="shared" si="108"/>
        <v>5.7398865935562106E-10</v>
      </c>
      <c r="I172" s="3">
        <f t="shared" si="108"/>
        <v>3.3638379573445513E-80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1.768617169780751E-2</v>
      </c>
      <c r="C173" s="3">
        <f t="shared" si="109"/>
        <v>1.7685913692638618E-2</v>
      </c>
      <c r="D173" s="3">
        <f t="shared" si="109"/>
        <v>1.7683333847947905E-2</v>
      </c>
      <c r="E173" s="3">
        <f t="shared" si="109"/>
        <v>1.7657556089696599E-2</v>
      </c>
      <c r="F173" s="3">
        <f t="shared" si="109"/>
        <v>1.7401836249326199E-2</v>
      </c>
      <c r="G173" s="3">
        <f t="shared" si="109"/>
        <v>1.5039725486473175E-2</v>
      </c>
      <c r="H173" s="3">
        <f t="shared" si="109"/>
        <v>3.4969403664305379E-3</v>
      </c>
      <c r="I173" s="3">
        <f t="shared" si="109"/>
        <v>1.6149957957589333E-9</v>
      </c>
      <c r="J173" s="3">
        <f t="shared" si="109"/>
        <v>7.1285810834809384E-73</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2.4470485543322682E-2</v>
      </c>
      <c r="C174" s="3">
        <f t="shared" si="110"/>
        <v>2.4470453341042114E-2</v>
      </c>
      <c r="D174" s="3">
        <f t="shared" si="110"/>
        <v>2.4470131320567183E-2</v>
      </c>
      <c r="E174" s="3">
        <f t="shared" si="110"/>
        <v>2.4466911348879322E-2</v>
      </c>
      <c r="F174" s="3">
        <f t="shared" si="110"/>
        <v>2.4434734926804876E-2</v>
      </c>
      <c r="G174" s="3">
        <f t="shared" si="110"/>
        <v>2.4115288883886195E-2</v>
      </c>
      <c r="H174" s="3">
        <f t="shared" si="110"/>
        <v>2.1141745295574537E-2</v>
      </c>
      <c r="I174" s="3">
        <f t="shared" si="110"/>
        <v>5.6705412216421693E-3</v>
      </c>
      <c r="J174" s="3">
        <f t="shared" si="110"/>
        <v>1.0926001776005114E-8</v>
      </c>
      <c r="K174" s="3">
        <f t="shared" si="110"/>
        <v>7.7059966493510549E-66</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2.4627511705544562E-2</v>
      </c>
      <c r="C175" s="3">
        <f t="shared" si="111"/>
        <v>2.4627508781988491E-2</v>
      </c>
      <c r="D175" s="3">
        <f t="shared" si="111"/>
        <v>2.462747954644685E-2</v>
      </c>
      <c r="E175" s="3">
        <f t="shared" si="111"/>
        <v>2.4627187192939246E-2</v>
      </c>
      <c r="F175" s="3">
        <f t="shared" si="111"/>
        <v>2.4624263848735947E-2</v>
      </c>
      <c r="G175" s="3">
        <f t="shared" si="111"/>
        <v>2.4595049485594402E-2</v>
      </c>
      <c r="H175" s="3">
        <f t="shared" si="111"/>
        <v>2.4304805389832249E-2</v>
      </c>
      <c r="I175" s="3">
        <f t="shared" si="111"/>
        <v>2.1584233022148236E-2</v>
      </c>
      <c r="J175" s="3">
        <f t="shared" si="111"/>
        <v>6.5853877381736739E-3</v>
      </c>
      <c r="K175" s="3">
        <f t="shared" si="111"/>
        <v>4.602869349789208E-8</v>
      </c>
      <c r="L175" s="3">
        <f t="shared" si="111"/>
        <v>1.2808598702523652E-59</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1.9757999391900108E-2</v>
      </c>
      <c r="C176" s="3">
        <f t="shared" si="112"/>
        <v>1.9757999180317252E-2</v>
      </c>
      <c r="D176" s="3">
        <f t="shared" si="112"/>
        <v>1.9757997064488813E-2</v>
      </c>
      <c r="E176" s="3">
        <f t="shared" si="112"/>
        <v>1.9757975906216883E-2</v>
      </c>
      <c r="F176" s="3">
        <f t="shared" si="112"/>
        <v>1.9757764324743753E-2</v>
      </c>
      <c r="G176" s="3">
        <f t="shared" si="112"/>
        <v>1.9755648634624947E-2</v>
      </c>
      <c r="H176" s="3">
        <f t="shared" si="112"/>
        <v>1.9734504189749418E-2</v>
      </c>
      <c r="I176" s="3">
        <f t="shared" si="112"/>
        <v>1.9524300450882791E-2</v>
      </c>
      <c r="J176" s="3">
        <f t="shared" si="112"/>
        <v>1.754155574041252E-2</v>
      </c>
      <c r="K176" s="3">
        <f t="shared" si="112"/>
        <v>6.0116593581378535E-3</v>
      </c>
      <c r="L176" s="3">
        <f t="shared" si="112"/>
        <v>1.3435595656809519E-7</v>
      </c>
      <c r="M176" s="3">
        <f t="shared" si="112"/>
        <v>4.1771737375106995E-54</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3.0456673136549522E-2</v>
      </c>
      <c r="C177" s="3">
        <f t="shared" si="113"/>
        <v>3.0456673107127904E-2</v>
      </c>
      <c r="D177" s="3">
        <f t="shared" si="113"/>
        <v>3.0456672812911718E-2</v>
      </c>
      <c r="E177" s="3">
        <f t="shared" si="113"/>
        <v>3.0456669870750012E-2</v>
      </c>
      <c r="F177" s="3">
        <f t="shared" si="113"/>
        <v>3.0456640449148607E-2</v>
      </c>
      <c r="G177" s="3">
        <f t="shared" si="113"/>
        <v>3.045634623469776E-2</v>
      </c>
      <c r="H177" s="3">
        <f t="shared" si="113"/>
        <v>3.0453404246502634E-2</v>
      </c>
      <c r="I177" s="3">
        <f t="shared" si="113"/>
        <v>3.042399999030208E-2</v>
      </c>
      <c r="J177" s="3">
        <f t="shared" si="113"/>
        <v>3.0131514432725486E-2</v>
      </c>
      <c r="K177" s="3">
        <f t="shared" si="113"/>
        <v>2.7356935057134081E-2</v>
      </c>
      <c r="L177" s="3">
        <f t="shared" si="113"/>
        <v>1.0411953792642597E-2</v>
      </c>
      <c r="M177" s="3">
        <f t="shared" si="113"/>
        <v>6.6401846799455187E-7</v>
      </c>
      <c r="N177" s="3">
        <f t="shared" si="113"/>
        <v>7.3902549487427782E-49</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3.3429649524788996E-2</v>
      </c>
      <c r="C178" s="3">
        <f t="shared" si="114"/>
        <v>3.3429649521875847E-2</v>
      </c>
      <c r="D178" s="3">
        <f t="shared" si="114"/>
        <v>3.3429649492744365E-2</v>
      </c>
      <c r="E178" s="3">
        <f t="shared" si="114"/>
        <v>3.3429649201429594E-2</v>
      </c>
      <c r="F178" s="3">
        <f t="shared" si="114"/>
        <v>3.3429646288281968E-2</v>
      </c>
      <c r="G178" s="3">
        <f t="shared" si="114"/>
        <v>3.3429617156819719E-2</v>
      </c>
      <c r="H178" s="3">
        <f t="shared" si="114"/>
        <v>3.3429325843593455E-2</v>
      </c>
      <c r="I178" s="3">
        <f t="shared" si="114"/>
        <v>3.3426412850948474E-2</v>
      </c>
      <c r="J178" s="3">
        <f t="shared" si="114"/>
        <v>3.3397296881763537E-2</v>
      </c>
      <c r="K178" s="3">
        <f t="shared" si="114"/>
        <v>3.3107528426662827E-2</v>
      </c>
      <c r="L178" s="3">
        <f t="shared" si="114"/>
        <v>3.0344584466495083E-2</v>
      </c>
      <c r="M178" s="3">
        <f t="shared" si="114"/>
        <v>1.2694790427363951E-2</v>
      </c>
      <c r="N178" s="3">
        <f t="shared" si="114"/>
        <v>2.0848218283421652E-6</v>
      </c>
      <c r="O178" s="3">
        <f t="shared" si="114"/>
        <v>2.9751101091764552E-44</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3.2540934882303918E-2</v>
      </c>
      <c r="C179" s="3">
        <f t="shared" si="115"/>
        <v>3.2540934882048116E-2</v>
      </c>
      <c r="D179" s="3">
        <f t="shared" si="115"/>
        <v>3.2540934879490072E-2</v>
      </c>
      <c r="E179" s="3">
        <f t="shared" si="115"/>
        <v>3.2540934853909673E-2</v>
      </c>
      <c r="F179" s="3">
        <f t="shared" si="115"/>
        <v>3.2540934598105691E-2</v>
      </c>
      <c r="G179" s="3">
        <f t="shared" si="115"/>
        <v>3.2540932040065945E-2</v>
      </c>
      <c r="H179" s="3">
        <f t="shared" si="115"/>
        <v>3.2540906459679539E-2</v>
      </c>
      <c r="I179" s="3">
        <f t="shared" si="115"/>
        <v>3.2540650656921487E-2</v>
      </c>
      <c r="J179" s="3">
        <f t="shared" si="115"/>
        <v>3.2538092739935388E-2</v>
      </c>
      <c r="K179" s="3">
        <f t="shared" si="115"/>
        <v>3.2512524626301165E-2</v>
      </c>
      <c r="L179" s="3">
        <f t="shared" si="115"/>
        <v>3.2257945903608469E-2</v>
      </c>
      <c r="M179" s="3">
        <f t="shared" si="115"/>
        <v>2.9819259907540582E-2</v>
      </c>
      <c r="N179" s="3">
        <f t="shared" si="115"/>
        <v>1.3586211511998054E-2</v>
      </c>
      <c r="O179" s="3">
        <f t="shared" si="115"/>
        <v>5.2373727268967025E-6</v>
      </c>
      <c r="P179" s="3">
        <f t="shared" si="115"/>
        <v>3.7954615055592607E-40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2.4641511300846894E-2</v>
      </c>
      <c r="C180" s="3">
        <f t="shared" si="116"/>
        <v>2.4641511300829422E-2</v>
      </c>
      <c r="D180" s="3">
        <f t="shared" si="116"/>
        <v>2.4641511300654683E-2</v>
      </c>
      <c r="E180" s="3">
        <f t="shared" si="116"/>
        <v>2.4641511298907286E-2</v>
      </c>
      <c r="F180" s="3">
        <f t="shared" si="116"/>
        <v>2.4641511281433333E-2</v>
      </c>
      <c r="G180" s="3">
        <f t="shared" si="116"/>
        <v>2.464151110669378E-2</v>
      </c>
      <c r="H180" s="3">
        <f t="shared" si="116"/>
        <v>2.464150935929835E-2</v>
      </c>
      <c r="I180" s="3">
        <f t="shared" si="116"/>
        <v>2.4641491885350867E-2</v>
      </c>
      <c r="J180" s="3">
        <f t="shared" si="116"/>
        <v>2.4641317146557529E-2</v>
      </c>
      <c r="K180" s="3">
        <f t="shared" si="116"/>
        <v>2.4639569826774045E-2</v>
      </c>
      <c r="L180" s="3">
        <f t="shared" si="116"/>
        <v>2.4622103442139793E-2</v>
      </c>
      <c r="M180" s="3">
        <f t="shared" si="116"/>
        <v>2.4448119131615008E-2</v>
      </c>
      <c r="N180" s="3">
        <f t="shared" si="116"/>
        <v>2.2774479978309409E-2</v>
      </c>
      <c r="O180" s="3">
        <f t="shared" si="116"/>
        <v>1.1206722824258331E-2</v>
      </c>
      <c r="P180" s="3">
        <f t="shared" si="116"/>
        <v>9.327821882010661E-6</v>
      </c>
      <c r="Q180" s="3">
        <f t="shared" si="116"/>
        <v>1.4886629602760739E-36</v>
      </c>
      <c r="R180" s="3">
        <f t="shared" si="116"/>
        <v>0</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2.412241796775566E-2</v>
      </c>
      <c r="C181" s="3">
        <f t="shared" si="117"/>
        <v>2.4122417967754117E-2</v>
      </c>
      <c r="D181" s="3">
        <f t="shared" si="117"/>
        <v>2.4122417967738684E-2</v>
      </c>
      <c r="E181" s="3">
        <f t="shared" si="117"/>
        <v>2.4122417967584377E-2</v>
      </c>
      <c r="F181" s="3">
        <f t="shared" si="117"/>
        <v>2.4122417966041285E-2</v>
      </c>
      <c r="G181" s="3">
        <f t="shared" si="117"/>
        <v>2.4122417950610386E-2</v>
      </c>
      <c r="H181" s="3">
        <f t="shared" si="117"/>
        <v>2.4122417796301369E-2</v>
      </c>
      <c r="I181" s="3">
        <f t="shared" si="117"/>
        <v>2.4122416253211265E-2</v>
      </c>
      <c r="J181" s="3">
        <f t="shared" si="117"/>
        <v>2.4122400822315645E-2</v>
      </c>
      <c r="K181" s="3">
        <f t="shared" si="117"/>
        <v>2.4122246513902372E-2</v>
      </c>
      <c r="L181" s="3">
        <f t="shared" si="117"/>
        <v>2.4120703484058779E-2</v>
      </c>
      <c r="M181" s="3">
        <f t="shared" si="117"/>
        <v>2.4105278613253085E-2</v>
      </c>
      <c r="N181" s="3">
        <f t="shared" si="117"/>
        <v>2.3951571385768949E-2</v>
      </c>
      <c r="O181" s="3">
        <f t="shared" si="117"/>
        <v>2.2467387194975322E-2</v>
      </c>
      <c r="P181" s="3">
        <f t="shared" si="117"/>
        <v>1.1850540389170886E-2</v>
      </c>
      <c r="Q181" s="3">
        <f t="shared" si="117"/>
        <v>1.9751223538155049E-5</v>
      </c>
      <c r="R181" s="3">
        <f t="shared" si="117"/>
        <v>3.2670253074814899E-33</v>
      </c>
      <c r="S181" s="3">
        <f t="shared" si="117"/>
        <v>0</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2.8528246553067071E-2</v>
      </c>
      <c r="C182" s="3">
        <f t="shared" si="118"/>
        <v>2.8528246553066905E-2</v>
      </c>
      <c r="D182" s="3">
        <f t="shared" si="118"/>
        <v>2.8528246553065257E-2</v>
      </c>
      <c r="E182" s="3">
        <f t="shared" si="118"/>
        <v>2.8528246553048798E-2</v>
      </c>
      <c r="F182" s="3">
        <f t="shared" si="118"/>
        <v>2.8528246552884173E-2</v>
      </c>
      <c r="G182" s="3">
        <f t="shared" si="118"/>
        <v>2.8528246551237937E-2</v>
      </c>
      <c r="H182" s="3">
        <f t="shared" si="118"/>
        <v>2.8528246534775575E-2</v>
      </c>
      <c r="I182" s="3">
        <f t="shared" si="118"/>
        <v>2.8528246370151961E-2</v>
      </c>
      <c r="J182" s="3">
        <f t="shared" si="118"/>
        <v>2.8528244723915866E-2</v>
      </c>
      <c r="K182" s="3">
        <f t="shared" si="118"/>
        <v>2.8528228261560134E-2</v>
      </c>
      <c r="L182" s="3">
        <f t="shared" si="118"/>
        <v>2.8528063638525288E-2</v>
      </c>
      <c r="M182" s="3">
        <f t="shared" si="118"/>
        <v>2.8526417460423874E-2</v>
      </c>
      <c r="N182" s="3">
        <f t="shared" si="118"/>
        <v>2.8509960902997015E-2</v>
      </c>
      <c r="O182" s="3">
        <f t="shared" si="118"/>
        <v>2.8345916573886652E-2</v>
      </c>
      <c r="P182" s="3">
        <f t="shared" si="118"/>
        <v>2.6756501856248553E-2</v>
      </c>
      <c r="Q182" s="3">
        <f t="shared" si="118"/>
        <v>1.5025108569932832E-2</v>
      </c>
      <c r="R182" s="3">
        <f t="shared" si="118"/>
        <v>4.6849016234147319E-5</v>
      </c>
      <c r="S182" s="3">
        <f t="shared" si="118"/>
        <v>4.0693874784041463E-30</v>
      </c>
      <c r="T182" s="3">
        <f t="shared" si="118"/>
        <v>9.9498087111657119E-281</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2.1048719571397964E-2</v>
      </c>
      <c r="C183" s="3">
        <f t="shared" si="119"/>
        <v>2.1048719571397957E-2</v>
      </c>
      <c r="D183" s="3">
        <f t="shared" si="119"/>
        <v>2.1048719571397846E-2</v>
      </c>
      <c r="E183" s="3">
        <f t="shared" si="119"/>
        <v>2.104871957139675E-2</v>
      </c>
      <c r="F183" s="3">
        <f t="shared" si="119"/>
        <v>2.1048719571385793E-2</v>
      </c>
      <c r="G183" s="3">
        <f t="shared" si="119"/>
        <v>2.1048719571276225E-2</v>
      </c>
      <c r="H183" s="3">
        <f t="shared" si="119"/>
        <v>2.1048719570180528E-2</v>
      </c>
      <c r="I183" s="3">
        <f t="shared" si="119"/>
        <v>2.1048719559223588E-2</v>
      </c>
      <c r="J183" s="3">
        <f t="shared" si="119"/>
        <v>2.1048719449654179E-2</v>
      </c>
      <c r="K183" s="3">
        <f t="shared" si="119"/>
        <v>2.1048718353960095E-2</v>
      </c>
      <c r="L183" s="3">
        <f t="shared" si="119"/>
        <v>2.1048707397022432E-2</v>
      </c>
      <c r="M183" s="3">
        <f t="shared" si="119"/>
        <v>2.1048597827959488E-2</v>
      </c>
      <c r="N183" s="3">
        <f t="shared" si="119"/>
        <v>2.1047502168699442E-2</v>
      </c>
      <c r="O183" s="3">
        <f t="shared" si="119"/>
        <v>2.1036548712436039E-2</v>
      </c>
      <c r="P183" s="3">
        <f t="shared" si="119"/>
        <v>2.0927327180275852E-2</v>
      </c>
      <c r="Q183" s="3">
        <f t="shared" si="119"/>
        <v>1.9865820299646002E-2</v>
      </c>
      <c r="R183" s="3">
        <f t="shared" si="119"/>
        <v>1.1804127381927149E-2</v>
      </c>
      <c r="S183" s="3">
        <f t="shared" si="119"/>
        <v>6.4760133519467004E-5</v>
      </c>
      <c r="T183" s="3">
        <f t="shared" si="119"/>
        <v>1.5997282560393924E-27</v>
      </c>
      <c r="U183" s="3">
        <f t="shared" si="119"/>
        <v>1.3534151050267836E-253</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3.1114198963852646E-2</v>
      </c>
      <c r="C184" s="3">
        <f t="shared" si="120"/>
        <v>3.1114198963852646E-2</v>
      </c>
      <c r="D184" s="3">
        <f t="shared" si="120"/>
        <v>3.1114198963852629E-2</v>
      </c>
      <c r="E184" s="3">
        <f t="shared" si="120"/>
        <v>3.1114198963852483E-2</v>
      </c>
      <c r="F184" s="3">
        <f t="shared" si="120"/>
        <v>3.1114198963851022E-2</v>
      </c>
      <c r="G184" s="3">
        <f t="shared" si="120"/>
        <v>3.1114198963836409E-2</v>
      </c>
      <c r="H184" s="3">
        <f t="shared" si="120"/>
        <v>3.1114198963690304E-2</v>
      </c>
      <c r="I184" s="3">
        <f t="shared" si="120"/>
        <v>3.1114198962229243E-2</v>
      </c>
      <c r="J184" s="3">
        <f t="shared" si="120"/>
        <v>3.1114198947618618E-2</v>
      </c>
      <c r="K184" s="3">
        <f t="shared" si="120"/>
        <v>3.1114198801512345E-2</v>
      </c>
      <c r="L184" s="3">
        <f t="shared" si="120"/>
        <v>3.1114197340449658E-2</v>
      </c>
      <c r="M184" s="3">
        <f t="shared" si="120"/>
        <v>3.1114182729826554E-2</v>
      </c>
      <c r="N184" s="3">
        <f t="shared" si="120"/>
        <v>3.1114036623972878E-2</v>
      </c>
      <c r="O184" s="3">
        <f t="shared" si="120"/>
        <v>3.111257560317018E-2</v>
      </c>
      <c r="P184" s="3">
        <f t="shared" si="120"/>
        <v>3.1097969167892547E-2</v>
      </c>
      <c r="Q184" s="3">
        <f t="shared" si="120"/>
        <v>3.095228143537734E-2</v>
      </c>
      <c r="R184" s="3">
        <f t="shared" si="120"/>
        <v>2.9532419915841553E-2</v>
      </c>
      <c r="S184" s="3">
        <f t="shared" si="120"/>
        <v>1.8465570446399168E-2</v>
      </c>
      <c r="T184" s="3">
        <f t="shared" si="120"/>
        <v>1.6865517253532468E-4</v>
      </c>
      <c r="U184" s="3">
        <f t="shared" si="120"/>
        <v>6.813480722715639E-25</v>
      </c>
      <c r="V184" s="3">
        <f t="shared" si="120"/>
        <v>7.8897400485802926E-229</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2.5140718095571668E-2</v>
      </c>
      <c r="C185" s="3">
        <f t="shared" si="121"/>
        <v>2.5140718095571668E-2</v>
      </c>
      <c r="D185" s="3">
        <f t="shared" si="121"/>
        <v>2.5140718095571668E-2</v>
      </c>
      <c r="E185" s="3">
        <f t="shared" si="121"/>
        <v>2.5140718095571658E-2</v>
      </c>
      <c r="F185" s="3">
        <f t="shared" si="121"/>
        <v>2.514071809557155E-2</v>
      </c>
      <c r="G185" s="3">
        <f t="shared" si="121"/>
        <v>2.5140718095570485E-2</v>
      </c>
      <c r="H185" s="3">
        <f t="shared" si="121"/>
        <v>2.5140718095559837E-2</v>
      </c>
      <c r="I185" s="3">
        <f t="shared" si="121"/>
        <v>2.5140718095453339E-2</v>
      </c>
      <c r="J185" s="3">
        <f t="shared" si="121"/>
        <v>2.5140718094388375E-2</v>
      </c>
      <c r="K185" s="3">
        <f t="shared" si="121"/>
        <v>2.5140718083738745E-2</v>
      </c>
      <c r="L185" s="3">
        <f t="shared" si="121"/>
        <v>2.514071797724245E-2</v>
      </c>
      <c r="M185" s="3">
        <f t="shared" si="121"/>
        <v>2.5140716912279509E-2</v>
      </c>
      <c r="N185" s="3">
        <f t="shared" si="121"/>
        <v>2.5140706262652565E-2</v>
      </c>
      <c r="O185" s="3">
        <f t="shared" si="121"/>
        <v>2.5140599766631251E-2</v>
      </c>
      <c r="P185" s="3">
        <f t="shared" si="121"/>
        <v>2.5139534831229264E-2</v>
      </c>
      <c r="Q185" s="3">
        <f t="shared" si="121"/>
        <v>2.5128887957933076E-2</v>
      </c>
      <c r="R185" s="3">
        <f t="shared" si="121"/>
        <v>2.5022666908972317E-2</v>
      </c>
      <c r="S185" s="3">
        <f t="shared" si="121"/>
        <v>2.3984840977942037E-2</v>
      </c>
      <c r="T185" s="3">
        <f t="shared" si="121"/>
        <v>1.5702519059249489E-2</v>
      </c>
      <c r="U185" s="3">
        <f t="shared" si="121"/>
        <v>2.2714029599028073E-4</v>
      </c>
      <c r="V185" s="3">
        <f t="shared" si="121"/>
        <v>9.1105116777222507E-23</v>
      </c>
      <c r="W185" s="3">
        <f t="shared" si="121"/>
        <v>9.8181256683327237E-207</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7.3741618123119579E-2</v>
      </c>
      <c r="C186" s="3">
        <f t="shared" si="122"/>
        <v>7.3741618123119579E-2</v>
      </c>
      <c r="D186" s="3">
        <f t="shared" si="122"/>
        <v>7.3741618123119579E-2</v>
      </c>
      <c r="E186" s="3">
        <f t="shared" si="122"/>
        <v>7.3741618123119579E-2</v>
      </c>
      <c r="F186" s="3">
        <f t="shared" si="122"/>
        <v>7.3741618123119551E-2</v>
      </c>
      <c r="G186" s="3">
        <f t="shared" si="122"/>
        <v>7.3741618123119274E-2</v>
      </c>
      <c r="H186" s="3">
        <f t="shared" si="122"/>
        <v>7.3741618123116456E-2</v>
      </c>
      <c r="I186" s="3">
        <f t="shared" si="122"/>
        <v>7.3741618123088271E-2</v>
      </c>
      <c r="J186" s="3">
        <f t="shared" si="122"/>
        <v>7.3741618122806482E-2</v>
      </c>
      <c r="K186" s="3">
        <f t="shared" si="122"/>
        <v>7.3741618119988653E-2</v>
      </c>
      <c r="L186" s="3">
        <f t="shared" si="122"/>
        <v>7.3741618091810263E-2</v>
      </c>
      <c r="M186" s="3">
        <f t="shared" si="122"/>
        <v>7.3741617810026416E-2</v>
      </c>
      <c r="N186" s="3">
        <f t="shared" si="122"/>
        <v>7.3741614992188093E-2</v>
      </c>
      <c r="O186" s="3">
        <f t="shared" si="122"/>
        <v>7.3741586813810697E-2</v>
      </c>
      <c r="P186" s="3">
        <f t="shared" si="122"/>
        <v>7.3741305030628895E-2</v>
      </c>
      <c r="Q186" s="3">
        <f t="shared" si="122"/>
        <v>7.3738487258031893E-2</v>
      </c>
      <c r="R186" s="3">
        <f t="shared" si="122"/>
        <v>7.3710315453319644E-2</v>
      </c>
      <c r="S186" s="3">
        <f t="shared" si="122"/>
        <v>7.3429188695649877E-2</v>
      </c>
      <c r="T186" s="3">
        <f t="shared" si="122"/>
        <v>7.067622254229862E-2</v>
      </c>
      <c r="U186" s="3">
        <f t="shared" si="122"/>
        <v>4.823022935114786E-2</v>
      </c>
      <c r="V186" s="3">
        <f t="shared" si="122"/>
        <v>1.0562805988400764E-3</v>
      </c>
      <c r="W186" s="3">
        <f t="shared" si="122"/>
        <v>2.681507780589511E-20</v>
      </c>
      <c r="X186" s="3">
        <f t="shared" si="122"/>
        <v>2.981100695901449E-186</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9.9846945696723061E-2</v>
      </c>
      <c r="C187" s="3">
        <f t="shared" si="123"/>
        <v>9.9846945696723061E-2</v>
      </c>
      <c r="D187" s="3">
        <f t="shared" si="123"/>
        <v>9.9846945696723061E-2</v>
      </c>
      <c r="E187" s="3">
        <f t="shared" si="123"/>
        <v>9.9846945696723061E-2</v>
      </c>
      <c r="F187" s="3">
        <f t="shared" si="123"/>
        <v>9.9846945696723061E-2</v>
      </c>
      <c r="G187" s="3">
        <f t="shared" si="123"/>
        <v>9.9846945696723033E-2</v>
      </c>
      <c r="H187" s="3">
        <f t="shared" si="123"/>
        <v>9.9846945696722686E-2</v>
      </c>
      <c r="I187" s="3">
        <f t="shared" si="123"/>
        <v>9.984694569671923E-2</v>
      </c>
      <c r="J187" s="3">
        <f t="shared" si="123"/>
        <v>9.9846945696684813E-2</v>
      </c>
      <c r="K187" s="3">
        <f t="shared" si="123"/>
        <v>9.9846945696340644E-2</v>
      </c>
      <c r="L187" s="3">
        <f t="shared" si="123"/>
        <v>9.9846945692898842E-2</v>
      </c>
      <c r="M187" s="3">
        <f t="shared" si="123"/>
        <v>9.9846945658480901E-2</v>
      </c>
      <c r="N187" s="3">
        <f t="shared" si="123"/>
        <v>9.9846945314301577E-2</v>
      </c>
      <c r="O187" s="3">
        <f t="shared" si="123"/>
        <v>9.9846941872508269E-2</v>
      </c>
      <c r="P187" s="3">
        <f t="shared" si="123"/>
        <v>9.9846907454581704E-2</v>
      </c>
      <c r="Q187" s="3">
        <f t="shared" si="123"/>
        <v>9.9846563275968636E-2</v>
      </c>
      <c r="R187" s="3">
        <f t="shared" si="123"/>
        <v>9.9843121555089495E-2</v>
      </c>
      <c r="S187" s="3">
        <f t="shared" si="123"/>
        <v>9.9808710870628578E-2</v>
      </c>
      <c r="T187" s="3">
        <f t="shared" si="123"/>
        <v>9.9465255627711219E-2</v>
      </c>
      <c r="U187" s="3">
        <f t="shared" si="123"/>
        <v>9.6095039911826399E-2</v>
      </c>
      <c r="V187" s="3">
        <f t="shared" si="123"/>
        <v>6.8076411575242426E-2</v>
      </c>
      <c r="W187" s="3">
        <f t="shared" si="123"/>
        <v>2.1674719860423244E-3</v>
      </c>
      <c r="X187" s="3">
        <f t="shared" si="123"/>
        <v>2.3201810258577309E-18</v>
      </c>
      <c r="Y187" s="3">
        <f t="shared" si="123"/>
        <v>4.5835887942631479E-168</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8.4959897030223219E-2</v>
      </c>
      <c r="C188" s="3">
        <f t="shared" si="124"/>
        <v>8.4959897030223219E-2</v>
      </c>
      <c r="D188" s="3">
        <f t="shared" si="124"/>
        <v>8.4959897030223219E-2</v>
      </c>
      <c r="E188" s="3">
        <f t="shared" si="124"/>
        <v>8.4959897030223219E-2</v>
      </c>
      <c r="F188" s="3">
        <f t="shared" si="124"/>
        <v>8.4959897030223219E-2</v>
      </c>
      <c r="G188" s="3">
        <f t="shared" si="124"/>
        <v>8.4959897030223219E-2</v>
      </c>
      <c r="H188" s="3">
        <f t="shared" si="124"/>
        <v>8.4959897030223192E-2</v>
      </c>
      <c r="I188" s="3">
        <f t="shared" si="124"/>
        <v>8.4959897030222928E-2</v>
      </c>
      <c r="J188" s="3">
        <f t="shared" si="124"/>
        <v>8.4959897030220291E-2</v>
      </c>
      <c r="K188" s="3">
        <f t="shared" si="124"/>
        <v>8.4959897030193868E-2</v>
      </c>
      <c r="L188" s="3">
        <f t="shared" si="124"/>
        <v>8.4959897029929676E-2</v>
      </c>
      <c r="M188" s="3">
        <f t="shared" si="124"/>
        <v>8.4959897027287817E-2</v>
      </c>
      <c r="N188" s="3">
        <f t="shared" si="124"/>
        <v>8.4959897000869158E-2</v>
      </c>
      <c r="O188" s="3">
        <f t="shared" si="124"/>
        <v>8.4959896736682694E-2</v>
      </c>
      <c r="P188" s="3">
        <f t="shared" si="124"/>
        <v>8.4959894094818009E-2</v>
      </c>
      <c r="Q188" s="3">
        <f t="shared" si="124"/>
        <v>8.4959867676175596E-2</v>
      </c>
      <c r="R188" s="3">
        <f t="shared" si="124"/>
        <v>8.4959603490203373E-2</v>
      </c>
      <c r="S188" s="3">
        <f t="shared" si="124"/>
        <v>8.4956961675662995E-2</v>
      </c>
      <c r="T188" s="3">
        <f t="shared" si="124"/>
        <v>8.4930548047927629E-2</v>
      </c>
      <c r="U188" s="3">
        <f t="shared" si="124"/>
        <v>8.4666863018076619E-2</v>
      </c>
      <c r="V188" s="3">
        <f t="shared" si="124"/>
        <v>8.2074622585580834E-2</v>
      </c>
      <c r="W188" s="3">
        <f t="shared" si="124"/>
        <v>6.0139961660743084E-2</v>
      </c>
      <c r="X188" s="3">
        <f t="shared" si="124"/>
        <v>2.6835251669073286E-3</v>
      </c>
      <c r="Y188" s="3">
        <f t="shared" si="124"/>
        <v>8.3971310185218856E-17</v>
      </c>
      <c r="Z188" s="3">
        <f t="shared" si="124"/>
        <v>7.5575929624101194E-152</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6.3888587804479924E-2</v>
      </c>
      <c r="C189" s="3">
        <f t="shared" si="125"/>
        <v>6.3888587804479924E-2</v>
      </c>
      <c r="D189" s="3">
        <f t="shared" si="125"/>
        <v>6.3888587804479924E-2</v>
      </c>
      <c r="E189" s="3">
        <f t="shared" si="125"/>
        <v>6.3888587804479924E-2</v>
      </c>
      <c r="F189" s="3">
        <f t="shared" si="125"/>
        <v>6.3888587804479924E-2</v>
      </c>
      <c r="G189" s="3">
        <f t="shared" si="125"/>
        <v>6.3888587804479924E-2</v>
      </c>
      <c r="H189" s="3">
        <f t="shared" si="125"/>
        <v>6.3888587804479924E-2</v>
      </c>
      <c r="I189" s="3">
        <f t="shared" si="125"/>
        <v>6.3888587804479896E-2</v>
      </c>
      <c r="J189" s="3">
        <f t="shared" si="125"/>
        <v>6.388858780447973E-2</v>
      </c>
      <c r="K189" s="3">
        <f t="shared" si="125"/>
        <v>6.3888587804477925E-2</v>
      </c>
      <c r="L189" s="3">
        <f t="shared" si="125"/>
        <v>6.3888587804460009E-2</v>
      </c>
      <c r="M189" s="3">
        <f t="shared" si="125"/>
        <v>6.3888587804280805E-2</v>
      </c>
      <c r="N189" s="3">
        <f t="shared" si="125"/>
        <v>6.3888587802488683E-2</v>
      </c>
      <c r="O189" s="3">
        <f t="shared" si="125"/>
        <v>6.3888587784567505E-2</v>
      </c>
      <c r="P189" s="3">
        <f t="shared" si="125"/>
        <v>6.3888587605355762E-2</v>
      </c>
      <c r="Q189" s="3">
        <f t="shared" si="125"/>
        <v>6.388858581323828E-2</v>
      </c>
      <c r="R189" s="3">
        <f t="shared" si="125"/>
        <v>6.3888567892066345E-2</v>
      </c>
      <c r="S189" s="3">
        <f t="shared" si="125"/>
        <v>6.3888388680623409E-2</v>
      </c>
      <c r="T189" s="3">
        <f t="shared" si="125"/>
        <v>6.3886596593842257E-2</v>
      </c>
      <c r="U189" s="3">
        <f t="shared" si="125"/>
        <v>6.3868678490566919E-2</v>
      </c>
      <c r="V189" s="3">
        <f t="shared" si="125"/>
        <v>6.3689773624724749E-2</v>
      </c>
      <c r="W189" s="3">
        <f t="shared" si="125"/>
        <v>6.1928057168679648E-2</v>
      </c>
      <c r="X189" s="3">
        <f t="shared" si="125"/>
        <v>4.6780510462336208E-2</v>
      </c>
      <c r="Y189" s="3">
        <f t="shared" si="125"/>
        <v>2.8303488520271861E-3</v>
      </c>
      <c r="Z189" s="3">
        <f t="shared" si="125"/>
        <v>1.8603303728507484E-15</v>
      </c>
      <c r="AA189" s="3">
        <f t="shared" si="125"/>
        <v>2.7995689590779545E-137</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6.4356714781999613E-2</v>
      </c>
      <c r="C190" s="3">
        <f t="shared" si="126"/>
        <v>6.4356714781999613E-2</v>
      </c>
      <c r="D190" s="3">
        <f t="shared" si="126"/>
        <v>6.4356714781999613E-2</v>
      </c>
      <c r="E190" s="3">
        <f t="shared" si="126"/>
        <v>6.4356714781999613E-2</v>
      </c>
      <c r="F190" s="3">
        <f t="shared" si="126"/>
        <v>6.4356714781999613E-2</v>
      </c>
      <c r="G190" s="3">
        <f t="shared" si="126"/>
        <v>6.4356714781999613E-2</v>
      </c>
      <c r="H190" s="3">
        <f t="shared" si="126"/>
        <v>6.4356714781999613E-2</v>
      </c>
      <c r="I190" s="3">
        <f t="shared" si="126"/>
        <v>6.4356714781999613E-2</v>
      </c>
      <c r="J190" s="3">
        <f t="shared" si="126"/>
        <v>6.4356714781999586E-2</v>
      </c>
      <c r="K190" s="3">
        <f t="shared" si="126"/>
        <v>6.4356714781999433E-2</v>
      </c>
      <c r="L190" s="3">
        <f t="shared" si="126"/>
        <v>6.4356714781997809E-2</v>
      </c>
      <c r="M190" s="3">
        <f t="shared" si="126"/>
        <v>6.4356714781981517E-2</v>
      </c>
      <c r="N190" s="3">
        <f t="shared" si="126"/>
        <v>6.4356714781818675E-2</v>
      </c>
      <c r="O190" s="3">
        <f t="shared" si="126"/>
        <v>6.4356714780190186E-2</v>
      </c>
      <c r="P190" s="3">
        <f t="shared" si="126"/>
        <v>6.4356714763905337E-2</v>
      </c>
      <c r="Q190" s="3">
        <f t="shared" si="126"/>
        <v>6.435671460105688E-2</v>
      </c>
      <c r="R190" s="3">
        <f t="shared" si="126"/>
        <v>6.4356712972572325E-2</v>
      </c>
      <c r="S190" s="3">
        <f t="shared" si="126"/>
        <v>6.4356696687729073E-2</v>
      </c>
      <c r="T190" s="3">
        <f t="shared" si="126"/>
        <v>6.4356533839523125E-2</v>
      </c>
      <c r="U190" s="3">
        <f t="shared" si="126"/>
        <v>6.4354905380127447E-2</v>
      </c>
      <c r="V190" s="3">
        <f t="shared" si="126"/>
        <v>6.4338623052332553E-2</v>
      </c>
      <c r="W190" s="3">
        <f t="shared" si="126"/>
        <v>6.4176026178553891E-2</v>
      </c>
      <c r="X190" s="3">
        <f t="shared" si="126"/>
        <v>6.2572487314121947E-2</v>
      </c>
      <c r="Y190" s="3">
        <f t="shared" si="126"/>
        <v>4.8583566190722113E-2</v>
      </c>
      <c r="Z190" s="3">
        <f t="shared" si="126"/>
        <v>3.8685579205759201E-3</v>
      </c>
      <c r="AA190" s="3">
        <f t="shared" si="126"/>
        <v>3.9641149231345644E-14</v>
      </c>
      <c r="AB190" s="3">
        <f t="shared" si="126"/>
        <v>5.0596161096616617E-124</v>
      </c>
      <c r="AC190" s="3">
        <f t="shared" si="126"/>
        <v>0</v>
      </c>
      <c r="AD190" s="3">
        <f t="shared" si="126"/>
        <v>0</v>
      </c>
      <c r="AE190" s="3">
        <f t="shared" si="126"/>
        <v>0</v>
      </c>
      <c r="AF190" s="3">
        <f t="shared" si="126"/>
        <v>0</v>
      </c>
      <c r="AG190" s="3"/>
      <c r="AH190" s="3"/>
    </row>
    <row r="191" spans="2:34" x14ac:dyDescent="0.25">
      <c r="B191" s="3">
        <f t="shared" ref="B191:AF191" si="127">$C38*EXP(-B$168/$A38/EXP(-$C$126))</f>
        <v>2.3762961942572935E-2</v>
      </c>
      <c r="C191" s="3">
        <f t="shared" si="127"/>
        <v>2.3762961942572935E-2</v>
      </c>
      <c r="D191" s="3">
        <f t="shared" si="127"/>
        <v>2.3762961942572935E-2</v>
      </c>
      <c r="E191" s="3">
        <f t="shared" si="127"/>
        <v>2.3762961942572935E-2</v>
      </c>
      <c r="F191" s="3">
        <f t="shared" si="127"/>
        <v>2.3762961942572935E-2</v>
      </c>
      <c r="G191" s="3">
        <f t="shared" si="127"/>
        <v>2.3762961942572935E-2</v>
      </c>
      <c r="H191" s="3">
        <f t="shared" si="127"/>
        <v>2.3762961942572935E-2</v>
      </c>
      <c r="I191" s="3">
        <f t="shared" si="127"/>
        <v>2.3762961942572935E-2</v>
      </c>
      <c r="J191" s="3">
        <f t="shared" si="127"/>
        <v>2.3762961942572935E-2</v>
      </c>
      <c r="K191" s="3">
        <f t="shared" si="127"/>
        <v>2.3762961942572929E-2</v>
      </c>
      <c r="L191" s="3">
        <f t="shared" si="127"/>
        <v>2.3762961942572877E-2</v>
      </c>
      <c r="M191" s="3">
        <f t="shared" si="127"/>
        <v>2.3762961942572335E-2</v>
      </c>
      <c r="N191" s="3">
        <f t="shared" si="127"/>
        <v>2.3762961942566909E-2</v>
      </c>
      <c r="O191" s="3">
        <f t="shared" si="127"/>
        <v>2.3762961942512664E-2</v>
      </c>
      <c r="P191" s="3">
        <f t="shared" si="127"/>
        <v>2.3762961941970244E-2</v>
      </c>
      <c r="Q191" s="3">
        <f t="shared" si="127"/>
        <v>2.3762961936546031E-2</v>
      </c>
      <c r="R191" s="3">
        <f t="shared" si="127"/>
        <v>2.3762961882303871E-2</v>
      </c>
      <c r="S191" s="3">
        <f t="shared" si="127"/>
        <v>2.3762961339882316E-2</v>
      </c>
      <c r="T191" s="3">
        <f t="shared" si="127"/>
        <v>2.376295591566743E-2</v>
      </c>
      <c r="U191" s="3">
        <f t="shared" si="127"/>
        <v>2.3762901673586669E-2</v>
      </c>
      <c r="V191" s="3">
        <f t="shared" si="127"/>
        <v>2.3762359259588795E-2</v>
      </c>
      <c r="W191" s="3">
        <f t="shared" si="127"/>
        <v>2.3756935800528761E-2</v>
      </c>
      <c r="X191" s="3">
        <f t="shared" si="127"/>
        <v>2.3702769244324084E-2</v>
      </c>
      <c r="Y191" s="3">
        <f t="shared" si="127"/>
        <v>2.3167850010861312E-2</v>
      </c>
      <c r="Z191" s="3">
        <f t="shared" si="127"/>
        <v>1.8439628906836297E-2</v>
      </c>
      <c r="AA191" s="3">
        <f t="shared" si="127"/>
        <v>1.8811204948708778E-3</v>
      </c>
      <c r="AB191" s="3">
        <f t="shared" si="127"/>
        <v>2.2964711763165801E-13</v>
      </c>
      <c r="AC191" s="3">
        <f t="shared" si="127"/>
        <v>1.6885146618588243E-112</v>
      </c>
      <c r="AD191" s="3">
        <f t="shared" si="127"/>
        <v>0</v>
      </c>
      <c r="AE191" s="3">
        <f t="shared" si="127"/>
        <v>0</v>
      </c>
      <c r="AF191" s="3">
        <f t="shared" si="127"/>
        <v>0</v>
      </c>
      <c r="AG191" s="3"/>
      <c r="AH191" s="3"/>
    </row>
    <row r="192" spans="2:34" x14ac:dyDescent="0.25">
      <c r="B192" s="3">
        <f t="shared" ref="B192:AF192" si="128">$C39*EXP(-B$168/$A39/EXP(-$C$126))</f>
        <v>4.2794407584768095E-2</v>
      </c>
      <c r="C192" s="3">
        <f t="shared" si="128"/>
        <v>4.2794407584768095E-2</v>
      </c>
      <c r="D192" s="3">
        <f t="shared" si="128"/>
        <v>4.2794407584768095E-2</v>
      </c>
      <c r="E192" s="3">
        <f t="shared" si="128"/>
        <v>4.2794407584768095E-2</v>
      </c>
      <c r="F192" s="3">
        <f t="shared" si="128"/>
        <v>4.2794407584768095E-2</v>
      </c>
      <c r="G192" s="3">
        <f t="shared" si="128"/>
        <v>4.2794407584768095E-2</v>
      </c>
      <c r="H192" s="3">
        <f t="shared" si="128"/>
        <v>4.2794407584768095E-2</v>
      </c>
      <c r="I192" s="3">
        <f t="shared" si="128"/>
        <v>4.2794407584768095E-2</v>
      </c>
      <c r="J192" s="3">
        <f t="shared" si="128"/>
        <v>4.2794407584768095E-2</v>
      </c>
      <c r="K192" s="3">
        <f t="shared" si="128"/>
        <v>4.2794407584768088E-2</v>
      </c>
      <c r="L192" s="3">
        <f t="shared" si="128"/>
        <v>4.2794407584768067E-2</v>
      </c>
      <c r="M192" s="3">
        <f t="shared" si="128"/>
        <v>4.2794407584767796E-2</v>
      </c>
      <c r="N192" s="3">
        <f t="shared" si="128"/>
        <v>4.279440758476509E-2</v>
      </c>
      <c r="O192" s="3">
        <f t="shared" si="128"/>
        <v>4.2794407584738077E-2</v>
      </c>
      <c r="P192" s="3">
        <f t="shared" si="128"/>
        <v>4.2794407584467911E-2</v>
      </c>
      <c r="Q192" s="3">
        <f t="shared" si="128"/>
        <v>4.2794407581766211E-2</v>
      </c>
      <c r="R192" s="3">
        <f t="shared" si="128"/>
        <v>4.279440755474926E-2</v>
      </c>
      <c r="S192" s="3">
        <f t="shared" si="128"/>
        <v>4.2794407284579804E-2</v>
      </c>
      <c r="T192" s="3">
        <f t="shared" si="128"/>
        <v>4.2794404582885311E-2</v>
      </c>
      <c r="U192" s="3">
        <f t="shared" si="128"/>
        <v>4.2794377565949733E-2</v>
      </c>
      <c r="V192" s="3">
        <f t="shared" si="128"/>
        <v>4.2794107397532005E-2</v>
      </c>
      <c r="W192" s="3">
        <f t="shared" si="128"/>
        <v>4.279140580716214E-2</v>
      </c>
      <c r="X192" s="3">
        <f t="shared" si="128"/>
        <v>4.2764399282008515E-2</v>
      </c>
      <c r="Y192" s="3">
        <f t="shared" si="128"/>
        <v>4.2495269697952032E-2</v>
      </c>
      <c r="Z192" s="3">
        <f t="shared" si="128"/>
        <v>3.9895391414308479E-2</v>
      </c>
      <c r="AA192" s="3">
        <f t="shared" si="128"/>
        <v>2.1219939178588967E-2</v>
      </c>
      <c r="AB192" s="3">
        <f t="shared" si="128"/>
        <v>3.8455474948977415E-5</v>
      </c>
      <c r="AC192" s="3">
        <f t="shared" si="128"/>
        <v>1.4692599046362803E-32</v>
      </c>
      <c r="AD192" s="3">
        <f t="shared" si="128"/>
        <v>9.7387474262079625E-307</v>
      </c>
      <c r="AE192" s="3">
        <f t="shared" si="128"/>
        <v>0</v>
      </c>
      <c r="AF192" s="3">
        <f t="shared" si="128"/>
        <v>0</v>
      </c>
      <c r="AG192" s="3"/>
      <c r="AH192" s="3"/>
    </row>
    <row r="193" spans="1:34" x14ac:dyDescent="0.25">
      <c r="B193" s="3">
        <f t="shared" ref="B193:AF193" si="129">$C40*EXP(-B$168/$A40/EXP(-$C$126))</f>
        <v>2.2817294808056693E-2</v>
      </c>
      <c r="C193" s="3">
        <f t="shared" si="129"/>
        <v>2.2817294808056693E-2</v>
      </c>
      <c r="D193" s="3">
        <f t="shared" si="129"/>
        <v>2.2817294808056693E-2</v>
      </c>
      <c r="E193" s="3">
        <f t="shared" si="129"/>
        <v>2.2817294808056693E-2</v>
      </c>
      <c r="F193" s="3">
        <f t="shared" si="129"/>
        <v>2.2817294808056693E-2</v>
      </c>
      <c r="G193" s="3">
        <f t="shared" si="129"/>
        <v>2.2817294808056693E-2</v>
      </c>
      <c r="H193" s="3">
        <f t="shared" si="129"/>
        <v>2.2817294808056693E-2</v>
      </c>
      <c r="I193" s="3">
        <f t="shared" si="129"/>
        <v>2.2817294808056693E-2</v>
      </c>
      <c r="J193" s="3">
        <f t="shared" si="129"/>
        <v>2.2817294808056693E-2</v>
      </c>
      <c r="K193" s="3">
        <f t="shared" si="129"/>
        <v>2.2817294808056693E-2</v>
      </c>
      <c r="L193" s="3">
        <f t="shared" si="129"/>
        <v>2.2817294808056689E-2</v>
      </c>
      <c r="M193" s="3">
        <f t="shared" si="129"/>
        <v>2.2817294808056679E-2</v>
      </c>
      <c r="N193" s="3">
        <f t="shared" si="129"/>
        <v>2.2817294808056533E-2</v>
      </c>
      <c r="O193" s="3">
        <f t="shared" si="129"/>
        <v>2.2817294808055093E-2</v>
      </c>
      <c r="P193" s="3">
        <f t="shared" si="129"/>
        <v>2.2817294808040688E-2</v>
      </c>
      <c r="Q193" s="3">
        <f t="shared" si="129"/>
        <v>2.2817294807896637E-2</v>
      </c>
      <c r="R193" s="3">
        <f t="shared" si="129"/>
        <v>2.2817294806456136E-2</v>
      </c>
      <c r="S193" s="3">
        <f t="shared" si="129"/>
        <v>2.2817294792051131E-2</v>
      </c>
      <c r="T193" s="3">
        <f t="shared" si="129"/>
        <v>2.2817294648001092E-2</v>
      </c>
      <c r="U193" s="3">
        <f t="shared" si="129"/>
        <v>2.2817293207500724E-2</v>
      </c>
      <c r="V193" s="3">
        <f t="shared" si="129"/>
        <v>2.2817278802502065E-2</v>
      </c>
      <c r="W193" s="3">
        <f t="shared" si="129"/>
        <v>2.2817134753015625E-2</v>
      </c>
      <c r="X193" s="3">
        <f t="shared" si="129"/>
        <v>2.2815694308167832E-2</v>
      </c>
      <c r="Y193" s="3">
        <f t="shared" si="129"/>
        <v>2.2801294860180361E-2</v>
      </c>
      <c r="Z193" s="3">
        <f t="shared" si="129"/>
        <v>2.2657799263265679E-2</v>
      </c>
      <c r="AA193" s="3">
        <f t="shared" si="129"/>
        <v>2.1271585675767063E-2</v>
      </c>
      <c r="AB193" s="3">
        <f t="shared" si="129"/>
        <v>1.1314132742410778E-2</v>
      </c>
      <c r="AC193" s="3">
        <f t="shared" si="129"/>
        <v>2.050384520819887E-5</v>
      </c>
      <c r="AD193" s="3">
        <f t="shared" si="129"/>
        <v>7.8338592086681276E-33</v>
      </c>
      <c r="AE193" s="3">
        <f t="shared" si="129"/>
        <v>5.1925446250150398E-307</v>
      </c>
      <c r="AF193" s="3">
        <f t="shared" si="129"/>
        <v>0</v>
      </c>
      <c r="AG193" s="3"/>
      <c r="AH193" s="3"/>
    </row>
    <row r="194" spans="1:34" x14ac:dyDescent="0.25">
      <c r="B194" s="3">
        <f t="shared" ref="B194:AF194" si="130">$C41*EXP(-B$168/$A41/EXP(-$C$126))</f>
        <v>1.5874068547548043E-2</v>
      </c>
      <c r="C194" s="3">
        <f t="shared" si="130"/>
        <v>1.5874068547548043E-2</v>
      </c>
      <c r="D194" s="3">
        <f t="shared" si="130"/>
        <v>1.5874068547548043E-2</v>
      </c>
      <c r="E194" s="3">
        <f t="shared" si="130"/>
        <v>1.5874068547548043E-2</v>
      </c>
      <c r="F194" s="3">
        <f t="shared" si="130"/>
        <v>1.5874068547548043E-2</v>
      </c>
      <c r="G194" s="3">
        <f t="shared" si="130"/>
        <v>1.5874068547548043E-2</v>
      </c>
      <c r="H194" s="3">
        <f t="shared" si="130"/>
        <v>1.5874068547548043E-2</v>
      </c>
      <c r="I194" s="3">
        <f t="shared" si="130"/>
        <v>1.5874068547548043E-2</v>
      </c>
      <c r="J194" s="3">
        <f t="shared" si="130"/>
        <v>1.5874068547548043E-2</v>
      </c>
      <c r="K194" s="3">
        <f t="shared" si="130"/>
        <v>1.5874068547548043E-2</v>
      </c>
      <c r="L194" s="3">
        <f t="shared" si="130"/>
        <v>1.5874068547548043E-2</v>
      </c>
      <c r="M194" s="3">
        <f t="shared" si="130"/>
        <v>1.587406854754804E-2</v>
      </c>
      <c r="N194" s="3">
        <f t="shared" si="130"/>
        <v>1.5874068547548033E-2</v>
      </c>
      <c r="O194" s="3">
        <f t="shared" si="130"/>
        <v>1.5874068547547932E-2</v>
      </c>
      <c r="P194" s="3">
        <f t="shared" si="130"/>
        <v>1.587406854754693E-2</v>
      </c>
      <c r="Q194" s="3">
        <f t="shared" si="130"/>
        <v>1.587406854753691E-2</v>
      </c>
      <c r="R194" s="3">
        <f t="shared" si="130"/>
        <v>1.5874068547436691E-2</v>
      </c>
      <c r="S194" s="3">
        <f t="shared" si="130"/>
        <v>1.5874068546434531E-2</v>
      </c>
      <c r="T194" s="3">
        <f t="shared" si="130"/>
        <v>1.5874068536412919E-2</v>
      </c>
      <c r="U194" s="3">
        <f t="shared" si="130"/>
        <v>1.5874068436196823E-2</v>
      </c>
      <c r="V194" s="3">
        <f t="shared" si="130"/>
        <v>1.5874067434035886E-2</v>
      </c>
      <c r="W194" s="3">
        <f t="shared" si="130"/>
        <v>1.587405741242999E-2</v>
      </c>
      <c r="X194" s="3">
        <f t="shared" si="130"/>
        <v>1.5873957196719007E-2</v>
      </c>
      <c r="Y194" s="3">
        <f t="shared" si="130"/>
        <v>1.5872955074405858E-2</v>
      </c>
      <c r="Z194" s="3">
        <f t="shared" si="130"/>
        <v>1.5862937330132366E-2</v>
      </c>
      <c r="AA194" s="3">
        <f t="shared" si="130"/>
        <v>1.5763106961946445E-2</v>
      </c>
      <c r="AB194" s="3">
        <f t="shared" si="130"/>
        <v>1.4798713518525375E-2</v>
      </c>
      <c r="AC194" s="3">
        <f t="shared" si="130"/>
        <v>7.8712801066001016E-3</v>
      </c>
      <c r="AD194" s="3">
        <f t="shared" si="130"/>
        <v>1.426459389955105E-5</v>
      </c>
      <c r="AE194" s="3">
        <f t="shared" si="130"/>
        <v>5.4500421332299658E-33</v>
      </c>
      <c r="AF194" s="3">
        <f t="shared" si="130"/>
        <v>3.6124707160546626E-307</v>
      </c>
      <c r="AG194" s="3"/>
      <c r="AH194" s="3"/>
    </row>
    <row r="195" spans="1:34" x14ac:dyDescent="0.25">
      <c r="B195" s="3">
        <f t="shared" ref="B195:AF195" si="131">$C42*EXP(-B$168/$A42/EXP(-$C$126))</f>
        <v>5.5424436077778048E-3</v>
      </c>
      <c r="C195" s="3">
        <f t="shared" si="131"/>
        <v>5.5424436077778048E-3</v>
      </c>
      <c r="D195" s="3">
        <f t="shared" si="131"/>
        <v>5.5424436077778048E-3</v>
      </c>
      <c r="E195" s="3">
        <f t="shared" si="131"/>
        <v>5.5424436077778048E-3</v>
      </c>
      <c r="F195" s="3">
        <f t="shared" si="131"/>
        <v>5.5424436077778048E-3</v>
      </c>
      <c r="G195" s="3">
        <f t="shared" si="131"/>
        <v>5.5424436077778048E-3</v>
      </c>
      <c r="H195" s="3">
        <f t="shared" si="131"/>
        <v>5.5424436077778048E-3</v>
      </c>
      <c r="I195" s="3">
        <f t="shared" si="131"/>
        <v>5.5424436077778048E-3</v>
      </c>
      <c r="J195" s="3">
        <f t="shared" si="131"/>
        <v>5.5424436077778048E-3</v>
      </c>
      <c r="K195" s="3">
        <f t="shared" si="131"/>
        <v>5.5424436077778048E-3</v>
      </c>
      <c r="L195" s="3">
        <f t="shared" si="131"/>
        <v>5.5424436077778048E-3</v>
      </c>
      <c r="M195" s="3">
        <f t="shared" si="131"/>
        <v>5.5424436077778048E-3</v>
      </c>
      <c r="N195" s="3">
        <f t="shared" si="131"/>
        <v>5.542443607777804E-3</v>
      </c>
      <c r="O195" s="3">
        <f t="shared" si="131"/>
        <v>5.5424436077778014E-3</v>
      </c>
      <c r="P195" s="3">
        <f t="shared" si="131"/>
        <v>5.5424436077777658E-3</v>
      </c>
      <c r="Q195" s="3">
        <f t="shared" si="131"/>
        <v>5.5424436077774163E-3</v>
      </c>
      <c r="R195" s="3">
        <f t="shared" si="131"/>
        <v>5.5424436077739173E-3</v>
      </c>
      <c r="S195" s="3">
        <f t="shared" si="131"/>
        <v>5.5424436077389271E-3</v>
      </c>
      <c r="T195" s="3">
        <f t="shared" si="131"/>
        <v>5.5424436073890212E-3</v>
      </c>
      <c r="U195" s="3">
        <f t="shared" si="131"/>
        <v>5.5424436038899677E-3</v>
      </c>
      <c r="V195" s="3">
        <f t="shared" si="131"/>
        <v>5.5424435688994382E-3</v>
      </c>
      <c r="W195" s="3">
        <f t="shared" si="131"/>
        <v>5.5424432189941529E-3</v>
      </c>
      <c r="X195" s="3">
        <f t="shared" si="131"/>
        <v>5.5424397199425168E-3</v>
      </c>
      <c r="Y195" s="3">
        <f t="shared" si="131"/>
        <v>5.542404729547641E-3</v>
      </c>
      <c r="Z195" s="3">
        <f t="shared" si="131"/>
        <v>5.5420548377481896E-3</v>
      </c>
      <c r="AA195" s="3">
        <f t="shared" si="131"/>
        <v>5.5385571343996966E-3</v>
      </c>
      <c r="AB195" s="3">
        <f t="shared" si="131"/>
        <v>5.5037012822684792E-3</v>
      </c>
      <c r="AC195" s="3">
        <f t="shared" si="131"/>
        <v>5.1669825475684468E-3</v>
      </c>
      <c r="AD195" s="3">
        <f t="shared" si="131"/>
        <v>2.748263684333967E-3</v>
      </c>
      <c r="AE195" s="3">
        <f t="shared" si="131"/>
        <v>4.9804942595088479E-6</v>
      </c>
      <c r="AF195" s="3">
        <f t="shared" si="131"/>
        <v>1.9028865279850345E-33</v>
      </c>
      <c r="AG195" s="3"/>
      <c r="AH195" s="3"/>
    </row>
    <row r="196" spans="1:34" x14ac:dyDescent="0.25">
      <c r="B196" s="3">
        <f t="shared" ref="B196:AF196" si="132">$C43*EXP(-B$168/$A43/EXP(-$C$126))</f>
        <v>3.8861309197679899E-3</v>
      </c>
      <c r="C196" s="3">
        <f t="shared" si="132"/>
        <v>3.8861309197679899E-3</v>
      </c>
      <c r="D196" s="3">
        <f t="shared" si="132"/>
        <v>3.8861309197679899E-3</v>
      </c>
      <c r="E196" s="3">
        <f t="shared" si="132"/>
        <v>3.8861309197679899E-3</v>
      </c>
      <c r="F196" s="3">
        <f t="shared" si="132"/>
        <v>3.8861309197679899E-3</v>
      </c>
      <c r="G196" s="3">
        <f t="shared" si="132"/>
        <v>3.8861309197679899E-3</v>
      </c>
      <c r="H196" s="3">
        <f t="shared" si="132"/>
        <v>3.8861309197679899E-3</v>
      </c>
      <c r="I196" s="3">
        <f t="shared" si="132"/>
        <v>3.8861309197679899E-3</v>
      </c>
      <c r="J196" s="3">
        <f t="shared" si="132"/>
        <v>3.8861309197679899E-3</v>
      </c>
      <c r="K196" s="3">
        <f t="shared" si="132"/>
        <v>3.8861309197679899E-3</v>
      </c>
      <c r="L196" s="3">
        <f t="shared" si="132"/>
        <v>3.8861309197679899E-3</v>
      </c>
      <c r="M196" s="3">
        <f t="shared" si="132"/>
        <v>3.8861309197679899E-3</v>
      </c>
      <c r="N196" s="3">
        <f t="shared" si="132"/>
        <v>3.8861309197679899E-3</v>
      </c>
      <c r="O196" s="3">
        <f t="shared" si="132"/>
        <v>3.8861309197679894E-3</v>
      </c>
      <c r="P196" s="3">
        <f t="shared" si="132"/>
        <v>3.8861309197679873E-3</v>
      </c>
      <c r="Q196" s="3">
        <f t="shared" si="132"/>
        <v>3.8861309197679625E-3</v>
      </c>
      <c r="R196" s="3">
        <f t="shared" si="132"/>
        <v>3.8861309197677171E-3</v>
      </c>
      <c r="S196" s="3">
        <f t="shared" si="132"/>
        <v>3.8861309197652642E-3</v>
      </c>
      <c r="T196" s="3">
        <f t="shared" si="132"/>
        <v>3.88613091974073E-3</v>
      </c>
      <c r="U196" s="3">
        <f t="shared" si="132"/>
        <v>3.8861309194953906E-3</v>
      </c>
      <c r="V196" s="3">
        <f t="shared" si="132"/>
        <v>3.8861309170420003E-3</v>
      </c>
      <c r="W196" s="3">
        <f t="shared" si="132"/>
        <v>3.8861308925080963E-3</v>
      </c>
      <c r="X196" s="3">
        <f t="shared" si="132"/>
        <v>3.8861306471690647E-3</v>
      </c>
      <c r="Y196" s="3">
        <f t="shared" si="132"/>
        <v>3.8861281937796E-3</v>
      </c>
      <c r="Z196" s="3">
        <f t="shared" si="132"/>
        <v>3.8861036599701394E-3</v>
      </c>
      <c r="AA196" s="3">
        <f t="shared" si="132"/>
        <v>3.8858583303941177E-3</v>
      </c>
      <c r="AB196" s="3">
        <f t="shared" si="132"/>
        <v>3.8834058862931655E-3</v>
      </c>
      <c r="AC196" s="3">
        <f t="shared" si="132"/>
        <v>3.858966412608327E-3</v>
      </c>
      <c r="AD196" s="3">
        <f t="shared" si="132"/>
        <v>3.6228732416563191E-3</v>
      </c>
      <c r="AE196" s="3">
        <f t="shared" si="132"/>
        <v>1.926968181395322E-3</v>
      </c>
      <c r="AF196" s="3">
        <f t="shared" si="132"/>
        <v>3.4921154110514213E-6</v>
      </c>
      <c r="AG196" s="3"/>
      <c r="AH196" s="3"/>
    </row>
    <row r="197" spans="1:34" x14ac:dyDescent="0.25">
      <c r="B197" s="3">
        <f t="shared" ref="B197:AF197" si="133">$C44*EXP(-B$168/$A44/EXP(-$C$126))</f>
        <v>2.064572113999586E-3</v>
      </c>
      <c r="C197" s="3">
        <f t="shared" si="133"/>
        <v>2.064572113999586E-3</v>
      </c>
      <c r="D197" s="3">
        <f t="shared" si="133"/>
        <v>2.064572113999586E-3</v>
      </c>
      <c r="E197" s="3">
        <f t="shared" si="133"/>
        <v>2.064572113999586E-3</v>
      </c>
      <c r="F197" s="3">
        <f t="shared" si="133"/>
        <v>2.064572113999586E-3</v>
      </c>
      <c r="G197" s="3">
        <f t="shared" si="133"/>
        <v>2.064572113999586E-3</v>
      </c>
      <c r="H197" s="3">
        <f t="shared" si="133"/>
        <v>2.064572113999586E-3</v>
      </c>
      <c r="I197" s="3">
        <f t="shared" si="133"/>
        <v>2.064572113999586E-3</v>
      </c>
      <c r="J197" s="3">
        <f t="shared" si="133"/>
        <v>2.064572113999586E-3</v>
      </c>
      <c r="K197" s="3">
        <f t="shared" si="133"/>
        <v>2.064572113999586E-3</v>
      </c>
      <c r="L197" s="3">
        <f t="shared" si="133"/>
        <v>2.064572113999586E-3</v>
      </c>
      <c r="M197" s="3">
        <f t="shared" si="133"/>
        <v>2.064572113999586E-3</v>
      </c>
      <c r="N197" s="3">
        <f t="shared" si="133"/>
        <v>2.064572113999586E-3</v>
      </c>
      <c r="O197" s="3">
        <f t="shared" si="133"/>
        <v>2.064572113999586E-3</v>
      </c>
      <c r="P197" s="3">
        <f t="shared" si="133"/>
        <v>2.0645721139995856E-3</v>
      </c>
      <c r="Q197" s="3">
        <f t="shared" si="133"/>
        <v>2.0645721139995847E-3</v>
      </c>
      <c r="R197" s="3">
        <f t="shared" si="133"/>
        <v>2.0645721139995717E-3</v>
      </c>
      <c r="S197" s="3">
        <f t="shared" si="133"/>
        <v>2.0645721139994412E-3</v>
      </c>
      <c r="T197" s="3">
        <f t="shared" si="133"/>
        <v>2.0645721139981379E-3</v>
      </c>
      <c r="U197" s="3">
        <f t="shared" si="133"/>
        <v>2.0645721139851037E-3</v>
      </c>
      <c r="V197" s="3">
        <f t="shared" si="133"/>
        <v>2.0645721138547631E-3</v>
      </c>
      <c r="W197" s="3">
        <f t="shared" si="133"/>
        <v>2.0645721125513586E-3</v>
      </c>
      <c r="X197" s="3">
        <f t="shared" si="133"/>
        <v>2.0645720995173113E-3</v>
      </c>
      <c r="Y197" s="3">
        <f t="shared" si="133"/>
        <v>2.0645719691768432E-3</v>
      </c>
      <c r="Z197" s="3">
        <f t="shared" si="133"/>
        <v>2.0645706657726145E-3</v>
      </c>
      <c r="AA197" s="3">
        <f t="shared" si="133"/>
        <v>2.0645576317755857E-3</v>
      </c>
      <c r="AB197" s="3">
        <f t="shared" si="133"/>
        <v>2.0644272963309361E-3</v>
      </c>
      <c r="AC197" s="3">
        <f t="shared" si="133"/>
        <v>2.0631243943426852E-3</v>
      </c>
      <c r="AD197" s="3">
        <f t="shared" si="133"/>
        <v>2.0501405147739659E-3</v>
      </c>
      <c r="AE197" s="3">
        <f t="shared" si="133"/>
        <v>1.9247120649567495E-3</v>
      </c>
      <c r="AF197" s="3">
        <f t="shared" si="133"/>
        <v>1.0237341082967926E-3</v>
      </c>
      <c r="AG197" s="3"/>
      <c r="AH197" s="3"/>
    </row>
    <row r="198" spans="1:34" x14ac:dyDescent="0.25">
      <c r="B198" s="3">
        <f t="shared" ref="B198:AF198" si="134">$C45*EXP(-B$168/$A45/EXP(-$C$126))</f>
        <v>5.3484126683110472E-4</v>
      </c>
      <c r="C198" s="3">
        <f t="shared" si="134"/>
        <v>5.3484126683110472E-4</v>
      </c>
      <c r="D198" s="3">
        <f t="shared" si="134"/>
        <v>5.3484126683110472E-4</v>
      </c>
      <c r="E198" s="3">
        <f t="shared" si="134"/>
        <v>5.3484126683110472E-4</v>
      </c>
      <c r="F198" s="3">
        <f t="shared" si="134"/>
        <v>5.3484126683110472E-4</v>
      </c>
      <c r="G198" s="3">
        <f t="shared" si="134"/>
        <v>5.3484126683110472E-4</v>
      </c>
      <c r="H198" s="3">
        <f t="shared" si="134"/>
        <v>5.3484126683110472E-4</v>
      </c>
      <c r="I198" s="3">
        <f t="shared" si="134"/>
        <v>5.3484126683110472E-4</v>
      </c>
      <c r="J198" s="3">
        <f t="shared" si="134"/>
        <v>5.3484126683110472E-4</v>
      </c>
      <c r="K198" s="3">
        <f t="shared" si="134"/>
        <v>5.3484126683110472E-4</v>
      </c>
      <c r="L198" s="3">
        <f t="shared" si="134"/>
        <v>5.3484126683110472E-4</v>
      </c>
      <c r="M198" s="3">
        <f t="shared" si="134"/>
        <v>5.3484126683110472E-4</v>
      </c>
      <c r="N198" s="3">
        <f t="shared" si="134"/>
        <v>5.3484126683110472E-4</v>
      </c>
      <c r="O198" s="3">
        <f t="shared" si="134"/>
        <v>5.3484126683110472E-4</v>
      </c>
      <c r="P198" s="3">
        <f t="shared" si="134"/>
        <v>5.3484126683110472E-4</v>
      </c>
      <c r="Q198" s="3">
        <f t="shared" si="134"/>
        <v>5.3484126683110461E-4</v>
      </c>
      <c r="R198" s="3">
        <f t="shared" si="134"/>
        <v>5.348412668311044E-4</v>
      </c>
      <c r="S198" s="3">
        <f t="shared" si="134"/>
        <v>5.3484126683110093E-4</v>
      </c>
      <c r="T198" s="3">
        <f t="shared" si="134"/>
        <v>5.3484126683106721E-4</v>
      </c>
      <c r="U198" s="3">
        <f t="shared" si="134"/>
        <v>5.3484126683072959E-4</v>
      </c>
      <c r="V198" s="3">
        <f t="shared" si="134"/>
        <v>5.3484126682735306E-4</v>
      </c>
      <c r="W198" s="3">
        <f t="shared" si="134"/>
        <v>5.3484126679358742E-4</v>
      </c>
      <c r="X198" s="3">
        <f t="shared" si="134"/>
        <v>5.3484126645593163E-4</v>
      </c>
      <c r="Y198" s="3">
        <f t="shared" si="134"/>
        <v>5.3484126307937424E-4</v>
      </c>
      <c r="Z198" s="3">
        <f t="shared" si="134"/>
        <v>5.348412293138009E-4</v>
      </c>
      <c r="AA198" s="3">
        <f t="shared" si="134"/>
        <v>5.3484089165818497E-4</v>
      </c>
      <c r="AB198" s="3">
        <f t="shared" si="134"/>
        <v>5.3483751511374964E-4</v>
      </c>
      <c r="AC198" s="3">
        <f t="shared" si="134"/>
        <v>5.3480375084179383E-4</v>
      </c>
      <c r="AD198" s="3">
        <f t="shared" si="134"/>
        <v>5.344662253345822E-4</v>
      </c>
      <c r="AE198" s="3">
        <f t="shared" si="134"/>
        <v>5.3110266416380597E-4</v>
      </c>
      <c r="AF198" s="3">
        <f t="shared" si="134"/>
        <v>4.986095821629343E-4</v>
      </c>
      <c r="AG198" s="3"/>
      <c r="AH198" s="3"/>
    </row>
    <row r="199" spans="1:34" x14ac:dyDescent="0.25">
      <c r="B199" s="3">
        <f t="shared" ref="B199:AF199" si="135">$C46*EXP(-B$168/$A46/EXP(-$C$126))</f>
        <v>1.465148476990797E-3</v>
      </c>
      <c r="C199" s="3">
        <f t="shared" si="135"/>
        <v>1.465148476990797E-3</v>
      </c>
      <c r="D199" s="3">
        <f t="shared" si="135"/>
        <v>1.465148476990797E-3</v>
      </c>
      <c r="E199" s="3">
        <f t="shared" si="135"/>
        <v>1.465148476990797E-3</v>
      </c>
      <c r="F199" s="3">
        <f t="shared" si="135"/>
        <v>1.465148476990797E-3</v>
      </c>
      <c r="G199" s="3">
        <f t="shared" si="135"/>
        <v>1.465148476990797E-3</v>
      </c>
      <c r="H199" s="3">
        <f t="shared" si="135"/>
        <v>1.465148476990797E-3</v>
      </c>
      <c r="I199" s="3">
        <f t="shared" si="135"/>
        <v>1.465148476990797E-3</v>
      </c>
      <c r="J199" s="3">
        <f t="shared" si="135"/>
        <v>1.465148476990797E-3</v>
      </c>
      <c r="K199" s="3">
        <f t="shared" si="135"/>
        <v>1.465148476990797E-3</v>
      </c>
      <c r="L199" s="3">
        <f t="shared" si="135"/>
        <v>1.465148476990797E-3</v>
      </c>
      <c r="M199" s="3">
        <f t="shared" si="135"/>
        <v>1.465148476990797E-3</v>
      </c>
      <c r="N199" s="3">
        <f t="shared" si="135"/>
        <v>1.465148476990797E-3</v>
      </c>
      <c r="O199" s="3">
        <f t="shared" si="135"/>
        <v>1.465148476990797E-3</v>
      </c>
      <c r="P199" s="3">
        <f t="shared" si="135"/>
        <v>1.465148476990797E-3</v>
      </c>
      <c r="Q199" s="3">
        <f t="shared" si="135"/>
        <v>1.465148476990797E-3</v>
      </c>
      <c r="R199" s="3">
        <f t="shared" si="135"/>
        <v>1.4651484769907968E-3</v>
      </c>
      <c r="S199" s="3">
        <f t="shared" si="135"/>
        <v>1.4651484769907959E-3</v>
      </c>
      <c r="T199" s="3">
        <f t="shared" si="135"/>
        <v>1.4651484769907868E-3</v>
      </c>
      <c r="U199" s="3">
        <f t="shared" si="135"/>
        <v>1.4651484769906942E-3</v>
      </c>
      <c r="V199" s="3">
        <f t="shared" si="135"/>
        <v>1.4651484769897694E-3</v>
      </c>
      <c r="W199" s="3">
        <f t="shared" si="135"/>
        <v>1.4651484769805196E-3</v>
      </c>
      <c r="X199" s="3">
        <f t="shared" si="135"/>
        <v>1.4651484768880218E-3</v>
      </c>
      <c r="Y199" s="3">
        <f t="shared" si="135"/>
        <v>1.4651484759630449E-3</v>
      </c>
      <c r="Z199" s="3">
        <f t="shared" si="135"/>
        <v>1.4651484667132762E-3</v>
      </c>
      <c r="AA199" s="3">
        <f t="shared" si="135"/>
        <v>1.4651483742155926E-3</v>
      </c>
      <c r="AB199" s="3">
        <f t="shared" si="135"/>
        <v>1.4651474492390769E-3</v>
      </c>
      <c r="AC199" s="3">
        <f t="shared" si="135"/>
        <v>1.4651381995060371E-3</v>
      </c>
      <c r="AD199" s="3">
        <f t="shared" si="135"/>
        <v>1.4650457053873131E-3</v>
      </c>
      <c r="AE199" s="3">
        <f t="shared" si="135"/>
        <v>1.4641210852925199E-3</v>
      </c>
      <c r="AF199" s="3">
        <f t="shared" si="135"/>
        <v>1.4549069187121681E-3</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1.026110794379005E-2</v>
      </c>
      <c r="C201" s="3">
        <f t="shared" si="137"/>
        <v>1.026110794379005E-2</v>
      </c>
      <c r="D201" s="3">
        <f t="shared" si="137"/>
        <v>1.026110794379005E-2</v>
      </c>
      <c r="E201" s="3">
        <f t="shared" si="137"/>
        <v>1.026110794379005E-2</v>
      </c>
      <c r="F201" s="3">
        <f t="shared" si="137"/>
        <v>1.026110794379005E-2</v>
      </c>
      <c r="G201" s="3">
        <f t="shared" si="137"/>
        <v>1.026110794379005E-2</v>
      </c>
      <c r="H201" s="3">
        <f t="shared" si="137"/>
        <v>1.026110794379005E-2</v>
      </c>
      <c r="I201" s="3">
        <f t="shared" si="137"/>
        <v>1.026110794379005E-2</v>
      </c>
      <c r="J201" s="3">
        <f t="shared" si="137"/>
        <v>1.026110794379005E-2</v>
      </c>
      <c r="K201" s="3">
        <f t="shared" si="137"/>
        <v>1.026110794379005E-2</v>
      </c>
      <c r="L201" s="3">
        <f t="shared" si="137"/>
        <v>1.026110794379005E-2</v>
      </c>
      <c r="M201" s="3">
        <f t="shared" si="137"/>
        <v>1.026110794379005E-2</v>
      </c>
      <c r="N201" s="3">
        <f t="shared" si="137"/>
        <v>1.026110794379005E-2</v>
      </c>
      <c r="O201" s="3">
        <f t="shared" si="137"/>
        <v>1.026110794379005E-2</v>
      </c>
      <c r="P201" s="3">
        <f t="shared" si="137"/>
        <v>1.026110794379005E-2</v>
      </c>
      <c r="Q201" s="3">
        <f t="shared" si="137"/>
        <v>1.026110794379005E-2</v>
      </c>
      <c r="R201" s="3">
        <f t="shared" si="137"/>
        <v>1.026110794379005E-2</v>
      </c>
      <c r="S201" s="3">
        <f t="shared" si="137"/>
        <v>1.026110794379005E-2</v>
      </c>
      <c r="T201" s="3">
        <f t="shared" si="137"/>
        <v>1.0261107943790048E-2</v>
      </c>
      <c r="U201" s="3">
        <f t="shared" si="137"/>
        <v>1.0261107943790043E-2</v>
      </c>
      <c r="V201" s="3">
        <f t="shared" si="137"/>
        <v>1.0261107943789979E-2</v>
      </c>
      <c r="W201" s="3">
        <f t="shared" si="137"/>
        <v>1.026110794378933E-2</v>
      </c>
      <c r="X201" s="3">
        <f t="shared" si="137"/>
        <v>1.0261107943782852E-2</v>
      </c>
      <c r="Y201" s="3">
        <f t="shared" si="137"/>
        <v>1.0261107943718073E-2</v>
      </c>
      <c r="Z201" s="3">
        <f t="shared" si="137"/>
        <v>1.0261107943070268E-2</v>
      </c>
      <c r="AA201" s="3">
        <f t="shared" si="137"/>
        <v>1.0261107936592229E-2</v>
      </c>
      <c r="AB201" s="3">
        <f t="shared" si="137"/>
        <v>1.026110787181185E-2</v>
      </c>
      <c r="AC201" s="3">
        <f t="shared" si="137"/>
        <v>1.0261107224008073E-2</v>
      </c>
      <c r="AD201" s="3">
        <f t="shared" si="137"/>
        <v>1.0261100745972555E-2</v>
      </c>
      <c r="AE201" s="3">
        <f t="shared" si="137"/>
        <v>1.0261035965842307E-2</v>
      </c>
      <c r="AF201" s="3">
        <f t="shared" si="137"/>
        <v>1.0260388187032652E-2</v>
      </c>
      <c r="AG201" s="3"/>
      <c r="AH201" s="3"/>
    </row>
    <row r="202" spans="1:34" x14ac:dyDescent="0.25">
      <c r="A202" s="79">
        <f>AVERAGE(B202:AF202)</f>
        <v>3.1283502628515272E-2</v>
      </c>
      <c r="B202" s="80">
        <f>IF($A$64&lt;=B168,IF($B$64&gt;=B168,ABS((B170-B169)/B169),0),0)</f>
        <v>8.5024012326194484E-2</v>
      </c>
      <c r="C202" s="80">
        <f t="shared" ref="C202:AF202" si="138">IF($A$64&lt;=C168,IF($B$64&gt;=C168,ABS((C170-C169)/C169),0),0)</f>
        <v>6.036436763123925E-2</v>
      </c>
      <c r="D202" s="80">
        <f t="shared" si="138"/>
        <v>4.461371043958174E-2</v>
      </c>
      <c r="E202" s="80">
        <f t="shared" si="138"/>
        <v>2.8830277028621544E-2</v>
      </c>
      <c r="F202" s="80">
        <f t="shared" si="138"/>
        <v>1.6769443778478936E-2</v>
      </c>
      <c r="G202" s="80">
        <f t="shared" si="138"/>
        <v>2.6090385569648926E-2</v>
      </c>
      <c r="H202" s="80">
        <f t="shared" si="138"/>
        <v>2.6745279941950889E-2</v>
      </c>
      <c r="I202" s="80">
        <f t="shared" si="138"/>
        <v>2.4800224649535327E-2</v>
      </c>
      <c r="J202" s="80">
        <f t="shared" si="138"/>
        <v>2.6185817339319278E-2</v>
      </c>
      <c r="K202" s="80">
        <f t="shared" si="138"/>
        <v>2.4694260319567608E-2</v>
      </c>
      <c r="L202" s="80">
        <f t="shared" si="138"/>
        <v>2.6071902057930064E-2</v>
      </c>
      <c r="M202" s="80">
        <f t="shared" si="138"/>
        <v>2.7252307274196617E-2</v>
      </c>
      <c r="N202" s="80">
        <f t="shared" si="138"/>
        <v>2.6616531234100571E-2</v>
      </c>
      <c r="O202" s="80">
        <f t="shared" si="138"/>
        <v>2.6384245809806719E-2</v>
      </c>
      <c r="P202" s="80">
        <f t="shared" si="138"/>
        <v>2.5707195808384209E-2</v>
      </c>
      <c r="Q202" s="80">
        <f t="shared" si="138"/>
        <v>2.6624691855998184E-2</v>
      </c>
      <c r="R202" s="80">
        <f t="shared" si="138"/>
        <v>2.6448691492168087E-2</v>
      </c>
      <c r="S202" s="80">
        <f t="shared" si="138"/>
        <v>2.4454732594589891E-2</v>
      </c>
      <c r="T202" s="80">
        <f t="shared" si="138"/>
        <v>1.3279966181413531E-2</v>
      </c>
      <c r="U202" s="80">
        <f t="shared" si="138"/>
        <v>4.8026981285546846E-2</v>
      </c>
      <c r="V202" s="80">
        <f t="shared" si="138"/>
        <v>9.7261840011940368E-2</v>
      </c>
      <c r="W202" s="80">
        <f t="shared" si="138"/>
        <v>8.7443711439629507E-2</v>
      </c>
      <c r="X202" s="80">
        <f t="shared" si="138"/>
        <v>5.4452694947301886E-2</v>
      </c>
      <c r="Y202" s="80">
        <f t="shared" si="138"/>
        <v>2.72871018286019E-2</v>
      </c>
      <c r="Z202" s="80">
        <f t="shared" si="138"/>
        <v>8.2685330791924631E-3</v>
      </c>
      <c r="AA202" s="80">
        <f t="shared" si="138"/>
        <v>8.8656189654095097E-3</v>
      </c>
      <c r="AB202" s="80">
        <f t="shared" si="138"/>
        <v>2.4353334708749588E-2</v>
      </c>
      <c r="AC202" s="80">
        <f t="shared" si="138"/>
        <v>3.8105839067451427E-3</v>
      </c>
      <c r="AD202" s="80">
        <f t="shared" si="138"/>
        <v>1.5218721678337111E-2</v>
      </c>
      <c r="AE202" s="80">
        <f t="shared" si="138"/>
        <v>2.3237735838399459E-3</v>
      </c>
      <c r="AF202" s="80">
        <f t="shared" si="138"/>
        <v>5.5176427159531957E-3</v>
      </c>
    </row>
    <row r="203" spans="1:34" x14ac:dyDescent="0.25">
      <c r="B203" s="21">
        <f>(B170-B169)^2</f>
        <v>934098.90088600828</v>
      </c>
      <c r="C203" s="21">
        <f t="shared" ref="C203:AF203" si="139">(C170-C169)^2</f>
        <v>446442.48344076885</v>
      </c>
      <c r="D203" s="21">
        <f t="shared" si="139"/>
        <v>235853.78546324783</v>
      </c>
      <c r="E203" s="21">
        <f t="shared" si="139"/>
        <v>95188.926518954017</v>
      </c>
      <c r="F203" s="21">
        <f t="shared" si="139"/>
        <v>31031.780382793451</v>
      </c>
      <c r="G203" s="21">
        <f t="shared" si="139"/>
        <v>72035.440387275143</v>
      </c>
      <c r="H203" s="21">
        <f t="shared" si="139"/>
        <v>72237.241401327585</v>
      </c>
      <c r="I203" s="21">
        <f t="shared" si="139"/>
        <v>58740.766991274722</v>
      </c>
      <c r="J203" s="21">
        <f t="shared" si="139"/>
        <v>62112.133564153264</v>
      </c>
      <c r="K203" s="21">
        <f t="shared" si="139"/>
        <v>52232.0556094602</v>
      </c>
      <c r="L203" s="21">
        <f t="shared" si="139"/>
        <v>54614.748691970613</v>
      </c>
      <c r="M203" s="21">
        <f t="shared" si="139"/>
        <v>55115.966989165136</v>
      </c>
      <c r="N203" s="21">
        <f t="shared" si="139"/>
        <v>48199.553325010565</v>
      </c>
      <c r="O203" s="21">
        <f t="shared" si="139"/>
        <v>43801.818279088802</v>
      </c>
      <c r="P203" s="21">
        <f t="shared" si="139"/>
        <v>38688.511081890974</v>
      </c>
      <c r="Q203" s="21">
        <f t="shared" si="139"/>
        <v>38483.112704020663</v>
      </c>
      <c r="R203" s="21">
        <f t="shared" si="139"/>
        <v>35047.934219128452</v>
      </c>
      <c r="S203" s="21">
        <f t="shared" si="139"/>
        <v>27496.75096884395</v>
      </c>
      <c r="T203" s="21">
        <f t="shared" si="139"/>
        <v>7133.2497915567437</v>
      </c>
      <c r="U203" s="21">
        <f t="shared" si="139"/>
        <v>70627.184404367974</v>
      </c>
      <c r="V203" s="21">
        <f t="shared" si="139"/>
        <v>189207.46044411793</v>
      </c>
      <c r="W203" s="21">
        <f t="shared" si="139"/>
        <v>96902.994403608187</v>
      </c>
      <c r="X203" s="21">
        <f t="shared" si="139"/>
        <v>23987.155317145593</v>
      </c>
      <c r="Y203" s="21">
        <f t="shared" si="139"/>
        <v>3727.0050684716407</v>
      </c>
      <c r="Z203" s="21">
        <f t="shared" si="139"/>
        <v>194.02972382093145</v>
      </c>
      <c r="AA203" s="21">
        <f t="shared" si="139"/>
        <v>112.63653767798576</v>
      </c>
      <c r="AB203" s="21">
        <f t="shared" si="139"/>
        <v>418.60359846900803</v>
      </c>
      <c r="AC203" s="21">
        <f t="shared" si="139"/>
        <v>5.3957592025233625</v>
      </c>
      <c r="AD203" s="21">
        <f t="shared" si="139"/>
        <v>56.636638010529467</v>
      </c>
      <c r="AE203" s="21">
        <f t="shared" si="139"/>
        <v>1.0156810570137844</v>
      </c>
      <c r="AF203" s="21">
        <f t="shared" si="139"/>
        <v>4.9733911223028731</v>
      </c>
      <c r="AG203" s="3"/>
      <c r="AH203" s="3"/>
    </row>
    <row r="204" spans="1:34" x14ac:dyDescent="0.25">
      <c r="A204" s="71">
        <f>SUM(B204:AF204)</f>
        <v>2793800.251663011</v>
      </c>
      <c r="B204" s="60">
        <f>IF($A$64&lt;=B168,IF($B$64&gt;=B168,ABS(B203),0),0)</f>
        <v>934098.90088600828</v>
      </c>
      <c r="C204" s="60">
        <f t="shared" ref="C204" si="140">IF($A$64&lt;=C168,IF($B$64&gt;=C168,ABS(C203),0),0)</f>
        <v>446442.48344076885</v>
      </c>
      <c r="D204" s="60">
        <f t="shared" ref="D204" si="141">IF($A$64&lt;=D168,IF($B$64&gt;=D168,ABS(D203),0),0)</f>
        <v>235853.78546324783</v>
      </c>
      <c r="E204" s="60">
        <f t="shared" ref="E204" si="142">IF($A$64&lt;=E168,IF($B$64&gt;=E168,ABS(E203),0),0)</f>
        <v>95188.926518954017</v>
      </c>
      <c r="F204" s="60">
        <f t="shared" ref="F204" si="143">IF($A$64&lt;=F168,IF($B$64&gt;=F168,ABS(F203),0),0)</f>
        <v>31031.780382793451</v>
      </c>
      <c r="G204" s="60">
        <f t="shared" ref="G204" si="144">IF($A$64&lt;=G168,IF($B$64&gt;=G168,ABS(G203),0),0)</f>
        <v>72035.440387275143</v>
      </c>
      <c r="H204" s="60">
        <f t="shared" ref="H204" si="145">IF($A$64&lt;=H168,IF($B$64&gt;=H168,ABS(H203),0),0)</f>
        <v>72237.241401327585</v>
      </c>
      <c r="I204" s="60">
        <f t="shared" ref="I204" si="146">IF($A$64&lt;=I168,IF($B$64&gt;=I168,ABS(I203),0),0)</f>
        <v>58740.766991274722</v>
      </c>
      <c r="J204" s="60">
        <f t="shared" ref="J204" si="147">IF($A$64&lt;=J168,IF($B$64&gt;=J168,ABS(J203),0),0)</f>
        <v>62112.133564153264</v>
      </c>
      <c r="K204" s="60">
        <f t="shared" ref="K204" si="148">IF($A$64&lt;=K168,IF($B$64&gt;=K168,ABS(K203),0),0)</f>
        <v>52232.0556094602</v>
      </c>
      <c r="L204" s="60">
        <f t="shared" ref="L204" si="149">IF($A$64&lt;=L168,IF($B$64&gt;=L168,ABS(L203),0),0)</f>
        <v>54614.748691970613</v>
      </c>
      <c r="M204" s="60">
        <f t="shared" ref="M204" si="150">IF($A$64&lt;=M168,IF($B$64&gt;=M168,ABS(M203),0),0)</f>
        <v>55115.966989165136</v>
      </c>
      <c r="N204" s="60">
        <f t="shared" ref="N204" si="151">IF($A$64&lt;=N168,IF($B$64&gt;=N168,ABS(N203),0),0)</f>
        <v>48199.553325010565</v>
      </c>
      <c r="O204" s="60">
        <f t="shared" ref="O204" si="152">IF($A$64&lt;=O168,IF($B$64&gt;=O168,ABS(O203),0),0)</f>
        <v>43801.818279088802</v>
      </c>
      <c r="P204" s="60">
        <f t="shared" ref="P204" si="153">IF($A$64&lt;=P168,IF($B$64&gt;=P168,ABS(P203),0),0)</f>
        <v>38688.511081890974</v>
      </c>
      <c r="Q204" s="60">
        <f t="shared" ref="Q204" si="154">IF($A$64&lt;=Q168,IF($B$64&gt;=Q168,ABS(Q203),0),0)</f>
        <v>38483.112704020663</v>
      </c>
      <c r="R204" s="60">
        <f t="shared" ref="R204" si="155">IF($A$64&lt;=R168,IF($B$64&gt;=R168,ABS(R203),0),0)</f>
        <v>35047.934219128452</v>
      </c>
      <c r="S204" s="60">
        <f t="shared" ref="S204" si="156">IF($A$64&lt;=S168,IF($B$64&gt;=S168,ABS(S203),0),0)</f>
        <v>27496.75096884395</v>
      </c>
      <c r="T204" s="60">
        <f t="shared" ref="T204" si="157">IF($A$64&lt;=T168,IF($B$64&gt;=T168,ABS(T203),0),0)</f>
        <v>7133.2497915567437</v>
      </c>
      <c r="U204" s="60">
        <f t="shared" ref="U204" si="158">IF($A$64&lt;=U168,IF($B$64&gt;=U168,ABS(U203),0),0)</f>
        <v>70627.184404367974</v>
      </c>
      <c r="V204" s="60">
        <f t="shared" ref="V204" si="159">IF($A$64&lt;=V168,IF($B$64&gt;=V168,ABS(V203),0),0)</f>
        <v>189207.46044411793</v>
      </c>
      <c r="W204" s="60">
        <f t="shared" ref="W204" si="160">IF($A$64&lt;=W168,IF($B$64&gt;=W168,ABS(W203),0),0)</f>
        <v>96902.994403608187</v>
      </c>
      <c r="X204" s="60">
        <f t="shared" ref="X204" si="161">IF($A$64&lt;=X168,IF($B$64&gt;=X168,ABS(X203),0),0)</f>
        <v>23987.155317145593</v>
      </c>
      <c r="Y204" s="60">
        <f t="shared" ref="Y204" si="162">IF($A$64&lt;=Y168,IF($B$64&gt;=Y168,ABS(Y203),0),0)</f>
        <v>3727.0050684716407</v>
      </c>
      <c r="Z204" s="60">
        <f t="shared" ref="Z204" si="163">IF($A$64&lt;=Z168,IF($B$64&gt;=Z168,ABS(Z203),0),0)</f>
        <v>194.02972382093145</v>
      </c>
      <c r="AA204" s="60">
        <f t="shared" ref="AA204" si="164">IF($A$64&lt;=AA168,IF($B$64&gt;=AA168,ABS(AA203),0),0)</f>
        <v>112.63653767798576</v>
      </c>
      <c r="AB204" s="60">
        <f t="shared" ref="AB204" si="165">IF($A$64&lt;=AB168,IF($B$64&gt;=AB168,ABS(AB203),0),0)</f>
        <v>418.60359846900803</v>
      </c>
      <c r="AC204" s="60">
        <f t="shared" ref="AC204" si="166">IF($A$64&lt;=AC168,IF($B$64&gt;=AC168,ABS(AC203),0),0)</f>
        <v>5.3957592025233625</v>
      </c>
      <c r="AD204" s="60">
        <f t="shared" ref="AD204" si="167">IF($A$64&lt;=AD168,IF($B$64&gt;=AD168,ABS(AD203),0),0)</f>
        <v>56.636638010529467</v>
      </c>
      <c r="AE204" s="60">
        <f t="shared" ref="AE204" si="168">IF($A$64&lt;=AE168,IF($B$64&gt;=AE168,ABS(AE203),0),0)</f>
        <v>1.0156810570137844</v>
      </c>
      <c r="AF204" s="60">
        <f t="shared" ref="AF204" si="169">IF($A$64&lt;=AF168,IF($B$64&gt;=AF168,ABS(AF203),0),0)</f>
        <v>4.9733911223028731</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11009.313892134818</v>
      </c>
      <c r="C208" s="26">
        <f>INDEX(Comparison!$AM$3:$AS$33,G$14,$D$122)</f>
        <v>10796.668525667899</v>
      </c>
      <c r="D208" s="26">
        <f>INDEX(Comparison!$AM$3:$AS$33,H$14,$D$122)</f>
        <v>10610.07082701246</v>
      </c>
      <c r="E208" s="26">
        <f>INDEX(Comparison!$AM$3:$AS$33,I$14,$D$122)</f>
        <v>10413.892727978708</v>
      </c>
      <c r="F208" s="26">
        <f>INDEX(Comparison!$AM$3:$AS$33,J$14,$D$122)</f>
        <v>10194.452600653791</v>
      </c>
      <c r="G208" s="26">
        <f>INDEX(Comparison!$AM$3:$AS$33,K$14,$D$122)</f>
        <v>9957.7302884452874</v>
      </c>
      <c r="H208" s="26">
        <f>INDEX(Comparison!$AM$3:$AS$33,L$14,$D$122)</f>
        <v>9678.9506451169946</v>
      </c>
      <c r="I208" s="26">
        <f>INDEX(Comparison!$AM$3:$AS$33,M$14,$D$122)</f>
        <v>9429.10680786792</v>
      </c>
      <c r="J208" s="26">
        <f>INDEX(Comparison!$AM$3:$AS$33,N$14,$D$122)</f>
        <v>9166.8729911518094</v>
      </c>
      <c r="K208" s="26">
        <f>INDEX(Comparison!$AM$3:$AS$33,O$14,$D$122)</f>
        <v>8871.4120157080979</v>
      </c>
      <c r="L208" s="26">
        <f>INDEX(Comparison!$AM$3:$AS$33,P$14,$D$122)</f>
        <v>8521.038668453999</v>
      </c>
      <c r="M208" s="26">
        <f>INDEX(Comparison!$AM$3:$AS$33,Q$14,$D$122)</f>
        <v>8159.6492921187164</v>
      </c>
      <c r="N208" s="26">
        <f>INDEX(Comparison!$AM$3:$AS$33,R$14,$D$122)</f>
        <v>7853.7898979258625</v>
      </c>
      <c r="O208" s="26">
        <f>INDEX(Comparison!$AM$3:$AS$33,S$14,$D$122)</f>
        <v>7573.2536155058961</v>
      </c>
      <c r="P208" s="26">
        <f>INDEX(Comparison!$AM$3:$AS$33,T$14,$D$122)</f>
        <v>7293.8613287583112</v>
      </c>
      <c r="Q208" s="26">
        <f>INDEX(Comparison!$AM$3:$AS$33,U$14,$D$122)</f>
        <v>7004.3784649959834</v>
      </c>
      <c r="R208" s="26">
        <f>INDEX(Comparison!$AM$3:$AS$33,V$14,$D$122)</f>
        <v>6716.1281746734903</v>
      </c>
      <c r="S208" s="26">
        <f>INDEX(Comparison!$AM$3:$AS$33,W$14,$D$122)</f>
        <v>6317.4824905918776</v>
      </c>
      <c r="T208" s="26">
        <f>INDEX(Comparison!$AM$3:$AS$33,X$14,$D$122)</f>
        <v>5575.0877249610812</v>
      </c>
      <c r="U208" s="26">
        <f>INDEX(Comparison!$AM$3:$AS$33,Y$14,$D$122)</f>
        <v>4517.4360226770941</v>
      </c>
      <c r="V208" s="26">
        <f>INDEX(Comparison!$AM$3:$AS$33,Z$14,$D$122)</f>
        <v>3579.1976948167016</v>
      </c>
      <c r="W208" s="26">
        <f>INDEX(Comparison!$AM$3:$AS$33,AA$14,$D$122)</f>
        <v>2836.8024969308635</v>
      </c>
      <c r="X208" s="26">
        <f>INDEX(Comparison!$AM$3:$AS$33,AB$14,$D$122)</f>
        <v>2213.6861360404496</v>
      </c>
      <c r="Y208" s="26">
        <f>INDEX(Comparison!$AM$3:$AS$33,AC$14,$D$122)</f>
        <v>1650.6334197278006</v>
      </c>
      <c r="Z208" s="26">
        <f>INDEX(Comparison!$AM$3:$AS$33,AD$14,$D$122)</f>
        <v>1168.6567020451771</v>
      </c>
      <c r="AA208" s="26">
        <f>INDEX(Comparison!$AM$3:$AS$33,AE$14,$D$122)</f>
        <v>818.07631905971209</v>
      </c>
      <c r="AB208" s="26">
        <f>INDEX(Comparison!$AM$3:$AS$33,AF$14,$D$122)</f>
        <v>599.03104161742488</v>
      </c>
      <c r="AC208" s="26">
        <f>INDEX(Comparison!$AM$3:$AS$33,AG$14,$D$122)</f>
        <v>488.03069035934635</v>
      </c>
      <c r="AD208" s="26">
        <f>INDEX(Comparison!$AM$3:$AS$33,AH$14,$D$122)</f>
        <v>431.51308603872349</v>
      </c>
      <c r="AE208" s="26">
        <f>INDEX(Comparison!$AM$3:$AS$33,AI$14,$D$122)</f>
        <v>402.06033913876905</v>
      </c>
      <c r="AF208" s="26">
        <f>INDEX(Comparison!$AM$3:$AS$33,AJ$14,$D$122)</f>
        <v>386.49357349528668</v>
      </c>
      <c r="AG208" s="26"/>
      <c r="AH208" s="26"/>
    </row>
    <row r="209" spans="1:34" x14ac:dyDescent="0.25">
      <c r="A209" s="70" t="s">
        <v>22</v>
      </c>
      <c r="B209" s="27">
        <f>($C$17+SUM(B210:B240))*$B$51</f>
        <v>10400.662049377861</v>
      </c>
      <c r="C209" s="27">
        <f t="shared" ref="C209:AF209" si="170">($C$17+SUM(C210:C240))*$B$51</f>
        <v>10399.827781502318</v>
      </c>
      <c r="D209" s="27">
        <f t="shared" si="170"/>
        <v>10391.568387494646</v>
      </c>
      <c r="E209" s="27">
        <f t="shared" si="170"/>
        <v>10316.745137430709</v>
      </c>
      <c r="F209" s="27">
        <f t="shared" si="170"/>
        <v>9993.7195432468397</v>
      </c>
      <c r="G209" s="27">
        <f t="shared" si="170"/>
        <v>9763.2864526202302</v>
      </c>
      <c r="H209" s="27">
        <f t="shared" si="170"/>
        <v>9508.8858820000096</v>
      </c>
      <c r="I209" s="27">
        <f t="shared" si="170"/>
        <v>9247.2651442202114</v>
      </c>
      <c r="J209" s="27">
        <f t="shared" si="170"/>
        <v>9006.322534851819</v>
      </c>
      <c r="K209" s="27">
        <f t="shared" si="170"/>
        <v>8702.2371287517599</v>
      </c>
      <c r="L209" s="27">
        <f t="shared" si="170"/>
        <v>8350.7287220554081</v>
      </c>
      <c r="M209" s="27">
        <f t="shared" si="170"/>
        <v>8002.061625813034</v>
      </c>
      <c r="N209" s="27">
        <f t="shared" si="170"/>
        <v>7702.2967898199586</v>
      </c>
      <c r="O209" s="27">
        <f t="shared" si="170"/>
        <v>7434.380630253705</v>
      </c>
      <c r="P209" s="27">
        <f t="shared" si="170"/>
        <v>7150.1366989904182</v>
      </c>
      <c r="Q209" s="27">
        <f t="shared" si="170"/>
        <v>6873.7926317414194</v>
      </c>
      <c r="R209" s="27">
        <f t="shared" si="170"/>
        <v>6592.3769019751626</v>
      </c>
      <c r="S209" s="27">
        <f t="shared" si="170"/>
        <v>6252.5213640759794</v>
      </c>
      <c r="T209" s="27">
        <f t="shared" si="170"/>
        <v>5748.7707539761395</v>
      </c>
      <c r="U209" s="27">
        <f t="shared" si="170"/>
        <v>4842.3609373582603</v>
      </c>
      <c r="V209" s="27">
        <f t="shared" si="170"/>
        <v>3812.7921845009328</v>
      </c>
      <c r="W209" s="27">
        <f t="shared" si="170"/>
        <v>2951.7458120999031</v>
      </c>
      <c r="X209" s="27">
        <f t="shared" si="170"/>
        <v>2254.9878946180511</v>
      </c>
      <c r="Y209" s="27">
        <f t="shared" si="170"/>
        <v>1637.5183893790481</v>
      </c>
      <c r="Z209" s="27">
        <f t="shared" si="170"/>
        <v>1167.5839251237742</v>
      </c>
      <c r="AA209" s="27">
        <f t="shared" si="170"/>
        <v>801.71169724869401</v>
      </c>
      <c r="AB209" s="27">
        <f t="shared" si="170"/>
        <v>595.56505853325871</v>
      </c>
      <c r="AC209" s="27">
        <f t="shared" si="170"/>
        <v>482.56413874986129</v>
      </c>
      <c r="AD209" s="27">
        <f t="shared" si="170"/>
        <v>431.74920494752962</v>
      </c>
      <c r="AE209" s="27">
        <f t="shared" si="170"/>
        <v>400.42986661606028</v>
      </c>
      <c r="AF209" s="27">
        <f t="shared" si="170"/>
        <v>385.91295176582702</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3.6506841590715863E-2</v>
      </c>
      <c r="C211" s="3">
        <f t="shared" si="172"/>
        <v>3.6437163528043826E-2</v>
      </c>
      <c r="D211" s="3">
        <f t="shared" si="172"/>
        <v>3.5747655610385835E-2</v>
      </c>
      <c r="E211" s="3">
        <f t="shared" si="172"/>
        <v>2.9530962457968098E-2</v>
      </c>
      <c r="F211" s="3">
        <f t="shared" si="172"/>
        <v>4.370971383373023E-3</v>
      </c>
      <c r="G211" s="3">
        <f t="shared" si="172"/>
        <v>2.2058784607399294E-11</v>
      </c>
      <c r="H211" s="3">
        <f t="shared" si="172"/>
        <v>2.3638382113099984E-94</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1.7685861699705565E-2</v>
      </c>
      <c r="C212" s="3">
        <f t="shared" si="173"/>
        <v>1.768281400133663E-2</v>
      </c>
      <c r="D212" s="3">
        <f t="shared" si="173"/>
        <v>1.7652365888255368E-2</v>
      </c>
      <c r="E212" s="3">
        <f t="shared" si="173"/>
        <v>1.7350753493358611E-2</v>
      </c>
      <c r="F212" s="3">
        <f t="shared" si="173"/>
        <v>1.4604023727465897E-2</v>
      </c>
      <c r="G212" s="3">
        <f t="shared" si="173"/>
        <v>2.606240154884316E-3</v>
      </c>
      <c r="H212" s="3">
        <f t="shared" si="173"/>
        <v>8.5395198144510137E-11</v>
      </c>
      <c r="I212" s="3">
        <f t="shared" si="173"/>
        <v>1.2179336751693935E-85</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2.4470446851620316E-2</v>
      </c>
      <c r="C213" s="3">
        <f t="shared" si="174"/>
        <v>2.4470066427280609E-2</v>
      </c>
      <c r="D213" s="3">
        <f t="shared" si="174"/>
        <v>2.44662625091484E-2</v>
      </c>
      <c r="E213" s="3">
        <f t="shared" si="174"/>
        <v>2.4428255835608727E-2</v>
      </c>
      <c r="F213" s="3">
        <f t="shared" si="174"/>
        <v>2.4051421256939282E-2</v>
      </c>
      <c r="G213" s="3">
        <f t="shared" si="174"/>
        <v>2.0588447437351869E-2</v>
      </c>
      <c r="H213" s="3">
        <f t="shared" si="174"/>
        <v>4.3496281206137962E-3</v>
      </c>
      <c r="I213" s="3">
        <f t="shared" si="174"/>
        <v>7.7043752168517752E-10</v>
      </c>
      <c r="J213" s="3">
        <f t="shared" si="174"/>
        <v>2.3420189437978973E-77</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2.4627508192831393E-2</v>
      </c>
      <c r="C214" s="3">
        <f t="shared" si="175"/>
        <v>2.4627473654883499E-2</v>
      </c>
      <c r="D214" s="3">
        <f t="shared" si="175"/>
        <v>2.4627128278068573E-2</v>
      </c>
      <c r="E214" s="3">
        <f t="shared" si="175"/>
        <v>2.4623674776305001E-2</v>
      </c>
      <c r="F214" s="3">
        <f t="shared" si="175"/>
        <v>2.4589166383422369E-2</v>
      </c>
      <c r="G214" s="3">
        <f t="shared" si="175"/>
        <v>2.4246731166169037E-2</v>
      </c>
      <c r="H214" s="3">
        <f t="shared" si="175"/>
        <v>2.1074006699648429E-2</v>
      </c>
      <c r="I214" s="3">
        <f t="shared" si="175"/>
        <v>5.1842540878331428E-3</v>
      </c>
      <c r="J214" s="3">
        <f t="shared" si="175"/>
        <v>4.2080212942620819E-9</v>
      </c>
      <c r="K214" s="3">
        <f t="shared" si="175"/>
        <v>5.2238948851489704E-70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1.9757999137678922E-2</v>
      </c>
      <c r="C215" s="3">
        <f t="shared" si="176"/>
        <v>1.9757996638105561E-2</v>
      </c>
      <c r="D215" s="3">
        <f t="shared" si="176"/>
        <v>1.9757971642389325E-2</v>
      </c>
      <c r="E215" s="3">
        <f t="shared" si="176"/>
        <v>1.9757721686966177E-2</v>
      </c>
      <c r="F215" s="3">
        <f t="shared" si="176"/>
        <v>1.9755222306646465E-2</v>
      </c>
      <c r="G215" s="3">
        <f t="shared" si="176"/>
        <v>1.9730245886488612E-2</v>
      </c>
      <c r="H215" s="3">
        <f t="shared" si="176"/>
        <v>1.9482211879560101E-2</v>
      </c>
      <c r="I215" s="3">
        <f t="shared" si="176"/>
        <v>1.7167059327025547E-2</v>
      </c>
      <c r="J215" s="3">
        <f t="shared" si="176"/>
        <v>4.8447610937763456E-3</v>
      </c>
      <c r="K215" s="3">
        <f t="shared" si="176"/>
        <v>1.5525190735124714E-8</v>
      </c>
      <c r="L215" s="3">
        <f t="shared" si="176"/>
        <v>1.7728938355823942E-63</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3.0456673101198838E-2</v>
      </c>
      <c r="C216" s="3">
        <f t="shared" si="177"/>
        <v>3.0456672753621059E-2</v>
      </c>
      <c r="D216" s="3">
        <f t="shared" si="177"/>
        <v>3.045666927784349E-2</v>
      </c>
      <c r="E216" s="3">
        <f t="shared" si="177"/>
        <v>3.04566345200896E-2</v>
      </c>
      <c r="F216" s="3">
        <f t="shared" si="177"/>
        <v>3.0456286944732378E-2</v>
      </c>
      <c r="G216" s="3">
        <f t="shared" si="177"/>
        <v>3.0452811409314474E-2</v>
      </c>
      <c r="H216" s="3">
        <f t="shared" si="177"/>
        <v>3.0418077861361005E-2</v>
      </c>
      <c r="I216" s="3">
        <f t="shared" si="177"/>
        <v>3.0072913824711854E-2</v>
      </c>
      <c r="J216" s="3">
        <f t="shared" si="177"/>
        <v>2.6829522016603852E-2</v>
      </c>
      <c r="K216" s="3">
        <f t="shared" si="177"/>
        <v>8.570125720080592E-3</v>
      </c>
      <c r="L216" s="3">
        <f t="shared" si="177"/>
        <v>9.4782850685298816E-8</v>
      </c>
      <c r="M216" s="3">
        <f t="shared" si="177"/>
        <v>2.5951083877147634E-57</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3.3429649521288782E-2</v>
      </c>
      <c r="C217" s="3">
        <f t="shared" si="178"/>
        <v>3.3429649486873769E-2</v>
      </c>
      <c r="D217" s="3">
        <f t="shared" si="178"/>
        <v>3.3429649142723623E-2</v>
      </c>
      <c r="E217" s="3">
        <f t="shared" si="178"/>
        <v>3.342964570122238E-2</v>
      </c>
      <c r="F217" s="3">
        <f t="shared" si="178"/>
        <v>3.3429611286229399E-2</v>
      </c>
      <c r="G217" s="3">
        <f t="shared" si="178"/>
        <v>3.3429267138248203E-2</v>
      </c>
      <c r="H217" s="3">
        <f t="shared" si="178"/>
        <v>3.3425825853289834E-2</v>
      </c>
      <c r="I217" s="3">
        <f t="shared" si="178"/>
        <v>3.3391432481644702E-2</v>
      </c>
      <c r="J217" s="3">
        <f t="shared" si="178"/>
        <v>3.304943916017021E-2</v>
      </c>
      <c r="K217" s="3">
        <f t="shared" si="178"/>
        <v>2.9816353506765102E-2</v>
      </c>
      <c r="L217" s="3">
        <f t="shared" si="178"/>
        <v>1.0650227304123912E-2</v>
      </c>
      <c r="M217" s="3">
        <f t="shared" si="178"/>
        <v>3.600827836295059E-7</v>
      </c>
      <c r="N217" s="3">
        <f t="shared" si="178"/>
        <v>7.0280875226828834E-52</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3.254093488199656E-2</v>
      </c>
      <c r="C218" s="3">
        <f t="shared" si="179"/>
        <v>3.2540934878974574E-2</v>
      </c>
      <c r="D218" s="3">
        <f t="shared" si="179"/>
        <v>3.2540934848754692E-2</v>
      </c>
      <c r="E218" s="3">
        <f t="shared" si="179"/>
        <v>3.2540934546555884E-2</v>
      </c>
      <c r="F218" s="3">
        <f t="shared" si="179"/>
        <v>3.254093152456794E-2</v>
      </c>
      <c r="G218" s="3">
        <f t="shared" si="179"/>
        <v>3.2540901304703961E-2</v>
      </c>
      <c r="H218" s="3">
        <f t="shared" si="179"/>
        <v>3.2540599107607648E-2</v>
      </c>
      <c r="I218" s="3">
        <f t="shared" si="179"/>
        <v>3.2537577290992749E-2</v>
      </c>
      <c r="J218" s="3">
        <f t="shared" si="179"/>
        <v>3.2507374554362159E-2</v>
      </c>
      <c r="K218" s="3">
        <f t="shared" si="179"/>
        <v>3.2206884851319673E-2</v>
      </c>
      <c r="L218" s="3">
        <f t="shared" si="179"/>
        <v>2.9350599292265633E-2</v>
      </c>
      <c r="M218" s="3">
        <f t="shared" si="179"/>
        <v>1.1595767538588504E-2</v>
      </c>
      <c r="N218" s="3">
        <f t="shared" si="179"/>
        <v>1.074298011825453E-6</v>
      </c>
      <c r="O218" s="3">
        <f t="shared" si="179"/>
        <v>5.0046935266328886E-47</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2.46415113008259E-2</v>
      </c>
      <c r="C219" s="3">
        <f t="shared" si="180"/>
        <v>2.4641511300619468E-2</v>
      </c>
      <c r="D219" s="3">
        <f t="shared" si="180"/>
        <v>2.4641511298555151E-2</v>
      </c>
      <c r="E219" s="3">
        <f t="shared" si="180"/>
        <v>2.4641511277911969E-2</v>
      </c>
      <c r="F219" s="3">
        <f t="shared" si="180"/>
        <v>2.4641511071480143E-2</v>
      </c>
      <c r="G219" s="3">
        <f t="shared" si="180"/>
        <v>2.4641509007161971E-2</v>
      </c>
      <c r="H219" s="3">
        <f t="shared" si="180"/>
        <v>2.46414883639898E-2</v>
      </c>
      <c r="I219" s="3">
        <f t="shared" si="180"/>
        <v>2.4641281933219208E-2</v>
      </c>
      <c r="J219" s="3">
        <f t="shared" si="180"/>
        <v>2.4639217720624943E-2</v>
      </c>
      <c r="K219" s="3">
        <f t="shared" si="180"/>
        <v>2.4618585102899639E-2</v>
      </c>
      <c r="L219" s="3">
        <f t="shared" si="180"/>
        <v>2.4413206806769127E-2</v>
      </c>
      <c r="M219" s="3">
        <f t="shared" si="180"/>
        <v>2.2451338549668701E-2</v>
      </c>
      <c r="N219" s="3">
        <f t="shared" si="180"/>
        <v>9.7144076828170611E-3</v>
      </c>
      <c r="O219" s="3">
        <f t="shared" si="180"/>
        <v>2.2343808092210539E-6</v>
      </c>
      <c r="P219" s="3">
        <f t="shared" si="180"/>
        <v>9.259037946599578E-43</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2.4122417967753804E-2</v>
      </c>
      <c r="C220" s="3">
        <f t="shared" si="181"/>
        <v>2.4122417967735576E-2</v>
      </c>
      <c r="D220" s="3">
        <f t="shared" si="181"/>
        <v>2.4122417967553277E-2</v>
      </c>
      <c r="E220" s="3">
        <f t="shared" si="181"/>
        <v>2.4122417965730322E-2</v>
      </c>
      <c r="F220" s="3">
        <f t="shared" si="181"/>
        <v>2.4122417947500738E-2</v>
      </c>
      <c r="G220" s="3">
        <f t="shared" si="181"/>
        <v>2.4122417765204903E-2</v>
      </c>
      <c r="H220" s="3">
        <f t="shared" si="181"/>
        <v>2.412241594224664E-2</v>
      </c>
      <c r="I220" s="3">
        <f t="shared" si="181"/>
        <v>2.4122397712671568E-2</v>
      </c>
      <c r="J220" s="3">
        <f t="shared" si="181"/>
        <v>2.4122215417678543E-2</v>
      </c>
      <c r="K220" s="3">
        <f t="shared" si="181"/>
        <v>2.4120392543515612E-2</v>
      </c>
      <c r="L220" s="3">
        <f t="shared" si="181"/>
        <v>2.4102171376498852E-2</v>
      </c>
      <c r="M220" s="3">
        <f t="shared" si="181"/>
        <v>2.3920715053900646E-2</v>
      </c>
      <c r="N220" s="3">
        <f t="shared" si="181"/>
        <v>2.2179616549391788E-2</v>
      </c>
      <c r="O220" s="3">
        <f t="shared" si="181"/>
        <v>1.0417242939689075E-2</v>
      </c>
      <c r="P220" s="3">
        <f t="shared" si="181"/>
        <v>5.4417724871324624E-6</v>
      </c>
      <c r="Q220" s="3">
        <f t="shared" si="181"/>
        <v>8.2341023716609828E-39</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2.8528246553066874E-2</v>
      </c>
      <c r="C221" s="3">
        <f t="shared" si="182"/>
        <v>2.8528246553064927E-2</v>
      </c>
      <c r="D221" s="3">
        <f t="shared" si="182"/>
        <v>2.8528246553045478E-2</v>
      </c>
      <c r="E221" s="3">
        <f t="shared" si="182"/>
        <v>2.8528246552850998E-2</v>
      </c>
      <c r="F221" s="3">
        <f t="shared" si="182"/>
        <v>2.8528246550906185E-2</v>
      </c>
      <c r="G221" s="3">
        <f t="shared" si="182"/>
        <v>2.8528246531458069E-2</v>
      </c>
      <c r="H221" s="3">
        <f t="shared" si="182"/>
        <v>2.8528246336976891E-2</v>
      </c>
      <c r="I221" s="3">
        <f t="shared" si="182"/>
        <v>2.8528244392165183E-2</v>
      </c>
      <c r="J221" s="3">
        <f t="shared" si="182"/>
        <v>2.8528224944055419E-2</v>
      </c>
      <c r="K221" s="3">
        <f t="shared" si="182"/>
        <v>2.8528030463686949E-2</v>
      </c>
      <c r="L221" s="3">
        <f t="shared" si="182"/>
        <v>2.8526085732919527E-2</v>
      </c>
      <c r="M221" s="3">
        <f t="shared" si="182"/>
        <v>2.8506645715136707E-2</v>
      </c>
      <c r="N221" s="3">
        <f t="shared" si="182"/>
        <v>2.8312972691033046E-2</v>
      </c>
      <c r="O221" s="3">
        <f t="shared" si="182"/>
        <v>2.6447156656920136E-2</v>
      </c>
      <c r="P221" s="3">
        <f t="shared" si="182"/>
        <v>1.3375627467380771E-2</v>
      </c>
      <c r="Q221" s="3">
        <f t="shared" si="182"/>
        <v>1.4644209452209719E-5</v>
      </c>
      <c r="R221" s="3">
        <f t="shared" si="182"/>
        <v>3.6239617544562417E-35</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2.1048719571397954E-2</v>
      </c>
      <c r="C222" s="3">
        <f t="shared" si="183"/>
        <v>2.1048719571397822E-2</v>
      </c>
      <c r="D222" s="3">
        <f t="shared" si="183"/>
        <v>2.1048719571396531E-2</v>
      </c>
      <c r="E222" s="3">
        <f t="shared" si="183"/>
        <v>2.1048719571383583E-2</v>
      </c>
      <c r="F222" s="3">
        <f t="shared" si="183"/>
        <v>2.1048719571254142E-2</v>
      </c>
      <c r="G222" s="3">
        <f t="shared" si="183"/>
        <v>2.1048719569959726E-2</v>
      </c>
      <c r="H222" s="3">
        <f t="shared" si="183"/>
        <v>2.1048719557015538E-2</v>
      </c>
      <c r="I222" s="3">
        <f t="shared" si="183"/>
        <v>2.1048719427573671E-2</v>
      </c>
      <c r="J222" s="3">
        <f t="shared" si="183"/>
        <v>2.104871813315504E-2</v>
      </c>
      <c r="K222" s="3">
        <f t="shared" si="183"/>
        <v>2.1048705188973102E-2</v>
      </c>
      <c r="L222" s="3">
        <f t="shared" si="183"/>
        <v>2.1048575747591523E-2</v>
      </c>
      <c r="M222" s="3">
        <f t="shared" si="183"/>
        <v>2.1047281377555752E-2</v>
      </c>
      <c r="N222" s="3">
        <f t="shared" si="183"/>
        <v>2.1034342054200177E-2</v>
      </c>
      <c r="O222" s="3">
        <f t="shared" si="183"/>
        <v>2.0905385526566986E-2</v>
      </c>
      <c r="P222" s="3">
        <f t="shared" si="183"/>
        <v>1.9658513311435064E-2</v>
      </c>
      <c r="Q222" s="3">
        <f t="shared" si="183"/>
        <v>1.0628587937841456E-2</v>
      </c>
      <c r="R222" s="3">
        <f t="shared" si="183"/>
        <v>2.2684257163730782E-5</v>
      </c>
      <c r="S222" s="3">
        <f t="shared" si="183"/>
        <v>4.4485090848545775E-32</v>
      </c>
      <c r="T222" s="3">
        <f t="shared" si="183"/>
        <v>3.7420852682791308E-299</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3.1114198963852643E-2</v>
      </c>
      <c r="C223" s="3">
        <f t="shared" si="184"/>
        <v>3.1114198963852625E-2</v>
      </c>
      <c r="D223" s="3">
        <f t="shared" si="184"/>
        <v>3.1114198963852452E-2</v>
      </c>
      <c r="E223" s="3">
        <f t="shared" si="184"/>
        <v>3.1114198963850728E-2</v>
      </c>
      <c r="F223" s="3">
        <f t="shared" si="184"/>
        <v>3.1114198963833467E-2</v>
      </c>
      <c r="G223" s="3">
        <f t="shared" si="184"/>
        <v>3.1114198963660862E-2</v>
      </c>
      <c r="H223" s="3">
        <f t="shared" si="184"/>
        <v>3.1114198961934809E-2</v>
      </c>
      <c r="I223" s="3">
        <f t="shared" si="184"/>
        <v>3.1114198944674272E-2</v>
      </c>
      <c r="J223" s="3">
        <f t="shared" si="184"/>
        <v>3.1114198772068901E-2</v>
      </c>
      <c r="K223" s="3">
        <f t="shared" si="184"/>
        <v>3.111419704601525E-2</v>
      </c>
      <c r="L223" s="3">
        <f t="shared" si="184"/>
        <v>3.1114179785484024E-2</v>
      </c>
      <c r="M223" s="3">
        <f t="shared" si="184"/>
        <v>3.1114007180698365E-2</v>
      </c>
      <c r="N223" s="3">
        <f t="shared" si="184"/>
        <v>3.1112281185504461E-2</v>
      </c>
      <c r="O223" s="3">
        <f t="shared" si="184"/>
        <v>3.1095026498750369E-2</v>
      </c>
      <c r="P223" s="3">
        <f t="shared" si="184"/>
        <v>3.0923005070593604E-2</v>
      </c>
      <c r="Q223" s="3">
        <f t="shared" si="184"/>
        <v>2.9254272044414595E-2</v>
      </c>
      <c r="R223" s="3">
        <f t="shared" si="184"/>
        <v>1.6798300125441975E-2</v>
      </c>
      <c r="S223" s="3">
        <f t="shared" si="184"/>
        <v>6.5467497750196436E-5</v>
      </c>
      <c r="T223" s="3">
        <f t="shared" si="184"/>
        <v>5.2921214063153031E-29</v>
      </c>
      <c r="U223" s="3">
        <f t="shared" si="184"/>
        <v>6.304786241340322E-270</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2.5140718095571668E-2</v>
      </c>
      <c r="C224" s="3">
        <f t="shared" si="185"/>
        <v>2.5140718095571665E-2</v>
      </c>
      <c r="D224" s="3">
        <f t="shared" si="185"/>
        <v>2.5140718095571654E-2</v>
      </c>
      <c r="E224" s="3">
        <f t="shared" si="185"/>
        <v>2.5140718095571529E-2</v>
      </c>
      <c r="F224" s="3">
        <f t="shared" si="185"/>
        <v>2.514071809557027E-2</v>
      </c>
      <c r="G224" s="3">
        <f t="shared" si="185"/>
        <v>2.514071809555769E-2</v>
      </c>
      <c r="H224" s="3">
        <f t="shared" si="185"/>
        <v>2.5140718095431877E-2</v>
      </c>
      <c r="I224" s="3">
        <f t="shared" si="185"/>
        <v>2.5140718094173765E-2</v>
      </c>
      <c r="J224" s="3">
        <f t="shared" si="185"/>
        <v>2.5140718081592624E-2</v>
      </c>
      <c r="K224" s="3">
        <f t="shared" si="185"/>
        <v>2.5140717955781239E-2</v>
      </c>
      <c r="L224" s="3">
        <f t="shared" si="185"/>
        <v>2.5140716697667407E-2</v>
      </c>
      <c r="M224" s="3">
        <f t="shared" si="185"/>
        <v>2.5140704116532568E-2</v>
      </c>
      <c r="N224" s="3">
        <f t="shared" si="185"/>
        <v>2.5140578305530435E-2</v>
      </c>
      <c r="O224" s="3">
        <f t="shared" si="185"/>
        <v>2.5139320230136177E-2</v>
      </c>
      <c r="P224" s="3">
        <f t="shared" si="185"/>
        <v>2.512674293826141E-2</v>
      </c>
      <c r="Q224" s="3">
        <f t="shared" si="185"/>
        <v>2.5001315586117023E-2</v>
      </c>
      <c r="R224" s="3">
        <f t="shared" si="185"/>
        <v>2.3780967353122878E-2</v>
      </c>
      <c r="S224" s="3">
        <f t="shared" si="185"/>
        <v>1.4417702581791907E-2</v>
      </c>
      <c r="T224" s="3">
        <f t="shared" si="185"/>
        <v>9.6730073741212142E-5</v>
      </c>
      <c r="U224" s="3">
        <f t="shared" si="185"/>
        <v>1.7873766653778067E-26</v>
      </c>
      <c r="V224" s="3">
        <f t="shared" si="185"/>
        <v>8.2939561222915248E-244</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7.3741618123119579E-2</v>
      </c>
      <c r="C225" s="3">
        <f t="shared" si="186"/>
        <v>7.3741618123119579E-2</v>
      </c>
      <c r="D225" s="3">
        <f t="shared" si="186"/>
        <v>7.3741618123119579E-2</v>
      </c>
      <c r="E225" s="3">
        <f t="shared" si="186"/>
        <v>7.3741618123119537E-2</v>
      </c>
      <c r="F225" s="3">
        <f t="shared" si="186"/>
        <v>7.3741618123119204E-2</v>
      </c>
      <c r="G225" s="3">
        <f t="shared" si="186"/>
        <v>7.3741618123115873E-2</v>
      </c>
      <c r="H225" s="3">
        <f t="shared" si="186"/>
        <v>7.3741618123082595E-2</v>
      </c>
      <c r="I225" s="3">
        <f t="shared" si="186"/>
        <v>7.3741618122749694E-2</v>
      </c>
      <c r="J225" s="3">
        <f t="shared" si="186"/>
        <v>7.3741618119420801E-2</v>
      </c>
      <c r="K225" s="3">
        <f t="shared" si="186"/>
        <v>7.3741618086131736E-2</v>
      </c>
      <c r="L225" s="3">
        <f t="shared" si="186"/>
        <v>7.3741617753241145E-2</v>
      </c>
      <c r="M225" s="3">
        <f t="shared" si="186"/>
        <v>7.3741614424335286E-2</v>
      </c>
      <c r="N225" s="3">
        <f t="shared" si="186"/>
        <v>7.374158113528495E-2</v>
      </c>
      <c r="O225" s="3">
        <f t="shared" si="186"/>
        <v>7.374124824560814E-2</v>
      </c>
      <c r="P225" s="3">
        <f t="shared" si="186"/>
        <v>7.373791943149044E-2</v>
      </c>
      <c r="Q225" s="3">
        <f t="shared" si="186"/>
        <v>7.3704639553974202E-2</v>
      </c>
      <c r="R225" s="3">
        <f t="shared" si="186"/>
        <v>7.3372665766287329E-2</v>
      </c>
      <c r="S225" s="3">
        <f t="shared" si="186"/>
        <v>7.013406515350798E-2</v>
      </c>
      <c r="T225" s="3">
        <f t="shared" si="186"/>
        <v>4.4655623366681621E-2</v>
      </c>
      <c r="U225" s="3">
        <f t="shared" si="186"/>
        <v>4.8904361601145939E-4</v>
      </c>
      <c r="V225" s="3">
        <f t="shared" si="186"/>
        <v>1.2135620066827664E-23</v>
      </c>
      <c r="W225" s="3">
        <f t="shared" si="186"/>
        <v>1.0744983321164485E-219</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9.9846945696723061E-2</v>
      </c>
      <c r="C226" s="3">
        <f t="shared" si="187"/>
        <v>9.9846945696723061E-2</v>
      </c>
      <c r="D226" s="3">
        <f t="shared" si="187"/>
        <v>9.9846945696723061E-2</v>
      </c>
      <c r="E226" s="3">
        <f t="shared" si="187"/>
        <v>9.9846945696723061E-2</v>
      </c>
      <c r="F226" s="3">
        <f t="shared" si="187"/>
        <v>9.9846945696723019E-2</v>
      </c>
      <c r="G226" s="3">
        <f t="shared" si="187"/>
        <v>9.9846945696722603E-2</v>
      </c>
      <c r="H226" s="3">
        <f t="shared" si="187"/>
        <v>9.9846945696718536E-2</v>
      </c>
      <c r="I226" s="3">
        <f t="shared" si="187"/>
        <v>9.9846945696677875E-2</v>
      </c>
      <c r="J226" s="3">
        <f t="shared" si="187"/>
        <v>9.9846945696271283E-2</v>
      </c>
      <c r="K226" s="3">
        <f t="shared" si="187"/>
        <v>9.9846945692205244E-2</v>
      </c>
      <c r="L226" s="3">
        <f t="shared" si="187"/>
        <v>9.9846945651544991E-2</v>
      </c>
      <c r="M226" s="3">
        <f t="shared" si="187"/>
        <v>9.9846945244942309E-2</v>
      </c>
      <c r="N226" s="3">
        <f t="shared" si="187"/>
        <v>9.9846941178915599E-2</v>
      </c>
      <c r="O226" s="3">
        <f t="shared" si="187"/>
        <v>9.9846900518657619E-2</v>
      </c>
      <c r="P226" s="3">
        <f t="shared" si="187"/>
        <v>9.9846493916988591E-2</v>
      </c>
      <c r="Q226" s="3">
        <f t="shared" si="187"/>
        <v>9.9842427991365265E-2</v>
      </c>
      <c r="R226" s="3">
        <f t="shared" si="187"/>
        <v>9.9801777840461667E-2</v>
      </c>
      <c r="S226" s="3">
        <f t="shared" si="187"/>
        <v>9.9396185493954875E-2</v>
      </c>
      <c r="T226" s="3">
        <f t="shared" si="187"/>
        <v>9.5429823207393752E-2</v>
      </c>
      <c r="U226" s="3">
        <f t="shared" si="187"/>
        <v>6.3507955662841842E-2</v>
      </c>
      <c r="V226" s="3">
        <f t="shared" si="187"/>
        <v>1.0821021738374014E-3</v>
      </c>
      <c r="W226" s="3">
        <f t="shared" si="187"/>
        <v>2.2318738064433068E-21</v>
      </c>
      <c r="X226" s="3">
        <f t="shared" si="187"/>
        <v>3.1094479627571206E-198</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8.4959897030223219E-2</v>
      </c>
      <c r="C227" s="3">
        <f t="shared" si="188"/>
        <v>8.4959897030223219E-2</v>
      </c>
      <c r="D227" s="3">
        <f t="shared" si="188"/>
        <v>8.4959897030223219E-2</v>
      </c>
      <c r="E227" s="3">
        <f t="shared" si="188"/>
        <v>8.4959897030223219E-2</v>
      </c>
      <c r="F227" s="3">
        <f t="shared" si="188"/>
        <v>8.4959897030223219E-2</v>
      </c>
      <c r="G227" s="3">
        <f t="shared" si="188"/>
        <v>8.4959897030223178E-2</v>
      </c>
      <c r="H227" s="3">
        <f t="shared" si="188"/>
        <v>8.4959897030222872E-2</v>
      </c>
      <c r="I227" s="3">
        <f t="shared" si="188"/>
        <v>8.495989703021975E-2</v>
      </c>
      <c r="J227" s="3">
        <f t="shared" si="188"/>
        <v>8.4959897030188539E-2</v>
      </c>
      <c r="K227" s="3">
        <f t="shared" si="188"/>
        <v>8.4959897029876441E-2</v>
      </c>
      <c r="L227" s="3">
        <f t="shared" si="188"/>
        <v>8.4959897026755424E-2</v>
      </c>
      <c r="M227" s="3">
        <f t="shared" si="188"/>
        <v>8.4959896995545264E-2</v>
      </c>
      <c r="N227" s="3">
        <f t="shared" si="188"/>
        <v>8.4959896683443642E-2</v>
      </c>
      <c r="O227" s="3">
        <f t="shared" si="188"/>
        <v>8.495989356242753E-2</v>
      </c>
      <c r="P227" s="3">
        <f t="shared" si="188"/>
        <v>8.4959862352272625E-2</v>
      </c>
      <c r="Q227" s="3">
        <f t="shared" si="188"/>
        <v>8.4959550251354141E-2</v>
      </c>
      <c r="R227" s="3">
        <f t="shared" si="188"/>
        <v>8.4956429305226511E-2</v>
      </c>
      <c r="S227" s="3">
        <f t="shared" si="188"/>
        <v>8.4925226148806113E-2</v>
      </c>
      <c r="T227" s="3">
        <f t="shared" si="188"/>
        <v>8.4613824214082714E-2</v>
      </c>
      <c r="U227" s="3">
        <f t="shared" si="188"/>
        <v>8.1561920365770813E-2</v>
      </c>
      <c r="V227" s="3">
        <f t="shared" si="188"/>
        <v>5.648701558187573E-2</v>
      </c>
      <c r="W227" s="3">
        <f t="shared" si="188"/>
        <v>1.4340374831193783E-3</v>
      </c>
      <c r="X227" s="3">
        <f t="shared" si="188"/>
        <v>1.5947008841489687E-19</v>
      </c>
      <c r="Y227" s="3">
        <f t="shared" si="188"/>
        <v>4.6117584661539631E-179</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6.3888587804479924E-2</v>
      </c>
      <c r="C228" s="3">
        <f t="shared" si="189"/>
        <v>6.3888587804479924E-2</v>
      </c>
      <c r="D228" s="3">
        <f t="shared" si="189"/>
        <v>6.3888587804479924E-2</v>
      </c>
      <c r="E228" s="3">
        <f t="shared" si="189"/>
        <v>6.3888587804479924E-2</v>
      </c>
      <c r="F228" s="3">
        <f t="shared" si="189"/>
        <v>6.3888587804479924E-2</v>
      </c>
      <c r="G228" s="3">
        <f t="shared" si="189"/>
        <v>6.3888587804479924E-2</v>
      </c>
      <c r="H228" s="3">
        <f t="shared" si="189"/>
        <v>6.3888587804479896E-2</v>
      </c>
      <c r="I228" s="3">
        <f t="shared" si="189"/>
        <v>6.3888587804479688E-2</v>
      </c>
      <c r="J228" s="3">
        <f t="shared" si="189"/>
        <v>6.3888587804477565E-2</v>
      </c>
      <c r="K228" s="3">
        <f t="shared" si="189"/>
        <v>6.3888587804456401E-2</v>
      </c>
      <c r="L228" s="3">
        <f t="shared" si="189"/>
        <v>6.3888587804244681E-2</v>
      </c>
      <c r="M228" s="3">
        <f t="shared" si="189"/>
        <v>6.3888587802127528E-2</v>
      </c>
      <c r="N228" s="3">
        <f t="shared" si="189"/>
        <v>6.3888587780956019E-2</v>
      </c>
      <c r="O228" s="3">
        <f t="shared" si="189"/>
        <v>6.3888587569240873E-2</v>
      </c>
      <c r="P228" s="3">
        <f t="shared" si="189"/>
        <v>6.3888585452089475E-2</v>
      </c>
      <c r="Q228" s="3">
        <f t="shared" si="189"/>
        <v>6.3888564280579388E-2</v>
      </c>
      <c r="R228" s="3">
        <f t="shared" si="189"/>
        <v>6.3888352565864337E-2</v>
      </c>
      <c r="S228" s="3">
        <f t="shared" si="189"/>
        <v>6.3886235457300503E-2</v>
      </c>
      <c r="T228" s="3">
        <f t="shared" si="189"/>
        <v>6.3865068229856395E-2</v>
      </c>
      <c r="U228" s="3">
        <f t="shared" si="189"/>
        <v>6.3653781302196497E-2</v>
      </c>
      <c r="V228" s="3">
        <f t="shared" si="189"/>
        <v>6.1578978383973561E-2</v>
      </c>
      <c r="W228" s="3">
        <f t="shared" si="189"/>
        <v>4.4209458771556812E-2</v>
      </c>
      <c r="X228" s="3">
        <f t="shared" si="189"/>
        <v>1.6082086149946187E-3</v>
      </c>
      <c r="Y228" s="3">
        <f t="shared" si="189"/>
        <v>6.5255067813994495E-18</v>
      </c>
      <c r="Z228" s="3">
        <f t="shared" si="189"/>
        <v>7.894649550468898E-162</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6.4356714781999613E-2</v>
      </c>
      <c r="C229" s="3">
        <f t="shared" si="190"/>
        <v>6.4356714781999613E-2</v>
      </c>
      <c r="D229" s="3">
        <f t="shared" si="190"/>
        <v>6.4356714781999613E-2</v>
      </c>
      <c r="E229" s="3">
        <f t="shared" si="190"/>
        <v>6.4356714781999613E-2</v>
      </c>
      <c r="F229" s="3">
        <f t="shared" si="190"/>
        <v>6.4356714781999613E-2</v>
      </c>
      <c r="G229" s="3">
        <f t="shared" si="190"/>
        <v>6.4356714781999613E-2</v>
      </c>
      <c r="H229" s="3">
        <f t="shared" si="190"/>
        <v>6.4356714781999613E-2</v>
      </c>
      <c r="I229" s="3">
        <f t="shared" si="190"/>
        <v>6.4356714781999586E-2</v>
      </c>
      <c r="J229" s="3">
        <f t="shared" si="190"/>
        <v>6.4356714781999405E-2</v>
      </c>
      <c r="K229" s="3">
        <f t="shared" si="190"/>
        <v>6.4356714781997476E-2</v>
      </c>
      <c r="L229" s="3">
        <f t="shared" si="190"/>
        <v>6.4356714781978241E-2</v>
      </c>
      <c r="M229" s="3">
        <f t="shared" si="190"/>
        <v>6.4356714781785854E-2</v>
      </c>
      <c r="N229" s="3">
        <f t="shared" si="190"/>
        <v>6.4356714779862018E-2</v>
      </c>
      <c r="O229" s="3">
        <f t="shared" si="190"/>
        <v>6.4356714760623601E-2</v>
      </c>
      <c r="P229" s="3">
        <f t="shared" si="190"/>
        <v>6.4356714568239548E-2</v>
      </c>
      <c r="Q229" s="3">
        <f t="shared" si="190"/>
        <v>6.4356712644398947E-2</v>
      </c>
      <c r="R229" s="3">
        <f t="shared" si="190"/>
        <v>6.4356693405996146E-2</v>
      </c>
      <c r="S229" s="3">
        <f t="shared" si="190"/>
        <v>6.4356501022284476E-2</v>
      </c>
      <c r="T229" s="3">
        <f t="shared" si="190"/>
        <v>6.4354577216797895E-2</v>
      </c>
      <c r="U229" s="3">
        <f t="shared" si="190"/>
        <v>6.433534232460042E-2</v>
      </c>
      <c r="V229" s="3">
        <f t="shared" si="190"/>
        <v>6.4143309319920155E-2</v>
      </c>
      <c r="W229" s="3">
        <f t="shared" si="190"/>
        <v>6.225422435689535E-2</v>
      </c>
      <c r="X229" s="3">
        <f t="shared" si="190"/>
        <v>4.6168255625084073E-2</v>
      </c>
      <c r="Y229" s="3">
        <f t="shared" si="190"/>
        <v>2.3232174449885337E-3</v>
      </c>
      <c r="Z229" s="3">
        <f t="shared" si="190"/>
        <v>2.4185429395239439E-16</v>
      </c>
      <c r="AA229" s="3">
        <f t="shared" si="190"/>
        <v>3.6157069567347378E-146</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2.3762961942572935E-2</v>
      </c>
      <c r="C230" s="3">
        <f t="shared" si="191"/>
        <v>2.3762961942572935E-2</v>
      </c>
      <c r="D230" s="3">
        <f t="shared" si="191"/>
        <v>2.3762961942572935E-2</v>
      </c>
      <c r="E230" s="3">
        <f t="shared" si="191"/>
        <v>2.3762961942572935E-2</v>
      </c>
      <c r="F230" s="3">
        <f t="shared" si="191"/>
        <v>2.3762961942572935E-2</v>
      </c>
      <c r="G230" s="3">
        <f t="shared" si="191"/>
        <v>2.3762961942572935E-2</v>
      </c>
      <c r="H230" s="3">
        <f t="shared" si="191"/>
        <v>2.3762961942572935E-2</v>
      </c>
      <c r="I230" s="3">
        <f t="shared" si="191"/>
        <v>2.3762961942572935E-2</v>
      </c>
      <c r="J230" s="3">
        <f t="shared" si="191"/>
        <v>2.3762961942572929E-2</v>
      </c>
      <c r="K230" s="3">
        <f t="shared" si="191"/>
        <v>2.3762961942572863E-2</v>
      </c>
      <c r="L230" s="3">
        <f t="shared" si="191"/>
        <v>2.3762961942572224E-2</v>
      </c>
      <c r="M230" s="3">
        <f t="shared" si="191"/>
        <v>2.3762961942565816E-2</v>
      </c>
      <c r="N230" s="3">
        <f t="shared" si="191"/>
        <v>2.3762961942501735E-2</v>
      </c>
      <c r="O230" s="3">
        <f t="shared" si="191"/>
        <v>2.3762961941860936E-2</v>
      </c>
      <c r="P230" s="3">
        <f t="shared" si="191"/>
        <v>2.3762961935452936E-2</v>
      </c>
      <c r="Q230" s="3">
        <f t="shared" si="191"/>
        <v>2.3762961871372956E-2</v>
      </c>
      <c r="R230" s="3">
        <f t="shared" si="191"/>
        <v>2.3762961230573133E-2</v>
      </c>
      <c r="S230" s="3">
        <f t="shared" si="191"/>
        <v>2.3762954822575864E-2</v>
      </c>
      <c r="T230" s="3">
        <f t="shared" si="191"/>
        <v>2.376289074269821E-2</v>
      </c>
      <c r="U230" s="3">
        <f t="shared" si="191"/>
        <v>2.3762249953425584E-2</v>
      </c>
      <c r="V230" s="3">
        <f t="shared" si="191"/>
        <v>2.3755843010994988E-2</v>
      </c>
      <c r="W230" s="3">
        <f t="shared" si="191"/>
        <v>2.36918685215083E-2</v>
      </c>
      <c r="X230" s="3">
        <f t="shared" si="191"/>
        <v>2.3061523066314607E-2</v>
      </c>
      <c r="Y230" s="3">
        <f t="shared" si="191"/>
        <v>1.761062261918701E-2</v>
      </c>
      <c r="Z230" s="3">
        <f t="shared" si="191"/>
        <v>1.1875227924419674E-3</v>
      </c>
      <c r="AA230" s="3">
        <f t="shared" si="191"/>
        <v>2.3084176532871871E-15</v>
      </c>
      <c r="AB230" s="3">
        <f t="shared" si="191"/>
        <v>1.7784379464635859E-132</v>
      </c>
      <c r="AC230" s="3">
        <f t="shared" si="191"/>
        <v>0</v>
      </c>
      <c r="AD230" s="3">
        <f t="shared" si="191"/>
        <v>0</v>
      </c>
      <c r="AE230" s="3">
        <f t="shared" si="191"/>
        <v>0</v>
      </c>
      <c r="AF230" s="3">
        <f t="shared" si="191"/>
        <v>0</v>
      </c>
      <c r="AG230" s="3"/>
      <c r="AH230" s="3"/>
    </row>
    <row r="231" spans="2:34" x14ac:dyDescent="0.25">
      <c r="B231" s="3">
        <f t="shared" ref="B231:AF231" si="192">$C39*EXP(-B$207/$A39/EXP(-$D$126))</f>
        <v>4.2794407584768095E-2</v>
      </c>
      <c r="C231" s="3">
        <f t="shared" si="192"/>
        <v>4.2794407584768095E-2</v>
      </c>
      <c r="D231" s="3">
        <f t="shared" si="192"/>
        <v>4.2794407584768095E-2</v>
      </c>
      <c r="E231" s="3">
        <f t="shared" si="192"/>
        <v>4.2794407584768095E-2</v>
      </c>
      <c r="F231" s="3">
        <f t="shared" si="192"/>
        <v>4.2794407584768095E-2</v>
      </c>
      <c r="G231" s="3">
        <f t="shared" si="192"/>
        <v>4.2794407584768095E-2</v>
      </c>
      <c r="H231" s="3">
        <f t="shared" si="192"/>
        <v>4.2794407584768095E-2</v>
      </c>
      <c r="I231" s="3">
        <f t="shared" si="192"/>
        <v>4.2794407584768095E-2</v>
      </c>
      <c r="J231" s="3">
        <f t="shared" si="192"/>
        <v>4.2794407584768088E-2</v>
      </c>
      <c r="K231" s="3">
        <f t="shared" si="192"/>
        <v>4.279440758476806E-2</v>
      </c>
      <c r="L231" s="3">
        <f t="shared" si="192"/>
        <v>4.2794407584767741E-2</v>
      </c>
      <c r="M231" s="3">
        <f t="shared" si="192"/>
        <v>4.2794407584764549E-2</v>
      </c>
      <c r="N231" s="3">
        <f t="shared" si="192"/>
        <v>4.279440758473263E-2</v>
      </c>
      <c r="O231" s="3">
        <f t="shared" si="192"/>
        <v>4.2794407584413462E-2</v>
      </c>
      <c r="P231" s="3">
        <f t="shared" si="192"/>
        <v>4.2794407581221765E-2</v>
      </c>
      <c r="Q231" s="3">
        <f t="shared" si="192"/>
        <v>4.2794407549304789E-2</v>
      </c>
      <c r="R231" s="3">
        <f t="shared" si="192"/>
        <v>4.2794407230135063E-2</v>
      </c>
      <c r="S231" s="3">
        <f t="shared" si="192"/>
        <v>4.2794404038437893E-2</v>
      </c>
      <c r="T231" s="3">
        <f t="shared" si="192"/>
        <v>4.2794372121479345E-2</v>
      </c>
      <c r="U231" s="3">
        <f t="shared" si="192"/>
        <v>4.2794052953203057E-2</v>
      </c>
      <c r="V231" s="3">
        <f t="shared" si="192"/>
        <v>4.2790861401360132E-2</v>
      </c>
      <c r="W231" s="3">
        <f t="shared" si="192"/>
        <v>4.275895897131135E-2</v>
      </c>
      <c r="X231" s="3">
        <f t="shared" si="192"/>
        <v>4.2441239904278977E-2</v>
      </c>
      <c r="Y231" s="3">
        <f t="shared" si="192"/>
        <v>3.9391041467860828E-2</v>
      </c>
      <c r="Z231" s="3">
        <f t="shared" si="192"/>
        <v>1.8684929579309152E-2</v>
      </c>
      <c r="AA231" s="3">
        <f t="shared" si="192"/>
        <v>1.0775352484593914E-5</v>
      </c>
      <c r="AB231" s="3">
        <f t="shared" si="192"/>
        <v>4.383607783069295E-38</v>
      </c>
      <c r="AC231" s="3">
        <f t="shared" si="192"/>
        <v>0</v>
      </c>
      <c r="AD231" s="3">
        <f t="shared" si="192"/>
        <v>0</v>
      </c>
      <c r="AE231" s="3">
        <f t="shared" si="192"/>
        <v>0</v>
      </c>
      <c r="AF231" s="3">
        <f t="shared" si="192"/>
        <v>0</v>
      </c>
      <c r="AG231" s="3"/>
      <c r="AH231" s="3"/>
    </row>
    <row r="232" spans="2:34" x14ac:dyDescent="0.25">
      <c r="B232" s="3">
        <f t="shared" ref="B232:AF232" si="193">$C40*EXP(-B$207/$A40/EXP(-$D$126))</f>
        <v>2.2817294808056693E-2</v>
      </c>
      <c r="C232" s="3">
        <f t="shared" si="193"/>
        <v>2.2817294808056693E-2</v>
      </c>
      <c r="D232" s="3">
        <f t="shared" si="193"/>
        <v>2.2817294808056693E-2</v>
      </c>
      <c r="E232" s="3">
        <f t="shared" si="193"/>
        <v>2.2817294808056693E-2</v>
      </c>
      <c r="F232" s="3">
        <f t="shared" si="193"/>
        <v>2.2817294808056693E-2</v>
      </c>
      <c r="G232" s="3">
        <f t="shared" si="193"/>
        <v>2.2817294808056693E-2</v>
      </c>
      <c r="H232" s="3">
        <f t="shared" si="193"/>
        <v>2.2817294808056693E-2</v>
      </c>
      <c r="I232" s="3">
        <f t="shared" si="193"/>
        <v>2.2817294808056693E-2</v>
      </c>
      <c r="J232" s="3">
        <f t="shared" si="193"/>
        <v>2.2817294808056693E-2</v>
      </c>
      <c r="K232" s="3">
        <f t="shared" si="193"/>
        <v>2.2817294808056689E-2</v>
      </c>
      <c r="L232" s="3">
        <f t="shared" si="193"/>
        <v>2.2817294808056676E-2</v>
      </c>
      <c r="M232" s="3">
        <f t="shared" si="193"/>
        <v>2.2817294808056502E-2</v>
      </c>
      <c r="N232" s="3">
        <f t="shared" si="193"/>
        <v>2.2817294808054802E-2</v>
      </c>
      <c r="O232" s="3">
        <f t="shared" si="193"/>
        <v>2.2817294808037784E-2</v>
      </c>
      <c r="P232" s="3">
        <f t="shared" si="193"/>
        <v>2.2817294807867608E-2</v>
      </c>
      <c r="Q232" s="3">
        <f t="shared" si="193"/>
        <v>2.2817294806165844E-2</v>
      </c>
      <c r="R232" s="3">
        <f t="shared" si="193"/>
        <v>2.2817294789148228E-2</v>
      </c>
      <c r="S232" s="3">
        <f t="shared" si="193"/>
        <v>2.2817294618972025E-2</v>
      </c>
      <c r="T232" s="3">
        <f t="shared" si="193"/>
        <v>2.2817292917210057E-2</v>
      </c>
      <c r="U232" s="3">
        <f t="shared" si="193"/>
        <v>2.2817275899597388E-2</v>
      </c>
      <c r="V232" s="3">
        <f t="shared" si="193"/>
        <v>2.2817105724168764E-2</v>
      </c>
      <c r="W232" s="3">
        <f t="shared" si="193"/>
        <v>2.2815404039686956E-2</v>
      </c>
      <c r="X232" s="3">
        <f t="shared" si="193"/>
        <v>2.2798394173384341E-2</v>
      </c>
      <c r="Y232" s="3">
        <f t="shared" si="193"/>
        <v>2.262899143999544E-2</v>
      </c>
      <c r="Z232" s="3">
        <f t="shared" si="193"/>
        <v>2.1002674337486975E-2</v>
      </c>
      <c r="AA232" s="3">
        <f t="shared" si="193"/>
        <v>9.9625061016295879E-3</v>
      </c>
      <c r="AB232" s="3">
        <f t="shared" si="193"/>
        <v>5.7452458902414288E-6</v>
      </c>
      <c r="AC232" s="3">
        <f t="shared" si="193"/>
        <v>2.3372696750400865E-38</v>
      </c>
      <c r="AD232" s="3">
        <f t="shared" si="193"/>
        <v>0</v>
      </c>
      <c r="AE232" s="3">
        <f t="shared" si="193"/>
        <v>0</v>
      </c>
      <c r="AF232" s="3">
        <f t="shared" si="193"/>
        <v>0</v>
      </c>
      <c r="AG232" s="3"/>
      <c r="AH232" s="3"/>
    </row>
    <row r="233" spans="2:34" x14ac:dyDescent="0.25">
      <c r="B233" s="3">
        <f t="shared" ref="B233:AF233" si="194">$C41*EXP(-B$207/$A41/EXP(-$D$126))</f>
        <v>1.5874068547548043E-2</v>
      </c>
      <c r="C233" s="3">
        <f t="shared" si="194"/>
        <v>1.5874068547548043E-2</v>
      </c>
      <c r="D233" s="3">
        <f t="shared" si="194"/>
        <v>1.5874068547548043E-2</v>
      </c>
      <c r="E233" s="3">
        <f t="shared" si="194"/>
        <v>1.5874068547548043E-2</v>
      </c>
      <c r="F233" s="3">
        <f t="shared" si="194"/>
        <v>1.5874068547548043E-2</v>
      </c>
      <c r="G233" s="3">
        <f t="shared" si="194"/>
        <v>1.5874068547548043E-2</v>
      </c>
      <c r="H233" s="3">
        <f t="shared" si="194"/>
        <v>1.5874068547548043E-2</v>
      </c>
      <c r="I233" s="3">
        <f t="shared" si="194"/>
        <v>1.5874068547548043E-2</v>
      </c>
      <c r="J233" s="3">
        <f t="shared" si="194"/>
        <v>1.5874068547548043E-2</v>
      </c>
      <c r="K233" s="3">
        <f t="shared" si="194"/>
        <v>1.5874068547548043E-2</v>
      </c>
      <c r="L233" s="3">
        <f t="shared" si="194"/>
        <v>1.587406854754804E-2</v>
      </c>
      <c r="M233" s="3">
        <f t="shared" si="194"/>
        <v>1.5874068547548029E-2</v>
      </c>
      <c r="N233" s="3">
        <f t="shared" si="194"/>
        <v>1.5874068547547911E-2</v>
      </c>
      <c r="O233" s="3">
        <f t="shared" si="194"/>
        <v>1.5874068547546728E-2</v>
      </c>
      <c r="P233" s="3">
        <f t="shared" si="194"/>
        <v>1.5874068547534891E-2</v>
      </c>
      <c r="Q233" s="3">
        <f t="shared" si="194"/>
        <v>1.5874068547416496E-2</v>
      </c>
      <c r="R233" s="3">
        <f t="shared" si="194"/>
        <v>1.5874068546232575E-2</v>
      </c>
      <c r="S233" s="3">
        <f t="shared" si="194"/>
        <v>1.5874068534393361E-2</v>
      </c>
      <c r="T233" s="3">
        <f t="shared" si="194"/>
        <v>1.5874068416001204E-2</v>
      </c>
      <c r="U233" s="3">
        <f t="shared" si="194"/>
        <v>1.5874067232079694E-2</v>
      </c>
      <c r="V233" s="3">
        <f t="shared" si="194"/>
        <v>1.5874055392869471E-2</v>
      </c>
      <c r="W233" s="3">
        <f t="shared" si="194"/>
        <v>1.5873937001252857E-2</v>
      </c>
      <c r="X233" s="3">
        <f t="shared" si="194"/>
        <v>1.587275313364989E-2</v>
      </c>
      <c r="Y233" s="3">
        <f t="shared" si="194"/>
        <v>1.586091931259688E-2</v>
      </c>
      <c r="Z233" s="3">
        <f t="shared" si="194"/>
        <v>1.5743065262650176E-2</v>
      </c>
      <c r="AA233" s="3">
        <f t="shared" si="194"/>
        <v>1.4611630998315146E-2</v>
      </c>
      <c r="AB233" s="3">
        <f t="shared" si="194"/>
        <v>6.9309489180458496E-3</v>
      </c>
      <c r="AC233" s="3">
        <f t="shared" si="194"/>
        <v>3.9969868405262757E-6</v>
      </c>
      <c r="AD233" s="3">
        <f t="shared" si="194"/>
        <v>1.6260463542150982E-38</v>
      </c>
      <c r="AE233" s="3">
        <f t="shared" si="194"/>
        <v>0</v>
      </c>
      <c r="AF233" s="3">
        <f t="shared" si="194"/>
        <v>0</v>
      </c>
      <c r="AG233" s="3"/>
      <c r="AH233" s="3"/>
    </row>
    <row r="234" spans="2:34" x14ac:dyDescent="0.25">
      <c r="B234" s="3">
        <f t="shared" ref="B234:AF234" si="195">$C42*EXP(-B$207/$A42/EXP(-$D$126))</f>
        <v>5.5424436077778048E-3</v>
      </c>
      <c r="C234" s="3">
        <f t="shared" si="195"/>
        <v>5.5424436077778048E-3</v>
      </c>
      <c r="D234" s="3">
        <f t="shared" si="195"/>
        <v>5.5424436077778048E-3</v>
      </c>
      <c r="E234" s="3">
        <f t="shared" si="195"/>
        <v>5.5424436077778048E-3</v>
      </c>
      <c r="F234" s="3">
        <f t="shared" si="195"/>
        <v>5.5424436077778048E-3</v>
      </c>
      <c r="G234" s="3">
        <f t="shared" si="195"/>
        <v>5.5424436077778048E-3</v>
      </c>
      <c r="H234" s="3">
        <f t="shared" si="195"/>
        <v>5.5424436077778048E-3</v>
      </c>
      <c r="I234" s="3">
        <f t="shared" si="195"/>
        <v>5.5424436077778048E-3</v>
      </c>
      <c r="J234" s="3">
        <f t="shared" si="195"/>
        <v>5.5424436077778048E-3</v>
      </c>
      <c r="K234" s="3">
        <f t="shared" si="195"/>
        <v>5.5424436077778048E-3</v>
      </c>
      <c r="L234" s="3">
        <f t="shared" si="195"/>
        <v>5.5424436077778048E-3</v>
      </c>
      <c r="M234" s="3">
        <f t="shared" si="195"/>
        <v>5.542443607777804E-3</v>
      </c>
      <c r="N234" s="3">
        <f t="shared" si="195"/>
        <v>5.5424436077778005E-3</v>
      </c>
      <c r="O234" s="3">
        <f t="shared" si="195"/>
        <v>5.5424436077777589E-3</v>
      </c>
      <c r="P234" s="3">
        <f t="shared" si="195"/>
        <v>5.542443607777346E-3</v>
      </c>
      <c r="Q234" s="3">
        <f t="shared" si="195"/>
        <v>5.5424436077732122E-3</v>
      </c>
      <c r="R234" s="3">
        <f t="shared" si="195"/>
        <v>5.5424436077318754E-3</v>
      </c>
      <c r="S234" s="3">
        <f t="shared" si="195"/>
        <v>5.5424436073185082E-3</v>
      </c>
      <c r="T234" s="3">
        <f t="shared" si="195"/>
        <v>5.5424436031848365E-3</v>
      </c>
      <c r="U234" s="3">
        <f t="shared" si="195"/>
        <v>5.542443561848122E-3</v>
      </c>
      <c r="V234" s="3">
        <f t="shared" si="195"/>
        <v>5.542443148480989E-3</v>
      </c>
      <c r="W234" s="3">
        <f t="shared" si="195"/>
        <v>5.5424390148113602E-3</v>
      </c>
      <c r="X234" s="3">
        <f t="shared" si="195"/>
        <v>5.5423976782846378E-3</v>
      </c>
      <c r="Y234" s="3">
        <f t="shared" si="195"/>
        <v>5.5419843299732803E-3</v>
      </c>
      <c r="Z234" s="3">
        <f t="shared" si="195"/>
        <v>5.5378525419786401E-3</v>
      </c>
      <c r="AA234" s="3">
        <f t="shared" si="195"/>
        <v>5.4967037070834598E-3</v>
      </c>
      <c r="AB234" s="3">
        <f t="shared" si="195"/>
        <v>5.1016625374424801E-3</v>
      </c>
      <c r="AC234" s="3">
        <f t="shared" si="195"/>
        <v>2.4199463049812339E-3</v>
      </c>
      <c r="AD234" s="3">
        <f t="shared" si="195"/>
        <v>1.3955511215219424E-6</v>
      </c>
      <c r="AE234" s="3">
        <f t="shared" si="195"/>
        <v>5.6773537262203254E-39</v>
      </c>
      <c r="AF234" s="3">
        <f t="shared" si="195"/>
        <v>0</v>
      </c>
      <c r="AG234" s="3"/>
      <c r="AH234" s="3"/>
    </row>
    <row r="235" spans="2:34" x14ac:dyDescent="0.25">
      <c r="B235" s="3">
        <f t="shared" ref="B235:AF235" si="196">$C43*EXP(-B$207/$A43/EXP(-$D$126))</f>
        <v>3.8861309197679899E-3</v>
      </c>
      <c r="C235" s="3">
        <f t="shared" si="196"/>
        <v>3.8861309197679899E-3</v>
      </c>
      <c r="D235" s="3">
        <f t="shared" si="196"/>
        <v>3.8861309197679899E-3</v>
      </c>
      <c r="E235" s="3">
        <f t="shared" si="196"/>
        <v>3.8861309197679899E-3</v>
      </c>
      <c r="F235" s="3">
        <f t="shared" si="196"/>
        <v>3.8861309197679899E-3</v>
      </c>
      <c r="G235" s="3">
        <f t="shared" si="196"/>
        <v>3.8861309197679899E-3</v>
      </c>
      <c r="H235" s="3">
        <f t="shared" si="196"/>
        <v>3.8861309197679899E-3</v>
      </c>
      <c r="I235" s="3">
        <f t="shared" si="196"/>
        <v>3.8861309197679899E-3</v>
      </c>
      <c r="J235" s="3">
        <f t="shared" si="196"/>
        <v>3.8861309197679899E-3</v>
      </c>
      <c r="K235" s="3">
        <f t="shared" si="196"/>
        <v>3.8861309197679899E-3</v>
      </c>
      <c r="L235" s="3">
        <f t="shared" si="196"/>
        <v>3.8861309197679899E-3</v>
      </c>
      <c r="M235" s="3">
        <f t="shared" si="196"/>
        <v>3.8861309197679899E-3</v>
      </c>
      <c r="N235" s="3">
        <f t="shared" si="196"/>
        <v>3.8861309197679894E-3</v>
      </c>
      <c r="O235" s="3">
        <f t="shared" si="196"/>
        <v>3.8861309197679868E-3</v>
      </c>
      <c r="P235" s="3">
        <f t="shared" si="196"/>
        <v>3.8861309197679573E-3</v>
      </c>
      <c r="Q235" s="3">
        <f t="shared" si="196"/>
        <v>3.8861309197676681E-3</v>
      </c>
      <c r="R235" s="3">
        <f t="shared" si="196"/>
        <v>3.8861309197647693E-3</v>
      </c>
      <c r="S235" s="3">
        <f t="shared" si="196"/>
        <v>3.8861309197357856E-3</v>
      </c>
      <c r="T235" s="3">
        <f t="shared" si="196"/>
        <v>3.8861309194459497E-3</v>
      </c>
      <c r="U235" s="3">
        <f t="shared" si="196"/>
        <v>3.8861309165475915E-3</v>
      </c>
      <c r="V235" s="3">
        <f t="shared" si="196"/>
        <v>3.8861308875640065E-3</v>
      </c>
      <c r="W235" s="3">
        <f t="shared" si="196"/>
        <v>3.8861305977281671E-3</v>
      </c>
      <c r="X235" s="3">
        <f t="shared" si="196"/>
        <v>3.8861276993709636E-3</v>
      </c>
      <c r="Y235" s="3">
        <f t="shared" si="196"/>
        <v>3.8860987159178191E-3</v>
      </c>
      <c r="Z235" s="3">
        <f t="shared" si="196"/>
        <v>3.8858088932751224E-3</v>
      </c>
      <c r="AA235" s="3">
        <f t="shared" si="196"/>
        <v>3.8829118553950505E-3</v>
      </c>
      <c r="AB235" s="3">
        <f t="shared" si="196"/>
        <v>3.8540600039528119E-3</v>
      </c>
      <c r="AC235" s="3">
        <f t="shared" si="196"/>
        <v>3.5770735675425655E-3</v>
      </c>
      <c r="AD235" s="3">
        <f t="shared" si="196"/>
        <v>1.6967656913583675E-3</v>
      </c>
      <c r="AE235" s="3">
        <f t="shared" si="196"/>
        <v>9.785023984461863E-7</v>
      </c>
      <c r="AF235" s="3">
        <f t="shared" si="196"/>
        <v>3.980724283231952E-39</v>
      </c>
      <c r="AG235" s="3"/>
      <c r="AH235" s="3"/>
    </row>
    <row r="236" spans="2:34" x14ac:dyDescent="0.25">
      <c r="B236" s="3">
        <f t="shared" ref="B236:AF236" si="197">$C44*EXP(-B$207/$A44/EXP(-$D$126))</f>
        <v>2.064572113999586E-3</v>
      </c>
      <c r="C236" s="3">
        <f t="shared" si="197"/>
        <v>2.064572113999586E-3</v>
      </c>
      <c r="D236" s="3">
        <f t="shared" si="197"/>
        <v>2.064572113999586E-3</v>
      </c>
      <c r="E236" s="3">
        <f t="shared" si="197"/>
        <v>2.064572113999586E-3</v>
      </c>
      <c r="F236" s="3">
        <f t="shared" si="197"/>
        <v>2.064572113999586E-3</v>
      </c>
      <c r="G236" s="3">
        <f t="shared" si="197"/>
        <v>2.064572113999586E-3</v>
      </c>
      <c r="H236" s="3">
        <f t="shared" si="197"/>
        <v>2.064572113999586E-3</v>
      </c>
      <c r="I236" s="3">
        <f t="shared" si="197"/>
        <v>2.064572113999586E-3</v>
      </c>
      <c r="J236" s="3">
        <f t="shared" si="197"/>
        <v>2.064572113999586E-3</v>
      </c>
      <c r="K236" s="3">
        <f t="shared" si="197"/>
        <v>2.064572113999586E-3</v>
      </c>
      <c r="L236" s="3">
        <f t="shared" si="197"/>
        <v>2.064572113999586E-3</v>
      </c>
      <c r="M236" s="3">
        <f t="shared" si="197"/>
        <v>2.064572113999586E-3</v>
      </c>
      <c r="N236" s="3">
        <f t="shared" si="197"/>
        <v>2.064572113999586E-3</v>
      </c>
      <c r="O236" s="3">
        <f t="shared" si="197"/>
        <v>2.0645721139995856E-3</v>
      </c>
      <c r="P236" s="3">
        <f t="shared" si="197"/>
        <v>2.0645721139995843E-3</v>
      </c>
      <c r="Q236" s="3">
        <f t="shared" si="197"/>
        <v>2.0645721139995687E-3</v>
      </c>
      <c r="R236" s="3">
        <f t="shared" si="197"/>
        <v>2.0645721139994151E-3</v>
      </c>
      <c r="S236" s="3">
        <f t="shared" si="197"/>
        <v>2.0645721139978751E-3</v>
      </c>
      <c r="T236" s="3">
        <f t="shared" si="197"/>
        <v>2.0645721139824769E-3</v>
      </c>
      <c r="U236" s="3">
        <f t="shared" si="197"/>
        <v>2.0645721138284967E-3</v>
      </c>
      <c r="V236" s="3">
        <f t="shared" si="197"/>
        <v>2.0645721122886955E-3</v>
      </c>
      <c r="W236" s="3">
        <f t="shared" si="197"/>
        <v>2.0645720968906806E-3</v>
      </c>
      <c r="X236" s="3">
        <f t="shared" si="197"/>
        <v>2.0645719429105386E-3</v>
      </c>
      <c r="Y236" s="3">
        <f t="shared" si="197"/>
        <v>2.0645704031097491E-3</v>
      </c>
      <c r="Z236" s="3">
        <f t="shared" si="197"/>
        <v>2.0645550051650152E-3</v>
      </c>
      <c r="AA236" s="3">
        <f t="shared" si="197"/>
        <v>2.0644010320337775E-3</v>
      </c>
      <c r="AB236" s="3">
        <f t="shared" si="197"/>
        <v>2.0628619321568353E-3</v>
      </c>
      <c r="AC236" s="3">
        <f t="shared" si="197"/>
        <v>2.0475339030310278E-3</v>
      </c>
      <c r="AD236" s="3">
        <f t="shared" si="197"/>
        <v>1.9003802212907185E-3</v>
      </c>
      <c r="AE236" s="3">
        <f t="shared" si="197"/>
        <v>9.0143518133940174E-4</v>
      </c>
      <c r="AF236" s="3">
        <f t="shared" si="197"/>
        <v>5.1984578158121276E-7</v>
      </c>
      <c r="AG236" s="3"/>
      <c r="AH236" s="3"/>
    </row>
    <row r="237" spans="2:34" x14ac:dyDescent="0.25">
      <c r="B237" s="3">
        <f t="shared" ref="B237:AF237" si="198">$C45*EXP(-B$207/$A45/EXP(-$D$126))</f>
        <v>5.3484126683110472E-4</v>
      </c>
      <c r="C237" s="3">
        <f t="shared" si="198"/>
        <v>5.3484126683110472E-4</v>
      </c>
      <c r="D237" s="3">
        <f t="shared" si="198"/>
        <v>5.3484126683110472E-4</v>
      </c>
      <c r="E237" s="3">
        <f t="shared" si="198"/>
        <v>5.3484126683110472E-4</v>
      </c>
      <c r="F237" s="3">
        <f t="shared" si="198"/>
        <v>5.3484126683110472E-4</v>
      </c>
      <c r="G237" s="3">
        <f t="shared" si="198"/>
        <v>5.3484126683110472E-4</v>
      </c>
      <c r="H237" s="3">
        <f t="shared" si="198"/>
        <v>5.3484126683110472E-4</v>
      </c>
      <c r="I237" s="3">
        <f t="shared" si="198"/>
        <v>5.3484126683110472E-4</v>
      </c>
      <c r="J237" s="3">
        <f t="shared" si="198"/>
        <v>5.3484126683110472E-4</v>
      </c>
      <c r="K237" s="3">
        <f t="shared" si="198"/>
        <v>5.3484126683110472E-4</v>
      </c>
      <c r="L237" s="3">
        <f t="shared" si="198"/>
        <v>5.3484126683110472E-4</v>
      </c>
      <c r="M237" s="3">
        <f t="shared" si="198"/>
        <v>5.3484126683110472E-4</v>
      </c>
      <c r="N237" s="3">
        <f t="shared" si="198"/>
        <v>5.3484126683110472E-4</v>
      </c>
      <c r="O237" s="3">
        <f t="shared" si="198"/>
        <v>5.3484126683110472E-4</v>
      </c>
      <c r="P237" s="3">
        <f t="shared" si="198"/>
        <v>5.3484126683110461E-4</v>
      </c>
      <c r="Q237" s="3">
        <f t="shared" si="198"/>
        <v>5.3484126683110429E-4</v>
      </c>
      <c r="R237" s="3">
        <f t="shared" si="198"/>
        <v>5.3484126683110028E-4</v>
      </c>
      <c r="S237" s="3">
        <f t="shared" si="198"/>
        <v>5.3484126683106038E-4</v>
      </c>
      <c r="T237" s="3">
        <f t="shared" si="198"/>
        <v>5.348412668306615E-4</v>
      </c>
      <c r="U237" s="3">
        <f t="shared" si="198"/>
        <v>5.348412668266725E-4</v>
      </c>
      <c r="V237" s="3">
        <f t="shared" si="198"/>
        <v>5.3484126678678297E-4</v>
      </c>
      <c r="W237" s="3">
        <f t="shared" si="198"/>
        <v>5.348412663878871E-4</v>
      </c>
      <c r="X237" s="3">
        <f t="shared" si="198"/>
        <v>5.3484126239892798E-4</v>
      </c>
      <c r="Y237" s="3">
        <f t="shared" si="198"/>
        <v>5.348412225093383E-4</v>
      </c>
      <c r="Z237" s="3">
        <f t="shared" si="198"/>
        <v>5.3484082361360621E-4</v>
      </c>
      <c r="AA237" s="3">
        <f t="shared" si="198"/>
        <v>5.3483683467264742E-4</v>
      </c>
      <c r="AB237" s="3">
        <f t="shared" si="198"/>
        <v>5.347969468992871E-4</v>
      </c>
      <c r="AC237" s="3">
        <f t="shared" si="198"/>
        <v>5.3439823274327306E-4</v>
      </c>
      <c r="AD237" s="3">
        <f t="shared" si="198"/>
        <v>5.304274038920642E-4</v>
      </c>
      <c r="AE237" s="3">
        <f t="shared" si="198"/>
        <v>4.9230625470712266E-4</v>
      </c>
      <c r="AF237" s="3">
        <f t="shared" si="198"/>
        <v>2.3352283559603909E-4</v>
      </c>
      <c r="AG237" s="3"/>
      <c r="AH237" s="3"/>
    </row>
    <row r="238" spans="2:34" x14ac:dyDescent="0.25">
      <c r="B238" s="3">
        <f t="shared" ref="B238:AF238" si="199">$C46*EXP(-B$207/$A46/EXP(-$D$126))</f>
        <v>1.465148476990797E-3</v>
      </c>
      <c r="C238" s="3">
        <f t="shared" si="199"/>
        <v>1.465148476990797E-3</v>
      </c>
      <c r="D238" s="3">
        <f t="shared" si="199"/>
        <v>1.465148476990797E-3</v>
      </c>
      <c r="E238" s="3">
        <f t="shared" si="199"/>
        <v>1.465148476990797E-3</v>
      </c>
      <c r="F238" s="3">
        <f t="shared" si="199"/>
        <v>1.465148476990797E-3</v>
      </c>
      <c r="G238" s="3">
        <f t="shared" si="199"/>
        <v>1.465148476990797E-3</v>
      </c>
      <c r="H238" s="3">
        <f t="shared" si="199"/>
        <v>1.465148476990797E-3</v>
      </c>
      <c r="I238" s="3">
        <f t="shared" si="199"/>
        <v>1.465148476990797E-3</v>
      </c>
      <c r="J238" s="3">
        <f t="shared" si="199"/>
        <v>1.465148476990797E-3</v>
      </c>
      <c r="K238" s="3">
        <f t="shared" si="199"/>
        <v>1.465148476990797E-3</v>
      </c>
      <c r="L238" s="3">
        <f t="shared" si="199"/>
        <v>1.465148476990797E-3</v>
      </c>
      <c r="M238" s="3">
        <f t="shared" si="199"/>
        <v>1.465148476990797E-3</v>
      </c>
      <c r="N238" s="3">
        <f t="shared" si="199"/>
        <v>1.465148476990797E-3</v>
      </c>
      <c r="O238" s="3">
        <f t="shared" si="199"/>
        <v>1.465148476990797E-3</v>
      </c>
      <c r="P238" s="3">
        <f t="shared" si="199"/>
        <v>1.465148476990797E-3</v>
      </c>
      <c r="Q238" s="3">
        <f t="shared" si="199"/>
        <v>1.4651484769907968E-3</v>
      </c>
      <c r="R238" s="3">
        <f t="shared" si="199"/>
        <v>1.4651484769907959E-3</v>
      </c>
      <c r="S238" s="3">
        <f t="shared" si="199"/>
        <v>1.4651484769907849E-3</v>
      </c>
      <c r="T238" s="3">
        <f t="shared" si="199"/>
        <v>1.4651484769906756E-3</v>
      </c>
      <c r="U238" s="3">
        <f t="shared" si="199"/>
        <v>1.4651484769895829E-3</v>
      </c>
      <c r="V238" s="3">
        <f t="shared" si="199"/>
        <v>1.4651484769786555E-3</v>
      </c>
      <c r="W238" s="3">
        <f t="shared" si="199"/>
        <v>1.4651484768693815E-3</v>
      </c>
      <c r="X238" s="3">
        <f t="shared" si="199"/>
        <v>1.465148475776643E-3</v>
      </c>
      <c r="Y238" s="3">
        <f t="shared" si="199"/>
        <v>1.4651484648492562E-3</v>
      </c>
      <c r="Z238" s="3">
        <f t="shared" si="199"/>
        <v>1.4651483555753928E-3</v>
      </c>
      <c r="AA238" s="3">
        <f t="shared" si="199"/>
        <v>1.4651472628372094E-3</v>
      </c>
      <c r="AB238" s="3">
        <f t="shared" si="199"/>
        <v>1.4651363355001974E-3</v>
      </c>
      <c r="AC238" s="3">
        <f t="shared" si="199"/>
        <v>1.4650270666123728E-3</v>
      </c>
      <c r="AD238" s="3">
        <f t="shared" si="199"/>
        <v>1.4639348258398911E-3</v>
      </c>
      <c r="AE238" s="3">
        <f t="shared" si="199"/>
        <v>1.4530571052813969E-3</v>
      </c>
      <c r="AF238" s="3">
        <f t="shared" si="199"/>
        <v>1.3486277219610301E-3</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1.026110794379005E-2</v>
      </c>
      <c r="C240" s="3">
        <f t="shared" si="201"/>
        <v>1.026110794379005E-2</v>
      </c>
      <c r="D240" s="3">
        <f t="shared" si="201"/>
        <v>1.026110794379005E-2</v>
      </c>
      <c r="E240" s="3">
        <f t="shared" si="201"/>
        <v>1.026110794379005E-2</v>
      </c>
      <c r="F240" s="3">
        <f t="shared" si="201"/>
        <v>1.026110794379005E-2</v>
      </c>
      <c r="G240" s="3">
        <f t="shared" si="201"/>
        <v>1.026110794379005E-2</v>
      </c>
      <c r="H240" s="3">
        <f t="shared" si="201"/>
        <v>1.026110794379005E-2</v>
      </c>
      <c r="I240" s="3">
        <f t="shared" si="201"/>
        <v>1.026110794379005E-2</v>
      </c>
      <c r="J240" s="3">
        <f t="shared" si="201"/>
        <v>1.026110794379005E-2</v>
      </c>
      <c r="K240" s="3">
        <f t="shared" si="201"/>
        <v>1.026110794379005E-2</v>
      </c>
      <c r="L240" s="3">
        <f t="shared" si="201"/>
        <v>1.026110794379005E-2</v>
      </c>
      <c r="M240" s="3">
        <f t="shared" si="201"/>
        <v>1.026110794379005E-2</v>
      </c>
      <c r="N240" s="3">
        <f t="shared" si="201"/>
        <v>1.026110794379005E-2</v>
      </c>
      <c r="O240" s="3">
        <f t="shared" si="201"/>
        <v>1.026110794379005E-2</v>
      </c>
      <c r="P240" s="3">
        <f t="shared" si="201"/>
        <v>1.026110794379005E-2</v>
      </c>
      <c r="Q240" s="3">
        <f t="shared" si="201"/>
        <v>1.026110794379005E-2</v>
      </c>
      <c r="R240" s="3">
        <f t="shared" si="201"/>
        <v>1.026110794379005E-2</v>
      </c>
      <c r="S240" s="3">
        <f t="shared" si="201"/>
        <v>1.0261107943790048E-2</v>
      </c>
      <c r="T240" s="3">
        <f t="shared" si="201"/>
        <v>1.0261107943790041E-2</v>
      </c>
      <c r="U240" s="3">
        <f t="shared" si="201"/>
        <v>1.0261107943789965E-2</v>
      </c>
      <c r="V240" s="3">
        <f t="shared" si="201"/>
        <v>1.02611079437892E-2</v>
      </c>
      <c r="W240" s="3">
        <f t="shared" si="201"/>
        <v>1.0261107943781546E-2</v>
      </c>
      <c r="X240" s="3">
        <f t="shared" si="201"/>
        <v>1.0261107943705017E-2</v>
      </c>
      <c r="Y240" s="3">
        <f t="shared" si="201"/>
        <v>1.0261107942939721E-2</v>
      </c>
      <c r="Z240" s="3">
        <f t="shared" si="201"/>
        <v>1.0261107935286772E-2</v>
      </c>
      <c r="AA240" s="3">
        <f t="shared" si="201"/>
        <v>1.0261107858757262E-2</v>
      </c>
      <c r="AB240" s="3">
        <f t="shared" si="201"/>
        <v>1.0261107093462191E-2</v>
      </c>
      <c r="AC240" s="3">
        <f t="shared" si="201"/>
        <v>1.0261099440514634E-2</v>
      </c>
      <c r="AD240" s="3">
        <f t="shared" si="201"/>
        <v>1.0261022911352998E-2</v>
      </c>
      <c r="AE240" s="3">
        <f t="shared" si="201"/>
        <v>1.0260257651128198E-2</v>
      </c>
      <c r="AF240" s="3">
        <f t="shared" si="201"/>
        <v>1.0252608187170756E-2</v>
      </c>
      <c r="AG240" s="3"/>
      <c r="AH240" s="3"/>
    </row>
    <row r="241" spans="1:34" x14ac:dyDescent="0.25">
      <c r="A241" s="79">
        <f>AVERAGE(B241:AF241)</f>
        <v>2.1228518299015339E-2</v>
      </c>
      <c r="B241" s="80">
        <f>IF($A$64&lt;=B207,IF($B$64&gt;=B207,ABS((B209-B208)/B208),0),0)</f>
        <v>5.5285174782034797E-2</v>
      </c>
      <c r="C241" s="80">
        <f t="shared" ref="C241:AF241" si="202">IF($A$64&lt;=C207,IF($B$64&gt;=C207,ABS((C209-C208)/C208),0),0)</f>
        <v>3.6755851420476257E-2</v>
      </c>
      <c r="D241" s="80">
        <f t="shared" si="202"/>
        <v>2.0593871905314927E-2</v>
      </c>
      <c r="E241" s="80">
        <f t="shared" si="202"/>
        <v>9.3286528952804242E-3</v>
      </c>
      <c r="F241" s="80">
        <f t="shared" si="202"/>
        <v>1.9690420395311627E-2</v>
      </c>
      <c r="G241" s="80">
        <f t="shared" si="202"/>
        <v>1.9526923324152016E-2</v>
      </c>
      <c r="H241" s="80">
        <f t="shared" si="202"/>
        <v>1.7570578604281056E-2</v>
      </c>
      <c r="I241" s="80">
        <f t="shared" si="202"/>
        <v>1.9285141992025658E-2</v>
      </c>
      <c r="J241" s="80">
        <f t="shared" si="202"/>
        <v>1.7514201020888954E-2</v>
      </c>
      <c r="K241" s="80">
        <f t="shared" si="202"/>
        <v>1.9069668577763019E-2</v>
      </c>
      <c r="L241" s="80">
        <f t="shared" si="202"/>
        <v>1.9986993725201675E-2</v>
      </c>
      <c r="M241" s="80">
        <f t="shared" si="202"/>
        <v>1.9313044061574313E-2</v>
      </c>
      <c r="N241" s="80">
        <f t="shared" si="202"/>
        <v>1.9289172498224375E-2</v>
      </c>
      <c r="O241" s="80">
        <f t="shared" si="202"/>
        <v>1.8337294946501572E-2</v>
      </c>
      <c r="P241" s="80">
        <f t="shared" si="202"/>
        <v>1.9704875550788727E-2</v>
      </c>
      <c r="Q241" s="80">
        <f t="shared" si="202"/>
        <v>1.8643457646836177E-2</v>
      </c>
      <c r="R241" s="80">
        <f t="shared" si="202"/>
        <v>1.8425984358814592E-2</v>
      </c>
      <c r="S241" s="80">
        <f t="shared" si="202"/>
        <v>1.0282755292577337E-2</v>
      </c>
      <c r="T241" s="80">
        <f t="shared" si="202"/>
        <v>3.1153416337726017E-2</v>
      </c>
      <c r="U241" s="80">
        <f t="shared" si="202"/>
        <v>7.192684368966698E-2</v>
      </c>
      <c r="V241" s="80">
        <f t="shared" si="202"/>
        <v>6.5264483720057262E-2</v>
      </c>
      <c r="W241" s="80">
        <f t="shared" si="202"/>
        <v>4.0518617455179463E-2</v>
      </c>
      <c r="X241" s="80">
        <f t="shared" si="202"/>
        <v>1.8657459115444728E-2</v>
      </c>
      <c r="Y241" s="80">
        <f t="shared" si="202"/>
        <v>7.9454530557822138E-3</v>
      </c>
      <c r="Z241" s="80">
        <f t="shared" si="202"/>
        <v>9.1795727481435243E-4</v>
      </c>
      <c r="AA241" s="80">
        <f t="shared" si="202"/>
        <v>2.0003783791012798E-2</v>
      </c>
      <c r="AB241" s="80">
        <f t="shared" si="202"/>
        <v>5.7859824339115667E-3</v>
      </c>
      <c r="AC241" s="80">
        <f t="shared" si="202"/>
        <v>1.1201245572199443E-2</v>
      </c>
      <c r="AD241" s="80">
        <f t="shared" si="202"/>
        <v>5.47188292651094E-4</v>
      </c>
      <c r="AE241" s="80">
        <f t="shared" si="202"/>
        <v>4.0552931089928327E-3</v>
      </c>
      <c r="AF241" s="80">
        <f t="shared" si="202"/>
        <v>1.5022804239893672E-3</v>
      </c>
    </row>
    <row r="242" spans="1:34" x14ac:dyDescent="0.25">
      <c r="B242" s="21">
        <f>(B209-B208)^2</f>
        <v>370457.06569143973</v>
      </c>
      <c r="C242" s="21">
        <f t="shared" ref="C242:AF242" si="203">(C209-C208)^2</f>
        <v>157482.57622989273</v>
      </c>
      <c r="D242" s="21">
        <f t="shared" si="203"/>
        <v>47743.3160752357</v>
      </c>
      <c r="E242" s="21">
        <f t="shared" si="203"/>
        <v>9437.6543492815345</v>
      </c>
      <c r="F242" s="21">
        <f t="shared" si="203"/>
        <v>40293.760335942308</v>
      </c>
      <c r="G242" s="21">
        <f t="shared" si="203"/>
        <v>37808.405290361814</v>
      </c>
      <c r="H242" s="21">
        <f t="shared" si="203"/>
        <v>28922.023654036213</v>
      </c>
      <c r="I242" s="21">
        <f t="shared" si="203"/>
        <v>33066.390638166398</v>
      </c>
      <c r="J242" s="21">
        <f t="shared" si="203"/>
        <v>25776.449018135128</v>
      </c>
      <c r="K242" s="21">
        <f t="shared" si="203"/>
        <v>28620.142376689746</v>
      </c>
      <c r="L242" s="21">
        <f t="shared" si="203"/>
        <v>29005.477842290908</v>
      </c>
      <c r="M242" s="21">
        <f t="shared" si="203"/>
        <v>24833.87257167112</v>
      </c>
      <c r="N242" s="21">
        <f t="shared" si="203"/>
        <v>22950.161803587103</v>
      </c>
      <c r="O242" s="21">
        <f t="shared" si="203"/>
        <v>19285.706032855265</v>
      </c>
      <c r="P242" s="21">
        <f t="shared" si="203"/>
        <v>20656.769201917919</v>
      </c>
      <c r="Q242" s="21">
        <f t="shared" si="203"/>
        <v>17052.6598467888</v>
      </c>
      <c r="R242" s="21">
        <f t="shared" si="203"/>
        <v>15314.377494455877</v>
      </c>
      <c r="S242" s="21">
        <f t="shared" si="203"/>
        <v>4219.9479582145432</v>
      </c>
      <c r="T242" s="21">
        <f t="shared" si="203"/>
        <v>30165.794567845587</v>
      </c>
      <c r="U242" s="21">
        <f t="shared" si="203"/>
        <v>105576.20018056316</v>
      </c>
      <c r="V242" s="21">
        <f t="shared" si="203"/>
        <v>54566.385610836362</v>
      </c>
      <c r="W242" s="21">
        <f t="shared" si="203"/>
        <v>13211.965702049165</v>
      </c>
      <c r="X242" s="21">
        <f t="shared" si="203"/>
        <v>1705.8352616024795</v>
      </c>
      <c r="Y242" s="21">
        <f t="shared" si="203"/>
        <v>172.00402104869906</v>
      </c>
      <c r="Z242" s="21">
        <f t="shared" si="203"/>
        <v>1.1508503230947256</v>
      </c>
      <c r="AA242" s="21">
        <f t="shared" si="203"/>
        <v>267.80084701764872</v>
      </c>
      <c r="AB242" s="21">
        <f t="shared" si="203"/>
        <v>12.013038739726028</v>
      </c>
      <c r="AC242" s="21">
        <f t="shared" si="203"/>
        <v>29.883186499163763</v>
      </c>
      <c r="AD242" s="21">
        <f t="shared" si="203"/>
        <v>5.5752139095799298E-2</v>
      </c>
      <c r="AE242" s="21">
        <f t="shared" si="203"/>
        <v>2.6584406473083053</v>
      </c>
      <c r="AF242" s="21">
        <f t="shared" si="203"/>
        <v>0.33712159272073233</v>
      </c>
      <c r="AG242" s="3"/>
      <c r="AH242" s="3"/>
    </row>
    <row r="243" spans="1:34" x14ac:dyDescent="0.25">
      <c r="A243" s="71">
        <f>SUM(B243:AF243)</f>
        <v>1138638.8409918672</v>
      </c>
      <c r="B243" s="60">
        <f>IF($A$64&lt;=B207,IF($B$64&gt;=B207,ABS(B242),0),0)</f>
        <v>370457.06569143973</v>
      </c>
      <c r="C243" s="60">
        <f t="shared" ref="C243" si="204">IF($A$64&lt;=C207,IF($B$64&gt;=C207,ABS(C242),0),0)</f>
        <v>157482.57622989273</v>
      </c>
      <c r="D243" s="60">
        <f t="shared" ref="D243" si="205">IF($A$64&lt;=D207,IF($B$64&gt;=D207,ABS(D242),0),0)</f>
        <v>47743.3160752357</v>
      </c>
      <c r="E243" s="60">
        <f t="shared" ref="E243" si="206">IF($A$64&lt;=E207,IF($B$64&gt;=E207,ABS(E242),0),0)</f>
        <v>9437.6543492815345</v>
      </c>
      <c r="F243" s="60">
        <f t="shared" ref="F243" si="207">IF($A$64&lt;=F207,IF($B$64&gt;=F207,ABS(F242),0),0)</f>
        <v>40293.760335942308</v>
      </c>
      <c r="G243" s="60">
        <f t="shared" ref="G243" si="208">IF($A$64&lt;=G207,IF($B$64&gt;=G207,ABS(G242),0),0)</f>
        <v>37808.405290361814</v>
      </c>
      <c r="H243" s="60">
        <f t="shared" ref="H243" si="209">IF($A$64&lt;=H207,IF($B$64&gt;=H207,ABS(H242),0),0)</f>
        <v>28922.023654036213</v>
      </c>
      <c r="I243" s="60">
        <f t="shared" ref="I243" si="210">IF($A$64&lt;=I207,IF($B$64&gt;=I207,ABS(I242),0),0)</f>
        <v>33066.390638166398</v>
      </c>
      <c r="J243" s="60">
        <f t="shared" ref="J243" si="211">IF($A$64&lt;=J207,IF($B$64&gt;=J207,ABS(J242),0),0)</f>
        <v>25776.449018135128</v>
      </c>
      <c r="K243" s="60">
        <f t="shared" ref="K243" si="212">IF($A$64&lt;=K207,IF($B$64&gt;=K207,ABS(K242),0),0)</f>
        <v>28620.142376689746</v>
      </c>
      <c r="L243" s="60">
        <f t="shared" ref="L243" si="213">IF($A$64&lt;=L207,IF($B$64&gt;=L207,ABS(L242),0),0)</f>
        <v>29005.477842290908</v>
      </c>
      <c r="M243" s="60">
        <f t="shared" ref="M243" si="214">IF($A$64&lt;=M207,IF($B$64&gt;=M207,ABS(M242),0),0)</f>
        <v>24833.87257167112</v>
      </c>
      <c r="N243" s="60">
        <f t="shared" ref="N243" si="215">IF($A$64&lt;=N207,IF($B$64&gt;=N207,ABS(N242),0),0)</f>
        <v>22950.161803587103</v>
      </c>
      <c r="O243" s="60">
        <f t="shared" ref="O243" si="216">IF($A$64&lt;=O207,IF($B$64&gt;=O207,ABS(O242),0),0)</f>
        <v>19285.706032855265</v>
      </c>
      <c r="P243" s="60">
        <f t="shared" ref="P243" si="217">IF($A$64&lt;=P207,IF($B$64&gt;=P207,ABS(P242),0),0)</f>
        <v>20656.769201917919</v>
      </c>
      <c r="Q243" s="60">
        <f t="shared" ref="Q243" si="218">IF($A$64&lt;=Q207,IF($B$64&gt;=Q207,ABS(Q242),0),0)</f>
        <v>17052.6598467888</v>
      </c>
      <c r="R243" s="60">
        <f t="shared" ref="R243" si="219">IF($A$64&lt;=R207,IF($B$64&gt;=R207,ABS(R242),0),0)</f>
        <v>15314.377494455877</v>
      </c>
      <c r="S243" s="60">
        <f t="shared" ref="S243" si="220">IF($A$64&lt;=S207,IF($B$64&gt;=S207,ABS(S242),0),0)</f>
        <v>4219.9479582145432</v>
      </c>
      <c r="T243" s="60">
        <f t="shared" ref="T243" si="221">IF($A$64&lt;=T207,IF($B$64&gt;=T207,ABS(T242),0),0)</f>
        <v>30165.794567845587</v>
      </c>
      <c r="U243" s="60">
        <f t="shared" ref="U243" si="222">IF($A$64&lt;=U207,IF($B$64&gt;=U207,ABS(U242),0),0)</f>
        <v>105576.20018056316</v>
      </c>
      <c r="V243" s="60">
        <f t="shared" ref="V243" si="223">IF($A$64&lt;=V207,IF($B$64&gt;=V207,ABS(V242),0),0)</f>
        <v>54566.385610836362</v>
      </c>
      <c r="W243" s="60">
        <f t="shared" ref="W243" si="224">IF($A$64&lt;=W207,IF($B$64&gt;=W207,ABS(W242),0),0)</f>
        <v>13211.965702049165</v>
      </c>
      <c r="X243" s="60">
        <f t="shared" ref="X243" si="225">IF($A$64&lt;=X207,IF($B$64&gt;=X207,ABS(X242),0),0)</f>
        <v>1705.8352616024795</v>
      </c>
      <c r="Y243" s="60">
        <f t="shared" ref="Y243" si="226">IF($A$64&lt;=Y207,IF($B$64&gt;=Y207,ABS(Y242),0),0)</f>
        <v>172.00402104869906</v>
      </c>
      <c r="Z243" s="60">
        <f t="shared" ref="Z243" si="227">IF($A$64&lt;=Z207,IF($B$64&gt;=Z207,ABS(Z242),0),0)</f>
        <v>1.1508503230947256</v>
      </c>
      <c r="AA243" s="60">
        <f t="shared" ref="AA243" si="228">IF($A$64&lt;=AA207,IF($B$64&gt;=AA207,ABS(AA242),0),0)</f>
        <v>267.80084701764872</v>
      </c>
      <c r="AB243" s="60">
        <f t="shared" ref="AB243" si="229">IF($A$64&lt;=AB207,IF($B$64&gt;=AB207,ABS(AB242),0),0)</f>
        <v>12.013038739726028</v>
      </c>
      <c r="AC243" s="60">
        <f t="shared" ref="AC243" si="230">IF($A$64&lt;=AC207,IF($B$64&gt;=AC207,ABS(AC242),0),0)</f>
        <v>29.883186499163763</v>
      </c>
      <c r="AD243" s="60">
        <f t="shared" ref="AD243" si="231">IF($A$64&lt;=AD207,IF($B$64&gt;=AD207,ABS(AD242),0),0)</f>
        <v>5.5752139095799298E-2</v>
      </c>
      <c r="AE243" s="60">
        <f t="shared" ref="AE243" si="232">IF($A$64&lt;=AE207,IF($B$64&gt;=AE207,ABS(AE242),0),0)</f>
        <v>2.6584406473083053</v>
      </c>
      <c r="AF243" s="60">
        <f t="shared" ref="AF243" si="233">IF($A$64&lt;=AF207,IF($B$64&gt;=AF207,ABS(AF242),0),0)</f>
        <v>0.33712159272073233</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10761.801351389528</v>
      </c>
      <c r="C247" s="26">
        <f>INDEX(Comparison!$AM$3:$AS$33,G$14,$E$122)</f>
        <v>10547.11616169445</v>
      </c>
      <c r="D247" s="26">
        <f>INDEX(Comparison!$AM$3:$AS$33,H$14,$E$122)</f>
        <v>10349.894568285434</v>
      </c>
      <c r="E247" s="26">
        <f>INDEX(Comparison!$AM$3:$AS$33,I$14,$E$122)</f>
        <v>10133.265997491257</v>
      </c>
      <c r="F247" s="26">
        <f>INDEX(Comparison!$AM$3:$AS$33,J$14,$E$122)</f>
        <v>9898.4994293430227</v>
      </c>
      <c r="G247" s="26">
        <f>INDEX(Comparison!$AM$3:$AS$33,K$14,$E$122)</f>
        <v>9623.1820365655622</v>
      </c>
      <c r="H247" s="26">
        <f>INDEX(Comparison!$AM$3:$AS$33,L$14,$E$122)</f>
        <v>9373.9337150399151</v>
      </c>
      <c r="I247" s="26">
        <f>INDEX(Comparison!$AM$3:$AS$33,M$14,$E$122)</f>
        <v>9114.1360760931802</v>
      </c>
      <c r="J247" s="26">
        <f>INDEX(Comparison!$AM$3:$AS$33,N$14,$E$122)</f>
        <v>8823.7573464712859</v>
      </c>
      <c r="K247" s="26">
        <f>INDEX(Comparison!$AM$3:$AS$33,O$14,$E$122)</f>
        <v>8477.9341078683501</v>
      </c>
      <c r="L247" s="26">
        <f>INDEX(Comparison!$AM$3:$AS$33,P$14,$E$122)</f>
        <v>8118.5828227804013</v>
      </c>
      <c r="M247" s="26">
        <f>INDEX(Comparison!$AM$3:$AS$33,Q$14,$E$122)</f>
        <v>7811.8955545814642</v>
      </c>
      <c r="N247" s="26">
        <f>INDEX(Comparison!$AM$3:$AS$33,R$14,$E$122)</f>
        <v>7534.5067060295696</v>
      </c>
      <c r="O247" s="26">
        <f>INDEX(Comparison!$AM$3:$AS$33,S$14,$E$122)</f>
        <v>7256.8628130889483</v>
      </c>
      <c r="P247" s="26">
        <f>INDEX(Comparison!$AM$3:$AS$33,T$14,$E$122)</f>
        <v>6971.3695334324493</v>
      </c>
      <c r="Q247" s="26">
        <f>INDEX(Comparison!$AM$3:$AS$33,U$14,$E$122)</f>
        <v>6688.5259415281262</v>
      </c>
      <c r="R247" s="26">
        <f>INDEX(Comparison!$AM$3:$AS$33,V$14,$E$122)</f>
        <v>6332.8599538611707</v>
      </c>
      <c r="S247" s="26">
        <f>INDEX(Comparison!$AM$3:$AS$33,W$14,$E$122)</f>
        <v>5707.8128215740962</v>
      </c>
      <c r="T247" s="26">
        <f>INDEX(Comparison!$AM$3:$AS$33,X$14,$E$122)</f>
        <v>4703.4024219609055</v>
      </c>
      <c r="U247" s="26">
        <f>INDEX(Comparison!$AM$3:$AS$33,Y$14,$E$122)</f>
        <v>3716.6695709784594</v>
      </c>
      <c r="V247" s="26">
        <f>INDEX(Comparison!$AM$3:$AS$33,Z$14,$E$122)</f>
        <v>2925.6425281910142</v>
      </c>
      <c r="W247" s="26">
        <f>INDEX(Comparison!$AM$3:$AS$33,AA$14,$E$122)</f>
        <v>2271.2592133629987</v>
      </c>
      <c r="X247" s="26">
        <f>INDEX(Comparison!$AM$3:$AS$33,AB$14,$E$122)</f>
        <v>1690.9117320692962</v>
      </c>
      <c r="Y247" s="26">
        <f>INDEX(Comparison!$AM$3:$AS$33,AC$14,$E$122)</f>
        <v>1194.4542594457305</v>
      </c>
      <c r="Z247" s="26">
        <f>INDEX(Comparison!$AM$3:$AS$33,AD$14,$E$122)</f>
        <v>834.8043301176574</v>
      </c>
      <c r="AA247" s="26">
        <f>INDEX(Comparison!$AM$3:$AS$33,AE$14,$E$122)</f>
        <v>607.40413984309237</v>
      </c>
      <c r="AB247" s="26">
        <f>INDEX(Comparison!$AM$3:$AS$33,AF$14,$E$122)</f>
        <v>493.01101666641495</v>
      </c>
      <c r="AC247" s="26">
        <f>INDEX(Comparison!$AM$3:$AS$33,AG$14,$E$122)</f>
        <v>433.7285115590953</v>
      </c>
      <c r="AD247" s="26">
        <f>INDEX(Comparison!$AM$3:$AS$33,AH$14,$E$122)</f>
        <v>403.76473002951963</v>
      </c>
      <c r="AE247" s="26">
        <f>INDEX(Comparison!$AM$3:$AS$33,AI$14,$E$122)</f>
        <v>387.64349199783766</v>
      </c>
      <c r="AF247" s="26">
        <f>INDEX(Comparison!$AM$3:$AS$33,AJ$14,$E$122)</f>
        <v>374.47481405228427</v>
      </c>
      <c r="AG247" s="26"/>
      <c r="AH247" s="26"/>
    </row>
    <row r="248" spans="1:34" x14ac:dyDescent="0.25">
      <c r="A248" s="70" t="s">
        <v>22</v>
      </c>
      <c r="B248" s="27">
        <f>($C$17+SUM(B249:B279))*$B$51</f>
        <v>10399.956245159839</v>
      </c>
      <c r="C248" s="27">
        <f t="shared" ref="C248:AF248" si="234">($C$17+SUM(C249:C279))*$B$51</f>
        <v>10392.83137244184</v>
      </c>
      <c r="D248" s="27">
        <f t="shared" si="234"/>
        <v>10327.408564793486</v>
      </c>
      <c r="E248" s="27">
        <f t="shared" si="234"/>
        <v>10015.993058697746</v>
      </c>
      <c r="F248" s="27">
        <f t="shared" si="234"/>
        <v>9778.6716513507399</v>
      </c>
      <c r="G248" s="27">
        <f t="shared" si="234"/>
        <v>9528.0686415074633</v>
      </c>
      <c r="H248" s="27">
        <f t="shared" si="234"/>
        <v>9266.0550436004614</v>
      </c>
      <c r="I248" s="27">
        <f t="shared" si="234"/>
        <v>9024.3025653768</v>
      </c>
      <c r="J248" s="27">
        <f t="shared" si="234"/>
        <v>8727.0374634709988</v>
      </c>
      <c r="K248" s="27">
        <f t="shared" si="234"/>
        <v>8376.8389619170939</v>
      </c>
      <c r="L248" s="27">
        <f t="shared" si="234"/>
        <v>8026.1088756215622</v>
      </c>
      <c r="M248" s="27">
        <f t="shared" si="234"/>
        <v>7720.93325416679</v>
      </c>
      <c r="N248" s="27">
        <f t="shared" si="234"/>
        <v>7452.5679161904172</v>
      </c>
      <c r="O248" s="27">
        <f t="shared" si="234"/>
        <v>7169.6381902245066</v>
      </c>
      <c r="P248" s="27">
        <f t="shared" si="234"/>
        <v>6889.304614119168</v>
      </c>
      <c r="Q248" s="27">
        <f t="shared" si="234"/>
        <v>6612.6452004872053</v>
      </c>
      <c r="R248" s="27">
        <f t="shared" si="234"/>
        <v>6273.0686577529768</v>
      </c>
      <c r="S248" s="27">
        <f t="shared" si="234"/>
        <v>5794.1867217909066</v>
      </c>
      <c r="T248" s="27">
        <f t="shared" si="234"/>
        <v>4900.5685669194327</v>
      </c>
      <c r="U248" s="27">
        <f t="shared" si="234"/>
        <v>3865.0423987669433</v>
      </c>
      <c r="V248" s="27">
        <f t="shared" si="234"/>
        <v>2994.0686966176072</v>
      </c>
      <c r="W248" s="27">
        <f t="shared" si="234"/>
        <v>2293.7214829345285</v>
      </c>
      <c r="X248" s="27">
        <f t="shared" si="234"/>
        <v>1667.0583154720982</v>
      </c>
      <c r="Y248" s="27">
        <f t="shared" si="234"/>
        <v>1203.5033152878073</v>
      </c>
      <c r="Z248" s="27">
        <f t="shared" si="234"/>
        <v>817.82076447364625</v>
      </c>
      <c r="AA248" s="27">
        <f t="shared" si="234"/>
        <v>606.0609406400315</v>
      </c>
      <c r="AB248" s="27">
        <f t="shared" si="234"/>
        <v>486.52365953463124</v>
      </c>
      <c r="AC248" s="27">
        <f t="shared" si="234"/>
        <v>434.40027515055755</v>
      </c>
      <c r="AD248" s="27">
        <f t="shared" si="234"/>
        <v>401.79153449423796</v>
      </c>
      <c r="AE248" s="27">
        <f t="shared" si="234"/>
        <v>386.44140461681678</v>
      </c>
      <c r="AF248" s="27">
        <f t="shared" si="234"/>
        <v>375.31581180241227</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3.6447892436206927E-2</v>
      </c>
      <c r="C250" s="3">
        <f t="shared" si="236"/>
        <v>3.5853054018680428E-2</v>
      </c>
      <c r="D250" s="3">
        <f t="shared" si="236"/>
        <v>3.0413296979551026E-2</v>
      </c>
      <c r="E250" s="3">
        <f t="shared" si="236"/>
        <v>5.867282183004887E-3</v>
      </c>
      <c r="F250" s="3">
        <f t="shared" si="236"/>
        <v>4.1895917568526414E-10</v>
      </c>
      <c r="G250" s="3">
        <f t="shared" si="236"/>
        <v>1.4438398104107333E-81</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1.7683283625864816E-2</v>
      </c>
      <c r="C251" s="3">
        <f t="shared" si="237"/>
        <v>1.7657054607383819E-2</v>
      </c>
      <c r="D251" s="3">
        <f t="shared" si="237"/>
        <v>1.7396894683325784E-2</v>
      </c>
      <c r="E251" s="3">
        <f t="shared" si="237"/>
        <v>1.4997072000419952E-2</v>
      </c>
      <c r="F251" s="3">
        <f t="shared" si="237"/>
        <v>3.3990213931870241E-3</v>
      </c>
      <c r="G251" s="3">
        <f t="shared" si="237"/>
        <v>1.2157047483795547E-9</v>
      </c>
      <c r="H251" s="3">
        <f t="shared" si="237"/>
        <v>4.164570926071337E-74</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2.4470125051339709E-2</v>
      </c>
      <c r="C252" s="3">
        <f t="shared" si="238"/>
        <v>2.4466848664926398E-2</v>
      </c>
      <c r="D252" s="3">
        <f t="shared" si="238"/>
        <v>2.4434108918849212E-2</v>
      </c>
      <c r="E252" s="3">
        <f t="shared" si="238"/>
        <v>2.4109111357333676E-2</v>
      </c>
      <c r="F252" s="3">
        <f t="shared" si="238"/>
        <v>2.1087649637375812E-2</v>
      </c>
      <c r="G252" s="3">
        <f t="shared" si="238"/>
        <v>5.5271076285104597E-3</v>
      </c>
      <c r="H252" s="3">
        <f t="shared" si="238"/>
        <v>8.4565917330676615E-9</v>
      </c>
      <c r="I252" s="3">
        <f t="shared" si="238"/>
        <v>5.9452454690982789E-67</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2.4627478977273787E-2</v>
      </c>
      <c r="C253" s="3">
        <f t="shared" si="239"/>
        <v>2.4627181501276796E-2</v>
      </c>
      <c r="D253" s="3">
        <f t="shared" si="239"/>
        <v>2.4624206938926852E-2</v>
      </c>
      <c r="E253" s="3">
        <f t="shared" si="239"/>
        <v>2.4594481068596182E-2</v>
      </c>
      <c r="F253" s="3">
        <f t="shared" si="239"/>
        <v>2.4299188882398088E-2</v>
      </c>
      <c r="G253" s="3">
        <f t="shared" si="239"/>
        <v>2.1534406653513624E-2</v>
      </c>
      <c r="H253" s="3">
        <f t="shared" si="239"/>
        <v>6.4349361294992729E-3</v>
      </c>
      <c r="I253" s="3">
        <f t="shared" si="239"/>
        <v>3.6530662408678041E-8</v>
      </c>
      <c r="J253" s="3">
        <f t="shared" si="239"/>
        <v>1.2699616727284885E-60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1.9757997023296718E-2</v>
      </c>
      <c r="C254" s="3">
        <f t="shared" si="240"/>
        <v>1.9757975494296379E-2</v>
      </c>
      <c r="D254" s="3">
        <f t="shared" si="240"/>
        <v>1.9757760205583189E-2</v>
      </c>
      <c r="E254" s="3">
        <f t="shared" si="240"/>
        <v>1.9755607447468796E-2</v>
      </c>
      <c r="F254" s="3">
        <f t="shared" si="240"/>
        <v>1.9734092762873433E-2</v>
      </c>
      <c r="G254" s="3">
        <f t="shared" si="240"/>
        <v>1.9520230387457725E-2</v>
      </c>
      <c r="H254" s="3">
        <f t="shared" si="240"/>
        <v>1.7505022647900038E-2</v>
      </c>
      <c r="I254" s="3">
        <f t="shared" si="240"/>
        <v>5.8876238470042625E-3</v>
      </c>
      <c r="J254" s="3">
        <f t="shared" si="240"/>
        <v>1.090721421307246E-7</v>
      </c>
      <c r="K254" s="3">
        <f t="shared" si="240"/>
        <v>5.1933992582613484E-55</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3.0456672807183758E-2</v>
      </c>
      <c r="C255" s="3">
        <f t="shared" si="241"/>
        <v>3.0456669813470415E-2</v>
      </c>
      <c r="D255" s="3">
        <f t="shared" si="241"/>
        <v>3.0456639876353175E-2</v>
      </c>
      <c r="E255" s="3">
        <f t="shared" si="241"/>
        <v>3.0456340506799219E-2</v>
      </c>
      <c r="F255" s="3">
        <f t="shared" si="241"/>
        <v>3.0453346973098667E-2</v>
      </c>
      <c r="G255" s="3">
        <f t="shared" si="241"/>
        <v>3.0423427814107628E-2</v>
      </c>
      <c r="H255" s="3">
        <f t="shared" si="241"/>
        <v>3.0125848157328453E-2</v>
      </c>
      <c r="I255" s="3">
        <f t="shared" si="241"/>
        <v>2.7305533452953994E-2</v>
      </c>
      <c r="J255" s="3">
        <f t="shared" si="241"/>
        <v>1.0217966929958576E-2</v>
      </c>
      <c r="K255" s="3">
        <f t="shared" si="241"/>
        <v>5.5017742361274754E-7</v>
      </c>
      <c r="L255" s="3">
        <f t="shared" si="241"/>
        <v>1.1269002886288395E-49</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3.3429649492177221E-2</v>
      </c>
      <c r="C256" s="3">
        <f t="shared" si="242"/>
        <v>3.3429649195758117E-2</v>
      </c>
      <c r="D256" s="3">
        <f t="shared" si="242"/>
        <v>3.3429646231567231E-2</v>
      </c>
      <c r="E256" s="3">
        <f t="shared" si="242"/>
        <v>3.3429616589672841E-2</v>
      </c>
      <c r="F256" s="3">
        <f t="shared" si="242"/>
        <v>3.3429320172174523E-2</v>
      </c>
      <c r="G256" s="3">
        <f t="shared" si="242"/>
        <v>3.3426356141744398E-2</v>
      </c>
      <c r="H256" s="3">
        <f t="shared" si="242"/>
        <v>3.3396730288012134E-2</v>
      </c>
      <c r="I256" s="3">
        <f t="shared" si="242"/>
        <v>3.3101912077900232E-2</v>
      </c>
      <c r="J256" s="3">
        <f t="shared" si="242"/>
        <v>3.0293147304915558E-2</v>
      </c>
      <c r="K256" s="3">
        <f t="shared" si="242"/>
        <v>1.2481234858328557E-2</v>
      </c>
      <c r="L256" s="3">
        <f t="shared" si="242"/>
        <v>1.7594994768629034E-6</v>
      </c>
      <c r="M256" s="3">
        <f t="shared" si="242"/>
        <v>5.4538728539235567E-45</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3.2540934879440271E-2</v>
      </c>
      <c r="C257" s="3">
        <f t="shared" si="243"/>
        <v>3.2540934853411661E-2</v>
      </c>
      <c r="D257" s="3">
        <f t="shared" si="243"/>
        <v>3.2540934593125556E-2</v>
      </c>
      <c r="E257" s="3">
        <f t="shared" si="243"/>
        <v>3.2540931990264636E-2</v>
      </c>
      <c r="F257" s="3">
        <f t="shared" si="243"/>
        <v>3.254090596166688E-2</v>
      </c>
      <c r="G257" s="3">
        <f t="shared" si="243"/>
        <v>3.2540645676834394E-2</v>
      </c>
      <c r="H257" s="3">
        <f t="shared" si="243"/>
        <v>3.2538042943013469E-2</v>
      </c>
      <c r="I257" s="3">
        <f t="shared" si="243"/>
        <v>3.251202705180805E-2</v>
      </c>
      <c r="J257" s="3">
        <f t="shared" si="243"/>
        <v>3.2253009459600052E-2</v>
      </c>
      <c r="K257" s="3">
        <f t="shared" si="243"/>
        <v>2.9773658808000644E-2</v>
      </c>
      <c r="L257" s="3">
        <f t="shared" si="243"/>
        <v>1.3379868349452052E-2</v>
      </c>
      <c r="M257" s="3">
        <f t="shared" si="243"/>
        <v>4.4941562750473178E-6</v>
      </c>
      <c r="N257" s="3">
        <f t="shared" si="243"/>
        <v>8.2150737787025151E-41</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2.464151130065128E-2</v>
      </c>
      <c r="C258" s="3">
        <f t="shared" si="244"/>
        <v>2.4641511298873268E-2</v>
      </c>
      <c r="D258" s="3">
        <f t="shared" si="244"/>
        <v>2.464151128109314E-2</v>
      </c>
      <c r="E258" s="3">
        <f t="shared" si="244"/>
        <v>2.4641511103291856E-2</v>
      </c>
      <c r="F258" s="3">
        <f t="shared" si="244"/>
        <v>2.4641509325279108E-2</v>
      </c>
      <c r="G258" s="3">
        <f t="shared" si="244"/>
        <v>2.4641491545158687E-2</v>
      </c>
      <c r="H258" s="3">
        <f t="shared" si="244"/>
        <v>2.4641313744660078E-2</v>
      </c>
      <c r="I258" s="3">
        <f t="shared" si="244"/>
        <v>2.4639535810232972E-2</v>
      </c>
      <c r="J258" s="3">
        <f t="shared" si="244"/>
        <v>2.4621763519975731E-2</v>
      </c>
      <c r="K258" s="3">
        <f t="shared" si="244"/>
        <v>2.4444744139176466E-2</v>
      </c>
      <c r="L258" s="3">
        <f t="shared" si="244"/>
        <v>2.2743059987992864E-2</v>
      </c>
      <c r="M258" s="3">
        <f t="shared" si="244"/>
        <v>1.1053069646371767E-2</v>
      </c>
      <c r="N258" s="3">
        <f t="shared" si="244"/>
        <v>8.1249931483902978E-6</v>
      </c>
      <c r="O258" s="3">
        <f t="shared" si="244"/>
        <v>3.7430357235232291E-37</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2.4122417967738386E-2</v>
      </c>
      <c r="C259" s="3">
        <f t="shared" si="245"/>
        <v>2.4122417967581373E-2</v>
      </c>
      <c r="D259" s="3">
        <f t="shared" si="245"/>
        <v>2.4122417966011247E-2</v>
      </c>
      <c r="E259" s="3">
        <f t="shared" si="245"/>
        <v>2.4122417950309966E-2</v>
      </c>
      <c r="F259" s="3">
        <f t="shared" si="245"/>
        <v>2.4122417793297195E-2</v>
      </c>
      <c r="G259" s="3">
        <f t="shared" si="245"/>
        <v>2.4122416223169546E-2</v>
      </c>
      <c r="H259" s="3">
        <f t="shared" si="245"/>
        <v>2.4122400521898686E-2</v>
      </c>
      <c r="I259" s="3">
        <f t="shared" si="245"/>
        <v>2.4122243509752159E-2</v>
      </c>
      <c r="J259" s="3">
        <f t="shared" si="245"/>
        <v>2.4120673444495144E-2</v>
      </c>
      <c r="K259" s="3">
        <f t="shared" si="245"/>
        <v>2.4104978411398147E-2</v>
      </c>
      <c r="L259" s="3">
        <f t="shared" si="245"/>
        <v>2.3948588676741558E-2</v>
      </c>
      <c r="M259" s="3">
        <f t="shared" si="245"/>
        <v>2.2439424045381618E-2</v>
      </c>
      <c r="N259" s="3">
        <f t="shared" si="245"/>
        <v>1.1703870636160813E-2</v>
      </c>
      <c r="O259" s="3">
        <f t="shared" si="245"/>
        <v>1.7438438129366508E-5</v>
      </c>
      <c r="P259" s="3">
        <f t="shared" si="245"/>
        <v>9.403473491463671E-34</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2.8528246553065226E-2</v>
      </c>
      <c r="C260" s="3">
        <f t="shared" si="246"/>
        <v>2.8528246553048479E-2</v>
      </c>
      <c r="D260" s="3">
        <f t="shared" si="246"/>
        <v>2.8528246552880967E-2</v>
      </c>
      <c r="E260" s="3">
        <f t="shared" si="246"/>
        <v>2.852824655120589E-2</v>
      </c>
      <c r="F260" s="3">
        <f t="shared" si="246"/>
        <v>2.8528246534455078E-2</v>
      </c>
      <c r="G260" s="3">
        <f t="shared" si="246"/>
        <v>2.852824636694698E-2</v>
      </c>
      <c r="H260" s="3">
        <f t="shared" si="246"/>
        <v>2.8528244691866048E-2</v>
      </c>
      <c r="I260" s="3">
        <f t="shared" si="246"/>
        <v>2.8528227941062145E-2</v>
      </c>
      <c r="J260" s="3">
        <f t="shared" si="246"/>
        <v>2.852806043356405E-2</v>
      </c>
      <c r="K260" s="3">
        <f t="shared" si="246"/>
        <v>2.8526385412677081E-2</v>
      </c>
      <c r="L260" s="3">
        <f t="shared" si="246"/>
        <v>2.8509640612028018E-2</v>
      </c>
      <c r="M260" s="3">
        <f t="shared" si="246"/>
        <v>2.8342732254501169E-2</v>
      </c>
      <c r="N260" s="3">
        <f t="shared" si="246"/>
        <v>2.6726459366966694E-2</v>
      </c>
      <c r="O260" s="3">
        <f t="shared" si="246"/>
        <v>1.4857254880544533E-2</v>
      </c>
      <c r="P260" s="3">
        <f t="shared" si="246"/>
        <v>4.1870681134036039E-5</v>
      </c>
      <c r="Q260" s="3">
        <f t="shared" si="246"/>
        <v>1.3231971165122364E-30</v>
      </c>
      <c r="R260" s="3">
        <f t="shared" si="246"/>
        <v>1.3145277094497404E-285</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2.1048719571397843E-2</v>
      </c>
      <c r="C261" s="3">
        <f t="shared" si="247"/>
        <v>2.1048719571396729E-2</v>
      </c>
      <c r="D261" s="3">
        <f t="shared" si="247"/>
        <v>2.1048719571385578E-2</v>
      </c>
      <c r="E261" s="3">
        <f t="shared" si="247"/>
        <v>2.1048719571274091E-2</v>
      </c>
      <c r="F261" s="3">
        <f t="shared" si="247"/>
        <v>2.1048719570159198E-2</v>
      </c>
      <c r="G261" s="3">
        <f t="shared" si="247"/>
        <v>2.1048719559010273E-2</v>
      </c>
      <c r="H261" s="3">
        <f t="shared" si="247"/>
        <v>2.1048719447521021E-2</v>
      </c>
      <c r="I261" s="3">
        <f t="shared" si="247"/>
        <v>2.104871833262853E-2</v>
      </c>
      <c r="J261" s="3">
        <f t="shared" si="247"/>
        <v>2.1048707183706876E-2</v>
      </c>
      <c r="K261" s="3">
        <f t="shared" si="247"/>
        <v>2.1048595694815112E-2</v>
      </c>
      <c r="L261" s="3">
        <f t="shared" si="247"/>
        <v>2.1047480838375803E-2</v>
      </c>
      <c r="M261" s="3">
        <f t="shared" si="247"/>
        <v>2.1036335521178302E-2</v>
      </c>
      <c r="N261" s="3">
        <f t="shared" si="247"/>
        <v>2.0925206433282752E-2</v>
      </c>
      <c r="O261" s="3">
        <f t="shared" si="247"/>
        <v>1.9845697724491317E-2</v>
      </c>
      <c r="P261" s="3">
        <f t="shared" si="247"/>
        <v>1.1685104024754263E-2</v>
      </c>
      <c r="Q261" s="3">
        <f t="shared" si="247"/>
        <v>5.8518702841112537E-5</v>
      </c>
      <c r="R261" s="3">
        <f t="shared" si="247"/>
        <v>5.8065178884738597E-28</v>
      </c>
      <c r="S261" s="3">
        <f t="shared" si="247"/>
        <v>5.3718829890317837E-258</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3.1114198963852629E-2</v>
      </c>
      <c r="C262" s="3">
        <f t="shared" si="248"/>
        <v>3.111419896385248E-2</v>
      </c>
      <c r="D262" s="3">
        <f t="shared" si="248"/>
        <v>3.1114198963850995E-2</v>
      </c>
      <c r="E262" s="3">
        <f t="shared" si="248"/>
        <v>3.1114198963836128E-2</v>
      </c>
      <c r="F262" s="3">
        <f t="shared" si="248"/>
        <v>3.1114198963687462E-2</v>
      </c>
      <c r="G262" s="3">
        <f t="shared" si="248"/>
        <v>3.1114198962200797E-2</v>
      </c>
      <c r="H262" s="3">
        <f t="shared" si="248"/>
        <v>3.1114198947334165E-2</v>
      </c>
      <c r="I262" s="3">
        <f t="shared" si="248"/>
        <v>3.1114198798667867E-2</v>
      </c>
      <c r="J262" s="3">
        <f t="shared" si="248"/>
        <v>3.1114197312004897E-2</v>
      </c>
      <c r="K262" s="3">
        <f t="shared" si="248"/>
        <v>3.1114182445379075E-2</v>
      </c>
      <c r="L262" s="3">
        <f t="shared" si="248"/>
        <v>3.1114033779511566E-2</v>
      </c>
      <c r="M262" s="3">
        <f t="shared" si="248"/>
        <v>3.1112547159904403E-2</v>
      </c>
      <c r="N262" s="3">
        <f t="shared" si="248"/>
        <v>3.1097684869937074E-2</v>
      </c>
      <c r="O262" s="3">
        <f t="shared" si="248"/>
        <v>3.0949451891016888E-2</v>
      </c>
      <c r="P262" s="3">
        <f t="shared" si="248"/>
        <v>2.9505433561039577E-2</v>
      </c>
      <c r="Q262" s="3">
        <f t="shared" si="248"/>
        <v>1.8297526542372426E-2</v>
      </c>
      <c r="R262" s="3">
        <f t="shared" si="248"/>
        <v>1.5392041914636431E-4</v>
      </c>
      <c r="S262" s="3">
        <f t="shared" si="248"/>
        <v>2.7310820794695335E-25</v>
      </c>
      <c r="T262" s="3">
        <f t="shared" si="248"/>
        <v>8.4473386389507546E-233</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2.5140718095571668E-2</v>
      </c>
      <c r="C263" s="3">
        <f t="shared" si="249"/>
        <v>2.5140718095571658E-2</v>
      </c>
      <c r="D263" s="3">
        <f t="shared" si="249"/>
        <v>2.5140718095571547E-2</v>
      </c>
      <c r="E263" s="3">
        <f t="shared" si="249"/>
        <v>2.5140718095570464E-2</v>
      </c>
      <c r="F263" s="3">
        <f t="shared" si="249"/>
        <v>2.5140718095559626E-2</v>
      </c>
      <c r="G263" s="3">
        <f t="shared" si="249"/>
        <v>2.5140718095451264E-2</v>
      </c>
      <c r="H263" s="3">
        <f t="shared" si="249"/>
        <v>2.5140718094367642E-2</v>
      </c>
      <c r="I263" s="3">
        <f t="shared" si="249"/>
        <v>2.5140718083531414E-2</v>
      </c>
      <c r="J263" s="3">
        <f t="shared" si="249"/>
        <v>2.5140717975169122E-2</v>
      </c>
      <c r="K263" s="3">
        <f t="shared" si="249"/>
        <v>2.514071689154623E-2</v>
      </c>
      <c r="L263" s="3">
        <f t="shared" si="249"/>
        <v>2.5140706055319886E-2</v>
      </c>
      <c r="M263" s="3">
        <f t="shared" si="249"/>
        <v>2.5140597693313338E-2</v>
      </c>
      <c r="N263" s="3">
        <f t="shared" si="249"/>
        <v>2.5139514098936052E-2</v>
      </c>
      <c r="O263" s="3">
        <f t="shared" si="249"/>
        <v>2.5128680723573604E-2</v>
      </c>
      <c r="P263" s="3">
        <f t="shared" si="249"/>
        <v>2.5020603401855905E-2</v>
      </c>
      <c r="Q263" s="3">
        <f t="shared" si="249"/>
        <v>2.3965069093631157E-2</v>
      </c>
      <c r="R263" s="3">
        <f t="shared" si="249"/>
        <v>1.5573554596251989E-2</v>
      </c>
      <c r="S263" s="3">
        <f t="shared" si="249"/>
        <v>2.0915988405633646E-4</v>
      </c>
      <c r="T263" s="3">
        <f t="shared" si="249"/>
        <v>3.9937862683634138E-23</v>
      </c>
      <c r="U263" s="3">
        <f t="shared" si="249"/>
        <v>2.5730551191712563E-210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7.3741618123119579E-2</v>
      </c>
      <c r="C264" s="3">
        <f t="shared" si="250"/>
        <v>7.3741618123119579E-2</v>
      </c>
      <c r="D264" s="3">
        <f t="shared" si="250"/>
        <v>7.3741618123119551E-2</v>
      </c>
      <c r="E264" s="3">
        <f t="shared" si="250"/>
        <v>7.374161812311926E-2</v>
      </c>
      <c r="F264" s="3">
        <f t="shared" si="250"/>
        <v>7.3741618123116401E-2</v>
      </c>
      <c r="G264" s="3">
        <f t="shared" si="250"/>
        <v>7.3741618123087729E-2</v>
      </c>
      <c r="H264" s="3">
        <f t="shared" si="250"/>
        <v>7.3741618122801E-2</v>
      </c>
      <c r="I264" s="3">
        <f t="shared" si="250"/>
        <v>7.374161811993378E-2</v>
      </c>
      <c r="J264" s="3">
        <f t="shared" si="250"/>
        <v>7.3741618091261674E-2</v>
      </c>
      <c r="K264" s="3">
        <f t="shared" si="250"/>
        <v>7.3741617804540499E-2</v>
      </c>
      <c r="L264" s="3">
        <f t="shared" si="250"/>
        <v>7.3741614937328892E-2</v>
      </c>
      <c r="M264" s="3">
        <f t="shared" si="250"/>
        <v>7.3741586265218845E-2</v>
      </c>
      <c r="N264" s="3">
        <f t="shared" si="250"/>
        <v>7.3741299544731534E-2</v>
      </c>
      <c r="O264" s="3">
        <f t="shared" si="250"/>
        <v>7.3738432401172879E-2</v>
      </c>
      <c r="P264" s="3">
        <f t="shared" si="250"/>
        <v>7.3709767096146073E-2</v>
      </c>
      <c r="Q264" s="3">
        <f t="shared" si="250"/>
        <v>7.3423726220800928E-2</v>
      </c>
      <c r="R264" s="3">
        <f t="shared" si="250"/>
        <v>7.0623663351488397E-2</v>
      </c>
      <c r="S264" s="3">
        <f t="shared" si="250"/>
        <v>4.7872757571717599E-2</v>
      </c>
      <c r="T264" s="3">
        <f t="shared" si="250"/>
        <v>9.8055165342921945E-4</v>
      </c>
      <c r="U264" s="3">
        <f t="shared" si="250"/>
        <v>1.2743560788707265E-20</v>
      </c>
      <c r="V264" s="3">
        <f t="shared" si="250"/>
        <v>1.7518381545989251E-189</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9.9846945696723061E-2</v>
      </c>
      <c r="C265" s="3">
        <f t="shared" si="251"/>
        <v>9.9846945696723061E-2</v>
      </c>
      <c r="D265" s="3">
        <f t="shared" si="251"/>
        <v>9.9846945696723061E-2</v>
      </c>
      <c r="E265" s="3">
        <f t="shared" si="251"/>
        <v>9.9846945696723019E-2</v>
      </c>
      <c r="F265" s="3">
        <f t="shared" si="251"/>
        <v>9.9846945696722672E-2</v>
      </c>
      <c r="G265" s="3">
        <f t="shared" si="251"/>
        <v>9.9846945696719175E-2</v>
      </c>
      <c r="H265" s="3">
        <f t="shared" si="251"/>
        <v>9.9846945696684147E-2</v>
      </c>
      <c r="I265" s="3">
        <f t="shared" si="251"/>
        <v>9.9846945696333941E-2</v>
      </c>
      <c r="J265" s="3">
        <f t="shared" si="251"/>
        <v>9.984694569283184E-2</v>
      </c>
      <c r="K265" s="3">
        <f t="shared" si="251"/>
        <v>9.9846945657810854E-2</v>
      </c>
      <c r="L265" s="3">
        <f t="shared" si="251"/>
        <v>9.9846945307600909E-2</v>
      </c>
      <c r="M265" s="3">
        <f t="shared" si="251"/>
        <v>9.9846941805501563E-2</v>
      </c>
      <c r="N265" s="3">
        <f t="shared" si="251"/>
        <v>9.9846906784514938E-2</v>
      </c>
      <c r="O265" s="3">
        <f t="shared" si="251"/>
        <v>9.9846556575324208E-2</v>
      </c>
      <c r="P265" s="3">
        <f t="shared" si="251"/>
        <v>9.984305455097521E-2</v>
      </c>
      <c r="Q265" s="3">
        <f t="shared" si="251"/>
        <v>9.9808041062436598E-2</v>
      </c>
      <c r="R265" s="3">
        <f t="shared" si="251"/>
        <v>9.9458580796371848E-2</v>
      </c>
      <c r="S265" s="3">
        <f t="shared" si="251"/>
        <v>9.6030572725001026E-2</v>
      </c>
      <c r="T265" s="3">
        <f t="shared" si="251"/>
        <v>6.7621084292516731E-2</v>
      </c>
      <c r="U265" s="3">
        <f t="shared" si="251"/>
        <v>2.0267876232861258E-3</v>
      </c>
      <c r="V265" s="3">
        <f t="shared" si="251"/>
        <v>1.185958183266696E-18</v>
      </c>
      <c r="W265" s="3">
        <f t="shared" si="251"/>
        <v>5.5805975186046682E-171</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8.4959897030223219E-2</v>
      </c>
      <c r="C266" s="3">
        <f t="shared" si="252"/>
        <v>8.4959897030223219E-2</v>
      </c>
      <c r="D266" s="3">
        <f t="shared" si="252"/>
        <v>8.4959897030223219E-2</v>
      </c>
      <c r="E266" s="3">
        <f t="shared" si="252"/>
        <v>8.4959897030223219E-2</v>
      </c>
      <c r="F266" s="3">
        <f t="shared" si="252"/>
        <v>8.4959897030223192E-2</v>
      </c>
      <c r="G266" s="3">
        <f t="shared" si="252"/>
        <v>8.4959897030222914E-2</v>
      </c>
      <c r="H266" s="3">
        <f t="shared" si="252"/>
        <v>8.4959897030220236E-2</v>
      </c>
      <c r="I266" s="3">
        <f t="shared" si="252"/>
        <v>8.495989703019334E-2</v>
      </c>
      <c r="J266" s="3">
        <f t="shared" si="252"/>
        <v>8.4959897029924528E-2</v>
      </c>
      <c r="K266" s="3">
        <f t="shared" si="252"/>
        <v>8.4959897027236386E-2</v>
      </c>
      <c r="L266" s="3">
        <f t="shared" si="252"/>
        <v>8.4959897000354834E-2</v>
      </c>
      <c r="M266" s="3">
        <f t="shared" si="252"/>
        <v>8.4959896731539364E-2</v>
      </c>
      <c r="N266" s="3">
        <f t="shared" si="252"/>
        <v>8.4959894043384748E-2</v>
      </c>
      <c r="O266" s="3">
        <f t="shared" si="252"/>
        <v>8.49598671618432E-2</v>
      </c>
      <c r="P266" s="3">
        <f t="shared" si="252"/>
        <v>8.495959834689551E-2</v>
      </c>
      <c r="Q266" s="3">
        <f t="shared" si="252"/>
        <v>8.4956910244197714E-2</v>
      </c>
      <c r="R266" s="3">
        <f t="shared" si="252"/>
        <v>8.4930033894578955E-2</v>
      </c>
      <c r="S266" s="3">
        <f t="shared" si="252"/>
        <v>8.4661737587208338E-2</v>
      </c>
      <c r="T266" s="3">
        <f t="shared" si="252"/>
        <v>8.2024951059813944E-2</v>
      </c>
      <c r="U266" s="3">
        <f t="shared" si="252"/>
        <v>5.9776984503671936E-2</v>
      </c>
      <c r="V266" s="3">
        <f t="shared" si="252"/>
        <v>2.525888833134243E-3</v>
      </c>
      <c r="W266" s="3">
        <f t="shared" si="252"/>
        <v>4.5837036629663543E-17</v>
      </c>
      <c r="X266" s="3">
        <f t="shared" si="252"/>
        <v>1.7751682852844515E-154</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6.3888587804479924E-2</v>
      </c>
      <c r="C267" s="3">
        <f t="shared" si="253"/>
        <v>6.3888587804479924E-2</v>
      </c>
      <c r="D267" s="3">
        <f t="shared" si="253"/>
        <v>6.3888587804479924E-2</v>
      </c>
      <c r="E267" s="3">
        <f t="shared" si="253"/>
        <v>6.3888587804479924E-2</v>
      </c>
      <c r="F267" s="3">
        <f t="shared" si="253"/>
        <v>6.3888587804479924E-2</v>
      </c>
      <c r="G267" s="3">
        <f t="shared" si="253"/>
        <v>6.3888587804479896E-2</v>
      </c>
      <c r="H267" s="3">
        <f t="shared" si="253"/>
        <v>6.3888587804479716E-2</v>
      </c>
      <c r="I267" s="3">
        <f t="shared" si="253"/>
        <v>6.3888587804477898E-2</v>
      </c>
      <c r="J267" s="3">
        <f t="shared" si="253"/>
        <v>6.3888587804459662E-2</v>
      </c>
      <c r="K267" s="3">
        <f t="shared" si="253"/>
        <v>6.3888587804277308E-2</v>
      </c>
      <c r="L267" s="3">
        <f t="shared" si="253"/>
        <v>6.3888587802453795E-2</v>
      </c>
      <c r="M267" s="3">
        <f t="shared" si="253"/>
        <v>6.3888587784218617E-2</v>
      </c>
      <c r="N267" s="3">
        <f t="shared" si="253"/>
        <v>6.3888587601866761E-2</v>
      </c>
      <c r="O267" s="3">
        <f t="shared" si="253"/>
        <v>6.388858577834837E-2</v>
      </c>
      <c r="P267" s="3">
        <f t="shared" si="253"/>
        <v>6.3888567543167282E-2</v>
      </c>
      <c r="Q267" s="3">
        <f t="shared" si="253"/>
        <v>6.388838519164268E-2</v>
      </c>
      <c r="R267" s="3">
        <f t="shared" si="253"/>
        <v>6.3886561705022188E-2</v>
      </c>
      <c r="S267" s="3">
        <f t="shared" si="253"/>
        <v>6.3868329701075241E-2</v>
      </c>
      <c r="T267" s="3">
        <f t="shared" si="253"/>
        <v>6.3686295585349231E-2</v>
      </c>
      <c r="U267" s="3">
        <f t="shared" si="253"/>
        <v>6.1894247141252051E-2</v>
      </c>
      <c r="V267" s="3">
        <f t="shared" si="253"/>
        <v>4.6525735767262072E-2</v>
      </c>
      <c r="W267" s="3">
        <f t="shared" si="253"/>
        <v>2.6799266134505998E-3</v>
      </c>
      <c r="X267" s="3">
        <f t="shared" si="253"/>
        <v>1.0775053084057755E-15</v>
      </c>
      <c r="Y267" s="3">
        <f t="shared" si="253"/>
        <v>1.1895551649441859E-139</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6.4356714781999613E-2</v>
      </c>
      <c r="C268" s="3">
        <f t="shared" si="254"/>
        <v>6.4356714781999613E-2</v>
      </c>
      <c r="D268" s="3">
        <f t="shared" si="254"/>
        <v>6.4356714781999613E-2</v>
      </c>
      <c r="E268" s="3">
        <f t="shared" si="254"/>
        <v>6.4356714781999613E-2</v>
      </c>
      <c r="F268" s="3">
        <f t="shared" si="254"/>
        <v>6.4356714781999613E-2</v>
      </c>
      <c r="G268" s="3">
        <f t="shared" si="254"/>
        <v>6.4356714781999613E-2</v>
      </c>
      <c r="H268" s="3">
        <f t="shared" si="254"/>
        <v>6.4356714781999586E-2</v>
      </c>
      <c r="I268" s="3">
        <f t="shared" si="254"/>
        <v>6.4356714781999433E-2</v>
      </c>
      <c r="J268" s="3">
        <f t="shared" si="254"/>
        <v>6.4356714781997768E-2</v>
      </c>
      <c r="K268" s="3">
        <f t="shared" si="254"/>
        <v>6.4356714781981197E-2</v>
      </c>
      <c r="L268" s="3">
        <f t="shared" si="254"/>
        <v>6.4356714781815497E-2</v>
      </c>
      <c r="M268" s="3">
        <f t="shared" si="254"/>
        <v>6.4356714780158475E-2</v>
      </c>
      <c r="N268" s="3">
        <f t="shared" si="254"/>
        <v>6.4356714763588299E-2</v>
      </c>
      <c r="O268" s="3">
        <f t="shared" si="254"/>
        <v>6.4356714597886458E-2</v>
      </c>
      <c r="P268" s="3">
        <f t="shared" si="254"/>
        <v>6.4356712940868102E-2</v>
      </c>
      <c r="Q268" s="3">
        <f t="shared" si="254"/>
        <v>6.4356696370686944E-2</v>
      </c>
      <c r="R268" s="3">
        <f t="shared" si="254"/>
        <v>6.4356530669109888E-2</v>
      </c>
      <c r="S268" s="3">
        <f t="shared" si="254"/>
        <v>6.4354873676804272E-2</v>
      </c>
      <c r="T268" s="3">
        <f t="shared" si="254"/>
        <v>6.4338306100015549E-2</v>
      </c>
      <c r="U268" s="3">
        <f t="shared" si="254"/>
        <v>6.4172864735502752E-2</v>
      </c>
      <c r="V268" s="3">
        <f t="shared" si="254"/>
        <v>6.254166965209132E-2</v>
      </c>
      <c r="W268" s="3">
        <f t="shared" si="254"/>
        <v>4.8344816218534897E-2</v>
      </c>
      <c r="X268" s="3">
        <f t="shared" si="254"/>
        <v>3.6825982048149779E-3</v>
      </c>
      <c r="Y268" s="3">
        <f t="shared" si="254"/>
        <v>2.4221362650737262E-14</v>
      </c>
      <c r="Z268" s="3">
        <f t="shared" si="254"/>
        <v>3.6697875441679172E-126</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2.3762961942572935E-2</v>
      </c>
      <c r="C269" s="3">
        <f t="shared" si="255"/>
        <v>2.3762961942572935E-2</v>
      </c>
      <c r="D269" s="3">
        <f t="shared" si="255"/>
        <v>2.3762961942572935E-2</v>
      </c>
      <c r="E269" s="3">
        <f t="shared" si="255"/>
        <v>2.3762961942572935E-2</v>
      </c>
      <c r="F269" s="3">
        <f t="shared" si="255"/>
        <v>2.3762961942572935E-2</v>
      </c>
      <c r="G269" s="3">
        <f t="shared" si="255"/>
        <v>2.3762961942572935E-2</v>
      </c>
      <c r="H269" s="3">
        <f t="shared" si="255"/>
        <v>2.3762961942572935E-2</v>
      </c>
      <c r="I269" s="3">
        <f t="shared" si="255"/>
        <v>2.3762961942572929E-2</v>
      </c>
      <c r="J269" s="3">
        <f t="shared" si="255"/>
        <v>2.3762961942572877E-2</v>
      </c>
      <c r="K269" s="3">
        <f t="shared" si="255"/>
        <v>2.3762961942572325E-2</v>
      </c>
      <c r="L269" s="3">
        <f t="shared" si="255"/>
        <v>2.3762961942566805E-2</v>
      </c>
      <c r="M269" s="3">
        <f t="shared" si="255"/>
        <v>2.376296194251161E-2</v>
      </c>
      <c r="N269" s="3">
        <f t="shared" si="255"/>
        <v>2.3762961941959683E-2</v>
      </c>
      <c r="O269" s="3">
        <f t="shared" si="255"/>
        <v>2.3762961936440428E-2</v>
      </c>
      <c r="P269" s="3">
        <f t="shared" si="255"/>
        <v>2.3762961881247859E-2</v>
      </c>
      <c r="Q269" s="3">
        <f t="shared" si="255"/>
        <v>2.3762961329322159E-2</v>
      </c>
      <c r="R269" s="3">
        <f t="shared" si="255"/>
        <v>2.3762955810065881E-2</v>
      </c>
      <c r="S269" s="3">
        <f t="shared" si="255"/>
        <v>2.3762900617573603E-2</v>
      </c>
      <c r="T269" s="3">
        <f t="shared" si="255"/>
        <v>2.3762348699701313E-2</v>
      </c>
      <c r="U269" s="3">
        <f t="shared" si="255"/>
        <v>2.37568302259667E-2</v>
      </c>
      <c r="V269" s="3">
        <f t="shared" si="255"/>
        <v>2.3701715926900659E-2</v>
      </c>
      <c r="W269" s="3">
        <f t="shared" si="255"/>
        <v>2.3157556605719304E-2</v>
      </c>
      <c r="X269" s="3">
        <f t="shared" si="255"/>
        <v>1.8357865802785991E-2</v>
      </c>
      <c r="Y269" s="3">
        <f t="shared" si="255"/>
        <v>1.7993545893039116E-3</v>
      </c>
      <c r="Z269" s="3">
        <f t="shared" si="255"/>
        <v>1.4725240843859538E-13</v>
      </c>
      <c r="AA269" s="3">
        <f t="shared" si="255"/>
        <v>1.9838960627415441E-114</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4.2794407584768095E-2</v>
      </c>
      <c r="C270" s="3">
        <f t="shared" si="256"/>
        <v>4.2794407584768095E-2</v>
      </c>
      <c r="D270" s="3">
        <f t="shared" si="256"/>
        <v>4.2794407584768095E-2</v>
      </c>
      <c r="E270" s="3">
        <f t="shared" si="256"/>
        <v>4.2794407584768095E-2</v>
      </c>
      <c r="F270" s="3">
        <f t="shared" si="256"/>
        <v>4.2794407584768095E-2</v>
      </c>
      <c r="G270" s="3">
        <f t="shared" si="256"/>
        <v>4.2794407584768095E-2</v>
      </c>
      <c r="H270" s="3">
        <f t="shared" si="256"/>
        <v>4.2794407584768095E-2</v>
      </c>
      <c r="I270" s="3">
        <f t="shared" si="256"/>
        <v>4.2794407584768088E-2</v>
      </c>
      <c r="J270" s="3">
        <f t="shared" si="256"/>
        <v>4.2794407584768067E-2</v>
      </c>
      <c r="K270" s="3">
        <f t="shared" si="256"/>
        <v>4.2794407584767789E-2</v>
      </c>
      <c r="L270" s="3">
        <f t="shared" si="256"/>
        <v>4.2794407584765042E-2</v>
      </c>
      <c r="M270" s="3">
        <f t="shared" si="256"/>
        <v>4.279440758473755E-2</v>
      </c>
      <c r="N270" s="3">
        <f t="shared" si="256"/>
        <v>4.2794407584462645E-2</v>
      </c>
      <c r="O270" s="3">
        <f t="shared" si="256"/>
        <v>4.2794407581713614E-2</v>
      </c>
      <c r="P270" s="3">
        <f t="shared" si="256"/>
        <v>4.2794407554223285E-2</v>
      </c>
      <c r="Q270" s="3">
        <f t="shared" si="256"/>
        <v>4.2794407279320004E-2</v>
      </c>
      <c r="R270" s="3">
        <f t="shared" si="256"/>
        <v>4.279440453028726E-2</v>
      </c>
      <c r="S270" s="3">
        <f t="shared" si="256"/>
        <v>4.2794377039969522E-2</v>
      </c>
      <c r="T270" s="3">
        <f t="shared" si="256"/>
        <v>4.2794102137763419E-2</v>
      </c>
      <c r="U270" s="3">
        <f t="shared" si="256"/>
        <v>4.2791353212825865E-2</v>
      </c>
      <c r="V270" s="3">
        <f t="shared" si="256"/>
        <v>4.2763873673486427E-2</v>
      </c>
      <c r="W270" s="3">
        <f t="shared" si="256"/>
        <v>4.2490046979767875E-2</v>
      </c>
      <c r="X270" s="3">
        <f t="shared" si="256"/>
        <v>3.9846386621649972E-2</v>
      </c>
      <c r="Y270" s="3">
        <f t="shared" si="256"/>
        <v>2.0960723879264009E-2</v>
      </c>
      <c r="Z270" s="3">
        <f t="shared" si="256"/>
        <v>3.4007883265903927E-5</v>
      </c>
      <c r="AA270" s="3">
        <f t="shared" si="256"/>
        <v>4.2984595474530749E-33</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2.2817294808056693E-2</v>
      </c>
      <c r="C271" s="3">
        <f t="shared" si="257"/>
        <v>2.2817294808056693E-2</v>
      </c>
      <c r="D271" s="3">
        <f t="shared" si="257"/>
        <v>2.2817294808056693E-2</v>
      </c>
      <c r="E271" s="3">
        <f t="shared" si="257"/>
        <v>2.2817294808056693E-2</v>
      </c>
      <c r="F271" s="3">
        <f t="shared" si="257"/>
        <v>2.2817294808056693E-2</v>
      </c>
      <c r="G271" s="3">
        <f t="shared" si="257"/>
        <v>2.2817294808056693E-2</v>
      </c>
      <c r="H271" s="3">
        <f t="shared" si="257"/>
        <v>2.2817294808056693E-2</v>
      </c>
      <c r="I271" s="3">
        <f t="shared" si="257"/>
        <v>2.2817294808056693E-2</v>
      </c>
      <c r="J271" s="3">
        <f t="shared" si="257"/>
        <v>2.2817294808056689E-2</v>
      </c>
      <c r="K271" s="3">
        <f t="shared" si="257"/>
        <v>2.2817294808056679E-2</v>
      </c>
      <c r="L271" s="3">
        <f t="shared" si="257"/>
        <v>2.281729480805653E-2</v>
      </c>
      <c r="M271" s="3">
        <f t="shared" si="257"/>
        <v>2.2817294808055066E-2</v>
      </c>
      <c r="N271" s="3">
        <f t="shared" si="257"/>
        <v>2.2817294808040407E-2</v>
      </c>
      <c r="O271" s="3">
        <f t="shared" si="257"/>
        <v>2.281729480789383E-2</v>
      </c>
      <c r="P271" s="3">
        <f t="shared" si="257"/>
        <v>2.2817294806428093E-2</v>
      </c>
      <c r="Q271" s="3">
        <f t="shared" si="257"/>
        <v>2.2817294791770689E-2</v>
      </c>
      <c r="R271" s="3">
        <f t="shared" si="257"/>
        <v>2.2817294645196648E-2</v>
      </c>
      <c r="S271" s="3">
        <f t="shared" si="257"/>
        <v>2.2817293179456282E-2</v>
      </c>
      <c r="T271" s="3">
        <f t="shared" si="257"/>
        <v>2.2817278522057814E-2</v>
      </c>
      <c r="U271" s="3">
        <f t="shared" si="257"/>
        <v>2.2817131948591002E-2</v>
      </c>
      <c r="V271" s="3">
        <f t="shared" si="257"/>
        <v>2.2815666265707527E-2</v>
      </c>
      <c r="W271" s="3">
        <f t="shared" si="257"/>
        <v>2.2801014614108994E-2</v>
      </c>
      <c r="X271" s="3">
        <f t="shared" si="257"/>
        <v>2.2655014593323208E-2</v>
      </c>
      <c r="Y271" s="3">
        <f t="shared" si="257"/>
        <v>2.1245457102801499E-2</v>
      </c>
      <c r="Z271" s="3">
        <f t="shared" si="257"/>
        <v>1.117592328380943E-2</v>
      </c>
      <c r="AA271" s="3">
        <f t="shared" si="257"/>
        <v>1.8132460339334142E-5</v>
      </c>
      <c r="AB271" s="3">
        <f t="shared" si="257"/>
        <v>2.2918699954068837E-33</v>
      </c>
      <c r="AC271" s="3">
        <f t="shared" si="257"/>
        <v>0</v>
      </c>
      <c r="AD271" s="3">
        <f t="shared" si="257"/>
        <v>0</v>
      </c>
      <c r="AE271" s="3">
        <f t="shared" si="257"/>
        <v>0</v>
      </c>
      <c r="AF271" s="3">
        <f t="shared" si="257"/>
        <v>0</v>
      </c>
      <c r="AG271" s="3"/>
      <c r="AH271" s="3"/>
    </row>
    <row r="272" spans="2:34" x14ac:dyDescent="0.25">
      <c r="B272" s="3">
        <f t="shared" ref="B272:AF272" si="258">$C41*EXP(-B$246/$A41/EXP(-$E$126))</f>
        <v>1.5874068547548043E-2</v>
      </c>
      <c r="C272" s="3">
        <f t="shared" si="258"/>
        <v>1.5874068547548043E-2</v>
      </c>
      <c r="D272" s="3">
        <f t="shared" si="258"/>
        <v>1.5874068547548043E-2</v>
      </c>
      <c r="E272" s="3">
        <f t="shared" si="258"/>
        <v>1.5874068547548043E-2</v>
      </c>
      <c r="F272" s="3">
        <f t="shared" si="258"/>
        <v>1.5874068547548043E-2</v>
      </c>
      <c r="G272" s="3">
        <f t="shared" si="258"/>
        <v>1.5874068547548043E-2</v>
      </c>
      <c r="H272" s="3">
        <f t="shared" si="258"/>
        <v>1.5874068547548043E-2</v>
      </c>
      <c r="I272" s="3">
        <f t="shared" si="258"/>
        <v>1.5874068547548043E-2</v>
      </c>
      <c r="J272" s="3">
        <f t="shared" si="258"/>
        <v>1.5874068547548043E-2</v>
      </c>
      <c r="K272" s="3">
        <f t="shared" si="258"/>
        <v>1.587406854754804E-2</v>
      </c>
      <c r="L272" s="3">
        <f t="shared" si="258"/>
        <v>1.5874068547548033E-2</v>
      </c>
      <c r="M272" s="3">
        <f t="shared" si="258"/>
        <v>1.5874068547547929E-2</v>
      </c>
      <c r="N272" s="3">
        <f t="shared" si="258"/>
        <v>1.5874068547546909E-2</v>
      </c>
      <c r="O272" s="3">
        <f t="shared" si="258"/>
        <v>1.5874068547536712E-2</v>
      </c>
      <c r="P272" s="3">
        <f t="shared" si="258"/>
        <v>1.5874068547434741E-2</v>
      </c>
      <c r="Q272" s="3">
        <f t="shared" si="258"/>
        <v>1.5874068546415022E-2</v>
      </c>
      <c r="R272" s="3">
        <f t="shared" si="258"/>
        <v>1.5874068536217815E-2</v>
      </c>
      <c r="S272" s="3">
        <f t="shared" si="258"/>
        <v>1.5874068434245762E-2</v>
      </c>
      <c r="T272" s="3">
        <f t="shared" si="258"/>
        <v>1.5874067414525274E-2</v>
      </c>
      <c r="U272" s="3">
        <f t="shared" si="258"/>
        <v>1.5874057217323986E-2</v>
      </c>
      <c r="V272" s="3">
        <f t="shared" si="258"/>
        <v>1.5873955245671385E-2</v>
      </c>
      <c r="W272" s="3">
        <f t="shared" si="258"/>
        <v>1.5872935565172143E-2</v>
      </c>
      <c r="X272" s="3">
        <f t="shared" si="258"/>
        <v>1.5862742362000321E-2</v>
      </c>
      <c r="Y272" s="3">
        <f t="shared" si="258"/>
        <v>1.5761169657725196E-2</v>
      </c>
      <c r="Z272" s="3">
        <f t="shared" si="258"/>
        <v>1.4780535782654664E-2</v>
      </c>
      <c r="AA272" s="3">
        <f t="shared" si="258"/>
        <v>7.7751273225731953E-3</v>
      </c>
      <c r="AB272" s="3">
        <f t="shared" si="258"/>
        <v>1.2614813490539323E-5</v>
      </c>
      <c r="AC272" s="3">
        <f t="shared" si="258"/>
        <v>1.5944616447832107E-33</v>
      </c>
      <c r="AD272" s="3">
        <f t="shared" si="258"/>
        <v>0</v>
      </c>
      <c r="AE272" s="3">
        <f t="shared" si="258"/>
        <v>0</v>
      </c>
      <c r="AF272" s="3">
        <f t="shared" si="258"/>
        <v>0</v>
      </c>
      <c r="AG272" s="3"/>
      <c r="AH272" s="3"/>
    </row>
    <row r="273" spans="1:34" x14ac:dyDescent="0.25">
      <c r="B273" s="3">
        <f t="shared" ref="B273:AF273" si="259">$C42*EXP(-B$246/$A42/EXP(-$E$126))</f>
        <v>5.5424436077778048E-3</v>
      </c>
      <c r="C273" s="3">
        <f t="shared" si="259"/>
        <v>5.5424436077778048E-3</v>
      </c>
      <c r="D273" s="3">
        <f t="shared" si="259"/>
        <v>5.5424436077778048E-3</v>
      </c>
      <c r="E273" s="3">
        <f t="shared" si="259"/>
        <v>5.5424436077778048E-3</v>
      </c>
      <c r="F273" s="3">
        <f t="shared" si="259"/>
        <v>5.5424436077778048E-3</v>
      </c>
      <c r="G273" s="3">
        <f t="shared" si="259"/>
        <v>5.5424436077778048E-3</v>
      </c>
      <c r="H273" s="3">
        <f t="shared" si="259"/>
        <v>5.5424436077778048E-3</v>
      </c>
      <c r="I273" s="3">
        <f t="shared" si="259"/>
        <v>5.5424436077778048E-3</v>
      </c>
      <c r="J273" s="3">
        <f t="shared" si="259"/>
        <v>5.5424436077778048E-3</v>
      </c>
      <c r="K273" s="3">
        <f t="shared" si="259"/>
        <v>5.5424436077778048E-3</v>
      </c>
      <c r="L273" s="3">
        <f t="shared" si="259"/>
        <v>5.542443607777804E-3</v>
      </c>
      <c r="M273" s="3">
        <f t="shared" si="259"/>
        <v>5.5424436077778014E-3</v>
      </c>
      <c r="N273" s="3">
        <f t="shared" si="259"/>
        <v>5.5424436077777658E-3</v>
      </c>
      <c r="O273" s="3">
        <f t="shared" si="259"/>
        <v>5.5424436077774093E-3</v>
      </c>
      <c r="P273" s="3">
        <f t="shared" si="259"/>
        <v>5.5424436077738488E-3</v>
      </c>
      <c r="Q273" s="3">
        <f t="shared" si="259"/>
        <v>5.5424436077382453E-3</v>
      </c>
      <c r="R273" s="3">
        <f t="shared" si="259"/>
        <v>5.542443607382209E-3</v>
      </c>
      <c r="S273" s="3">
        <f t="shared" si="259"/>
        <v>5.5424436038218469E-3</v>
      </c>
      <c r="T273" s="3">
        <f t="shared" si="259"/>
        <v>5.5424435682182235E-3</v>
      </c>
      <c r="U273" s="3">
        <f t="shared" si="259"/>
        <v>5.5424432121820074E-3</v>
      </c>
      <c r="V273" s="3">
        <f t="shared" si="259"/>
        <v>5.5424396518211003E-3</v>
      </c>
      <c r="W273" s="3">
        <f t="shared" si="259"/>
        <v>5.5424040483378189E-3</v>
      </c>
      <c r="X273" s="3">
        <f t="shared" si="259"/>
        <v>5.5420480260837844E-3</v>
      </c>
      <c r="Y273" s="3">
        <f t="shared" si="259"/>
        <v>5.5384890611219527E-3</v>
      </c>
      <c r="Z273" s="3">
        <f t="shared" si="259"/>
        <v>5.5030248709650237E-3</v>
      </c>
      <c r="AA273" s="3">
        <f t="shared" si="259"/>
        <v>5.1606357766899721E-3</v>
      </c>
      <c r="AB273" s="3">
        <f t="shared" si="259"/>
        <v>2.7146918636250109E-3</v>
      </c>
      <c r="AC273" s="3">
        <f t="shared" si="259"/>
        <v>4.4044721228540034E-6</v>
      </c>
      <c r="AD273" s="3">
        <f t="shared" si="259"/>
        <v>5.5670754630454297E-34</v>
      </c>
      <c r="AE273" s="3">
        <f t="shared" si="259"/>
        <v>0</v>
      </c>
      <c r="AF273" s="3">
        <f t="shared" si="259"/>
        <v>0</v>
      </c>
      <c r="AG273" s="3"/>
      <c r="AH273" s="3"/>
    </row>
    <row r="274" spans="1:34" x14ac:dyDescent="0.25">
      <c r="B274" s="3">
        <f t="shared" ref="B274:AF274" si="260">$C43*EXP(-B$246/$A43/EXP(-$E$126))</f>
        <v>3.8861309197679899E-3</v>
      </c>
      <c r="C274" s="3">
        <f t="shared" si="260"/>
        <v>3.8861309197679899E-3</v>
      </c>
      <c r="D274" s="3">
        <f t="shared" si="260"/>
        <v>3.8861309197679899E-3</v>
      </c>
      <c r="E274" s="3">
        <f t="shared" si="260"/>
        <v>3.8861309197679899E-3</v>
      </c>
      <c r="F274" s="3">
        <f t="shared" si="260"/>
        <v>3.8861309197679899E-3</v>
      </c>
      <c r="G274" s="3">
        <f t="shared" si="260"/>
        <v>3.8861309197679899E-3</v>
      </c>
      <c r="H274" s="3">
        <f t="shared" si="260"/>
        <v>3.8861309197679899E-3</v>
      </c>
      <c r="I274" s="3">
        <f t="shared" si="260"/>
        <v>3.8861309197679899E-3</v>
      </c>
      <c r="J274" s="3">
        <f t="shared" si="260"/>
        <v>3.8861309197679899E-3</v>
      </c>
      <c r="K274" s="3">
        <f t="shared" si="260"/>
        <v>3.8861309197679899E-3</v>
      </c>
      <c r="L274" s="3">
        <f t="shared" si="260"/>
        <v>3.8861309197679899E-3</v>
      </c>
      <c r="M274" s="3">
        <f t="shared" si="260"/>
        <v>3.8861309197679894E-3</v>
      </c>
      <c r="N274" s="3">
        <f t="shared" si="260"/>
        <v>3.8861309197679873E-3</v>
      </c>
      <c r="O274" s="3">
        <f t="shared" si="260"/>
        <v>3.8861309197679621E-3</v>
      </c>
      <c r="P274" s="3">
        <f t="shared" si="260"/>
        <v>3.8861309197677123E-3</v>
      </c>
      <c r="Q274" s="3">
        <f t="shared" si="260"/>
        <v>3.886130919765216E-3</v>
      </c>
      <c r="R274" s="3">
        <f t="shared" si="260"/>
        <v>3.8861309197402521E-3</v>
      </c>
      <c r="S274" s="3">
        <f t="shared" si="260"/>
        <v>3.8861309194906145E-3</v>
      </c>
      <c r="T274" s="3">
        <f t="shared" si="260"/>
        <v>3.8861309169942364E-3</v>
      </c>
      <c r="U274" s="3">
        <f t="shared" si="260"/>
        <v>3.8861308920304571E-3</v>
      </c>
      <c r="V274" s="3">
        <f t="shared" si="260"/>
        <v>3.8861306423926718E-3</v>
      </c>
      <c r="W274" s="3">
        <f t="shared" si="260"/>
        <v>3.8861281460156965E-3</v>
      </c>
      <c r="X274" s="3">
        <f t="shared" si="260"/>
        <v>3.8861031823341475E-3</v>
      </c>
      <c r="Y274" s="3">
        <f t="shared" si="260"/>
        <v>3.8858535543383681E-3</v>
      </c>
      <c r="Z274" s="3">
        <f t="shared" si="260"/>
        <v>3.8833581561423199E-3</v>
      </c>
      <c r="AA274" s="3">
        <f t="shared" si="260"/>
        <v>3.8584921411376804E-3</v>
      </c>
      <c r="AB274" s="3">
        <f t="shared" si="260"/>
        <v>3.6184231499103406E-3</v>
      </c>
      <c r="AC274" s="3">
        <f t="shared" si="260"/>
        <v>1.9034290171344717E-3</v>
      </c>
      <c r="AD274" s="3">
        <f t="shared" si="260"/>
        <v>3.0882326484764639E-6</v>
      </c>
      <c r="AE274" s="3">
        <f t="shared" si="260"/>
        <v>3.9034017521193447E-34</v>
      </c>
      <c r="AF274" s="3">
        <f t="shared" si="260"/>
        <v>0</v>
      </c>
      <c r="AG274" s="3"/>
      <c r="AH274" s="3"/>
    </row>
    <row r="275" spans="1:34" x14ac:dyDescent="0.25">
      <c r="B275" s="3">
        <f t="shared" ref="B275:AF275" si="261">$C44*EXP(-B$246/$A44/EXP(-$E$126))</f>
        <v>2.064572113999586E-3</v>
      </c>
      <c r="C275" s="3">
        <f t="shared" si="261"/>
        <v>2.064572113999586E-3</v>
      </c>
      <c r="D275" s="3">
        <f t="shared" si="261"/>
        <v>2.064572113999586E-3</v>
      </c>
      <c r="E275" s="3">
        <f t="shared" si="261"/>
        <v>2.064572113999586E-3</v>
      </c>
      <c r="F275" s="3">
        <f t="shared" si="261"/>
        <v>2.064572113999586E-3</v>
      </c>
      <c r="G275" s="3">
        <f t="shared" si="261"/>
        <v>2.064572113999586E-3</v>
      </c>
      <c r="H275" s="3">
        <f t="shared" si="261"/>
        <v>2.064572113999586E-3</v>
      </c>
      <c r="I275" s="3">
        <f t="shared" si="261"/>
        <v>2.064572113999586E-3</v>
      </c>
      <c r="J275" s="3">
        <f t="shared" si="261"/>
        <v>2.064572113999586E-3</v>
      </c>
      <c r="K275" s="3">
        <f t="shared" si="261"/>
        <v>2.064572113999586E-3</v>
      </c>
      <c r="L275" s="3">
        <f t="shared" si="261"/>
        <v>2.064572113999586E-3</v>
      </c>
      <c r="M275" s="3">
        <f t="shared" si="261"/>
        <v>2.064572113999586E-3</v>
      </c>
      <c r="N275" s="3">
        <f t="shared" si="261"/>
        <v>2.0645721139995856E-3</v>
      </c>
      <c r="O275" s="3">
        <f t="shared" si="261"/>
        <v>2.0645721139995847E-3</v>
      </c>
      <c r="P275" s="3">
        <f t="shared" si="261"/>
        <v>2.0645721139995713E-3</v>
      </c>
      <c r="Q275" s="3">
        <f t="shared" si="261"/>
        <v>2.0645721139994386E-3</v>
      </c>
      <c r="R275" s="3">
        <f t="shared" si="261"/>
        <v>2.0645721139981124E-3</v>
      </c>
      <c r="S275" s="3">
        <f t="shared" si="261"/>
        <v>2.06457211398485E-3</v>
      </c>
      <c r="T275" s="3">
        <f t="shared" si="261"/>
        <v>2.0645721138522256E-3</v>
      </c>
      <c r="U275" s="3">
        <f t="shared" si="261"/>
        <v>2.0645721125259831E-3</v>
      </c>
      <c r="V275" s="3">
        <f t="shared" si="261"/>
        <v>2.0645720992635572E-3</v>
      </c>
      <c r="W275" s="3">
        <f t="shared" si="261"/>
        <v>2.0645719666393045E-3</v>
      </c>
      <c r="X275" s="3">
        <f t="shared" si="261"/>
        <v>2.0645706403972413E-3</v>
      </c>
      <c r="Y275" s="3">
        <f t="shared" si="261"/>
        <v>2.0645573780234678E-3</v>
      </c>
      <c r="Z275" s="3">
        <f t="shared" si="261"/>
        <v>2.0644247589713567E-3</v>
      </c>
      <c r="AA275" s="3">
        <f t="shared" si="261"/>
        <v>2.0630990369009347E-3</v>
      </c>
      <c r="AB275" s="3">
        <f t="shared" si="261"/>
        <v>2.0498885501147768E-3</v>
      </c>
      <c r="AC275" s="3">
        <f t="shared" si="261"/>
        <v>1.9223478792118091E-3</v>
      </c>
      <c r="AD275" s="3">
        <f t="shared" si="261"/>
        <v>1.0112285331828413E-3</v>
      </c>
      <c r="AE275" s="3">
        <f t="shared" si="261"/>
        <v>1.6406752987025581E-6</v>
      </c>
      <c r="AF275" s="3">
        <f t="shared" si="261"/>
        <v>2.073747532840158E-34</v>
      </c>
      <c r="AG275" s="3"/>
      <c r="AH275" s="3"/>
    </row>
    <row r="276" spans="1:34" x14ac:dyDescent="0.25">
      <c r="B276" s="3">
        <f t="shared" ref="B276:AF276" si="262">$C45*EXP(-B$246/$A45/EXP(-$E$126))</f>
        <v>5.3484126683110472E-4</v>
      </c>
      <c r="C276" s="3">
        <f t="shared" si="262"/>
        <v>5.3484126683110472E-4</v>
      </c>
      <c r="D276" s="3">
        <f t="shared" si="262"/>
        <v>5.3484126683110472E-4</v>
      </c>
      <c r="E276" s="3">
        <f t="shared" si="262"/>
        <v>5.3484126683110472E-4</v>
      </c>
      <c r="F276" s="3">
        <f t="shared" si="262"/>
        <v>5.3484126683110472E-4</v>
      </c>
      <c r="G276" s="3">
        <f t="shared" si="262"/>
        <v>5.3484126683110472E-4</v>
      </c>
      <c r="H276" s="3">
        <f t="shared" si="262"/>
        <v>5.3484126683110472E-4</v>
      </c>
      <c r="I276" s="3">
        <f t="shared" si="262"/>
        <v>5.3484126683110472E-4</v>
      </c>
      <c r="J276" s="3">
        <f t="shared" si="262"/>
        <v>5.3484126683110472E-4</v>
      </c>
      <c r="K276" s="3">
        <f t="shared" si="262"/>
        <v>5.3484126683110472E-4</v>
      </c>
      <c r="L276" s="3">
        <f t="shared" si="262"/>
        <v>5.3484126683110472E-4</v>
      </c>
      <c r="M276" s="3">
        <f t="shared" si="262"/>
        <v>5.3484126683110472E-4</v>
      </c>
      <c r="N276" s="3">
        <f t="shared" si="262"/>
        <v>5.3484126683110472E-4</v>
      </c>
      <c r="O276" s="3">
        <f t="shared" si="262"/>
        <v>5.3484126683110461E-4</v>
      </c>
      <c r="P276" s="3">
        <f t="shared" si="262"/>
        <v>5.348412668311044E-4</v>
      </c>
      <c r="Q276" s="3">
        <f t="shared" si="262"/>
        <v>5.3484126683110093E-4</v>
      </c>
      <c r="R276" s="3">
        <f t="shared" si="262"/>
        <v>5.3484126683106656E-4</v>
      </c>
      <c r="S276" s="3">
        <f t="shared" si="262"/>
        <v>5.3484126683072297E-4</v>
      </c>
      <c r="T276" s="3">
        <f t="shared" si="262"/>
        <v>5.3484126682728725E-4</v>
      </c>
      <c r="U276" s="3">
        <f t="shared" si="262"/>
        <v>5.3484126679293007E-4</v>
      </c>
      <c r="V276" s="3">
        <f t="shared" si="262"/>
        <v>5.34841266449358E-4</v>
      </c>
      <c r="W276" s="3">
        <f t="shared" si="262"/>
        <v>5.3484126301363755E-4</v>
      </c>
      <c r="X276" s="3">
        <f t="shared" si="262"/>
        <v>5.3484122865643448E-4</v>
      </c>
      <c r="Y276" s="3">
        <f t="shared" si="262"/>
        <v>5.3484088508452409E-4</v>
      </c>
      <c r="Z276" s="3">
        <f t="shared" si="262"/>
        <v>5.3483744937755993E-4</v>
      </c>
      <c r="AA276" s="3">
        <f t="shared" si="262"/>
        <v>5.3480309352176003E-4</v>
      </c>
      <c r="AB276" s="3">
        <f t="shared" si="262"/>
        <v>5.3445965631905719E-4</v>
      </c>
      <c r="AC276" s="3">
        <f t="shared" si="262"/>
        <v>5.3103739102725457E-4</v>
      </c>
      <c r="AD276" s="3">
        <f t="shared" si="262"/>
        <v>4.9799712397352353E-4</v>
      </c>
      <c r="AE276" s="3">
        <f t="shared" si="262"/>
        <v>2.6196554049909981E-4</v>
      </c>
      <c r="AF276" s="3">
        <f t="shared" si="262"/>
        <v>4.2502795095717991E-7</v>
      </c>
      <c r="AG276" s="3"/>
      <c r="AH276" s="3"/>
    </row>
    <row r="277" spans="1:34" x14ac:dyDescent="0.25">
      <c r="B277" s="3">
        <f t="shared" ref="B277:AF277" si="263">$C46*EXP(-B$246/$A46/EXP(-$E$126))</f>
        <v>1.465148476990797E-3</v>
      </c>
      <c r="C277" s="3">
        <f t="shared" si="263"/>
        <v>1.465148476990797E-3</v>
      </c>
      <c r="D277" s="3">
        <f t="shared" si="263"/>
        <v>1.465148476990797E-3</v>
      </c>
      <c r="E277" s="3">
        <f t="shared" si="263"/>
        <v>1.465148476990797E-3</v>
      </c>
      <c r="F277" s="3">
        <f t="shared" si="263"/>
        <v>1.465148476990797E-3</v>
      </c>
      <c r="G277" s="3">
        <f t="shared" si="263"/>
        <v>1.465148476990797E-3</v>
      </c>
      <c r="H277" s="3">
        <f t="shared" si="263"/>
        <v>1.465148476990797E-3</v>
      </c>
      <c r="I277" s="3">
        <f t="shared" si="263"/>
        <v>1.465148476990797E-3</v>
      </c>
      <c r="J277" s="3">
        <f t="shared" si="263"/>
        <v>1.465148476990797E-3</v>
      </c>
      <c r="K277" s="3">
        <f t="shared" si="263"/>
        <v>1.465148476990797E-3</v>
      </c>
      <c r="L277" s="3">
        <f t="shared" si="263"/>
        <v>1.465148476990797E-3</v>
      </c>
      <c r="M277" s="3">
        <f t="shared" si="263"/>
        <v>1.465148476990797E-3</v>
      </c>
      <c r="N277" s="3">
        <f t="shared" si="263"/>
        <v>1.465148476990797E-3</v>
      </c>
      <c r="O277" s="3">
        <f t="shared" si="263"/>
        <v>1.465148476990797E-3</v>
      </c>
      <c r="P277" s="3">
        <f t="shared" si="263"/>
        <v>1.4651484769907968E-3</v>
      </c>
      <c r="Q277" s="3">
        <f t="shared" si="263"/>
        <v>1.4651484769907959E-3</v>
      </c>
      <c r="R277" s="3">
        <f t="shared" si="263"/>
        <v>1.4651484769907866E-3</v>
      </c>
      <c r="S277" s="3">
        <f t="shared" si="263"/>
        <v>1.4651484769906925E-3</v>
      </c>
      <c r="T277" s="3">
        <f t="shared" si="263"/>
        <v>1.4651484769897512E-3</v>
      </c>
      <c r="U277" s="3">
        <f t="shared" si="263"/>
        <v>1.4651484769803392E-3</v>
      </c>
      <c r="V277" s="3">
        <f t="shared" si="263"/>
        <v>1.4651484768862209E-3</v>
      </c>
      <c r="W277" s="3">
        <f t="shared" si="263"/>
        <v>1.465148475945037E-3</v>
      </c>
      <c r="X277" s="3">
        <f t="shared" si="263"/>
        <v>1.4651484665331967E-3</v>
      </c>
      <c r="Y277" s="3">
        <f t="shared" si="263"/>
        <v>1.4651483724147975E-3</v>
      </c>
      <c r="Z277" s="3">
        <f t="shared" si="263"/>
        <v>1.4651474312311374E-3</v>
      </c>
      <c r="AA277" s="3">
        <f t="shared" si="263"/>
        <v>1.4651380194277892E-3</v>
      </c>
      <c r="AB277" s="3">
        <f t="shared" si="263"/>
        <v>1.4650439047195149E-3</v>
      </c>
      <c r="AC277" s="3">
        <f t="shared" si="263"/>
        <v>1.4641030900784467E-3</v>
      </c>
      <c r="AD277" s="3">
        <f t="shared" si="263"/>
        <v>1.4547281089558207E-3</v>
      </c>
      <c r="AE277" s="3">
        <f t="shared" si="263"/>
        <v>1.3642173350958259E-3</v>
      </c>
      <c r="AF277" s="3">
        <f t="shared" si="263"/>
        <v>7.1763051299392612E-4</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1.026110794379005E-2</v>
      </c>
      <c r="C279" s="3">
        <f t="shared" si="265"/>
        <v>1.026110794379005E-2</v>
      </c>
      <c r="D279" s="3">
        <f t="shared" si="265"/>
        <v>1.026110794379005E-2</v>
      </c>
      <c r="E279" s="3">
        <f t="shared" si="265"/>
        <v>1.026110794379005E-2</v>
      </c>
      <c r="F279" s="3">
        <f t="shared" si="265"/>
        <v>1.026110794379005E-2</v>
      </c>
      <c r="G279" s="3">
        <f t="shared" si="265"/>
        <v>1.026110794379005E-2</v>
      </c>
      <c r="H279" s="3">
        <f t="shared" si="265"/>
        <v>1.026110794379005E-2</v>
      </c>
      <c r="I279" s="3">
        <f t="shared" si="265"/>
        <v>1.026110794379005E-2</v>
      </c>
      <c r="J279" s="3">
        <f t="shared" si="265"/>
        <v>1.026110794379005E-2</v>
      </c>
      <c r="K279" s="3">
        <f t="shared" si="265"/>
        <v>1.026110794379005E-2</v>
      </c>
      <c r="L279" s="3">
        <f t="shared" si="265"/>
        <v>1.026110794379005E-2</v>
      </c>
      <c r="M279" s="3">
        <f t="shared" si="265"/>
        <v>1.026110794379005E-2</v>
      </c>
      <c r="N279" s="3">
        <f t="shared" si="265"/>
        <v>1.026110794379005E-2</v>
      </c>
      <c r="O279" s="3">
        <f t="shared" si="265"/>
        <v>1.026110794379005E-2</v>
      </c>
      <c r="P279" s="3">
        <f t="shared" si="265"/>
        <v>1.026110794379005E-2</v>
      </c>
      <c r="Q279" s="3">
        <f t="shared" si="265"/>
        <v>1.026110794379005E-2</v>
      </c>
      <c r="R279" s="3">
        <f t="shared" si="265"/>
        <v>1.0261107943790048E-2</v>
      </c>
      <c r="S279" s="3">
        <f t="shared" si="265"/>
        <v>1.0261107943790043E-2</v>
      </c>
      <c r="T279" s="3">
        <f t="shared" si="265"/>
        <v>1.0261107943789977E-2</v>
      </c>
      <c r="U279" s="3">
        <f t="shared" si="265"/>
        <v>1.0261107943789318E-2</v>
      </c>
      <c r="V279" s="3">
        <f t="shared" si="265"/>
        <v>1.0261107943782726E-2</v>
      </c>
      <c r="W279" s="3">
        <f t="shared" si="265"/>
        <v>1.026110794371681E-2</v>
      </c>
      <c r="X279" s="3">
        <f t="shared" si="265"/>
        <v>1.0261107943057656E-2</v>
      </c>
      <c r="Y279" s="3">
        <f t="shared" si="265"/>
        <v>1.0261107936466111E-2</v>
      </c>
      <c r="Z279" s="3">
        <f t="shared" si="265"/>
        <v>1.026110787055067E-2</v>
      </c>
      <c r="AA279" s="3">
        <f t="shared" si="265"/>
        <v>1.0261107211396277E-2</v>
      </c>
      <c r="AB279" s="3">
        <f t="shared" si="265"/>
        <v>1.0261100619854682E-2</v>
      </c>
      <c r="AC279" s="3">
        <f t="shared" si="265"/>
        <v>1.0261034704671601E-2</v>
      </c>
      <c r="AD279" s="3">
        <f t="shared" si="265"/>
        <v>1.0260375576128748E-2</v>
      </c>
      <c r="AE279" s="3">
        <f t="shared" si="265"/>
        <v>1.0253786618942015E-2</v>
      </c>
      <c r="AF279" s="3">
        <f t="shared" si="265"/>
        <v>1.0188129318824667E-2</v>
      </c>
      <c r="AG279" s="3"/>
      <c r="AH279" s="3"/>
    </row>
    <row r="280" spans="1:34" x14ac:dyDescent="0.25">
      <c r="A280" s="79">
        <f>AVERAGE(B280:AF280)</f>
        <v>1.1569632185156418E-2</v>
      </c>
      <c r="B280" s="80">
        <f>IF($D$61&lt;=B246,IF($E$61&gt;=B246,ABS((B248-B247)/B247),0),0)</f>
        <v>3.3623098440017929E-2</v>
      </c>
      <c r="C280" s="80">
        <f t="shared" ref="C280:AF280" si="266">IF($D$61&lt;=C246,IF($E$61&gt;=C246,ABS((C248-C247)/C247),0),0)</f>
        <v>1.4628149238836393E-2</v>
      </c>
      <c r="D280" s="80">
        <f t="shared" si="266"/>
        <v>2.172582855177096E-3</v>
      </c>
      <c r="E280" s="80">
        <f t="shared" si="266"/>
        <v>1.1573064283770345E-2</v>
      </c>
      <c r="F280" s="80">
        <f t="shared" si="266"/>
        <v>1.210565084613395E-2</v>
      </c>
      <c r="G280" s="80">
        <f t="shared" si="266"/>
        <v>9.8837780161170116E-3</v>
      </c>
      <c r="H280" s="80">
        <f t="shared" si="266"/>
        <v>1.1508367214755191E-2</v>
      </c>
      <c r="I280" s="80">
        <f t="shared" si="266"/>
        <v>9.8565031250759903E-3</v>
      </c>
      <c r="J280" s="80">
        <f t="shared" si="266"/>
        <v>1.096130358106079E-2</v>
      </c>
      <c r="K280" s="80">
        <f t="shared" si="266"/>
        <v>1.1924502439507054E-2</v>
      </c>
      <c r="L280" s="80">
        <f t="shared" si="266"/>
        <v>1.1390405096239347E-2</v>
      </c>
      <c r="M280" s="80">
        <f t="shared" si="266"/>
        <v>1.1644075343701611E-2</v>
      </c>
      <c r="N280" s="80">
        <f t="shared" si="266"/>
        <v>1.0875136626208055E-2</v>
      </c>
      <c r="O280" s="80">
        <f t="shared" si="266"/>
        <v>1.2019604767382086E-2</v>
      </c>
      <c r="P280" s="80">
        <f t="shared" si="266"/>
        <v>1.1771706968010272E-2</v>
      </c>
      <c r="Q280" s="80">
        <f t="shared" si="266"/>
        <v>1.1344912422300388E-2</v>
      </c>
      <c r="R280" s="80">
        <f t="shared" si="266"/>
        <v>9.4414366563938968E-3</v>
      </c>
      <c r="S280" s="80">
        <f t="shared" si="266"/>
        <v>1.5132574055396279E-2</v>
      </c>
      <c r="T280" s="80">
        <f t="shared" si="266"/>
        <v>4.1919896974566391E-2</v>
      </c>
      <c r="U280" s="80">
        <f t="shared" si="266"/>
        <v>3.9920909016784849E-2</v>
      </c>
      <c r="V280" s="80">
        <f t="shared" si="266"/>
        <v>2.338842417255341E-2</v>
      </c>
      <c r="W280" s="80">
        <f t="shared" si="266"/>
        <v>9.8897868809392393E-3</v>
      </c>
      <c r="X280" s="80">
        <f t="shared" si="266"/>
        <v>1.410683724336503E-2</v>
      </c>
      <c r="Y280" s="80">
        <f t="shared" si="266"/>
        <v>7.5758914755562545E-3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130931.88090237427</v>
      </c>
      <c r="C281" s="21">
        <f t="shared" ref="C281:AF281" si="267">(C248-C247)^2</f>
        <v>23803.796194722188</v>
      </c>
      <c r="D281" s="21">
        <f t="shared" si="267"/>
        <v>505.62035303987454</v>
      </c>
      <c r="E281" s="21">
        <f t="shared" si="267"/>
        <v>13752.94217326647</v>
      </c>
      <c r="F281" s="21">
        <f t="shared" si="267"/>
        <v>14358.696378567813</v>
      </c>
      <c r="G281" s="21">
        <f t="shared" si="267"/>
        <v>9046.5579194779784</v>
      </c>
      <c r="H281" s="21">
        <f t="shared" si="267"/>
        <v>11637.807751541599</v>
      </c>
      <c r="I281" s="21">
        <f t="shared" si="267"/>
        <v>8070.059647630007</v>
      </c>
      <c r="J281" s="21">
        <f t="shared" si="267"/>
        <v>9354.7357675892363</v>
      </c>
      <c r="K281" s="21">
        <f t="shared" si="267"/>
        <v>10220.228534905793</v>
      </c>
      <c r="L281" s="21">
        <f t="shared" si="267"/>
        <v>8551.4309031357679</v>
      </c>
      <c r="M281" s="21">
        <f t="shared" si="267"/>
        <v>8274.1400967294467</v>
      </c>
      <c r="N281" s="21">
        <f t="shared" si="267"/>
        <v>6713.9652803047811</v>
      </c>
      <c r="O281" s="21">
        <f t="shared" si="267"/>
        <v>7608.1348338440857</v>
      </c>
      <c r="P281" s="21">
        <f t="shared" si="267"/>
        <v>6734.6509818953664</v>
      </c>
      <c r="Q281" s="21">
        <f t="shared" si="267"/>
        <v>5757.8868609192878</v>
      </c>
      <c r="R281" s="21">
        <f t="shared" si="267"/>
        <v>3574.9990902977133</v>
      </c>
      <c r="S281" s="21">
        <f t="shared" si="267"/>
        <v>7460.4506386635194</v>
      </c>
      <c r="T281" s="21">
        <f t="shared" si="267"/>
        <v>38874.488717806955</v>
      </c>
      <c r="U281" s="21">
        <f t="shared" si="267"/>
        <v>22014.496025951084</v>
      </c>
      <c r="V281" s="21">
        <f t="shared" si="267"/>
        <v>4682.1405255444715</v>
      </c>
      <c r="W281" s="21">
        <f t="shared" si="267"/>
        <v>504.55355430407172</v>
      </c>
      <c r="X281" s="21">
        <f t="shared" si="267"/>
        <v>568.98548335948192</v>
      </c>
      <c r="Y281" s="21">
        <f t="shared" si="267"/>
        <v>81.885411633023693</v>
      </c>
      <c r="Z281" s="21">
        <f t="shared" si="267"/>
        <v>288.44150198443589</v>
      </c>
      <c r="AA281" s="21">
        <f t="shared" si="267"/>
        <v>1.8041840991033364</v>
      </c>
      <c r="AB281" s="21">
        <f t="shared" si="267"/>
        <v>42.085802555304973</v>
      </c>
      <c r="AC281" s="21">
        <f t="shared" si="267"/>
        <v>0.45126632281426332</v>
      </c>
      <c r="AD281" s="21">
        <f t="shared" si="267"/>
        <v>3.8935006204554816</v>
      </c>
      <c r="AE281" s="21">
        <f t="shared" si="267"/>
        <v>1.445014071609624</v>
      </c>
      <c r="AF281" s="21">
        <f t="shared" si="267"/>
        <v>0.70727721572035263</v>
      </c>
      <c r="AG281" s="3"/>
      <c r="AH281" s="3"/>
    </row>
    <row r="282" spans="1:34" s="3" customFormat="1" x14ac:dyDescent="0.25">
      <c r="A282" s="71">
        <f>SUM(B282:AF282)</f>
        <v>353084.53402750433</v>
      </c>
      <c r="B282" s="21">
        <f>IF($D$61&lt;=B246,IF($E$61&gt;=B246,ABS(B281),0),0)</f>
        <v>130931.88090237427</v>
      </c>
      <c r="C282" s="21">
        <f t="shared" ref="C282:AF282" si="268">IF($D$61&lt;=C246,IF($E$61&gt;=C246,ABS(C281),0),0)</f>
        <v>23803.796194722188</v>
      </c>
      <c r="D282" s="21">
        <f t="shared" si="268"/>
        <v>505.62035303987454</v>
      </c>
      <c r="E282" s="21">
        <f t="shared" si="268"/>
        <v>13752.94217326647</v>
      </c>
      <c r="F282" s="21">
        <f t="shared" si="268"/>
        <v>14358.696378567813</v>
      </c>
      <c r="G282" s="21">
        <f t="shared" si="268"/>
        <v>9046.5579194779784</v>
      </c>
      <c r="H282" s="21">
        <f t="shared" si="268"/>
        <v>11637.807751541599</v>
      </c>
      <c r="I282" s="21">
        <f t="shared" si="268"/>
        <v>8070.059647630007</v>
      </c>
      <c r="J282" s="21">
        <f t="shared" si="268"/>
        <v>9354.7357675892363</v>
      </c>
      <c r="K282" s="21">
        <f t="shared" si="268"/>
        <v>10220.228534905793</v>
      </c>
      <c r="L282" s="21">
        <f t="shared" si="268"/>
        <v>8551.4309031357679</v>
      </c>
      <c r="M282" s="21">
        <f t="shared" si="268"/>
        <v>8274.1400967294467</v>
      </c>
      <c r="N282" s="21">
        <f t="shared" si="268"/>
        <v>6713.9652803047811</v>
      </c>
      <c r="O282" s="21">
        <f t="shared" si="268"/>
        <v>7608.1348338440857</v>
      </c>
      <c r="P282" s="21">
        <f t="shared" si="268"/>
        <v>6734.6509818953664</v>
      </c>
      <c r="Q282" s="21">
        <f t="shared" si="268"/>
        <v>5757.8868609192878</v>
      </c>
      <c r="R282" s="21">
        <f t="shared" si="268"/>
        <v>3574.9990902977133</v>
      </c>
      <c r="S282" s="21">
        <f t="shared" si="268"/>
        <v>7460.4506386635194</v>
      </c>
      <c r="T282" s="21">
        <f t="shared" si="268"/>
        <v>38874.488717806955</v>
      </c>
      <c r="U282" s="21">
        <f t="shared" si="268"/>
        <v>22014.496025951084</v>
      </c>
      <c r="V282" s="21">
        <f t="shared" si="268"/>
        <v>4682.1405255444715</v>
      </c>
      <c r="W282" s="21">
        <f t="shared" si="268"/>
        <v>504.55355430407172</v>
      </c>
      <c r="X282" s="21">
        <f t="shared" si="268"/>
        <v>568.98548335948192</v>
      </c>
      <c r="Y282" s="21">
        <f t="shared" si="268"/>
        <v>81.885411633023693</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10455.125722169887</v>
      </c>
      <c r="C286" s="26">
        <f>INDEX(Comparison!$AM$3:$AS$33,G$14,$F$122)</f>
        <v>10216.758037955571</v>
      </c>
      <c r="D286" s="26">
        <f>INDEX(Comparison!$AM$3:$AS$33,H$14,$F$122)</f>
        <v>9990.8860283110862</v>
      </c>
      <c r="E286" s="26">
        <f>INDEX(Comparison!$AM$3:$AS$33,I$14,$F$122)</f>
        <v>9740.6929571272121</v>
      </c>
      <c r="F286" s="26">
        <f>INDEX(Comparison!$AM$3:$AS$33,J$14,$F$122)</f>
        <v>9486.1331326421696</v>
      </c>
      <c r="G286" s="26">
        <f>INDEX(Comparison!$AM$3:$AS$33,K$14,$F$122)</f>
        <v>9224.2999433670138</v>
      </c>
      <c r="H286" s="26">
        <f>INDEX(Comparison!$AM$3:$AS$33,L$14,$F$122)</f>
        <v>8983.6546151744242</v>
      </c>
      <c r="I286" s="26">
        <f>INDEX(Comparison!$AM$3:$AS$33,M$14,$F$122)</f>
        <v>8670.3934759322055</v>
      </c>
      <c r="J286" s="26">
        <f>INDEX(Comparison!$AM$3:$AS$33,N$14,$F$122)</f>
        <v>8318.7463719570296</v>
      </c>
      <c r="K286" s="26">
        <f>INDEX(Comparison!$AM$3:$AS$33,O$14,$F$122)</f>
        <v>7968.6744939632144</v>
      </c>
      <c r="L286" s="26">
        <f>INDEX(Comparison!$AM$3:$AS$33,P$14,$F$122)</f>
        <v>7682.4342615636733</v>
      </c>
      <c r="M286" s="26">
        <f>INDEX(Comparison!$AM$3:$AS$33,Q$14,$F$122)</f>
        <v>7403.9105678680935</v>
      </c>
      <c r="N286" s="26">
        <f>INDEX(Comparison!$AM$3:$AS$33,R$14,$F$122)</f>
        <v>7132.2476769922887</v>
      </c>
      <c r="O286" s="26">
        <f>INDEX(Comparison!$AM$3:$AS$33,S$14,$F$122)</f>
        <v>6844.7384968439528</v>
      </c>
      <c r="P286" s="26">
        <f>INDEX(Comparison!$AM$3:$AS$33,T$14,$F$122)</f>
        <v>6572.6294407257219</v>
      </c>
      <c r="Q286" s="26">
        <f>INDEX(Comparison!$AM$3:$AS$33,U$14,$F$122)</f>
        <v>6219.0027578185491</v>
      </c>
      <c r="R286" s="26">
        <f>INDEX(Comparison!$AM$3:$AS$33,V$14,$F$122)</f>
        <v>5690.6299745251627</v>
      </c>
      <c r="S286" s="26">
        <f>INDEX(Comparison!$AM$3:$AS$33,W$14,$F$122)</f>
        <v>4763.4711208275512</v>
      </c>
      <c r="T286" s="26">
        <f>INDEX(Comparison!$AM$3:$AS$33,X$14,$F$122)</f>
        <v>3748.4083561986595</v>
      </c>
      <c r="U286" s="26">
        <f>INDEX(Comparison!$AM$3:$AS$33,Y$14,$F$122)</f>
        <v>2899.8712503562774</v>
      </c>
      <c r="V286" s="26">
        <f>INDEX(Comparison!$AM$3:$AS$33,Z$14,$F$122)</f>
        <v>2207.9514817928284</v>
      </c>
      <c r="W286" s="26">
        <f>INDEX(Comparison!$AM$3:$AS$33,AA$14,$F$122)</f>
        <v>1604.1263924000411</v>
      </c>
      <c r="X286" s="26">
        <f>INDEX(Comparison!$AM$3:$AS$33,AB$14,$F$122)</f>
        <v>1123.4067588567204</v>
      </c>
      <c r="Y286" s="26">
        <f>INDEX(Comparison!$AM$3:$AS$33,AC$14,$F$122)</f>
        <v>780.76520754617513</v>
      </c>
      <c r="Z286" s="26">
        <f>INDEX(Comparison!$AM$3:$AS$33,AD$14,$F$122)</f>
        <v>582.0058323502866</v>
      </c>
      <c r="AA286" s="26">
        <f>INDEX(Comparison!$AM$3:$AS$33,AE$14,$F$122)</f>
        <v>477.43912435634792</v>
      </c>
      <c r="AB286" s="26">
        <f>INDEX(Comparison!$AM$3:$AS$33,AF$14,$F$122)</f>
        <v>428.31766172038903</v>
      </c>
      <c r="AC286" s="26">
        <f>INDEX(Comparison!$AM$3:$AS$33,AG$14,$F$122)</f>
        <v>398.6513774250231</v>
      </c>
      <c r="AD286" s="26">
        <f>INDEX(Comparison!$AM$3:$AS$33,AH$14,$F$122)</f>
        <v>385.25122525189607</v>
      </c>
      <c r="AE286" s="26">
        <f>INDEX(Comparison!$AM$3:$AS$33,AI$14,$F$122)</f>
        <v>372.90060316523403</v>
      </c>
      <c r="AF286" s="26">
        <f>INDEX(Comparison!$AM$3:$AS$33,AJ$14,$F$122)</f>
        <v>356.83813776395743</v>
      </c>
      <c r="AG286" s="26"/>
      <c r="AH286" s="26"/>
    </row>
    <row r="287" spans="1:34" x14ac:dyDescent="0.25">
      <c r="A287" s="70" t="s">
        <v>22</v>
      </c>
      <c r="B287" s="27">
        <f>($C$17+SUM(B288:B318))*$B$51</f>
        <v>10389.649252810164</v>
      </c>
      <c r="C287" s="27">
        <f t="shared" ref="C287:AF287" si="269">($C$17+SUM(C288:C318))*$B$51</f>
        <v>10301.046104650713</v>
      </c>
      <c r="D287" s="27">
        <f t="shared" si="269"/>
        <v>9967.9752699988767</v>
      </c>
      <c r="E287" s="27">
        <f t="shared" si="269"/>
        <v>9743.9756267844969</v>
      </c>
      <c r="F287" s="27">
        <f t="shared" si="269"/>
        <v>9485.147813132271</v>
      </c>
      <c r="G287" s="27">
        <f t="shared" si="269"/>
        <v>9223.9085021435985</v>
      </c>
      <c r="H287" s="27">
        <f t="shared" si="269"/>
        <v>8983.0159044858756</v>
      </c>
      <c r="I287" s="27">
        <f t="shared" si="269"/>
        <v>8670.2529593508425</v>
      </c>
      <c r="J287" s="27">
        <f t="shared" si="269"/>
        <v>8316.7959965332975</v>
      </c>
      <c r="K287" s="27">
        <f t="shared" si="269"/>
        <v>7970.5944636723225</v>
      </c>
      <c r="L287" s="27">
        <f t="shared" si="269"/>
        <v>7677.476209919756</v>
      </c>
      <c r="M287" s="27">
        <f t="shared" si="269"/>
        <v>7409.8364891887077</v>
      </c>
      <c r="N287" s="27">
        <f t="shared" si="269"/>
        <v>7123.781731760726</v>
      </c>
      <c r="O287" s="27">
        <f t="shared" si="269"/>
        <v>6852.5893740837182</v>
      </c>
      <c r="P287" s="27">
        <f t="shared" si="269"/>
        <v>6564.5848234528421</v>
      </c>
      <c r="Q287" s="27">
        <f t="shared" si="269"/>
        <v>6224.1170596392303</v>
      </c>
      <c r="R287" s="27">
        <f t="shared" si="269"/>
        <v>5685.4812928648917</v>
      </c>
      <c r="S287" s="27">
        <f t="shared" si="269"/>
        <v>4763.9926907602185</v>
      </c>
      <c r="T287" s="27">
        <f t="shared" si="269"/>
        <v>3745.9162132978076</v>
      </c>
      <c r="U287" s="27">
        <f t="shared" si="269"/>
        <v>2899.2786322587899</v>
      </c>
      <c r="V287" s="27">
        <f t="shared" si="269"/>
        <v>2206.7833406151153</v>
      </c>
      <c r="W287" s="27">
        <f t="shared" si="269"/>
        <v>1603.521547582802</v>
      </c>
      <c r="X287" s="27">
        <f t="shared" si="269"/>
        <v>1122.4760770649395</v>
      </c>
      <c r="Y287" s="27">
        <f t="shared" si="269"/>
        <v>780.3286745165849</v>
      </c>
      <c r="Z287" s="27">
        <f t="shared" si="269"/>
        <v>581.70960606852816</v>
      </c>
      <c r="AA287" s="27">
        <f t="shared" si="269"/>
        <v>477.33794382102684</v>
      </c>
      <c r="AB287" s="27">
        <f t="shared" si="269"/>
        <v>428.23442508388905</v>
      </c>
      <c r="AC287" s="27">
        <f t="shared" si="269"/>
        <v>398.639074848191</v>
      </c>
      <c r="AD287" s="27">
        <f t="shared" si="269"/>
        <v>385.19210364734687</v>
      </c>
      <c r="AE287" s="27">
        <f t="shared" si="269"/>
        <v>372.91276679513021</v>
      </c>
      <c r="AF287" s="27">
        <f t="shared" si="269"/>
        <v>356.77944215728797</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3.5587526708032023E-2</v>
      </c>
      <c r="C289" s="3">
        <f t="shared" si="271"/>
        <v>2.8234494005104659E-2</v>
      </c>
      <c r="D289" s="3">
        <f t="shared" si="271"/>
        <v>2.7899860963811899E-3</v>
      </c>
      <c r="E289" s="3">
        <f t="shared" si="271"/>
        <v>2.4764087984712778E-13</v>
      </c>
      <c r="F289" s="3">
        <f t="shared" si="271"/>
        <v>7.516667363436572E-114</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1.7645218321032968E-2</v>
      </c>
      <c r="C290" s="3">
        <f t="shared" si="272"/>
        <v>1.7280626942130936E-2</v>
      </c>
      <c r="D290" s="3">
        <f t="shared" si="272"/>
        <v>1.4024393199048555E-2</v>
      </c>
      <c r="E290" s="3">
        <f t="shared" si="272"/>
        <v>1.7383208038026009E-3</v>
      </c>
      <c r="F290" s="3">
        <f t="shared" si="272"/>
        <v>1.4879502483340694E-12</v>
      </c>
      <c r="G290" s="3">
        <f t="shared" si="272"/>
        <v>3.1417616566996011E-103</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2.446536869020214E-2</v>
      </c>
      <c r="C291" s="3">
        <f t="shared" si="273"/>
        <v>2.4419332998002932E-2</v>
      </c>
      <c r="D291" s="3">
        <f t="shared" si="273"/>
        <v>2.3963713595336153E-2</v>
      </c>
      <c r="E291" s="3">
        <f t="shared" si="273"/>
        <v>1.984985563171339E-2</v>
      </c>
      <c r="F291" s="3">
        <f t="shared" si="273"/>
        <v>3.018489523978245E-3</v>
      </c>
      <c r="G291" s="3">
        <f t="shared" si="273"/>
        <v>1.995780970350638E-11</v>
      </c>
      <c r="H291" s="3">
        <f t="shared" si="273"/>
        <v>3.1867274512683E-93</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2.4627047116673035E-2</v>
      </c>
      <c r="C292" s="3">
        <f t="shared" si="274"/>
        <v>2.4622863288198203E-2</v>
      </c>
      <c r="D292" s="3">
        <f t="shared" si="274"/>
        <v>2.4581064076450689E-2</v>
      </c>
      <c r="E292" s="3">
        <f t="shared" si="274"/>
        <v>2.4166954807539266E-2</v>
      </c>
      <c r="F292" s="3">
        <f t="shared" si="274"/>
        <v>2.0390808238109227E-2</v>
      </c>
      <c r="G292" s="3">
        <f t="shared" si="274"/>
        <v>3.7287180501463972E-3</v>
      </c>
      <c r="H292" s="3">
        <f t="shared" si="274"/>
        <v>1.5588724862666545E-10</v>
      </c>
      <c r="I292" s="3">
        <f t="shared" si="274"/>
        <v>2.5428518608114351E-84</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1.9757965768505765E-2</v>
      </c>
      <c r="C293" s="3">
        <f t="shared" si="275"/>
        <v>1.9757662948952245E-2</v>
      </c>
      <c r="D293" s="3">
        <f t="shared" si="275"/>
        <v>1.9754635008668572E-2</v>
      </c>
      <c r="E293" s="3">
        <f t="shared" si="275"/>
        <v>1.9724381116513982E-2</v>
      </c>
      <c r="F293" s="3">
        <f t="shared" si="275"/>
        <v>1.9424378855624948E-2</v>
      </c>
      <c r="G293" s="3">
        <f t="shared" si="275"/>
        <v>1.6664208313119263E-2</v>
      </c>
      <c r="H293" s="3">
        <f t="shared" si="275"/>
        <v>3.5988201634300802E-3</v>
      </c>
      <c r="I293" s="3">
        <f t="shared" si="275"/>
        <v>7.9417230243394687E-10</v>
      </c>
      <c r="J293" s="3">
        <f t="shared" si="275"/>
        <v>2.1750069603142884E-76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3.0456668461050444E-2</v>
      </c>
      <c r="C294" s="3">
        <f t="shared" si="276"/>
        <v>3.045662635216943E-2</v>
      </c>
      <c r="D294" s="3">
        <f t="shared" si="276"/>
        <v>3.0456205266561391E-2</v>
      </c>
      <c r="E294" s="3">
        <f t="shared" si="276"/>
        <v>3.0451994730667939E-2</v>
      </c>
      <c r="F294" s="3">
        <f t="shared" si="276"/>
        <v>3.0409921374058829E-2</v>
      </c>
      <c r="G294" s="3">
        <f t="shared" si="276"/>
        <v>2.9992371729888861E-2</v>
      </c>
      <c r="H294" s="3">
        <f t="shared" si="276"/>
        <v>2.6119564955813301E-2</v>
      </c>
      <c r="I294" s="3">
        <f t="shared" si="276"/>
        <v>6.554162859365188E-3</v>
      </c>
      <c r="J294" s="3">
        <f t="shared" si="276"/>
        <v>6.4867942616104752E-9</v>
      </c>
      <c r="K294" s="3">
        <f t="shared" si="276"/>
        <v>5.8500432385715029E-69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3.3429649061849788E-2</v>
      </c>
      <c r="C295" s="3">
        <f t="shared" si="277"/>
        <v>3.3429644892484116E-2</v>
      </c>
      <c r="D295" s="3">
        <f t="shared" si="277"/>
        <v>3.3429603198855982E-2</v>
      </c>
      <c r="E295" s="3">
        <f t="shared" si="277"/>
        <v>3.3429186265434681E-2</v>
      </c>
      <c r="F295" s="3">
        <f t="shared" si="277"/>
        <v>3.3425017217210196E-2</v>
      </c>
      <c r="G295" s="3">
        <f t="shared" si="277"/>
        <v>3.3383355320626758E-2</v>
      </c>
      <c r="H295" s="3">
        <f t="shared" si="277"/>
        <v>3.2969581773512092E-2</v>
      </c>
      <c r="I295" s="3">
        <f t="shared" si="277"/>
        <v>2.9103684189429428E-2</v>
      </c>
      <c r="J295" s="3">
        <f t="shared" si="277"/>
        <v>8.3616749283733777E-3</v>
      </c>
      <c r="K295" s="3">
        <f t="shared" si="277"/>
        <v>3.2043975131939742E-8</v>
      </c>
      <c r="L295" s="3">
        <f t="shared" si="277"/>
        <v>2.1891597209378302E-62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3.254093484165315E-2</v>
      </c>
      <c r="C296" s="3">
        <f t="shared" si="278"/>
        <v>3.2540934475540434E-2</v>
      </c>
      <c r="D296" s="3">
        <f t="shared" si="278"/>
        <v>3.2540930814413532E-2</v>
      </c>
      <c r="E296" s="3">
        <f t="shared" si="278"/>
        <v>3.2540894203167144E-2</v>
      </c>
      <c r="F296" s="3">
        <f t="shared" si="278"/>
        <v>3.2540528092968701E-2</v>
      </c>
      <c r="G296" s="3">
        <f t="shared" si="278"/>
        <v>3.25368672175229E-2</v>
      </c>
      <c r="H296" s="3">
        <f t="shared" si="278"/>
        <v>3.2500281107496816E-2</v>
      </c>
      <c r="I296" s="3">
        <f t="shared" si="278"/>
        <v>3.2136675052285568E-2</v>
      </c>
      <c r="J296" s="3">
        <f t="shared" si="278"/>
        <v>2.8717007549434782E-2</v>
      </c>
      <c r="K296" s="3">
        <f t="shared" si="278"/>
        <v>9.3222681539760991E-3</v>
      </c>
      <c r="L296" s="3">
        <f t="shared" si="278"/>
        <v>1.2115621013207033E-7</v>
      </c>
      <c r="M296" s="3">
        <f t="shared" si="278"/>
        <v>1.6656608015070559E-56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2.4641511298070042E-2</v>
      </c>
      <c r="C297" s="3">
        <f t="shared" si="279"/>
        <v>2.4641511273060909E-2</v>
      </c>
      <c r="D297" s="3">
        <f t="shared" si="279"/>
        <v>2.464151102296953E-2</v>
      </c>
      <c r="E297" s="3">
        <f t="shared" si="279"/>
        <v>2.4641508522055915E-2</v>
      </c>
      <c r="F297" s="3">
        <f t="shared" si="279"/>
        <v>2.4641483512933701E-2</v>
      </c>
      <c r="G297" s="3">
        <f t="shared" si="279"/>
        <v>2.4641233423107589E-2</v>
      </c>
      <c r="H297" s="3">
        <f t="shared" si="279"/>
        <v>2.4638732664443021E-2</v>
      </c>
      <c r="I297" s="3">
        <f t="shared" si="279"/>
        <v>2.4613739032211004E-2</v>
      </c>
      <c r="J297" s="3">
        <f t="shared" si="279"/>
        <v>2.4365192925289405E-2</v>
      </c>
      <c r="K297" s="3">
        <f t="shared" si="279"/>
        <v>2.2013671574402555E-2</v>
      </c>
      <c r="L297" s="3">
        <f t="shared" si="279"/>
        <v>7.9784543885779106E-3</v>
      </c>
      <c r="M297" s="3">
        <f t="shared" si="279"/>
        <v>3.1201940461455789E-7</v>
      </c>
      <c r="N297" s="3">
        <f t="shared" si="279"/>
        <v>2.6110186621076231E-51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2.4122417967510443E-2</v>
      </c>
      <c r="C298" s="3">
        <f t="shared" si="280"/>
        <v>2.4122417965301932E-2</v>
      </c>
      <c r="D298" s="3">
        <f t="shared" si="280"/>
        <v>2.4122417943216862E-2</v>
      </c>
      <c r="E298" s="3">
        <f t="shared" si="280"/>
        <v>2.412241772236615E-2</v>
      </c>
      <c r="F298" s="3">
        <f t="shared" si="280"/>
        <v>2.4122415513859137E-2</v>
      </c>
      <c r="G298" s="3">
        <f t="shared" si="280"/>
        <v>2.4122393428800123E-2</v>
      </c>
      <c r="H298" s="3">
        <f t="shared" si="280"/>
        <v>2.4122172579322067E-2</v>
      </c>
      <c r="I298" s="3">
        <f t="shared" si="280"/>
        <v>2.4119964195746201E-2</v>
      </c>
      <c r="J298" s="3">
        <f t="shared" si="280"/>
        <v>2.4097891476690815E-2</v>
      </c>
      <c r="K298" s="3">
        <f t="shared" si="280"/>
        <v>2.3878272199880479E-2</v>
      </c>
      <c r="L298" s="3">
        <f t="shared" si="280"/>
        <v>2.1789207892054633E-2</v>
      </c>
      <c r="M298" s="3">
        <f t="shared" si="280"/>
        <v>8.7222168859667389E-3</v>
      </c>
      <c r="N298" s="3">
        <f t="shared" si="280"/>
        <v>9.2147015225849553E-7</v>
      </c>
      <c r="O298" s="3">
        <f t="shared" si="280"/>
        <v>1.5959716772719615E-46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2.8528246553040908E-2</v>
      </c>
      <c r="C299" s="3">
        <f t="shared" si="281"/>
        <v>2.8528246552805295E-2</v>
      </c>
      <c r="D299" s="3">
        <f t="shared" si="281"/>
        <v>2.8528246550449166E-2</v>
      </c>
      <c r="E299" s="3">
        <f t="shared" si="281"/>
        <v>2.8528246526887843E-2</v>
      </c>
      <c r="F299" s="3">
        <f t="shared" si="281"/>
        <v>2.8528246291274633E-2</v>
      </c>
      <c r="G299" s="3">
        <f t="shared" si="281"/>
        <v>2.8528243935142639E-2</v>
      </c>
      <c r="H299" s="3">
        <f t="shared" si="281"/>
        <v>2.8528220373833374E-2</v>
      </c>
      <c r="I299" s="3">
        <f t="shared" si="281"/>
        <v>2.8527984761810989E-2</v>
      </c>
      <c r="J299" s="3">
        <f t="shared" si="281"/>
        <v>2.8525628748608915E-2</v>
      </c>
      <c r="K299" s="3">
        <f t="shared" si="281"/>
        <v>2.8502079315495848E-2</v>
      </c>
      <c r="L299" s="3">
        <f t="shared" si="281"/>
        <v>2.8267651612959743E-2</v>
      </c>
      <c r="M299" s="3">
        <f t="shared" si="281"/>
        <v>2.6026848790849013E-2</v>
      </c>
      <c r="N299" s="3">
        <f t="shared" si="281"/>
        <v>1.1395678196119932E-2</v>
      </c>
      <c r="O299" s="3">
        <f t="shared" si="281"/>
        <v>2.950706773720805E-6</v>
      </c>
      <c r="P299" s="3">
        <f t="shared" si="281"/>
        <v>3.9974664159655339E-42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2.1048719571396226E-2</v>
      </c>
      <c r="C300" s="3">
        <f t="shared" si="282"/>
        <v>2.1048719571380544E-2</v>
      </c>
      <c r="D300" s="3">
        <f t="shared" si="282"/>
        <v>2.1048719571223725E-2</v>
      </c>
      <c r="E300" s="3">
        <f t="shared" si="282"/>
        <v>2.1048719569655542E-2</v>
      </c>
      <c r="F300" s="3">
        <f t="shared" si="282"/>
        <v>2.1048719553973708E-2</v>
      </c>
      <c r="G300" s="3">
        <f t="shared" si="282"/>
        <v>2.1048719397155375E-2</v>
      </c>
      <c r="H300" s="3">
        <f t="shared" si="282"/>
        <v>2.1048717828972118E-2</v>
      </c>
      <c r="I300" s="3">
        <f t="shared" si="282"/>
        <v>2.1048702147145961E-2</v>
      </c>
      <c r="J300" s="3">
        <f t="shared" si="282"/>
        <v>2.104854532952697E-2</v>
      </c>
      <c r="K300" s="3">
        <f t="shared" si="282"/>
        <v>2.1046977217593601E-2</v>
      </c>
      <c r="L300" s="3">
        <f t="shared" si="282"/>
        <v>2.1031302522143473E-2</v>
      </c>
      <c r="M300" s="3">
        <f t="shared" si="282"/>
        <v>2.0875196188718942E-2</v>
      </c>
      <c r="N300" s="3">
        <f t="shared" si="282"/>
        <v>1.9376463671112797E-2</v>
      </c>
      <c r="O300" s="3">
        <f t="shared" si="282"/>
        <v>9.1984371458182744E-3</v>
      </c>
      <c r="P300" s="3">
        <f t="shared" si="282"/>
        <v>5.3469892625376042E-6</v>
      </c>
      <c r="Q300" s="3">
        <f t="shared" si="282"/>
        <v>2.3553854108416731E-38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3.1114198963852414E-2</v>
      </c>
      <c r="C301" s="3">
        <f t="shared" si="283"/>
        <v>3.1114198963850322E-2</v>
      </c>
      <c r="D301" s="3">
        <f t="shared" si="283"/>
        <v>3.1114198963829411E-2</v>
      </c>
      <c r="E301" s="3">
        <f t="shared" si="283"/>
        <v>3.1114198963620301E-2</v>
      </c>
      <c r="F301" s="3">
        <f t="shared" si="283"/>
        <v>3.1114198961529192E-2</v>
      </c>
      <c r="G301" s="3">
        <f t="shared" si="283"/>
        <v>3.1114198940618117E-2</v>
      </c>
      <c r="H301" s="3">
        <f t="shared" si="283"/>
        <v>3.1114198731507368E-2</v>
      </c>
      <c r="I301" s="3">
        <f t="shared" si="283"/>
        <v>3.1114196640399921E-2</v>
      </c>
      <c r="J301" s="3">
        <f t="shared" si="283"/>
        <v>3.1114175729333195E-2</v>
      </c>
      <c r="K301" s="3">
        <f t="shared" si="283"/>
        <v>3.1113966619438892E-2</v>
      </c>
      <c r="L301" s="3">
        <f t="shared" si="283"/>
        <v>3.1111875597789676E-2</v>
      </c>
      <c r="M301" s="3">
        <f t="shared" si="283"/>
        <v>3.1090973108758309E-2</v>
      </c>
      <c r="N301" s="3">
        <f t="shared" si="283"/>
        <v>3.0882719046400976E-2</v>
      </c>
      <c r="O301" s="3">
        <f t="shared" si="283"/>
        <v>2.887537838947048E-2</v>
      </c>
      <c r="P301" s="3">
        <f t="shared" si="283"/>
        <v>1.4745150833417691E-2</v>
      </c>
      <c r="Q301" s="3">
        <f t="shared" si="283"/>
        <v>1.7777249750021238E-5</v>
      </c>
      <c r="R301" s="3">
        <f t="shared" si="283"/>
        <v>1.1535013766545465E-34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2.5140718095571651E-2</v>
      </c>
      <c r="C302" s="3">
        <f t="shared" si="284"/>
        <v>2.5140718095571498E-2</v>
      </c>
      <c r="D302" s="3">
        <f t="shared" si="284"/>
        <v>2.5140718095569975E-2</v>
      </c>
      <c r="E302" s="3">
        <f t="shared" si="284"/>
        <v>2.514071809555473E-2</v>
      </c>
      <c r="F302" s="3">
        <f t="shared" si="284"/>
        <v>2.5140718095402314E-2</v>
      </c>
      <c r="G302" s="3">
        <f t="shared" si="284"/>
        <v>2.514071809387811E-2</v>
      </c>
      <c r="H302" s="3">
        <f t="shared" si="284"/>
        <v>2.5140718078636111E-2</v>
      </c>
      <c r="I302" s="3">
        <f t="shared" si="284"/>
        <v>2.5140717926216093E-2</v>
      </c>
      <c r="J302" s="3">
        <f t="shared" si="284"/>
        <v>2.5140716402015959E-2</v>
      </c>
      <c r="K302" s="3">
        <f t="shared" si="284"/>
        <v>2.5140701160019725E-2</v>
      </c>
      <c r="L302" s="3">
        <f t="shared" si="284"/>
        <v>2.5140548740565621E-2</v>
      </c>
      <c r="M302" s="3">
        <f t="shared" si="284"/>
        <v>2.5139024596847331E-2</v>
      </c>
      <c r="N302" s="3">
        <f t="shared" si="284"/>
        <v>2.5123788240800127E-2</v>
      </c>
      <c r="O302" s="3">
        <f t="shared" si="284"/>
        <v>2.4971931655948083E-2</v>
      </c>
      <c r="P302" s="3">
        <f t="shared" si="284"/>
        <v>2.3502944333987238E-2</v>
      </c>
      <c r="Q302" s="3">
        <f t="shared" si="284"/>
        <v>1.2818098807189674E-2</v>
      </c>
      <c r="R302" s="3">
        <f t="shared" si="284"/>
        <v>2.9842626611862431E-5</v>
      </c>
      <c r="S302" s="3">
        <f t="shared" si="284"/>
        <v>1.3962762351012517E-31</v>
      </c>
      <c r="T302" s="3">
        <f t="shared" si="284"/>
        <v>7.0196322138608096E-295</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7.3741618123119565E-2</v>
      </c>
      <c r="C303" s="3">
        <f t="shared" si="285"/>
        <v>7.3741618123119537E-2</v>
      </c>
      <c r="D303" s="3">
        <f t="shared" si="285"/>
        <v>7.3741618123119135E-2</v>
      </c>
      <c r="E303" s="3">
        <f t="shared" si="285"/>
        <v>7.3741618123115096E-2</v>
      </c>
      <c r="F303" s="3">
        <f t="shared" si="285"/>
        <v>7.3741618123074767E-2</v>
      </c>
      <c r="G303" s="3">
        <f t="shared" si="285"/>
        <v>7.3741618122671479E-2</v>
      </c>
      <c r="H303" s="3">
        <f t="shared" si="285"/>
        <v>7.3741618118638524E-2</v>
      </c>
      <c r="I303" s="3">
        <f t="shared" si="285"/>
        <v>7.3741618078308938E-2</v>
      </c>
      <c r="J303" s="3">
        <f t="shared" si="285"/>
        <v>7.3741617675013249E-2</v>
      </c>
      <c r="K303" s="3">
        <f t="shared" si="285"/>
        <v>7.3741613642056433E-2</v>
      </c>
      <c r="L303" s="3">
        <f t="shared" si="285"/>
        <v>7.3741573312500364E-2</v>
      </c>
      <c r="M303" s="3">
        <f t="shared" si="285"/>
        <v>7.3741170018152724E-2</v>
      </c>
      <c r="N303" s="3">
        <f t="shared" si="285"/>
        <v>7.3737137195983918E-2</v>
      </c>
      <c r="O303" s="3">
        <f t="shared" si="285"/>
        <v>7.3696821102585255E-2</v>
      </c>
      <c r="P303" s="3">
        <f t="shared" si="285"/>
        <v>7.3294870546929916E-2</v>
      </c>
      <c r="Q303" s="3">
        <f t="shared" si="285"/>
        <v>6.9393988987081726E-2</v>
      </c>
      <c r="R303" s="3">
        <f t="shared" si="285"/>
        <v>4.0161003864115176E-2</v>
      </c>
      <c r="S303" s="3">
        <f t="shared" si="285"/>
        <v>1.692901268777734E-4</v>
      </c>
      <c r="T303" s="3">
        <f t="shared" si="285"/>
        <v>2.9984881465148523E-28</v>
      </c>
      <c r="U303" s="3">
        <f t="shared" si="285"/>
        <v>9.1119094439628066E-266</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9.9846945696723061E-2</v>
      </c>
      <c r="C304" s="3">
        <f t="shared" si="286"/>
        <v>9.9846945696723061E-2</v>
      </c>
      <c r="D304" s="3">
        <f t="shared" si="286"/>
        <v>9.9846945696723005E-2</v>
      </c>
      <c r="E304" s="3">
        <f t="shared" si="286"/>
        <v>9.9846945696722519E-2</v>
      </c>
      <c r="F304" s="3">
        <f t="shared" si="286"/>
        <v>9.9846945696717579E-2</v>
      </c>
      <c r="G304" s="3">
        <f t="shared" si="286"/>
        <v>9.9846945696668327E-2</v>
      </c>
      <c r="H304" s="3">
        <f t="shared" si="286"/>
        <v>9.9846945696175721E-2</v>
      </c>
      <c r="I304" s="3">
        <f t="shared" si="286"/>
        <v>9.9846945691249758E-2</v>
      </c>
      <c r="J304" s="3">
        <f t="shared" si="286"/>
        <v>9.9846945641989995E-2</v>
      </c>
      <c r="K304" s="3">
        <f t="shared" si="286"/>
        <v>9.984694514939238E-2</v>
      </c>
      <c r="L304" s="3">
        <f t="shared" si="286"/>
        <v>9.9846940223416447E-2</v>
      </c>
      <c r="M304" s="3">
        <f t="shared" si="286"/>
        <v>9.984689096367047E-2</v>
      </c>
      <c r="N304" s="3">
        <f t="shared" si="286"/>
        <v>9.9846398367547357E-2</v>
      </c>
      <c r="O304" s="3">
        <f t="shared" si="286"/>
        <v>9.98414725399768E-2</v>
      </c>
      <c r="P304" s="3">
        <f t="shared" si="286"/>
        <v>9.9792227627900576E-2</v>
      </c>
      <c r="Q304" s="3">
        <f t="shared" si="286"/>
        <v>9.9301112433884481E-2</v>
      </c>
      <c r="R304" s="3">
        <f t="shared" si="286"/>
        <v>9.4520950010748048E-2</v>
      </c>
      <c r="S304" s="3">
        <f t="shared" si="286"/>
        <v>5.7712211987326692E-2</v>
      </c>
      <c r="T304" s="3">
        <f t="shared" si="286"/>
        <v>4.1558909435568088E-4</v>
      </c>
      <c r="U304" s="3">
        <f t="shared" si="286"/>
        <v>1.5582185339863808E-25</v>
      </c>
      <c r="V304" s="3">
        <f t="shared" si="286"/>
        <v>8.5559964806268915E-240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8.4959897030223219E-2</v>
      </c>
      <c r="C305" s="3">
        <f t="shared" si="287"/>
        <v>8.4959897030223219E-2</v>
      </c>
      <c r="D305" s="3">
        <f t="shared" si="287"/>
        <v>8.4959897030223219E-2</v>
      </c>
      <c r="E305" s="3">
        <f t="shared" si="287"/>
        <v>8.4959897030223178E-2</v>
      </c>
      <c r="F305" s="3">
        <f t="shared" si="287"/>
        <v>8.4959897030222789E-2</v>
      </c>
      <c r="G305" s="3">
        <f t="shared" si="287"/>
        <v>8.4959897030219028E-2</v>
      </c>
      <c r="H305" s="3">
        <f t="shared" si="287"/>
        <v>8.4959897030181211E-2</v>
      </c>
      <c r="I305" s="3">
        <f t="shared" si="287"/>
        <v>8.4959897029803097E-2</v>
      </c>
      <c r="J305" s="3">
        <f t="shared" si="287"/>
        <v>8.4959897026021997E-2</v>
      </c>
      <c r="K305" s="3">
        <f t="shared" si="287"/>
        <v>8.4959896988211006E-2</v>
      </c>
      <c r="L305" s="3">
        <f t="shared" si="287"/>
        <v>8.4959896610101074E-2</v>
      </c>
      <c r="M305" s="3">
        <f t="shared" si="287"/>
        <v>8.4959892829001876E-2</v>
      </c>
      <c r="N305" s="3">
        <f t="shared" si="287"/>
        <v>8.4959855018019184E-2</v>
      </c>
      <c r="O305" s="3">
        <f t="shared" si="287"/>
        <v>8.4959476909117787E-2</v>
      </c>
      <c r="P305" s="3">
        <f t="shared" si="287"/>
        <v>8.4955695912653839E-2</v>
      </c>
      <c r="Q305" s="3">
        <f t="shared" si="287"/>
        <v>8.4917895201501378E-2</v>
      </c>
      <c r="R305" s="3">
        <f t="shared" si="287"/>
        <v>8.4540811916750599E-2</v>
      </c>
      <c r="S305" s="3">
        <f t="shared" si="287"/>
        <v>8.0860858450870765E-2</v>
      </c>
      <c r="T305" s="3">
        <f t="shared" si="287"/>
        <v>5.1815259821269305E-2</v>
      </c>
      <c r="U305" s="3">
        <f t="shared" si="287"/>
        <v>6.0485462483226475E-4</v>
      </c>
      <c r="V305" s="3">
        <f t="shared" si="287"/>
        <v>2.8417394772651775E-23</v>
      </c>
      <c r="W305" s="3">
        <f t="shared" si="287"/>
        <v>1.4890758103627691E-216</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6.3888587804479924E-2</v>
      </c>
      <c r="C306" s="3">
        <f t="shared" si="288"/>
        <v>6.3888587804479924E-2</v>
      </c>
      <c r="D306" s="3">
        <f t="shared" si="288"/>
        <v>6.3888587804479924E-2</v>
      </c>
      <c r="E306" s="3">
        <f t="shared" si="288"/>
        <v>6.3888587804479924E-2</v>
      </c>
      <c r="F306" s="3">
        <f t="shared" si="288"/>
        <v>6.3888587804479896E-2</v>
      </c>
      <c r="G306" s="3">
        <f t="shared" si="288"/>
        <v>6.3888587804479646E-2</v>
      </c>
      <c r="H306" s="3">
        <f t="shared" si="288"/>
        <v>6.3888587804477079E-2</v>
      </c>
      <c r="I306" s="3">
        <f t="shared" si="288"/>
        <v>6.3888587804451419E-2</v>
      </c>
      <c r="J306" s="3">
        <f t="shared" si="288"/>
        <v>6.388858780419493E-2</v>
      </c>
      <c r="K306" s="3">
        <f t="shared" si="288"/>
        <v>6.3888587801630009E-2</v>
      </c>
      <c r="L306" s="3">
        <f t="shared" si="288"/>
        <v>6.3888587775980804E-2</v>
      </c>
      <c r="M306" s="3">
        <f t="shared" si="288"/>
        <v>6.3888587519488713E-2</v>
      </c>
      <c r="N306" s="3">
        <f t="shared" si="288"/>
        <v>6.3888584954567826E-2</v>
      </c>
      <c r="O306" s="3">
        <f t="shared" si="288"/>
        <v>6.3888559305364606E-2</v>
      </c>
      <c r="P306" s="3">
        <f t="shared" si="288"/>
        <v>6.3888302813898859E-2</v>
      </c>
      <c r="Q306" s="3">
        <f t="shared" si="288"/>
        <v>6.3885737955875793E-2</v>
      </c>
      <c r="R306" s="3">
        <f t="shared" si="288"/>
        <v>6.3860095038242568E-2</v>
      </c>
      <c r="S306" s="3">
        <f t="shared" si="288"/>
        <v>6.3604231281424048E-2</v>
      </c>
      <c r="T306" s="3">
        <f t="shared" si="288"/>
        <v>6.1101304716092111E-2</v>
      </c>
      <c r="U306" s="3">
        <f t="shared" si="288"/>
        <v>4.0897356998497864E-2</v>
      </c>
      <c r="V306" s="3">
        <f t="shared" si="288"/>
        <v>7.3814694742582721E-4</v>
      </c>
      <c r="W306" s="3">
        <f t="shared" si="288"/>
        <v>2.7078130919719149E-21</v>
      </c>
      <c r="X306" s="3">
        <f t="shared" si="288"/>
        <v>1.1950256842988821E-195</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6.4356714781999613E-2</v>
      </c>
      <c r="C307" s="3">
        <f t="shared" si="289"/>
        <v>6.4356714781999613E-2</v>
      </c>
      <c r="D307" s="3">
        <f t="shared" si="289"/>
        <v>6.4356714781999613E-2</v>
      </c>
      <c r="E307" s="3">
        <f t="shared" si="289"/>
        <v>6.4356714781999613E-2</v>
      </c>
      <c r="F307" s="3">
        <f t="shared" si="289"/>
        <v>6.4356714781999613E-2</v>
      </c>
      <c r="G307" s="3">
        <f t="shared" si="289"/>
        <v>6.4356714781999586E-2</v>
      </c>
      <c r="H307" s="3">
        <f t="shared" si="289"/>
        <v>6.435671478199935E-2</v>
      </c>
      <c r="I307" s="3">
        <f t="shared" si="289"/>
        <v>6.4356714781997032E-2</v>
      </c>
      <c r="J307" s="3">
        <f t="shared" si="289"/>
        <v>6.4356714781973717E-2</v>
      </c>
      <c r="K307" s="3">
        <f t="shared" si="289"/>
        <v>6.435671478174064E-2</v>
      </c>
      <c r="L307" s="3">
        <f t="shared" si="289"/>
        <v>6.4356714779409921E-2</v>
      </c>
      <c r="M307" s="3">
        <f t="shared" si="289"/>
        <v>6.4356714756102662E-2</v>
      </c>
      <c r="N307" s="3">
        <f t="shared" si="289"/>
        <v>6.4356714523030101E-2</v>
      </c>
      <c r="O307" s="3">
        <f t="shared" si="289"/>
        <v>6.4356712192304516E-2</v>
      </c>
      <c r="P307" s="3">
        <f t="shared" si="289"/>
        <v>6.4356688885053262E-2</v>
      </c>
      <c r="Q307" s="3">
        <f t="shared" si="289"/>
        <v>6.4356455813005101E-2</v>
      </c>
      <c r="R307" s="3">
        <f t="shared" si="289"/>
        <v>6.4354125138947726E-2</v>
      </c>
      <c r="S307" s="3">
        <f t="shared" si="289"/>
        <v>6.4330823040174359E-2</v>
      </c>
      <c r="T307" s="3">
        <f t="shared" si="289"/>
        <v>6.4098265611100436E-2</v>
      </c>
      <c r="U307" s="3">
        <f t="shared" si="289"/>
        <v>6.1818431997386979E-2</v>
      </c>
      <c r="V307" s="3">
        <f t="shared" si="289"/>
        <v>4.3036312499976873E-2</v>
      </c>
      <c r="W307" s="3">
        <f t="shared" si="289"/>
        <v>1.150815559202021E-3</v>
      </c>
      <c r="X307" s="3">
        <f t="shared" si="289"/>
        <v>2.151356835921917E-19</v>
      </c>
      <c r="Y307" s="3">
        <f t="shared" si="289"/>
        <v>1.1214494684185409E-176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2.3762961942572935E-2</v>
      </c>
      <c r="C308" s="3">
        <f t="shared" si="290"/>
        <v>2.3762961942572935E-2</v>
      </c>
      <c r="D308" s="3">
        <f t="shared" si="290"/>
        <v>2.3762961942572935E-2</v>
      </c>
      <c r="E308" s="3">
        <f t="shared" si="290"/>
        <v>2.3762961942572935E-2</v>
      </c>
      <c r="F308" s="3">
        <f t="shared" si="290"/>
        <v>2.3762961942572935E-2</v>
      </c>
      <c r="G308" s="3">
        <f t="shared" si="290"/>
        <v>2.3762961942572935E-2</v>
      </c>
      <c r="H308" s="3">
        <f t="shared" si="290"/>
        <v>2.3762961942572929E-2</v>
      </c>
      <c r="I308" s="3">
        <f t="shared" si="290"/>
        <v>2.3762961942572849E-2</v>
      </c>
      <c r="J308" s="3">
        <f t="shared" si="290"/>
        <v>2.3762961942572072E-2</v>
      </c>
      <c r="K308" s="3">
        <f t="shared" si="290"/>
        <v>2.3762961942564307E-2</v>
      </c>
      <c r="L308" s="3">
        <f t="shared" si="290"/>
        <v>2.3762961942486675E-2</v>
      </c>
      <c r="M308" s="3">
        <f t="shared" si="290"/>
        <v>2.3762961941710351E-2</v>
      </c>
      <c r="N308" s="3">
        <f t="shared" si="290"/>
        <v>2.3762961933947085E-2</v>
      </c>
      <c r="O308" s="3">
        <f t="shared" si="290"/>
        <v>2.3762961856314428E-2</v>
      </c>
      <c r="P308" s="3">
        <f t="shared" si="290"/>
        <v>2.3762961079987873E-2</v>
      </c>
      <c r="Q308" s="3">
        <f t="shared" si="290"/>
        <v>2.3762953316723717E-2</v>
      </c>
      <c r="R308" s="3">
        <f t="shared" si="290"/>
        <v>2.376287568422164E-2</v>
      </c>
      <c r="S308" s="3">
        <f t="shared" si="290"/>
        <v>2.3762099373149975E-2</v>
      </c>
      <c r="T308" s="3">
        <f t="shared" si="290"/>
        <v>2.3754337657171474E-2</v>
      </c>
      <c r="U308" s="3">
        <f t="shared" si="290"/>
        <v>2.3676859802759433E-2</v>
      </c>
      <c r="V308" s="3">
        <f t="shared" si="290"/>
        <v>2.2915844868395371E-2</v>
      </c>
      <c r="W308" s="3">
        <f t="shared" si="290"/>
        <v>1.6529266566488281E-2</v>
      </c>
      <c r="X308" s="3">
        <f t="shared" si="290"/>
        <v>6.3013076451206044E-4</v>
      </c>
      <c r="Y308" s="3">
        <f t="shared" si="290"/>
        <v>4.0850904999229289E-18</v>
      </c>
      <c r="Z308" s="3">
        <f t="shared" si="290"/>
        <v>5.3568769419924786E-160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4.2794407584768095E-2</v>
      </c>
      <c r="C309" s="3">
        <f t="shared" si="291"/>
        <v>4.2794407584768095E-2</v>
      </c>
      <c r="D309" s="3">
        <f t="shared" si="291"/>
        <v>4.2794407584768095E-2</v>
      </c>
      <c r="E309" s="3">
        <f t="shared" si="291"/>
        <v>4.2794407584768095E-2</v>
      </c>
      <c r="F309" s="3">
        <f t="shared" si="291"/>
        <v>4.2794407584768095E-2</v>
      </c>
      <c r="G309" s="3">
        <f t="shared" si="291"/>
        <v>4.2794407584768095E-2</v>
      </c>
      <c r="H309" s="3">
        <f t="shared" si="291"/>
        <v>4.2794407584768088E-2</v>
      </c>
      <c r="I309" s="3">
        <f t="shared" si="291"/>
        <v>4.2794407584768053E-2</v>
      </c>
      <c r="J309" s="3">
        <f t="shared" si="291"/>
        <v>4.2794407584767664E-2</v>
      </c>
      <c r="K309" s="3">
        <f t="shared" si="291"/>
        <v>4.2794407584763799E-2</v>
      </c>
      <c r="L309" s="3">
        <f t="shared" si="291"/>
        <v>4.2794407584725129E-2</v>
      </c>
      <c r="M309" s="3">
        <f t="shared" si="291"/>
        <v>4.2794407584338459E-2</v>
      </c>
      <c r="N309" s="3">
        <f t="shared" si="291"/>
        <v>4.2794407580471733E-2</v>
      </c>
      <c r="O309" s="3">
        <f t="shared" si="291"/>
        <v>4.2794407541804441E-2</v>
      </c>
      <c r="P309" s="3">
        <f t="shared" si="291"/>
        <v>4.2794407155131518E-2</v>
      </c>
      <c r="Q309" s="3">
        <f t="shared" si="291"/>
        <v>4.2794403288402526E-2</v>
      </c>
      <c r="R309" s="3">
        <f t="shared" si="291"/>
        <v>4.2794364621131828E-2</v>
      </c>
      <c r="S309" s="3">
        <f t="shared" si="291"/>
        <v>4.2793977950346403E-2</v>
      </c>
      <c r="T309" s="3">
        <f t="shared" si="291"/>
        <v>4.2790111434645159E-2</v>
      </c>
      <c r="U309" s="3">
        <f t="shared" si="291"/>
        <v>4.2751465486505213E-2</v>
      </c>
      <c r="V309" s="3">
        <f t="shared" si="291"/>
        <v>4.2366920485997661E-2</v>
      </c>
      <c r="W309" s="3">
        <f t="shared" si="291"/>
        <v>3.8706669897334969E-2</v>
      </c>
      <c r="X309" s="3">
        <f t="shared" si="291"/>
        <v>1.5681042022780541E-2</v>
      </c>
      <c r="Y309" s="3">
        <f t="shared" si="291"/>
        <v>1.8675232545446517E-6</v>
      </c>
      <c r="Z309" s="3">
        <f t="shared" si="291"/>
        <v>1.0719561387220578E-45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2.2817294808056693E-2</v>
      </c>
      <c r="C310" s="3">
        <f t="shared" si="292"/>
        <v>2.2817294808056693E-2</v>
      </c>
      <c r="D310" s="3">
        <f t="shared" si="292"/>
        <v>2.2817294808056693E-2</v>
      </c>
      <c r="E310" s="3">
        <f t="shared" si="292"/>
        <v>2.2817294808056693E-2</v>
      </c>
      <c r="F310" s="3">
        <f t="shared" si="292"/>
        <v>2.2817294808056693E-2</v>
      </c>
      <c r="G310" s="3">
        <f t="shared" si="292"/>
        <v>2.2817294808056693E-2</v>
      </c>
      <c r="H310" s="3">
        <f t="shared" si="292"/>
        <v>2.2817294808056693E-2</v>
      </c>
      <c r="I310" s="3">
        <f t="shared" si="292"/>
        <v>2.2817294808056689E-2</v>
      </c>
      <c r="J310" s="3">
        <f t="shared" si="292"/>
        <v>2.2817294808056669E-2</v>
      </c>
      <c r="K310" s="3">
        <f t="shared" si="292"/>
        <v>2.2817294808056464E-2</v>
      </c>
      <c r="L310" s="3">
        <f t="shared" si="292"/>
        <v>2.2817294808054403E-2</v>
      </c>
      <c r="M310" s="3">
        <f t="shared" si="292"/>
        <v>2.2817294808033784E-2</v>
      </c>
      <c r="N310" s="3">
        <f t="shared" si="292"/>
        <v>2.2817294807827619E-2</v>
      </c>
      <c r="O310" s="3">
        <f t="shared" si="292"/>
        <v>2.2817294805765938E-2</v>
      </c>
      <c r="P310" s="3">
        <f t="shared" si="292"/>
        <v>2.2817294785149156E-2</v>
      </c>
      <c r="Q310" s="3">
        <f t="shared" si="292"/>
        <v>2.281729457898133E-2</v>
      </c>
      <c r="R310" s="3">
        <f t="shared" si="292"/>
        <v>2.2817292517303175E-2</v>
      </c>
      <c r="S310" s="3">
        <f t="shared" si="292"/>
        <v>2.2817271900531854E-2</v>
      </c>
      <c r="T310" s="3">
        <f t="shared" si="292"/>
        <v>2.2817065733843199E-2</v>
      </c>
      <c r="U310" s="3">
        <f t="shared" si="292"/>
        <v>2.2815004169409563E-2</v>
      </c>
      <c r="V310" s="3">
        <f t="shared" si="292"/>
        <v>2.2794398766937306E-2</v>
      </c>
      <c r="W310" s="3">
        <f t="shared" si="292"/>
        <v>2.2589365512856972E-2</v>
      </c>
      <c r="X310" s="3">
        <f t="shared" si="292"/>
        <v>2.0637778343728683E-2</v>
      </c>
      <c r="Y310" s="3">
        <f t="shared" si="292"/>
        <v>8.360881220813101E-3</v>
      </c>
      <c r="Z310" s="3">
        <f t="shared" si="292"/>
        <v>9.9573357980106129E-7</v>
      </c>
      <c r="AA310" s="3">
        <f t="shared" si="292"/>
        <v>5.7154989679616703E-46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1.5874068547548043E-2</v>
      </c>
      <c r="C311" s="3">
        <f t="shared" si="293"/>
        <v>1.5874068547548043E-2</v>
      </c>
      <c r="D311" s="3">
        <f t="shared" si="293"/>
        <v>1.5874068547548043E-2</v>
      </c>
      <c r="E311" s="3">
        <f t="shared" si="293"/>
        <v>1.5874068547548043E-2</v>
      </c>
      <c r="F311" s="3">
        <f t="shared" si="293"/>
        <v>1.5874068547548043E-2</v>
      </c>
      <c r="G311" s="3">
        <f t="shared" si="293"/>
        <v>1.5874068547548043E-2</v>
      </c>
      <c r="H311" s="3">
        <f t="shared" si="293"/>
        <v>1.5874068547548043E-2</v>
      </c>
      <c r="I311" s="3">
        <f t="shared" si="293"/>
        <v>1.5874068547548043E-2</v>
      </c>
      <c r="J311" s="3">
        <f t="shared" si="293"/>
        <v>1.587406854754804E-2</v>
      </c>
      <c r="K311" s="3">
        <f t="shared" si="293"/>
        <v>1.5874068547548026E-2</v>
      </c>
      <c r="L311" s="3">
        <f t="shared" si="293"/>
        <v>1.5874068547547884E-2</v>
      </c>
      <c r="M311" s="3">
        <f t="shared" si="293"/>
        <v>1.5874068547546451E-2</v>
      </c>
      <c r="N311" s="3">
        <f t="shared" si="293"/>
        <v>1.5874068547532105E-2</v>
      </c>
      <c r="O311" s="3">
        <f t="shared" si="293"/>
        <v>1.5874068547388674E-2</v>
      </c>
      <c r="P311" s="3">
        <f t="shared" si="293"/>
        <v>1.587406854595436E-2</v>
      </c>
      <c r="Q311" s="3">
        <f t="shared" si="293"/>
        <v>1.5874068531611194E-2</v>
      </c>
      <c r="R311" s="3">
        <f t="shared" si="293"/>
        <v>1.5874068388179546E-2</v>
      </c>
      <c r="S311" s="3">
        <f t="shared" si="293"/>
        <v>1.5874066953863133E-2</v>
      </c>
      <c r="T311" s="3">
        <f t="shared" si="293"/>
        <v>1.5874052610706159E-2</v>
      </c>
      <c r="U311" s="3">
        <f t="shared" si="293"/>
        <v>1.5873909179849197E-2</v>
      </c>
      <c r="V311" s="3">
        <f t="shared" si="293"/>
        <v>1.5872474942556388E-2</v>
      </c>
      <c r="W311" s="3">
        <f t="shared" si="293"/>
        <v>1.5858139694927519E-2</v>
      </c>
      <c r="X311" s="3">
        <f t="shared" si="293"/>
        <v>1.5715497372199197E-2</v>
      </c>
      <c r="Y311" s="3">
        <f t="shared" si="293"/>
        <v>1.435777163127048E-2</v>
      </c>
      <c r="Z311" s="3">
        <f t="shared" si="293"/>
        <v>5.8166931151816918E-3</v>
      </c>
      <c r="AA311" s="3">
        <f t="shared" si="293"/>
        <v>6.9273519204723122E-7</v>
      </c>
      <c r="AB311" s="3">
        <f t="shared" si="293"/>
        <v>3.9762918068985056E-46</v>
      </c>
      <c r="AC311" s="3">
        <f t="shared" si="293"/>
        <v>0</v>
      </c>
      <c r="AD311" s="3">
        <f t="shared" si="293"/>
        <v>0</v>
      </c>
      <c r="AE311" s="3">
        <f t="shared" si="293"/>
        <v>0</v>
      </c>
      <c r="AF311" s="3">
        <f t="shared" si="293"/>
        <v>0</v>
      </c>
      <c r="AG311" s="3"/>
      <c r="AH311" s="3"/>
    </row>
    <row r="312" spans="1:34" x14ac:dyDescent="0.25">
      <c r="B312" s="3">
        <f t="shared" ref="B312:AF312" si="294">$C42*EXP(-B$285/$A42/EXP(-$F$126))</f>
        <v>5.5424436077778048E-3</v>
      </c>
      <c r="C312" s="3">
        <f t="shared" si="294"/>
        <v>5.5424436077778048E-3</v>
      </c>
      <c r="D312" s="3">
        <f t="shared" si="294"/>
        <v>5.5424436077778048E-3</v>
      </c>
      <c r="E312" s="3">
        <f t="shared" si="294"/>
        <v>5.5424436077778048E-3</v>
      </c>
      <c r="F312" s="3">
        <f t="shared" si="294"/>
        <v>5.5424436077778048E-3</v>
      </c>
      <c r="G312" s="3">
        <f t="shared" si="294"/>
        <v>5.5424436077778048E-3</v>
      </c>
      <c r="H312" s="3">
        <f t="shared" si="294"/>
        <v>5.5424436077778048E-3</v>
      </c>
      <c r="I312" s="3">
        <f t="shared" si="294"/>
        <v>5.5424436077778048E-3</v>
      </c>
      <c r="J312" s="3">
        <f t="shared" si="294"/>
        <v>5.5424436077778048E-3</v>
      </c>
      <c r="K312" s="3">
        <f t="shared" si="294"/>
        <v>5.542443607777804E-3</v>
      </c>
      <c r="L312" s="3">
        <f t="shared" si="294"/>
        <v>5.5424436077777996E-3</v>
      </c>
      <c r="M312" s="3">
        <f t="shared" si="294"/>
        <v>5.5424436077777493E-3</v>
      </c>
      <c r="N312" s="3">
        <f t="shared" si="294"/>
        <v>5.5424436077772489E-3</v>
      </c>
      <c r="O312" s="3">
        <f t="shared" si="294"/>
        <v>5.5424436077722407E-3</v>
      </c>
      <c r="P312" s="3">
        <f t="shared" si="294"/>
        <v>5.542443607722161E-3</v>
      </c>
      <c r="Q312" s="3">
        <f t="shared" si="294"/>
        <v>5.5424436072213689E-3</v>
      </c>
      <c r="R312" s="3">
        <f t="shared" si="294"/>
        <v>5.5424436022134416E-3</v>
      </c>
      <c r="S312" s="3">
        <f t="shared" si="294"/>
        <v>5.5424435521341676E-3</v>
      </c>
      <c r="T312" s="3">
        <f t="shared" si="294"/>
        <v>5.5424430513414565E-3</v>
      </c>
      <c r="U312" s="3">
        <f t="shared" si="294"/>
        <v>5.5424380434168372E-3</v>
      </c>
      <c r="V312" s="3">
        <f t="shared" si="294"/>
        <v>5.5423879644195123E-3</v>
      </c>
      <c r="W312" s="3">
        <f t="shared" si="294"/>
        <v>5.5418871993326187E-3</v>
      </c>
      <c r="X312" s="3">
        <f t="shared" si="294"/>
        <v>5.5368820362675505E-3</v>
      </c>
      <c r="Y312" s="3">
        <f t="shared" si="294"/>
        <v>5.4870783562950155E-3</v>
      </c>
      <c r="Z312" s="3">
        <f t="shared" si="294"/>
        <v>5.0130273383480074E-3</v>
      </c>
      <c r="AA312" s="3">
        <f t="shared" si="294"/>
        <v>2.0309030087704654E-3</v>
      </c>
      <c r="AB312" s="3">
        <f t="shared" si="294"/>
        <v>2.418690410429127E-7</v>
      </c>
      <c r="AC312" s="3">
        <f t="shared" si="294"/>
        <v>1.3883254341375511E-46</v>
      </c>
      <c r="AD312" s="3">
        <f t="shared" si="294"/>
        <v>0</v>
      </c>
      <c r="AE312" s="3">
        <f t="shared" si="294"/>
        <v>0</v>
      </c>
      <c r="AF312" s="3">
        <f t="shared" si="294"/>
        <v>0</v>
      </c>
      <c r="AG312" s="3"/>
      <c r="AH312" s="3"/>
    </row>
    <row r="313" spans="1:34" x14ac:dyDescent="0.25">
      <c r="B313" s="3">
        <f t="shared" ref="B313:AF313" si="295">$C43*EXP(-B$285/$A43/EXP(-$F$126))</f>
        <v>3.8861309197679899E-3</v>
      </c>
      <c r="C313" s="3">
        <f t="shared" si="295"/>
        <v>3.8861309197679899E-3</v>
      </c>
      <c r="D313" s="3">
        <f t="shared" si="295"/>
        <v>3.8861309197679899E-3</v>
      </c>
      <c r="E313" s="3">
        <f t="shared" si="295"/>
        <v>3.8861309197679899E-3</v>
      </c>
      <c r="F313" s="3">
        <f t="shared" si="295"/>
        <v>3.8861309197679899E-3</v>
      </c>
      <c r="G313" s="3">
        <f t="shared" si="295"/>
        <v>3.8861309197679899E-3</v>
      </c>
      <c r="H313" s="3">
        <f t="shared" si="295"/>
        <v>3.8861309197679899E-3</v>
      </c>
      <c r="I313" s="3">
        <f t="shared" si="295"/>
        <v>3.8861309197679899E-3</v>
      </c>
      <c r="J313" s="3">
        <f t="shared" si="295"/>
        <v>3.8861309197679899E-3</v>
      </c>
      <c r="K313" s="3">
        <f t="shared" si="295"/>
        <v>3.8861309197679899E-3</v>
      </c>
      <c r="L313" s="3">
        <f t="shared" si="295"/>
        <v>3.8861309197679894E-3</v>
      </c>
      <c r="M313" s="3">
        <f t="shared" si="295"/>
        <v>3.886130919767986E-3</v>
      </c>
      <c r="N313" s="3">
        <f t="shared" si="295"/>
        <v>3.8861309197679508E-3</v>
      </c>
      <c r="O313" s="3">
        <f t="shared" si="295"/>
        <v>3.8861309197676E-3</v>
      </c>
      <c r="P313" s="3">
        <f t="shared" si="295"/>
        <v>3.8861309197640885E-3</v>
      </c>
      <c r="Q313" s="3">
        <f t="shared" si="295"/>
        <v>3.8861309197289751E-3</v>
      </c>
      <c r="R313" s="3">
        <f t="shared" si="295"/>
        <v>3.8861309193778397E-3</v>
      </c>
      <c r="S313" s="3">
        <f t="shared" si="295"/>
        <v>3.8861309158664896E-3</v>
      </c>
      <c r="T313" s="3">
        <f t="shared" si="295"/>
        <v>3.886130880752986E-3</v>
      </c>
      <c r="U313" s="3">
        <f t="shared" si="295"/>
        <v>3.8861305296179673E-3</v>
      </c>
      <c r="V313" s="3">
        <f t="shared" si="295"/>
        <v>3.8861270182695292E-3</v>
      </c>
      <c r="W313" s="3">
        <f t="shared" si="295"/>
        <v>3.886091904959641E-3</v>
      </c>
      <c r="X313" s="3">
        <f t="shared" si="295"/>
        <v>3.8857407893100409E-3</v>
      </c>
      <c r="Y313" s="3">
        <f t="shared" si="295"/>
        <v>3.8822313771586306E-3</v>
      </c>
      <c r="Z313" s="3">
        <f t="shared" si="295"/>
        <v>3.8473111083465322E-3</v>
      </c>
      <c r="AA313" s="3">
        <f t="shared" si="295"/>
        <v>3.5149262527196501E-3</v>
      </c>
      <c r="AB313" s="3">
        <f t="shared" si="295"/>
        <v>1.4239847143157707E-3</v>
      </c>
      <c r="AC313" s="3">
        <f t="shared" si="295"/>
        <v>1.6958851103373782E-7</v>
      </c>
      <c r="AD313" s="3">
        <f t="shared" si="295"/>
        <v>9.7343604700480123E-47</v>
      </c>
      <c r="AE313" s="3">
        <f t="shared" si="295"/>
        <v>0</v>
      </c>
      <c r="AF313" s="3">
        <f t="shared" si="295"/>
        <v>0</v>
      </c>
      <c r="AG313" s="3"/>
      <c r="AH313" s="3"/>
    </row>
    <row r="314" spans="1:34" x14ac:dyDescent="0.25">
      <c r="B314" s="3">
        <f t="shared" ref="B314:AF314" si="296">$C44*EXP(-B$285/$A44/EXP(-$F$126))</f>
        <v>2.064572113999586E-3</v>
      </c>
      <c r="C314" s="3">
        <f t="shared" si="296"/>
        <v>2.064572113999586E-3</v>
      </c>
      <c r="D314" s="3">
        <f t="shared" si="296"/>
        <v>2.064572113999586E-3</v>
      </c>
      <c r="E314" s="3">
        <f t="shared" si="296"/>
        <v>2.064572113999586E-3</v>
      </c>
      <c r="F314" s="3">
        <f t="shared" si="296"/>
        <v>2.064572113999586E-3</v>
      </c>
      <c r="G314" s="3">
        <f t="shared" si="296"/>
        <v>2.064572113999586E-3</v>
      </c>
      <c r="H314" s="3">
        <f t="shared" si="296"/>
        <v>2.064572113999586E-3</v>
      </c>
      <c r="I314" s="3">
        <f t="shared" si="296"/>
        <v>2.064572113999586E-3</v>
      </c>
      <c r="J314" s="3">
        <f t="shared" si="296"/>
        <v>2.064572113999586E-3</v>
      </c>
      <c r="K314" s="3">
        <f t="shared" si="296"/>
        <v>2.064572113999586E-3</v>
      </c>
      <c r="L314" s="3">
        <f t="shared" si="296"/>
        <v>2.064572113999586E-3</v>
      </c>
      <c r="M314" s="3">
        <f t="shared" si="296"/>
        <v>2.0645721139995856E-3</v>
      </c>
      <c r="N314" s="3">
        <f t="shared" si="296"/>
        <v>2.0645721139995838E-3</v>
      </c>
      <c r="O314" s="3">
        <f t="shared" si="296"/>
        <v>2.0645721139995652E-3</v>
      </c>
      <c r="P314" s="3">
        <f t="shared" si="296"/>
        <v>2.0645721139993787E-3</v>
      </c>
      <c r="Q314" s="3">
        <f t="shared" si="296"/>
        <v>2.064572113997513E-3</v>
      </c>
      <c r="R314" s="3">
        <f t="shared" si="296"/>
        <v>2.0645721139788587E-3</v>
      </c>
      <c r="S314" s="3">
        <f t="shared" si="296"/>
        <v>2.0645721137923121E-3</v>
      </c>
      <c r="T314" s="3">
        <f t="shared" si="296"/>
        <v>2.0645721119268486E-3</v>
      </c>
      <c r="U314" s="3">
        <f t="shared" si="296"/>
        <v>2.0645720932722122E-3</v>
      </c>
      <c r="V314" s="3">
        <f t="shared" si="296"/>
        <v>2.0645719067258544E-3</v>
      </c>
      <c r="W314" s="3">
        <f t="shared" si="296"/>
        <v>2.0645700412632085E-3</v>
      </c>
      <c r="X314" s="3">
        <f t="shared" si="296"/>
        <v>2.0645513867294518E-3</v>
      </c>
      <c r="Y314" s="3">
        <f t="shared" si="296"/>
        <v>2.0643648506621089E-3</v>
      </c>
      <c r="Z314" s="3">
        <f t="shared" si="296"/>
        <v>2.0625004167009481E-3</v>
      </c>
      <c r="AA314" s="3">
        <f t="shared" si="296"/>
        <v>2.0439484392479777E-3</v>
      </c>
      <c r="AB314" s="3">
        <f t="shared" si="296"/>
        <v>1.8673634198004062E-3</v>
      </c>
      <c r="AC314" s="3">
        <f t="shared" si="296"/>
        <v>7.5651572029733028E-4</v>
      </c>
      <c r="AD314" s="3">
        <f t="shared" si="296"/>
        <v>9.0096735792902613E-8</v>
      </c>
      <c r="AE314" s="3">
        <f t="shared" si="296"/>
        <v>5.1715419755546674E-47</v>
      </c>
      <c r="AF314" s="3">
        <f t="shared" si="296"/>
        <v>0</v>
      </c>
      <c r="AG314" s="3"/>
      <c r="AH314" s="3"/>
    </row>
    <row r="315" spans="1:34" x14ac:dyDescent="0.25">
      <c r="B315" s="3">
        <f t="shared" ref="B315:AF315" si="297">$C45*EXP(-B$285/$A45/EXP(-$F$126))</f>
        <v>5.3484126683110472E-4</v>
      </c>
      <c r="C315" s="3">
        <f t="shared" si="297"/>
        <v>5.3484126683110472E-4</v>
      </c>
      <c r="D315" s="3">
        <f t="shared" si="297"/>
        <v>5.3484126683110472E-4</v>
      </c>
      <c r="E315" s="3">
        <f t="shared" si="297"/>
        <v>5.3484126683110472E-4</v>
      </c>
      <c r="F315" s="3">
        <f t="shared" si="297"/>
        <v>5.3484126683110472E-4</v>
      </c>
      <c r="G315" s="3">
        <f t="shared" si="297"/>
        <v>5.3484126683110472E-4</v>
      </c>
      <c r="H315" s="3">
        <f t="shared" si="297"/>
        <v>5.3484126683110472E-4</v>
      </c>
      <c r="I315" s="3">
        <f t="shared" si="297"/>
        <v>5.3484126683110472E-4</v>
      </c>
      <c r="J315" s="3">
        <f t="shared" si="297"/>
        <v>5.3484126683110472E-4</v>
      </c>
      <c r="K315" s="3">
        <f t="shared" si="297"/>
        <v>5.3484126683110472E-4</v>
      </c>
      <c r="L315" s="3">
        <f t="shared" si="297"/>
        <v>5.3484126683110472E-4</v>
      </c>
      <c r="M315" s="3">
        <f t="shared" si="297"/>
        <v>5.3484126683110472E-4</v>
      </c>
      <c r="N315" s="3">
        <f t="shared" si="297"/>
        <v>5.3484126683110461E-4</v>
      </c>
      <c r="O315" s="3">
        <f t="shared" si="297"/>
        <v>5.3484126683110418E-4</v>
      </c>
      <c r="P315" s="3">
        <f t="shared" si="297"/>
        <v>5.3484126683109941E-4</v>
      </c>
      <c r="Q315" s="3">
        <f t="shared" si="297"/>
        <v>5.3484126683105105E-4</v>
      </c>
      <c r="R315" s="3">
        <f t="shared" si="297"/>
        <v>5.3484126683056772E-4</v>
      </c>
      <c r="S315" s="3">
        <f t="shared" si="297"/>
        <v>5.3484126682573521E-4</v>
      </c>
      <c r="T315" s="3">
        <f t="shared" si="297"/>
        <v>5.3484126677740907E-4</v>
      </c>
      <c r="U315" s="3">
        <f t="shared" si="297"/>
        <v>5.3484126629414817E-4</v>
      </c>
      <c r="V315" s="3">
        <f t="shared" si="297"/>
        <v>5.3484126146153936E-4</v>
      </c>
      <c r="W315" s="3">
        <f t="shared" si="297"/>
        <v>5.3484121313545306E-4</v>
      </c>
      <c r="X315" s="3">
        <f t="shared" si="297"/>
        <v>5.3484072987483057E-4</v>
      </c>
      <c r="Y315" s="3">
        <f t="shared" si="297"/>
        <v>5.3483589729262204E-4</v>
      </c>
      <c r="Z315" s="3">
        <f t="shared" si="297"/>
        <v>5.3478757387204938E-4</v>
      </c>
      <c r="AA315" s="3">
        <f t="shared" si="297"/>
        <v>5.343045797373575E-4</v>
      </c>
      <c r="AB315" s="3">
        <f t="shared" si="297"/>
        <v>5.2949856542771592E-4</v>
      </c>
      <c r="AC315" s="3">
        <f t="shared" si="297"/>
        <v>4.8375303061964805E-4</v>
      </c>
      <c r="AD315" s="3">
        <f t="shared" si="297"/>
        <v>1.9598047628262741E-4</v>
      </c>
      <c r="AE315" s="3">
        <f t="shared" si="297"/>
        <v>2.3340164280080475E-8</v>
      </c>
      <c r="AF315" s="3">
        <f t="shared" si="297"/>
        <v>1.3397226684020044E-47</v>
      </c>
      <c r="AG315" s="3"/>
      <c r="AH315" s="3"/>
    </row>
    <row r="316" spans="1:34" x14ac:dyDescent="0.25">
      <c r="B316" s="3">
        <f t="shared" ref="B316:AF316" si="298">$C46*EXP(-B$285/$A46/EXP(-$F$126))</f>
        <v>1.465148476990797E-3</v>
      </c>
      <c r="C316" s="3">
        <f t="shared" si="298"/>
        <v>1.465148476990797E-3</v>
      </c>
      <c r="D316" s="3">
        <f t="shared" si="298"/>
        <v>1.465148476990797E-3</v>
      </c>
      <c r="E316" s="3">
        <f t="shared" si="298"/>
        <v>1.465148476990797E-3</v>
      </c>
      <c r="F316" s="3">
        <f t="shared" si="298"/>
        <v>1.465148476990797E-3</v>
      </c>
      <c r="G316" s="3">
        <f t="shared" si="298"/>
        <v>1.465148476990797E-3</v>
      </c>
      <c r="H316" s="3">
        <f t="shared" si="298"/>
        <v>1.465148476990797E-3</v>
      </c>
      <c r="I316" s="3">
        <f t="shared" si="298"/>
        <v>1.465148476990797E-3</v>
      </c>
      <c r="J316" s="3">
        <f t="shared" si="298"/>
        <v>1.465148476990797E-3</v>
      </c>
      <c r="K316" s="3">
        <f t="shared" si="298"/>
        <v>1.465148476990797E-3</v>
      </c>
      <c r="L316" s="3">
        <f t="shared" si="298"/>
        <v>1.465148476990797E-3</v>
      </c>
      <c r="M316" s="3">
        <f t="shared" si="298"/>
        <v>1.465148476990797E-3</v>
      </c>
      <c r="N316" s="3">
        <f t="shared" si="298"/>
        <v>1.465148476990797E-3</v>
      </c>
      <c r="O316" s="3">
        <f t="shared" si="298"/>
        <v>1.4651484769907968E-3</v>
      </c>
      <c r="P316" s="3">
        <f t="shared" si="298"/>
        <v>1.4651484769907955E-3</v>
      </c>
      <c r="Q316" s="3">
        <f t="shared" si="298"/>
        <v>1.4651484769907823E-3</v>
      </c>
      <c r="R316" s="3">
        <f t="shared" si="298"/>
        <v>1.46514847699065E-3</v>
      </c>
      <c r="S316" s="3">
        <f t="shared" si="298"/>
        <v>1.465148476989326E-3</v>
      </c>
      <c r="T316" s="3">
        <f t="shared" si="298"/>
        <v>1.4651484769760876E-3</v>
      </c>
      <c r="U316" s="3">
        <f t="shared" si="298"/>
        <v>1.4651484768437026E-3</v>
      </c>
      <c r="V316" s="3">
        <f t="shared" si="298"/>
        <v>1.4651484755198541E-3</v>
      </c>
      <c r="W316" s="3">
        <f t="shared" si="298"/>
        <v>1.4651484622813663E-3</v>
      </c>
      <c r="X316" s="3">
        <f t="shared" si="298"/>
        <v>1.4651483298964961E-3</v>
      </c>
      <c r="Y316" s="3">
        <f t="shared" si="298"/>
        <v>1.4651470060484521E-3</v>
      </c>
      <c r="Z316" s="3">
        <f t="shared" si="298"/>
        <v>1.4651337676338009E-3</v>
      </c>
      <c r="AA316" s="3">
        <f t="shared" si="298"/>
        <v>1.4650013900660143E-3</v>
      </c>
      <c r="AB316" s="3">
        <f t="shared" si="298"/>
        <v>1.4636782720406753E-3</v>
      </c>
      <c r="AC316" s="3">
        <f t="shared" si="298"/>
        <v>1.4505126377060478E-3</v>
      </c>
      <c r="AD316" s="3">
        <f t="shared" si="298"/>
        <v>1.3251969509598055E-3</v>
      </c>
      <c r="AE316" s="3">
        <f t="shared" si="298"/>
        <v>5.368704962627677E-4</v>
      </c>
      <c r="AF316" s="3">
        <f t="shared" si="298"/>
        <v>6.3938234142418507E-8</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1.026110794379005E-2</v>
      </c>
      <c r="C318" s="3">
        <f t="shared" si="300"/>
        <v>1.026110794379005E-2</v>
      </c>
      <c r="D318" s="3">
        <f t="shared" si="300"/>
        <v>1.026110794379005E-2</v>
      </c>
      <c r="E318" s="3">
        <f t="shared" si="300"/>
        <v>1.026110794379005E-2</v>
      </c>
      <c r="F318" s="3">
        <f t="shared" si="300"/>
        <v>1.026110794379005E-2</v>
      </c>
      <c r="G318" s="3">
        <f t="shared" si="300"/>
        <v>1.026110794379005E-2</v>
      </c>
      <c r="H318" s="3">
        <f t="shared" si="300"/>
        <v>1.026110794379005E-2</v>
      </c>
      <c r="I318" s="3">
        <f t="shared" si="300"/>
        <v>1.026110794379005E-2</v>
      </c>
      <c r="J318" s="3">
        <f t="shared" si="300"/>
        <v>1.026110794379005E-2</v>
      </c>
      <c r="K318" s="3">
        <f t="shared" si="300"/>
        <v>1.026110794379005E-2</v>
      </c>
      <c r="L318" s="3">
        <f t="shared" si="300"/>
        <v>1.026110794379005E-2</v>
      </c>
      <c r="M318" s="3">
        <f t="shared" si="300"/>
        <v>1.026110794379005E-2</v>
      </c>
      <c r="N318" s="3">
        <f t="shared" si="300"/>
        <v>1.026110794379005E-2</v>
      </c>
      <c r="O318" s="3">
        <f t="shared" si="300"/>
        <v>1.026110794379005E-2</v>
      </c>
      <c r="P318" s="3">
        <f t="shared" si="300"/>
        <v>1.026110794379005E-2</v>
      </c>
      <c r="Q318" s="3">
        <f t="shared" si="300"/>
        <v>1.0261107943790048E-2</v>
      </c>
      <c r="R318" s="3">
        <f t="shared" si="300"/>
        <v>1.0261107943790039E-2</v>
      </c>
      <c r="S318" s="3">
        <f t="shared" si="300"/>
        <v>1.0261107943789947E-2</v>
      </c>
      <c r="T318" s="3">
        <f t="shared" si="300"/>
        <v>1.0261107943789019E-2</v>
      </c>
      <c r="U318" s="3">
        <f t="shared" si="300"/>
        <v>1.0261107943779747E-2</v>
      </c>
      <c r="V318" s="3">
        <f t="shared" si="300"/>
        <v>1.0261107943687033E-2</v>
      </c>
      <c r="W318" s="3">
        <f t="shared" si="300"/>
        <v>1.0261107942759881E-2</v>
      </c>
      <c r="X318" s="3">
        <f t="shared" si="300"/>
        <v>1.026110793348836E-2</v>
      </c>
      <c r="Y318" s="3">
        <f t="shared" si="300"/>
        <v>1.0261107840773149E-2</v>
      </c>
      <c r="Z318" s="3">
        <f t="shared" si="300"/>
        <v>1.0261106913621079E-2</v>
      </c>
      <c r="AA318" s="3">
        <f t="shared" si="300"/>
        <v>1.0261097642104986E-2</v>
      </c>
      <c r="AB318" s="3">
        <f t="shared" si="300"/>
        <v>1.0261004927404822E-2</v>
      </c>
      <c r="AC318" s="3">
        <f t="shared" si="300"/>
        <v>1.0260077826477015E-2</v>
      </c>
      <c r="AD318" s="3">
        <f t="shared" si="300"/>
        <v>1.0250811423041739E-2</v>
      </c>
      <c r="AE318" s="3">
        <f t="shared" si="300"/>
        <v>1.0158606436873002E-2</v>
      </c>
      <c r="AF318" s="3">
        <f t="shared" si="300"/>
        <v>9.2809631065571708E-3</v>
      </c>
      <c r="AG318" s="3"/>
      <c r="AH318" s="3"/>
    </row>
    <row r="319" spans="1:34" x14ac:dyDescent="0.25">
      <c r="A319" s="79">
        <f>AVERAGE(B319:AF319)</f>
        <v>9.4037576089793442E-4</v>
      </c>
      <c r="B319" s="80">
        <f>IF($A$64&lt;=B285,IF($B$64&gt;=B285,ABS((B287-B286)/B286),0),0)</f>
        <v>6.2626190348798062E-3</v>
      </c>
      <c r="C319" s="80">
        <f t="shared" ref="C319:AF319" si="301">IF($A$64&lt;=C285,IF($B$64&gt;=C285,ABS((C287-C286)/C286),0),0)</f>
        <v>8.2499816851891346E-3</v>
      </c>
      <c r="D319" s="80">
        <f t="shared" si="301"/>
        <v>2.2931658160535006E-3</v>
      </c>
      <c r="E319" s="80">
        <f t="shared" si="301"/>
        <v>3.3700576249894032E-4</v>
      </c>
      <c r="F319" s="80">
        <f t="shared" si="301"/>
        <v>1.0386945830519927E-4</v>
      </c>
      <c r="G319" s="80">
        <f t="shared" si="301"/>
        <v>4.2435873271531012E-5</v>
      </c>
      <c r="H319" s="80">
        <f t="shared" si="301"/>
        <v>7.1096977333672581E-5</v>
      </c>
      <c r="I319" s="80">
        <f t="shared" si="301"/>
        <v>1.6206482641543197E-5</v>
      </c>
      <c r="J319" s="80">
        <f t="shared" si="301"/>
        <v>2.3445544995901534E-4</v>
      </c>
      <c r="K319" s="80">
        <f t="shared" si="301"/>
        <v>2.4093965822829711E-4</v>
      </c>
      <c r="L319" s="80">
        <f t="shared" si="301"/>
        <v>6.4537508231253765E-4</v>
      </c>
      <c r="M319" s="80">
        <f t="shared" si="301"/>
        <v>8.0037721502631664E-4</v>
      </c>
      <c r="N319" s="80">
        <f t="shared" si="301"/>
        <v>1.1869954066335603E-3</v>
      </c>
      <c r="O319" s="80">
        <f t="shared" si="301"/>
        <v>1.1469944751556782E-3</v>
      </c>
      <c r="P319" s="80">
        <f t="shared" si="301"/>
        <v>1.2239572222090087E-3</v>
      </c>
      <c r="Q319" s="80">
        <f t="shared" si="301"/>
        <v>8.223668681046222E-4</v>
      </c>
      <c r="R319" s="80">
        <f t="shared" si="301"/>
        <v>9.0476479463956201E-4</v>
      </c>
      <c r="S319" s="80">
        <f t="shared" si="301"/>
        <v>1.0949366951901461E-4</v>
      </c>
      <c r="T319" s="80">
        <f t="shared" si="301"/>
        <v>6.6485362960271672E-4</v>
      </c>
      <c r="U319" s="80">
        <f t="shared" si="301"/>
        <v>2.0436014095960071E-4</v>
      </c>
      <c r="V319" s="80">
        <f t="shared" si="301"/>
        <v>5.2906107192381797E-4</v>
      </c>
      <c r="W319" s="80">
        <f t="shared" si="301"/>
        <v>3.770555862086438E-4</v>
      </c>
      <c r="X319" s="80">
        <f t="shared" si="301"/>
        <v>8.284459608628702E-4</v>
      </c>
      <c r="Y319" s="80">
        <f t="shared" si="301"/>
        <v>5.5910922434952357E-4</v>
      </c>
      <c r="Z319" s="80">
        <f t="shared" si="301"/>
        <v>5.0897476501601271E-4</v>
      </c>
      <c r="AA319" s="80">
        <f t="shared" si="301"/>
        <v>2.1192342679809172E-4</v>
      </c>
      <c r="AB319" s="80">
        <f t="shared" si="301"/>
        <v>1.9433388799716035E-4</v>
      </c>
      <c r="AC319" s="80">
        <f t="shared" si="301"/>
        <v>3.0860489963846648E-5</v>
      </c>
      <c r="AD319" s="80">
        <f t="shared" si="301"/>
        <v>1.5346246987416609E-4</v>
      </c>
      <c r="AE319" s="80">
        <f t="shared" si="301"/>
        <v>3.2618960100713903E-5</v>
      </c>
      <c r="AF319" s="80">
        <f t="shared" si="301"/>
        <v>1.6448804221785818E-4</v>
      </c>
    </row>
    <row r="320" spans="1:34" x14ac:dyDescent="0.25">
      <c r="B320" s="21">
        <f>(B287-B286)^2</f>
        <v>4287.1680398146946</v>
      </c>
      <c r="C320" s="21">
        <f t="shared" ref="C320:AF320" si="302">(C287-C286)^2</f>
        <v>7104.4781872047624</v>
      </c>
      <c r="D320" s="21">
        <f t="shared" si="302"/>
        <v>524.90284644047711</v>
      </c>
      <c r="E320" s="21">
        <f t="shared" si="302"/>
        <v>10.775920078857743</v>
      </c>
      <c r="F320" s="21">
        <f t="shared" si="302"/>
        <v>0.97085453658670939</v>
      </c>
      <c r="G320" s="21">
        <f t="shared" si="302"/>
        <v>0.1532262313888772</v>
      </c>
      <c r="H320" s="21">
        <f t="shared" si="302"/>
        <v>0.4079513436662256</v>
      </c>
      <c r="I320" s="21">
        <f t="shared" si="302"/>
        <v>1.9744909637957154E-2</v>
      </c>
      <c r="J320" s="21">
        <f t="shared" si="302"/>
        <v>3.8039642934982147</v>
      </c>
      <c r="K320" s="21">
        <f t="shared" si="302"/>
        <v>3.6862836838924316</v>
      </c>
      <c r="L320" s="21">
        <f t="shared" si="302"/>
        <v>24.582276103751191</v>
      </c>
      <c r="M320" s="21">
        <f t="shared" si="302"/>
        <v>35.116543498109699</v>
      </c>
      <c r="N320" s="21">
        <f t="shared" si="302"/>
        <v>71.672228663819681</v>
      </c>
      <c r="O320" s="21">
        <f t="shared" si="302"/>
        <v>61.636273433866315</v>
      </c>
      <c r="P320" s="21">
        <f t="shared" si="302"/>
        <v>64.715867067116108</v>
      </c>
      <c r="Q320" s="21">
        <f t="shared" si="302"/>
        <v>26.156083113023534</v>
      </c>
      <c r="R320" s="21">
        <f t="shared" si="302"/>
        <v>26.508922838810889</v>
      </c>
      <c r="S320" s="21">
        <f t="shared" si="302"/>
        <v>0.27203519466253223</v>
      </c>
      <c r="T320" s="21">
        <f t="shared" si="302"/>
        <v>6.2107762382661829</v>
      </c>
      <c r="U320" s="21">
        <f t="shared" si="302"/>
        <v>0.35119620946970687</v>
      </c>
      <c r="V320" s="21">
        <f t="shared" si="302"/>
        <v>1.3645538110689392</v>
      </c>
      <c r="W320" s="21">
        <f t="shared" si="302"/>
        <v>0.36583725294106623</v>
      </c>
      <c r="X320" s="21">
        <f t="shared" si="302"/>
        <v>0.86616859755250375</v>
      </c>
      <c r="Y320" s="21">
        <f t="shared" si="302"/>
        <v>0.19056108592323054</v>
      </c>
      <c r="Z320" s="21">
        <f t="shared" si="302"/>
        <v>8.7750010004428322E-2</v>
      </c>
      <c r="AA320" s="21">
        <f t="shared" si="302"/>
        <v>1.0237500727859814E-2</v>
      </c>
      <c r="AB320" s="21">
        <f t="shared" si="302"/>
        <v>6.9283376558290878E-3</v>
      </c>
      <c r="AC320" s="21">
        <f t="shared" si="302"/>
        <v>1.5135339670968839E-4</v>
      </c>
      <c r="AD320" s="21">
        <f t="shared" si="302"/>
        <v>3.495364124472539E-3</v>
      </c>
      <c r="AE320" s="21">
        <f t="shared" si="302"/>
        <v>1.4795389225121756E-4</v>
      </c>
      <c r="AF320" s="21">
        <f t="shared" si="302"/>
        <v>3.4451742422959247E-3</v>
      </c>
      <c r="AG320" s="3"/>
      <c r="AH320" s="3"/>
    </row>
    <row r="321" spans="1:34" x14ac:dyDescent="0.25">
      <c r="A321" s="71">
        <f>SUM(B321:AF321)</f>
        <v>12256.488497339884</v>
      </c>
      <c r="B321" s="60">
        <f>IF($A$64&lt;=B285,IF($B$64&gt;=B285,ABS(B320),0),0)</f>
        <v>4287.1680398146946</v>
      </c>
      <c r="C321" s="60">
        <f t="shared" ref="C321" si="303">IF($A$64&lt;=C285,IF($B$64&gt;=C285,ABS(C320),0),0)</f>
        <v>7104.4781872047624</v>
      </c>
      <c r="D321" s="60">
        <f t="shared" ref="D321" si="304">IF($A$64&lt;=D285,IF($B$64&gt;=D285,ABS(D320),0),0)</f>
        <v>524.90284644047711</v>
      </c>
      <c r="E321" s="60">
        <f t="shared" ref="E321" si="305">IF($A$64&lt;=E285,IF($B$64&gt;=E285,ABS(E320),0),0)</f>
        <v>10.775920078857743</v>
      </c>
      <c r="F321" s="60">
        <f t="shared" ref="F321" si="306">IF($A$64&lt;=F285,IF($B$64&gt;=F285,ABS(F320),0),0)</f>
        <v>0.97085453658670939</v>
      </c>
      <c r="G321" s="60">
        <f t="shared" ref="G321" si="307">IF($A$64&lt;=G285,IF($B$64&gt;=G285,ABS(G320),0),0)</f>
        <v>0.1532262313888772</v>
      </c>
      <c r="H321" s="60">
        <f t="shared" ref="H321" si="308">IF($A$64&lt;=H285,IF($B$64&gt;=H285,ABS(H320),0),0)</f>
        <v>0.4079513436662256</v>
      </c>
      <c r="I321" s="60">
        <f t="shared" ref="I321" si="309">IF($A$64&lt;=I285,IF($B$64&gt;=I285,ABS(I320),0),0)</f>
        <v>1.9744909637957154E-2</v>
      </c>
      <c r="J321" s="60">
        <f t="shared" ref="J321" si="310">IF($A$64&lt;=J285,IF($B$64&gt;=J285,ABS(J320),0),0)</f>
        <v>3.8039642934982147</v>
      </c>
      <c r="K321" s="60">
        <f t="shared" ref="K321" si="311">IF($A$64&lt;=K285,IF($B$64&gt;=K285,ABS(K320),0),0)</f>
        <v>3.6862836838924316</v>
      </c>
      <c r="L321" s="60">
        <f t="shared" ref="L321" si="312">IF($A$64&lt;=L285,IF($B$64&gt;=L285,ABS(L320),0),0)</f>
        <v>24.582276103751191</v>
      </c>
      <c r="M321" s="60">
        <f t="shared" ref="M321" si="313">IF($A$64&lt;=M285,IF($B$64&gt;=M285,ABS(M320),0),0)</f>
        <v>35.116543498109699</v>
      </c>
      <c r="N321" s="60">
        <f t="shared" ref="N321" si="314">IF($A$64&lt;=N285,IF($B$64&gt;=N285,ABS(N320),0),0)</f>
        <v>71.672228663819681</v>
      </c>
      <c r="O321" s="60">
        <f t="shared" ref="O321" si="315">IF($A$64&lt;=O285,IF($B$64&gt;=O285,ABS(O320),0),0)</f>
        <v>61.636273433866315</v>
      </c>
      <c r="P321" s="60">
        <f t="shared" ref="P321" si="316">IF($A$64&lt;=P285,IF($B$64&gt;=P285,ABS(P320),0),0)</f>
        <v>64.715867067116108</v>
      </c>
      <c r="Q321" s="60">
        <f t="shared" ref="Q321" si="317">IF($A$64&lt;=Q285,IF($B$64&gt;=Q285,ABS(Q320),0),0)</f>
        <v>26.156083113023534</v>
      </c>
      <c r="R321" s="60">
        <f t="shared" ref="R321" si="318">IF($A$64&lt;=R285,IF($B$64&gt;=R285,ABS(R320),0),0)</f>
        <v>26.508922838810889</v>
      </c>
      <c r="S321" s="60">
        <f t="shared" ref="S321" si="319">IF($A$64&lt;=S285,IF($B$64&gt;=S285,ABS(S320),0),0)</f>
        <v>0.27203519466253223</v>
      </c>
      <c r="T321" s="60">
        <f t="shared" ref="T321" si="320">IF($A$64&lt;=T285,IF($B$64&gt;=T285,ABS(T320),0),0)</f>
        <v>6.2107762382661829</v>
      </c>
      <c r="U321" s="60">
        <f t="shared" ref="U321" si="321">IF($A$64&lt;=U285,IF($B$64&gt;=U285,ABS(U320),0),0)</f>
        <v>0.35119620946970687</v>
      </c>
      <c r="V321" s="60">
        <f t="shared" ref="V321" si="322">IF($A$64&lt;=V285,IF($B$64&gt;=V285,ABS(V320),0),0)</f>
        <v>1.3645538110689392</v>
      </c>
      <c r="W321" s="60">
        <f t="shared" ref="W321" si="323">IF($A$64&lt;=W285,IF($B$64&gt;=W285,ABS(W320),0),0)</f>
        <v>0.36583725294106623</v>
      </c>
      <c r="X321" s="60">
        <f t="shared" ref="X321" si="324">IF($A$64&lt;=X285,IF($B$64&gt;=X285,ABS(X320),0),0)</f>
        <v>0.86616859755250375</v>
      </c>
      <c r="Y321" s="60">
        <f t="shared" ref="Y321" si="325">IF($A$64&lt;=Y285,IF($B$64&gt;=Y285,ABS(Y320),0),0)</f>
        <v>0.19056108592323054</v>
      </c>
      <c r="Z321" s="60">
        <f t="shared" ref="Z321" si="326">IF($A$64&lt;=Z285,IF($B$64&gt;=Z285,ABS(Z320),0),0)</f>
        <v>8.7750010004428322E-2</v>
      </c>
      <c r="AA321" s="60">
        <f t="shared" ref="AA321" si="327">IF($A$64&lt;=AA285,IF($B$64&gt;=AA285,ABS(AA320),0),0)</f>
        <v>1.0237500727859814E-2</v>
      </c>
      <c r="AB321" s="60">
        <f t="shared" ref="AB321" si="328">IF($A$64&lt;=AB285,IF($B$64&gt;=AB285,ABS(AB320),0),0)</f>
        <v>6.9283376558290878E-3</v>
      </c>
      <c r="AC321" s="60">
        <f t="shared" ref="AC321" si="329">IF($A$64&lt;=AC285,IF($B$64&gt;=AC285,ABS(AC320),0),0)</f>
        <v>1.5135339670968839E-4</v>
      </c>
      <c r="AD321" s="60">
        <f t="shared" ref="AD321" si="330">IF($A$64&lt;=AD285,IF($B$64&gt;=AD285,ABS(AD320),0),0)</f>
        <v>3.495364124472539E-3</v>
      </c>
      <c r="AE321" s="60">
        <f t="shared" ref="AE321" si="331">IF($A$64&lt;=AE285,IF($B$64&gt;=AE285,ABS(AE320),0),0)</f>
        <v>1.4795389225121756E-4</v>
      </c>
      <c r="AF321" s="60">
        <f t="shared" ref="AF321" si="332">IF($A$64&lt;=AF285,IF($B$64&gt;=AF285,ABS(AF320),0),0)</f>
        <v>3.4451742422959247E-3</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9761.2866745763949</v>
      </c>
      <c r="C325" s="26">
        <f>INDEX(Comparison!$AM$3:$AS$33,G$14,$G$122)</f>
        <v>9457.0352890406648</v>
      </c>
      <c r="D325" s="26">
        <f>INDEX(Comparison!$AM$3:$AS$33,H$14,$G$122)</f>
        <v>9203.9756041421206</v>
      </c>
      <c r="E325" s="26">
        <f>INDEX(Comparison!$AM$3:$AS$33,I$14,$G$122)</f>
        <v>8950.159395690147</v>
      </c>
      <c r="F325" s="26">
        <f>INDEX(Comparison!$AM$3:$AS$33,J$14,$G$122)</f>
        <v>8675.2521191856285</v>
      </c>
      <c r="G325" s="26">
        <f>INDEX(Comparison!$AM$3:$AS$33,K$14,$G$122)</f>
        <v>8343.5058150850455</v>
      </c>
      <c r="H325" s="26">
        <f>INDEX(Comparison!$AM$3:$AS$33,L$14,$G$122)</f>
        <v>7990.5188430178014</v>
      </c>
      <c r="I325" s="26">
        <f>INDEX(Comparison!$AM$3:$AS$33,M$14,$G$122)</f>
        <v>7680.5790598342728</v>
      </c>
      <c r="J325" s="26">
        <f>INDEX(Comparison!$AM$3:$AS$33,N$14,$G$122)</f>
        <v>7412.8102086341796</v>
      </c>
      <c r="K325" s="26">
        <f>INDEX(Comparison!$AM$3:$AS$33,O$14,$G$122)</f>
        <v>7140.1987157287695</v>
      </c>
      <c r="L325" s="26">
        <f>INDEX(Comparison!$AM$3:$AS$33,P$14,$G$122)</f>
        <v>6866.3570711275343</v>
      </c>
      <c r="M325" s="26">
        <f>INDEX(Comparison!$AM$3:$AS$33,Q$14,$G$122)</f>
        <v>6590.7809918049779</v>
      </c>
      <c r="N325" s="26">
        <f>INDEX(Comparison!$AM$3:$AS$33,R$14,$G$122)</f>
        <v>6298.9484082003064</v>
      </c>
      <c r="O325" s="26">
        <f>INDEX(Comparison!$AM$3:$AS$33,S$14,$G$122)</f>
        <v>5945.6821100901007</v>
      </c>
      <c r="P325" s="26">
        <f>INDEX(Comparison!$AM$3:$AS$33,T$14,$G$122)</f>
        <v>5548.4424875147679</v>
      </c>
      <c r="Q325" s="26">
        <f>INDEX(Comparison!$AM$3:$AS$33,U$14,$G$122)</f>
        <v>4973.8956031837224</v>
      </c>
      <c r="R325" s="26">
        <f>INDEX(Comparison!$AM$3:$AS$33,V$14,$G$122)</f>
        <v>4041.6864062630743</v>
      </c>
      <c r="S325" s="26">
        <f>INDEX(Comparison!$AM$3:$AS$33,W$14,$G$122)</f>
        <v>2997.7303823547541</v>
      </c>
      <c r="T325" s="26">
        <f>INDEX(Comparison!$AM$3:$AS$33,X$14,$G$122)</f>
        <v>2118.9396419195423</v>
      </c>
      <c r="U325" s="26">
        <f>INDEX(Comparison!$AM$3:$AS$33,Y$14,$G$122)</f>
        <v>1431.9051140793895</v>
      </c>
      <c r="V325" s="26">
        <f>INDEX(Comparison!$AM$3:$AS$33,Z$14,$G$122)</f>
        <v>967.83847313448518</v>
      </c>
      <c r="W325" s="26">
        <f>INDEX(Comparison!$AM$3:$AS$33,AA$14,$G$122)</f>
        <v>675.63698437161315</v>
      </c>
      <c r="X325" s="26">
        <f>INDEX(Comparison!$AM$3:$AS$33,AB$14,$G$122)</f>
        <v>531.67099399258564</v>
      </c>
      <c r="Y325" s="26">
        <f>INDEX(Comparison!$AM$3:$AS$33,AC$14,$G$122)</f>
        <v>453.91977153237434</v>
      </c>
      <c r="Z325" s="26">
        <f>INDEX(Comparison!$AM$3:$AS$33,AD$14,$G$122)</f>
        <v>417.85505040960345</v>
      </c>
      <c r="AA325" s="26">
        <f>INDEX(Comparison!$AM$3:$AS$33,AE$14,$G$122)</f>
        <v>391.91620643386665</v>
      </c>
      <c r="AB325" s="26">
        <f>INDEX(Comparison!$AM$3:$AS$33,AF$14,$G$122)</f>
        <v>379.02694798430821</v>
      </c>
      <c r="AC325" s="26">
        <f>INDEX(Comparison!$AM$3:$AS$33,AG$14,$G$122)</f>
        <v>367.59357086994629</v>
      </c>
      <c r="AD325" s="26">
        <f>INDEX(Comparison!$AM$3:$AS$33,AH$14,$G$122)</f>
        <v>348.16027376363564</v>
      </c>
      <c r="AE325" s="26">
        <f>INDEX(Comparison!$AM$3:$AS$33,AI$14,$G$122)</f>
        <v>346.81429429478277</v>
      </c>
      <c r="AF325" s="26">
        <f>INDEX(Comparison!$AM$3:$AS$33,AJ$14,$G$122)</f>
        <v>343.74512434370951</v>
      </c>
      <c r="AG325" s="26"/>
      <c r="AH325" s="26"/>
    </row>
    <row r="326" spans="1:34" x14ac:dyDescent="0.25">
      <c r="A326" s="77" t="s">
        <v>22</v>
      </c>
      <c r="B326" s="27">
        <f>($C$17+SUM(B327:B357))*$B$51</f>
        <v>9923.513972560293</v>
      </c>
      <c r="C326" s="27">
        <f t="shared" ref="C326:AF326" si="333">($C$17+SUM(C327:C357))*$B$51</f>
        <v>9704.2642294775414</v>
      </c>
      <c r="D326" s="27">
        <f t="shared" si="333"/>
        <v>9438.8054032582149</v>
      </c>
      <c r="E326" s="27">
        <f t="shared" si="333"/>
        <v>9178.6602304879798</v>
      </c>
      <c r="F326" s="27">
        <f t="shared" si="333"/>
        <v>8933.6250702719972</v>
      </c>
      <c r="G326" s="27">
        <f t="shared" si="333"/>
        <v>8604.2123556384486</v>
      </c>
      <c r="H326" s="27">
        <f t="shared" si="333"/>
        <v>8246.1864553334653</v>
      </c>
      <c r="I326" s="27">
        <f t="shared" si="333"/>
        <v>7904.5868270898845</v>
      </c>
      <c r="J326" s="27">
        <f t="shared" si="333"/>
        <v>7623.2532151397527</v>
      </c>
      <c r="K326" s="27">
        <f t="shared" si="333"/>
        <v>7354.5960134597872</v>
      </c>
      <c r="L326" s="27">
        <f t="shared" si="333"/>
        <v>7064.3260404132079</v>
      </c>
      <c r="M326" s="27">
        <f t="shared" si="333"/>
        <v>6802.6157922970278</v>
      </c>
      <c r="N326" s="27">
        <f t="shared" si="333"/>
        <v>6498.9734207972515</v>
      </c>
      <c r="O326" s="27">
        <f t="shared" si="333"/>
        <v>6153.4917847956858</v>
      </c>
      <c r="P326" s="27">
        <f t="shared" si="333"/>
        <v>5530.0105628190895</v>
      </c>
      <c r="Q326" s="27">
        <f t="shared" si="333"/>
        <v>4575.9432821479086</v>
      </c>
      <c r="R326" s="27">
        <f t="shared" si="333"/>
        <v>3591.7532762956089</v>
      </c>
      <c r="S326" s="27">
        <f t="shared" si="333"/>
        <v>2782.3852740067168</v>
      </c>
      <c r="T326" s="27">
        <f t="shared" si="333"/>
        <v>2100.2569304411168</v>
      </c>
      <c r="U326" s="27">
        <f t="shared" si="333"/>
        <v>1536.4717247819265</v>
      </c>
      <c r="V326" s="27">
        <f t="shared" si="333"/>
        <v>1031.6722205793308</v>
      </c>
      <c r="W326" s="27">
        <f t="shared" si="333"/>
        <v>733.37306666214772</v>
      </c>
      <c r="X326" s="27">
        <f t="shared" si="333"/>
        <v>551.89599348282695</v>
      </c>
      <c r="Y326" s="27">
        <f t="shared" si="333"/>
        <v>465.87394860155001</v>
      </c>
      <c r="Z326" s="27">
        <f t="shared" si="333"/>
        <v>420.58744495683521</v>
      </c>
      <c r="AA326" s="27">
        <f t="shared" si="333"/>
        <v>394.7973216154823</v>
      </c>
      <c r="AB326" s="27">
        <f t="shared" si="333"/>
        <v>383.47303897955373</v>
      </c>
      <c r="AC326" s="27">
        <f t="shared" si="333"/>
        <v>369.85360830314153</v>
      </c>
      <c r="AD326" s="27">
        <f t="shared" si="333"/>
        <v>351.46712159973373</v>
      </c>
      <c r="AE326" s="27">
        <f t="shared" si="333"/>
        <v>276.55051746708176</v>
      </c>
      <c r="AF326" s="27">
        <f t="shared" si="333"/>
        <v>250.92110755953678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7.4629739490702411E-4</v>
      </c>
      <c r="C328" s="3">
        <f t="shared" si="335"/>
        <v>4.6443100436746388E-19</v>
      </c>
      <c r="D328" s="3">
        <f t="shared" si="335"/>
        <v>4.0458892807490815E-171</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1.2451528499111037E-2</v>
      </c>
      <c r="C329" s="3">
        <f t="shared" si="336"/>
        <v>5.2907324771270996E-4</v>
      </c>
      <c r="D329" s="3">
        <f t="shared" si="336"/>
        <v>1.014955859707097E-17</v>
      </c>
      <c r="E329" s="3">
        <f t="shared" si="336"/>
        <v>6.8511059758767782E-155</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2.3707940643392132E-2</v>
      </c>
      <c r="C330" s="3">
        <f t="shared" si="337"/>
        <v>1.7830127984368633E-2</v>
      </c>
      <c r="D330" s="3">
        <f t="shared" si="337"/>
        <v>1.0321926293998982E-3</v>
      </c>
      <c r="E330" s="3">
        <f t="shared" si="337"/>
        <v>4.3633865018547057E-16</v>
      </c>
      <c r="F330" s="3">
        <f t="shared" si="337"/>
        <v>7.9515718247949103E-140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2.4557281130731801E-2</v>
      </c>
      <c r="C331" s="3">
        <f t="shared" si="338"/>
        <v>2.3934147403332946E-2</v>
      </c>
      <c r="D331" s="3">
        <f t="shared" si="338"/>
        <v>1.8509502883336481E-2</v>
      </c>
      <c r="E331" s="3">
        <f t="shared" si="338"/>
        <v>1.4163242462678042E-3</v>
      </c>
      <c r="F331" s="3">
        <f t="shared" si="338"/>
        <v>9.7463508397556663E-15</v>
      </c>
      <c r="G331" s="3">
        <f t="shared" si="338"/>
        <v>2.320788412389922E-126</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1.9752910077432916E-2</v>
      </c>
      <c r="C332" s="3">
        <f t="shared" si="339"/>
        <v>1.9707164987008301E-2</v>
      </c>
      <c r="D332" s="3">
        <f t="shared" si="339"/>
        <v>1.9255500460448882E-2</v>
      </c>
      <c r="E332" s="3">
        <f t="shared" si="339"/>
        <v>1.5270786038781084E-2</v>
      </c>
      <c r="F332" s="3">
        <f t="shared" si="339"/>
        <v>1.5028900462622169E-3</v>
      </c>
      <c r="G332" s="3">
        <f t="shared" si="339"/>
        <v>1.2811068896468942E-13</v>
      </c>
      <c r="H332" s="3">
        <f t="shared" si="339"/>
        <v>2.5951768210506242E-114</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3.045596535984342E-2</v>
      </c>
      <c r="C333" s="3">
        <f t="shared" si="340"/>
        <v>3.04495960801827E-2</v>
      </c>
      <c r="D333" s="3">
        <f t="shared" si="340"/>
        <v>3.0385976498313299E-2</v>
      </c>
      <c r="E333" s="3">
        <f t="shared" si="340"/>
        <v>2.9757045810676522E-2</v>
      </c>
      <c r="F333" s="3">
        <f t="shared" si="340"/>
        <v>2.4141039868663821E-2</v>
      </c>
      <c r="G333" s="3">
        <f t="shared" si="340"/>
        <v>2.9813816240834927E-3</v>
      </c>
      <c r="H333" s="3">
        <f t="shared" si="340"/>
        <v>2.460557627729461E-12</v>
      </c>
      <c r="I333" s="3">
        <f t="shared" si="340"/>
        <v>3.6073912438841132E-103</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3.3429579444350856E-2</v>
      </c>
      <c r="C334" s="3">
        <f t="shared" si="341"/>
        <v>3.3428948724105588E-2</v>
      </c>
      <c r="D334" s="3">
        <f t="shared" si="341"/>
        <v>3.3422642176109359E-2</v>
      </c>
      <c r="E334" s="3">
        <f t="shared" si="341"/>
        <v>3.3359642096125991E-2</v>
      </c>
      <c r="F334" s="3">
        <f t="shared" si="341"/>
        <v>3.2736135868581623E-2</v>
      </c>
      <c r="G334" s="3">
        <f t="shared" si="341"/>
        <v>2.7107391862210901E-2</v>
      </c>
      <c r="H334" s="3">
        <f t="shared" si="341"/>
        <v>4.1085722451902028E-3</v>
      </c>
      <c r="I334" s="3">
        <f t="shared" si="341"/>
        <v>2.6285901050675963E-11</v>
      </c>
      <c r="J334" s="3">
        <f t="shared" si="341"/>
        <v>3.0202457080833272E-93</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3.2540928728523211E-2</v>
      </c>
      <c r="C335" s="3">
        <f t="shared" si="342"/>
        <v>3.2540873344293432E-2</v>
      </c>
      <c r="D335" s="3">
        <f t="shared" si="342"/>
        <v>3.2540319507180067E-2</v>
      </c>
      <c r="E335" s="3">
        <f t="shared" si="342"/>
        <v>3.2534781654458875E-2</v>
      </c>
      <c r="F335" s="3">
        <f t="shared" si="342"/>
        <v>3.247945493586029E-2</v>
      </c>
      <c r="G335" s="3">
        <f t="shared" si="342"/>
        <v>3.1931336133475104E-2</v>
      </c>
      <c r="H335" s="3">
        <f t="shared" si="342"/>
        <v>2.6933989278031714E-2</v>
      </c>
      <c r="I335" s="3">
        <f t="shared" si="342"/>
        <v>4.9106230349967965E-3</v>
      </c>
      <c r="J335" s="3">
        <f t="shared" si="342"/>
        <v>1.9929469331345516E-10</v>
      </c>
      <c r="K335" s="3">
        <f t="shared" si="342"/>
        <v>2.4159454007358943E-84</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2.4641510880482467E-2</v>
      </c>
      <c r="C336" s="3">
        <f t="shared" si="343"/>
        <v>2.4641507097185461E-2</v>
      </c>
      <c r="D336" s="3">
        <f t="shared" si="343"/>
        <v>2.4641469264247345E-2</v>
      </c>
      <c r="E336" s="3">
        <f t="shared" si="343"/>
        <v>2.4641090938060915E-2</v>
      </c>
      <c r="F336" s="3">
        <f t="shared" si="343"/>
        <v>2.4637307995651014E-2</v>
      </c>
      <c r="G336" s="3">
        <f t="shared" si="343"/>
        <v>2.4599510498853415E-2</v>
      </c>
      <c r="H336" s="3">
        <f t="shared" si="343"/>
        <v>2.4224710198195359E-2</v>
      </c>
      <c r="I336" s="3">
        <f t="shared" si="343"/>
        <v>2.0776856509280361E-2</v>
      </c>
      <c r="J336" s="3">
        <f t="shared" si="343"/>
        <v>4.4749928129603567E-3</v>
      </c>
      <c r="K336" s="3">
        <f t="shared" si="343"/>
        <v>9.6142931343968012E-10</v>
      </c>
      <c r="L336" s="3">
        <f t="shared" si="343"/>
        <v>2.0145012060132308E-76</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2.4122417930634115E-2</v>
      </c>
      <c r="C337" s="3">
        <f t="shared" si="344"/>
        <v>2.4122417596538662E-2</v>
      </c>
      <c r="D337" s="3">
        <f t="shared" si="344"/>
        <v>2.4122414255584406E-2</v>
      </c>
      <c r="E337" s="3">
        <f t="shared" si="344"/>
        <v>2.4122380846067274E-2</v>
      </c>
      <c r="F337" s="3">
        <f t="shared" si="344"/>
        <v>2.4122046753440932E-2</v>
      </c>
      <c r="G337" s="3">
        <f t="shared" si="344"/>
        <v>2.4118706081660193E-2</v>
      </c>
      <c r="H337" s="3">
        <f t="shared" si="344"/>
        <v>2.408532479908624E-2</v>
      </c>
      <c r="I337" s="3">
        <f t="shared" si="344"/>
        <v>2.3754042510551441E-2</v>
      </c>
      <c r="J337" s="3">
        <f t="shared" si="344"/>
        <v>2.0681772181199858E-2</v>
      </c>
      <c r="K337" s="3">
        <f t="shared" si="344"/>
        <v>5.1771405452355548E-3</v>
      </c>
      <c r="L337" s="3">
        <f t="shared" si="344"/>
        <v>5.0016351314758066E-9</v>
      </c>
      <c r="M337" s="3">
        <f t="shared" si="344"/>
        <v>3.5426848870998383E-69</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2.8528246549106785E-2</v>
      </c>
      <c r="C338" s="3">
        <f t="shared" si="345"/>
        <v>2.8528246513464015E-2</v>
      </c>
      <c r="D338" s="3">
        <f t="shared" si="345"/>
        <v>2.852824615703636E-2</v>
      </c>
      <c r="E338" s="3">
        <f t="shared" si="345"/>
        <v>2.8528242592760038E-2</v>
      </c>
      <c r="F338" s="3">
        <f t="shared" si="345"/>
        <v>2.852820695002134E-2</v>
      </c>
      <c r="G338" s="3">
        <f t="shared" si="345"/>
        <v>2.8527850525083592E-2</v>
      </c>
      <c r="H338" s="3">
        <f t="shared" si="345"/>
        <v>2.8524286520616941E-2</v>
      </c>
      <c r="I338" s="3">
        <f t="shared" si="345"/>
        <v>2.8488670955721912E-2</v>
      </c>
      <c r="J338" s="3">
        <f t="shared" si="345"/>
        <v>2.8134952005309959E-2</v>
      </c>
      <c r="K338" s="3">
        <f t="shared" si="345"/>
        <v>2.483053480443103E-2</v>
      </c>
      <c r="L338" s="3">
        <f t="shared" si="345"/>
        <v>7.1184431804529671E-3</v>
      </c>
      <c r="M338" s="3">
        <f t="shared" si="345"/>
        <v>2.6691594326698061E-8</v>
      </c>
      <c r="N338" s="3">
        <f t="shared" si="345"/>
        <v>1.4664573717062179E-62</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2.104871957113438E-2</v>
      </c>
      <c r="C339" s="3">
        <f t="shared" si="346"/>
        <v>2.1048719568762083E-2</v>
      </c>
      <c r="D339" s="3">
        <f t="shared" si="346"/>
        <v>2.1048719545039143E-2</v>
      </c>
      <c r="E339" s="3">
        <f t="shared" si="346"/>
        <v>2.1048719307809698E-2</v>
      </c>
      <c r="F339" s="3">
        <f t="shared" si="346"/>
        <v>2.1048716935515414E-2</v>
      </c>
      <c r="G339" s="3">
        <f t="shared" si="346"/>
        <v>2.1048693212587288E-2</v>
      </c>
      <c r="H339" s="3">
        <f t="shared" si="346"/>
        <v>2.104845598477656E-2</v>
      </c>
      <c r="I339" s="3">
        <f t="shared" si="346"/>
        <v>2.1046083853715564E-2</v>
      </c>
      <c r="J339" s="3">
        <f t="shared" si="346"/>
        <v>2.1022377241604401E-2</v>
      </c>
      <c r="K339" s="3">
        <f t="shared" si="346"/>
        <v>2.0786774859413798E-2</v>
      </c>
      <c r="L339" s="3">
        <f t="shared" si="346"/>
        <v>1.8571200700315944E-2</v>
      </c>
      <c r="M339" s="3">
        <f t="shared" si="346"/>
        <v>6.0168432251121772E-3</v>
      </c>
      <c r="N339" s="3">
        <f t="shared" si="346"/>
        <v>7.6675358905804227E-8</v>
      </c>
      <c r="O339" s="3">
        <f t="shared" si="346"/>
        <v>8.6601823401404615E-57</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3.1114198963817497E-2</v>
      </c>
      <c r="C340" s="3">
        <f t="shared" si="347"/>
        <v>3.111419896350116E-2</v>
      </c>
      <c r="D340" s="3">
        <f t="shared" si="347"/>
        <v>3.1114198960337808E-2</v>
      </c>
      <c r="E340" s="3">
        <f t="shared" si="347"/>
        <v>3.1114198928704241E-2</v>
      </c>
      <c r="F340" s="3">
        <f t="shared" si="347"/>
        <v>3.1114198612368603E-2</v>
      </c>
      <c r="G340" s="3">
        <f t="shared" si="347"/>
        <v>3.1114195449012391E-2</v>
      </c>
      <c r="H340" s="3">
        <f t="shared" si="347"/>
        <v>3.1114163815467975E-2</v>
      </c>
      <c r="I340" s="3">
        <f t="shared" si="347"/>
        <v>3.1113847481792675E-2</v>
      </c>
      <c r="J340" s="3">
        <f t="shared" si="347"/>
        <v>3.1110684321921083E-2</v>
      </c>
      <c r="K340" s="3">
        <f t="shared" si="347"/>
        <v>3.1079070404692981E-2</v>
      </c>
      <c r="L340" s="3">
        <f t="shared" si="347"/>
        <v>3.076469274789085E-2</v>
      </c>
      <c r="M340" s="3">
        <f t="shared" si="347"/>
        <v>2.779061769928709E-2</v>
      </c>
      <c r="N340" s="3">
        <f t="shared" si="347"/>
        <v>1.0054358772229641E-2</v>
      </c>
      <c r="O340" s="3">
        <f t="shared" si="347"/>
        <v>3.8629239770542451E-7</v>
      </c>
      <c r="P340" s="3">
        <f t="shared" si="347"/>
        <v>2.7072850910317305E-51</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2.5140718095569104E-2</v>
      </c>
      <c r="C341" s="3">
        <f t="shared" si="348"/>
        <v>2.5140718095546046E-2</v>
      </c>
      <c r="D341" s="3">
        <f t="shared" si="348"/>
        <v>2.5140718095315474E-2</v>
      </c>
      <c r="E341" s="3">
        <f t="shared" si="348"/>
        <v>2.5140718093009714E-2</v>
      </c>
      <c r="F341" s="3">
        <f t="shared" si="348"/>
        <v>2.514071806995213E-2</v>
      </c>
      <c r="G341" s="3">
        <f t="shared" si="348"/>
        <v>2.5140717839376308E-2</v>
      </c>
      <c r="H341" s="3">
        <f t="shared" si="348"/>
        <v>2.5140715533618192E-2</v>
      </c>
      <c r="I341" s="3">
        <f t="shared" si="348"/>
        <v>2.5140692476048672E-2</v>
      </c>
      <c r="J341" s="3">
        <f t="shared" si="348"/>
        <v>2.5140461901516521E-2</v>
      </c>
      <c r="K341" s="3">
        <f t="shared" si="348"/>
        <v>2.5138156272499455E-2</v>
      </c>
      <c r="L341" s="3">
        <f t="shared" si="348"/>
        <v>2.511511160882389E-2</v>
      </c>
      <c r="M341" s="3">
        <f t="shared" si="348"/>
        <v>2.488582368588034E-2</v>
      </c>
      <c r="N341" s="3">
        <f t="shared" si="348"/>
        <v>2.2704978440273877E-2</v>
      </c>
      <c r="O341" s="3">
        <f t="shared" si="348"/>
        <v>9.0742728510542821E-3</v>
      </c>
      <c r="P341" s="3">
        <f t="shared" si="348"/>
        <v>9.4345074769034403E-7</v>
      </c>
      <c r="Q341" s="3">
        <f t="shared" si="348"/>
        <v>1.3924936559341189E-46</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7.3741618123118899E-2</v>
      </c>
      <c r="C342" s="3">
        <f t="shared" si="349"/>
        <v>7.3741618123112807E-2</v>
      </c>
      <c r="D342" s="3">
        <f t="shared" si="349"/>
        <v>7.3741618123051786E-2</v>
      </c>
      <c r="E342" s="3">
        <f t="shared" si="349"/>
        <v>7.3741618122441704E-2</v>
      </c>
      <c r="F342" s="3">
        <f t="shared" si="349"/>
        <v>7.3741618116340779E-2</v>
      </c>
      <c r="G342" s="3">
        <f t="shared" si="349"/>
        <v>7.3741618055331581E-2</v>
      </c>
      <c r="H342" s="3">
        <f t="shared" si="349"/>
        <v>7.3741617445239549E-2</v>
      </c>
      <c r="I342" s="3">
        <f t="shared" si="349"/>
        <v>7.3741611344319641E-2</v>
      </c>
      <c r="J342" s="3">
        <f t="shared" si="349"/>
        <v>7.3741550335148273E-2</v>
      </c>
      <c r="K342" s="3">
        <f t="shared" si="349"/>
        <v>7.3740940246210709E-2</v>
      </c>
      <c r="L342" s="3">
        <f t="shared" si="349"/>
        <v>7.373483963443915E-2</v>
      </c>
      <c r="M342" s="3">
        <f t="shared" si="349"/>
        <v>7.367386126864213E-2</v>
      </c>
      <c r="N342" s="3">
        <f t="shared" si="349"/>
        <v>7.3066844326018621E-2</v>
      </c>
      <c r="O342" s="3">
        <f t="shared" si="349"/>
        <v>6.7265061281451016E-2</v>
      </c>
      <c r="P342" s="3">
        <f t="shared" si="349"/>
        <v>2.9409080996512318E-2</v>
      </c>
      <c r="Q342" s="3">
        <f t="shared" si="349"/>
        <v>7.5058618411322519E-6</v>
      </c>
      <c r="R342" s="3">
        <f t="shared" si="349"/>
        <v>8.8022093464561257E-42</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9.9846945696722977E-2</v>
      </c>
      <c r="C343" s="3">
        <f t="shared" si="350"/>
        <v>9.9846945696722228E-2</v>
      </c>
      <c r="D343" s="3">
        <f t="shared" si="350"/>
        <v>9.9846945696714776E-2</v>
      </c>
      <c r="E343" s="3">
        <f t="shared" si="350"/>
        <v>9.9846945696640266E-2</v>
      </c>
      <c r="F343" s="3">
        <f t="shared" si="350"/>
        <v>9.9846945695895084E-2</v>
      </c>
      <c r="G343" s="3">
        <f t="shared" si="350"/>
        <v>9.9846945688443225E-2</v>
      </c>
      <c r="H343" s="3">
        <f t="shared" si="350"/>
        <v>9.9846945613924737E-2</v>
      </c>
      <c r="I343" s="3">
        <f t="shared" si="350"/>
        <v>9.9846944868739823E-2</v>
      </c>
      <c r="J343" s="3">
        <f t="shared" si="350"/>
        <v>9.9846937416890949E-2</v>
      </c>
      <c r="K343" s="3">
        <f t="shared" si="350"/>
        <v>9.984686289843285E-2</v>
      </c>
      <c r="L343" s="3">
        <f t="shared" si="350"/>
        <v>9.9846117716910709E-2</v>
      </c>
      <c r="M343" s="3">
        <f t="shared" si="350"/>
        <v>9.9838666207563306E-2</v>
      </c>
      <c r="N343" s="3">
        <f t="shared" si="350"/>
        <v>9.9764181693053997E-2</v>
      </c>
      <c r="O343" s="3">
        <f t="shared" si="350"/>
        <v>9.9022386017151229E-2</v>
      </c>
      <c r="P343" s="3">
        <f t="shared" si="350"/>
        <v>9.1901120812027351E-2</v>
      </c>
      <c r="Q343" s="3">
        <f t="shared" si="350"/>
        <v>4.357074846941851E-2</v>
      </c>
      <c r="R343" s="3">
        <f t="shared" si="350"/>
        <v>2.4999835128801917E-5</v>
      </c>
      <c r="S343" s="3">
        <f t="shared" si="350"/>
        <v>9.6684840677422538E-38</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8.4959897030223205E-2</v>
      </c>
      <c r="C344" s="3">
        <f t="shared" si="351"/>
        <v>8.495989703022315E-2</v>
      </c>
      <c r="D344" s="3">
        <f t="shared" si="351"/>
        <v>8.4959897030222581E-2</v>
      </c>
      <c r="E344" s="3">
        <f t="shared" si="351"/>
        <v>8.4959897030216863E-2</v>
      </c>
      <c r="F344" s="3">
        <f t="shared" si="351"/>
        <v>8.4959897030159659E-2</v>
      </c>
      <c r="G344" s="3">
        <f t="shared" si="351"/>
        <v>8.4959897029587672E-2</v>
      </c>
      <c r="H344" s="3">
        <f t="shared" si="351"/>
        <v>8.4959897023867748E-2</v>
      </c>
      <c r="I344" s="3">
        <f t="shared" si="351"/>
        <v>8.4959896966668572E-2</v>
      </c>
      <c r="J344" s="3">
        <f t="shared" si="351"/>
        <v>8.4959896394676715E-2</v>
      </c>
      <c r="K344" s="3">
        <f t="shared" si="351"/>
        <v>8.495989067475844E-2</v>
      </c>
      <c r="L344" s="3">
        <f t="shared" si="351"/>
        <v>8.4959833475596797E-2</v>
      </c>
      <c r="M344" s="3">
        <f t="shared" si="351"/>
        <v>8.4959261486098489E-2</v>
      </c>
      <c r="N344" s="3">
        <f t="shared" si="351"/>
        <v>8.4953541802910648E-2</v>
      </c>
      <c r="O344" s="3">
        <f t="shared" si="351"/>
        <v>8.48963661452901E-2</v>
      </c>
      <c r="P344" s="3">
        <f t="shared" si="351"/>
        <v>8.432672172980446E-2</v>
      </c>
      <c r="Q344" s="3">
        <f t="shared" si="351"/>
        <v>7.8836325617143557E-2</v>
      </c>
      <c r="R344" s="3">
        <f t="shared" si="351"/>
        <v>4.0210358907633012E-2</v>
      </c>
      <c r="S344" s="3">
        <f t="shared" si="351"/>
        <v>4.7913036893732678E-5</v>
      </c>
      <c r="T344" s="3">
        <f t="shared" si="351"/>
        <v>2.7644656102435148E-34</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6.3888587804479924E-2</v>
      </c>
      <c r="C345" s="3">
        <f t="shared" si="352"/>
        <v>6.388858780447991E-2</v>
      </c>
      <c r="D345" s="3">
        <f t="shared" si="352"/>
        <v>6.3888587804479882E-2</v>
      </c>
      <c r="E345" s="3">
        <f t="shared" si="352"/>
        <v>6.3888587804479494E-2</v>
      </c>
      <c r="F345" s="3">
        <f t="shared" si="352"/>
        <v>6.3888587804475608E-2</v>
      </c>
      <c r="G345" s="3">
        <f t="shared" si="352"/>
        <v>6.3888587804436806E-2</v>
      </c>
      <c r="H345" s="3">
        <f t="shared" si="352"/>
        <v>6.3888587804048796E-2</v>
      </c>
      <c r="I345" s="3">
        <f t="shared" si="352"/>
        <v>6.3888587800168664E-2</v>
      </c>
      <c r="J345" s="3">
        <f t="shared" si="352"/>
        <v>6.3888587761367424E-2</v>
      </c>
      <c r="K345" s="3">
        <f t="shared" si="352"/>
        <v>6.3888587373354899E-2</v>
      </c>
      <c r="L345" s="3">
        <f t="shared" si="352"/>
        <v>6.3888583493229803E-2</v>
      </c>
      <c r="M345" s="3">
        <f t="shared" si="352"/>
        <v>6.3888544691991747E-2</v>
      </c>
      <c r="N345" s="3">
        <f t="shared" si="352"/>
        <v>6.3888156680907374E-2</v>
      </c>
      <c r="O345" s="3">
        <f t="shared" si="352"/>
        <v>6.3884276699668049E-2</v>
      </c>
      <c r="P345" s="3">
        <f t="shared" si="352"/>
        <v>6.3845489844811962E-2</v>
      </c>
      <c r="Q345" s="3">
        <f t="shared" si="352"/>
        <v>6.3458914142982575E-2</v>
      </c>
      <c r="R345" s="3">
        <f t="shared" si="352"/>
        <v>5.9719583221838228E-2</v>
      </c>
      <c r="S345" s="3">
        <f t="shared" si="352"/>
        <v>3.2535544880940952E-2</v>
      </c>
      <c r="T345" s="3">
        <f t="shared" si="352"/>
        <v>7.4949932574730997E-5</v>
      </c>
      <c r="U345" s="3">
        <f t="shared" si="352"/>
        <v>3.1542990685713758E-31</v>
      </c>
      <c r="V345" s="3">
        <f t="shared" si="352"/>
        <v>5.4981815973622206E-295</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6.4356714781999613E-2</v>
      </c>
      <c r="C346" s="3">
        <f t="shared" si="353"/>
        <v>6.4356714781999613E-2</v>
      </c>
      <c r="D346" s="3">
        <f t="shared" si="353"/>
        <v>6.4356714781999599E-2</v>
      </c>
      <c r="E346" s="3">
        <f t="shared" si="353"/>
        <v>6.4356714781999572E-2</v>
      </c>
      <c r="F346" s="3">
        <f t="shared" si="353"/>
        <v>6.4356714781999225E-2</v>
      </c>
      <c r="G346" s="3">
        <f t="shared" si="353"/>
        <v>6.43567147819957E-2</v>
      </c>
      <c r="H346" s="3">
        <f t="shared" si="353"/>
        <v>6.4356714781960436E-2</v>
      </c>
      <c r="I346" s="3">
        <f t="shared" si="353"/>
        <v>6.4356714781607857E-2</v>
      </c>
      <c r="J346" s="3">
        <f t="shared" si="353"/>
        <v>6.4356714778082011E-2</v>
      </c>
      <c r="K346" s="3">
        <f t="shared" si="353"/>
        <v>6.4356714742823576E-2</v>
      </c>
      <c r="L346" s="3">
        <f t="shared" si="353"/>
        <v>6.4356714390239336E-2</v>
      </c>
      <c r="M346" s="3">
        <f t="shared" si="353"/>
        <v>6.4356710864396913E-2</v>
      </c>
      <c r="N346" s="3">
        <f t="shared" si="353"/>
        <v>6.4356675605983335E-2</v>
      </c>
      <c r="O346" s="3">
        <f t="shared" si="353"/>
        <v>6.4356323022909959E-2</v>
      </c>
      <c r="P346" s="3">
        <f t="shared" si="353"/>
        <v>6.435279729841549E-2</v>
      </c>
      <c r="Q346" s="3">
        <f t="shared" si="353"/>
        <v>6.4317550675239352E-2</v>
      </c>
      <c r="R346" s="3">
        <f t="shared" si="353"/>
        <v>6.3966144470374423E-2</v>
      </c>
      <c r="S346" s="3">
        <f t="shared" si="353"/>
        <v>6.0555967478361512E-2</v>
      </c>
      <c r="T346" s="3">
        <f t="shared" si="353"/>
        <v>3.5012624948216234E-2</v>
      </c>
      <c r="U346" s="3">
        <f t="shared" si="353"/>
        <v>1.4618469899353552E-4</v>
      </c>
      <c r="V346" s="3">
        <f t="shared" si="353"/>
        <v>2.3532842018365692E-28</v>
      </c>
      <c r="W346" s="3">
        <f t="shared" si="353"/>
        <v>2.7504198515441378E-266</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2.3762961942572935E-2</v>
      </c>
      <c r="C347" s="3">
        <f t="shared" si="354"/>
        <v>2.3762961942572935E-2</v>
      </c>
      <c r="D347" s="3">
        <f t="shared" si="354"/>
        <v>2.3762961942572935E-2</v>
      </c>
      <c r="E347" s="3">
        <f t="shared" si="354"/>
        <v>2.3762961942572935E-2</v>
      </c>
      <c r="F347" s="3">
        <f t="shared" si="354"/>
        <v>2.3762961942572922E-2</v>
      </c>
      <c r="G347" s="3">
        <f t="shared" si="354"/>
        <v>2.3762961942572807E-2</v>
      </c>
      <c r="H347" s="3">
        <f t="shared" si="354"/>
        <v>2.3762961942571631E-2</v>
      </c>
      <c r="I347" s="3">
        <f t="shared" si="354"/>
        <v>2.3762961942559887E-2</v>
      </c>
      <c r="J347" s="3">
        <f t="shared" si="354"/>
        <v>2.3762961942442446E-2</v>
      </c>
      <c r="K347" s="3">
        <f t="shared" si="354"/>
        <v>2.3762961941268045E-2</v>
      </c>
      <c r="L347" s="3">
        <f t="shared" si="354"/>
        <v>2.376296192952404E-2</v>
      </c>
      <c r="M347" s="3">
        <f t="shared" si="354"/>
        <v>2.3762961812083996E-2</v>
      </c>
      <c r="N347" s="3">
        <f t="shared" si="354"/>
        <v>2.3762960637683579E-2</v>
      </c>
      <c r="O347" s="3">
        <f t="shared" si="354"/>
        <v>2.3762948893682603E-2</v>
      </c>
      <c r="P347" s="3">
        <f t="shared" si="354"/>
        <v>2.3762831453992033E-2</v>
      </c>
      <c r="Q347" s="3">
        <f t="shared" si="354"/>
        <v>2.3761657089008032E-2</v>
      </c>
      <c r="R347" s="3">
        <f t="shared" si="354"/>
        <v>2.37499166307522E-2</v>
      </c>
      <c r="S347" s="3">
        <f t="shared" si="354"/>
        <v>2.363283062376971E-2</v>
      </c>
      <c r="T347" s="3">
        <f t="shared" si="354"/>
        <v>2.2493253186871853E-2</v>
      </c>
      <c r="U347" s="3">
        <f t="shared" si="354"/>
        <v>1.3722004749032256E-2</v>
      </c>
      <c r="V347" s="3">
        <f t="shared" si="354"/>
        <v>9.7964900278193153E-5</v>
      </c>
      <c r="W347" s="3">
        <f t="shared" si="354"/>
        <v>3.369766861694641E-26</v>
      </c>
      <c r="X347" s="3">
        <f t="shared" si="354"/>
        <v>7.8143597140676823E-241</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4.2794407584768095E-2</v>
      </c>
      <c r="C348" s="3">
        <f t="shared" si="355"/>
        <v>4.2794407584768095E-2</v>
      </c>
      <c r="D348" s="3">
        <f t="shared" si="355"/>
        <v>4.2794407584768095E-2</v>
      </c>
      <c r="E348" s="3">
        <f t="shared" si="355"/>
        <v>4.2794407584768095E-2</v>
      </c>
      <c r="F348" s="3">
        <f t="shared" si="355"/>
        <v>4.2794407584768088E-2</v>
      </c>
      <c r="G348" s="3">
        <f t="shared" si="355"/>
        <v>4.2794407584768025E-2</v>
      </c>
      <c r="H348" s="3">
        <f t="shared" si="355"/>
        <v>4.2794407584767442E-2</v>
      </c>
      <c r="I348" s="3">
        <f t="shared" si="355"/>
        <v>4.2794407584761593E-2</v>
      </c>
      <c r="J348" s="3">
        <f t="shared" si="355"/>
        <v>4.2794407584703098E-2</v>
      </c>
      <c r="K348" s="3">
        <f t="shared" si="355"/>
        <v>4.2794407584118156E-2</v>
      </c>
      <c r="L348" s="3">
        <f t="shared" si="355"/>
        <v>4.2794407578268703E-2</v>
      </c>
      <c r="M348" s="3">
        <f t="shared" si="355"/>
        <v>4.2794407519774133E-2</v>
      </c>
      <c r="N348" s="3">
        <f t="shared" si="355"/>
        <v>4.2794406934828486E-2</v>
      </c>
      <c r="O348" s="3">
        <f t="shared" si="355"/>
        <v>4.2794401085372448E-2</v>
      </c>
      <c r="P348" s="3">
        <f t="shared" si="355"/>
        <v>4.2794342590855995E-2</v>
      </c>
      <c r="Q348" s="3">
        <f t="shared" si="355"/>
        <v>4.2793757650089019E-2</v>
      </c>
      <c r="R348" s="3">
        <f t="shared" si="355"/>
        <v>4.2787908682145361E-2</v>
      </c>
      <c r="S348" s="3">
        <f t="shared" si="355"/>
        <v>4.2729462953093995E-2</v>
      </c>
      <c r="T348" s="3">
        <f t="shared" si="355"/>
        <v>4.2149378554516656E-2</v>
      </c>
      <c r="U348" s="3">
        <f t="shared" si="355"/>
        <v>3.6764493742229433E-2</v>
      </c>
      <c r="V348" s="3">
        <f t="shared" si="355"/>
        <v>9.3713623750615455E-3</v>
      </c>
      <c r="W348" s="3">
        <f t="shared" si="355"/>
        <v>1.0852858689891917E-8</v>
      </c>
      <c r="X348" s="3">
        <f t="shared" si="355"/>
        <v>4.7093212235300036E-68</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2.2817294808056693E-2</v>
      </c>
      <c r="C349" s="3">
        <f t="shared" si="356"/>
        <v>2.2817294808056693E-2</v>
      </c>
      <c r="D349" s="3">
        <f t="shared" si="356"/>
        <v>2.2817294808056693E-2</v>
      </c>
      <c r="E349" s="3">
        <f t="shared" si="356"/>
        <v>2.2817294808056693E-2</v>
      </c>
      <c r="F349" s="3">
        <f t="shared" si="356"/>
        <v>2.2817294808056693E-2</v>
      </c>
      <c r="G349" s="3">
        <f t="shared" si="356"/>
        <v>2.2817294808056689E-2</v>
      </c>
      <c r="H349" s="3">
        <f t="shared" si="356"/>
        <v>2.2817294808056658E-2</v>
      </c>
      <c r="I349" s="3">
        <f t="shared" si="356"/>
        <v>2.2817294808056346E-2</v>
      </c>
      <c r="J349" s="3">
        <f t="shared" si="356"/>
        <v>2.2817294808053227E-2</v>
      </c>
      <c r="K349" s="3">
        <f t="shared" si="356"/>
        <v>2.281729480802204E-2</v>
      </c>
      <c r="L349" s="3">
        <f t="shared" si="356"/>
        <v>2.2817294807710154E-2</v>
      </c>
      <c r="M349" s="3">
        <f t="shared" si="356"/>
        <v>2.2817294804591319E-2</v>
      </c>
      <c r="N349" s="3">
        <f t="shared" si="356"/>
        <v>2.2817294773402951E-2</v>
      </c>
      <c r="O349" s="3">
        <f t="shared" si="356"/>
        <v>2.2817294461519269E-2</v>
      </c>
      <c r="P349" s="3">
        <f t="shared" si="356"/>
        <v>2.2817291342682712E-2</v>
      </c>
      <c r="Q349" s="3">
        <f t="shared" si="356"/>
        <v>2.2817260154340546E-2</v>
      </c>
      <c r="R349" s="3">
        <f t="shared" si="356"/>
        <v>2.2816948273263585E-2</v>
      </c>
      <c r="S349" s="3">
        <f t="shared" si="356"/>
        <v>2.281382969694894E-2</v>
      </c>
      <c r="T349" s="3">
        <f t="shared" si="356"/>
        <v>2.2782667367446066E-2</v>
      </c>
      <c r="U349" s="3">
        <f t="shared" si="356"/>
        <v>2.2473375628573985E-2</v>
      </c>
      <c r="V349" s="3">
        <f t="shared" si="356"/>
        <v>1.9602241029362533E-2</v>
      </c>
      <c r="W349" s="3">
        <f t="shared" si="356"/>
        <v>4.9966607819339993E-3</v>
      </c>
      <c r="X349" s="3">
        <f t="shared" si="356"/>
        <v>5.7865709613324411E-9</v>
      </c>
      <c r="Y349" s="3">
        <f t="shared" si="356"/>
        <v>2.5109348806914826E-68</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1.5874068547548043E-2</v>
      </c>
      <c r="C350" s="3">
        <f t="shared" si="357"/>
        <v>1.5874068547548043E-2</v>
      </c>
      <c r="D350" s="3">
        <f t="shared" si="357"/>
        <v>1.5874068547548043E-2</v>
      </c>
      <c r="E350" s="3">
        <f t="shared" si="357"/>
        <v>1.5874068547548043E-2</v>
      </c>
      <c r="F350" s="3">
        <f t="shared" si="357"/>
        <v>1.5874068547548043E-2</v>
      </c>
      <c r="G350" s="3">
        <f t="shared" si="357"/>
        <v>1.5874068547548043E-2</v>
      </c>
      <c r="H350" s="3">
        <f t="shared" si="357"/>
        <v>1.587406854754804E-2</v>
      </c>
      <c r="I350" s="3">
        <f t="shared" si="357"/>
        <v>1.5874068547548019E-2</v>
      </c>
      <c r="J350" s="3">
        <f t="shared" si="357"/>
        <v>1.58740685475478E-2</v>
      </c>
      <c r="K350" s="3">
        <f t="shared" si="357"/>
        <v>1.5874068547545632E-2</v>
      </c>
      <c r="L350" s="3">
        <f t="shared" si="357"/>
        <v>1.5874068547523934E-2</v>
      </c>
      <c r="M350" s="3">
        <f t="shared" si="357"/>
        <v>1.5874068547306955E-2</v>
      </c>
      <c r="N350" s="3">
        <f t="shared" si="357"/>
        <v>1.5874068545137173E-2</v>
      </c>
      <c r="O350" s="3">
        <f t="shared" si="357"/>
        <v>1.5874068523439318E-2</v>
      </c>
      <c r="P350" s="3">
        <f t="shared" si="357"/>
        <v>1.5874068306460796E-2</v>
      </c>
      <c r="Q350" s="3">
        <f t="shared" si="357"/>
        <v>1.5874066136675739E-2</v>
      </c>
      <c r="R350" s="3">
        <f t="shared" si="357"/>
        <v>1.587404443884146E-2</v>
      </c>
      <c r="S350" s="3">
        <f t="shared" si="357"/>
        <v>1.587382746212989E-2</v>
      </c>
      <c r="T350" s="3">
        <f t="shared" si="357"/>
        <v>1.5871657858125301E-2</v>
      </c>
      <c r="U350" s="3">
        <f t="shared" si="357"/>
        <v>1.584997812094387E-2</v>
      </c>
      <c r="V350" s="3">
        <f t="shared" si="357"/>
        <v>1.5634802820569869E-2</v>
      </c>
      <c r="W350" s="3">
        <f t="shared" si="357"/>
        <v>1.3637344847549047E-2</v>
      </c>
      <c r="X350" s="3">
        <f t="shared" si="357"/>
        <v>3.4761936692538453E-3</v>
      </c>
      <c r="Y350" s="3">
        <f t="shared" si="357"/>
        <v>4.025736831125485E-9</v>
      </c>
      <c r="Z350" s="3">
        <f t="shared" si="357"/>
        <v>1.7468658204149599E-68</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5.5424436077778048E-3</v>
      </c>
      <c r="C351" s="3">
        <f t="shared" si="358"/>
        <v>5.5424436077778048E-3</v>
      </c>
      <c r="D351" s="3">
        <f t="shared" si="358"/>
        <v>5.5424436077778048E-3</v>
      </c>
      <c r="E351" s="3">
        <f t="shared" si="358"/>
        <v>5.5424436077778048E-3</v>
      </c>
      <c r="F351" s="3">
        <f t="shared" si="358"/>
        <v>5.5424436077778048E-3</v>
      </c>
      <c r="G351" s="3">
        <f t="shared" si="358"/>
        <v>5.5424436077778048E-3</v>
      </c>
      <c r="H351" s="3">
        <f t="shared" si="358"/>
        <v>5.5424436077778048E-3</v>
      </c>
      <c r="I351" s="3">
        <f t="shared" si="358"/>
        <v>5.542443607777804E-3</v>
      </c>
      <c r="J351" s="3">
        <f t="shared" si="358"/>
        <v>5.5424436077777962E-3</v>
      </c>
      <c r="K351" s="3">
        <f t="shared" si="358"/>
        <v>5.5424436077777207E-3</v>
      </c>
      <c r="L351" s="3">
        <f t="shared" si="358"/>
        <v>5.5424436077769626E-3</v>
      </c>
      <c r="M351" s="3">
        <f t="shared" si="358"/>
        <v>5.5424436077693871E-3</v>
      </c>
      <c r="N351" s="3">
        <f t="shared" si="358"/>
        <v>5.5424436076936291E-3</v>
      </c>
      <c r="O351" s="3">
        <f t="shared" si="358"/>
        <v>5.5424436069360468E-3</v>
      </c>
      <c r="P351" s="3">
        <f t="shared" si="358"/>
        <v>5.5424435993602248E-3</v>
      </c>
      <c r="Q351" s="3">
        <f t="shared" si="358"/>
        <v>5.5424435236020014E-3</v>
      </c>
      <c r="R351" s="3">
        <f t="shared" si="358"/>
        <v>5.5424427660198299E-3</v>
      </c>
      <c r="S351" s="3">
        <f t="shared" si="358"/>
        <v>5.5424351902038042E-3</v>
      </c>
      <c r="T351" s="3">
        <f t="shared" si="358"/>
        <v>5.5423594326130853E-3</v>
      </c>
      <c r="U351" s="3">
        <f t="shared" si="358"/>
        <v>5.5416019136562637E-3</v>
      </c>
      <c r="V351" s="3">
        <f t="shared" si="358"/>
        <v>5.5340324162460944E-3</v>
      </c>
      <c r="W351" s="3">
        <f t="shared" si="358"/>
        <v>5.4589037896726773E-3</v>
      </c>
      <c r="X351" s="3">
        <f t="shared" si="358"/>
        <v>4.7614897561365742E-3</v>
      </c>
      <c r="Y351" s="3">
        <f t="shared" si="358"/>
        <v>1.2137157732338018E-3</v>
      </c>
      <c r="Z351" s="3">
        <f t="shared" si="358"/>
        <v>1.4055892035135231E-9</v>
      </c>
      <c r="AA351" s="3">
        <f t="shared" si="358"/>
        <v>6.0991958495101255E-69</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3.8861309197679899E-3</v>
      </c>
      <c r="C352" s="3">
        <f t="shared" si="359"/>
        <v>3.8861309197679899E-3</v>
      </c>
      <c r="D352" s="3">
        <f t="shared" si="359"/>
        <v>3.8861309197679899E-3</v>
      </c>
      <c r="E352" s="3">
        <f t="shared" si="359"/>
        <v>3.8861309197679899E-3</v>
      </c>
      <c r="F352" s="3">
        <f t="shared" si="359"/>
        <v>3.8861309197679899E-3</v>
      </c>
      <c r="G352" s="3">
        <f t="shared" si="359"/>
        <v>3.8861309197679899E-3</v>
      </c>
      <c r="H352" s="3">
        <f t="shared" si="359"/>
        <v>3.8861309197679899E-3</v>
      </c>
      <c r="I352" s="3">
        <f t="shared" si="359"/>
        <v>3.8861309197679899E-3</v>
      </c>
      <c r="J352" s="3">
        <f t="shared" si="359"/>
        <v>3.8861309197679894E-3</v>
      </c>
      <c r="K352" s="3">
        <f t="shared" si="359"/>
        <v>3.8861309197679838E-3</v>
      </c>
      <c r="L352" s="3">
        <f t="shared" si="359"/>
        <v>3.8861309197679309E-3</v>
      </c>
      <c r="M352" s="3">
        <f t="shared" si="359"/>
        <v>3.8861309197673996E-3</v>
      </c>
      <c r="N352" s="3">
        <f t="shared" si="359"/>
        <v>3.8861309197620875E-3</v>
      </c>
      <c r="O352" s="3">
        <f t="shared" si="359"/>
        <v>3.8861309197089694E-3</v>
      </c>
      <c r="P352" s="3">
        <f t="shared" si="359"/>
        <v>3.8861309191777845E-3</v>
      </c>
      <c r="Q352" s="3">
        <f t="shared" si="359"/>
        <v>3.8861309138659328E-3</v>
      </c>
      <c r="R352" s="3">
        <f t="shared" si="359"/>
        <v>3.886130860747418E-3</v>
      </c>
      <c r="S352" s="3">
        <f t="shared" si="359"/>
        <v>3.8861303295623108E-3</v>
      </c>
      <c r="T352" s="3">
        <f t="shared" si="359"/>
        <v>3.8861250177152297E-3</v>
      </c>
      <c r="U352" s="3">
        <f t="shared" si="359"/>
        <v>3.8860718996437554E-3</v>
      </c>
      <c r="V352" s="3">
        <f t="shared" si="359"/>
        <v>3.8855407588602418E-3</v>
      </c>
      <c r="W352" s="3">
        <f t="shared" si="359"/>
        <v>3.8802333421295633E-3</v>
      </c>
      <c r="X352" s="3">
        <f t="shared" si="359"/>
        <v>3.8275562741523724E-3</v>
      </c>
      <c r="Y352" s="3">
        <f t="shared" si="359"/>
        <v>3.3385585627816279E-3</v>
      </c>
      <c r="Z352" s="3">
        <f t="shared" si="359"/>
        <v>8.5100701566995197E-4</v>
      </c>
      <c r="AA352" s="3">
        <f t="shared" si="359"/>
        <v>9.8554068400454639E-10</v>
      </c>
      <c r="AB352" s="3">
        <f t="shared" si="359"/>
        <v>4.2765024335547754E-69</v>
      </c>
      <c r="AC352" s="3">
        <f t="shared" si="359"/>
        <v>0</v>
      </c>
      <c r="AD352" s="3">
        <f t="shared" si="359"/>
        <v>0</v>
      </c>
      <c r="AE352" s="3">
        <f t="shared" si="359"/>
        <v>0</v>
      </c>
      <c r="AF352" s="3">
        <f t="shared" si="359"/>
        <v>0</v>
      </c>
      <c r="AG352" s="3"/>
      <c r="AH352" s="3"/>
    </row>
    <row r="353" spans="1:34" x14ac:dyDescent="0.25">
      <c r="B353" s="3">
        <f t="shared" ref="B353:AF353" si="360">$C44*EXP(-B$363/$A44/EXP(-$G$126))</f>
        <v>2.064572113999586E-3</v>
      </c>
      <c r="C353" s="3">
        <f t="shared" si="360"/>
        <v>2.064572113999586E-3</v>
      </c>
      <c r="D353" s="3">
        <f t="shared" si="360"/>
        <v>2.064572113999586E-3</v>
      </c>
      <c r="E353" s="3">
        <f t="shared" si="360"/>
        <v>2.064572113999586E-3</v>
      </c>
      <c r="F353" s="3">
        <f t="shared" si="360"/>
        <v>2.064572113999586E-3</v>
      </c>
      <c r="G353" s="3">
        <f t="shared" si="360"/>
        <v>2.064572113999586E-3</v>
      </c>
      <c r="H353" s="3">
        <f t="shared" si="360"/>
        <v>2.064572113999586E-3</v>
      </c>
      <c r="I353" s="3">
        <f t="shared" si="360"/>
        <v>2.064572113999586E-3</v>
      </c>
      <c r="J353" s="3">
        <f t="shared" si="360"/>
        <v>2.064572113999586E-3</v>
      </c>
      <c r="K353" s="3">
        <f t="shared" si="360"/>
        <v>2.0645721139995856E-3</v>
      </c>
      <c r="L353" s="3">
        <f t="shared" si="360"/>
        <v>2.064572113999583E-3</v>
      </c>
      <c r="M353" s="3">
        <f t="shared" si="360"/>
        <v>2.0645721139995548E-3</v>
      </c>
      <c r="N353" s="3">
        <f t="shared" si="360"/>
        <v>2.0645721139992725E-3</v>
      </c>
      <c r="O353" s="3">
        <f t="shared" si="360"/>
        <v>2.0645721139964505E-3</v>
      </c>
      <c r="P353" s="3">
        <f t="shared" si="360"/>
        <v>2.0645721139682304E-3</v>
      </c>
      <c r="Q353" s="3">
        <f t="shared" si="360"/>
        <v>2.0645721136860295E-3</v>
      </c>
      <c r="R353" s="3">
        <f t="shared" si="360"/>
        <v>2.0645721108640195E-3</v>
      </c>
      <c r="S353" s="3">
        <f t="shared" si="360"/>
        <v>2.0645720826439188E-3</v>
      </c>
      <c r="T353" s="3">
        <f t="shared" si="360"/>
        <v>2.0645718004429375E-3</v>
      </c>
      <c r="U353" s="3">
        <f t="shared" si="360"/>
        <v>2.0645689784352431E-3</v>
      </c>
      <c r="V353" s="3">
        <f t="shared" si="360"/>
        <v>2.0645407585704522E-3</v>
      </c>
      <c r="W353" s="3">
        <f t="shared" si="360"/>
        <v>2.0642585811366781E-3</v>
      </c>
      <c r="X353" s="3">
        <f t="shared" si="360"/>
        <v>2.0614389271400011E-3</v>
      </c>
      <c r="Y353" s="3">
        <f t="shared" si="360"/>
        <v>2.0334533528404454E-3</v>
      </c>
      <c r="Z353" s="3">
        <f t="shared" si="360"/>
        <v>1.7736651317153754E-3</v>
      </c>
      <c r="AA353" s="3">
        <f t="shared" si="360"/>
        <v>4.5211172491200737E-4</v>
      </c>
      <c r="AB353" s="3">
        <f t="shared" si="360"/>
        <v>5.2358498862136678E-10</v>
      </c>
      <c r="AC353" s="3">
        <f t="shared" si="360"/>
        <v>2.2719635164261722E-69</v>
      </c>
      <c r="AD353" s="3">
        <f t="shared" si="360"/>
        <v>0</v>
      </c>
      <c r="AE353" s="3">
        <f t="shared" si="360"/>
        <v>0</v>
      </c>
      <c r="AF353" s="3">
        <f t="shared" si="360"/>
        <v>0</v>
      </c>
      <c r="AG353" s="3"/>
      <c r="AH353" s="3"/>
    </row>
    <row r="354" spans="1:34" x14ac:dyDescent="0.25">
      <c r="B354" s="3">
        <f t="shared" ref="B354:AF354" si="361">$C45*EXP(-B$363/$A45/EXP(-$G$126))</f>
        <v>5.3484126683110472E-4</v>
      </c>
      <c r="C354" s="3">
        <f t="shared" si="361"/>
        <v>5.3484126683110472E-4</v>
      </c>
      <c r="D354" s="3">
        <f t="shared" si="361"/>
        <v>5.3484126683110472E-4</v>
      </c>
      <c r="E354" s="3">
        <f t="shared" si="361"/>
        <v>5.3484126683110472E-4</v>
      </c>
      <c r="F354" s="3">
        <f t="shared" si="361"/>
        <v>5.3484126683110472E-4</v>
      </c>
      <c r="G354" s="3">
        <f t="shared" si="361"/>
        <v>5.3484126683110472E-4</v>
      </c>
      <c r="H354" s="3">
        <f t="shared" si="361"/>
        <v>5.3484126683110472E-4</v>
      </c>
      <c r="I354" s="3">
        <f t="shared" si="361"/>
        <v>5.3484126683110472E-4</v>
      </c>
      <c r="J354" s="3">
        <f t="shared" si="361"/>
        <v>5.3484126683110472E-4</v>
      </c>
      <c r="K354" s="3">
        <f t="shared" si="361"/>
        <v>5.3484126683110472E-4</v>
      </c>
      <c r="L354" s="3">
        <f t="shared" si="361"/>
        <v>5.3484126683110461E-4</v>
      </c>
      <c r="M354" s="3">
        <f t="shared" si="361"/>
        <v>5.3484126683110385E-4</v>
      </c>
      <c r="N354" s="3">
        <f t="shared" si="361"/>
        <v>5.3484126683109659E-4</v>
      </c>
      <c r="O354" s="3">
        <f t="shared" si="361"/>
        <v>5.3484126683102351E-4</v>
      </c>
      <c r="P354" s="3">
        <f t="shared" si="361"/>
        <v>5.3484126683029244E-4</v>
      </c>
      <c r="Q354" s="3">
        <f t="shared" si="361"/>
        <v>5.3484126682298177E-4</v>
      </c>
      <c r="R354" s="3">
        <f t="shared" si="361"/>
        <v>5.3484126674987575E-4</v>
      </c>
      <c r="S354" s="3">
        <f t="shared" si="361"/>
        <v>5.3484126601881514E-4</v>
      </c>
      <c r="T354" s="3">
        <f t="shared" si="361"/>
        <v>5.348412587082087E-4</v>
      </c>
      <c r="U354" s="3">
        <f t="shared" si="361"/>
        <v>5.3484118560214984E-4</v>
      </c>
      <c r="V354" s="3">
        <f t="shared" si="361"/>
        <v>5.3484045454211073E-4</v>
      </c>
      <c r="W354" s="3">
        <f t="shared" si="361"/>
        <v>5.3483314399668E-4</v>
      </c>
      <c r="X354" s="3">
        <f t="shared" si="361"/>
        <v>5.3476004403803603E-4</v>
      </c>
      <c r="Y354" s="3">
        <f t="shared" si="361"/>
        <v>5.3402959374018396E-4</v>
      </c>
      <c r="Z354" s="3">
        <f t="shared" si="361"/>
        <v>5.2677974283409275E-4</v>
      </c>
      <c r="AA354" s="3">
        <f t="shared" si="361"/>
        <v>4.5947986003893096E-4</v>
      </c>
      <c r="AB354" s="3">
        <f t="shared" si="361"/>
        <v>1.1712257763314071E-4</v>
      </c>
      <c r="AC354" s="3">
        <f t="shared" si="361"/>
        <v>1.3563820643954387E-10</v>
      </c>
      <c r="AD354" s="3">
        <f t="shared" si="361"/>
        <v>5.8856740197144258E-70</v>
      </c>
      <c r="AE354" s="3">
        <f t="shared" si="361"/>
        <v>0</v>
      </c>
      <c r="AF354" s="3">
        <f t="shared" si="361"/>
        <v>0</v>
      </c>
      <c r="AG354" s="3"/>
      <c r="AH354" s="3"/>
    </row>
    <row r="355" spans="1:34" x14ac:dyDescent="0.25">
      <c r="B355" s="3">
        <f t="shared" ref="B355:AF355" si="362">$C46*EXP(-B$363/$A46/EXP(-$G$126))</f>
        <v>1.465148476990797E-3</v>
      </c>
      <c r="C355" s="3">
        <f t="shared" si="362"/>
        <v>1.465148476990797E-3</v>
      </c>
      <c r="D355" s="3">
        <f t="shared" si="362"/>
        <v>1.465148476990797E-3</v>
      </c>
      <c r="E355" s="3">
        <f t="shared" si="362"/>
        <v>1.465148476990797E-3</v>
      </c>
      <c r="F355" s="3">
        <f t="shared" si="362"/>
        <v>1.465148476990797E-3</v>
      </c>
      <c r="G355" s="3">
        <f t="shared" si="362"/>
        <v>1.465148476990797E-3</v>
      </c>
      <c r="H355" s="3">
        <f t="shared" si="362"/>
        <v>1.465148476990797E-3</v>
      </c>
      <c r="I355" s="3">
        <f t="shared" si="362"/>
        <v>1.465148476990797E-3</v>
      </c>
      <c r="J355" s="3">
        <f t="shared" si="362"/>
        <v>1.465148476990797E-3</v>
      </c>
      <c r="K355" s="3">
        <f t="shared" si="362"/>
        <v>1.465148476990797E-3</v>
      </c>
      <c r="L355" s="3">
        <f t="shared" si="362"/>
        <v>1.465148476990797E-3</v>
      </c>
      <c r="M355" s="3">
        <f t="shared" si="362"/>
        <v>1.4651484769907968E-3</v>
      </c>
      <c r="N355" s="3">
        <f t="shared" si="362"/>
        <v>1.4651484769907946E-3</v>
      </c>
      <c r="O355" s="3">
        <f t="shared" si="362"/>
        <v>1.4651484769907747E-3</v>
      </c>
      <c r="P355" s="3">
        <f t="shared" si="362"/>
        <v>1.4651484769905745E-3</v>
      </c>
      <c r="Q355" s="3">
        <f t="shared" si="362"/>
        <v>1.4651484769885718E-3</v>
      </c>
      <c r="R355" s="3">
        <f t="shared" si="362"/>
        <v>1.4651484769685451E-3</v>
      </c>
      <c r="S355" s="3">
        <f t="shared" si="362"/>
        <v>1.4651484767682777E-3</v>
      </c>
      <c r="T355" s="3">
        <f t="shared" si="362"/>
        <v>1.4651484747656043E-3</v>
      </c>
      <c r="U355" s="3">
        <f t="shared" si="362"/>
        <v>1.4651484547388701E-3</v>
      </c>
      <c r="V355" s="3">
        <f t="shared" si="362"/>
        <v>1.4651482544715433E-3</v>
      </c>
      <c r="W355" s="3">
        <f t="shared" si="362"/>
        <v>1.4651462517997803E-3</v>
      </c>
      <c r="X355" s="3">
        <f t="shared" si="362"/>
        <v>1.4651262252327066E-3</v>
      </c>
      <c r="Y355" s="3">
        <f t="shared" si="362"/>
        <v>1.4649259746168373E-3</v>
      </c>
      <c r="Z355" s="3">
        <f t="shared" si="362"/>
        <v>1.4629249731837272E-3</v>
      </c>
      <c r="AA355" s="3">
        <f t="shared" si="362"/>
        <v>1.4430646731803168E-3</v>
      </c>
      <c r="AB355" s="3">
        <f t="shared" si="362"/>
        <v>1.2587028318377185E-3</v>
      </c>
      <c r="AC355" s="3">
        <f t="shared" si="362"/>
        <v>3.2084653313526381E-4</v>
      </c>
      <c r="AD355" s="3">
        <f t="shared" si="362"/>
        <v>3.7156839591702104E-10</v>
      </c>
      <c r="AE355" s="3">
        <f t="shared" si="362"/>
        <v>1.6123262846081089E-69</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1.026110794379005E-2</v>
      </c>
      <c r="C357" s="3">
        <f t="shared" si="364"/>
        <v>1.026110794379005E-2</v>
      </c>
      <c r="D357" s="3">
        <f t="shared" si="364"/>
        <v>1.026110794379005E-2</v>
      </c>
      <c r="E357" s="3">
        <f t="shared" si="364"/>
        <v>1.026110794379005E-2</v>
      </c>
      <c r="F357" s="3">
        <f t="shared" si="364"/>
        <v>1.026110794379005E-2</v>
      </c>
      <c r="G357" s="3">
        <f t="shared" si="364"/>
        <v>1.026110794379005E-2</v>
      </c>
      <c r="H357" s="3">
        <f t="shared" si="364"/>
        <v>1.026110794379005E-2</v>
      </c>
      <c r="I357" s="3">
        <f t="shared" si="364"/>
        <v>1.026110794379005E-2</v>
      </c>
      <c r="J357" s="3">
        <f t="shared" si="364"/>
        <v>1.026110794379005E-2</v>
      </c>
      <c r="K357" s="3">
        <f t="shared" si="364"/>
        <v>1.026110794379005E-2</v>
      </c>
      <c r="L357" s="3">
        <f t="shared" si="364"/>
        <v>1.026110794379005E-2</v>
      </c>
      <c r="M357" s="3">
        <f t="shared" si="364"/>
        <v>1.026110794379005E-2</v>
      </c>
      <c r="N357" s="3">
        <f t="shared" si="364"/>
        <v>1.026110794379005E-2</v>
      </c>
      <c r="O357" s="3">
        <f t="shared" si="364"/>
        <v>1.0261107943790048E-2</v>
      </c>
      <c r="P357" s="3">
        <f t="shared" si="364"/>
        <v>1.0261107943790034E-2</v>
      </c>
      <c r="Q357" s="3">
        <f t="shared" si="364"/>
        <v>1.0261107943789894E-2</v>
      </c>
      <c r="R357" s="3">
        <f t="shared" si="364"/>
        <v>1.0261107943788492E-2</v>
      </c>
      <c r="S357" s="3">
        <f t="shared" si="364"/>
        <v>1.0261107943774465E-2</v>
      </c>
      <c r="T357" s="3">
        <f t="shared" si="364"/>
        <v>1.0261107943634209E-2</v>
      </c>
      <c r="U357" s="3">
        <f t="shared" si="364"/>
        <v>1.0261107942231645E-2</v>
      </c>
      <c r="V357" s="3">
        <f t="shared" si="364"/>
        <v>1.0261107928206004E-2</v>
      </c>
      <c r="W357" s="3">
        <f t="shared" si="364"/>
        <v>1.0261107787949583E-2</v>
      </c>
      <c r="X357" s="3">
        <f t="shared" si="364"/>
        <v>1.0261106385385479E-2</v>
      </c>
      <c r="Y357" s="3">
        <f t="shared" si="364"/>
        <v>1.0261092359755E-2</v>
      </c>
      <c r="Z357" s="3">
        <f t="shared" si="364"/>
        <v>1.0260952104504619E-2</v>
      </c>
      <c r="AA357" s="3">
        <f t="shared" si="364"/>
        <v>1.0259549657436957E-2</v>
      </c>
      <c r="AB357" s="3">
        <f t="shared" si="364"/>
        <v>1.0245535725044936E-2</v>
      </c>
      <c r="AC357" s="3">
        <f t="shared" si="364"/>
        <v>1.0106444919347481E-2</v>
      </c>
      <c r="AD357" s="3">
        <f t="shared" si="364"/>
        <v>8.8152742397603224E-3</v>
      </c>
      <c r="AE357" s="3">
        <f t="shared" si="364"/>
        <v>2.247035683819253E-3</v>
      </c>
      <c r="AF357" s="3">
        <f t="shared" si="364"/>
        <v>2.6022641929343652E-9</v>
      </c>
      <c r="AG357" s="3"/>
      <c r="AH357" s="3"/>
    </row>
    <row r="358" spans="1:34" x14ac:dyDescent="0.25">
      <c r="A358" s="79">
        <f>AVERAGE(B358:AF358)</f>
        <v>4.7745562874521676E-2</v>
      </c>
      <c r="B358" s="80">
        <f>IF($A$64&lt;=B324,IF($B$64&gt;=B324,ABS((B326-B325)/B325),0),0)</f>
        <v>1.6619458416934383E-2</v>
      </c>
      <c r="C358" s="80">
        <f t="shared" ref="C358:AF358" si="365">IF($A$64&lt;=C324,IF($B$64&gt;=C324,ABS((C326-C325)/C325),0),0)</f>
        <v>2.6142330326648904E-2</v>
      </c>
      <c r="D358" s="80">
        <f t="shared" si="365"/>
        <v>2.5513952797790174E-2</v>
      </c>
      <c r="E358" s="80">
        <f t="shared" si="365"/>
        <v>2.5530364845554026E-2</v>
      </c>
      <c r="F358" s="80">
        <f t="shared" si="365"/>
        <v>2.9782759917140352E-2</v>
      </c>
      <c r="G358" s="80">
        <f t="shared" si="365"/>
        <v>3.1246642158748915E-2</v>
      </c>
      <c r="H358" s="80">
        <f t="shared" si="365"/>
        <v>3.1996371867525096E-2</v>
      </c>
      <c r="I358" s="80">
        <f t="shared" si="365"/>
        <v>2.9165478997158482E-2</v>
      </c>
      <c r="J358" s="80">
        <f t="shared" si="365"/>
        <v>2.8389099488943678E-2</v>
      </c>
      <c r="K358" s="80">
        <f t="shared" si="365"/>
        <v>3.0026797049602157E-2</v>
      </c>
      <c r="L358" s="80">
        <f t="shared" si="365"/>
        <v>2.8831732348746742E-2</v>
      </c>
      <c r="M358" s="80">
        <f t="shared" si="365"/>
        <v>3.2141077173622787E-2</v>
      </c>
      <c r="N358" s="80">
        <f t="shared" si="365"/>
        <v>3.1755302573448906E-2</v>
      </c>
      <c r="O358" s="80">
        <f t="shared" si="365"/>
        <v>3.4951359803263353E-2</v>
      </c>
      <c r="P358" s="80">
        <f t="shared" si="365"/>
        <v>3.321999775099828E-3</v>
      </c>
      <c r="Q358" s="80">
        <f t="shared" si="365"/>
        <v>8.0008177248651946E-2</v>
      </c>
      <c r="R358" s="80">
        <f t="shared" si="365"/>
        <v>0.11132311731811763</v>
      </c>
      <c r="S358" s="80">
        <f t="shared" si="365"/>
        <v>7.1836049571236293E-2</v>
      </c>
      <c r="T358" s="80">
        <f t="shared" si="365"/>
        <v>8.8170097480931055E-3</v>
      </c>
      <c r="U358" s="80">
        <f t="shared" si="365"/>
        <v>7.3026214987552227E-2</v>
      </c>
      <c r="V358" s="80">
        <f t="shared" si="365"/>
        <v>6.5954959651594286E-2</v>
      </c>
      <c r="W358" s="80">
        <f t="shared" si="365"/>
        <v>8.5454295170405634E-2</v>
      </c>
      <c r="X358" s="80">
        <f t="shared" si="365"/>
        <v>3.8040441774642615E-2</v>
      </c>
      <c r="Y358" s="80">
        <f t="shared" si="365"/>
        <v>2.6335440355065208E-2</v>
      </c>
      <c r="Z358" s="80">
        <f t="shared" si="365"/>
        <v>6.5390966186799149E-3</v>
      </c>
      <c r="AA358" s="80">
        <f t="shared" si="365"/>
        <v>7.3513550455888716E-3</v>
      </c>
      <c r="AB358" s="80">
        <f t="shared" si="365"/>
        <v>1.1730276749160315E-2</v>
      </c>
      <c r="AC358" s="80">
        <f t="shared" si="365"/>
        <v>6.1481963023636028E-3</v>
      </c>
      <c r="AD358" s="80">
        <f t="shared" si="365"/>
        <v>9.4980619137009573E-3</v>
      </c>
      <c r="AE358" s="80">
        <f t="shared" si="365"/>
        <v>0.20259769560702909</v>
      </c>
      <c r="AF358" s="80">
        <f t="shared" si="365"/>
        <v>0.27003733350806258</v>
      </c>
    </row>
    <row r="359" spans="1:34" x14ac:dyDescent="0.25">
      <c r="B359" s="21">
        <f>(B326-B325)^2</f>
        <v>26317.696211156468</v>
      </c>
      <c r="C359" s="21">
        <f t="shared" ref="C359:AF359" si="366">(C326-C325)^2</f>
        <v>61122.148989540707</v>
      </c>
      <c r="D359" s="21">
        <f t="shared" si="366"/>
        <v>55145.034552905236</v>
      </c>
      <c r="E359" s="21">
        <f t="shared" si="366"/>
        <v>52212.631503306475</v>
      </c>
      <c r="F359" s="21">
        <f t="shared" si="366"/>
        <v>66756.581853079042</v>
      </c>
      <c r="G359" s="21">
        <f t="shared" si="366"/>
        <v>67967.900287323209</v>
      </c>
      <c r="H359" s="21">
        <f t="shared" si="366"/>
        <v>65365.927987192656</v>
      </c>
      <c r="I359" s="21">
        <f t="shared" si="366"/>
        <v>50179.479790844314</v>
      </c>
      <c r="J359" s="21">
        <f t="shared" si="366"/>
        <v>44286.258987104666</v>
      </c>
      <c r="K359" s="21">
        <f t="shared" si="366"/>
        <v>45966.201274362655</v>
      </c>
      <c r="L359" s="21">
        <f t="shared" si="366"/>
        <v>39191.712800032001</v>
      </c>
      <c r="M359" s="21">
        <f t="shared" si="366"/>
        <v>44873.982699506589</v>
      </c>
      <c r="N359" s="21">
        <f t="shared" si="366"/>
        <v>40010.00566440804</v>
      </c>
      <c r="O359" s="21">
        <f t="shared" si="366"/>
        <v>43184.860901241125</v>
      </c>
      <c r="P359" s="21">
        <f t="shared" si="366"/>
        <v>339.73584798715893</v>
      </c>
      <c r="Q359" s="21">
        <f t="shared" si="366"/>
        <v>158366.04981779144</v>
      </c>
      <c r="R359" s="21">
        <f t="shared" si="366"/>
        <v>202439.82144232016</v>
      </c>
      <c r="S359" s="21">
        <f t="shared" si="366"/>
        <v>46373.515689427892</v>
      </c>
      <c r="T359" s="21">
        <f t="shared" si="366"/>
        <v>349.0437081860926</v>
      </c>
      <c r="U359" s="21">
        <f t="shared" si="366"/>
        <v>10934.176073815923</v>
      </c>
      <c r="V359" s="21">
        <f t="shared" si="366"/>
        <v>4074.7473128523302</v>
      </c>
      <c r="W359" s="21">
        <f t="shared" si="366"/>
        <v>3333.4551982593794</v>
      </c>
      <c r="X359" s="21">
        <f t="shared" si="366"/>
        <v>409.05060438026152</v>
      </c>
      <c r="Y359" s="21">
        <f t="shared" si="366"/>
        <v>142.90234940120544</v>
      </c>
      <c r="Z359" s="21">
        <f t="shared" si="366"/>
        <v>7.4659799617418727</v>
      </c>
      <c r="AA359" s="21">
        <f t="shared" si="366"/>
        <v>8.3008246897362099</v>
      </c>
      <c r="AB359" s="21">
        <f t="shared" si="366"/>
        <v>19.76772513800336</v>
      </c>
      <c r="AC359" s="21">
        <f t="shared" si="366"/>
        <v>5.1077691994437133</v>
      </c>
      <c r="AD359" s="21">
        <f t="shared" si="366"/>
        <v>10.935242611106595</v>
      </c>
      <c r="AE359" s="21">
        <f t="shared" si="366"/>
        <v>4936.998334092973</v>
      </c>
      <c r="AF359" s="21">
        <f t="shared" si="366"/>
        <v>8616.2980919483798</v>
      </c>
      <c r="AG359" s="3"/>
      <c r="AH359" s="3"/>
    </row>
    <row r="360" spans="1:34" x14ac:dyDescent="0.25">
      <c r="A360" s="71">
        <f>SUM(B360:AF360)</f>
        <v>1142947.7955140662</v>
      </c>
      <c r="B360" s="60">
        <f>IF($A$64&lt;=B324,IF($B$64&gt;=B324,ABS(B359),0),0)</f>
        <v>26317.696211156468</v>
      </c>
      <c r="C360" s="60">
        <f t="shared" ref="C360:AF360" si="367">IF($A$64&lt;=C324,IF($B$64&gt;=C324,ABS(C359),0),0)</f>
        <v>61122.148989540707</v>
      </c>
      <c r="D360" s="60">
        <f t="shared" si="367"/>
        <v>55145.034552905236</v>
      </c>
      <c r="E360" s="60">
        <f t="shared" si="367"/>
        <v>52212.631503306475</v>
      </c>
      <c r="F360" s="60">
        <f t="shared" si="367"/>
        <v>66756.581853079042</v>
      </c>
      <c r="G360" s="60">
        <f t="shared" si="367"/>
        <v>67967.900287323209</v>
      </c>
      <c r="H360" s="60">
        <f t="shared" si="367"/>
        <v>65365.927987192656</v>
      </c>
      <c r="I360" s="60">
        <f t="shared" si="367"/>
        <v>50179.479790844314</v>
      </c>
      <c r="J360" s="60">
        <f t="shared" si="367"/>
        <v>44286.258987104666</v>
      </c>
      <c r="K360" s="60">
        <f t="shared" si="367"/>
        <v>45966.201274362655</v>
      </c>
      <c r="L360" s="60">
        <f t="shared" si="367"/>
        <v>39191.712800032001</v>
      </c>
      <c r="M360" s="60">
        <f t="shared" si="367"/>
        <v>44873.982699506589</v>
      </c>
      <c r="N360" s="60">
        <f t="shared" si="367"/>
        <v>40010.00566440804</v>
      </c>
      <c r="O360" s="60">
        <f t="shared" si="367"/>
        <v>43184.860901241125</v>
      </c>
      <c r="P360" s="60">
        <f t="shared" si="367"/>
        <v>339.73584798715893</v>
      </c>
      <c r="Q360" s="60">
        <f t="shared" si="367"/>
        <v>158366.04981779144</v>
      </c>
      <c r="R360" s="60">
        <f t="shared" si="367"/>
        <v>202439.82144232016</v>
      </c>
      <c r="S360" s="60">
        <f t="shared" si="367"/>
        <v>46373.515689427892</v>
      </c>
      <c r="T360" s="60">
        <f t="shared" si="367"/>
        <v>349.0437081860926</v>
      </c>
      <c r="U360" s="60">
        <f t="shared" si="367"/>
        <v>10934.176073815923</v>
      </c>
      <c r="V360" s="60">
        <f t="shared" si="367"/>
        <v>4074.7473128523302</v>
      </c>
      <c r="W360" s="60">
        <f t="shared" si="367"/>
        <v>3333.4551982593794</v>
      </c>
      <c r="X360" s="60">
        <f t="shared" si="367"/>
        <v>409.05060438026152</v>
      </c>
      <c r="Y360" s="60">
        <f t="shared" si="367"/>
        <v>142.90234940120544</v>
      </c>
      <c r="Z360" s="60">
        <f t="shared" si="367"/>
        <v>7.4659799617418727</v>
      </c>
      <c r="AA360" s="60">
        <f t="shared" si="367"/>
        <v>8.3008246897362099</v>
      </c>
      <c r="AB360" s="60">
        <f t="shared" si="367"/>
        <v>19.76772513800336</v>
      </c>
      <c r="AC360" s="60">
        <f t="shared" si="367"/>
        <v>5.1077691994437133</v>
      </c>
      <c r="AD360" s="60">
        <f t="shared" si="367"/>
        <v>10.935242611106595</v>
      </c>
      <c r="AE360" s="60">
        <f t="shared" si="367"/>
        <v>4936.998334092973</v>
      </c>
      <c r="AF360" s="60">
        <f t="shared" si="367"/>
        <v>8616.2980919483798</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9039.8670430819093</v>
      </c>
      <c r="C364" s="26">
        <f>INDEX(Comparison!$AM$3:$AS$33,G$14,$H$122)</f>
        <v>8723.1350121775959</v>
      </c>
      <c r="D364" s="26">
        <f>INDEX(Comparison!$AM$3:$AS$33,H$14,$H$122)</f>
        <v>8412.4411255307823</v>
      </c>
      <c r="E364" s="26">
        <f>INDEX(Comparison!$AM$3:$AS$33,I$14,$H$122)</f>
        <v>8064.2181617455262</v>
      </c>
      <c r="F364" s="26">
        <f>INDEX(Comparison!$AM$3:$AS$33,J$14,$H$122)</f>
        <v>7728.4680221740073</v>
      </c>
      <c r="G364" s="26">
        <f>INDEX(Comparison!$AM$3:$AS$33,K$14,$H$122)</f>
        <v>7458.8734765357476</v>
      </c>
      <c r="H364" s="26">
        <f>INDEX(Comparison!$AM$3:$AS$33,L$14,$H$122)</f>
        <v>7186.4338001487413</v>
      </c>
      <c r="I364" s="26">
        <f>INDEX(Comparison!$AM$3:$AS$33,M$14,$H$122)</f>
        <v>6923.3670228065112</v>
      </c>
      <c r="J364" s="26">
        <f>INDEX(Comparison!$AM$3:$AS$33,N$14,$H$122)</f>
        <v>6642.6199774647403</v>
      </c>
      <c r="K364" s="26">
        <f>INDEX(Comparison!$AM$3:$AS$33,O$14,$H$122)</f>
        <v>6381.2467017614817</v>
      </c>
      <c r="L364" s="26">
        <f>INDEX(Comparison!$AM$3:$AS$33,P$14,$H$122)</f>
        <v>6048.4964574924006</v>
      </c>
      <c r="M364" s="26">
        <f>INDEX(Comparison!$AM$3:$AS$33,Q$14,$H$122)</f>
        <v>5696.5517580815231</v>
      </c>
      <c r="N364" s="26">
        <f>INDEX(Comparison!$AM$3:$AS$33,R$14,$H$122)</f>
        <v>5284.0344872686346</v>
      </c>
      <c r="O364" s="26">
        <f>INDEX(Comparison!$AM$3:$AS$33,S$14,$H$122)</f>
        <v>4808.4059861038604</v>
      </c>
      <c r="P364" s="26">
        <f>INDEX(Comparison!$AM$3:$AS$33,T$14,$H$122)</f>
        <v>4180.5720256158129</v>
      </c>
      <c r="Q364" s="26">
        <f>INDEX(Comparison!$AM$3:$AS$33,U$14,$H$122)</f>
        <v>3284.9966289927738</v>
      </c>
      <c r="R364" s="26">
        <f>INDEX(Comparison!$AM$3:$AS$33,V$14,$H$122)</f>
        <v>2245.2955925232422</v>
      </c>
      <c r="S364" s="26">
        <f>INDEX(Comparison!$AM$3:$AS$33,W$14,$H$122)</f>
        <v>1455.0382053123094</v>
      </c>
      <c r="T364" s="26">
        <f>INDEX(Comparison!$AM$3:$AS$33,X$14,$H$122)</f>
        <v>939.75400333325899</v>
      </c>
      <c r="U364" s="26">
        <f>INDEX(Comparison!$AM$3:$AS$33,Y$14,$H$122)</f>
        <v>667.66248335298053</v>
      </c>
      <c r="V364" s="26">
        <f>INDEX(Comparison!$AM$3:$AS$33,Z$14,$H$122)</f>
        <v>524.73653922891083</v>
      </c>
      <c r="W364" s="26">
        <f>INDEX(Comparison!$AM$3:$AS$33,AA$14,$H$122)</f>
        <v>458.1071148045329</v>
      </c>
      <c r="X364" s="26">
        <f>INDEX(Comparison!$AM$3:$AS$33,AB$14,$H$122)</f>
        <v>416.14335450856197</v>
      </c>
      <c r="Y364" s="26">
        <f>INDEX(Comparison!$AM$3:$AS$33,AC$14,$H$122)</f>
        <v>393.17885286775953</v>
      </c>
      <c r="Z364" s="26">
        <f>INDEX(Comparison!$AM$3:$AS$33,AD$14,$H$122)</f>
        <v>379.36405724647841</v>
      </c>
      <c r="AA364" s="26">
        <f>INDEX(Comparison!$AM$3:$AS$33,AE$14,$H$122)</f>
        <v>357.29334618358928</v>
      </c>
      <c r="AB364" s="26">
        <f>INDEX(Comparison!$AM$3:$AS$33,AF$14,$H$122)</f>
        <v>350.56361233759071</v>
      </c>
      <c r="AC364" s="26">
        <f>INDEX(Comparison!$AM$3:$AS$33,AG$14,$H$122)</f>
        <v>345.69227327199394</v>
      </c>
      <c r="AD364" s="26">
        <f>INDEX(Comparison!$AM$3:$AS$33,AH$14,$H$122)</f>
        <v>345.40832820533547</v>
      </c>
      <c r="AE364" s="26">
        <f>INDEX(Comparison!$AM$3:$AS$33,AI$14,$H$122)</f>
        <v>343.52176757284224</v>
      </c>
      <c r="AF364" s="26">
        <f>INDEX(Comparison!$AM$3:$AS$33,AJ$14,$H$122)</f>
        <v>342.36979608181048</v>
      </c>
      <c r="AG364" s="26"/>
      <c r="AH364" s="26"/>
    </row>
    <row r="365" spans="1:34" x14ac:dyDescent="0.25">
      <c r="A365" s="70" t="s">
        <v>22</v>
      </c>
      <c r="B365" s="27">
        <f>($C$17+SUM(B366:B396))*$B$51</f>
        <v>9410.8566919567802</v>
      </c>
      <c r="C365" s="27">
        <f t="shared" ref="C365:AF365" si="368">($C$17+SUM(C366:C396))*$B$51</f>
        <v>9152.4759303229766</v>
      </c>
      <c r="D365" s="27">
        <f t="shared" si="368"/>
        <v>8901.6173805908838</v>
      </c>
      <c r="E365" s="27">
        <f t="shared" si="368"/>
        <v>8564.0526949165287</v>
      </c>
      <c r="F365" s="27">
        <f t="shared" si="368"/>
        <v>8203.7011672980007</v>
      </c>
      <c r="G365" s="27">
        <f t="shared" si="368"/>
        <v>7865.1836798624727</v>
      </c>
      <c r="H365" s="27">
        <f t="shared" si="368"/>
        <v>7589.0045496469684</v>
      </c>
      <c r="I365" s="27">
        <f t="shared" si="368"/>
        <v>7318.3367713613152</v>
      </c>
      <c r="J365" s="27">
        <f t="shared" si="368"/>
        <v>7025.5992994034195</v>
      </c>
      <c r="K365" s="27">
        <f t="shared" si="368"/>
        <v>6767.5961436931184</v>
      </c>
      <c r="L365" s="27">
        <f t="shared" si="368"/>
        <v>6453.2257134756001</v>
      </c>
      <c r="M365" s="27">
        <f t="shared" si="368"/>
        <v>6099.3615378059058</v>
      </c>
      <c r="N365" s="27">
        <f t="shared" si="368"/>
        <v>5414.9198480665773</v>
      </c>
      <c r="O365" s="27">
        <f t="shared" si="368"/>
        <v>4437.4456070963015</v>
      </c>
      <c r="P365" s="27">
        <f t="shared" si="368"/>
        <v>3478.1329777389738</v>
      </c>
      <c r="Q365" s="27">
        <f t="shared" si="368"/>
        <v>2696.0168288919613</v>
      </c>
      <c r="R365" s="27">
        <f t="shared" si="368"/>
        <v>2022.1071256236753</v>
      </c>
      <c r="S365" s="27">
        <f t="shared" si="368"/>
        <v>1488.7344392403902</v>
      </c>
      <c r="T365" s="27">
        <f t="shared" si="368"/>
        <v>978.23818681687942</v>
      </c>
      <c r="U365" s="27">
        <f t="shared" si="368"/>
        <v>703.81028509902092</v>
      </c>
      <c r="V365" s="27">
        <f t="shared" si="368"/>
        <v>533.88065448429018</v>
      </c>
      <c r="W365" s="27">
        <f t="shared" si="368"/>
        <v>458.64164300039386</v>
      </c>
      <c r="X365" s="27">
        <f t="shared" si="368"/>
        <v>415.8659974632846</v>
      </c>
      <c r="Y365" s="27">
        <f t="shared" si="368"/>
        <v>392.48420502513858</v>
      </c>
      <c r="Z365" s="27">
        <f t="shared" si="368"/>
        <v>382.22454149624923</v>
      </c>
      <c r="AA365" s="27">
        <f t="shared" si="368"/>
        <v>367.89133898656928</v>
      </c>
      <c r="AB365" s="27">
        <f t="shared" si="368"/>
        <v>346.71213803553627</v>
      </c>
      <c r="AC365" s="27">
        <f t="shared" si="368"/>
        <v>266.70951793963957</v>
      </c>
      <c r="AD365" s="27">
        <f t="shared" si="368"/>
        <v>250.92107811200501</v>
      </c>
      <c r="AE365" s="27">
        <f t="shared" si="368"/>
        <v>250.92107787840024</v>
      </c>
      <c r="AF365" s="27">
        <f t="shared" si="368"/>
        <v>250.92107787840024</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5.1540173809778449E-225</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1.3953452849140685E-22</v>
      </c>
      <c r="C368" s="3">
        <f t="shared" si="371"/>
        <v>1.652365142054773E-203</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3.7600105417273064E-4</v>
      </c>
      <c r="C369" s="3">
        <f t="shared" si="372"/>
        <v>1.7951749253432854E-20</v>
      </c>
      <c r="D369" s="3">
        <f t="shared" si="372"/>
        <v>1.1048005528281368E-183</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1.6897869033621019E-2</v>
      </c>
      <c r="C370" s="3">
        <f t="shared" si="373"/>
        <v>5.6955351834789151E-4</v>
      </c>
      <c r="D370" s="3">
        <f t="shared" si="373"/>
        <v>1.0778554723850674E-18</v>
      </c>
      <c r="E370" s="3">
        <f t="shared" si="373"/>
        <v>6.3506832357513336E-166</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1.9097913219820503E-2</v>
      </c>
      <c r="C371" s="3">
        <f t="shared" si="374"/>
        <v>1.406605922602192E-2</v>
      </c>
      <c r="D371" s="3">
        <f t="shared" si="374"/>
        <v>6.6075080793738159E-4</v>
      </c>
      <c r="E371" s="3">
        <f t="shared" si="374"/>
        <v>3.4569278402344747E-17</v>
      </c>
      <c r="F371" s="3">
        <f t="shared" si="374"/>
        <v>5.3114907282756678E-150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3.0363459614214352E-2</v>
      </c>
      <c r="C372" s="3">
        <f t="shared" si="375"/>
        <v>2.9537271389605275E-2</v>
      </c>
      <c r="D372" s="3">
        <f t="shared" si="375"/>
        <v>2.2416178222769655E-2</v>
      </c>
      <c r="E372" s="3">
        <f t="shared" si="375"/>
        <v>1.4206056782702949E-3</v>
      </c>
      <c r="F372" s="3">
        <f t="shared" si="375"/>
        <v>1.4845447723978451E-15</v>
      </c>
      <c r="G372" s="3">
        <f t="shared" si="375"/>
        <v>2.3056364947127462E-135</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3.3420407220476109E-2</v>
      </c>
      <c r="C373" s="3">
        <f t="shared" si="376"/>
        <v>3.3337341379030563E-2</v>
      </c>
      <c r="D373" s="3">
        <f t="shared" si="376"/>
        <v>3.251795394313995E-2</v>
      </c>
      <c r="E373" s="3">
        <f t="shared" si="376"/>
        <v>2.535395438585521E-2</v>
      </c>
      <c r="F373" s="3">
        <f t="shared" si="376"/>
        <v>2.1050898397511056E-3</v>
      </c>
      <c r="G373" s="3">
        <f t="shared" si="376"/>
        <v>3.2773282368859373E-14</v>
      </c>
      <c r="H373" s="3">
        <f t="shared" si="376"/>
        <v>2.7416561538013925E-122</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3.2540123211952168E-2</v>
      </c>
      <c r="C374" s="3">
        <f t="shared" si="377"/>
        <v>3.2532819089519341E-2</v>
      </c>
      <c r="D374" s="3">
        <f t="shared" si="377"/>
        <v>3.245986797813246E-2</v>
      </c>
      <c r="E374" s="3">
        <f t="shared" si="377"/>
        <v>3.1739293756654512E-2</v>
      </c>
      <c r="F374" s="3">
        <f t="shared" si="377"/>
        <v>2.5357261910817205E-2</v>
      </c>
      <c r="G374" s="3">
        <f t="shared" si="377"/>
        <v>2.6862926999180929E-3</v>
      </c>
      <c r="H374" s="3">
        <f t="shared" si="377"/>
        <v>4.7825892843097838E-13</v>
      </c>
      <c r="I374" s="3">
        <f t="shared" si="377"/>
        <v>1.530243812835903E-110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2.464145585506456E-2</v>
      </c>
      <c r="C375" s="3">
        <f t="shared" si="378"/>
        <v>2.4640956848620159E-2</v>
      </c>
      <c r="D375" s="3">
        <f t="shared" si="378"/>
        <v>2.4635967339929711E-2</v>
      </c>
      <c r="E375" s="3">
        <f t="shared" si="378"/>
        <v>2.4586127786761832E-2</v>
      </c>
      <c r="F375" s="3">
        <f t="shared" si="378"/>
        <v>2.4093244242691603E-2</v>
      </c>
      <c r="G375" s="3">
        <f t="shared" si="378"/>
        <v>1.9676451094050081E-2</v>
      </c>
      <c r="H375" s="3">
        <f t="shared" si="378"/>
        <v>2.5969383652511857E-3</v>
      </c>
      <c r="I375" s="3">
        <f t="shared" si="378"/>
        <v>4.1649554611159845E-12</v>
      </c>
      <c r="J375" s="3">
        <f t="shared" si="378"/>
        <v>4.6891870102212583E-100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2.4122413071444051E-2</v>
      </c>
      <c r="C376" s="3">
        <f t="shared" si="379"/>
        <v>2.4122369004682759E-2</v>
      </c>
      <c r="D376" s="3">
        <f t="shared" si="379"/>
        <v>2.4121928341497369E-2</v>
      </c>
      <c r="E376" s="3">
        <f t="shared" si="379"/>
        <v>2.4117522152366871E-2</v>
      </c>
      <c r="F376" s="3">
        <f t="shared" si="379"/>
        <v>2.407350450349155E-2</v>
      </c>
      <c r="G376" s="3">
        <f t="shared" si="379"/>
        <v>2.3637722499116331E-2</v>
      </c>
      <c r="H376" s="3">
        <f t="shared" si="379"/>
        <v>1.969104454641428E-2</v>
      </c>
      <c r="I376" s="3">
        <f t="shared" si="379"/>
        <v>3.1688377492582204E-3</v>
      </c>
      <c r="J376" s="3">
        <f t="shared" si="379"/>
        <v>3.6915817182562835E-11</v>
      </c>
      <c r="K376" s="3">
        <f t="shared" si="379"/>
        <v>1.6995632122788129E-90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2.8528246030707059E-2</v>
      </c>
      <c r="C377" s="3">
        <f t="shared" si="380"/>
        <v>2.8528241329467241E-2</v>
      </c>
      <c r="D377" s="3">
        <f t="shared" si="380"/>
        <v>2.8528194317111646E-2</v>
      </c>
      <c r="E377" s="3">
        <f t="shared" si="380"/>
        <v>2.8527724197816698E-2</v>
      </c>
      <c r="F377" s="3">
        <f t="shared" si="380"/>
        <v>2.8523023430939289E-2</v>
      </c>
      <c r="G377" s="3">
        <f t="shared" si="380"/>
        <v>2.847605834340677E-2</v>
      </c>
      <c r="H377" s="3">
        <f t="shared" si="380"/>
        <v>2.8010639743135935E-2</v>
      </c>
      <c r="I377" s="3">
        <f t="shared" si="380"/>
        <v>2.375497437780652E-2</v>
      </c>
      <c r="J377" s="3">
        <f t="shared" si="380"/>
        <v>4.5716181727133501E-3</v>
      </c>
      <c r="K377" s="3">
        <f t="shared" si="380"/>
        <v>3.1858387572046449E-10</v>
      </c>
      <c r="L377" s="3">
        <f t="shared" si="380"/>
        <v>8.6052244148211928E-82</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2.1048719536630976E-2</v>
      </c>
      <c r="C378" s="3">
        <f t="shared" si="381"/>
        <v>2.1048719223728037E-2</v>
      </c>
      <c r="D378" s="3">
        <f t="shared" si="381"/>
        <v>2.1048716094698921E-2</v>
      </c>
      <c r="E378" s="3">
        <f t="shared" si="381"/>
        <v>2.1048684804433358E-2</v>
      </c>
      <c r="F378" s="3">
        <f t="shared" si="381"/>
        <v>2.1048371904336016E-2</v>
      </c>
      <c r="G378" s="3">
        <f t="shared" si="381"/>
        <v>2.1045243159179793E-2</v>
      </c>
      <c r="H378" s="3">
        <f t="shared" si="381"/>
        <v>2.1013981275273205E-2</v>
      </c>
      <c r="I378" s="3">
        <f t="shared" si="381"/>
        <v>2.070390519455912E-2</v>
      </c>
      <c r="J378" s="3">
        <f t="shared" si="381"/>
        <v>1.784397327125687E-2</v>
      </c>
      <c r="K378" s="3">
        <f t="shared" si="381"/>
        <v>4.0353805949537493E-3</v>
      </c>
      <c r="L378" s="3">
        <f t="shared" si="381"/>
        <v>1.4119323002767306E-9</v>
      </c>
      <c r="M378" s="3">
        <f t="shared" si="381"/>
        <v>3.8824654205417347E-74</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3.1114198959216612E-2</v>
      </c>
      <c r="C379" s="3">
        <f t="shared" si="382"/>
        <v>3.11141989174923E-2</v>
      </c>
      <c r="D379" s="3">
        <f t="shared" si="382"/>
        <v>3.1114198500249192E-2</v>
      </c>
      <c r="E379" s="3">
        <f t="shared" si="382"/>
        <v>3.1114194327818402E-2</v>
      </c>
      <c r="F379" s="3">
        <f t="shared" si="382"/>
        <v>3.1114152603541296E-2</v>
      </c>
      <c r="G379" s="3">
        <f t="shared" si="382"/>
        <v>3.1113735363847587E-2</v>
      </c>
      <c r="H379" s="3">
        <f t="shared" si="382"/>
        <v>3.1109563274632462E-2</v>
      </c>
      <c r="I379" s="3">
        <f t="shared" si="382"/>
        <v>3.1067873139413438E-2</v>
      </c>
      <c r="J379" s="3">
        <f t="shared" si="382"/>
        <v>3.0654032274301652E-2</v>
      </c>
      <c r="K379" s="3">
        <f t="shared" si="382"/>
        <v>2.6807016541030473E-2</v>
      </c>
      <c r="L379" s="3">
        <f t="shared" si="382"/>
        <v>7.0122469523451105E-3</v>
      </c>
      <c r="M379" s="3">
        <f t="shared" si="382"/>
        <v>1.051827213202303E-8</v>
      </c>
      <c r="N379" s="3">
        <f t="shared" si="382"/>
        <v>6.0647989356441271E-67</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2.5140718095233747E-2</v>
      </c>
      <c r="C380" s="3">
        <f t="shared" si="383"/>
        <v>2.5140718092192482E-2</v>
      </c>
      <c r="D380" s="3">
        <f t="shared" si="383"/>
        <v>2.5140718061779789E-2</v>
      </c>
      <c r="E380" s="3">
        <f t="shared" si="383"/>
        <v>2.5140717757652906E-2</v>
      </c>
      <c r="F380" s="3">
        <f t="shared" si="383"/>
        <v>2.5140714716384221E-2</v>
      </c>
      <c r="G380" s="3">
        <f t="shared" si="383"/>
        <v>2.5140684303717652E-2</v>
      </c>
      <c r="H380" s="3">
        <f t="shared" si="383"/>
        <v>2.5140380179075376E-2</v>
      </c>
      <c r="I380" s="3">
        <f t="shared" si="383"/>
        <v>2.5137339134988581E-2</v>
      </c>
      <c r="J380" s="3">
        <f t="shared" si="383"/>
        <v>2.5106948918662414E-2</v>
      </c>
      <c r="K380" s="3">
        <f t="shared" si="383"/>
        <v>2.4805060186523824E-2</v>
      </c>
      <c r="L380" s="3">
        <f t="shared" si="383"/>
        <v>2.197878833794777E-2</v>
      </c>
      <c r="M380" s="3">
        <f t="shared" si="383"/>
        <v>6.5559911984664149E-3</v>
      </c>
      <c r="N380" s="3">
        <f t="shared" si="383"/>
        <v>3.6558175535275577E-8</v>
      </c>
      <c r="O380" s="3">
        <f t="shared" si="383"/>
        <v>1.0627865098869405E-60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7.3741618123030164E-2</v>
      </c>
      <c r="C381" s="3">
        <f t="shared" si="384"/>
        <v>7.3741618122225461E-2</v>
      </c>
      <c r="D381" s="3">
        <f t="shared" si="384"/>
        <v>7.3741618114178412E-2</v>
      </c>
      <c r="E381" s="3">
        <f t="shared" si="384"/>
        <v>7.3741618033707976E-2</v>
      </c>
      <c r="F381" s="3">
        <f t="shared" si="384"/>
        <v>7.3741617229003534E-2</v>
      </c>
      <c r="G381" s="3">
        <f t="shared" si="384"/>
        <v>7.3741609181959683E-2</v>
      </c>
      <c r="H381" s="3">
        <f t="shared" si="384"/>
        <v>7.374152871156936E-2</v>
      </c>
      <c r="I381" s="3">
        <f t="shared" si="384"/>
        <v>7.3740724012495942E-2</v>
      </c>
      <c r="J381" s="3">
        <f t="shared" si="384"/>
        <v>7.3732677504712948E-2</v>
      </c>
      <c r="K381" s="3">
        <f t="shared" si="384"/>
        <v>7.3652260702518887E-2</v>
      </c>
      <c r="L381" s="3">
        <f t="shared" si="384"/>
        <v>7.2852900809054488E-2</v>
      </c>
      <c r="M381" s="3">
        <f t="shared" si="384"/>
        <v>6.5321255066934661E-2</v>
      </c>
      <c r="N381" s="3">
        <f t="shared" si="384"/>
        <v>2.1934676683002537E-2</v>
      </c>
      <c r="O381" s="3">
        <f t="shared" si="384"/>
        <v>3.9985120066291068E-7</v>
      </c>
      <c r="P381" s="3">
        <f t="shared" si="384"/>
        <v>1.6202054025147021E-54</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9.9846945696712139E-2</v>
      </c>
      <c r="C382" s="3">
        <f t="shared" si="385"/>
        <v>9.9846945696613842E-2</v>
      </c>
      <c r="D382" s="3">
        <f t="shared" si="385"/>
        <v>9.9846945695630962E-2</v>
      </c>
      <c r="E382" s="3">
        <f t="shared" si="385"/>
        <v>9.9846945685802047E-2</v>
      </c>
      <c r="F382" s="3">
        <f t="shared" si="385"/>
        <v>9.9846945587513017E-2</v>
      </c>
      <c r="G382" s="3">
        <f t="shared" si="385"/>
        <v>9.9846944604622581E-2</v>
      </c>
      <c r="H382" s="3">
        <f t="shared" si="385"/>
        <v>9.9846934775718807E-2</v>
      </c>
      <c r="I382" s="3">
        <f t="shared" si="385"/>
        <v>9.9846836486734231E-2</v>
      </c>
      <c r="J382" s="3">
        <f t="shared" si="385"/>
        <v>9.9845853602210058E-2</v>
      </c>
      <c r="K382" s="3">
        <f t="shared" si="385"/>
        <v>9.9836025289101793E-2</v>
      </c>
      <c r="L382" s="3">
        <f t="shared" si="385"/>
        <v>9.9737795351986194E-2</v>
      </c>
      <c r="M382" s="3">
        <f t="shared" si="385"/>
        <v>9.8760796053770139E-2</v>
      </c>
      <c r="N382" s="3">
        <f t="shared" si="385"/>
        <v>8.9502003904265895E-2</v>
      </c>
      <c r="O382" s="3">
        <f t="shared" si="385"/>
        <v>3.3443716316863312E-2</v>
      </c>
      <c r="P382" s="3">
        <f t="shared" si="385"/>
        <v>1.7747298317404343E-6</v>
      </c>
      <c r="Q382" s="3">
        <f t="shared" si="385"/>
        <v>3.1427471071507514E-49</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8.4959897030222387E-2</v>
      </c>
      <c r="C383" s="3">
        <f t="shared" si="386"/>
        <v>8.4959897030214837E-2</v>
      </c>
      <c r="D383" s="3">
        <f t="shared" si="386"/>
        <v>8.4959897030139397E-2</v>
      </c>
      <c r="E383" s="3">
        <f t="shared" si="386"/>
        <v>8.4959897029384945E-2</v>
      </c>
      <c r="F383" s="3">
        <f t="shared" si="386"/>
        <v>8.4959897021840439E-2</v>
      </c>
      <c r="G383" s="3">
        <f t="shared" si="386"/>
        <v>8.4959896946395358E-2</v>
      </c>
      <c r="H383" s="3">
        <f t="shared" si="386"/>
        <v>8.4959896191944606E-2</v>
      </c>
      <c r="I383" s="3">
        <f t="shared" si="386"/>
        <v>8.4959888647437545E-2</v>
      </c>
      <c r="J383" s="3">
        <f t="shared" si="386"/>
        <v>8.4959813202403672E-2</v>
      </c>
      <c r="K383" s="3">
        <f t="shared" si="386"/>
        <v>8.4959058755749717E-2</v>
      </c>
      <c r="L383" s="3">
        <f t="shared" si="386"/>
        <v>8.4951514657673838E-2</v>
      </c>
      <c r="M383" s="3">
        <f t="shared" si="386"/>
        <v>8.4876110511176148E-2</v>
      </c>
      <c r="N383" s="3">
        <f t="shared" si="386"/>
        <v>8.4125740398624416E-2</v>
      </c>
      <c r="O383" s="3">
        <f t="shared" si="386"/>
        <v>7.6977393001657471E-2</v>
      </c>
      <c r="P383" s="3">
        <f t="shared" si="386"/>
        <v>3.167423910648369E-2</v>
      </c>
      <c r="Q383" s="3">
        <f t="shared" si="386"/>
        <v>4.406929593187978E-6</v>
      </c>
      <c r="R383" s="3">
        <f t="shared" si="386"/>
        <v>1.1979407119998953E-44</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6.3888587804479868E-2</v>
      </c>
      <c r="C384" s="3">
        <f t="shared" si="387"/>
        <v>6.3888587804479355E-2</v>
      </c>
      <c r="D384" s="3">
        <f t="shared" si="387"/>
        <v>6.3888587804474234E-2</v>
      </c>
      <c r="E384" s="3">
        <f t="shared" si="387"/>
        <v>6.3888587804423053E-2</v>
      </c>
      <c r="F384" s="3">
        <f t="shared" si="387"/>
        <v>6.3888587803911268E-2</v>
      </c>
      <c r="G384" s="3">
        <f t="shared" si="387"/>
        <v>6.3888587798793431E-2</v>
      </c>
      <c r="H384" s="3">
        <f t="shared" si="387"/>
        <v>6.3888587747615022E-2</v>
      </c>
      <c r="I384" s="3">
        <f t="shared" si="387"/>
        <v>6.3888587235830921E-2</v>
      </c>
      <c r="J384" s="3">
        <f t="shared" si="387"/>
        <v>6.3888582117990089E-2</v>
      </c>
      <c r="K384" s="3">
        <f t="shared" si="387"/>
        <v>6.3888530939604393E-2</v>
      </c>
      <c r="L384" s="3">
        <f t="shared" si="387"/>
        <v>6.3888019158002129E-2</v>
      </c>
      <c r="M384" s="3">
        <f t="shared" si="387"/>
        <v>6.3882901567454659E-2</v>
      </c>
      <c r="N384" s="3">
        <f t="shared" si="387"/>
        <v>6.3831748202813815E-2</v>
      </c>
      <c r="O384" s="3">
        <f t="shared" si="387"/>
        <v>6.332246197317655E-2</v>
      </c>
      <c r="P384" s="3">
        <f t="shared" si="387"/>
        <v>5.8447820539116194E-2</v>
      </c>
      <c r="Q384" s="3">
        <f t="shared" si="387"/>
        <v>2.6234549852085509E-2</v>
      </c>
      <c r="R384" s="3">
        <f t="shared" si="387"/>
        <v>8.7081634083450085E-6</v>
      </c>
      <c r="S384" s="3">
        <f t="shared" si="387"/>
        <v>1.4140217915413044E-40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6.4356714781999599E-2</v>
      </c>
      <c r="C385" s="3">
        <f t="shared" si="388"/>
        <v>6.4356714781999558E-2</v>
      </c>
      <c r="D385" s="3">
        <f t="shared" si="388"/>
        <v>6.43567147819991E-2</v>
      </c>
      <c r="E385" s="3">
        <f t="shared" si="388"/>
        <v>6.4356714781994451E-2</v>
      </c>
      <c r="F385" s="3">
        <f t="shared" si="388"/>
        <v>6.4356714781947946E-2</v>
      </c>
      <c r="G385" s="3">
        <f t="shared" si="388"/>
        <v>6.4356714781482888E-2</v>
      </c>
      <c r="H385" s="3">
        <f t="shared" si="388"/>
        <v>6.4356714776832344E-2</v>
      </c>
      <c r="I385" s="3">
        <f t="shared" si="388"/>
        <v>6.4356714730326878E-2</v>
      </c>
      <c r="J385" s="3">
        <f t="shared" si="388"/>
        <v>6.4356714265272258E-2</v>
      </c>
      <c r="K385" s="3">
        <f t="shared" si="388"/>
        <v>6.4356709614726254E-2</v>
      </c>
      <c r="L385" s="3">
        <f t="shared" si="388"/>
        <v>6.4356663109284631E-2</v>
      </c>
      <c r="M385" s="3">
        <f t="shared" si="388"/>
        <v>6.4356198056716801E-2</v>
      </c>
      <c r="N385" s="3">
        <f t="shared" si="388"/>
        <v>6.4351547715864849E-2</v>
      </c>
      <c r="O385" s="3">
        <f t="shared" si="388"/>
        <v>6.4305062785037961E-2</v>
      </c>
      <c r="P385" s="3">
        <f t="shared" si="388"/>
        <v>6.3842056315202789E-2</v>
      </c>
      <c r="Q385" s="3">
        <f t="shared" si="388"/>
        <v>5.9391442064784805E-2</v>
      </c>
      <c r="R385" s="3">
        <f t="shared" si="388"/>
        <v>2.8833270391759019E-2</v>
      </c>
      <c r="S385" s="3">
        <f t="shared" si="388"/>
        <v>2.0969798050642634E-5</v>
      </c>
      <c r="T385" s="3">
        <f t="shared" si="388"/>
        <v>8.6815582025066551E-37</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2.3762961942572935E-2</v>
      </c>
      <c r="C386" s="3">
        <f t="shared" si="389"/>
        <v>2.3762961942572932E-2</v>
      </c>
      <c r="D386" s="3">
        <f t="shared" si="389"/>
        <v>2.3762961942572918E-2</v>
      </c>
      <c r="E386" s="3">
        <f t="shared" si="389"/>
        <v>2.3762961942572765E-2</v>
      </c>
      <c r="F386" s="3">
        <f t="shared" si="389"/>
        <v>2.3762961942571215E-2</v>
      </c>
      <c r="G386" s="3">
        <f t="shared" si="389"/>
        <v>2.3762961942555724E-2</v>
      </c>
      <c r="H386" s="3">
        <f t="shared" si="389"/>
        <v>2.3762961942400823E-2</v>
      </c>
      <c r="I386" s="3">
        <f t="shared" si="389"/>
        <v>2.3762961940851802E-2</v>
      </c>
      <c r="J386" s="3">
        <f t="shared" si="389"/>
        <v>2.3762961925361592E-2</v>
      </c>
      <c r="K386" s="3">
        <f t="shared" si="389"/>
        <v>2.3762961770459511E-2</v>
      </c>
      <c r="L386" s="3">
        <f t="shared" si="389"/>
        <v>2.3762960221438728E-2</v>
      </c>
      <c r="M386" s="3">
        <f t="shared" si="389"/>
        <v>2.3762944731236472E-2</v>
      </c>
      <c r="N386" s="3">
        <f t="shared" si="389"/>
        <v>2.3762789829769274E-2</v>
      </c>
      <c r="O386" s="3">
        <f t="shared" si="389"/>
        <v>2.3761240870632042E-2</v>
      </c>
      <c r="P386" s="3">
        <f t="shared" si="389"/>
        <v>2.3745756831397825E-2</v>
      </c>
      <c r="Q386" s="3">
        <f t="shared" si="389"/>
        <v>2.3591470316079707E-2</v>
      </c>
      <c r="R386" s="3">
        <f t="shared" si="389"/>
        <v>2.2102679945933561E-2</v>
      </c>
      <c r="S386" s="3">
        <f t="shared" si="389"/>
        <v>1.1517128113298749E-2</v>
      </c>
      <c r="T386" s="3">
        <f t="shared" si="389"/>
        <v>1.6995612715524628E-5</v>
      </c>
      <c r="U386" s="3">
        <f t="shared" si="389"/>
        <v>8.3226783195834296E-34</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4.2794407584768095E-2</v>
      </c>
      <c r="C387" s="3">
        <f t="shared" si="390"/>
        <v>4.2794407584768095E-2</v>
      </c>
      <c r="D387" s="3">
        <f t="shared" si="390"/>
        <v>4.2794407584768088E-2</v>
      </c>
      <c r="E387" s="3">
        <f t="shared" si="390"/>
        <v>4.2794407584768011E-2</v>
      </c>
      <c r="F387" s="3">
        <f t="shared" si="390"/>
        <v>4.2794407584767241E-2</v>
      </c>
      <c r="G387" s="3">
        <f t="shared" si="390"/>
        <v>4.2794407584759525E-2</v>
      </c>
      <c r="H387" s="3">
        <f t="shared" si="390"/>
        <v>4.2794407584682372E-2</v>
      </c>
      <c r="I387" s="3">
        <f t="shared" si="390"/>
        <v>4.2794407583910836E-2</v>
      </c>
      <c r="J387" s="3">
        <f t="shared" si="390"/>
        <v>4.2794407576195466E-2</v>
      </c>
      <c r="K387" s="3">
        <f t="shared" si="390"/>
        <v>4.2794407499041801E-2</v>
      </c>
      <c r="L387" s="3">
        <f t="shared" si="390"/>
        <v>4.279440672750514E-2</v>
      </c>
      <c r="M387" s="3">
        <f t="shared" si="390"/>
        <v>4.2794399012139342E-2</v>
      </c>
      <c r="N387" s="3">
        <f t="shared" si="390"/>
        <v>4.279432185855786E-2</v>
      </c>
      <c r="O387" s="3">
        <f t="shared" si="390"/>
        <v>4.2793550330393434E-2</v>
      </c>
      <c r="P387" s="3">
        <f t="shared" si="390"/>
        <v>4.2785835813740729E-2</v>
      </c>
      <c r="Q387" s="3">
        <f t="shared" si="390"/>
        <v>4.2708767095359944E-2</v>
      </c>
      <c r="R387" s="3">
        <f t="shared" si="390"/>
        <v>4.1945673974926719E-2</v>
      </c>
      <c r="S387" s="3">
        <f t="shared" si="390"/>
        <v>3.5025843370671821E-2</v>
      </c>
      <c r="T387" s="3">
        <f t="shared" si="390"/>
        <v>5.7730171055380558E-3</v>
      </c>
      <c r="U387" s="3">
        <f t="shared" si="390"/>
        <v>8.5417188979061267E-11</v>
      </c>
      <c r="V387" s="3">
        <f t="shared" si="390"/>
        <v>4.2950634278479454E-89</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2.2817294808056693E-2</v>
      </c>
      <c r="C388" s="3">
        <f t="shared" si="391"/>
        <v>2.2817294808056693E-2</v>
      </c>
      <c r="D388" s="3">
        <f t="shared" si="391"/>
        <v>2.2817294808056693E-2</v>
      </c>
      <c r="E388" s="3">
        <f t="shared" si="391"/>
        <v>2.2817294808056689E-2</v>
      </c>
      <c r="F388" s="3">
        <f t="shared" si="391"/>
        <v>2.2817294808056648E-2</v>
      </c>
      <c r="G388" s="3">
        <f t="shared" si="391"/>
        <v>2.2817294808056238E-2</v>
      </c>
      <c r="H388" s="3">
        <f t="shared" si="391"/>
        <v>2.2817294808052124E-2</v>
      </c>
      <c r="I388" s="3">
        <f t="shared" si="391"/>
        <v>2.2817294808010986E-2</v>
      </c>
      <c r="J388" s="3">
        <f t="shared" si="391"/>
        <v>2.2817294807599614E-2</v>
      </c>
      <c r="K388" s="3">
        <f t="shared" si="391"/>
        <v>2.2817294803485905E-2</v>
      </c>
      <c r="L388" s="3">
        <f t="shared" si="391"/>
        <v>2.2817294762348801E-2</v>
      </c>
      <c r="M388" s="3">
        <f t="shared" si="391"/>
        <v>2.2817294350977773E-2</v>
      </c>
      <c r="N388" s="3">
        <f t="shared" si="391"/>
        <v>2.2817290237267925E-2</v>
      </c>
      <c r="O388" s="3">
        <f t="shared" si="391"/>
        <v>2.281724910021022E-2</v>
      </c>
      <c r="P388" s="3">
        <f t="shared" si="391"/>
        <v>2.2816837733712261E-2</v>
      </c>
      <c r="Q388" s="3">
        <f t="shared" si="391"/>
        <v>2.2812724476613942E-2</v>
      </c>
      <c r="R388" s="3">
        <f t="shared" si="391"/>
        <v>2.2771632666561653E-2</v>
      </c>
      <c r="S388" s="3">
        <f t="shared" si="391"/>
        <v>2.2364763599372554E-2</v>
      </c>
      <c r="T388" s="3">
        <f t="shared" si="391"/>
        <v>1.8675220413003131E-2</v>
      </c>
      <c r="U388" s="3">
        <f t="shared" si="391"/>
        <v>3.0780805405027033E-3</v>
      </c>
      <c r="V388" s="3">
        <f t="shared" si="391"/>
        <v>4.5543081271779076E-11</v>
      </c>
      <c r="W388" s="3">
        <f t="shared" si="391"/>
        <v>2.2900592386606859E-89</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1.5874068547548043E-2</v>
      </c>
      <c r="C389" s="3">
        <f t="shared" si="392"/>
        <v>1.5874068547548043E-2</v>
      </c>
      <c r="D389" s="3">
        <f t="shared" si="392"/>
        <v>1.5874068547548043E-2</v>
      </c>
      <c r="E389" s="3">
        <f t="shared" si="392"/>
        <v>1.5874068547548043E-2</v>
      </c>
      <c r="F389" s="3">
        <f t="shared" si="392"/>
        <v>1.587406854754804E-2</v>
      </c>
      <c r="G389" s="3">
        <f t="shared" si="392"/>
        <v>1.5874068547548012E-2</v>
      </c>
      <c r="H389" s="3">
        <f t="shared" si="392"/>
        <v>1.5874068547547728E-2</v>
      </c>
      <c r="I389" s="3">
        <f t="shared" si="392"/>
        <v>1.5874068547544865E-2</v>
      </c>
      <c r="J389" s="3">
        <f t="shared" si="392"/>
        <v>1.5874068547516246E-2</v>
      </c>
      <c r="K389" s="3">
        <f t="shared" si="392"/>
        <v>1.5874068547230051E-2</v>
      </c>
      <c r="L389" s="3">
        <f t="shared" si="392"/>
        <v>1.5874068544368132E-2</v>
      </c>
      <c r="M389" s="3">
        <f t="shared" si="392"/>
        <v>1.587406851574891E-2</v>
      </c>
      <c r="N389" s="3">
        <f t="shared" si="392"/>
        <v>1.5874068229556705E-2</v>
      </c>
      <c r="O389" s="3">
        <f t="shared" si="392"/>
        <v>1.5874065367634964E-2</v>
      </c>
      <c r="P389" s="3">
        <f t="shared" si="392"/>
        <v>1.5874036748445907E-2</v>
      </c>
      <c r="Q389" s="3">
        <f t="shared" si="392"/>
        <v>1.5873750559393187E-2</v>
      </c>
      <c r="R389" s="3">
        <f t="shared" si="392"/>
        <v>1.5870888952630349E-2</v>
      </c>
      <c r="S389" s="3">
        <f t="shared" si="392"/>
        <v>1.5842301242518345E-2</v>
      </c>
      <c r="T389" s="3">
        <f t="shared" si="392"/>
        <v>1.5559241067472696E-2</v>
      </c>
      <c r="U389" s="3">
        <f t="shared" si="392"/>
        <v>1.2992413494692819E-2</v>
      </c>
      <c r="V389" s="3">
        <f t="shared" si="392"/>
        <v>2.1414309586586396E-3</v>
      </c>
      <c r="W389" s="3">
        <f t="shared" si="392"/>
        <v>3.1684474432942001E-11</v>
      </c>
      <c r="X389" s="3">
        <f t="shared" si="392"/>
        <v>1.5932018952399858E-89</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5.5424436077778048E-3</v>
      </c>
      <c r="C390" s="3">
        <f t="shared" si="393"/>
        <v>5.5424436077778048E-3</v>
      </c>
      <c r="D390" s="3">
        <f t="shared" si="393"/>
        <v>5.5424436077778048E-3</v>
      </c>
      <c r="E390" s="3">
        <f t="shared" si="393"/>
        <v>5.5424436077778048E-3</v>
      </c>
      <c r="F390" s="3">
        <f t="shared" si="393"/>
        <v>5.5424436077778048E-3</v>
      </c>
      <c r="G390" s="3">
        <f t="shared" si="393"/>
        <v>5.542443607777804E-3</v>
      </c>
      <c r="H390" s="3">
        <f t="shared" si="393"/>
        <v>5.5424436077777936E-3</v>
      </c>
      <c r="I390" s="3">
        <f t="shared" si="393"/>
        <v>5.5424436077776938E-3</v>
      </c>
      <c r="J390" s="3">
        <f t="shared" si="393"/>
        <v>5.5424436077766946E-3</v>
      </c>
      <c r="K390" s="3">
        <f t="shared" si="393"/>
        <v>5.5424436077667026E-3</v>
      </c>
      <c r="L390" s="3">
        <f t="shared" si="393"/>
        <v>5.5424436076667782E-3</v>
      </c>
      <c r="M390" s="3">
        <f t="shared" si="393"/>
        <v>5.5424436066675358E-3</v>
      </c>
      <c r="N390" s="3">
        <f t="shared" si="393"/>
        <v>5.5424435966751123E-3</v>
      </c>
      <c r="O390" s="3">
        <f t="shared" si="393"/>
        <v>5.5424434967508776E-3</v>
      </c>
      <c r="P390" s="3">
        <f t="shared" si="393"/>
        <v>5.542442497508634E-3</v>
      </c>
      <c r="Q390" s="3">
        <f t="shared" si="393"/>
        <v>5.5424325050961046E-3</v>
      </c>
      <c r="R390" s="3">
        <f t="shared" si="393"/>
        <v>5.5423325819616478E-3</v>
      </c>
      <c r="S390" s="3">
        <f t="shared" si="393"/>
        <v>5.5413334496936242E-3</v>
      </c>
      <c r="T390" s="3">
        <f t="shared" si="393"/>
        <v>5.5313520280626995E-3</v>
      </c>
      <c r="U390" s="3">
        <f t="shared" si="393"/>
        <v>5.4325213437237084E-3</v>
      </c>
      <c r="V390" s="3">
        <f t="shared" si="393"/>
        <v>4.536311463414283E-3</v>
      </c>
      <c r="W390" s="3">
        <f t="shared" si="393"/>
        <v>7.4768231551755257E-4</v>
      </c>
      <c r="X390" s="3">
        <f t="shared" si="393"/>
        <v>1.1062659346635102E-11</v>
      </c>
      <c r="Y390" s="3">
        <f t="shared" si="393"/>
        <v>5.5626770375363457E-90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3.8861309197679899E-3</v>
      </c>
      <c r="C391" s="3">
        <f t="shared" si="394"/>
        <v>3.8861309197679899E-3</v>
      </c>
      <c r="D391" s="3">
        <f t="shared" si="394"/>
        <v>3.8861309197679899E-3</v>
      </c>
      <c r="E391" s="3">
        <f t="shared" si="394"/>
        <v>3.8861309197679899E-3</v>
      </c>
      <c r="F391" s="3">
        <f t="shared" si="394"/>
        <v>3.8861309197679899E-3</v>
      </c>
      <c r="G391" s="3">
        <f t="shared" si="394"/>
        <v>3.8861309197679899E-3</v>
      </c>
      <c r="H391" s="3">
        <f t="shared" si="394"/>
        <v>3.886130919767989E-3</v>
      </c>
      <c r="I391" s="3">
        <f t="shared" si="394"/>
        <v>3.8861309197679821E-3</v>
      </c>
      <c r="J391" s="3">
        <f t="shared" si="394"/>
        <v>3.8861309197679122E-3</v>
      </c>
      <c r="K391" s="3">
        <f t="shared" si="394"/>
        <v>3.8861309197672114E-3</v>
      </c>
      <c r="L391" s="3">
        <f t="shared" si="394"/>
        <v>3.8861309197602053E-3</v>
      </c>
      <c r="M391" s="3">
        <f t="shared" si="394"/>
        <v>3.8861309196901424E-3</v>
      </c>
      <c r="N391" s="3">
        <f t="shared" si="394"/>
        <v>3.8861309189895154E-3</v>
      </c>
      <c r="O391" s="3">
        <f t="shared" si="394"/>
        <v>3.8861309119832435E-3</v>
      </c>
      <c r="P391" s="3">
        <f t="shared" si="394"/>
        <v>3.8861308419205266E-3</v>
      </c>
      <c r="Q391" s="3">
        <f t="shared" si="394"/>
        <v>3.886130141293429E-3</v>
      </c>
      <c r="R391" s="3">
        <f t="shared" si="394"/>
        <v>3.8861231350293983E-3</v>
      </c>
      <c r="S391" s="3">
        <f t="shared" si="394"/>
        <v>3.8860530730838202E-3</v>
      </c>
      <c r="T391" s="3">
        <f t="shared" si="394"/>
        <v>3.8853525230964007E-3</v>
      </c>
      <c r="U391" s="3">
        <f t="shared" si="394"/>
        <v>3.8783539654261442E-3</v>
      </c>
      <c r="V391" s="3">
        <f t="shared" si="394"/>
        <v>3.8090580004310989E-3</v>
      </c>
      <c r="W391" s="3">
        <f t="shared" si="394"/>
        <v>3.1806729102184404E-3</v>
      </c>
      <c r="X391" s="3">
        <f t="shared" si="394"/>
        <v>5.242437397863681E-4</v>
      </c>
      <c r="Y391" s="3">
        <f t="shared" si="394"/>
        <v>7.7566765824173844E-12</v>
      </c>
      <c r="Z391" s="3">
        <f t="shared" si="394"/>
        <v>3.9003177591049348E-90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2.064572113999586E-3</v>
      </c>
      <c r="C392" s="3">
        <f t="shared" si="395"/>
        <v>2.064572113999586E-3</v>
      </c>
      <c r="D392" s="3">
        <f t="shared" si="395"/>
        <v>2.064572113999586E-3</v>
      </c>
      <c r="E392" s="3">
        <f t="shared" si="395"/>
        <v>2.064572113999586E-3</v>
      </c>
      <c r="F392" s="3">
        <f t="shared" si="395"/>
        <v>2.064572113999586E-3</v>
      </c>
      <c r="G392" s="3">
        <f t="shared" si="395"/>
        <v>2.064572113999586E-3</v>
      </c>
      <c r="H392" s="3">
        <f t="shared" si="395"/>
        <v>2.064572113999586E-3</v>
      </c>
      <c r="I392" s="3">
        <f t="shared" si="395"/>
        <v>2.0645721139995856E-3</v>
      </c>
      <c r="J392" s="3">
        <f t="shared" si="395"/>
        <v>2.0645721139995817E-3</v>
      </c>
      <c r="K392" s="3">
        <f t="shared" si="395"/>
        <v>2.0645721139995448E-3</v>
      </c>
      <c r="L392" s="3">
        <f t="shared" si="395"/>
        <v>2.0645721139991727E-3</v>
      </c>
      <c r="M392" s="3">
        <f t="shared" si="395"/>
        <v>2.0645721139954504E-3</v>
      </c>
      <c r="N392" s="3">
        <f t="shared" si="395"/>
        <v>2.0645721139582285E-3</v>
      </c>
      <c r="O392" s="3">
        <f t="shared" si="395"/>
        <v>2.0645721135860084E-3</v>
      </c>
      <c r="P392" s="3">
        <f t="shared" si="395"/>
        <v>2.0645721098638092E-3</v>
      </c>
      <c r="Q392" s="3">
        <f t="shared" si="395"/>
        <v>2.0645720726418177E-3</v>
      </c>
      <c r="R392" s="3">
        <f t="shared" si="395"/>
        <v>2.0645717004219421E-3</v>
      </c>
      <c r="S392" s="3">
        <f t="shared" si="395"/>
        <v>2.0645679782268743E-3</v>
      </c>
      <c r="T392" s="3">
        <f t="shared" si="395"/>
        <v>2.0645307566452865E-3</v>
      </c>
      <c r="U392" s="3">
        <f t="shared" si="395"/>
        <v>2.0641585777356332E-3</v>
      </c>
      <c r="V392" s="3">
        <f t="shared" si="395"/>
        <v>2.0604404768011712E-3</v>
      </c>
      <c r="W392" s="3">
        <f t="shared" si="395"/>
        <v>2.0236258352218798E-3</v>
      </c>
      <c r="X392" s="3">
        <f t="shared" si="395"/>
        <v>1.6897857354180308E-3</v>
      </c>
      <c r="Y392" s="3">
        <f t="shared" si="395"/>
        <v>2.7851326382138686E-4</v>
      </c>
      <c r="Z392" s="3">
        <f t="shared" si="395"/>
        <v>4.1208642992214541E-12</v>
      </c>
      <c r="AA392" s="3">
        <f t="shared" si="395"/>
        <v>2.0721091099180349E-90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5.3484126683110472E-4</v>
      </c>
      <c r="C393" s="3">
        <f t="shared" si="396"/>
        <v>5.3484126683110472E-4</v>
      </c>
      <c r="D393" s="3">
        <f t="shared" si="396"/>
        <v>5.3484126683110472E-4</v>
      </c>
      <c r="E393" s="3">
        <f t="shared" si="396"/>
        <v>5.3484126683110472E-4</v>
      </c>
      <c r="F393" s="3">
        <f t="shared" si="396"/>
        <v>5.3484126683110472E-4</v>
      </c>
      <c r="G393" s="3">
        <f t="shared" si="396"/>
        <v>5.3484126683110472E-4</v>
      </c>
      <c r="H393" s="3">
        <f t="shared" si="396"/>
        <v>5.3484126683110472E-4</v>
      </c>
      <c r="I393" s="3">
        <f t="shared" si="396"/>
        <v>5.3484126683110472E-4</v>
      </c>
      <c r="J393" s="3">
        <f t="shared" si="396"/>
        <v>5.3484126683110461E-4</v>
      </c>
      <c r="K393" s="3">
        <f t="shared" si="396"/>
        <v>5.3484126683110364E-4</v>
      </c>
      <c r="L393" s="3">
        <f t="shared" si="396"/>
        <v>5.3484126683109399E-4</v>
      </c>
      <c r="M393" s="3">
        <f t="shared" si="396"/>
        <v>5.348412668309976E-4</v>
      </c>
      <c r="N393" s="3">
        <f t="shared" si="396"/>
        <v>5.3484126683003331E-4</v>
      </c>
      <c r="O393" s="3">
        <f t="shared" si="396"/>
        <v>5.3484126682039074E-4</v>
      </c>
      <c r="P393" s="3">
        <f t="shared" si="396"/>
        <v>5.3484126672396462E-4</v>
      </c>
      <c r="Q393" s="3">
        <f t="shared" si="396"/>
        <v>5.3484126575970394E-4</v>
      </c>
      <c r="R393" s="3">
        <f t="shared" si="396"/>
        <v>5.3484125611709724E-4</v>
      </c>
      <c r="S393" s="3">
        <f t="shared" si="396"/>
        <v>5.3484115969103946E-4</v>
      </c>
      <c r="T393" s="3">
        <f t="shared" si="396"/>
        <v>5.3484019543141787E-4</v>
      </c>
      <c r="U393" s="3">
        <f t="shared" si="396"/>
        <v>5.3483055293081694E-4</v>
      </c>
      <c r="V393" s="3">
        <f t="shared" si="396"/>
        <v>5.3473413748561299E-4</v>
      </c>
      <c r="W393" s="3">
        <f t="shared" si="396"/>
        <v>5.3377093847671955E-4</v>
      </c>
      <c r="X393" s="3">
        <f t="shared" si="396"/>
        <v>5.2423385841703736E-4</v>
      </c>
      <c r="Y393" s="3">
        <f t="shared" si="396"/>
        <v>4.377503392958696E-4</v>
      </c>
      <c r="Z393" s="3">
        <f t="shared" si="396"/>
        <v>7.2150730817982023E-5</v>
      </c>
      <c r="AA393" s="3">
        <f t="shared" si="396"/>
        <v>1.0675375625242594E-12</v>
      </c>
      <c r="AB393" s="3">
        <f t="shared" si="396"/>
        <v>5.3679377622411144E-91</v>
      </c>
      <c r="AC393" s="3">
        <f t="shared" si="396"/>
        <v>0</v>
      </c>
      <c r="AD393" s="3">
        <f t="shared" si="396"/>
        <v>0</v>
      </c>
      <c r="AE393" s="3">
        <f t="shared" si="396"/>
        <v>0</v>
      </c>
      <c r="AF393" s="3">
        <f t="shared" si="396"/>
        <v>0</v>
      </c>
      <c r="AG393" s="3"/>
      <c r="AH393" s="3"/>
    </row>
    <row r="394" spans="1:34" x14ac:dyDescent="0.25">
      <c r="B394" s="3">
        <f t="shared" ref="B394:AF394" si="397">$C46*EXP(-B$363/$A46/EXP(-$H$126))</f>
        <v>1.465148476990797E-3</v>
      </c>
      <c r="C394" s="3">
        <f t="shared" si="397"/>
        <v>1.465148476990797E-3</v>
      </c>
      <c r="D394" s="3">
        <f t="shared" si="397"/>
        <v>1.465148476990797E-3</v>
      </c>
      <c r="E394" s="3">
        <f t="shared" si="397"/>
        <v>1.465148476990797E-3</v>
      </c>
      <c r="F394" s="3">
        <f t="shared" si="397"/>
        <v>1.465148476990797E-3</v>
      </c>
      <c r="G394" s="3">
        <f t="shared" si="397"/>
        <v>1.465148476990797E-3</v>
      </c>
      <c r="H394" s="3">
        <f t="shared" si="397"/>
        <v>1.465148476990797E-3</v>
      </c>
      <c r="I394" s="3">
        <f t="shared" si="397"/>
        <v>1.465148476990797E-3</v>
      </c>
      <c r="J394" s="3">
        <f t="shared" si="397"/>
        <v>1.465148476990797E-3</v>
      </c>
      <c r="K394" s="3">
        <f t="shared" si="397"/>
        <v>1.4651484769907966E-3</v>
      </c>
      <c r="L394" s="3">
        <f t="shared" si="397"/>
        <v>1.465148476990794E-3</v>
      </c>
      <c r="M394" s="3">
        <f t="shared" si="397"/>
        <v>1.4651484769907677E-3</v>
      </c>
      <c r="N394" s="3">
        <f t="shared" si="397"/>
        <v>1.4651484769905036E-3</v>
      </c>
      <c r="O394" s="3">
        <f t="shared" si="397"/>
        <v>1.4651484769878621E-3</v>
      </c>
      <c r="P394" s="3">
        <f t="shared" si="397"/>
        <v>1.465148476961447E-3</v>
      </c>
      <c r="Q394" s="3">
        <f t="shared" si="397"/>
        <v>1.4651484766972968E-3</v>
      </c>
      <c r="R394" s="3">
        <f t="shared" si="397"/>
        <v>1.4651484740557932E-3</v>
      </c>
      <c r="S394" s="3">
        <f t="shared" si="397"/>
        <v>1.4651484476407585E-3</v>
      </c>
      <c r="T394" s="3">
        <f t="shared" si="397"/>
        <v>1.4651481834904387E-3</v>
      </c>
      <c r="U394" s="3">
        <f t="shared" si="397"/>
        <v>1.4651455419898598E-3</v>
      </c>
      <c r="V394" s="3">
        <f t="shared" si="397"/>
        <v>1.4651191272459982E-3</v>
      </c>
      <c r="W394" s="3">
        <f t="shared" si="397"/>
        <v>1.464855005998332E-3</v>
      </c>
      <c r="X394" s="3">
        <f t="shared" si="397"/>
        <v>1.4622164108703218E-3</v>
      </c>
      <c r="Y394" s="3">
        <f t="shared" si="397"/>
        <v>1.4360904568892967E-3</v>
      </c>
      <c r="Z394" s="3">
        <f t="shared" si="397"/>
        <v>1.1991768075818338E-3</v>
      </c>
      <c r="AA394" s="3">
        <f t="shared" si="397"/>
        <v>1.9765029351245165E-4</v>
      </c>
      <c r="AB394" s="3">
        <f t="shared" si="397"/>
        <v>2.9244210027585758E-12</v>
      </c>
      <c r="AC394" s="3">
        <f t="shared" si="397"/>
        <v>1.470497196958543E-90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1.026110794379005E-2</v>
      </c>
      <c r="C396" s="3">
        <f t="shared" si="399"/>
        <v>1.026110794379005E-2</v>
      </c>
      <c r="D396" s="3">
        <f t="shared" si="399"/>
        <v>1.026110794379005E-2</v>
      </c>
      <c r="E396" s="3">
        <f t="shared" si="399"/>
        <v>1.026110794379005E-2</v>
      </c>
      <c r="F396" s="3">
        <f t="shared" si="399"/>
        <v>1.026110794379005E-2</v>
      </c>
      <c r="G396" s="3">
        <f t="shared" si="399"/>
        <v>1.026110794379005E-2</v>
      </c>
      <c r="H396" s="3">
        <f t="shared" si="399"/>
        <v>1.026110794379005E-2</v>
      </c>
      <c r="I396" s="3">
        <f t="shared" si="399"/>
        <v>1.026110794379005E-2</v>
      </c>
      <c r="J396" s="3">
        <f t="shared" si="399"/>
        <v>1.026110794379005E-2</v>
      </c>
      <c r="K396" s="3">
        <f t="shared" si="399"/>
        <v>1.026110794379005E-2</v>
      </c>
      <c r="L396" s="3">
        <f t="shared" si="399"/>
        <v>1.026110794379005E-2</v>
      </c>
      <c r="M396" s="3">
        <f t="shared" si="399"/>
        <v>1.0261107943790048E-2</v>
      </c>
      <c r="N396" s="3">
        <f t="shared" si="399"/>
        <v>1.0261107943790029E-2</v>
      </c>
      <c r="O396" s="3">
        <f t="shared" si="399"/>
        <v>1.0261107943789845E-2</v>
      </c>
      <c r="P396" s="3">
        <f t="shared" si="399"/>
        <v>1.0261107943787994E-2</v>
      </c>
      <c r="Q396" s="3">
        <f t="shared" si="399"/>
        <v>1.0261107943769495E-2</v>
      </c>
      <c r="R396" s="3">
        <f t="shared" si="399"/>
        <v>1.0261107943584499E-2</v>
      </c>
      <c r="S396" s="3">
        <f t="shared" si="399"/>
        <v>1.0261107941734533E-2</v>
      </c>
      <c r="T396" s="3">
        <f t="shared" si="399"/>
        <v>1.0261107923234869E-2</v>
      </c>
      <c r="U396" s="3">
        <f t="shared" si="399"/>
        <v>1.0261107738238245E-2</v>
      </c>
      <c r="V396" s="3">
        <f t="shared" si="399"/>
        <v>1.0261105888272193E-2</v>
      </c>
      <c r="W396" s="3">
        <f t="shared" si="399"/>
        <v>1.0261087388630007E-2</v>
      </c>
      <c r="X396" s="3">
        <f t="shared" si="399"/>
        <v>1.0260902394042546E-2</v>
      </c>
      <c r="Y396" s="3">
        <f t="shared" si="399"/>
        <v>1.0259052631595178E-2</v>
      </c>
      <c r="Z396" s="3">
        <f t="shared" si="399"/>
        <v>1.0240573337616675E-2</v>
      </c>
      <c r="AA396" s="3">
        <f t="shared" si="399"/>
        <v>1.0057601278372283E-2</v>
      </c>
      <c r="AB396" s="3">
        <f t="shared" si="399"/>
        <v>8.3983861427882021E-3</v>
      </c>
      <c r="AC396" s="3">
        <f t="shared" si="399"/>
        <v>1.3842358154843796E-3</v>
      </c>
      <c r="AD396" s="3">
        <f t="shared" si="399"/>
        <v>2.0481063901471723E-11</v>
      </c>
      <c r="AE396" s="3">
        <f t="shared" si="399"/>
        <v>1.0298567487182451E-89</v>
      </c>
      <c r="AF396" s="3">
        <f t="shared" si="399"/>
        <v>0</v>
      </c>
      <c r="AG396" s="3"/>
      <c r="AH396" s="3"/>
    </row>
    <row r="397" spans="1:34" x14ac:dyDescent="0.25">
      <c r="A397" s="79">
        <f>AVERAGE(B397:AF397)</f>
        <v>7.9678936695035493E-2</v>
      </c>
      <c r="B397" s="80">
        <f>IF($A$64&lt;=B363,IF($B$64&gt;=B363,ABS((B365-B364)/B364),0),0)</f>
        <v>4.1039281563193385E-2</v>
      </c>
      <c r="C397" s="80">
        <f t="shared" ref="C397:AF397" si="400">IF($A$64&lt;=C363,IF($B$64&gt;=C363,ABS((C365-C364)/C364),0),0)</f>
        <v>4.92186487479577E-2</v>
      </c>
      <c r="D397" s="80">
        <f t="shared" si="400"/>
        <v>5.8149144553952169E-2</v>
      </c>
      <c r="E397" s="80">
        <f t="shared" si="400"/>
        <v>6.1981772212225429E-2</v>
      </c>
      <c r="F397" s="80">
        <f t="shared" si="400"/>
        <v>6.1491248169816576E-2</v>
      </c>
      <c r="G397" s="80">
        <f t="shared" si="400"/>
        <v>5.4473400655595333E-2</v>
      </c>
      <c r="H397" s="80">
        <f t="shared" si="400"/>
        <v>5.6018153188845191E-2</v>
      </c>
      <c r="I397" s="80">
        <f t="shared" si="400"/>
        <v>5.7048795369900228E-2</v>
      </c>
      <c r="J397" s="80">
        <f t="shared" si="400"/>
        <v>5.7654859564139828E-2</v>
      </c>
      <c r="K397" s="80">
        <f t="shared" si="400"/>
        <v>6.0544507991673255E-2</v>
      </c>
      <c r="L397" s="80">
        <f t="shared" si="400"/>
        <v>6.6914027118566421E-2</v>
      </c>
      <c r="M397" s="80">
        <f t="shared" si="400"/>
        <v>7.0711159457636591E-2</v>
      </c>
      <c r="N397" s="80">
        <f t="shared" si="400"/>
        <v>2.4769967174381274E-2</v>
      </c>
      <c r="O397" s="80">
        <f t="shared" si="400"/>
        <v>7.7148306544751535E-2</v>
      </c>
      <c r="P397" s="80">
        <f t="shared" si="400"/>
        <v>0.16802462523615233</v>
      </c>
      <c r="Q397" s="80">
        <f t="shared" si="400"/>
        <v>0.17929388264894569</v>
      </c>
      <c r="R397" s="80">
        <f t="shared" si="400"/>
        <v>9.9402710112101472E-2</v>
      </c>
      <c r="S397" s="80">
        <f t="shared" si="400"/>
        <v>2.3158315572097462E-2</v>
      </c>
      <c r="T397" s="80">
        <f t="shared" si="400"/>
        <v>4.0951337634230887E-2</v>
      </c>
      <c r="U397" s="80">
        <f t="shared" si="400"/>
        <v>5.4140831104523404E-2</v>
      </c>
      <c r="V397" s="80">
        <f t="shared" si="400"/>
        <v>1.7426107335342857E-2</v>
      </c>
      <c r="W397" s="80">
        <f t="shared" si="400"/>
        <v>1.1668192407119291E-3</v>
      </c>
      <c r="X397" s="80">
        <f t="shared" si="400"/>
        <v>6.6649399124710327E-4</v>
      </c>
      <c r="Y397" s="80">
        <f t="shared" si="400"/>
        <v>1.7667477219447199E-3</v>
      </c>
      <c r="Z397" s="80">
        <f t="shared" si="400"/>
        <v>7.5402089236733406E-3</v>
      </c>
      <c r="AA397" s="80">
        <f t="shared" si="400"/>
        <v>2.966188124179172E-2</v>
      </c>
      <c r="AB397" s="80">
        <f t="shared" si="400"/>
        <v>1.0986520467348146E-2</v>
      </c>
      <c r="AC397" s="80">
        <f t="shared" si="400"/>
        <v>0.22847706309654772</v>
      </c>
      <c r="AD397" s="80">
        <f t="shared" si="400"/>
        <v>0.27355232163701759</v>
      </c>
      <c r="AE397" s="80">
        <f t="shared" si="400"/>
        <v>0.26956280048485265</v>
      </c>
      <c r="AF397" s="80">
        <f t="shared" si="400"/>
        <v>0.2671050987849356</v>
      </c>
    </row>
    <row r="398" spans="1:34" x14ac:dyDescent="0.25">
      <c r="B398" s="21">
        <f>(B365-B364)^2</f>
        <v>137633.31957230001</v>
      </c>
      <c r="C398" s="21">
        <f t="shared" ref="C398:AF398" si="401">(C365-C364)^2</f>
        <v>184333.62399391856</v>
      </c>
      <c r="D398" s="21">
        <f t="shared" si="401"/>
        <v>239293.40851462551</v>
      </c>
      <c r="E398" s="21">
        <f t="shared" si="401"/>
        <v>249834.56055027398</v>
      </c>
      <c r="F398" s="21">
        <f t="shared" si="401"/>
        <v>225846.54222444256</v>
      </c>
      <c r="G398" s="21">
        <f t="shared" si="401"/>
        <v>165087.98132740465</v>
      </c>
      <c r="H398" s="21">
        <f t="shared" si="401"/>
        <v>162063.2083515643</v>
      </c>
      <c r="I398" s="21">
        <f t="shared" si="401"/>
        <v>156001.10227344511</v>
      </c>
      <c r="J398" s="21">
        <f t="shared" si="401"/>
        <v>146673.16103261054</v>
      </c>
      <c r="K398" s="21">
        <f t="shared" si="401"/>
        <v>149265.89128088707</v>
      </c>
      <c r="L398" s="21">
        <f t="shared" si="401"/>
        <v>163805.77064871418</v>
      </c>
      <c r="M398" s="21">
        <f t="shared" si="401"/>
        <v>162255.71864160569</v>
      </c>
      <c r="N398" s="21">
        <f t="shared" si="401"/>
        <v>17130.977671207627</v>
      </c>
      <c r="O398" s="21">
        <f t="shared" si="401"/>
        <v>137611.60279343175</v>
      </c>
      <c r="P398" s="21">
        <f t="shared" si="401"/>
        <v>493420.61598212033</v>
      </c>
      <c r="Q398" s="21">
        <f t="shared" si="401"/>
        <v>346897.20492679311</v>
      </c>
      <c r="R398" s="21">
        <f t="shared" si="401"/>
        <v>49813.091756979091</v>
      </c>
      <c r="S398" s="21">
        <f t="shared" si="401"/>
        <v>1135.4361809359436</v>
      </c>
      <c r="T398" s="21">
        <f t="shared" si="401"/>
        <v>1481.0323784009634</v>
      </c>
      <c r="U398" s="21">
        <f t="shared" si="401"/>
        <v>1306.6635710710405</v>
      </c>
      <c r="V398" s="21">
        <f t="shared" si="401"/>
        <v>83.614843803661302</v>
      </c>
      <c r="W398" s="21">
        <f t="shared" si="401"/>
        <v>0.28572039217037021</v>
      </c>
      <c r="X398" s="21">
        <f t="shared" si="401"/>
        <v>7.6926930564992904E-2</v>
      </c>
      <c r="Y398" s="21">
        <f t="shared" si="401"/>
        <v>0.48253562525794341</v>
      </c>
      <c r="Z398" s="21">
        <f t="shared" si="401"/>
        <v>8.1823701431869331</v>
      </c>
      <c r="AA398" s="21">
        <f t="shared" si="401"/>
        <v>112.31745145201592</v>
      </c>
      <c r="AB398" s="21">
        <f t="shared" si="401"/>
        <v>14.833854299385747</v>
      </c>
      <c r="AC398" s="21">
        <f t="shared" si="401"/>
        <v>6238.2756398905531</v>
      </c>
      <c r="AD398" s="21">
        <f t="shared" si="401"/>
        <v>8927.8404301995761</v>
      </c>
      <c r="AE398" s="21">
        <f t="shared" si="401"/>
        <v>8574.887731886336</v>
      </c>
      <c r="AF398" s="21">
        <f t="shared" si="401"/>
        <v>8362.8680610467345</v>
      </c>
      <c r="AG398" s="3"/>
      <c r="AH398" s="3"/>
    </row>
    <row r="399" spans="1:34" x14ac:dyDescent="0.25">
      <c r="A399" s="71">
        <f>SUM(B399:AF399)</f>
        <v>3223214.5792384017</v>
      </c>
      <c r="B399" s="60">
        <f>IF($A$64&lt;=B363,IF($B$64&gt;=B363,ABS(B398),0),0)</f>
        <v>137633.31957230001</v>
      </c>
      <c r="C399" s="60">
        <f t="shared" ref="C399" si="402">IF($A$64&lt;=C363,IF($B$64&gt;=C363,ABS(C398),0),0)</f>
        <v>184333.62399391856</v>
      </c>
      <c r="D399" s="60">
        <f t="shared" ref="D399" si="403">IF($A$64&lt;=D363,IF($B$64&gt;=D363,ABS(D398),0),0)</f>
        <v>239293.40851462551</v>
      </c>
      <c r="E399" s="60">
        <f t="shared" ref="E399" si="404">IF($A$64&lt;=E363,IF($B$64&gt;=E363,ABS(E398),0),0)</f>
        <v>249834.56055027398</v>
      </c>
      <c r="F399" s="60">
        <f t="shared" ref="F399" si="405">IF($A$64&lt;=F363,IF($B$64&gt;=F363,ABS(F398),0),0)</f>
        <v>225846.54222444256</v>
      </c>
      <c r="G399" s="60">
        <f t="shared" ref="G399" si="406">IF($A$64&lt;=G363,IF($B$64&gt;=G363,ABS(G398),0),0)</f>
        <v>165087.98132740465</v>
      </c>
      <c r="H399" s="60">
        <f t="shared" ref="H399" si="407">IF($A$64&lt;=H363,IF($B$64&gt;=H363,ABS(H398),0),0)</f>
        <v>162063.2083515643</v>
      </c>
      <c r="I399" s="60">
        <f t="shared" ref="I399" si="408">IF($A$64&lt;=I363,IF($B$64&gt;=I363,ABS(I398),0),0)</f>
        <v>156001.10227344511</v>
      </c>
      <c r="J399" s="60">
        <f t="shared" ref="J399" si="409">IF($A$64&lt;=J363,IF($B$64&gt;=J363,ABS(J398),0),0)</f>
        <v>146673.16103261054</v>
      </c>
      <c r="K399" s="60">
        <f t="shared" ref="K399" si="410">IF($A$64&lt;=K363,IF($B$64&gt;=K363,ABS(K398),0),0)</f>
        <v>149265.89128088707</v>
      </c>
      <c r="L399" s="60">
        <f t="shared" ref="L399" si="411">IF($A$64&lt;=L363,IF($B$64&gt;=L363,ABS(L398),0),0)</f>
        <v>163805.77064871418</v>
      </c>
      <c r="M399" s="60">
        <f t="shared" ref="M399" si="412">IF($A$64&lt;=M363,IF($B$64&gt;=M363,ABS(M398),0),0)</f>
        <v>162255.71864160569</v>
      </c>
      <c r="N399" s="60">
        <f t="shared" ref="N399" si="413">IF($A$64&lt;=N363,IF($B$64&gt;=N363,ABS(N398),0),0)</f>
        <v>17130.977671207627</v>
      </c>
      <c r="O399" s="60">
        <f t="shared" ref="O399" si="414">IF($A$64&lt;=O363,IF($B$64&gt;=O363,ABS(O398),0),0)</f>
        <v>137611.60279343175</v>
      </c>
      <c r="P399" s="60">
        <f t="shared" ref="P399" si="415">IF($A$64&lt;=P363,IF($B$64&gt;=P363,ABS(P398),0),0)</f>
        <v>493420.61598212033</v>
      </c>
      <c r="Q399" s="60">
        <f t="shared" ref="Q399" si="416">IF($A$64&lt;=Q363,IF($B$64&gt;=Q363,ABS(Q398),0),0)</f>
        <v>346897.20492679311</v>
      </c>
      <c r="R399" s="60">
        <f t="shared" ref="R399" si="417">IF($A$64&lt;=R363,IF($B$64&gt;=R363,ABS(R398),0),0)</f>
        <v>49813.091756979091</v>
      </c>
      <c r="S399" s="60">
        <f t="shared" ref="S399" si="418">IF($A$64&lt;=S363,IF($B$64&gt;=S363,ABS(S398),0),0)</f>
        <v>1135.4361809359436</v>
      </c>
      <c r="T399" s="60">
        <f t="shared" ref="T399" si="419">IF($A$64&lt;=T363,IF($B$64&gt;=T363,ABS(T398),0),0)</f>
        <v>1481.0323784009634</v>
      </c>
      <c r="U399" s="60">
        <f t="shared" ref="U399" si="420">IF($A$64&lt;=U363,IF($B$64&gt;=U363,ABS(U398),0),0)</f>
        <v>1306.6635710710405</v>
      </c>
      <c r="V399" s="60">
        <f t="shared" ref="V399" si="421">IF($A$64&lt;=V363,IF($B$64&gt;=V363,ABS(V398),0),0)</f>
        <v>83.614843803661302</v>
      </c>
      <c r="W399" s="60">
        <f t="shared" ref="W399" si="422">IF($A$64&lt;=W363,IF($B$64&gt;=W363,ABS(W398),0),0)</f>
        <v>0.28572039217037021</v>
      </c>
      <c r="X399" s="60">
        <f t="shared" ref="X399" si="423">IF($A$64&lt;=X363,IF($B$64&gt;=X363,ABS(X398),0),0)</f>
        <v>7.6926930564992904E-2</v>
      </c>
      <c r="Y399" s="60">
        <f t="shared" ref="Y399" si="424">IF($A$64&lt;=Y363,IF($B$64&gt;=Y363,ABS(Y398),0),0)</f>
        <v>0.48253562525794341</v>
      </c>
      <c r="Z399" s="60">
        <f t="shared" ref="Z399" si="425">IF($A$64&lt;=Z363,IF($B$64&gt;=Z363,ABS(Z398),0),0)</f>
        <v>8.1823701431869331</v>
      </c>
      <c r="AA399" s="60">
        <f t="shared" ref="AA399" si="426">IF($A$64&lt;=AA363,IF($B$64&gt;=AA363,ABS(AA398),0),0)</f>
        <v>112.31745145201592</v>
      </c>
      <c r="AB399" s="60">
        <f t="shared" ref="AB399" si="427">IF($A$64&lt;=AB363,IF($B$64&gt;=AB363,ABS(AB398),0),0)</f>
        <v>14.833854299385747</v>
      </c>
      <c r="AC399" s="60">
        <f t="shared" ref="AC399" si="428">IF($A$64&lt;=AC363,IF($B$64&gt;=AC363,ABS(AC398),0),0)</f>
        <v>6238.2756398905531</v>
      </c>
      <c r="AD399" s="60">
        <f t="shared" ref="AD399" si="429">IF($A$64&lt;=AD363,IF($B$64&gt;=AD363,ABS(AD398),0),0)</f>
        <v>8927.8404301995761</v>
      </c>
      <c r="AE399" s="60">
        <f t="shared" ref="AE399" si="430">IF($A$64&lt;=AE363,IF($B$64&gt;=AE363,ABS(AE398),0),0)</f>
        <v>8574.887731886336</v>
      </c>
      <c r="AF399" s="60">
        <f t="shared" ref="AF399" si="431">IF($A$64&lt;=AF363,IF($B$64&gt;=AF363,ABS(AF398),0),0)</f>
        <v>8362.8680610467345</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-11.207038780645185</v>
      </c>
      <c r="C403" s="107">
        <f t="shared" ref="C403:H403" si="432">IF(C125=$B$2,0,C126)</f>
        <v>-7.262337894521731</v>
      </c>
      <c r="D403" s="107">
        <f t="shared" si="432"/>
        <v>-4.7930791601083342</v>
      </c>
      <c r="E403" s="107">
        <f t="shared" si="432"/>
        <v>-2.6397977545749804</v>
      </c>
      <c r="F403" s="107">
        <f t="shared" si="432"/>
        <v>0</v>
      </c>
      <c r="G403" s="107">
        <f t="shared" si="432"/>
        <v>5.0230571207020684</v>
      </c>
      <c r="H403" s="107">
        <f t="shared" si="432"/>
        <v>9.9050925593456753</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1.3578284345844646E-20</v>
      </c>
      <c r="C404" s="3">
        <f t="shared" ref="C404:H419" si="433">$A404/EXP(-C$403)</f>
        <v>7.0146616319195381E-19</v>
      </c>
      <c r="D404" s="3">
        <f t="shared" si="433"/>
        <v>8.286901360483213E-18</v>
      </c>
      <c r="E404" s="3">
        <f t="shared" si="433"/>
        <v>7.1375703506228395E-17</v>
      </c>
      <c r="F404" s="3">
        <f t="shared" si="433"/>
        <v>1.0000000000000001E-15</v>
      </c>
      <c r="G404" s="3">
        <f t="shared" si="433"/>
        <v>1.5187489469101345E-13</v>
      </c>
      <c r="H404" s="3">
        <f t="shared" si="433"/>
        <v>2.0032125910446975E-11</v>
      </c>
      <c r="I404" s="109">
        <f>Comparison!AL3</f>
        <v>1.0000000000000001E-15</v>
      </c>
      <c r="J404" s="3">
        <f>Comparison!AM3</f>
        <v>11605.327404987251</v>
      </c>
      <c r="K404" s="3">
        <f>Comparison!AN3</f>
        <v>11367.234905429283</v>
      </c>
      <c r="L404" s="3">
        <f>Comparison!AO3</f>
        <v>11009.313892134818</v>
      </c>
      <c r="M404" s="3">
        <f>Comparison!AP3</f>
        <v>10761.801351389528</v>
      </c>
      <c r="N404" s="3">
        <f>Comparison!AQ3</f>
        <v>10455.125722169887</v>
      </c>
      <c r="O404" s="3">
        <f>Comparison!AR3</f>
        <v>9761.2866745763949</v>
      </c>
      <c r="P404" s="3">
        <f>Comparison!AS3</f>
        <v>9039.8670430819093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1.3578284345844645E-19</v>
      </c>
      <c r="C405" s="3">
        <f t="shared" si="433"/>
        <v>7.0146616319195371E-18</v>
      </c>
      <c r="D405" s="3">
        <f t="shared" si="433"/>
        <v>8.2869013604832124E-17</v>
      </c>
      <c r="E405" s="3">
        <f t="shared" si="433"/>
        <v>7.1375703506228395E-16</v>
      </c>
      <c r="F405" s="3">
        <f t="shared" si="433"/>
        <v>1E-14</v>
      </c>
      <c r="G405" s="3">
        <f t="shared" si="433"/>
        <v>1.5187489469101344E-12</v>
      </c>
      <c r="H405" s="3">
        <f t="shared" si="433"/>
        <v>2.0032125910446973E-10</v>
      </c>
      <c r="I405" s="109">
        <f>Comparison!AL4</f>
        <v>1E-14</v>
      </c>
      <c r="J405" s="3">
        <f>Comparison!AM4</f>
        <v>11525.315889809444</v>
      </c>
      <c r="K405" s="3">
        <f>Comparison!AN4</f>
        <v>11068.839809245561</v>
      </c>
      <c r="L405" s="3">
        <f>Comparison!AO4</f>
        <v>10796.668525667899</v>
      </c>
      <c r="M405" s="3">
        <f>Comparison!AP4</f>
        <v>10547.11616169445</v>
      </c>
      <c r="N405" s="3">
        <f>Comparison!AQ4</f>
        <v>10216.758037955571</v>
      </c>
      <c r="O405" s="3">
        <f>Comparison!AR4</f>
        <v>9457.0352890406648</v>
      </c>
      <c r="P405" s="3">
        <f>Comparison!AS4</f>
        <v>8723.1350121775959</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1.3578284345844646E-18</v>
      </c>
      <c r="C406" s="3">
        <f t="shared" si="433"/>
        <v>7.0146616319195374E-17</v>
      </c>
      <c r="D406" s="3">
        <f t="shared" si="433"/>
        <v>8.2869013604832124E-16</v>
      </c>
      <c r="E406" s="3">
        <f t="shared" si="433"/>
        <v>7.1375703506228393E-15</v>
      </c>
      <c r="F406" s="3">
        <f t="shared" si="433"/>
        <v>1E-13</v>
      </c>
      <c r="G406" s="3">
        <f t="shared" si="433"/>
        <v>1.5187489469101346E-11</v>
      </c>
      <c r="H406" s="3">
        <f t="shared" si="433"/>
        <v>2.0032125910446976E-9</v>
      </c>
      <c r="I406" s="109">
        <f>Comparison!AL5</f>
        <v>1E-13</v>
      </c>
      <c r="J406" s="3">
        <f>Comparison!AM5</f>
        <v>11262.989267632682</v>
      </c>
      <c r="K406" s="3">
        <f>Comparison!AN5</f>
        <v>10885.617784934777</v>
      </c>
      <c r="L406" s="3">
        <f>Comparison!AO5</f>
        <v>10610.07082701246</v>
      </c>
      <c r="M406" s="3">
        <f>Comparison!AP5</f>
        <v>10349.894568285434</v>
      </c>
      <c r="N406" s="3">
        <f>Comparison!AQ5</f>
        <v>9990.8860283110862</v>
      </c>
      <c r="O406" s="3">
        <f>Comparison!AR5</f>
        <v>9203.9756041421206</v>
      </c>
      <c r="P406" s="3">
        <f>Comparison!AS5</f>
        <v>8412.4411255307823</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1.3578284345844645E-17</v>
      </c>
      <c r="C407" s="3">
        <f t="shared" si="433"/>
        <v>7.0146616319195372E-16</v>
      </c>
      <c r="D407" s="3">
        <f t="shared" si="433"/>
        <v>8.2869013604832116E-15</v>
      </c>
      <c r="E407" s="3">
        <f t="shared" si="433"/>
        <v>7.1375703506228393E-14</v>
      </c>
      <c r="F407" s="3">
        <f t="shared" si="433"/>
        <v>9.9999999999999998E-13</v>
      </c>
      <c r="G407" s="3">
        <f t="shared" si="433"/>
        <v>1.5187489469101346E-10</v>
      </c>
      <c r="H407" s="3">
        <f t="shared" si="433"/>
        <v>2.0032125910446973E-8</v>
      </c>
      <c r="I407" s="109">
        <f>Comparison!AL6</f>
        <v>9.9999999999999998E-13</v>
      </c>
      <c r="J407" s="3">
        <f>Comparison!AM6</f>
        <v>11072.566067439215</v>
      </c>
      <c r="K407" s="3">
        <f>Comparison!AN6</f>
        <v>10701.493672903915</v>
      </c>
      <c r="L407" s="3">
        <f>Comparison!AO6</f>
        <v>10413.892727978708</v>
      </c>
      <c r="M407" s="3">
        <f>Comparison!AP6</f>
        <v>10133.265997491257</v>
      </c>
      <c r="N407" s="3">
        <f>Comparison!AQ6</f>
        <v>9740.6929571272121</v>
      </c>
      <c r="O407" s="3">
        <f>Comparison!AR6</f>
        <v>8950.159395690147</v>
      </c>
      <c r="P407" s="3">
        <f>Comparison!AS6</f>
        <v>8064.2181617455262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1.3578284345844644E-16</v>
      </c>
      <c r="C408" s="3">
        <f t="shared" si="433"/>
        <v>7.0146616319195368E-15</v>
      </c>
      <c r="D408" s="3">
        <f t="shared" si="433"/>
        <v>8.2869013604832113E-14</v>
      </c>
      <c r="E408" s="3">
        <f t="shared" si="433"/>
        <v>7.1375703506228388E-13</v>
      </c>
      <c r="F408" s="3">
        <f t="shared" si="433"/>
        <v>9.9999999999999994E-12</v>
      </c>
      <c r="G408" s="3">
        <f t="shared" si="433"/>
        <v>1.5187489469101345E-9</v>
      </c>
      <c r="H408" s="3">
        <f t="shared" si="433"/>
        <v>2.0032125910446973E-7</v>
      </c>
      <c r="I408" s="109">
        <f>Comparison!AL7</f>
        <v>9.9999999999999994E-12</v>
      </c>
      <c r="J408" s="3">
        <f>Comparison!AM7</f>
        <v>10893.827462738938</v>
      </c>
      <c r="K408" s="3">
        <f>Comparison!AN7</f>
        <v>10504.725025316387</v>
      </c>
      <c r="L408" s="3">
        <f>Comparison!AO7</f>
        <v>10194.452600653791</v>
      </c>
      <c r="M408" s="3">
        <f>Comparison!AP7</f>
        <v>9898.4994293430227</v>
      </c>
      <c r="N408" s="3">
        <f>Comparison!AQ7</f>
        <v>9486.1331326421696</v>
      </c>
      <c r="O408" s="3">
        <f>Comparison!AR7</f>
        <v>8675.2521191856285</v>
      </c>
      <c r="P408" s="3">
        <f>Comparison!AS7</f>
        <v>7728.4680221740073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1.3578284345844645E-15</v>
      </c>
      <c r="C409" s="3">
        <f t="shared" si="433"/>
        <v>7.0146616319195374E-14</v>
      </c>
      <c r="D409" s="3">
        <f t="shared" si="433"/>
        <v>8.286901360483213E-13</v>
      </c>
      <c r="E409" s="3">
        <f t="shared" si="433"/>
        <v>7.1375703506228392E-12</v>
      </c>
      <c r="F409" s="3">
        <f t="shared" si="433"/>
        <v>1E-10</v>
      </c>
      <c r="G409" s="3">
        <f t="shared" si="433"/>
        <v>1.5187489469101344E-8</v>
      </c>
      <c r="H409" s="3">
        <f t="shared" si="433"/>
        <v>2.0032125910446973E-6</v>
      </c>
      <c r="I409" s="109">
        <f>Comparison!AL8</f>
        <v>1E-10</v>
      </c>
      <c r="J409" s="3">
        <f>Comparison!AM8</f>
        <v>10697.933159313619</v>
      </c>
      <c r="K409" s="3">
        <f>Comparison!AN8</f>
        <v>10287.091684462941</v>
      </c>
      <c r="L409" s="3">
        <f>Comparison!AO8</f>
        <v>9957.7302884452874</v>
      </c>
      <c r="M409" s="3">
        <f>Comparison!AP8</f>
        <v>9623.1820365655622</v>
      </c>
      <c r="N409" s="3">
        <f>Comparison!AQ8</f>
        <v>9224.2999433670138</v>
      </c>
      <c r="O409" s="3">
        <f>Comparison!AR8</f>
        <v>8343.5058150850455</v>
      </c>
      <c r="P409" s="3">
        <f>Comparison!AS8</f>
        <v>7458.8734765357476</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1.3578284345844645E-14</v>
      </c>
      <c r="C410" s="3">
        <f t="shared" si="433"/>
        <v>7.0146616319195379E-13</v>
      </c>
      <c r="D410" s="3">
        <f t="shared" si="433"/>
        <v>8.286901360483213E-12</v>
      </c>
      <c r="E410" s="3">
        <f t="shared" si="433"/>
        <v>7.1375703506228393E-11</v>
      </c>
      <c r="F410" s="3">
        <f t="shared" si="433"/>
        <v>1.0000000000000001E-9</v>
      </c>
      <c r="G410" s="3">
        <f t="shared" si="433"/>
        <v>1.5187489469101346E-7</v>
      </c>
      <c r="H410" s="3">
        <f t="shared" si="433"/>
        <v>2.0032125910446976E-5</v>
      </c>
      <c r="I410" s="109">
        <f>Comparison!AL9</f>
        <v>1.0000000000000001E-9</v>
      </c>
      <c r="J410" s="3">
        <f>Comparison!AM9</f>
        <v>10491.083669953241</v>
      </c>
      <c r="K410" s="3">
        <f>Comparison!AN9</f>
        <v>10049.244860118473</v>
      </c>
      <c r="L410" s="3">
        <f>Comparison!AO9</f>
        <v>9678.9506451169946</v>
      </c>
      <c r="M410" s="3">
        <f>Comparison!AP9</f>
        <v>9373.9337150399151</v>
      </c>
      <c r="N410" s="3">
        <f>Comparison!AQ9</f>
        <v>8983.6546151744242</v>
      </c>
      <c r="O410" s="3">
        <f>Comparison!AR9</f>
        <v>7990.5188430178014</v>
      </c>
      <c r="P410" s="3">
        <f>Comparison!AS9</f>
        <v>7186.4338001487413</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1.3578284345844645E-13</v>
      </c>
      <c r="C411" s="3">
        <f t="shared" si="433"/>
        <v>7.0146616319195375E-12</v>
      </c>
      <c r="D411" s="3">
        <f t="shared" si="433"/>
        <v>8.2869013604832124E-11</v>
      </c>
      <c r="E411" s="3">
        <f t="shared" si="433"/>
        <v>7.1375703506228396E-10</v>
      </c>
      <c r="F411" s="3">
        <f t="shared" si="433"/>
        <v>1E-8</v>
      </c>
      <c r="G411" s="3">
        <f t="shared" si="433"/>
        <v>1.5187489469101346E-6</v>
      </c>
      <c r="H411" s="3">
        <f t="shared" si="433"/>
        <v>2.0032125910446975E-4</v>
      </c>
      <c r="I411" s="109">
        <f>Comparison!AL10</f>
        <v>1E-8</v>
      </c>
      <c r="J411" s="3">
        <f>Comparison!AM10</f>
        <v>10253.530794540358</v>
      </c>
      <c r="K411" s="3">
        <f>Comparison!AN10</f>
        <v>9772.6915503667024</v>
      </c>
      <c r="L411" s="3">
        <f>Comparison!AO10</f>
        <v>9429.10680786792</v>
      </c>
      <c r="M411" s="3">
        <f>Comparison!AP10</f>
        <v>9114.1360760931802</v>
      </c>
      <c r="N411" s="3">
        <f>Comparison!AQ10</f>
        <v>8670.3934759322055</v>
      </c>
      <c r="O411" s="3">
        <f>Comparison!AR10</f>
        <v>7680.5790598342728</v>
      </c>
      <c r="P411" s="3">
        <f>Comparison!AS10</f>
        <v>6923.3670228065112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1.3578284345844644E-12</v>
      </c>
      <c r="C412" s="3">
        <f t="shared" si="433"/>
        <v>7.0146616319195372E-11</v>
      </c>
      <c r="D412" s="3">
        <f t="shared" si="433"/>
        <v>8.2869013604832119E-10</v>
      </c>
      <c r="E412" s="3">
        <f t="shared" si="433"/>
        <v>7.1375703506228392E-9</v>
      </c>
      <c r="F412" s="3">
        <f t="shared" si="433"/>
        <v>9.9999999999999995E-8</v>
      </c>
      <c r="G412" s="3">
        <f t="shared" si="433"/>
        <v>1.5187489469101344E-5</v>
      </c>
      <c r="H412" s="3">
        <f t="shared" si="433"/>
        <v>2.0032125910446974E-3</v>
      </c>
      <c r="I412" s="109">
        <f>Comparison!AL11</f>
        <v>9.9999999999999995E-8</v>
      </c>
      <c r="J412" s="3">
        <f>Comparison!AM11</f>
        <v>9990.0957619753135</v>
      </c>
      <c r="K412" s="3">
        <f>Comparison!AN11</f>
        <v>9517.4825603824975</v>
      </c>
      <c r="L412" s="3">
        <f>Comparison!AO11</f>
        <v>9166.8729911518094</v>
      </c>
      <c r="M412" s="3">
        <f>Comparison!AP11</f>
        <v>8823.7573464712859</v>
      </c>
      <c r="N412" s="3">
        <f>Comparison!AQ11</f>
        <v>8318.7463719570296</v>
      </c>
      <c r="O412" s="3">
        <f>Comparison!AR11</f>
        <v>7412.8102086341796</v>
      </c>
      <c r="P412" s="3">
        <f>Comparison!AS11</f>
        <v>6642.6199774647403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1.3578284345844644E-11</v>
      </c>
      <c r="C413" s="3">
        <f t="shared" si="433"/>
        <v>7.0146616319195372E-10</v>
      </c>
      <c r="D413" s="3">
        <f t="shared" si="433"/>
        <v>8.2869013604832115E-9</v>
      </c>
      <c r="E413" s="3">
        <f t="shared" si="433"/>
        <v>7.1375703506228392E-8</v>
      </c>
      <c r="F413" s="3">
        <f t="shared" si="433"/>
        <v>9.9999999999999995E-7</v>
      </c>
      <c r="G413" s="3">
        <f t="shared" si="433"/>
        <v>1.5187489469101344E-4</v>
      </c>
      <c r="H413" s="3">
        <f t="shared" si="433"/>
        <v>2.0032125910446973E-2</v>
      </c>
      <c r="I413" s="109">
        <f>Comparison!AL12</f>
        <v>9.9999999999999995E-7</v>
      </c>
      <c r="J413" s="3">
        <f>Comparison!AM12</f>
        <v>9721.0109842535821</v>
      </c>
      <c r="K413" s="3">
        <f>Comparison!AN12</f>
        <v>9254.9171850971579</v>
      </c>
      <c r="L413" s="3">
        <f>Comparison!AO12</f>
        <v>8871.4120157080979</v>
      </c>
      <c r="M413" s="3">
        <f>Comparison!AP12</f>
        <v>8477.9341078683501</v>
      </c>
      <c r="N413" s="3">
        <f>Comparison!AQ12</f>
        <v>7968.6744939632144</v>
      </c>
      <c r="O413" s="3">
        <f>Comparison!AR12</f>
        <v>7140.1987157287695</v>
      </c>
      <c r="P413" s="3">
        <f>Comparison!AS12</f>
        <v>6381.2467017614817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1.3578284345844646E-10</v>
      </c>
      <c r="C414" s="3">
        <f t="shared" si="433"/>
        <v>7.0146616319195382E-9</v>
      </c>
      <c r="D414" s="3">
        <f t="shared" si="433"/>
        <v>8.2869013604832128E-8</v>
      </c>
      <c r="E414" s="3">
        <f t="shared" si="433"/>
        <v>7.1375703506228397E-7</v>
      </c>
      <c r="F414" s="3">
        <f t="shared" si="433"/>
        <v>1.0000000000000001E-5</v>
      </c>
      <c r="G414" s="3">
        <f t="shared" si="433"/>
        <v>1.5187489469101346E-3</v>
      </c>
      <c r="H414" s="3">
        <f t="shared" si="433"/>
        <v>0.20032125910446977</v>
      </c>
      <c r="I414" s="109">
        <f>Comparison!AL13</f>
        <v>1.0000000000000001E-5</v>
      </c>
      <c r="J414" s="3">
        <f>Comparison!AM13</f>
        <v>9457.2689514888043</v>
      </c>
      <c r="K414" s="3">
        <f>Comparison!AN13</f>
        <v>8963.5955807199589</v>
      </c>
      <c r="L414" s="3">
        <f>Comparison!AO13</f>
        <v>8521.038668453999</v>
      </c>
      <c r="M414" s="3">
        <f>Comparison!AP13</f>
        <v>8118.5828227804013</v>
      </c>
      <c r="N414" s="3">
        <f>Comparison!AQ13</f>
        <v>7682.4342615636733</v>
      </c>
      <c r="O414" s="3">
        <f>Comparison!AR13</f>
        <v>6866.3570711275343</v>
      </c>
      <c r="P414" s="3">
        <f>Comparison!AS13</f>
        <v>6048.4964574924006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1.3578284345844646E-9</v>
      </c>
      <c r="C415" s="3">
        <f t="shared" si="433"/>
        <v>7.0146616319195376E-8</v>
      </c>
      <c r="D415" s="3">
        <f t="shared" si="433"/>
        <v>8.2869013604832123E-7</v>
      </c>
      <c r="E415" s="3">
        <f t="shared" si="433"/>
        <v>7.1375703506228397E-6</v>
      </c>
      <c r="F415" s="3">
        <f t="shared" si="433"/>
        <v>1E-4</v>
      </c>
      <c r="G415" s="3">
        <f t="shared" si="433"/>
        <v>1.5187489469101347E-2</v>
      </c>
      <c r="H415" s="3">
        <f t="shared" si="433"/>
        <v>2.0032125910446976</v>
      </c>
      <c r="I415" s="109">
        <f>Comparison!AL14</f>
        <v>1E-4</v>
      </c>
      <c r="J415" s="3">
        <f>Comparison!AM14</f>
        <v>9196.9082117763955</v>
      </c>
      <c r="K415" s="3">
        <f>Comparison!AN14</f>
        <v>8614.6063850970258</v>
      </c>
      <c r="L415" s="3">
        <f>Comparison!AO14</f>
        <v>8159.6492921187164</v>
      </c>
      <c r="M415" s="3">
        <f>Comparison!AP14</f>
        <v>7811.8955545814642</v>
      </c>
      <c r="N415" s="3">
        <f>Comparison!AQ14</f>
        <v>7403.9105678680935</v>
      </c>
      <c r="O415" s="3">
        <f>Comparison!AR14</f>
        <v>6590.7809918049779</v>
      </c>
      <c r="P415" s="3">
        <f>Comparison!AS14</f>
        <v>5696.5517580815231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1.3578284345844645E-8</v>
      </c>
      <c r="C416" s="3">
        <f t="shared" si="433"/>
        <v>7.0146616319195371E-7</v>
      </c>
      <c r="D416" s="3">
        <f t="shared" si="433"/>
        <v>8.286901360483212E-6</v>
      </c>
      <c r="E416" s="3">
        <f t="shared" si="433"/>
        <v>7.1375703506228397E-5</v>
      </c>
      <c r="F416" s="3">
        <f t="shared" si="433"/>
        <v>1E-3</v>
      </c>
      <c r="G416" s="3">
        <f t="shared" si="433"/>
        <v>0.15187489469101345</v>
      </c>
      <c r="H416" s="3">
        <f t="shared" si="433"/>
        <v>20.032125910446975</v>
      </c>
      <c r="I416" s="109">
        <f>Comparison!AL15</f>
        <v>1E-3</v>
      </c>
      <c r="J416" s="3">
        <f>Comparison!AM15</f>
        <v>8853.3090866661241</v>
      </c>
      <c r="K416" s="3">
        <f>Comparison!AN15</f>
        <v>8248.4064055257641</v>
      </c>
      <c r="L416" s="3">
        <f>Comparison!AO15</f>
        <v>7853.7898979258625</v>
      </c>
      <c r="M416" s="3">
        <f>Comparison!AP15</f>
        <v>7534.5067060295696</v>
      </c>
      <c r="N416" s="3">
        <f>Comparison!AQ15</f>
        <v>7132.2476769922887</v>
      </c>
      <c r="O416" s="3">
        <f>Comparison!AR15</f>
        <v>6298.9484082003064</v>
      </c>
      <c r="P416" s="3">
        <f>Comparison!AS15</f>
        <v>5284.0344872686346</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1.3578284345844645E-7</v>
      </c>
      <c r="C417" s="3">
        <f t="shared" si="433"/>
        <v>7.0146616319195375E-6</v>
      </c>
      <c r="D417" s="3">
        <f t="shared" si="433"/>
        <v>8.2869013604832127E-5</v>
      </c>
      <c r="E417" s="3">
        <f t="shared" si="433"/>
        <v>7.1375703506228389E-4</v>
      </c>
      <c r="F417" s="3">
        <f t="shared" si="433"/>
        <v>0.01</v>
      </c>
      <c r="G417" s="3">
        <f t="shared" si="433"/>
        <v>1.5187489469101345</v>
      </c>
      <c r="H417" s="3">
        <f t="shared" si="433"/>
        <v>200.32125910446973</v>
      </c>
      <c r="I417" s="109">
        <f>Comparison!AL16</f>
        <v>0.01</v>
      </c>
      <c r="J417" s="3">
        <f>Comparison!AM16</f>
        <v>8479.914716286281</v>
      </c>
      <c r="K417" s="3">
        <f>Comparison!AN16</f>
        <v>7932.3411730217404</v>
      </c>
      <c r="L417" s="3">
        <f>Comparison!AO16</f>
        <v>7573.2536155058961</v>
      </c>
      <c r="M417" s="3">
        <f>Comparison!AP16</f>
        <v>7256.8628130889483</v>
      </c>
      <c r="N417" s="3">
        <f>Comparison!AQ16</f>
        <v>6844.7384968439528</v>
      </c>
      <c r="O417" s="3">
        <f>Comparison!AR16</f>
        <v>5945.6821100901007</v>
      </c>
      <c r="P417" s="3">
        <f>Comparison!AS16</f>
        <v>4808.4059861038604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1.3578284345844646E-6</v>
      </c>
      <c r="C418" s="3">
        <f t="shared" si="433"/>
        <v>7.0146616319195375E-5</v>
      </c>
      <c r="D418" s="3">
        <f t="shared" si="433"/>
        <v>8.2869013604832125E-4</v>
      </c>
      <c r="E418" s="3">
        <f t="shared" si="433"/>
        <v>7.1375703506228391E-3</v>
      </c>
      <c r="F418" s="3">
        <f t="shared" si="433"/>
        <v>0.1</v>
      </c>
      <c r="G418" s="3">
        <f t="shared" si="433"/>
        <v>15.187489469101346</v>
      </c>
      <c r="H418" s="3">
        <f t="shared" si="433"/>
        <v>2003.2125910446975</v>
      </c>
      <c r="I418" s="109">
        <f>Comparison!AL17</f>
        <v>0.1</v>
      </c>
      <c r="J418" s="3">
        <f>Comparison!AM17</f>
        <v>8128.965640404419</v>
      </c>
      <c r="K418" s="3">
        <f>Comparison!AN17</f>
        <v>7651.3188875674869</v>
      </c>
      <c r="L418" s="3">
        <f>Comparison!AO17</f>
        <v>7293.8613287583112</v>
      </c>
      <c r="M418" s="3">
        <f>Comparison!AP17</f>
        <v>6971.3695334324493</v>
      </c>
      <c r="N418" s="3">
        <f>Comparison!AQ17</f>
        <v>6572.6294407257219</v>
      </c>
      <c r="O418" s="3">
        <f>Comparison!AR17</f>
        <v>5548.4424875147679</v>
      </c>
      <c r="P418" s="3">
        <f>Comparison!AS17</f>
        <v>4180.5720256158129</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1.3578284345844645E-5</v>
      </c>
      <c r="C419" s="3">
        <f t="shared" si="433"/>
        <v>7.0146616319195375E-4</v>
      </c>
      <c r="D419" s="3">
        <f t="shared" si="433"/>
        <v>8.286901360483212E-3</v>
      </c>
      <c r="E419" s="3">
        <f t="shared" si="433"/>
        <v>7.1375703506228391E-2</v>
      </c>
      <c r="F419" s="3">
        <f t="shared" si="433"/>
        <v>1</v>
      </c>
      <c r="G419" s="3">
        <f t="shared" si="433"/>
        <v>151.87489469101345</v>
      </c>
      <c r="H419" s="3">
        <f t="shared" si="433"/>
        <v>20032.125910446975</v>
      </c>
      <c r="I419" s="109">
        <f>Comparison!AL18</f>
        <v>1</v>
      </c>
      <c r="J419" s="3">
        <f>Comparison!AM18</f>
        <v>7846.4940246078413</v>
      </c>
      <c r="K419" s="3">
        <f>Comparison!AN18</f>
        <v>7368.015082756323</v>
      </c>
      <c r="L419" s="3">
        <f>Comparison!AO18</f>
        <v>7004.3784649959834</v>
      </c>
      <c r="M419" s="3">
        <f>Comparison!AP18</f>
        <v>6688.5259415281262</v>
      </c>
      <c r="N419" s="3">
        <f>Comparison!AQ18</f>
        <v>6219.0027578185491</v>
      </c>
      <c r="O419" s="3">
        <f>Comparison!AR18</f>
        <v>4973.8956031837224</v>
      </c>
      <c r="P419" s="3">
        <f>Comparison!AS18</f>
        <v>3284.9966289927738</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1.3578284345844646E-4</v>
      </c>
      <c r="C420" s="3">
        <f t="shared" si="434"/>
        <v>7.0146616319195377E-3</v>
      </c>
      <c r="D420" s="3">
        <f t="shared" si="434"/>
        <v>8.286901360483212E-2</v>
      </c>
      <c r="E420" s="3">
        <f t="shared" si="434"/>
        <v>0.71375703506228394</v>
      </c>
      <c r="F420" s="3">
        <f t="shared" si="434"/>
        <v>10</v>
      </c>
      <c r="G420" s="3">
        <f t="shared" si="434"/>
        <v>1518.7489469101345</v>
      </c>
      <c r="H420" s="3">
        <f t="shared" si="434"/>
        <v>200321.25910446973</v>
      </c>
      <c r="I420" s="109">
        <f>Comparison!AL19</f>
        <v>10</v>
      </c>
      <c r="J420" s="3">
        <f>Comparison!AM19</f>
        <v>7554.3574872186746</v>
      </c>
      <c r="K420" s="3">
        <f>Comparison!AN19</f>
        <v>7078.2683200185556</v>
      </c>
      <c r="L420" s="3">
        <f>Comparison!AO19</f>
        <v>6716.1281746734903</v>
      </c>
      <c r="M420" s="3">
        <f>Comparison!AP19</f>
        <v>6332.8599538611707</v>
      </c>
      <c r="N420" s="3">
        <f>Comparison!AQ19</f>
        <v>5690.6299745251627</v>
      </c>
      <c r="O420" s="3">
        <f>Comparison!AR19</f>
        <v>4041.6864062630743</v>
      </c>
      <c r="P420" s="3">
        <f>Comparison!AS19</f>
        <v>2245.2955925232422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1.3578284345844645E-3</v>
      </c>
      <c r="C421" s="3">
        <f t="shared" si="434"/>
        <v>7.0146616319195373E-2</v>
      </c>
      <c r="D421" s="3">
        <f t="shared" si="434"/>
        <v>0.8286901360483212</v>
      </c>
      <c r="E421" s="3">
        <f t="shared" si="434"/>
        <v>7.1375703506228394</v>
      </c>
      <c r="F421" s="3">
        <f t="shared" si="434"/>
        <v>100</v>
      </c>
      <c r="G421" s="3">
        <f t="shared" si="434"/>
        <v>15187.489469101345</v>
      </c>
      <c r="H421" s="3">
        <f t="shared" si="434"/>
        <v>2003212.5910446974</v>
      </c>
      <c r="I421" s="109">
        <f>Comparison!AL20</f>
        <v>100</v>
      </c>
      <c r="J421" s="3">
        <f>Comparison!AM20</f>
        <v>7271.4639946770558</v>
      </c>
      <c r="K421" s="3">
        <f>Comparison!AN20</f>
        <v>6780.7506129740432</v>
      </c>
      <c r="L421" s="3">
        <f>Comparison!AO20</f>
        <v>6317.4824905918776</v>
      </c>
      <c r="M421" s="3">
        <f>Comparison!AP20</f>
        <v>5707.8128215740962</v>
      </c>
      <c r="N421" s="3">
        <f>Comparison!AQ20</f>
        <v>4763.4711208275512</v>
      </c>
      <c r="O421" s="3">
        <f>Comparison!AR20</f>
        <v>2997.7303823547541</v>
      </c>
      <c r="P421" s="3">
        <f>Comparison!AS20</f>
        <v>1455.0382053123094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1.3578284345844644E-2</v>
      </c>
      <c r="C422" s="3">
        <f t="shared" si="434"/>
        <v>0.70146616319195376</v>
      </c>
      <c r="D422" s="3">
        <f t="shared" si="434"/>
        <v>8.2869013604832116</v>
      </c>
      <c r="E422" s="3">
        <f t="shared" si="434"/>
        <v>71.37570350622839</v>
      </c>
      <c r="F422" s="3">
        <f t="shared" si="434"/>
        <v>1000</v>
      </c>
      <c r="G422" s="3">
        <f t="shared" si="434"/>
        <v>151874.89469101344</v>
      </c>
      <c r="H422" s="3">
        <f t="shared" si="434"/>
        <v>20032125.910446975</v>
      </c>
      <c r="I422" s="109">
        <f>Comparison!AL21</f>
        <v>1000</v>
      </c>
      <c r="J422" s="3">
        <f>Comparison!AM21</f>
        <v>6968.3337174677063</v>
      </c>
      <c r="K422" s="3">
        <f>Comparison!AN21</f>
        <v>6359.8481605512916</v>
      </c>
      <c r="L422" s="3">
        <f>Comparison!AO21</f>
        <v>5575.0877249610812</v>
      </c>
      <c r="M422" s="3">
        <f>Comparison!AP21</f>
        <v>4703.4024219609055</v>
      </c>
      <c r="N422" s="3">
        <f>Comparison!AQ21</f>
        <v>3748.4083561986595</v>
      </c>
      <c r="O422" s="3">
        <f>Comparison!AR21</f>
        <v>2118.9396419195423</v>
      </c>
      <c r="P422" s="3">
        <f>Comparison!AS21</f>
        <v>939.75400333325899</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0.13578284345844643</v>
      </c>
      <c r="C423" s="3">
        <f t="shared" si="434"/>
        <v>7.0146616319195374</v>
      </c>
      <c r="D423" s="3">
        <f t="shared" si="434"/>
        <v>82.869013604832119</v>
      </c>
      <c r="E423" s="3">
        <f t="shared" si="434"/>
        <v>713.75703506228388</v>
      </c>
      <c r="F423" s="3">
        <f t="shared" si="434"/>
        <v>10000</v>
      </c>
      <c r="G423" s="3">
        <f t="shared" si="434"/>
        <v>1518748.9469101345</v>
      </c>
      <c r="H423" s="3">
        <f t="shared" si="434"/>
        <v>200321259.10446975</v>
      </c>
      <c r="I423" s="109">
        <f>Comparison!AL22</f>
        <v>10000</v>
      </c>
      <c r="J423" s="3">
        <f>Comparison!AM22</f>
        <v>6660.7873102364538</v>
      </c>
      <c r="K423" s="3">
        <f>Comparison!AN22</f>
        <v>5533.5094566127227</v>
      </c>
      <c r="L423" s="3">
        <f>Comparison!AO22</f>
        <v>4517.4360226770941</v>
      </c>
      <c r="M423" s="3">
        <f>Comparison!AP22</f>
        <v>3716.6695709784594</v>
      </c>
      <c r="N423" s="3">
        <f>Comparison!AQ22</f>
        <v>2899.8712503562774</v>
      </c>
      <c r="O423" s="3">
        <f>Comparison!AR22</f>
        <v>1431.9051140793895</v>
      </c>
      <c r="P423" s="3">
        <f>Comparison!AS22</f>
        <v>667.66248335298053</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1.3578284345844644</v>
      </c>
      <c r="C424" s="3">
        <f t="shared" si="434"/>
        <v>70.146616319195374</v>
      </c>
      <c r="D424" s="3">
        <f t="shared" si="434"/>
        <v>828.69013604832128</v>
      </c>
      <c r="E424" s="3">
        <f t="shared" si="434"/>
        <v>7137.5703506228392</v>
      </c>
      <c r="F424" s="3">
        <f t="shared" si="434"/>
        <v>100000</v>
      </c>
      <c r="G424" s="3">
        <f t="shared" si="434"/>
        <v>15187489.469101345</v>
      </c>
      <c r="H424" s="3">
        <f t="shared" si="434"/>
        <v>2003212591.0446973</v>
      </c>
      <c r="I424" s="109">
        <f>Comparison!AL23</f>
        <v>100000</v>
      </c>
      <c r="J424" s="3">
        <f>Comparison!AM23</f>
        <v>6120.1247453486039</v>
      </c>
      <c r="K424" s="3">
        <f>Comparison!AN23</f>
        <v>4472.2559132167689</v>
      </c>
      <c r="L424" s="3">
        <f>Comparison!AO23</f>
        <v>3579.1976948167016</v>
      </c>
      <c r="M424" s="3">
        <f>Comparison!AP23</f>
        <v>2925.6425281910142</v>
      </c>
      <c r="N424" s="3">
        <f>Comparison!AQ23</f>
        <v>2207.9514817928284</v>
      </c>
      <c r="O424" s="3">
        <f>Comparison!AR23</f>
        <v>967.83847313448518</v>
      </c>
      <c r="P424" s="3">
        <f>Comparison!AS23</f>
        <v>524.73653922891083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13.578284345844645</v>
      </c>
      <c r="C425" s="3">
        <f t="shared" si="434"/>
        <v>701.4661631919538</v>
      </c>
      <c r="D425" s="3">
        <f t="shared" si="434"/>
        <v>8286.9013604832126</v>
      </c>
      <c r="E425" s="3">
        <f t="shared" si="434"/>
        <v>71375.703506228398</v>
      </c>
      <c r="F425" s="3">
        <f t="shared" si="434"/>
        <v>1000000</v>
      </c>
      <c r="G425" s="3">
        <f t="shared" si="434"/>
        <v>151874894.69101346</v>
      </c>
      <c r="H425" s="3">
        <f t="shared" si="434"/>
        <v>20032125910.446976</v>
      </c>
      <c r="I425" s="109">
        <f>Comparison!AL24</f>
        <v>1000000</v>
      </c>
      <c r="J425" s="3">
        <f>Comparison!AM24</f>
        <v>5179.772775385416</v>
      </c>
      <c r="K425" s="3">
        <f>Comparison!AN24</f>
        <v>3559.9181790033126</v>
      </c>
      <c r="L425" s="3">
        <f>Comparison!AO24</f>
        <v>2836.8024969308635</v>
      </c>
      <c r="M425" s="3">
        <f>Comparison!AP24</f>
        <v>2271.2592133629987</v>
      </c>
      <c r="N425" s="3">
        <f>Comparison!AQ24</f>
        <v>1604.1263924000411</v>
      </c>
      <c r="O425" s="3">
        <f>Comparison!AR24</f>
        <v>675.63698437161315</v>
      </c>
      <c r="P425" s="3">
        <f>Comparison!AS24</f>
        <v>458.1071148045329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135.78284345844645</v>
      </c>
      <c r="C426" s="3">
        <f t="shared" si="434"/>
        <v>7014.6616319195373</v>
      </c>
      <c r="D426" s="3">
        <f t="shared" si="434"/>
        <v>82869.013604832129</v>
      </c>
      <c r="E426" s="3">
        <f t="shared" si="434"/>
        <v>713757.03506228386</v>
      </c>
      <c r="F426" s="3">
        <f t="shared" si="434"/>
        <v>10000000</v>
      </c>
      <c r="G426" s="3">
        <f t="shared" si="434"/>
        <v>1518748946.9101346</v>
      </c>
      <c r="H426" s="3">
        <f t="shared" si="434"/>
        <v>200321259104.46973</v>
      </c>
      <c r="I426" s="109">
        <f>Comparison!AL25</f>
        <v>10000000</v>
      </c>
      <c r="J426" s="3">
        <f>Comparison!AM25</f>
        <v>4110.4480491252179</v>
      </c>
      <c r="K426" s="3">
        <f>Comparison!AN25</f>
        <v>2844.2645935941323</v>
      </c>
      <c r="L426" s="3">
        <f>Comparison!AO25</f>
        <v>2213.6861360404496</v>
      </c>
      <c r="M426" s="3">
        <f>Comparison!AP25</f>
        <v>1690.9117320692962</v>
      </c>
      <c r="N426" s="3">
        <f>Comparison!AQ25</f>
        <v>1123.4067588567204</v>
      </c>
      <c r="O426" s="3">
        <f>Comparison!AR25</f>
        <v>531.67099399258564</v>
      </c>
      <c r="P426" s="3">
        <f>Comparison!AS25</f>
        <v>416.14335450856197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1357.8284345844645</v>
      </c>
      <c r="C427" s="3">
        <f t="shared" si="434"/>
        <v>70146.616319195367</v>
      </c>
      <c r="D427" s="3">
        <f t="shared" si="434"/>
        <v>828690.13604832126</v>
      </c>
      <c r="E427" s="3">
        <f t="shared" si="434"/>
        <v>7137570.3506228393</v>
      </c>
      <c r="F427" s="3">
        <f t="shared" si="434"/>
        <v>100000000</v>
      </c>
      <c r="G427" s="3">
        <f t="shared" si="434"/>
        <v>15187489469.101345</v>
      </c>
      <c r="H427" s="3">
        <f t="shared" si="434"/>
        <v>2003212591044.6973</v>
      </c>
      <c r="I427" s="109">
        <f>Comparison!AL26</f>
        <v>100000000</v>
      </c>
      <c r="J427" s="3">
        <f>Comparison!AM26</f>
        <v>3245.0810486621449</v>
      </c>
      <c r="K427" s="3">
        <f>Comparison!AN26</f>
        <v>2237.2915384432267</v>
      </c>
      <c r="L427" s="3">
        <f>Comparison!AO26</f>
        <v>1650.6334197278006</v>
      </c>
      <c r="M427" s="3">
        <f>Comparison!AP26</f>
        <v>1194.4542594457305</v>
      </c>
      <c r="N427" s="3">
        <f>Comparison!AQ26</f>
        <v>780.76520754617513</v>
      </c>
      <c r="O427" s="3">
        <f>Comparison!AR26</f>
        <v>453.91977153237434</v>
      </c>
      <c r="P427" s="3">
        <f>Comparison!AS26</f>
        <v>393.17885286775953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13578.284345844644</v>
      </c>
      <c r="C428" s="3">
        <f t="shared" si="434"/>
        <v>701466.16319195379</v>
      </c>
      <c r="D428" s="3">
        <f t="shared" si="434"/>
        <v>8286901.3604832124</v>
      </c>
      <c r="E428" s="3">
        <f t="shared" si="434"/>
        <v>71375703.506228387</v>
      </c>
      <c r="F428" s="3">
        <f t="shared" si="434"/>
        <v>1000000000</v>
      </c>
      <c r="G428" s="3">
        <f t="shared" si="434"/>
        <v>151874894691.01346</v>
      </c>
      <c r="H428" s="3">
        <f t="shared" si="434"/>
        <v>20032125910446.973</v>
      </c>
      <c r="I428" s="109">
        <f>Comparison!AL27</f>
        <v>1000000000</v>
      </c>
      <c r="J428" s="3">
        <f>Comparison!AM27</f>
        <v>2543.9226414929772</v>
      </c>
      <c r="K428" s="3">
        <f>Comparison!AN27</f>
        <v>1684.6343995836892</v>
      </c>
      <c r="L428" s="3">
        <f>Comparison!AO27</f>
        <v>1168.6567020451771</v>
      </c>
      <c r="M428" s="3">
        <f>Comparison!AP27</f>
        <v>834.8043301176574</v>
      </c>
      <c r="N428" s="3">
        <f>Comparison!AQ27</f>
        <v>582.0058323502866</v>
      </c>
      <c r="O428" s="3">
        <f>Comparison!AR27</f>
        <v>417.85505040960345</v>
      </c>
      <c r="P428" s="3">
        <f>Comparison!AS27</f>
        <v>379.36405724647841</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135782.84345844644</v>
      </c>
      <c r="C429" s="3">
        <f t="shared" si="434"/>
        <v>7014661.6319195377</v>
      </c>
      <c r="D429" s="3">
        <f t="shared" si="434"/>
        <v>82869013.604832128</v>
      </c>
      <c r="E429" s="3">
        <f t="shared" si="434"/>
        <v>713757035.06228387</v>
      </c>
      <c r="F429" s="3">
        <f t="shared" si="434"/>
        <v>10000000000</v>
      </c>
      <c r="G429" s="3">
        <f t="shared" si="434"/>
        <v>1518748946910.1345</v>
      </c>
      <c r="H429" s="3">
        <f t="shared" si="434"/>
        <v>200321259104469.75</v>
      </c>
      <c r="I429" s="109">
        <f>Comparison!AL28</f>
        <v>10000000000</v>
      </c>
      <c r="J429" s="3">
        <f>Comparison!AM28</f>
        <v>1944.565914995268</v>
      </c>
      <c r="K429" s="3">
        <f>Comparison!AN28</f>
        <v>1197.1004230306633</v>
      </c>
      <c r="L429" s="3">
        <f>Comparison!AO28</f>
        <v>818.07631905971209</v>
      </c>
      <c r="M429" s="3">
        <f>Comparison!AP28</f>
        <v>607.40413984309237</v>
      </c>
      <c r="N429" s="3">
        <f>Comparison!AQ28</f>
        <v>477.43912435634792</v>
      </c>
      <c r="O429" s="3">
        <f>Comparison!AR28</f>
        <v>391.91620643386665</v>
      </c>
      <c r="P429" s="3">
        <f>Comparison!AS28</f>
        <v>357.29334618358928</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1357828.4345844644</v>
      </c>
      <c r="C430" s="3">
        <f t="shared" si="434"/>
        <v>70146616.319195375</v>
      </c>
      <c r="D430" s="3">
        <f t="shared" si="434"/>
        <v>828690136.04832125</v>
      </c>
      <c r="E430" s="3">
        <f t="shared" si="434"/>
        <v>7137570350.622839</v>
      </c>
      <c r="F430" s="3">
        <f t="shared" si="434"/>
        <v>100000000000</v>
      </c>
      <c r="G430" s="3">
        <f t="shared" si="434"/>
        <v>15187489469101.346</v>
      </c>
      <c r="H430" s="3">
        <f t="shared" si="434"/>
        <v>2003212591044697.5</v>
      </c>
      <c r="I430" s="109">
        <f>Comparison!AL29</f>
        <v>100000000000</v>
      </c>
      <c r="J430" s="3">
        <f>Comparison!AM29</f>
        <v>1396.8383179282553</v>
      </c>
      <c r="K430" s="3">
        <f>Comparison!AN29</f>
        <v>840.12332203849121</v>
      </c>
      <c r="L430" s="3">
        <f>Comparison!AO29</f>
        <v>599.03104161742488</v>
      </c>
      <c r="M430" s="3">
        <f>Comparison!AP29</f>
        <v>493.01101666641495</v>
      </c>
      <c r="N430" s="3">
        <f>Comparison!AQ29</f>
        <v>428.31766172038903</v>
      </c>
      <c r="O430" s="3">
        <f>Comparison!AR29</f>
        <v>379.02694798430821</v>
      </c>
      <c r="P430" s="3">
        <f>Comparison!AS29</f>
        <v>350.56361233759071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13578284.345844645</v>
      </c>
      <c r="C431" s="3">
        <f t="shared" si="434"/>
        <v>701466163.19195378</v>
      </c>
      <c r="D431" s="3">
        <f t="shared" si="434"/>
        <v>8286901360.4832125</v>
      </c>
      <c r="E431" s="3">
        <f t="shared" si="434"/>
        <v>71375703506.228394</v>
      </c>
      <c r="F431" s="3">
        <f t="shared" si="434"/>
        <v>1000000000000</v>
      </c>
      <c r="G431" s="3">
        <f t="shared" si="434"/>
        <v>151874894691013.44</v>
      </c>
      <c r="H431" s="3">
        <f t="shared" si="434"/>
        <v>2.0032125910446972E+16</v>
      </c>
      <c r="I431" s="109">
        <f>Comparison!AL30</f>
        <v>1000000000000</v>
      </c>
      <c r="J431" s="3">
        <f>Comparison!AM30</f>
        <v>982.12621210790121</v>
      </c>
      <c r="K431" s="3">
        <f>Comparison!AN30</f>
        <v>609.58567269963044</v>
      </c>
      <c r="L431" s="3">
        <f>Comparison!AO30</f>
        <v>488.03069035934635</v>
      </c>
      <c r="M431" s="3">
        <f>Comparison!AP30</f>
        <v>433.7285115590953</v>
      </c>
      <c r="N431" s="3">
        <f>Comparison!AQ30</f>
        <v>398.6513774250231</v>
      </c>
      <c r="O431" s="3">
        <f>Comparison!AR30</f>
        <v>367.59357086994629</v>
      </c>
      <c r="P431" s="3">
        <f>Comparison!AS30</f>
        <v>345.69227327199394</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135782843.45844644</v>
      </c>
      <c r="C432" s="3">
        <f t="shared" si="434"/>
        <v>7014661631.9195375</v>
      </c>
      <c r="D432" s="3">
        <f t="shared" si="434"/>
        <v>82869013604.832123</v>
      </c>
      <c r="E432" s="3">
        <f t="shared" si="434"/>
        <v>713757035062.28394</v>
      </c>
      <c r="F432" s="3">
        <f t="shared" si="434"/>
        <v>10000000000000</v>
      </c>
      <c r="G432" s="3">
        <f t="shared" si="434"/>
        <v>1518748946910134.5</v>
      </c>
      <c r="H432" s="3">
        <f t="shared" si="434"/>
        <v>2.0032125910446973E+17</v>
      </c>
      <c r="I432" s="109">
        <f>Comparison!AL31</f>
        <v>10000000000000</v>
      </c>
      <c r="J432" s="3">
        <f>Comparison!AM31</f>
        <v>689.03519551617785</v>
      </c>
      <c r="K432" s="3">
        <f>Comparison!AN31</f>
        <v>494.5048529689002</v>
      </c>
      <c r="L432" s="3">
        <f>Comparison!AO31</f>
        <v>431.51308603872349</v>
      </c>
      <c r="M432" s="3">
        <f>Comparison!AP31</f>
        <v>403.76473002951963</v>
      </c>
      <c r="N432" s="3">
        <f>Comparison!AQ31</f>
        <v>385.25122525189607</v>
      </c>
      <c r="O432" s="3">
        <f>Comparison!AR31</f>
        <v>348.16027376363564</v>
      </c>
      <c r="P432" s="3">
        <f>Comparison!AS31</f>
        <v>345.40832820533547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1357828434.5844646</v>
      </c>
      <c r="C433" s="3">
        <f t="shared" si="434"/>
        <v>70146616319.195374</v>
      </c>
      <c r="D433" s="3">
        <f t="shared" si="434"/>
        <v>828690136048.32129</v>
      </c>
      <c r="E433" s="3">
        <f t="shared" si="434"/>
        <v>7137570350622.8389</v>
      </c>
      <c r="F433" s="3">
        <f t="shared" si="434"/>
        <v>100000000000000</v>
      </c>
      <c r="G433" s="3">
        <f t="shared" si="434"/>
        <v>1.5187489469101346E+16</v>
      </c>
      <c r="H433" s="3">
        <f t="shared" si="434"/>
        <v>2.0032125910446973E+18</v>
      </c>
      <c r="I433" s="109">
        <f>Comparison!AL32</f>
        <v>100000000000000</v>
      </c>
      <c r="J433" s="3">
        <f>Comparison!AM32</f>
        <v>537.03681449352746</v>
      </c>
      <c r="K433" s="3">
        <f>Comparison!AN32</f>
        <v>433.69545003412065</v>
      </c>
      <c r="L433" s="3">
        <f>Comparison!AO32</f>
        <v>402.06033913876905</v>
      </c>
      <c r="M433" s="3">
        <f>Comparison!AP32</f>
        <v>387.64349199783766</v>
      </c>
      <c r="N433" s="3">
        <f>Comparison!AQ32</f>
        <v>372.90060316523403</v>
      </c>
      <c r="O433" s="3">
        <f>Comparison!AR32</f>
        <v>346.81429429478277</v>
      </c>
      <c r="P433" s="3">
        <f>Comparison!AS32</f>
        <v>343.52176757284224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13578284345.844645</v>
      </c>
      <c r="C434" s="3">
        <f t="shared" si="434"/>
        <v>701466163191.95374</v>
      </c>
      <c r="D434" s="3">
        <f t="shared" si="434"/>
        <v>8286901360483.2119</v>
      </c>
      <c r="E434" s="3">
        <f t="shared" si="434"/>
        <v>71375703506228.391</v>
      </c>
      <c r="F434" s="3">
        <f t="shared" si="434"/>
        <v>1000000000000000</v>
      </c>
      <c r="G434" s="3">
        <f t="shared" si="434"/>
        <v>1.5187489469101344E+17</v>
      </c>
      <c r="H434" s="3">
        <f t="shared" si="434"/>
        <v>2.0032125910446973E+19</v>
      </c>
      <c r="I434" s="109">
        <f>Comparison!AL33</f>
        <v>1000000000000000</v>
      </c>
      <c r="J434" s="3">
        <f>Comparison!AM33</f>
        <v>452.34025000519932</v>
      </c>
      <c r="K434" s="3">
        <f>Comparison!AN33</f>
        <v>404.17805740514621</v>
      </c>
      <c r="L434" s="3">
        <f>Comparison!AO33</f>
        <v>386.49357349528668</v>
      </c>
      <c r="M434" s="3">
        <f>Comparison!AP33</f>
        <v>374.47481405228427</v>
      </c>
      <c r="N434" s="3">
        <f>Comparison!AQ33</f>
        <v>356.83813776395743</v>
      </c>
      <c r="O434" s="3">
        <f>Comparison!AR33</f>
        <v>343.74512434370951</v>
      </c>
      <c r="P434" s="3">
        <f>Comparison!AS33</f>
        <v>342.36979608181048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-11.207038780645185</v>
      </c>
      <c r="M1" s="54">
        <v>1</v>
      </c>
      <c r="N1" s="56">
        <f>INDEX($H$217:$P$217,1,Q1)</f>
        <v>9.5773520484443431E-2</v>
      </c>
      <c r="O1" s="11"/>
      <c r="P1" s="55">
        <v>1</v>
      </c>
      <c r="Q1" s="11">
        <v>2</v>
      </c>
    </row>
    <row r="2" spans="1:17" x14ac:dyDescent="0.25">
      <c r="A2" s="11">
        <f>'Mastercurve bestimmen'!M119</f>
        <v>0</v>
      </c>
      <c r="B2" s="11">
        <f>'Mastercurve bestimmen'!N119</f>
        <v>-7.262337894521731</v>
      </c>
      <c r="M2" s="54">
        <v>2</v>
      </c>
      <c r="N2" s="56">
        <f t="shared" ref="N2:N9" si="0">INDEX($H$217:$P$217,1,Q2)</f>
        <v>3.4129390089845425E-4</v>
      </c>
      <c r="O2" s="11"/>
      <c r="P2" s="55">
        <v>2</v>
      </c>
      <c r="Q2" s="11">
        <f>Q1+1</f>
        <v>3</v>
      </c>
    </row>
    <row r="3" spans="1:17" x14ac:dyDescent="0.25">
      <c r="A3" s="11">
        <f>'Mastercurve bestimmen'!M120</f>
        <v>25</v>
      </c>
      <c r="B3" s="11">
        <f>'Mastercurve bestimmen'!N120</f>
        <v>-4.7930791601083342</v>
      </c>
      <c r="M3" s="54">
        <v>3</v>
      </c>
      <c r="N3" s="56">
        <f t="shared" si="0"/>
        <v>8.9747032822115535E-7</v>
      </c>
      <c r="O3" s="11"/>
      <c r="P3" s="55">
        <v>3</v>
      </c>
      <c r="Q3" s="11">
        <f t="shared" ref="Q3:Q8" si="1">Q2+1</f>
        <v>4</v>
      </c>
    </row>
    <row r="4" spans="1:17" x14ac:dyDescent="0.25">
      <c r="A4" s="11">
        <f>'Mastercurve bestimmen'!M121</f>
        <v>50</v>
      </c>
      <c r="B4" s="11">
        <f>'Mastercurve bestimmen'!N121</f>
        <v>-2.6397977545749804</v>
      </c>
      <c r="M4" s="54">
        <v>4</v>
      </c>
      <c r="N4" s="56">
        <f t="shared" si="0"/>
        <v>-3.8883027388107284E-8</v>
      </c>
      <c r="O4" s="11"/>
      <c r="P4" s="55">
        <v>4</v>
      </c>
      <c r="Q4" s="11">
        <f t="shared" si="1"/>
        <v>5</v>
      </c>
    </row>
    <row r="5" spans="1:17" x14ac:dyDescent="0.25">
      <c r="A5" s="11">
        <f>'Mastercurve bestimmen'!M122</f>
        <v>80</v>
      </c>
      <c r="B5" s="11">
        <f>'Mastercurve bestimmen'!N122</f>
        <v>0</v>
      </c>
      <c r="M5" s="54">
        <v>5</v>
      </c>
      <c r="N5" s="56">
        <f t="shared" si="0"/>
        <v>4.4617950269473089E-10</v>
      </c>
      <c r="O5" s="11"/>
      <c r="P5" s="55">
        <v>5</v>
      </c>
      <c r="Q5" s="11">
        <f t="shared" si="1"/>
        <v>6</v>
      </c>
    </row>
    <row r="6" spans="1:17" x14ac:dyDescent="0.25">
      <c r="A6" s="11">
        <f>'Mastercurve bestimmen'!M123</f>
        <v>125</v>
      </c>
      <c r="B6" s="11">
        <f>'Mastercurve bestimmen'!N123</f>
        <v>5.0230571207020684</v>
      </c>
      <c r="M6" s="54">
        <v>6</v>
      </c>
      <c r="N6" s="56">
        <f t="shared" si="0"/>
        <v>4.3613451063549792E-12</v>
      </c>
      <c r="O6" s="11"/>
      <c r="P6" s="55">
        <v>6</v>
      </c>
      <c r="Q6" s="11">
        <f t="shared" si="1"/>
        <v>7</v>
      </c>
    </row>
    <row r="7" spans="1:17" x14ac:dyDescent="0.25">
      <c r="A7" s="11">
        <f>'Mastercurve bestimmen'!M124</f>
        <v>160</v>
      </c>
      <c r="B7" s="11">
        <f>'Mastercurve bestimmen'!N124</f>
        <v>9.9050925593456753</v>
      </c>
      <c r="M7" s="54">
        <v>7</v>
      </c>
      <c r="N7" s="56">
        <f t="shared" si="0"/>
        <v>-4.4561336578419947E-14</v>
      </c>
      <c r="O7" s="11"/>
      <c r="P7" s="55">
        <v>7</v>
      </c>
      <c r="Q7" s="11">
        <f t="shared" si="1"/>
        <v>8</v>
      </c>
    </row>
    <row r="8" spans="1:17" x14ac:dyDescent="0.25">
      <c r="A8" s="11"/>
      <c r="B8" s="11"/>
      <c r="M8" s="54">
        <v>8</v>
      </c>
      <c r="N8" s="56">
        <f t="shared" si="0"/>
        <v>-2.9919235930895075E-16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-11.207038780645185</v>
      </c>
      <c r="E15" s="11">
        <f>A15-'Mastercurve bestimmen'!$B$2</f>
        <v>-120</v>
      </c>
      <c r="F15" s="11">
        <f>B15</f>
        <v>-11.207038780645185</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-11.133323703991014</v>
      </c>
      <c r="E16" s="11">
        <f>A16-'Mastercurve bestimmen'!$B$2</f>
        <v>-119</v>
      </c>
      <c r="F16" s="11">
        <f t="shared" ref="F16:F79" si="4">B16</f>
        <v>-11.133323703991014</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-11.059515184764614</v>
      </c>
      <c r="E17" s="11">
        <f>A17-'Mastercurve bestimmen'!$B$2</f>
        <v>-118</v>
      </c>
      <c r="F17" s="11">
        <f t="shared" si="4"/>
        <v>-11.059515184764614</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-10.985519780393755</v>
      </c>
      <c r="E18" s="11">
        <f>A18-'Mastercurve bestimmen'!$B$2</f>
        <v>-117</v>
      </c>
      <c r="F18" s="11">
        <f t="shared" si="4"/>
        <v>-10.985519780393755</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-10.911244048306212</v>
      </c>
      <c r="E19" s="11">
        <f>A19-'Mastercurve bestimmen'!$B$2</f>
        <v>-116</v>
      </c>
      <c r="F19" s="11">
        <f t="shared" si="4"/>
        <v>-10.911244048306212</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-10.836594545929755</v>
      </c>
      <c r="E20" s="11">
        <f>A20-'Mastercurve bestimmen'!$B$2</f>
        <v>-115</v>
      </c>
      <c r="F20" s="11">
        <f t="shared" si="4"/>
        <v>-10.836594545929755</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-10.761477830692154</v>
      </c>
      <c r="E21" s="11">
        <f>A21-'Mastercurve bestimmen'!$B$2</f>
        <v>-114</v>
      </c>
      <c r="F21" s="11">
        <f t="shared" si="4"/>
        <v>-10.761477830692154</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-10.685800460021182</v>
      </c>
      <c r="E22" s="11">
        <f>A22-'Mastercurve bestimmen'!$B$2</f>
        <v>-113</v>
      </c>
      <c r="F22" s="11">
        <f t="shared" si="4"/>
        <v>-10.685800460021182</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-10.609468991344611</v>
      </c>
      <c r="E23" s="11">
        <f>A23-'Mastercurve bestimmen'!$B$2</f>
        <v>-112</v>
      </c>
      <c r="F23" s="11">
        <f t="shared" si="4"/>
        <v>-10.609468991344611</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-10.532389982090212</v>
      </c>
      <c r="E24" s="11">
        <f>A24-'Mastercurve bestimmen'!$B$2</f>
        <v>-111</v>
      </c>
      <c r="F24" s="11">
        <f t="shared" si="4"/>
        <v>-10.532389982090212</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-10.454469989685755</v>
      </c>
      <c r="E25" s="11">
        <f>A25-'Mastercurve bestimmen'!$B$2</f>
        <v>-110</v>
      </c>
      <c r="F25" s="11">
        <f t="shared" si="4"/>
        <v>-10.454469989685755</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-10.375615571559011</v>
      </c>
      <c r="E26" s="11">
        <f>A26-'Mastercurve bestimmen'!$B$2</f>
        <v>-109</v>
      </c>
      <c r="F26" s="11">
        <f t="shared" si="4"/>
        <v>-10.375615571559011</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-10.295733285137754</v>
      </c>
      <c r="E27" s="11">
        <f>A27-'Mastercurve bestimmen'!$B$2</f>
        <v>-108</v>
      </c>
      <c r="F27" s="11">
        <f t="shared" si="4"/>
        <v>-10.295733285137754</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-10.214729687849754</v>
      </c>
      <c r="E28" s="11">
        <f>A28-'Mastercurve bestimmen'!$B$2</f>
        <v>-107</v>
      </c>
      <c r="F28" s="11">
        <f t="shared" si="4"/>
        <v>-10.214729687849754</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-10.132511337122782</v>
      </c>
      <c r="E29" s="11">
        <f>A29-'Mastercurve bestimmen'!$B$2</f>
        <v>-106</v>
      </c>
      <c r="F29" s="11">
        <f t="shared" si="4"/>
        <v>-10.132511337122782</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-10.048984790384612</v>
      </c>
      <c r="E30" s="11">
        <f>A30-'Mastercurve bestimmen'!$B$2</f>
        <v>-105</v>
      </c>
      <c r="F30" s="11">
        <f t="shared" si="4"/>
        <v>-10.048984790384612</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-9.9640566050630106</v>
      </c>
      <c r="E31" s="11">
        <f>A31-'Mastercurve bestimmen'!$B$2</f>
        <v>-104</v>
      </c>
      <c r="F31" s="11">
        <f t="shared" si="4"/>
        <v>-9.9640566050630106</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-9.8776333385857527</v>
      </c>
      <c r="E32" s="11">
        <f>A32-'Mastercurve bestimmen'!$B$2</f>
        <v>-103</v>
      </c>
      <c r="F32" s="11">
        <f t="shared" si="4"/>
        <v>-9.8776333385857527</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-9.7896215483806088</v>
      </c>
      <c r="E33" s="11">
        <f>A33-'Mastercurve bestimmen'!$B$2</f>
        <v>-102</v>
      </c>
      <c r="F33" s="11">
        <f t="shared" si="4"/>
        <v>-9.7896215483806088</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-9.6999277918753517</v>
      </c>
      <c r="E34" s="11">
        <f>A34-'Mastercurve bestimmen'!$B$2</f>
        <v>-101</v>
      </c>
      <c r="F34" s="11">
        <f t="shared" si="4"/>
        <v>-9.6999277918753517</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-9.6084586264977521</v>
      </c>
      <c r="E35" s="11">
        <f>A35-'Mastercurve bestimmen'!$B$2</f>
        <v>-100</v>
      </c>
      <c r="F35" s="11">
        <f t="shared" si="4"/>
        <v>-9.6084586264977521</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-9.5151206096755807</v>
      </c>
      <c r="E36" s="11">
        <f>A36-'Mastercurve bestimmen'!$B$2</f>
        <v>-99</v>
      </c>
      <c r="F36" s="11">
        <f t="shared" si="4"/>
        <v>-9.5151206096755807</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-9.4198202988366084</v>
      </c>
      <c r="E37" s="11">
        <f>A37-'Mastercurve bestimmen'!$B$2</f>
        <v>-98</v>
      </c>
      <c r="F37" s="11">
        <f t="shared" si="4"/>
        <v>-9.4198202988366084</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-9.3224642514086078</v>
      </c>
      <c r="E38" s="11">
        <f>A38-'Mastercurve bestimmen'!$B$2</f>
        <v>-97</v>
      </c>
      <c r="F38" s="11">
        <f t="shared" si="4"/>
        <v>-9.3224642514086078</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-9.2229590248193496</v>
      </c>
      <c r="E39" s="11">
        <f>A39-'Mastercurve bestimmen'!$B$2</f>
        <v>-96</v>
      </c>
      <c r="F39" s="11">
        <f t="shared" si="4"/>
        <v>-9.2229590248193496</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-9.1212111764966064</v>
      </c>
      <c r="E40" s="11">
        <f>A40-'Mastercurve bestimmen'!$B$2</f>
        <v>-95</v>
      </c>
      <c r="F40" s="11">
        <f t="shared" si="4"/>
        <v>-9.1212111764966064</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-9.0171272638681472</v>
      </c>
      <c r="E41" s="11">
        <f>A41-'Mastercurve bestimmen'!$B$2</f>
        <v>-94</v>
      </c>
      <c r="F41" s="11">
        <f t="shared" si="4"/>
        <v>-9.0171272638681472</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-8.9106138443617464</v>
      </c>
      <c r="E42" s="11">
        <f>A42-'Mastercurve bestimmen'!$B$2</f>
        <v>-93</v>
      </c>
      <c r="F42" s="11">
        <f t="shared" si="4"/>
        <v>-8.9106138443617464</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-8.8015774754051748</v>
      </c>
      <c r="E43" s="11">
        <f>A43-'Mastercurve bestimmen'!$B$2</f>
        <v>-92</v>
      </c>
      <c r="F43" s="11">
        <f t="shared" si="4"/>
        <v>-8.8015774754051748</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-8.6899247144262031</v>
      </c>
      <c r="E44" s="11">
        <f>A44-'Mastercurve bestimmen'!$B$2</f>
        <v>-91</v>
      </c>
      <c r="F44" s="11">
        <f t="shared" si="4"/>
        <v>-8.6899247144262031</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-8.5755621188526021</v>
      </c>
      <c r="E45" s="11">
        <f>A45-'Mastercurve bestimmen'!$B$2</f>
        <v>-90</v>
      </c>
      <c r="F45" s="11">
        <f t="shared" si="4"/>
        <v>-8.5755621188526021</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-8.4583962461121427</v>
      </c>
      <c r="E46" s="11">
        <f>A46-'Mastercurve bestimmen'!$B$2</f>
        <v>-89</v>
      </c>
      <c r="F46" s="11">
        <f t="shared" si="4"/>
        <v>-8.4583962461121427</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-8.3383336536325992</v>
      </c>
      <c r="E47" s="11">
        <f>A47-'Mastercurve bestimmen'!$B$2</f>
        <v>-88</v>
      </c>
      <c r="F47" s="11">
        <f t="shared" si="4"/>
        <v>-8.3383336536325992</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-8.2152808988417405</v>
      </c>
      <c r="E48" s="11">
        <f>A48-'Mastercurve bestimmen'!$B$2</f>
        <v>-87</v>
      </c>
      <c r="F48" s="11">
        <f t="shared" si="4"/>
        <v>-8.2152808988417405</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-8.0891445391673393</v>
      </c>
      <c r="E49" s="11">
        <f>A49-'Mastercurve bestimmen'!$B$2</f>
        <v>-86</v>
      </c>
      <c r="F49" s="11">
        <f t="shared" si="4"/>
        <v>-8.0891445391673393</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-7.9598311320371664</v>
      </c>
      <c r="E50" s="11">
        <f>A50-'Mastercurve bestimmen'!$B$2</f>
        <v>-85</v>
      </c>
      <c r="F50" s="11">
        <f t="shared" si="4"/>
        <v>-7.9598311320371664</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-7.8272472348789943</v>
      </c>
      <c r="E51" s="11">
        <f>A51-'Mastercurve bestimmen'!$B$2</f>
        <v>-84</v>
      </c>
      <c r="F51" s="11">
        <f t="shared" si="4"/>
        <v>-7.8272472348789943</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-7.691299405120593</v>
      </c>
      <c r="E52" s="11">
        <f>A52-'Mastercurve bestimmen'!$B$2</f>
        <v>-83</v>
      </c>
      <c r="F52" s="11">
        <f t="shared" si="4"/>
        <v>-7.691299405120593</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-7.551894200189734</v>
      </c>
      <c r="E53" s="11">
        <f>A53-'Mastercurve bestimmen'!$B$2</f>
        <v>-82</v>
      </c>
      <c r="F53" s="11">
        <f t="shared" si="4"/>
        <v>-7.551894200189734</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-7.4089381775141891</v>
      </c>
      <c r="E54" s="11">
        <f>A54-'Mastercurve bestimmen'!$B$2</f>
        <v>-81</v>
      </c>
      <c r="F54" s="11">
        <f t="shared" si="4"/>
        <v>-7.4089381775141891</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-7.262337894521731</v>
      </c>
      <c r="E55" s="11">
        <f>A55-'Mastercurve bestimmen'!$B$2</f>
        <v>-80</v>
      </c>
      <c r="F55" s="11">
        <f t="shared" si="4"/>
        <v>-7.262337894521731</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-7.1854783316087749</v>
      </c>
      <c r="E56" s="11">
        <f>A56-'Mastercurve bestimmen'!$B$2</f>
        <v>-79</v>
      </c>
      <c r="F56" s="11">
        <f t="shared" si="4"/>
        <v>-7.1854783316087749</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-7.1051016585778886</v>
      </c>
      <c r="E57" s="11">
        <f>A57-'Mastercurve bestimmen'!$B$2</f>
        <v>-78</v>
      </c>
      <c r="F57" s="11">
        <f t="shared" si="4"/>
        <v>-7.1051016585778886</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-7.021428468200285</v>
      </c>
      <c r="E58" s="11">
        <f>A58-'Mastercurve bestimmen'!$B$2</f>
        <v>-77</v>
      </c>
      <c r="F58" s="11">
        <f t="shared" si="4"/>
        <v>-7.021428468200285</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-6.9346793532471782</v>
      </c>
      <c r="E59" s="11">
        <f>A59-'Mastercurve bestimmen'!$B$2</f>
        <v>-76</v>
      </c>
      <c r="F59" s="11">
        <f t="shared" si="4"/>
        <v>-6.9346793532471782</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-6.8450749064897787</v>
      </c>
      <c r="E60" s="11">
        <f>A60-'Mastercurve bestimmen'!$B$2</f>
        <v>-75</v>
      </c>
      <c r="F60" s="11">
        <f t="shared" si="4"/>
        <v>-6.8450749064897787</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-6.7528357206993004</v>
      </c>
      <c r="E61" s="11">
        <f>A61-'Mastercurve bestimmen'!$B$2</f>
        <v>-74</v>
      </c>
      <c r="F61" s="11">
        <f t="shared" si="4"/>
        <v>-6.7528357206993004</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-6.6581823886469564</v>
      </c>
      <c r="E62" s="11">
        <f>A62-'Mastercurve bestimmen'!$B$2</f>
        <v>-73</v>
      </c>
      <c r="F62" s="11">
        <f t="shared" si="4"/>
        <v>-6.6581823886469564</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-6.56133550310396</v>
      </c>
      <c r="E63" s="11">
        <f>A63-'Mastercurve bestimmen'!$B$2</f>
        <v>-72</v>
      </c>
      <c r="F63" s="11">
        <f t="shared" si="4"/>
        <v>-6.56133550310396</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-6.4625156568415232</v>
      </c>
      <c r="E64" s="11">
        <f>A64-'Mastercurve bestimmen'!$B$2</f>
        <v>-71</v>
      </c>
      <c r="F64" s="11">
        <f t="shared" si="4"/>
        <v>-6.4625156568415232</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-6.3619434426308583</v>
      </c>
      <c r="E65" s="11">
        <f>A65-'Mastercurve bestimmen'!$B$2</f>
        <v>-70</v>
      </c>
      <c r="F65" s="11">
        <f t="shared" si="4"/>
        <v>-6.3619434426308583</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-6.2598394532431785</v>
      </c>
      <c r="E66" s="11">
        <f>A66-'Mastercurve bestimmen'!$B$2</f>
        <v>-69</v>
      </c>
      <c r="F66" s="11">
        <f t="shared" si="4"/>
        <v>-6.2598394532431785</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-6.1564242814496986</v>
      </c>
      <c r="E67" s="11">
        <f>A67-'Mastercurve bestimmen'!$B$2</f>
        <v>-68</v>
      </c>
      <c r="F67" s="11">
        <f t="shared" si="4"/>
        <v>-6.1564242814496986</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-6.0519185200216281</v>
      </c>
      <c r="E68" s="11">
        <f>A68-'Mastercurve bestimmen'!$B$2</f>
        <v>-67</v>
      </c>
      <c r="F68" s="11">
        <f t="shared" si="4"/>
        <v>-6.0519185200216281</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-5.9465427617301829</v>
      </c>
      <c r="E69" s="11">
        <f>A69-'Mastercurve bestimmen'!$B$2</f>
        <v>-66</v>
      </c>
      <c r="F69" s="11">
        <f t="shared" si="4"/>
        <v>-5.9465427617301829</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-5.8405175993465734</v>
      </c>
      <c r="E70" s="11">
        <f>A70-'Mastercurve bestimmen'!$B$2</f>
        <v>-65</v>
      </c>
      <c r="F70" s="11">
        <f t="shared" si="4"/>
        <v>-5.8405175993465734</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-5.7340636256420146</v>
      </c>
      <c r="E71" s="11">
        <f>A71-'Mastercurve bestimmen'!$B$2</f>
        <v>-64</v>
      </c>
      <c r="F71" s="11">
        <f t="shared" si="4"/>
        <v>-5.7340636256420146</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-5.6274014333877176</v>
      </c>
      <c r="E72" s="11">
        <f>A72-'Mastercurve bestimmen'!$B$2</f>
        <v>-63</v>
      </c>
      <c r="F72" s="11">
        <f t="shared" si="4"/>
        <v>-5.6274014333877176</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-5.5207516153548966</v>
      </c>
      <c r="E73" s="11">
        <f>A73-'Mastercurve bestimmen'!$B$2</f>
        <v>-62</v>
      </c>
      <c r="F73" s="11">
        <f t="shared" si="4"/>
        <v>-5.5207516153548966</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-5.4143347643147628</v>
      </c>
      <c r="E74" s="11">
        <f>A74-'Mastercurve bestimmen'!$B$2</f>
        <v>-61</v>
      </c>
      <c r="F74" s="11">
        <f t="shared" si="4"/>
        <v>-5.4143347643147628</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-5.3083714730385303</v>
      </c>
      <c r="E75" s="11">
        <f>A75-'Mastercurve bestimmen'!$B$2</f>
        <v>-60</v>
      </c>
      <c r="F75" s="11">
        <f t="shared" si="4"/>
        <v>-5.3083714730385303</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-5.2030823342974131</v>
      </c>
      <c r="E76" s="11">
        <f>A76-'Mastercurve bestimmen'!$B$2</f>
        <v>-59</v>
      </c>
      <c r="F76" s="11">
        <f t="shared" si="4"/>
        <v>-5.2030823342974131</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-5.0986879408626198</v>
      </c>
      <c r="E77" s="11">
        <f>A77-'Mastercurve bestimmen'!$B$2</f>
        <v>-58</v>
      </c>
      <c r="F77" s="11">
        <f t="shared" si="4"/>
        <v>-5.0986879408626198</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-4.995408885505368</v>
      </c>
      <c r="E78" s="11">
        <f>A78-'Mastercurve bestimmen'!$B$2</f>
        <v>-57</v>
      </c>
      <c r="F78" s="11">
        <f t="shared" si="4"/>
        <v>-4.995408885505368</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-4.8934657609968681</v>
      </c>
      <c r="E79" s="11">
        <f>A79-'Mastercurve bestimmen'!$B$2</f>
        <v>-56</v>
      </c>
      <c r="F79" s="11">
        <f t="shared" si="4"/>
        <v>-4.8934657609968681</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-4.7930791601083342</v>
      </c>
      <c r="E80" s="11">
        <f>A80-'Mastercurve bestimmen'!$B$2</f>
        <v>-55</v>
      </c>
      <c r="F80" s="11">
        <f t="shared" ref="F80:F143" si="10">B80</f>
        <v>-4.7930791601083342</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-4.6944188135043783</v>
      </c>
      <c r="E81" s="11">
        <f>A81-'Mastercurve bestimmen'!$B$2</f>
        <v>-54</v>
      </c>
      <c r="F81" s="11">
        <f t="shared" si="10"/>
        <v>-4.6944188135043783</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-4.5974510034232212</v>
      </c>
      <c r="E82" s="11">
        <f>A82-'Mastercurve bestimmen'!$B$2</f>
        <v>-53</v>
      </c>
      <c r="F82" s="11">
        <f t="shared" si="10"/>
        <v>-4.5974510034232212</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-4.502091149996482</v>
      </c>
      <c r="E83" s="11">
        <f>A83-'Mastercurve bestimmen'!$B$2</f>
        <v>-52</v>
      </c>
      <c r="F83" s="11">
        <f t="shared" si="10"/>
        <v>-4.502091149996482</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-4.4082546733557813</v>
      </c>
      <c r="E84" s="11">
        <f>A84-'Mastercurve bestimmen'!$B$2</f>
        <v>-51</v>
      </c>
      <c r="F84" s="11">
        <f t="shared" si="10"/>
        <v>-4.4082546733557813</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-4.315856993632738</v>
      </c>
      <c r="E85" s="11">
        <f>A85-'Mastercurve bestimmen'!$B$2</f>
        <v>-50</v>
      </c>
      <c r="F85" s="11">
        <f t="shared" si="10"/>
        <v>-4.315856993632738</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-4.2248135309589738</v>
      </c>
      <c r="E86" s="11">
        <f>A86-'Mastercurve bestimmen'!$B$2</f>
        <v>-49</v>
      </c>
      <c r="F86" s="11">
        <f t="shared" si="10"/>
        <v>-4.2248135309589738</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-4.1350397054661077</v>
      </c>
      <c r="E87" s="11">
        <f>A87-'Mastercurve bestimmen'!$B$2</f>
        <v>-48</v>
      </c>
      <c r="F87" s="11">
        <f t="shared" si="10"/>
        <v>-4.1350397054661077</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-4.0464509372857602</v>
      </c>
      <c r="E88" s="11">
        <f>A88-'Mastercurve bestimmen'!$B$2</f>
        <v>-47</v>
      </c>
      <c r="F88" s="11">
        <f t="shared" si="10"/>
        <v>-4.0464509372857602</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-3.9589626465495504</v>
      </c>
      <c r="E89" s="11">
        <f>A89-'Mastercurve bestimmen'!$B$2</f>
        <v>-46</v>
      </c>
      <c r="F89" s="11">
        <f t="shared" si="10"/>
        <v>-3.9589626465495504</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-3.872490253389099</v>
      </c>
      <c r="E90" s="11">
        <f>A90-'Mastercurve bestimmen'!$B$2</f>
        <v>-45</v>
      </c>
      <c r="F90" s="11">
        <f t="shared" si="10"/>
        <v>-3.872490253389099</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-3.7869491779360267</v>
      </c>
      <c r="E91" s="11">
        <f>A91-'Mastercurve bestimmen'!$B$2</f>
        <v>-44</v>
      </c>
      <c r="F91" s="11">
        <f t="shared" si="10"/>
        <v>-3.7869491779360267</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-3.7022548403219533</v>
      </c>
      <c r="E92" s="11">
        <f>A92-'Mastercurve bestimmen'!$B$2</f>
        <v>-43</v>
      </c>
      <c r="F92" s="11">
        <f t="shared" si="10"/>
        <v>-3.7022548403219533</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-3.6183226606784977</v>
      </c>
      <c r="E93" s="11">
        <f>A93-'Mastercurve bestimmen'!$B$2</f>
        <v>-42</v>
      </c>
      <c r="F93" s="11">
        <f t="shared" si="10"/>
        <v>-3.6183226606784977</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-3.5350680591372807</v>
      </c>
      <c r="E94" s="11">
        <f>A94-'Mastercurve bestimmen'!$B$2</f>
        <v>-41</v>
      </c>
      <c r="F94" s="11">
        <f t="shared" si="10"/>
        <v>-3.5350680591372807</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-3.452406455829923</v>
      </c>
      <c r="E95" s="11">
        <f>A95-'Mastercurve bestimmen'!$B$2</f>
        <v>-40</v>
      </c>
      <c r="F95" s="11">
        <f t="shared" si="10"/>
        <v>-3.452406455829923</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-3.3702532708880439</v>
      </c>
      <c r="E96" s="11">
        <f>A96-'Mastercurve bestimmen'!$B$2</f>
        <v>-39</v>
      </c>
      <c r="F96" s="11">
        <f t="shared" si="10"/>
        <v>-3.3702532708880439</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-3.2885239244432634</v>
      </c>
      <c r="E97" s="11">
        <f>A97-'Mastercurve bestimmen'!$B$2</f>
        <v>-38</v>
      </c>
      <c r="F97" s="11">
        <f t="shared" si="10"/>
        <v>-3.2885239244432634</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-3.207133836627202</v>
      </c>
      <c r="E98" s="11">
        <f>A98-'Mastercurve bestimmen'!$B$2</f>
        <v>-37</v>
      </c>
      <c r="F98" s="11">
        <f t="shared" si="10"/>
        <v>-3.207133836627202</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-3.1259984275714787</v>
      </c>
      <c r="E99" s="11">
        <f>A99-'Mastercurve bestimmen'!$B$2</f>
        <v>-36</v>
      </c>
      <c r="F99" s="11">
        <f t="shared" si="10"/>
        <v>-3.1259984275714787</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-3.0450331174077148</v>
      </c>
      <c r="E100" s="11">
        <f>A100-'Mastercurve bestimmen'!$B$2</f>
        <v>-35</v>
      </c>
      <c r="F100" s="11">
        <f t="shared" si="10"/>
        <v>-3.0450331174077148</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-2.9641533262675299</v>
      </c>
      <c r="E101" s="11">
        <f>A101-'Mastercurve bestimmen'!$B$2</f>
        <v>-34</v>
      </c>
      <c r="F101" s="11">
        <f t="shared" si="10"/>
        <v>-2.9641533262675299</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-2.883274474282544</v>
      </c>
      <c r="E102" s="11">
        <f>A102-'Mastercurve bestimmen'!$B$2</f>
        <v>-33</v>
      </c>
      <c r="F102" s="11">
        <f t="shared" si="10"/>
        <v>-2.883274474282544</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-2.8023119815843769</v>
      </c>
      <c r="E103" s="11">
        <f>A103-'Mastercurve bestimmen'!$B$2</f>
        <v>-32</v>
      </c>
      <c r="F103" s="11">
        <f t="shared" si="10"/>
        <v>-2.8023119815843769</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-2.7211812683046492</v>
      </c>
      <c r="E104" s="11">
        <f>A104-'Mastercurve bestimmen'!$B$2</f>
        <v>-31</v>
      </c>
      <c r="F104" s="11">
        <f t="shared" si="10"/>
        <v>-2.7211812683046492</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-2.6397977545749804</v>
      </c>
      <c r="E105" s="11">
        <f>A105-'Mastercurve bestimmen'!$B$2</f>
        <v>-30</v>
      </c>
      <c r="F105" s="11">
        <f t="shared" si="10"/>
        <v>-2.6397977545749804</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-2.558089407786758</v>
      </c>
      <c r="E106" s="11">
        <f>A106-'Mastercurve bestimmen'!$B$2</f>
        <v>-29</v>
      </c>
      <c r="F106" s="11">
        <f t="shared" si="10"/>
        <v>-2.558089407786758</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-2.4760343843704344</v>
      </c>
      <c r="E107" s="11">
        <f>A107-'Mastercurve bestimmen'!$B$2</f>
        <v>-28</v>
      </c>
      <c r="F107" s="11">
        <f t="shared" si="10"/>
        <v>-2.4760343843704344</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-2.3936233880162314</v>
      </c>
      <c r="E108" s="11">
        <f>A108-'Mastercurve bestimmen'!$B$2</f>
        <v>-27</v>
      </c>
      <c r="F108" s="11">
        <f t="shared" si="10"/>
        <v>-2.3936233880162314</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-2.3108471224143696</v>
      </c>
      <c r="E109" s="11">
        <f>A109-'Mastercurve bestimmen'!$B$2</f>
        <v>-26</v>
      </c>
      <c r="F109" s="11">
        <f t="shared" si="10"/>
        <v>-2.3108471224143696</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-2.2276962912550689</v>
      </c>
      <c r="E110" s="11">
        <f>A110-'Mastercurve bestimmen'!$B$2</f>
        <v>-25</v>
      </c>
      <c r="F110" s="11">
        <f t="shared" si="10"/>
        <v>-2.2276962912550689</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-2.1441615982285502</v>
      </c>
      <c r="E111" s="11">
        <f>A111-'Mastercurve bestimmen'!$B$2</f>
        <v>-24</v>
      </c>
      <c r="F111" s="11">
        <f t="shared" si="10"/>
        <v>-2.1441615982285502</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-2.0602337470250331</v>
      </c>
      <c r="E112" s="11">
        <f>A112-'Mastercurve bestimmen'!$B$2</f>
        <v>-23</v>
      </c>
      <c r="F112" s="11">
        <f t="shared" si="10"/>
        <v>-2.0602337470250331</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-1.9759034413347392</v>
      </c>
      <c r="E113" s="11">
        <f>A113-'Mastercurve bestimmen'!$B$2</f>
        <v>-22</v>
      </c>
      <c r="F113" s="11">
        <f t="shared" si="10"/>
        <v>-1.9759034413347392</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-1.891161384847889</v>
      </c>
      <c r="E114" s="11">
        <f>A114-'Mastercurve bestimmen'!$B$2</f>
        <v>-21</v>
      </c>
      <c r="F114" s="11">
        <f t="shared" si="10"/>
        <v>-1.891161384847889</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-1.8059982812547024</v>
      </c>
      <c r="E115" s="11">
        <f>A115-'Mastercurve bestimmen'!$B$2</f>
        <v>-20</v>
      </c>
      <c r="F115" s="11">
        <f t="shared" si="10"/>
        <v>-1.8059982812547024</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-1.7204048342454001</v>
      </c>
      <c r="E116" s="11">
        <f>A116-'Mastercurve bestimmen'!$B$2</f>
        <v>-19</v>
      </c>
      <c r="F116" s="11">
        <f t="shared" si="10"/>
        <v>-1.7204048342454001</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-1.6343717475102033</v>
      </c>
      <c r="E117" s="11">
        <f>A117-'Mastercurve bestimmen'!$B$2</f>
        <v>-18</v>
      </c>
      <c r="F117" s="11">
        <f t="shared" si="10"/>
        <v>-1.6343717475102033</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-1.5478897247393315</v>
      </c>
      <c r="E118" s="11">
        <f>A118-'Mastercurve bestimmen'!$B$2</f>
        <v>-17</v>
      </c>
      <c r="F118" s="11">
        <f t="shared" si="10"/>
        <v>-1.5478897247393315</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-1.4609494696230059</v>
      </c>
      <c r="E119" s="11">
        <f>A119-'Mastercurve bestimmen'!$B$2</f>
        <v>-16</v>
      </c>
      <c r="F119" s="11">
        <f t="shared" si="10"/>
        <v>-1.4609494696230059</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-1.3735416858514464</v>
      </c>
      <c r="E120" s="11">
        <f>A120-'Mastercurve bestimmen'!$B$2</f>
        <v>-15</v>
      </c>
      <c r="F120" s="11">
        <f t="shared" si="10"/>
        <v>-1.3735416858514464</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-1.2856570771148743</v>
      </c>
      <c r="E121" s="11">
        <f>A121-'Mastercurve bestimmen'!$B$2</f>
        <v>-14</v>
      </c>
      <c r="F121" s="11">
        <f t="shared" si="10"/>
        <v>-1.2856570771148743</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-1.19728634710351</v>
      </c>
      <c r="E122" s="11">
        <f>A122-'Mastercurve bestimmen'!$B$2</f>
        <v>-13</v>
      </c>
      <c r="F122" s="11">
        <f t="shared" si="10"/>
        <v>-1.19728634710351</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-1.1084201995075735</v>
      </c>
      <c r="E123" s="11">
        <f>A123-'Mastercurve bestimmen'!$B$2</f>
        <v>-12</v>
      </c>
      <c r="F123" s="11">
        <f t="shared" si="10"/>
        <v>-1.1084201995075735</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-1.0190493380172858</v>
      </c>
      <c r="E124" s="11">
        <f>A124-'Mastercurve bestimmen'!$B$2</f>
        <v>-11</v>
      </c>
      <c r="F124" s="11">
        <f t="shared" si="10"/>
        <v>-1.0190493380172858</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-0.9291644663228672</v>
      </c>
      <c r="E125" s="11">
        <f>A125-'Mastercurve bestimmen'!$B$2</f>
        <v>-10</v>
      </c>
      <c r="F125" s="11">
        <f t="shared" si="10"/>
        <v>-0.9291644663228672</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-0.83875628811453828</v>
      </c>
      <c r="E126" s="11">
        <f>A126-'Mastercurve bestimmen'!$B$2</f>
        <v>-9</v>
      </c>
      <c r="F126" s="11">
        <f t="shared" si="10"/>
        <v>-0.83875628811453828</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-0.74781550708251943</v>
      </c>
      <c r="E127" s="11">
        <f>A127-'Mastercurve bestimmen'!$B$2</f>
        <v>-8</v>
      </c>
      <c r="F127" s="11">
        <f t="shared" si="10"/>
        <v>-0.74781550708251943</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-0.65633282691703143</v>
      </c>
      <c r="E128" s="11">
        <f>A128-'Mastercurve bestimmen'!$B$2</f>
        <v>-7</v>
      </c>
      <c r="F128" s="11">
        <f t="shared" si="10"/>
        <v>-0.65633282691703143</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-0.56429895130829477</v>
      </c>
      <c r="E129" s="11">
        <f>A129-'Mastercurve bestimmen'!$B$2</f>
        <v>-6</v>
      </c>
      <c r="F129" s="11">
        <f t="shared" si="10"/>
        <v>-0.56429895130829477</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-0.47170458394652981</v>
      </c>
      <c r="E130" s="11">
        <f>A130-'Mastercurve bestimmen'!$B$2</f>
        <v>-5</v>
      </c>
      <c r="F130" s="11">
        <f t="shared" si="10"/>
        <v>-0.47170458394652981</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-0.37854042852195713</v>
      </c>
      <c r="E131" s="11">
        <f>A131-'Mastercurve bestimmen'!$B$2</f>
        <v>-4</v>
      </c>
      <c r="F131" s="11">
        <f t="shared" si="10"/>
        <v>-0.37854042852195713</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-0.28479718872479726</v>
      </c>
      <c r="E132" s="11">
        <f>A132-'Mastercurve bestimmen'!$B$2</f>
        <v>-3</v>
      </c>
      <c r="F132" s="11">
        <f t="shared" si="10"/>
        <v>-0.28479718872479726</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-0.19046556824527078</v>
      </c>
      <c r="E133" s="11">
        <f>A133-'Mastercurve bestimmen'!$B$2</f>
        <v>-2</v>
      </c>
      <c r="F133" s="11">
        <f t="shared" si="10"/>
        <v>-0.19046556824527078</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-9.5536270773598192E-2</v>
      </c>
      <c r="E134" s="11">
        <f>A134-'Mastercurve bestimmen'!$B$2</f>
        <v>-1</v>
      </c>
      <c r="F134" s="11">
        <f t="shared" si="10"/>
        <v>-9.5536270773598192E-2</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9.6151936466568819E-2</v>
      </c>
      <c r="E136" s="11">
        <f>A136-'Mastercurve bestimmen'!$B$2</f>
        <v>1</v>
      </c>
      <c r="F136" s="11">
        <f t="shared" si="10"/>
        <v>9.6151936466568819E-2</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0.19292581534221545</v>
      </c>
      <c r="E137" s="11">
        <f>A137-'Mastercurve bestimmen'!$B$2</f>
        <v>2</v>
      </c>
      <c r="F137" s="11">
        <f t="shared" si="10"/>
        <v>0.19292581534221545</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0.29032730942431267</v>
      </c>
      <c r="E138" s="11">
        <f>A138-'Mastercurve bestimmen'!$B$2</f>
        <v>3</v>
      </c>
      <c r="F138" s="11">
        <f t="shared" si="10"/>
        <v>0.29032730942431267</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0.38836209151023326</v>
      </c>
      <c r="E139" s="11">
        <f>A139-'Mastercurve bestimmen'!$B$2</f>
        <v>4</v>
      </c>
      <c r="F139" s="11">
        <f t="shared" si="10"/>
        <v>0.38836209151023326</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0.48703583439734993</v>
      </c>
      <c r="E140" s="11">
        <f>A140-'Mastercurve bestimmen'!$B$2</f>
        <v>5</v>
      </c>
      <c r="F140" s="11">
        <f t="shared" si="10"/>
        <v>0.48703583439734993</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0.58635421088303552</v>
      </c>
      <c r="E141" s="11">
        <f>A141-'Mastercurve bestimmen'!$B$2</f>
        <v>6</v>
      </c>
      <c r="F141" s="11">
        <f t="shared" si="10"/>
        <v>0.58635421088303552</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0.6863228937646626</v>
      </c>
      <c r="E142" s="11">
        <f>A142-'Mastercurve bestimmen'!$B$2</f>
        <v>7</v>
      </c>
      <c r="F142" s="11">
        <f t="shared" si="10"/>
        <v>0.6863228937646626</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0.78694755583960407</v>
      </c>
      <c r="E143" s="11">
        <f>A143-'Mastercurve bestimmen'!$B$2</f>
        <v>8</v>
      </c>
      <c r="F143" s="11">
        <f t="shared" si="10"/>
        <v>0.78694755583960407</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0.88823386990523268</v>
      </c>
      <c r="E144" s="11">
        <f>A144-'Mastercurve bestimmen'!$B$2</f>
        <v>9</v>
      </c>
      <c r="F144" s="11">
        <f t="shared" ref="F144:F207" si="15">B144</f>
        <v>0.88823386990523268</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0.99018750875892125</v>
      </c>
      <c r="E145" s="11">
        <f>A145-'Mastercurve bestimmen'!$B$2</f>
        <v>10</v>
      </c>
      <c r="F145" s="11">
        <f t="shared" si="15"/>
        <v>0.99018750875892125</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1.0928141451980424</v>
      </c>
      <c r="E146" s="11">
        <f>A146-'Mastercurve bestimmen'!$B$2</f>
        <v>11</v>
      </c>
      <c r="F146" s="11">
        <f t="shared" si="15"/>
        <v>1.0928141451980424</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1.1961194520199689</v>
      </c>
      <c r="E147" s="11">
        <f>A147-'Mastercurve bestimmen'!$B$2</f>
        <v>12</v>
      </c>
      <c r="F147" s="11">
        <f t="shared" si="15"/>
        <v>1.1961194520199689</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1.3001091020220736</v>
      </c>
      <c r="E148" s="11">
        <f>A148-'Mastercurve bestimmen'!$B$2</f>
        <v>13</v>
      </c>
      <c r="F148" s="11">
        <f t="shared" si="15"/>
        <v>1.3001091020220736</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1.4047887680017292</v>
      </c>
      <c r="E149" s="11">
        <f>A149-'Mastercurve bestimmen'!$B$2</f>
        <v>14</v>
      </c>
      <c r="F149" s="11">
        <f t="shared" si="15"/>
        <v>1.4047887680017292</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1.5101641227563083</v>
      </c>
      <c r="E150" s="11">
        <f>A150-'Mastercurve bestimmen'!$B$2</f>
        <v>15</v>
      </c>
      <c r="F150" s="11">
        <f t="shared" si="15"/>
        <v>1.5101641227563083</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1.6162408390831842</v>
      </c>
      <c r="E151" s="11">
        <f>A151-'Mastercurve bestimmen'!$B$2</f>
        <v>16</v>
      </c>
      <c r="F151" s="11">
        <f t="shared" si="15"/>
        <v>1.6162408390831842</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1.7230245897797292</v>
      </c>
      <c r="E152" s="11">
        <f>A152-'Mastercurve bestimmen'!$B$2</f>
        <v>17</v>
      </c>
      <c r="F152" s="11">
        <f t="shared" si="15"/>
        <v>1.7230245897797292</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1.830521047643316</v>
      </c>
      <c r="E153" s="11">
        <f>A153-'Mastercurve bestimmen'!$B$2</f>
        <v>18</v>
      </c>
      <c r="F153" s="11">
        <f t="shared" si="15"/>
        <v>1.830521047643316</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1.9387358854713175</v>
      </c>
      <c r="E154" s="11">
        <f>A154-'Mastercurve bestimmen'!$B$2</f>
        <v>19</v>
      </c>
      <c r="F154" s="11">
        <f t="shared" si="15"/>
        <v>1.9387358854713175</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2.0476747760611067</v>
      </c>
      <c r="E155" s="11">
        <f>A155-'Mastercurve bestimmen'!$B$2</f>
        <v>20</v>
      </c>
      <c r="F155" s="11">
        <f t="shared" si="15"/>
        <v>2.0476747760611067</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2.1573433922100556</v>
      </c>
      <c r="E156" s="11">
        <f>A156-'Mastercurve bestimmen'!$B$2</f>
        <v>21</v>
      </c>
      <c r="F156" s="11">
        <f t="shared" si="15"/>
        <v>2.1573433922100556</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2.2677474067155377</v>
      </c>
      <c r="E157" s="11">
        <f>A157-'Mastercurve bestimmen'!$B$2</f>
        <v>22</v>
      </c>
      <c r="F157" s="11">
        <f t="shared" si="15"/>
        <v>2.2677474067155377</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2.3788924923749253</v>
      </c>
      <c r="E158" s="11">
        <f>A158-'Mastercurve bestimmen'!$B$2</f>
        <v>23</v>
      </c>
      <c r="F158" s="11">
        <f t="shared" si="15"/>
        <v>2.3788924923749253</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2.4907843219855921</v>
      </c>
      <c r="E159" s="11">
        <f>A159-'Mastercurve bestimmen'!$B$2</f>
        <v>24</v>
      </c>
      <c r="F159" s="11">
        <f t="shared" si="15"/>
        <v>2.4907843219855921</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2.6034285683449099</v>
      </c>
      <c r="E160" s="11">
        <f>A160-'Mastercurve bestimmen'!$B$2</f>
        <v>25</v>
      </c>
      <c r="F160" s="11">
        <f t="shared" si="15"/>
        <v>2.6034285683449099</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2.716830904250251</v>
      </c>
      <c r="E161" s="11">
        <f>A161-'Mastercurve bestimmen'!$B$2</f>
        <v>26</v>
      </c>
      <c r="F161" s="11">
        <f t="shared" si="15"/>
        <v>2.716830904250251</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2.8309970024989899</v>
      </c>
      <c r="E162" s="11">
        <f>A162-'Mastercurve bestimmen'!$B$2</f>
        <v>27</v>
      </c>
      <c r="F162" s="11">
        <f t="shared" si="15"/>
        <v>2.8309970024989899</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2.9459325358884976</v>
      </c>
      <c r="E163" s="11">
        <f>A163-'Mastercurve bestimmen'!$B$2</f>
        <v>28</v>
      </c>
      <c r="F163" s="11">
        <f t="shared" si="15"/>
        <v>2.9459325358884976</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3.0616431772161476</v>
      </c>
      <c r="E164" s="11">
        <f>A164-'Mastercurve bestimmen'!$B$2</f>
        <v>29</v>
      </c>
      <c r="F164" s="11">
        <f t="shared" si="15"/>
        <v>3.0616431772161476</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3.1781345992793124</v>
      </c>
      <c r="E165" s="11">
        <f>A165-'Mastercurve bestimmen'!$B$2</f>
        <v>30</v>
      </c>
      <c r="F165" s="11">
        <f t="shared" si="15"/>
        <v>3.1781345992793124</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3.2954124748753659</v>
      </c>
      <c r="E166" s="11">
        <f>A166-'Mastercurve bestimmen'!$B$2</f>
        <v>31</v>
      </c>
      <c r="F166" s="11">
        <f t="shared" si="15"/>
        <v>3.2954124748753659</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3.4134824768016792</v>
      </c>
      <c r="E167" s="11">
        <f>A167-'Mastercurve bestimmen'!$B$2</f>
        <v>32</v>
      </c>
      <c r="F167" s="11">
        <f t="shared" si="15"/>
        <v>3.4134824768016792</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3.5323502778556257</v>
      </c>
      <c r="E168" s="11">
        <f>A168-'Mastercurve bestimmen'!$B$2</f>
        <v>33</v>
      </c>
      <c r="F168" s="11">
        <f t="shared" si="15"/>
        <v>3.5323502778556257</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3.6520215508345792</v>
      </c>
      <c r="E169" s="11">
        <f>A169-'Mastercurve bestimmen'!$B$2</f>
        <v>34</v>
      </c>
      <c r="F169" s="11">
        <f t="shared" si="15"/>
        <v>3.6520215508345792</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3.7725019685359107</v>
      </c>
      <c r="E170" s="11">
        <f>A170-'Mastercurve bestimmen'!$B$2</f>
        <v>35</v>
      </c>
      <c r="F170" s="11">
        <f t="shared" si="15"/>
        <v>3.7725019685359107</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3.8937972037569937</v>
      </c>
      <c r="E171" s="11">
        <f>A171-'Mastercurve bestimmen'!$B$2</f>
        <v>36</v>
      </c>
      <c r="F171" s="11">
        <f t="shared" si="15"/>
        <v>3.8937972037569937</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4.0159129292952009</v>
      </c>
      <c r="E172" s="11">
        <f>A172-'Mastercurve bestimmen'!$B$2</f>
        <v>37</v>
      </c>
      <c r="F172" s="11">
        <f t="shared" si="15"/>
        <v>4.0159129292952009</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4.1388548179479061</v>
      </c>
      <c r="E173" s="11">
        <f>A173-'Mastercurve bestimmen'!$B$2</f>
        <v>38</v>
      </c>
      <c r="F173" s="11">
        <f t="shared" si="15"/>
        <v>4.1388548179479061</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4.2626285425124806</v>
      </c>
      <c r="E174" s="11">
        <f>A174-'Mastercurve bestimmen'!$B$2</f>
        <v>39</v>
      </c>
      <c r="F174" s="11">
        <f t="shared" si="15"/>
        <v>4.2626285425124806</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4.3872397757862975</v>
      </c>
      <c r="E175" s="11">
        <f>A175-'Mastercurve bestimmen'!$B$2</f>
        <v>40</v>
      </c>
      <c r="F175" s="11">
        <f t="shared" si="15"/>
        <v>4.3872397757862975</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4.5126941905667293</v>
      </c>
      <c r="E176" s="11">
        <f>A176-'Mastercurve bestimmen'!$B$2</f>
        <v>41</v>
      </c>
      <c r="F176" s="11">
        <f t="shared" si="15"/>
        <v>4.5126941905667293</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4.6389974596511507</v>
      </c>
      <c r="E177" s="11">
        <f>A177-'Mastercurve bestimmen'!$B$2</f>
        <v>42</v>
      </c>
      <c r="F177" s="11">
        <f t="shared" si="15"/>
        <v>4.6389974596511507</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4.7661552558369324</v>
      </c>
      <c r="E178" s="11">
        <f>A178-'Mastercurve bestimmen'!$B$2</f>
        <v>43</v>
      </c>
      <c r="F178" s="11">
        <f t="shared" si="15"/>
        <v>4.7661552558369324</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4.8941732519214467</v>
      </c>
      <c r="E179" s="11">
        <f>A179-'Mastercurve bestimmen'!$B$2</f>
        <v>44</v>
      </c>
      <c r="F179" s="11">
        <f t="shared" si="15"/>
        <v>4.8941732519214467</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5.0230571207020684</v>
      </c>
      <c r="E180" s="11">
        <f>A180-'Mastercurve bestimmen'!$B$2</f>
        <v>45</v>
      </c>
      <c r="F180" s="11">
        <f t="shared" si="15"/>
        <v>5.0230571207020684</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5.152807439293305</v>
      </c>
      <c r="E181" s="11">
        <f>A181-'Mastercurve bestimmen'!$B$2</f>
        <v>46</v>
      </c>
      <c r="F181" s="11">
        <f t="shared" si="15"/>
        <v>5.152807439293305</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5.2834044020782054</v>
      </c>
      <c r="E182" s="11">
        <f>A182-'Mastercurve bestimmen'!$B$2</f>
        <v>47</v>
      </c>
      <c r="F182" s="11">
        <f t="shared" si="15"/>
        <v>5.2834044020782054</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5.41482310775696</v>
      </c>
      <c r="E183" s="11">
        <f>A183-'Mastercurve bestimmen'!$B$2</f>
        <v>48</v>
      </c>
      <c r="F183" s="11">
        <f t="shared" si="15"/>
        <v>5.41482310775696</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5.547038655029751</v>
      </c>
      <c r="E184" s="11">
        <f>A184-'Mastercurve bestimmen'!$B$2</f>
        <v>49</v>
      </c>
      <c r="F184" s="11">
        <f t="shared" si="15"/>
        <v>5.547038655029751</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5.6800261425967662</v>
      </c>
      <c r="E185" s="11">
        <f>A185-'Mastercurve bestimmen'!$B$2</f>
        <v>50</v>
      </c>
      <c r="F185" s="11">
        <f t="shared" si="15"/>
        <v>5.6800261425967662</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5.8137606691581931</v>
      </c>
      <c r="E186" s="11">
        <f>A186-'Mastercurve bestimmen'!$B$2</f>
        <v>51</v>
      </c>
      <c r="F186" s="11">
        <f t="shared" si="15"/>
        <v>5.8137606691581931</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5.9482173334142168</v>
      </c>
      <c r="E187" s="11">
        <f>A187-'Mastercurve bestimmen'!$B$2</f>
        <v>52</v>
      </c>
      <c r="F187" s="11">
        <f t="shared" si="15"/>
        <v>5.9482173334142168</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6.083371234065023</v>
      </c>
      <c r="E188" s="11">
        <f>A188-'Mastercurve bestimmen'!$B$2</f>
        <v>53</v>
      </c>
      <c r="F188" s="11">
        <f t="shared" si="15"/>
        <v>6.083371234065023</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6.2191974698107995</v>
      </c>
      <c r="E189" s="11">
        <f>A189-'Mastercurve bestimmen'!$B$2</f>
        <v>54</v>
      </c>
      <c r="F189" s="11">
        <f t="shared" si="15"/>
        <v>6.2191974698107995</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6.3556711393517329</v>
      </c>
      <c r="E190" s="11">
        <f>A190-'Mastercurve bestimmen'!$B$2</f>
        <v>55</v>
      </c>
      <c r="F190" s="11">
        <f t="shared" si="15"/>
        <v>6.3556711393517329</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6.4927673413880065</v>
      </c>
      <c r="E191" s="11">
        <f>A191-'Mastercurve bestimmen'!$B$2</f>
        <v>56</v>
      </c>
      <c r="F191" s="11">
        <f t="shared" si="15"/>
        <v>6.4927673413880065</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6.6304611746198105</v>
      </c>
      <c r="E192" s="11">
        <f>A192-'Mastercurve bestimmen'!$B$2</f>
        <v>57</v>
      </c>
      <c r="F192" s="11">
        <f t="shared" si="15"/>
        <v>6.6304611746198105</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6.7687277377473283</v>
      </c>
      <c r="E193" s="11">
        <f>A193-'Mastercurve bestimmen'!$B$2</f>
        <v>58</v>
      </c>
      <c r="F193" s="11">
        <f t="shared" si="15"/>
        <v>6.7687277377473283</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6.9075421294707464</v>
      </c>
      <c r="E194" s="11">
        <f>A194-'Mastercurve bestimmen'!$B$2</f>
        <v>59</v>
      </c>
      <c r="F194" s="11">
        <f t="shared" si="15"/>
        <v>6.9075421294707464</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7.0468794484902535</v>
      </c>
      <c r="E195" s="11">
        <f>A195-'Mastercurve bestimmen'!$B$2</f>
        <v>60</v>
      </c>
      <c r="F195" s="11">
        <f t="shared" si="15"/>
        <v>7.0468794484902535</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7.1867147935060345</v>
      </c>
      <c r="E196" s="11">
        <f>A196-'Mastercurve bestimmen'!$B$2</f>
        <v>61</v>
      </c>
      <c r="F196" s="11">
        <f t="shared" si="15"/>
        <v>7.1867147935060345</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7.3270232632182744</v>
      </c>
      <c r="E197" s="11">
        <f>A197-'Mastercurve bestimmen'!$B$2</f>
        <v>62</v>
      </c>
      <c r="F197" s="11">
        <f t="shared" si="15"/>
        <v>7.3270232632182744</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7.4677799563271616</v>
      </c>
      <c r="E198" s="11">
        <f>A198-'Mastercurve bestimmen'!$B$2</f>
        <v>63</v>
      </c>
      <c r="F198" s="11">
        <f t="shared" si="15"/>
        <v>7.4677799563271616</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7.6089599715328813</v>
      </c>
      <c r="E199" s="11">
        <f>A199-'Mastercurve bestimmen'!$B$2</f>
        <v>64</v>
      </c>
      <c r="F199" s="11">
        <f t="shared" si="15"/>
        <v>7.6089599715328813</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7.7505384075356201</v>
      </c>
      <c r="E200" s="11">
        <f>A200-'Mastercurve bestimmen'!$B$2</f>
        <v>65</v>
      </c>
      <c r="F200" s="11">
        <f t="shared" si="15"/>
        <v>7.7505384075356201</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7.8924903630355638</v>
      </c>
      <c r="E201" s="11">
        <f>A201-'Mastercurve bestimmen'!$B$2</f>
        <v>66</v>
      </c>
      <c r="F201" s="11">
        <f t="shared" si="15"/>
        <v>7.8924903630355638</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8.0347909367329002</v>
      </c>
      <c r="E202" s="11">
        <f>A202-'Mastercurve bestimmen'!$B$2</f>
        <v>67</v>
      </c>
      <c r="F202" s="11">
        <f t="shared" si="15"/>
        <v>8.0347909367329002</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8.1774152273278133</v>
      </c>
      <c r="E203" s="11">
        <f>A203-'Mastercurve bestimmen'!$B$2</f>
        <v>68</v>
      </c>
      <c r="F203" s="11">
        <f t="shared" si="15"/>
        <v>8.1774152273278133</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8.3203383335204926</v>
      </c>
      <c r="E204" s="11">
        <f>A204-'Mastercurve bestimmen'!$B$2</f>
        <v>69</v>
      </c>
      <c r="F204" s="11">
        <f t="shared" si="15"/>
        <v>8.3203383335204926</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8.4635353540111211</v>
      </c>
      <c r="E205" s="11">
        <f>A205-'Mastercurve bestimmen'!$B$2</f>
        <v>70</v>
      </c>
      <c r="F205" s="11">
        <f t="shared" si="15"/>
        <v>8.4635353540111211</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8.6069813874998857</v>
      </c>
      <c r="E206" s="11">
        <f>A206-'Mastercurve bestimmen'!$B$2</f>
        <v>71</v>
      </c>
      <c r="F206" s="11">
        <f t="shared" si="15"/>
        <v>8.6069813874998857</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8.7506515326869749</v>
      </c>
      <c r="E207" s="11">
        <f>A207-'Mastercurve bestimmen'!$B$2</f>
        <v>72</v>
      </c>
      <c r="F207" s="11">
        <f t="shared" si="15"/>
        <v>8.7506515326869749</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8.8945208882725719</v>
      </c>
      <c r="E208" s="11">
        <f>A208-'Mastercurve bestimmen'!$B$2</f>
        <v>73</v>
      </c>
      <c r="F208" s="11">
        <f t="shared" ref="F208:F215" si="21">B208</f>
        <v>8.8945208882725719</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9.038564552956867</v>
      </c>
      <c r="E209" s="11">
        <f>A209-'Mastercurve bestimmen'!$B$2</f>
        <v>74</v>
      </c>
      <c r="F209" s="11">
        <f t="shared" si="21"/>
        <v>9.038564552956867</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9.1827576254400434</v>
      </c>
      <c r="E210" s="11">
        <f>A210-'Mastercurve bestimmen'!$B$2</f>
        <v>75</v>
      </c>
      <c r="F210" s="11">
        <f t="shared" si="21"/>
        <v>9.1827576254400434</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9.327075204422286</v>
      </c>
      <c r="E211" s="11">
        <f>A211-'Mastercurve bestimmen'!$B$2</f>
        <v>76</v>
      </c>
      <c r="F211" s="11">
        <f t="shared" si="21"/>
        <v>9.327075204422286</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9.4714923886037869</v>
      </c>
      <c r="E212" s="11">
        <f>A212-'Mastercurve bestimmen'!$B$2</f>
        <v>77</v>
      </c>
      <c r="F212" s="11">
        <f t="shared" si="21"/>
        <v>9.4714923886037869</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9.6159842766847277</v>
      </c>
      <c r="E213" s="11">
        <f>A213-'Mastercurve bestimmen'!$B$2</f>
        <v>78</v>
      </c>
      <c r="F213" s="11">
        <f t="shared" si="21"/>
        <v>9.6159842766847277</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9.7605259673652949</v>
      </c>
      <c r="E214" s="11">
        <f>A214-'Mastercurve bestimmen'!$B$2</f>
        <v>79</v>
      </c>
      <c r="F214" s="11">
        <f t="shared" si="21"/>
        <v>9.7605259673652949</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9.9050925593456753</v>
      </c>
      <c r="E215" s="11">
        <f>A215-'Mastercurve bestimmen'!$B$2</f>
        <v>80</v>
      </c>
      <c r="F215" s="11">
        <f t="shared" si="21"/>
        <v>9.9050925593456753</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9.5773520484443431E-2</v>
      </c>
      <c r="J217" s="98">
        <v>3.4129390089845425E-4</v>
      </c>
      <c r="K217" s="98">
        <v>8.9747032822115535E-7</v>
      </c>
      <c r="L217" s="98">
        <v>-3.8883027388107284E-8</v>
      </c>
      <c r="M217" s="98">
        <v>4.4617950269473089E-10</v>
      </c>
      <c r="N217" s="98">
        <v>4.3613451063549792E-12</v>
      </c>
      <c r="O217" s="98">
        <v>-4.4561336578419947E-14</v>
      </c>
      <c r="P217" s="98">
        <v>-2.9919235930895075E-16</v>
      </c>
    </row>
    <row r="218" spans="1:16" x14ac:dyDescent="0.25">
      <c r="G218" s="11"/>
      <c r="H218" s="11">
        <v>0</v>
      </c>
      <c r="I218" s="11">
        <v>2.6614480965607472E-4</v>
      </c>
      <c r="J218" s="11">
        <v>4.9573582621629147E-6</v>
      </c>
      <c r="K218" s="3">
        <v>2.5188135960745858E-7</v>
      </c>
      <c r="L218" s="3">
        <v>2.2934547011653623E-9</v>
      </c>
      <c r="M218" s="3">
        <v>7.2014907059700792E-11</v>
      </c>
      <c r="N218" s="3">
        <v>3.9572948174004542E-13</v>
      </c>
      <c r="O218" s="11">
        <v>6.3635605298023765E-15</v>
      </c>
      <c r="P218" s="11">
        <v>3.8696726145652367E-17</v>
      </c>
    </row>
    <row r="219" spans="1:16" x14ac:dyDescent="0.25">
      <c r="G219" s="11"/>
      <c r="H219" s="11">
        <v>0.99998050000462779</v>
      </c>
      <c r="I219" s="11">
        <v>2.7533940896473635E-2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-11.168861910536013</v>
      </c>
      <c r="G222">
        <f>F15</f>
        <v>-11.207038780645185</v>
      </c>
    </row>
    <row r="223" spans="1:16" x14ac:dyDescent="0.25">
      <c r="E223" s="11">
        <f t="shared" ref="E223:E286" si="25">E16</f>
        <v>-119</v>
      </c>
      <c r="F223" s="11">
        <f t="shared" ref="F223:F286" si="26">$H$217*0+E223*$I$217+E223^2*$J$217+E223^3*$K$217+E223^4*$L$217+E223^5*$M$217+E223^6*$N$217+E223^7*$O$217+E223^8*$P$217</f>
        <v>-11.108972456658535</v>
      </c>
      <c r="G223" s="11">
        <f t="shared" ref="G223:G286" si="27">F16</f>
        <v>-11.133323703991014</v>
      </c>
    </row>
    <row r="224" spans="1:16" x14ac:dyDescent="0.25">
      <c r="E224" s="11">
        <f t="shared" si="25"/>
        <v>-118</v>
      </c>
      <c r="F224" s="11">
        <f t="shared" si="26"/>
        <v>-11.047367438116449</v>
      </c>
      <c r="G224" s="11">
        <f t="shared" si="27"/>
        <v>-11.059515184764614</v>
      </c>
    </row>
    <row r="225" spans="5:7" x14ac:dyDescent="0.25">
      <c r="E225" s="11">
        <f t="shared" si="25"/>
        <v>-117</v>
      </c>
      <c r="F225" s="11">
        <f t="shared" si="26"/>
        <v>-10.983921900234996</v>
      </c>
      <c r="G225" s="11">
        <f t="shared" si="27"/>
        <v>-10.985519780393755</v>
      </c>
    </row>
    <row r="226" spans="5:7" x14ac:dyDescent="0.25">
      <c r="E226" s="11">
        <f t="shared" si="25"/>
        <v>-116</v>
      </c>
      <c r="F226" s="11">
        <f t="shared" si="26"/>
        <v>-10.918532236787415</v>
      </c>
      <c r="G226" s="11">
        <f t="shared" si="27"/>
        <v>-10.911244048306212</v>
      </c>
    </row>
    <row r="227" spans="5:7" x14ac:dyDescent="0.25">
      <c r="E227" s="11">
        <f t="shared" si="25"/>
        <v>-115</v>
      </c>
      <c r="F227" s="11">
        <f t="shared" si="26"/>
        <v>-10.851114793921486</v>
      </c>
      <c r="G227" s="11">
        <f t="shared" si="27"/>
        <v>-10.836594545929755</v>
      </c>
    </row>
    <row r="228" spans="5:7" x14ac:dyDescent="0.25">
      <c r="E228" s="11">
        <f t="shared" si="25"/>
        <v>-114</v>
      </c>
      <c r="F228" s="11">
        <f t="shared" si="26"/>
        <v>-10.781604527240185</v>
      </c>
      <c r="G228" s="11">
        <f t="shared" si="27"/>
        <v>-10.761477830692154</v>
      </c>
    </row>
    <row r="229" spans="5:7" x14ac:dyDescent="0.25">
      <c r="E229" s="11">
        <f t="shared" si="25"/>
        <v>-113</v>
      </c>
      <c r="F229" s="11">
        <f t="shared" si="26"/>
        <v>-10.709953710855682</v>
      </c>
      <c r="G229" s="11">
        <f t="shared" si="27"/>
        <v>-10.685800460021182</v>
      </c>
    </row>
    <row r="230" spans="5:7" x14ac:dyDescent="0.25">
      <c r="E230" s="11">
        <f t="shared" si="25"/>
        <v>-112</v>
      </c>
      <c r="F230" s="11">
        <f t="shared" si="26"/>
        <v>-10.636130697247808</v>
      </c>
      <c r="G230" s="11">
        <f t="shared" si="27"/>
        <v>-10.609468991344611</v>
      </c>
    </row>
    <row r="231" spans="5:7" x14ac:dyDescent="0.25">
      <c r="E231" s="11">
        <f t="shared" si="25"/>
        <v>-111</v>
      </c>
      <c r="F231" s="11">
        <f t="shared" si="26"/>
        <v>-10.560118726770533</v>
      </c>
      <c r="G231" s="11">
        <f t="shared" si="27"/>
        <v>-10.532389982090212</v>
      </c>
    </row>
    <row r="232" spans="5:7" x14ac:dyDescent="0.25">
      <c r="E232" s="11">
        <f t="shared" si="25"/>
        <v>-110</v>
      </c>
      <c r="F232" s="11">
        <f t="shared" si="26"/>
        <v>-10.481914785661623</v>
      </c>
      <c r="G232" s="11">
        <f t="shared" si="27"/>
        <v>-10.454469989685755</v>
      </c>
    </row>
    <row r="233" spans="5:7" x14ac:dyDescent="0.25">
      <c r="E233" s="11">
        <f t="shared" si="25"/>
        <v>-109</v>
      </c>
      <c r="F233" s="11">
        <f t="shared" si="26"/>
        <v>-10.401528511423102</v>
      </c>
      <c r="G233" s="11">
        <f t="shared" si="27"/>
        <v>-10.375615571559011</v>
      </c>
    </row>
    <row r="234" spans="5:7" x14ac:dyDescent="0.25">
      <c r="E234" s="11">
        <f t="shared" si="25"/>
        <v>-108</v>
      </c>
      <c r="F234" s="11">
        <f t="shared" si="26"/>
        <v>-10.318981144451936</v>
      </c>
      <c r="G234" s="11">
        <f t="shared" si="27"/>
        <v>-10.295733285137754</v>
      </c>
    </row>
    <row r="235" spans="5:7" x14ac:dyDescent="0.25">
      <c r="E235" s="11">
        <f t="shared" si="25"/>
        <v>-107</v>
      </c>
      <c r="F235" s="11">
        <f t="shared" si="26"/>
        <v>-10.234304524812538</v>
      </c>
      <c r="G235" s="11">
        <f t="shared" si="27"/>
        <v>-10.214729687849754</v>
      </c>
    </row>
    <row r="236" spans="5:7" x14ac:dyDescent="0.25">
      <c r="E236" s="11">
        <f t="shared" si="25"/>
        <v>-106</v>
      </c>
      <c r="F236" s="11">
        <f t="shared" si="26"/>
        <v>-10.147540133054749</v>
      </c>
      <c r="G236" s="11">
        <f t="shared" si="27"/>
        <v>-10.132511337122782</v>
      </c>
    </row>
    <row r="237" spans="5:7" x14ac:dyDescent="0.25">
      <c r="E237" s="11">
        <f t="shared" si="25"/>
        <v>-105</v>
      </c>
      <c r="F237" s="11">
        <f t="shared" si="26"/>
        <v>-10.05873817399304</v>
      </c>
      <c r="G237" s="11">
        <f t="shared" si="27"/>
        <v>-10.048984790384612</v>
      </c>
    </row>
    <row r="238" spans="5:7" x14ac:dyDescent="0.25">
      <c r="E238" s="11">
        <f t="shared" si="25"/>
        <v>-104</v>
      </c>
      <c r="F238" s="11">
        <f t="shared" si="26"/>
        <v>-9.9679567023746003</v>
      </c>
      <c r="G238" s="11">
        <f t="shared" si="27"/>
        <v>-9.9640566050630106</v>
      </c>
    </row>
    <row r="239" spans="5:7" x14ac:dyDescent="0.25">
      <c r="E239" s="11">
        <f t="shared" si="25"/>
        <v>-103</v>
      </c>
      <c r="F239" s="11">
        <f t="shared" si="26"/>
        <v>-9.8752607893762274</v>
      </c>
      <c r="G239" s="11">
        <f t="shared" si="27"/>
        <v>-9.8776333385857527</v>
      </c>
    </row>
    <row r="240" spans="5:7" x14ac:dyDescent="0.25">
      <c r="E240" s="11">
        <f t="shared" si="25"/>
        <v>-102</v>
      </c>
      <c r="F240" s="11">
        <f t="shared" si="26"/>
        <v>-9.7807217288819306</v>
      </c>
      <c r="G240" s="11">
        <f t="shared" si="27"/>
        <v>-9.7896215483806088</v>
      </c>
    </row>
    <row r="241" spans="5:7" x14ac:dyDescent="0.25">
      <c r="E241" s="11">
        <f t="shared" si="25"/>
        <v>-101</v>
      </c>
      <c r="F241" s="11">
        <f t="shared" si="26"/>
        <v>-9.6844162825051221</v>
      </c>
      <c r="G241" s="11">
        <f t="shared" si="27"/>
        <v>-9.6999277918753517</v>
      </c>
    </row>
    <row r="242" spans="5:7" x14ac:dyDescent="0.25">
      <c r="E242" s="11">
        <f t="shared" si="25"/>
        <v>-100</v>
      </c>
      <c r="F242" s="11">
        <f t="shared" si="26"/>
        <v>-9.5864259623315267</v>
      </c>
      <c r="G242" s="11">
        <f t="shared" si="27"/>
        <v>-9.6084586264977521</v>
      </c>
    </row>
    <row r="243" spans="5:7" x14ac:dyDescent="0.25">
      <c r="E243" s="11">
        <f t="shared" si="25"/>
        <v>-99</v>
      </c>
      <c r="F243" s="11">
        <f t="shared" si="26"/>
        <v>-9.4868363503707691</v>
      </c>
      <c r="G243" s="11">
        <f t="shared" si="27"/>
        <v>-9.5151206096755807</v>
      </c>
    </row>
    <row r="244" spans="5:7" x14ac:dyDescent="0.25">
      <c r="E244" s="11">
        <f t="shared" si="25"/>
        <v>-98</v>
      </c>
      <c r="F244" s="11">
        <f t="shared" si="26"/>
        <v>-9.385736453716925</v>
      </c>
      <c r="G244" s="11">
        <f t="shared" si="27"/>
        <v>-9.4198202988366084</v>
      </c>
    </row>
    <row r="245" spans="5:7" x14ac:dyDescent="0.25">
      <c r="E245" s="11">
        <f t="shared" si="25"/>
        <v>-97</v>
      </c>
      <c r="F245" s="11">
        <f t="shared" si="26"/>
        <v>-9.2832180944301559</v>
      </c>
      <c r="G245" s="11">
        <f t="shared" si="27"/>
        <v>-9.3224642514086078</v>
      </c>
    </row>
    <row r="246" spans="5:7" x14ac:dyDescent="0.25">
      <c r="E246" s="11">
        <f t="shared" si="25"/>
        <v>-96</v>
      </c>
      <c r="F246" s="11">
        <f t="shared" si="26"/>
        <v>-9.1793753331637404</v>
      </c>
      <c r="G246" s="11">
        <f t="shared" si="27"/>
        <v>-9.2229590248193496</v>
      </c>
    </row>
    <row r="247" spans="5:7" x14ac:dyDescent="0.25">
      <c r="E247" s="11">
        <f t="shared" si="25"/>
        <v>-95</v>
      </c>
      <c r="F247" s="11">
        <f t="shared" si="26"/>
        <v>-9.0743039255728313</v>
      </c>
      <c r="G247" s="11">
        <f t="shared" si="27"/>
        <v>-9.1212111764966064</v>
      </c>
    </row>
    <row r="248" spans="5:7" x14ac:dyDescent="0.25">
      <c r="E248" s="11">
        <f t="shared" si="25"/>
        <v>-94</v>
      </c>
      <c r="F248" s="11">
        <f t="shared" si="26"/>
        <v>-8.968100810553354</v>
      </c>
      <c r="G248" s="11">
        <f t="shared" si="27"/>
        <v>-9.0171272638681472</v>
      </c>
    </row>
    <row r="249" spans="5:7" x14ac:dyDescent="0.25">
      <c r="E249" s="11">
        <f t="shared" si="25"/>
        <v>-93</v>
      </c>
      <c r="F249" s="11">
        <f t="shared" si="26"/>
        <v>-8.8608636293715115</v>
      </c>
      <c r="G249" s="11">
        <f t="shared" si="27"/>
        <v>-8.9106138443617464</v>
      </c>
    </row>
    <row r="250" spans="5:7" x14ac:dyDescent="0.25">
      <c r="E250" s="11">
        <f t="shared" si="25"/>
        <v>-92</v>
      </c>
      <c r="F250" s="11">
        <f t="shared" si="26"/>
        <v>-8.7526902747564161</v>
      </c>
      <c r="G250" s="11">
        <f t="shared" si="27"/>
        <v>-8.8015774754051748</v>
      </c>
    </row>
    <row r="251" spans="5:7" x14ac:dyDescent="0.25">
      <c r="E251" s="11">
        <f t="shared" si="25"/>
        <v>-91</v>
      </c>
      <c r="F251" s="11">
        <f t="shared" si="26"/>
        <v>-8.6436784690404522</v>
      </c>
      <c r="G251" s="11">
        <f t="shared" si="27"/>
        <v>-8.6899247144262031</v>
      </c>
    </row>
    <row r="252" spans="5:7" x14ac:dyDescent="0.25">
      <c r="E252" s="11">
        <f t="shared" si="25"/>
        <v>-90</v>
      </c>
      <c r="F252" s="11">
        <f t="shared" si="26"/>
        <v>-8.5339253704440203</v>
      </c>
      <c r="G252" s="11">
        <f t="shared" si="27"/>
        <v>-8.5755621188526021</v>
      </c>
    </row>
    <row r="253" spans="5:7" x14ac:dyDescent="0.25">
      <c r="E253" s="11">
        <f t="shared" si="25"/>
        <v>-89</v>
      </c>
      <c r="F253" s="11">
        <f t="shared" si="26"/>
        <v>-8.4235272066134037</v>
      </c>
      <c r="G253" s="11">
        <f t="shared" si="27"/>
        <v>-8.4583962461121427</v>
      </c>
    </row>
    <row r="254" spans="5:7" x14ac:dyDescent="0.25">
      <c r="E254" s="11">
        <f t="shared" si="25"/>
        <v>-88</v>
      </c>
      <c r="F254" s="11">
        <f t="shared" si="26"/>
        <v>-8.3125789345325138</v>
      </c>
      <c r="G254" s="11">
        <f t="shared" si="27"/>
        <v>-8.3383336536325992</v>
      </c>
    </row>
    <row r="255" spans="5:7" x14ac:dyDescent="0.25">
      <c r="E255" s="11">
        <f t="shared" si="25"/>
        <v>-87</v>
      </c>
      <c r="F255" s="11">
        <f t="shared" si="26"/>
        <v>-8.2011739259413723</v>
      </c>
      <c r="G255" s="11">
        <f t="shared" si="27"/>
        <v>-8.2152808988417405</v>
      </c>
    </row>
    <row r="256" spans="5:7" x14ac:dyDescent="0.25">
      <c r="E256" s="11">
        <f t="shared" si="25"/>
        <v>-86</v>
      </c>
      <c r="F256" s="11">
        <f t="shared" si="26"/>
        <v>-8.089403677406267</v>
      </c>
      <c r="G256" s="11">
        <f t="shared" si="27"/>
        <v>-8.0891445391673393</v>
      </c>
    </row>
    <row r="257" spans="5:7" x14ac:dyDescent="0.25">
      <c r="E257" s="11">
        <f t="shared" si="25"/>
        <v>-85</v>
      </c>
      <c r="F257" s="11">
        <f t="shared" si="26"/>
        <v>-7.9773575441985063</v>
      </c>
      <c r="G257" s="11">
        <f t="shared" si="27"/>
        <v>-7.9598311320371664</v>
      </c>
    </row>
    <row r="258" spans="5:7" x14ac:dyDescent="0.25">
      <c r="E258" s="11">
        <f t="shared" si="25"/>
        <v>-84</v>
      </c>
      <c r="F258" s="11">
        <f t="shared" si="26"/>
        <v>-7.8651224971508764</v>
      </c>
      <c r="G258" s="11">
        <f t="shared" si="27"/>
        <v>-7.8272472348789943</v>
      </c>
    </row>
    <row r="259" spans="5:7" x14ac:dyDescent="0.25">
      <c r="E259" s="11">
        <f t="shared" si="25"/>
        <v>-83</v>
      </c>
      <c r="F259" s="11">
        <f t="shared" si="26"/>
        <v>-7.7527829016728127</v>
      </c>
      <c r="G259" s="11">
        <f t="shared" si="27"/>
        <v>-7.691299405120593</v>
      </c>
    </row>
    <row r="260" spans="5:7" x14ac:dyDescent="0.25">
      <c r="E260" s="11">
        <f t="shared" si="25"/>
        <v>-82</v>
      </c>
      <c r="F260" s="11">
        <f t="shared" si="26"/>
        <v>-7.6404203181175685</v>
      </c>
      <c r="G260" s="11">
        <f t="shared" si="27"/>
        <v>-7.551894200189734</v>
      </c>
    </row>
    <row r="261" spans="5:7" x14ac:dyDescent="0.25">
      <c r="E261" s="11">
        <f t="shared" si="25"/>
        <v>-81</v>
      </c>
      <c r="F261" s="11">
        <f t="shared" si="26"/>
        <v>-7.5281133227064867</v>
      </c>
      <c r="G261" s="11">
        <f t="shared" si="27"/>
        <v>-7.4089381775141891</v>
      </c>
    </row>
    <row r="262" spans="5:7" x14ac:dyDescent="0.25">
      <c r="E262" s="11">
        <f t="shared" si="25"/>
        <v>-80</v>
      </c>
      <c r="F262" s="11">
        <f t="shared" si="26"/>
        <v>-7.4159373482277706</v>
      </c>
      <c r="G262" s="11">
        <f t="shared" si="27"/>
        <v>-7.262337894521731</v>
      </c>
    </row>
    <row r="263" spans="5:7" x14ac:dyDescent="0.25">
      <c r="E263" s="11">
        <f t="shared" si="25"/>
        <v>-79</v>
      </c>
      <c r="F263" s="11">
        <f t="shared" si="26"/>
        <v>-7.3039645437390304</v>
      </c>
      <c r="G263" s="11">
        <f t="shared" si="27"/>
        <v>-7.1854783316087749</v>
      </c>
    </row>
    <row r="264" spans="5:7" x14ac:dyDescent="0.25">
      <c r="E264" s="11">
        <f t="shared" si="25"/>
        <v>-78</v>
      </c>
      <c r="F264" s="11">
        <f t="shared" si="26"/>
        <v>-7.1922636525150905</v>
      </c>
      <c r="G264" s="11">
        <f t="shared" si="27"/>
        <v>-7.1051016585778886</v>
      </c>
    </row>
    <row r="265" spans="5:7" x14ac:dyDescent="0.25">
      <c r="E265" s="11">
        <f t="shared" si="25"/>
        <v>-77</v>
      </c>
      <c r="F265" s="11">
        <f t="shared" si="26"/>
        <v>-7.0808999074944783</v>
      </c>
      <c r="G265" s="11">
        <f t="shared" si="27"/>
        <v>-7.021428468200285</v>
      </c>
    </row>
    <row r="266" spans="5:7" x14ac:dyDescent="0.25">
      <c r="E266" s="11">
        <f t="shared" si="25"/>
        <v>-76</v>
      </c>
      <c r="F266" s="11">
        <f t="shared" si="26"/>
        <v>-6.9699349434901858</v>
      </c>
      <c r="G266" s="11">
        <f t="shared" si="27"/>
        <v>-6.9346793532471782</v>
      </c>
    </row>
    <row r="267" spans="5:7" x14ac:dyDescent="0.25">
      <c r="E267" s="11">
        <f t="shared" si="25"/>
        <v>-75</v>
      </c>
      <c r="F267" s="11">
        <f t="shared" si="26"/>
        <v>-6.8594267254422991</v>
      </c>
      <c r="G267" s="11">
        <f t="shared" si="27"/>
        <v>-6.8450749064897787</v>
      </c>
    </row>
    <row r="268" spans="5:7" x14ac:dyDescent="0.25">
      <c r="E268" s="11">
        <f t="shared" si="25"/>
        <v>-74</v>
      </c>
      <c r="F268" s="11">
        <f t="shared" si="26"/>
        <v>-6.7494294920021671</v>
      </c>
      <c r="G268" s="11">
        <f t="shared" si="27"/>
        <v>-6.7528357206993004</v>
      </c>
    </row>
    <row r="269" spans="5:7" x14ac:dyDescent="0.25">
      <c r="E269" s="11">
        <f t="shared" si="25"/>
        <v>-73</v>
      </c>
      <c r="F269" s="11">
        <f t="shared" si="26"/>
        <v>-6.6399937137498393</v>
      </c>
      <c r="G269" s="11">
        <f t="shared" si="27"/>
        <v>-6.6581823886469564</v>
      </c>
    </row>
    <row r="270" spans="5:7" x14ac:dyDescent="0.25">
      <c r="E270" s="11">
        <f t="shared" si="25"/>
        <v>-72</v>
      </c>
      <c r="F270" s="11">
        <f t="shared" si="26"/>
        <v>-6.5311660653585797</v>
      </c>
      <c r="G270" s="11">
        <f t="shared" si="27"/>
        <v>-6.56133550310396</v>
      </c>
    </row>
    <row r="271" spans="5:7" x14ac:dyDescent="0.25">
      <c r="E271" s="11">
        <f t="shared" si="25"/>
        <v>-71</v>
      </c>
      <c r="F271" s="11">
        <f t="shared" si="26"/>
        <v>-6.4229894110323356</v>
      </c>
      <c r="G271" s="11">
        <f t="shared" si="27"/>
        <v>-6.4625156568415232</v>
      </c>
    </row>
    <row r="272" spans="5:7" x14ac:dyDescent="0.25">
      <c r="E272" s="11">
        <f t="shared" si="25"/>
        <v>-70</v>
      </c>
      <c r="F272" s="11">
        <f t="shared" si="26"/>
        <v>-6.3155028025540476</v>
      </c>
      <c r="G272" s="11">
        <f t="shared" si="27"/>
        <v>-6.3619434426308583</v>
      </c>
    </row>
    <row r="273" spans="5:7" x14ac:dyDescent="0.25">
      <c r="E273" s="11">
        <f t="shared" si="25"/>
        <v>-69</v>
      </c>
      <c r="F273" s="11">
        <f t="shared" si="26"/>
        <v>-6.2087414892948294</v>
      </c>
      <c r="G273" s="11">
        <f t="shared" si="27"/>
        <v>-6.2598394532431785</v>
      </c>
    </row>
    <row r="274" spans="5:7" x14ac:dyDescent="0.25">
      <c r="E274" s="11">
        <f t="shared" si="25"/>
        <v>-68</v>
      </c>
      <c r="F274" s="11">
        <f t="shared" si="26"/>
        <v>-6.1027369395460678</v>
      </c>
      <c r="G274" s="11">
        <f t="shared" si="27"/>
        <v>-6.1564242814496986</v>
      </c>
    </row>
    <row r="275" spans="5:7" x14ac:dyDescent="0.25">
      <c r="E275" s="11">
        <f t="shared" si="25"/>
        <v>-67</v>
      </c>
      <c r="F275" s="11">
        <f t="shared" si="26"/>
        <v>-5.99751687254851</v>
      </c>
      <c r="G275" s="11">
        <f t="shared" si="27"/>
        <v>-6.0519185200216281</v>
      </c>
    </row>
    <row r="276" spans="5:7" x14ac:dyDescent="0.25">
      <c r="E276" s="11">
        <f t="shared" si="25"/>
        <v>-66</v>
      </c>
      <c r="F276" s="11">
        <f t="shared" si="26"/>
        <v>-5.8931053006046046</v>
      </c>
      <c r="G276" s="11">
        <f t="shared" si="27"/>
        <v>-5.9465427617301829</v>
      </c>
    </row>
    <row r="277" spans="5:7" x14ac:dyDescent="0.25">
      <c r="E277" s="11">
        <f t="shared" si="25"/>
        <v>-65</v>
      </c>
      <c r="F277" s="11">
        <f t="shared" si="26"/>
        <v>-5.7895225806722612</v>
      </c>
      <c r="G277" s="11">
        <f t="shared" si="27"/>
        <v>-5.8405175993465734</v>
      </c>
    </row>
    <row r="278" spans="5:7" x14ac:dyDescent="0.25">
      <c r="E278" s="11">
        <f t="shared" si="25"/>
        <v>-64</v>
      </c>
      <c r="F278" s="11">
        <f t="shared" si="26"/>
        <v>-5.6867854748503763</v>
      </c>
      <c r="G278" s="11">
        <f t="shared" si="27"/>
        <v>-5.7340636256420146</v>
      </c>
    </row>
    <row r="279" spans="5:7" x14ac:dyDescent="0.25">
      <c r="E279" s="11">
        <f t="shared" si="25"/>
        <v>-63</v>
      </c>
      <c r="F279" s="11">
        <f t="shared" si="26"/>
        <v>-5.5849072191784872</v>
      </c>
      <c r="G279" s="11">
        <f t="shared" si="27"/>
        <v>-5.6274014333877176</v>
      </c>
    </row>
    <row r="280" spans="5:7" x14ac:dyDescent="0.25">
      <c r="E280" s="11">
        <f t="shared" si="25"/>
        <v>-62</v>
      </c>
      <c r="F280" s="11">
        <f t="shared" si="26"/>
        <v>-5.4838976001849842</v>
      </c>
      <c r="G280" s="11">
        <f t="shared" si="27"/>
        <v>-5.5207516153548966</v>
      </c>
    </row>
    <row r="281" spans="5:7" x14ac:dyDescent="0.25">
      <c r="E281" s="11">
        <f t="shared" si="25"/>
        <v>-61</v>
      </c>
      <c r="F281" s="11">
        <f t="shared" si="26"/>
        <v>-5.3837630386303976</v>
      </c>
      <c r="G281" s="11">
        <f t="shared" si="27"/>
        <v>-5.4143347643147628</v>
      </c>
    </row>
    <row r="282" spans="5:7" x14ac:dyDescent="0.25">
      <c r="E282" s="11">
        <f t="shared" si="25"/>
        <v>-60</v>
      </c>
      <c r="F282" s="11">
        <f t="shared" si="26"/>
        <v>-5.2845066799042755</v>
      </c>
      <c r="G282" s="11">
        <f t="shared" si="27"/>
        <v>-5.3083714730385303</v>
      </c>
    </row>
    <row r="283" spans="5:7" x14ac:dyDescent="0.25">
      <c r="E283" s="11">
        <f t="shared" si="25"/>
        <v>-59</v>
      </c>
      <c r="F283" s="11">
        <f t="shared" si="26"/>
        <v>-5.1861284905463396</v>
      </c>
      <c r="G283" s="11">
        <f t="shared" si="27"/>
        <v>-5.2030823342974131</v>
      </c>
    </row>
    <row r="284" spans="5:7" x14ac:dyDescent="0.25">
      <c r="E284" s="11">
        <f t="shared" si="25"/>
        <v>-58</v>
      </c>
      <c r="F284" s="11">
        <f t="shared" si="26"/>
        <v>-5.0886253603745466</v>
      </c>
      <c r="G284" s="11">
        <f t="shared" si="27"/>
        <v>-5.0986879408626198</v>
      </c>
    </row>
    <row r="285" spans="5:7" x14ac:dyDescent="0.25">
      <c r="E285" s="11">
        <f t="shared" si="25"/>
        <v>-57</v>
      </c>
      <c r="F285" s="11">
        <f t="shared" si="26"/>
        <v>-4.9919912097148522</v>
      </c>
      <c r="G285" s="11">
        <f t="shared" si="27"/>
        <v>-4.995408885505368</v>
      </c>
    </row>
    <row r="286" spans="5:7" x14ac:dyDescent="0.25">
      <c r="E286" s="11">
        <f t="shared" si="25"/>
        <v>-56</v>
      </c>
      <c r="F286" s="11">
        <f t="shared" si="26"/>
        <v>-4.8962171012394622</v>
      </c>
      <c r="G286" s="11">
        <f t="shared" si="27"/>
        <v>-4.8934657609968681</v>
      </c>
    </row>
    <row r="287" spans="5:7" x14ac:dyDescent="0.25">
      <c r="E287" s="11">
        <f t="shared" ref="E287:E350" si="28">E80</f>
        <v>-55</v>
      </c>
      <c r="F287" s="11">
        <f t="shared" ref="F287:F350" si="29">$H$217*0+E287*$I$217+E287^2*$J$217+E287^3*$K$217+E287^4*$L$217+E287^5*$M$217+E287^6*$N$217+E287^7*$O$217+E287^8*$P$217</f>
        <v>-4.8012913559324666</v>
      </c>
      <c r="G287" s="11">
        <f t="shared" ref="G287:G350" si="30">F80</f>
        <v>-4.7930791601083342</v>
      </c>
    </row>
    <row r="288" spans="5:7" x14ac:dyDescent="0.25">
      <c r="E288" s="11">
        <f t="shared" si="28"/>
        <v>-54</v>
      </c>
      <c r="F288" s="11">
        <f t="shared" si="29"/>
        <v>-4.7071996727137888</v>
      </c>
      <c r="G288" s="11">
        <f t="shared" si="30"/>
        <v>-4.6944188135043783</v>
      </c>
    </row>
    <row r="289" spans="5:7" x14ac:dyDescent="0.25">
      <c r="E289" s="11">
        <f t="shared" si="28"/>
        <v>-53</v>
      </c>
      <c r="F289" s="11">
        <f t="shared" si="29"/>
        <v>-4.6139252512644582</v>
      </c>
      <c r="G289" s="11">
        <f t="shared" si="30"/>
        <v>-4.5974510034232212</v>
      </c>
    </row>
    <row r="290" spans="5:7" x14ac:dyDescent="0.25">
      <c r="E290" s="11">
        <f t="shared" si="28"/>
        <v>-52</v>
      </c>
      <c r="F290" s="11">
        <f t="shared" si="29"/>
        <v>-4.5214489176082751</v>
      </c>
      <c r="G290" s="11">
        <f t="shared" si="30"/>
        <v>-4.502091149996482</v>
      </c>
    </row>
    <row r="291" spans="5:7" x14ac:dyDescent="0.25">
      <c r="E291" s="11">
        <f t="shared" si="28"/>
        <v>-51</v>
      </c>
      <c r="F291" s="11">
        <f t="shared" si="29"/>
        <v>-4.429749252017003</v>
      </c>
      <c r="G291" s="11">
        <f t="shared" si="30"/>
        <v>-4.4082546733557813</v>
      </c>
    </row>
    <row r="292" spans="5:7" x14ac:dyDescent="0.25">
      <c r="E292" s="11">
        <f t="shared" si="28"/>
        <v>-50</v>
      </c>
      <c r="F292" s="11">
        <f t="shared" si="29"/>
        <v>-4.3388027188182727</v>
      </c>
      <c r="G292" s="11">
        <f t="shared" si="30"/>
        <v>-4.315856993632738</v>
      </c>
    </row>
    <row r="293" spans="5:7" x14ac:dyDescent="0.25">
      <c r="E293" s="11">
        <f t="shared" si="28"/>
        <v>-49</v>
      </c>
      <c r="F293" s="11">
        <f t="shared" si="29"/>
        <v>-4.2485837976974672</v>
      </c>
      <c r="G293" s="11">
        <f t="shared" si="30"/>
        <v>-4.2248135309589738</v>
      </c>
    </row>
    <row r="294" spans="5:7" x14ac:dyDescent="0.25">
      <c r="E294" s="11">
        <f t="shared" si="28"/>
        <v>-48</v>
      </c>
      <c r="F294" s="11">
        <f t="shared" si="29"/>
        <v>-4.1590651160969125</v>
      </c>
      <c r="G294" s="11">
        <f t="shared" si="30"/>
        <v>-4.1350397054661077</v>
      </c>
    </row>
    <row r="295" spans="5:7" x14ac:dyDescent="0.25">
      <c r="E295" s="11">
        <f t="shared" si="28"/>
        <v>-47</v>
      </c>
      <c r="F295" s="11">
        <f t="shared" si="29"/>
        <v>-4.0702175823277393</v>
      </c>
      <c r="G295" s="11">
        <f t="shared" si="30"/>
        <v>-4.0464509372857602</v>
      </c>
    </row>
    <row r="296" spans="5:7" x14ac:dyDescent="0.25">
      <c r="E296" s="11">
        <f t="shared" si="28"/>
        <v>-46</v>
      </c>
      <c r="F296" s="11">
        <f t="shared" si="29"/>
        <v>-3.9820105190218942</v>
      </c>
      <c r="G296" s="11">
        <f t="shared" si="30"/>
        <v>-3.9589626465495504</v>
      </c>
    </row>
    <row r="297" spans="5:7" x14ac:dyDescent="0.25">
      <c r="E297" s="11">
        <f t="shared" si="28"/>
        <v>-45</v>
      </c>
      <c r="F297" s="11">
        <f t="shared" si="29"/>
        <v>-3.894411796563793</v>
      </c>
      <c r="G297" s="11">
        <f t="shared" si="30"/>
        <v>-3.872490253389099</v>
      </c>
    </row>
    <row r="298" spans="5:7" x14ac:dyDescent="0.25">
      <c r="E298" s="11">
        <f t="shared" si="28"/>
        <v>-44</v>
      </c>
      <c r="F298" s="11">
        <f t="shared" si="29"/>
        <v>-3.8073879661531911</v>
      </c>
      <c r="G298" s="11">
        <f t="shared" si="30"/>
        <v>-3.7869491779360267</v>
      </c>
    </row>
    <row r="299" spans="5:7" x14ac:dyDescent="0.25">
      <c r="E299" s="11">
        <f t="shared" si="28"/>
        <v>-43</v>
      </c>
      <c r="F299" s="11">
        <f t="shared" si="29"/>
        <v>-3.7209043921629243</v>
      </c>
      <c r="G299" s="11">
        <f t="shared" si="30"/>
        <v>-3.7022548403219533</v>
      </c>
    </row>
    <row r="300" spans="5:7" x14ac:dyDescent="0.25">
      <c r="E300" s="11">
        <f t="shared" si="28"/>
        <v>-42</v>
      </c>
      <c r="F300" s="11">
        <f t="shared" si="29"/>
        <v>-3.6349253834672095</v>
      </c>
      <c r="G300" s="11">
        <f t="shared" si="30"/>
        <v>-3.6183226606784977</v>
      </c>
    </row>
    <row r="301" spans="5:7" x14ac:dyDescent="0.25">
      <c r="E301" s="11">
        <f t="shared" si="28"/>
        <v>-41</v>
      </c>
      <c r="F301" s="11">
        <f t="shared" si="29"/>
        <v>-3.5494143234282838</v>
      </c>
      <c r="G301" s="11">
        <f t="shared" si="30"/>
        <v>-3.5350680591372807</v>
      </c>
    </row>
    <row r="302" spans="5:7" x14ac:dyDescent="0.25">
      <c r="E302" s="11">
        <f t="shared" si="28"/>
        <v>-40</v>
      </c>
      <c r="F302" s="11">
        <f t="shared" si="29"/>
        <v>-3.4643337982411881</v>
      </c>
      <c r="G302" s="11">
        <f t="shared" si="30"/>
        <v>-3.452406455829923</v>
      </c>
    </row>
    <row r="303" spans="5:7" x14ac:dyDescent="0.25">
      <c r="E303" s="11">
        <f t="shared" si="28"/>
        <v>-39</v>
      </c>
      <c r="F303" s="11">
        <f t="shared" si="29"/>
        <v>-3.3796457233486303</v>
      </c>
      <c r="G303" s="11">
        <f t="shared" si="30"/>
        <v>-3.3702532708880439</v>
      </c>
    </row>
    <row r="304" spans="5:7" x14ac:dyDescent="0.25">
      <c r="E304" s="11">
        <f t="shared" si="28"/>
        <v>-38</v>
      </c>
      <c r="F304" s="11">
        <f t="shared" si="29"/>
        <v>-3.2953114676498343</v>
      </c>
      <c r="G304" s="11">
        <f t="shared" si="30"/>
        <v>-3.2885239244432634</v>
      </c>
    </row>
    <row r="305" spans="5:7" x14ac:dyDescent="0.25">
      <c r="E305" s="11">
        <f t="shared" si="28"/>
        <v>-37</v>
      </c>
      <c r="F305" s="11">
        <f t="shared" si="29"/>
        <v>-3.2112919752394373</v>
      </c>
      <c r="G305" s="11">
        <f t="shared" si="30"/>
        <v>-3.207133836627202</v>
      </c>
    </row>
    <row r="306" spans="5:7" x14ac:dyDescent="0.25">
      <c r="E306" s="11">
        <f t="shared" si="28"/>
        <v>-36</v>
      </c>
      <c r="F306" s="11">
        <f t="shared" si="29"/>
        <v>-3.1275478844244877</v>
      </c>
      <c r="G306" s="11">
        <f t="shared" si="30"/>
        <v>-3.1259984275714787</v>
      </c>
    </row>
    <row r="307" spans="5:7" x14ac:dyDescent="0.25">
      <c r="E307" s="11">
        <f t="shared" si="28"/>
        <v>-35</v>
      </c>
      <c r="F307" s="11">
        <f t="shared" si="29"/>
        <v>-3.0440396437797199</v>
      </c>
      <c r="G307" s="11">
        <f t="shared" si="30"/>
        <v>-3.0450331174077148</v>
      </c>
    </row>
    <row r="308" spans="5:7" x14ac:dyDescent="0.25">
      <c r="E308" s="11">
        <f t="shared" si="28"/>
        <v>-34</v>
      </c>
      <c r="F308" s="11">
        <f t="shared" si="29"/>
        <v>-2.9607276250132806</v>
      </c>
      <c r="G308" s="11">
        <f t="shared" si="30"/>
        <v>-2.9641533262675299</v>
      </c>
    </row>
    <row r="309" spans="5:7" x14ac:dyDescent="0.25">
      <c r="E309" s="11">
        <f t="shared" si="28"/>
        <v>-33</v>
      </c>
      <c r="F309" s="11">
        <f t="shared" si="29"/>
        <v>-2.8775722324272199</v>
      </c>
      <c r="G309" s="11">
        <f t="shared" si="30"/>
        <v>-2.883274474282544</v>
      </c>
    </row>
    <row r="310" spans="5:7" x14ac:dyDescent="0.25">
      <c r="E310" s="11">
        <f t="shared" si="28"/>
        <v>-32</v>
      </c>
      <c r="F310" s="11">
        <f t="shared" si="29"/>
        <v>-2.7945340087690478</v>
      </c>
      <c r="G310" s="11">
        <f t="shared" si="30"/>
        <v>-2.8023119815843769</v>
      </c>
    </row>
    <row r="311" spans="5:7" x14ac:dyDescent="0.25">
      <c r="E311" s="11">
        <f t="shared" si="28"/>
        <v>-31</v>
      </c>
      <c r="F311" s="11">
        <f t="shared" si="29"/>
        <v>-2.7115737372827842</v>
      </c>
      <c r="G311" s="11">
        <f t="shared" si="30"/>
        <v>-2.7211812683046492</v>
      </c>
    </row>
    <row r="312" spans="5:7" x14ac:dyDescent="0.25">
      <c r="E312" s="11">
        <f t="shared" si="28"/>
        <v>-30</v>
      </c>
      <c r="F312" s="11">
        <f t="shared" si="29"/>
        <v>-2.6286525397799543</v>
      </c>
      <c r="G312" s="11">
        <f t="shared" si="30"/>
        <v>-2.6397977545749804</v>
      </c>
    </row>
    <row r="313" spans="5:7" x14ac:dyDescent="0.25">
      <c r="E313" s="11">
        <f t="shared" si="28"/>
        <v>-29</v>
      </c>
      <c r="F313" s="11">
        <f t="shared" si="29"/>
        <v>-2.545731970563049</v>
      </c>
      <c r="G313" s="11">
        <f t="shared" si="30"/>
        <v>-2.558089407786758</v>
      </c>
    </row>
    <row r="314" spans="5:7" x14ac:dyDescent="0.25">
      <c r="E314" s="11">
        <f t="shared" si="28"/>
        <v>-28</v>
      </c>
      <c r="F314" s="11">
        <f t="shared" si="29"/>
        <v>-2.4627741060460684</v>
      </c>
      <c r="G314" s="11">
        <f t="shared" si="30"/>
        <v>-2.4760343843704344</v>
      </c>
    </row>
    <row r="315" spans="5:7" x14ac:dyDescent="0.25">
      <c r="E315" s="11">
        <f t="shared" si="28"/>
        <v>-27</v>
      </c>
      <c r="F315" s="11">
        <f t="shared" si="29"/>
        <v>-2.3797416299287608</v>
      </c>
      <c r="G315" s="11">
        <f t="shared" si="30"/>
        <v>-2.3936233880162314</v>
      </c>
    </row>
    <row r="316" spans="5:7" x14ac:dyDescent="0.25">
      <c r="E316" s="11">
        <f t="shared" si="28"/>
        <v>-26</v>
      </c>
      <c r="F316" s="11">
        <f t="shared" si="29"/>
        <v>-2.2965979137933243</v>
      </c>
      <c r="G316" s="11">
        <f t="shared" si="30"/>
        <v>-2.3108471224143696</v>
      </c>
    </row>
    <row r="317" spans="5:7" x14ac:dyDescent="0.25">
      <c r="E317" s="11">
        <f t="shared" si="28"/>
        <v>-25</v>
      </c>
      <c r="F317" s="11">
        <f t="shared" si="29"/>
        <v>-2.2133070930043042</v>
      </c>
      <c r="G317" s="11">
        <f t="shared" si="30"/>
        <v>-2.2276962912550689</v>
      </c>
    </row>
    <row r="318" spans="5:7" x14ac:dyDescent="0.25">
      <c r="E318" s="11">
        <f t="shared" si="28"/>
        <v>-24</v>
      </c>
      <c r="F318" s="11">
        <f t="shared" si="29"/>
        <v>-2.1298341378045746</v>
      </c>
      <c r="G318" s="11">
        <f t="shared" si="30"/>
        <v>-2.1441615982285502</v>
      </c>
    </row>
    <row r="319" spans="5:7" x14ac:dyDescent="0.25">
      <c r="E319" s="11">
        <f t="shared" si="28"/>
        <v>-23</v>
      </c>
      <c r="F319" s="11">
        <f t="shared" si="29"/>
        <v>-2.0461449195122681</v>
      </c>
      <c r="G319" s="11">
        <f t="shared" si="30"/>
        <v>-2.0602337470250331</v>
      </c>
    </row>
    <row r="320" spans="5:7" x14ac:dyDescent="0.25">
      <c r="E320" s="11">
        <f t="shared" si="28"/>
        <v>-22</v>
      </c>
      <c r="F320" s="11">
        <f t="shared" si="29"/>
        <v>-1.9622062717356716</v>
      </c>
      <c r="G320" s="11">
        <f t="shared" si="30"/>
        <v>-1.9759034413347392</v>
      </c>
    </row>
    <row r="321" spans="5:7" x14ac:dyDescent="0.25">
      <c r="E321" s="11">
        <f t="shared" si="28"/>
        <v>-21</v>
      </c>
      <c r="F321" s="11">
        <f t="shared" si="29"/>
        <v>-1.8779860465350819</v>
      </c>
      <c r="G321" s="11">
        <f t="shared" si="30"/>
        <v>-1.891161384847889</v>
      </c>
    </row>
    <row r="322" spans="5:7" x14ac:dyDescent="0.25">
      <c r="E322" s="11">
        <f t="shared" si="28"/>
        <v>-20</v>
      </c>
      <c r="F322" s="11">
        <f t="shared" si="29"/>
        <v>-1.7934531654727477</v>
      </c>
      <c r="G322" s="11">
        <f t="shared" si="30"/>
        <v>-1.8059982812547024</v>
      </c>
    </row>
    <row r="323" spans="5:7" x14ac:dyDescent="0.25">
      <c r="E323" s="11">
        <f t="shared" si="28"/>
        <v>-19</v>
      </c>
      <c r="F323" s="11">
        <f t="shared" si="29"/>
        <v>-1.708577665504043</v>
      </c>
      <c r="G323" s="11">
        <f t="shared" si="30"/>
        <v>-1.7204048342454001</v>
      </c>
    </row>
    <row r="324" spans="5:7" x14ac:dyDescent="0.25">
      <c r="E324" s="11">
        <f t="shared" si="28"/>
        <v>-18</v>
      </c>
      <c r="F324" s="11">
        <f t="shared" si="29"/>
        <v>-1.6233307396751098</v>
      </c>
      <c r="G324" s="11">
        <f t="shared" si="30"/>
        <v>-1.6343717475102033</v>
      </c>
    </row>
    <row r="325" spans="5:7" x14ac:dyDescent="0.25">
      <c r="E325" s="11">
        <f t="shared" si="28"/>
        <v>-17</v>
      </c>
      <c r="F325" s="11">
        <f t="shared" si="29"/>
        <v>-1.5376847726042464</v>
      </c>
      <c r="G325" s="11">
        <f t="shared" si="30"/>
        <v>-1.5478897247393315</v>
      </c>
    </row>
    <row r="326" spans="5:7" x14ac:dyDescent="0.25">
      <c r="E326" s="11">
        <f t="shared" si="28"/>
        <v>-16</v>
      </c>
      <c r="F326" s="11">
        <f t="shared" si="29"/>
        <v>-1.4516133707364032</v>
      </c>
      <c r="G326" s="11">
        <f t="shared" si="30"/>
        <v>-1.4609494696230059</v>
      </c>
    </row>
    <row r="327" spans="5:7" x14ac:dyDescent="0.25">
      <c r="E327" s="11">
        <f t="shared" si="28"/>
        <v>-15</v>
      </c>
      <c r="F327" s="11">
        <f t="shared" si="29"/>
        <v>-1.3650913873722013</v>
      </c>
      <c r="G327" s="11">
        <f t="shared" si="30"/>
        <v>-1.3735416858514464</v>
      </c>
    </row>
    <row r="328" spans="5:7" x14ac:dyDescent="0.25">
      <c r="E328" s="11">
        <f t="shared" si="28"/>
        <v>-14</v>
      </c>
      <c r="F328" s="11">
        <f t="shared" si="29"/>
        <v>-1.2780949424849399</v>
      </c>
      <c r="G328" s="11">
        <f t="shared" si="30"/>
        <v>-1.2856570771148743</v>
      </c>
    </row>
    <row r="329" spans="5:7" x14ac:dyDescent="0.25">
      <c r="E329" s="11">
        <f t="shared" si="28"/>
        <v>-13</v>
      </c>
      <c r="F329" s="11">
        <f t="shared" si="29"/>
        <v>-1.1906014373511551</v>
      </c>
      <c r="G329" s="11">
        <f t="shared" si="30"/>
        <v>-1.19728634710351</v>
      </c>
    </row>
    <row r="330" spans="5:7" x14ac:dyDescent="0.25">
      <c r="E330" s="11">
        <f t="shared" si="28"/>
        <v>-12</v>
      </c>
      <c r="F330" s="11">
        <f t="shared" si="29"/>
        <v>-1.1025895640323198</v>
      </c>
      <c r="G330" s="11">
        <f t="shared" si="30"/>
        <v>-1.1084201995075735</v>
      </c>
    </row>
    <row r="331" spans="5:7" x14ac:dyDescent="0.25">
      <c r="E331" s="11">
        <f t="shared" si="28"/>
        <v>-11</v>
      </c>
      <c r="F331" s="11">
        <f t="shared" si="29"/>
        <v>-1.0140393097573601</v>
      </c>
      <c r="G331" s="11">
        <f t="shared" si="30"/>
        <v>-1.0190493380172858</v>
      </c>
    </row>
    <row r="332" spans="5:7" x14ac:dyDescent="0.25">
      <c r="E332" s="11">
        <f t="shared" si="28"/>
        <v>-10</v>
      </c>
      <c r="F332" s="11">
        <f t="shared" si="29"/>
        <v>-0.9249319562677244</v>
      </c>
      <c r="G332" s="11">
        <f t="shared" si="30"/>
        <v>-0.9291644663228672</v>
      </c>
    </row>
    <row r="333" spans="5:7" x14ac:dyDescent="0.25">
      <c r="E333" s="11">
        <f t="shared" si="28"/>
        <v>-9</v>
      </c>
      <c r="F333" s="11">
        <f t="shared" si="29"/>
        <v>-0.83525007419879138</v>
      </c>
      <c r="G333" s="11">
        <f t="shared" si="30"/>
        <v>-0.83875628811453828</v>
      </c>
    </row>
    <row r="334" spans="5:7" x14ac:dyDescent="0.25">
      <c r="E334" s="11">
        <f t="shared" si="28"/>
        <v>-8</v>
      </c>
      <c r="F334" s="11">
        <f t="shared" si="29"/>
        <v>-0.74497751258348877</v>
      </c>
      <c r="G334" s="11">
        <f t="shared" si="30"/>
        <v>-0.74781550708251943</v>
      </c>
    </row>
    <row r="335" spans="5:7" x14ac:dyDescent="0.25">
      <c r="E335" s="11">
        <f t="shared" si="28"/>
        <v>-7</v>
      </c>
      <c r="F335" s="11">
        <f t="shared" si="29"/>
        <v>-0.65409938357603747</v>
      </c>
      <c r="G335" s="11">
        <f t="shared" si="30"/>
        <v>-0.65633282691703143</v>
      </c>
    </row>
    <row r="336" spans="5:7" x14ac:dyDescent="0.25">
      <c r="E336" s="11">
        <f t="shared" si="28"/>
        <v>-6</v>
      </c>
      <c r="F336" s="11">
        <f t="shared" si="29"/>
        <v>-0.56260204250580859</v>
      </c>
      <c r="G336" s="11">
        <f t="shared" si="30"/>
        <v>-0.56429895130829477</v>
      </c>
    </row>
    <row r="337" spans="5:7" x14ac:dyDescent="0.25">
      <c r="E337" s="11">
        <f t="shared" si="28"/>
        <v>-5</v>
      </c>
      <c r="F337" s="11">
        <f t="shared" si="29"/>
        <v>-0.47047306338334721</v>
      </c>
      <c r="G337" s="11">
        <f t="shared" si="30"/>
        <v>-0.47170458394652981</v>
      </c>
    </row>
    <row r="338" spans="5:7" x14ac:dyDescent="0.25">
      <c r="E338" s="11">
        <f t="shared" si="28"/>
        <v>-4</v>
      </c>
      <c r="F338" s="11">
        <f t="shared" si="29"/>
        <v>-0.37770120999267215</v>
      </c>
      <c r="G338" s="11">
        <f t="shared" si="30"/>
        <v>-0.37854042852195713</v>
      </c>
    </row>
    <row r="339" spans="5:7" x14ac:dyDescent="0.25">
      <c r="E339" s="11">
        <f t="shared" si="28"/>
        <v>-3</v>
      </c>
      <c r="F339" s="11">
        <f t="shared" si="29"/>
        <v>-0.2842764027160305</v>
      </c>
      <c r="G339" s="11">
        <f t="shared" si="30"/>
        <v>-0.28479718872479726</v>
      </c>
    </row>
    <row r="340" spans="5:7" x14ac:dyDescent="0.25">
      <c r="E340" s="11">
        <f t="shared" si="28"/>
        <v>-2</v>
      </c>
      <c r="F340" s="11">
        <f t="shared" si="29"/>
        <v>-0.19018968124934779</v>
      </c>
      <c r="G340" s="11">
        <f t="shared" si="30"/>
        <v>-0.19046556824527078</v>
      </c>
    </row>
    <row r="341" spans="5:7" x14ac:dyDescent="0.25">
      <c r="E341" s="11">
        <f t="shared" si="28"/>
        <v>-1</v>
      </c>
      <c r="F341" s="11">
        <f t="shared" si="29"/>
        <v>-9.5433163378674468E-2</v>
      </c>
      <c r="G341" s="11">
        <f t="shared" si="30"/>
        <v>-9.5536270773598192E-2</v>
      </c>
    </row>
    <row r="342" spans="5:7" x14ac:dyDescent="0.25">
      <c r="E342" s="11">
        <f t="shared" si="28"/>
        <v>0</v>
      </c>
      <c r="F342" s="11">
        <f t="shared" si="29"/>
        <v>0</v>
      </c>
      <c r="G342" s="11">
        <f t="shared" si="30"/>
        <v>0</v>
      </c>
    </row>
    <row r="343" spans="5:7" x14ac:dyDescent="0.25">
      <c r="E343" s="11">
        <f t="shared" si="28"/>
        <v>1</v>
      </c>
      <c r="F343" s="11">
        <f t="shared" si="29"/>
        <v>9.6115673423138703E-2</v>
      </c>
      <c r="G343" s="11">
        <f t="shared" si="30"/>
        <v>9.6151936466568819E-2</v>
      </c>
    </row>
    <row r="344" spans="5:7" x14ac:dyDescent="0.25">
      <c r="E344" s="11">
        <f t="shared" si="28"/>
        <v>2</v>
      </c>
      <c r="F344" s="11">
        <f t="shared" si="29"/>
        <v>0.19291878875775795</v>
      </c>
      <c r="G344" s="11">
        <f t="shared" si="30"/>
        <v>0.19292581534221545</v>
      </c>
    </row>
    <row r="345" spans="5:7" x14ac:dyDescent="0.25">
      <c r="E345" s="11">
        <f t="shared" si="28"/>
        <v>3</v>
      </c>
      <c r="F345" s="11">
        <f t="shared" si="29"/>
        <v>0.29041340023668094</v>
      </c>
      <c r="G345" s="11">
        <f t="shared" si="30"/>
        <v>0.29032730942431267</v>
      </c>
    </row>
    <row r="346" spans="5:7" x14ac:dyDescent="0.25">
      <c r="E346" s="11">
        <f t="shared" si="28"/>
        <v>4</v>
      </c>
      <c r="F346" s="11">
        <f t="shared" si="29"/>
        <v>0.38860274240032328</v>
      </c>
      <c r="G346" s="11">
        <f t="shared" si="30"/>
        <v>0.38836209151023326</v>
      </c>
    </row>
    <row r="347" spans="5:7" x14ac:dyDescent="0.25">
      <c r="E347" s="11">
        <f t="shared" si="28"/>
        <v>5</v>
      </c>
      <c r="F347" s="11">
        <f t="shared" si="29"/>
        <v>0.48748929070232533</v>
      </c>
      <c r="G347" s="11">
        <f t="shared" si="30"/>
        <v>0.48703583439734993</v>
      </c>
    </row>
    <row r="348" spans="5:7" x14ac:dyDescent="0.25">
      <c r="E348" s="11">
        <f t="shared" si="28"/>
        <v>6</v>
      </c>
      <c r="F348" s="11">
        <f t="shared" si="29"/>
        <v>0.58707482452428528</v>
      </c>
      <c r="G348" s="11">
        <f t="shared" si="30"/>
        <v>0.58635421088303552</v>
      </c>
    </row>
    <row r="349" spans="5:7" x14ac:dyDescent="0.25">
      <c r="E349" s="11">
        <f t="shared" si="28"/>
        <v>7</v>
      </c>
      <c r="F349" s="11">
        <f t="shared" si="29"/>
        <v>0.68736049233278018</v>
      </c>
      <c r="G349" s="11">
        <f t="shared" si="30"/>
        <v>0.6863228937646626</v>
      </c>
    </row>
    <row r="350" spans="5:7" x14ac:dyDescent="0.25">
      <c r="E350" s="11">
        <f t="shared" si="28"/>
        <v>8</v>
      </c>
      <c r="F350" s="11">
        <f t="shared" si="29"/>
        <v>0.78834687869980091</v>
      </c>
      <c r="G350" s="11">
        <f t="shared" si="30"/>
        <v>0.78694755583960407</v>
      </c>
    </row>
    <row r="351" spans="5:7" x14ac:dyDescent="0.25">
      <c r="E351" s="11">
        <f t="shared" ref="E351:E414" si="31">E144</f>
        <v>9</v>
      </c>
      <c r="F351" s="11">
        <f t="shared" ref="F351:F414" si="32">$H$217*0+E351*$I$217+E351^2*$J$217+E351^3*$K$217+E351^4*$L$217+E351^5*$M$217+E351^6*$N$217+E351^7*$O$217+E351^8*$P$217</f>
        <v>0.89003407289566328</v>
      </c>
      <c r="G351" s="11">
        <f t="shared" ref="G351:G414" si="33">F144</f>
        <v>0.88823386990523268</v>
      </c>
    </row>
    <row r="352" spans="5:7" x14ac:dyDescent="0.25">
      <c r="E352" s="11">
        <f t="shared" si="31"/>
        <v>10</v>
      </c>
      <c r="F352" s="11">
        <f t="shared" si="32"/>
        <v>0.99242173875139394</v>
      </c>
      <c r="G352" s="11">
        <f t="shared" si="33"/>
        <v>0.99018750875892125</v>
      </c>
    </row>
    <row r="353" spans="5:7" x14ac:dyDescent="0.25">
      <c r="E353" s="11">
        <f t="shared" si="31"/>
        <v>11</v>
      </c>
      <c r="F353" s="11">
        <f t="shared" si="32"/>
        <v>1.095509185475525</v>
      </c>
      <c r="G353" s="11">
        <f t="shared" si="33"/>
        <v>1.0928141451980424</v>
      </c>
    </row>
    <row r="354" spans="5:7" x14ac:dyDescent="0.25">
      <c r="E354" s="11">
        <f t="shared" si="31"/>
        <v>12</v>
      </c>
      <c r="F354" s="11">
        <f t="shared" si="32"/>
        <v>1.1992954390981712</v>
      </c>
      <c r="G354" s="11">
        <f t="shared" si="33"/>
        <v>1.1961194520199689</v>
      </c>
    </row>
    <row r="355" spans="5:7" x14ac:dyDescent="0.25">
      <c r="E355" s="11">
        <f t="shared" si="31"/>
        <v>13</v>
      </c>
      <c r="F355" s="11">
        <f t="shared" si="32"/>
        <v>1.3037793142031944</v>
      </c>
      <c r="G355" s="11">
        <f t="shared" si="33"/>
        <v>1.3001091020220736</v>
      </c>
    </row>
    <row r="356" spans="5:7" x14ac:dyDescent="0.25">
      <c r="E356" s="11">
        <f t="shared" si="31"/>
        <v>14</v>
      </c>
      <c r="F356" s="11">
        <f t="shared" si="32"/>
        <v>1.4089594855972052</v>
      </c>
      <c r="G356" s="11">
        <f t="shared" si="33"/>
        <v>1.4047887680017292</v>
      </c>
    </row>
    <row r="357" spans="5:7" x14ac:dyDescent="0.25">
      <c r="E357" s="11">
        <f t="shared" si="31"/>
        <v>15</v>
      </c>
      <c r="F357" s="11">
        <f t="shared" si="32"/>
        <v>1.5148345595520782</v>
      </c>
      <c r="G357" s="11">
        <f t="shared" si="33"/>
        <v>1.5101641227563083</v>
      </c>
    </row>
    <row r="358" spans="5:7" x14ac:dyDescent="0.25">
      <c r="E358" s="11">
        <f t="shared" si="31"/>
        <v>16</v>
      </c>
      <c r="F358" s="11">
        <f t="shared" si="32"/>
        <v>1.6214031442456009</v>
      </c>
      <c r="G358" s="11">
        <f t="shared" si="33"/>
        <v>1.6162408390831842</v>
      </c>
    </row>
    <row r="359" spans="5:7" x14ac:dyDescent="0.25">
      <c r="E359" s="11">
        <f t="shared" si="31"/>
        <v>17</v>
      </c>
      <c r="F359" s="11">
        <f t="shared" si="32"/>
        <v>1.7286639190128095</v>
      </c>
      <c r="G359" s="11">
        <f t="shared" si="33"/>
        <v>1.7230245897797292</v>
      </c>
    </row>
    <row r="360" spans="5:7" x14ac:dyDescent="0.25">
      <c r="E360" s="11">
        <f t="shared" si="31"/>
        <v>18</v>
      </c>
      <c r="F360" s="11">
        <f t="shared" si="32"/>
        <v>1.8366157020085092</v>
      </c>
      <c r="G360" s="11">
        <f t="shared" si="33"/>
        <v>1.830521047643316</v>
      </c>
    </row>
    <row r="361" spans="5:7" x14ac:dyDescent="0.25">
      <c r="E361" s="11">
        <f t="shared" si="31"/>
        <v>19</v>
      </c>
      <c r="F361" s="11">
        <f t="shared" si="32"/>
        <v>1.9452575158693919</v>
      </c>
      <c r="G361" s="11">
        <f t="shared" si="33"/>
        <v>1.9387358854713175</v>
      </c>
    </row>
    <row r="362" spans="5:7" x14ac:dyDescent="0.25">
      <c r="E362" s="11">
        <f t="shared" si="31"/>
        <v>20</v>
      </c>
      <c r="F362" s="11">
        <f t="shared" si="32"/>
        <v>2.0545886509521334</v>
      </c>
      <c r="G362" s="11">
        <f t="shared" si="33"/>
        <v>2.0476747760611067</v>
      </c>
    </row>
    <row r="363" spans="5:7" x14ac:dyDescent="0.25">
      <c r="E363" s="11">
        <f t="shared" si="31"/>
        <v>21</v>
      </c>
      <c r="F363" s="11">
        <f t="shared" si="32"/>
        <v>2.1646087257117581</v>
      </c>
      <c r="G363" s="11">
        <f t="shared" si="33"/>
        <v>2.1573433922100556</v>
      </c>
    </row>
    <row r="364" spans="5:7" x14ac:dyDescent="0.25">
      <c r="E364" s="11">
        <f t="shared" si="31"/>
        <v>22</v>
      </c>
      <c r="F364" s="11">
        <f t="shared" si="32"/>
        <v>2.2753177437725123</v>
      </c>
      <c r="G364" s="11">
        <f t="shared" si="33"/>
        <v>2.2677474067155377</v>
      </c>
    </row>
    <row r="365" spans="5:7" x14ac:dyDescent="0.25">
      <c r="E365" s="11">
        <f t="shared" si="31"/>
        <v>23</v>
      </c>
      <c r="F365" s="11">
        <f t="shared" si="32"/>
        <v>2.3867161472314207</v>
      </c>
      <c r="G365" s="11">
        <f t="shared" si="33"/>
        <v>2.3788924923749253</v>
      </c>
    </row>
    <row r="366" spans="5:7" x14ac:dyDescent="0.25">
      <c r="E366" s="11">
        <f t="shared" si="31"/>
        <v>24</v>
      </c>
      <c r="F366" s="11">
        <f t="shared" si="32"/>
        <v>2.4988048657226347</v>
      </c>
      <c r="G366" s="11">
        <f t="shared" si="33"/>
        <v>2.4907843219855921</v>
      </c>
    </row>
    <row r="367" spans="5:7" x14ac:dyDescent="0.25">
      <c r="E367" s="11">
        <f t="shared" si="31"/>
        <v>25</v>
      </c>
      <c r="F367" s="11">
        <f t="shared" si="32"/>
        <v>2.6115853607586299</v>
      </c>
      <c r="G367" s="11">
        <f t="shared" si="33"/>
        <v>2.6034285683449099</v>
      </c>
    </row>
    <row r="368" spans="5:7" x14ac:dyDescent="0.25">
      <c r="E368" s="11">
        <f t="shared" si="31"/>
        <v>26</v>
      </c>
      <c r="F368" s="11">
        <f t="shared" si="32"/>
        <v>2.7250596648522092</v>
      </c>
      <c r="G368" s="11">
        <f t="shared" si="33"/>
        <v>2.716830904250251</v>
      </c>
    </row>
    <row r="369" spans="5:7" x14ac:dyDescent="0.25">
      <c r="E369" s="11">
        <f t="shared" si="31"/>
        <v>27</v>
      </c>
      <c r="F369" s="11">
        <f t="shared" si="32"/>
        <v>2.8392304149112686</v>
      </c>
      <c r="G369" s="11">
        <f t="shared" si="33"/>
        <v>2.8309970024989899</v>
      </c>
    </row>
    <row r="370" spans="5:7" x14ac:dyDescent="0.25">
      <c r="E370" s="11">
        <f t="shared" si="31"/>
        <v>28</v>
      </c>
      <c r="F370" s="11">
        <f t="shared" si="32"/>
        <v>2.9541008793861492</v>
      </c>
      <c r="G370" s="11">
        <f t="shared" si="33"/>
        <v>2.9459325358884976</v>
      </c>
    </row>
    <row r="371" spans="5:7" x14ac:dyDescent="0.25">
      <c r="E371" s="11">
        <f t="shared" si="31"/>
        <v>29</v>
      </c>
      <c r="F371" s="11">
        <f t="shared" si="32"/>
        <v>3.0696749786373929</v>
      </c>
      <c r="G371" s="11">
        <f t="shared" si="33"/>
        <v>3.0616431772161476</v>
      </c>
    </row>
    <row r="372" spans="5:7" x14ac:dyDescent="0.25">
      <c r="E372" s="11">
        <f t="shared" si="31"/>
        <v>30</v>
      </c>
      <c r="F372" s="11">
        <f t="shared" si="32"/>
        <v>3.1859572979796185</v>
      </c>
      <c r="G372" s="11">
        <f t="shared" si="33"/>
        <v>3.1781345992793124</v>
      </c>
    </row>
    <row r="373" spans="5:7" x14ac:dyDescent="0.25">
      <c r="E373" s="11">
        <f t="shared" si="31"/>
        <v>31</v>
      </c>
      <c r="F373" s="11">
        <f t="shared" si="32"/>
        <v>3.3029530928451813</v>
      </c>
      <c r="G373" s="11">
        <f t="shared" si="33"/>
        <v>3.2954124748753659</v>
      </c>
    </row>
    <row r="374" spans="5:7" x14ac:dyDescent="0.25">
      <c r="E374" s="11">
        <f t="shared" si="31"/>
        <v>32</v>
      </c>
      <c r="F374" s="11">
        <f t="shared" si="32"/>
        <v>3.4206682854992363</v>
      </c>
      <c r="G374" s="11">
        <f t="shared" si="33"/>
        <v>3.4134824768016792</v>
      </c>
    </row>
    <row r="375" spans="5:7" x14ac:dyDescent="0.25">
      <c r="E375" s="11">
        <f t="shared" si="31"/>
        <v>33</v>
      </c>
      <c r="F375" s="11">
        <f t="shared" si="32"/>
        <v>3.5391094527257265</v>
      </c>
      <c r="G375" s="11">
        <f t="shared" si="33"/>
        <v>3.5323502778556257</v>
      </c>
    </row>
    <row r="376" spans="5:7" x14ac:dyDescent="0.25">
      <c r="E376" s="11">
        <f t="shared" si="31"/>
        <v>34</v>
      </c>
      <c r="F376" s="11">
        <f t="shared" si="32"/>
        <v>3.6582838038917833</v>
      </c>
      <c r="G376" s="11">
        <f t="shared" si="33"/>
        <v>3.6520215508345792</v>
      </c>
    </row>
    <row r="377" spans="5:7" x14ac:dyDescent="0.25">
      <c r="E377" s="11">
        <f t="shared" si="31"/>
        <v>35</v>
      </c>
      <c r="F377" s="11">
        <f t="shared" si="32"/>
        <v>3.7781991487859425</v>
      </c>
      <c r="G377" s="11">
        <f t="shared" si="33"/>
        <v>3.7725019685359107</v>
      </c>
    </row>
    <row r="378" spans="5:7" x14ac:dyDescent="0.25">
      <c r="E378" s="11">
        <f t="shared" si="31"/>
        <v>36</v>
      </c>
      <c r="F378" s="11">
        <f t="shared" si="32"/>
        <v>3.898863854613539</v>
      </c>
      <c r="G378" s="11">
        <f t="shared" si="33"/>
        <v>3.8937972037569937</v>
      </c>
    </row>
    <row r="379" spans="5:7" x14ac:dyDescent="0.25">
      <c r="E379" s="11">
        <f t="shared" si="31"/>
        <v>37</v>
      </c>
      <c r="F379" s="11">
        <f t="shared" si="32"/>
        <v>4.02028679152055</v>
      </c>
      <c r="G379" s="11">
        <f t="shared" si="33"/>
        <v>4.0159129292952009</v>
      </c>
    </row>
    <row r="380" spans="5:7" x14ac:dyDescent="0.25">
      <c r="E380" s="11">
        <f t="shared" si="31"/>
        <v>38</v>
      </c>
      <c r="F380" s="11">
        <f t="shared" si="32"/>
        <v>4.1424772660051188</v>
      </c>
      <c r="G380" s="11">
        <f t="shared" si="33"/>
        <v>4.1388548179479061</v>
      </c>
    </row>
    <row r="381" spans="5:7" x14ac:dyDescent="0.25">
      <c r="E381" s="11">
        <f t="shared" si="31"/>
        <v>39</v>
      </c>
      <c r="F381" s="11">
        <f t="shared" si="32"/>
        <v>4.2654449415639233</v>
      </c>
      <c r="G381" s="11">
        <f t="shared" si="33"/>
        <v>4.2626285425124806</v>
      </c>
    </row>
    <row r="382" spans="5:7" x14ac:dyDescent="0.25">
      <c r="E382" s="11">
        <f t="shared" si="31"/>
        <v>40</v>
      </c>
      <c r="F382" s="11">
        <f t="shared" si="32"/>
        <v>4.3891997459084582</v>
      </c>
      <c r="G382" s="11">
        <f t="shared" si="33"/>
        <v>4.3872397757862975</v>
      </c>
    </row>
    <row r="383" spans="5:7" x14ac:dyDescent="0.25">
      <c r="E383" s="11">
        <f t="shared" si="31"/>
        <v>41</v>
      </c>
      <c r="F383" s="11">
        <f t="shared" si="32"/>
        <v>4.5137517640743052</v>
      </c>
      <c r="G383" s="11">
        <f t="shared" si="33"/>
        <v>4.5126941905667293</v>
      </c>
    </row>
    <row r="384" spans="5:7" x14ac:dyDescent="0.25">
      <c r="E384" s="11">
        <f t="shared" si="31"/>
        <v>42</v>
      </c>
      <c r="F384" s="11">
        <f t="shared" si="32"/>
        <v>4.6391111167343233</v>
      </c>
      <c r="G384" s="11">
        <f t="shared" si="33"/>
        <v>4.6389974596511507</v>
      </c>
    </row>
    <row r="385" spans="5:7" x14ac:dyDescent="0.25">
      <c r="E385" s="11">
        <f t="shared" si="31"/>
        <v>43</v>
      </c>
      <c r="F385" s="11">
        <f t="shared" si="32"/>
        <v>4.7652878230146678</v>
      </c>
      <c r="G385" s="11">
        <f t="shared" si="33"/>
        <v>4.7661552558369324</v>
      </c>
    </row>
    <row r="386" spans="5:7" x14ac:dyDescent="0.25">
      <c r="E386" s="11">
        <f t="shared" si="31"/>
        <v>44</v>
      </c>
      <c r="F386" s="11">
        <f t="shared" si="32"/>
        <v>4.8922916471005218</v>
      </c>
      <c r="G386" s="11">
        <f t="shared" si="33"/>
        <v>4.8941732519214467</v>
      </c>
    </row>
    <row r="387" spans="5:7" x14ac:dyDescent="0.25">
      <c r="E387" s="11">
        <f t="shared" si="31"/>
        <v>45</v>
      </c>
      <c r="F387" s="11">
        <f t="shared" si="32"/>
        <v>5.0201319279062488</v>
      </c>
      <c r="G387" s="11">
        <f t="shared" si="33"/>
        <v>5.0230571207020684</v>
      </c>
    </row>
    <row r="388" spans="5:7" x14ac:dyDescent="0.25">
      <c r="E388" s="11">
        <f t="shared" si="31"/>
        <v>46</v>
      </c>
      <c r="F388" s="11">
        <f t="shared" si="32"/>
        <v>5.1488173910727424</v>
      </c>
      <c r="G388" s="11">
        <f t="shared" si="33"/>
        <v>5.152807439293305</v>
      </c>
    </row>
    <row r="389" spans="5:7" x14ac:dyDescent="0.25">
      <c r="E389" s="11">
        <f t="shared" si="31"/>
        <v>47</v>
      </c>
      <c r="F389" s="11">
        <f t="shared" si="32"/>
        <v>5.278355942542591</v>
      </c>
      <c r="G389" s="11">
        <f t="shared" si="33"/>
        <v>5.2834044020782054</v>
      </c>
    </row>
    <row r="390" spans="5:7" x14ac:dyDescent="0.25">
      <c r="E390" s="11">
        <f t="shared" si="31"/>
        <v>48</v>
      </c>
      <c r="F390" s="11">
        <f t="shared" si="32"/>
        <v>5.4087544429516567</v>
      </c>
      <c r="G390" s="11">
        <f t="shared" si="33"/>
        <v>5.41482310775696</v>
      </c>
    </row>
    <row r="391" spans="5:7" x14ac:dyDescent="0.25">
      <c r="E391" s="11">
        <f t="shared" si="31"/>
        <v>49</v>
      </c>
      <c r="F391" s="11">
        <f t="shared" si="32"/>
        <v>5.5400184620636006</v>
      </c>
      <c r="G391" s="11">
        <f t="shared" si="33"/>
        <v>5.547038655029751</v>
      </c>
    </row>
    <row r="392" spans="5:7" x14ac:dyDescent="0.25">
      <c r="E392" s="11">
        <f t="shared" si="31"/>
        <v>50</v>
      </c>
      <c r="F392" s="11">
        <f t="shared" si="32"/>
        <v>5.672152012461785</v>
      </c>
      <c r="G392" s="11">
        <f t="shared" si="33"/>
        <v>5.6800261425967662</v>
      </c>
    </row>
    <row r="393" spans="5:7" x14ac:dyDescent="0.25">
      <c r="E393" s="11">
        <f t="shared" si="31"/>
        <v>51</v>
      </c>
      <c r="F393" s="11">
        <f t="shared" si="32"/>
        <v>5.8051572617009928</v>
      </c>
      <c r="G393" s="11">
        <f t="shared" si="33"/>
        <v>5.8137606691581931</v>
      </c>
    </row>
    <row r="394" spans="5:7" x14ac:dyDescent="0.25">
      <c r="E394" s="11">
        <f t="shared" si="31"/>
        <v>52</v>
      </c>
      <c r="F394" s="11">
        <f t="shared" si="32"/>
        <v>5.9390342221092656</v>
      </c>
      <c r="G394" s="11">
        <f t="shared" si="33"/>
        <v>5.9482173334142168</v>
      </c>
    </row>
    <row r="395" spans="5:7" x14ac:dyDescent="0.25">
      <c r="E395" s="11">
        <f t="shared" si="31"/>
        <v>53</v>
      </c>
      <c r="F395" s="11">
        <f t="shared" si="32"/>
        <v>6.0737804174181509</v>
      </c>
      <c r="G395" s="11">
        <f t="shared" si="33"/>
        <v>6.083371234065023</v>
      </c>
    </row>
    <row r="396" spans="5:7" x14ac:dyDescent="0.25">
      <c r="E396" s="11">
        <f t="shared" si="31"/>
        <v>54</v>
      </c>
      <c r="F396" s="11">
        <f t="shared" si="32"/>
        <v>6.209390525387545</v>
      </c>
      <c r="G396" s="11">
        <f t="shared" si="33"/>
        <v>6.2191974698107995</v>
      </c>
    </row>
    <row r="397" spans="5:7" x14ac:dyDescent="0.25">
      <c r="E397" s="11">
        <f t="shared" si="31"/>
        <v>55</v>
      </c>
      <c r="F397" s="11">
        <f t="shared" si="32"/>
        <v>6.3458559955792957</v>
      </c>
      <c r="G397" s="11">
        <f t="shared" si="33"/>
        <v>6.3556711393517329</v>
      </c>
    </row>
    <row r="398" spans="5:7" x14ac:dyDescent="0.25">
      <c r="E398" s="11">
        <f t="shared" si="31"/>
        <v>56</v>
      </c>
      <c r="F398" s="11">
        <f t="shared" si="32"/>
        <v>6.4831646414216477</v>
      </c>
      <c r="G398" s="11">
        <f t="shared" si="33"/>
        <v>6.4927673413880065</v>
      </c>
    </row>
    <row r="399" spans="5:7" x14ac:dyDescent="0.25">
      <c r="E399" s="11">
        <f t="shared" si="31"/>
        <v>57</v>
      </c>
      <c r="F399" s="11">
        <f t="shared" si="32"/>
        <v>6.6213002056945136</v>
      </c>
      <c r="G399" s="11">
        <f t="shared" si="33"/>
        <v>6.6304611746198105</v>
      </c>
    </row>
    <row r="400" spans="5:7" x14ac:dyDescent="0.25">
      <c r="E400" s="11">
        <f t="shared" si="31"/>
        <v>58</v>
      </c>
      <c r="F400" s="11">
        <f t="shared" si="32"/>
        <v>6.7602418985535717</v>
      </c>
      <c r="G400" s="11">
        <f t="shared" si="33"/>
        <v>6.7687277377473283</v>
      </c>
    </row>
    <row r="401" spans="5:7" x14ac:dyDescent="0.25">
      <c r="E401" s="11">
        <f t="shared" si="31"/>
        <v>59</v>
      </c>
      <c r="F401" s="11">
        <f t="shared" si="32"/>
        <v>6.8999639071990408</v>
      </c>
      <c r="G401" s="11">
        <f t="shared" si="33"/>
        <v>6.9075421294707464</v>
      </c>
    </row>
    <row r="402" spans="5:7" x14ac:dyDescent="0.25">
      <c r="E402" s="11">
        <f t="shared" si="31"/>
        <v>60</v>
      </c>
      <c r="F402" s="11">
        <f t="shared" si="32"/>
        <v>7.0404348762829887</v>
      </c>
      <c r="G402" s="11">
        <f t="shared" si="33"/>
        <v>7.0468794484902535</v>
      </c>
    </row>
    <row r="403" spans="5:7" x14ac:dyDescent="0.25">
      <c r="E403" s="11">
        <f t="shared" si="31"/>
        <v>61</v>
      </c>
      <c r="F403" s="11">
        <f t="shared" si="32"/>
        <v>7.1816173581369123</v>
      </c>
      <c r="G403" s="11">
        <f t="shared" si="33"/>
        <v>7.1867147935060345</v>
      </c>
    </row>
    <row r="404" spans="5:7" x14ac:dyDescent="0.25">
      <c r="E404" s="11">
        <f t="shared" si="31"/>
        <v>62</v>
      </c>
      <c r="F404" s="11">
        <f t="shared" si="32"/>
        <v>7.3234672318893059</v>
      </c>
      <c r="G404" s="11">
        <f t="shared" si="33"/>
        <v>7.3270232632182744</v>
      </c>
    </row>
    <row r="405" spans="5:7" x14ac:dyDescent="0.25">
      <c r="E405" s="11">
        <f t="shared" si="31"/>
        <v>63</v>
      </c>
      <c r="F405" s="11">
        <f t="shared" si="32"/>
        <v>7.465933090530851</v>
      </c>
      <c r="G405" s="11">
        <f t="shared" si="33"/>
        <v>7.4677799563271616</v>
      </c>
    </row>
    <row r="406" spans="5:7" x14ac:dyDescent="0.25">
      <c r="E406" s="11">
        <f t="shared" si="31"/>
        <v>64</v>
      </c>
      <c r="F406" s="11">
        <f t="shared" si="32"/>
        <v>7.6089555949727998</v>
      </c>
      <c r="G406" s="11">
        <f t="shared" si="33"/>
        <v>7.6089599715328813</v>
      </c>
    </row>
    <row r="407" spans="5:7" x14ac:dyDescent="0.25">
      <c r="E407" s="11">
        <f t="shared" si="31"/>
        <v>65</v>
      </c>
      <c r="F407" s="11">
        <f t="shared" si="32"/>
        <v>7.7524667941320562</v>
      </c>
      <c r="G407" s="11">
        <f t="shared" si="33"/>
        <v>7.7505384075356201</v>
      </c>
    </row>
    <row r="408" spans="5:7" x14ac:dyDescent="0.25">
      <c r="E408" s="11">
        <f t="shared" si="31"/>
        <v>66</v>
      </c>
      <c r="F408" s="11">
        <f t="shared" si="32"/>
        <v>7.8963894100643968</v>
      </c>
      <c r="G408" s="11">
        <f t="shared" si="33"/>
        <v>7.8924903630355638</v>
      </c>
    </row>
    <row r="409" spans="5:7" x14ac:dyDescent="0.25">
      <c r="E409" s="11">
        <f t="shared" si="31"/>
        <v>67</v>
      </c>
      <c r="F409" s="11">
        <f t="shared" si="32"/>
        <v>8.0406360871552618</v>
      </c>
      <c r="G409" s="11">
        <f t="shared" si="33"/>
        <v>8.0347909367329002</v>
      </c>
    </row>
    <row r="410" spans="5:7" x14ac:dyDescent="0.25">
      <c r="E410" s="11">
        <f t="shared" si="31"/>
        <v>68</v>
      </c>
      <c r="F410" s="11">
        <f t="shared" si="32"/>
        <v>8.1851086043653343</v>
      </c>
      <c r="G410" s="11">
        <f t="shared" si="33"/>
        <v>8.1774152273278133</v>
      </c>
    </row>
    <row r="411" spans="5:7" x14ac:dyDescent="0.25">
      <c r="E411" s="11">
        <f t="shared" si="31"/>
        <v>69</v>
      </c>
      <c r="F411" s="11">
        <f t="shared" si="32"/>
        <v>8.3296970495162874</v>
      </c>
      <c r="G411" s="11">
        <f t="shared" si="33"/>
        <v>8.3203383335204926</v>
      </c>
    </row>
    <row r="412" spans="5:7" x14ac:dyDescent="0.25">
      <c r="E412" s="11">
        <f t="shared" si="31"/>
        <v>70</v>
      </c>
      <c r="F412" s="11">
        <f t="shared" si="32"/>
        <v>8.4742789545897796</v>
      </c>
      <c r="G412" s="11">
        <f t="shared" si="33"/>
        <v>8.4635353540111211</v>
      </c>
    </row>
    <row r="413" spans="5:7" x14ac:dyDescent="0.25">
      <c r="E413" s="11">
        <f t="shared" si="31"/>
        <v>71</v>
      </c>
      <c r="F413" s="11">
        <f t="shared" si="32"/>
        <v>8.6187183910009217</v>
      </c>
      <c r="G413" s="11">
        <f t="shared" si="33"/>
        <v>8.6069813874998857</v>
      </c>
    </row>
    <row r="414" spans="5:7" x14ac:dyDescent="0.25">
      <c r="E414" s="11">
        <f t="shared" si="31"/>
        <v>72</v>
      </c>
      <c r="F414" s="11">
        <f t="shared" si="32"/>
        <v>8.7628650237951984</v>
      </c>
      <c r="G414" s="11">
        <f t="shared" si="33"/>
        <v>8.7506515326869749</v>
      </c>
    </row>
    <row r="415" spans="5:7" x14ac:dyDescent="0.25">
      <c r="E415" s="11">
        <f t="shared" ref="E415:E422" si="34">E208</f>
        <v>73</v>
      </c>
      <c r="F415" s="11">
        <f t="shared" ref="F415:F422" si="35">$H$217*0+E415*$I$217+E415^2*$J$217+E415^3*$K$217+E415^4*$L$217+E415^5*$M$217+E415^6*$N$217+E415^7*$O$217+E415^8*$P$217</f>
        <v>8.9065531237059066</v>
      </c>
      <c r="G415" s="11">
        <f t="shared" ref="G415:G422" si="36">F208</f>
        <v>8.8945208882725719</v>
      </c>
    </row>
    <row r="416" spans="5:7" x14ac:dyDescent="0.25">
      <c r="E416" s="11">
        <f t="shared" si="34"/>
        <v>74</v>
      </c>
      <c r="F416" s="11">
        <f t="shared" si="35"/>
        <v>9.0496005359970315</v>
      </c>
      <c r="G416" s="11">
        <f t="shared" si="36"/>
        <v>9.038564552956867</v>
      </c>
    </row>
    <row r="417" spans="5:7" x14ac:dyDescent="0.25">
      <c r="E417" s="11">
        <f t="shared" si="34"/>
        <v>75</v>
      </c>
      <c r="F417" s="11">
        <f t="shared" si="35"/>
        <v>9.1918076050044064</v>
      </c>
      <c r="G417" s="11">
        <f t="shared" si="36"/>
        <v>9.1827576254400434</v>
      </c>
    </row>
    <row r="418" spans="5:7" x14ac:dyDescent="0.25">
      <c r="E418" s="11">
        <f t="shared" si="34"/>
        <v>76</v>
      </c>
      <c r="F418" s="11">
        <f t="shared" si="35"/>
        <v>9.3329560532760194</v>
      </c>
      <c r="G418" s="11">
        <f t="shared" si="36"/>
        <v>9.327075204422286</v>
      </c>
    </row>
    <row r="419" spans="5:7" x14ac:dyDescent="0.25">
      <c r="E419" s="11">
        <f t="shared" si="34"/>
        <v>77</v>
      </c>
      <c r="F419" s="11">
        <f t="shared" si="35"/>
        <v>9.4728078142001806</v>
      </c>
      <c r="G419" s="11">
        <f t="shared" si="36"/>
        <v>9.4714923886037869</v>
      </c>
    </row>
    <row r="420" spans="5:7" x14ac:dyDescent="0.25">
      <c r="E420" s="11">
        <f t="shared" si="34"/>
        <v>78</v>
      </c>
      <c r="F420" s="11">
        <f t="shared" si="35"/>
        <v>9.6111038169982326</v>
      </c>
      <c r="G420" s="11">
        <f t="shared" si="36"/>
        <v>9.6159842766847277</v>
      </c>
    </row>
    <row r="421" spans="5:7" x14ac:dyDescent="0.25">
      <c r="E421" s="11">
        <f t="shared" si="34"/>
        <v>79</v>
      </c>
      <c r="F421" s="11">
        <f t="shared" si="35"/>
        <v>9.7475627229464585</v>
      </c>
      <c r="G421" s="11">
        <f t="shared" si="36"/>
        <v>9.7605259673652949</v>
      </c>
    </row>
    <row r="422" spans="5:7" x14ac:dyDescent="0.25">
      <c r="E422" s="11">
        <f t="shared" si="34"/>
        <v>80</v>
      </c>
      <c r="F422" s="11">
        <f t="shared" si="35"/>
        <v>9.8818796116796985</v>
      </c>
      <c r="G422" s="11">
        <f t="shared" si="36"/>
        <v>9.9050925593456753</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5.906E-5</v>
      </c>
      <c r="C3" s="2">
        <v>1.076E-4</v>
      </c>
      <c r="D3" s="2">
        <v>-2.9569999999999998E-4</v>
      </c>
      <c r="E3" s="2">
        <v>0</v>
      </c>
      <c r="F3" s="2">
        <v>0</v>
      </c>
      <c r="G3" s="2">
        <v>0</v>
      </c>
      <c r="H3" s="2">
        <v>1.9806686999999999E-5</v>
      </c>
      <c r="I3" s="2">
        <v>9.7742690000000008E-6</v>
      </c>
      <c r="J3" s="2">
        <v>-5.5589720999999998E-5</v>
      </c>
      <c r="K3" s="3"/>
      <c r="L3" s="3">
        <f>-B3/D3</f>
        <v>0.19972945552925264</v>
      </c>
      <c r="M3" s="3"/>
      <c r="N3" s="2">
        <f>IF('Modell einstellen'!$B$1="Voll",H3/0.35,H3/0.35*2)</f>
        <v>1.1318106857142858E-4</v>
      </c>
      <c r="O3" s="2">
        <f>IF('Modell einstellen'!$B$1="Voll",J3/0.35,J3/0.35*2)</f>
        <v>-3.1765554857142859E-4</v>
      </c>
      <c r="P3" s="3">
        <f>-N3/O3</f>
        <v>0.35630124857075646</v>
      </c>
      <c r="Q3" s="3"/>
      <c r="R3" s="3"/>
      <c r="S3" s="3"/>
      <c r="T3" s="3"/>
      <c r="U3" s="3"/>
      <c r="V3" s="3"/>
      <c r="W3" s="3"/>
    </row>
    <row r="4" spans="1:23" x14ac:dyDescent="0.25">
      <c r="A4" s="2">
        <v>1E-14</v>
      </c>
      <c r="B4" s="2">
        <v>5.8619999999999998E-5</v>
      </c>
      <c r="C4" s="2">
        <v>1.082E-4</v>
      </c>
      <c r="D4" s="2">
        <v>-2.9629999999999999E-4</v>
      </c>
      <c r="E4" s="2">
        <v>0</v>
      </c>
      <c r="F4" s="2">
        <v>0</v>
      </c>
      <c r="G4" s="2">
        <v>0</v>
      </c>
      <c r="H4" s="2">
        <v>1.9995453999999999E-5</v>
      </c>
      <c r="I4" s="2">
        <v>9.8378368000000006E-6</v>
      </c>
      <c r="J4" s="2">
        <v>-5.5924373999999998E-5</v>
      </c>
      <c r="K4" s="3"/>
      <c r="L4" s="3">
        <f t="shared" ref="L4:L33" si="0">-B4/D4</f>
        <v>0.19784002699966249</v>
      </c>
      <c r="M4" s="3"/>
      <c r="N4" s="2">
        <f>IF('Modell einstellen'!$B$1="Voll",H4/0.35,H4/0.35*2)</f>
        <v>1.1425973714285715E-4</v>
      </c>
      <c r="O4" s="2">
        <f>IF('Modell einstellen'!$B$1="Voll",J4/0.35,J4/0.35*2)</f>
        <v>-3.1956785142857146E-4</v>
      </c>
      <c r="P4" s="3">
        <f t="shared" ref="P4:P33" si="1">-N4/O4</f>
        <v>0.35754452968932648</v>
      </c>
      <c r="Q4" s="3"/>
      <c r="R4" s="3"/>
      <c r="S4" s="3"/>
      <c r="T4" s="3"/>
      <c r="U4" s="3"/>
      <c r="V4" s="3"/>
      <c r="W4" s="3"/>
    </row>
    <row r="5" spans="1:23" x14ac:dyDescent="0.25">
      <c r="A5" s="2">
        <v>1E-13</v>
      </c>
      <c r="B5" s="2">
        <v>5.7129999999999997E-5</v>
      </c>
      <c r="C5" s="2">
        <v>1.105E-4</v>
      </c>
      <c r="D5" s="2">
        <v>-2.9829999999999999E-4</v>
      </c>
      <c r="E5" s="2">
        <v>0</v>
      </c>
      <c r="F5" s="2">
        <v>0</v>
      </c>
      <c r="G5" s="2">
        <v>0</v>
      </c>
      <c r="H5" s="2">
        <v>2.0633842E-5</v>
      </c>
      <c r="I5" s="2">
        <v>1.0048222999999999E-5</v>
      </c>
      <c r="J5" s="2">
        <v>-5.7054237000000001E-5</v>
      </c>
      <c r="K5" s="3"/>
      <c r="L5" s="3">
        <f t="shared" si="0"/>
        <v>0.1915186054307744</v>
      </c>
      <c r="M5" s="3"/>
      <c r="N5" s="2">
        <f>IF('Modell einstellen'!$B$1="Voll",H5/0.35,H5/0.35*2)</f>
        <v>1.1790766857142859E-4</v>
      </c>
      <c r="O5" s="2">
        <f>IF('Modell einstellen'!$B$1="Voll",J5/0.35,J5/0.35*2)</f>
        <v>-3.2602421142857144E-4</v>
      </c>
      <c r="P5" s="3">
        <f t="shared" si="1"/>
        <v>0.36165310562298819</v>
      </c>
      <c r="Q5" s="3"/>
      <c r="R5" s="3"/>
      <c r="S5" s="3"/>
      <c r="T5" s="3"/>
      <c r="U5" s="3"/>
      <c r="V5" s="3"/>
      <c r="W5" s="3"/>
    </row>
    <row r="6" spans="1:23" x14ac:dyDescent="0.25">
      <c r="A6" s="2">
        <v>9.9999999999999998E-13</v>
      </c>
      <c r="B6" s="2">
        <v>5.6010000000000001E-5</v>
      </c>
      <c r="C6" s="2">
        <v>1.122E-4</v>
      </c>
      <c r="D6" s="2">
        <v>-2.9980000000000002E-4</v>
      </c>
      <c r="E6" s="2">
        <v>0</v>
      </c>
      <c r="F6" s="2">
        <v>0</v>
      </c>
      <c r="G6" s="2">
        <v>0</v>
      </c>
      <c r="H6" s="2">
        <v>2.1116618999999999E-5</v>
      </c>
      <c r="I6" s="2">
        <v>1.0209304999999999E-5</v>
      </c>
      <c r="J6" s="2">
        <v>-5.7907520000000002E-5</v>
      </c>
      <c r="K6" s="3"/>
      <c r="L6" s="3">
        <f t="shared" si="0"/>
        <v>0.18682454969979986</v>
      </c>
      <c r="M6" s="3"/>
      <c r="N6" s="2">
        <f>IF('Modell einstellen'!$B$1="Voll",H6/0.35,H6/0.35*2)</f>
        <v>1.2066639428571429E-4</v>
      </c>
      <c r="O6" s="2">
        <f>IF('Modell einstellen'!$B$1="Voll",J6/0.35,J6/0.35*2)</f>
        <v>-3.3090011428571432E-4</v>
      </c>
      <c r="P6" s="3">
        <f t="shared" si="1"/>
        <v>0.36466108374180073</v>
      </c>
      <c r="Q6" s="3"/>
      <c r="R6" s="3"/>
      <c r="S6" s="3"/>
      <c r="T6" s="3"/>
      <c r="U6" s="3"/>
      <c r="V6" s="3"/>
      <c r="W6" s="3"/>
    </row>
    <row r="7" spans="1:23" x14ac:dyDescent="0.25">
      <c r="A7" s="2">
        <v>9.9999999999999994E-12</v>
      </c>
      <c r="B7" s="2">
        <v>5.4809999999999999E-5</v>
      </c>
      <c r="C7" s="2">
        <v>1.139E-4</v>
      </c>
      <c r="D7" s="2">
        <v>-3.011E-4</v>
      </c>
      <c r="E7" s="2">
        <v>0</v>
      </c>
      <c r="F7" s="2">
        <v>0</v>
      </c>
      <c r="G7" s="2">
        <v>0</v>
      </c>
      <c r="H7" s="2">
        <v>2.1587054E-5</v>
      </c>
      <c r="I7" s="2">
        <v>1.036408E-5</v>
      </c>
      <c r="J7" s="2">
        <v>-5.873366E-5</v>
      </c>
      <c r="K7" s="3"/>
      <c r="L7" s="3">
        <f t="shared" si="0"/>
        <v>0.18203254732646962</v>
      </c>
      <c r="M7" s="3"/>
      <c r="N7" s="2">
        <f>IF('Modell einstellen'!$B$1="Voll",H7/0.35,H7/0.35*2)</f>
        <v>1.2335459428571428E-4</v>
      </c>
      <c r="O7" s="2">
        <f>IF('Modell einstellen'!$B$1="Voll",J7/0.35,J7/0.35*2)</f>
        <v>-3.3562091428571432E-4</v>
      </c>
      <c r="P7" s="3">
        <f t="shared" si="1"/>
        <v>0.36754144046190884</v>
      </c>
      <c r="Q7" s="3"/>
      <c r="R7" s="3"/>
      <c r="S7" s="3"/>
      <c r="T7" s="3"/>
      <c r="U7" s="3"/>
      <c r="V7" s="3"/>
      <c r="W7" s="3"/>
    </row>
    <row r="8" spans="1:23" x14ac:dyDescent="0.25">
      <c r="A8" s="2">
        <v>1E-10</v>
      </c>
      <c r="B8" s="2">
        <v>5.3270000000000003E-5</v>
      </c>
      <c r="C8" s="2">
        <v>1.158E-4</v>
      </c>
      <c r="D8" s="2">
        <v>-3.0239999999999998E-4</v>
      </c>
      <c r="E8" s="2">
        <v>0</v>
      </c>
      <c r="F8" s="2">
        <v>0</v>
      </c>
      <c r="G8" s="2">
        <v>0</v>
      </c>
      <c r="H8" s="2">
        <v>2.2124730000000001E-5</v>
      </c>
      <c r="I8" s="2">
        <v>1.0535739999999999E-5</v>
      </c>
      <c r="J8" s="2">
        <v>-5.9666770000000001E-5</v>
      </c>
      <c r="K8" s="3"/>
      <c r="L8" s="3">
        <f t="shared" si="0"/>
        <v>0.17615740740740743</v>
      </c>
      <c r="M8" s="3"/>
      <c r="N8" s="2">
        <f>IF('Modell einstellen'!$B$1="Voll",H8/0.35,H8/0.35*2)</f>
        <v>1.2642702857142859E-4</v>
      </c>
      <c r="O8" s="2">
        <f>IF('Modell einstellen'!$B$1="Voll",J8/0.35,J8/0.35*2)</f>
        <v>-3.4095297142857148E-4</v>
      </c>
      <c r="P8" s="3">
        <f t="shared" si="1"/>
        <v>0.370804888550193</v>
      </c>
      <c r="Q8" s="3"/>
      <c r="R8" s="3"/>
      <c r="S8" s="3"/>
      <c r="T8" s="3"/>
      <c r="U8" s="3"/>
      <c r="V8" s="3"/>
      <c r="W8" s="3"/>
    </row>
    <row r="9" spans="1:23" x14ac:dyDescent="0.25">
      <c r="A9" s="2">
        <v>1.0000000000000001E-9</v>
      </c>
      <c r="B9" s="2">
        <v>5.1419999999999999E-5</v>
      </c>
      <c r="C9" s="2">
        <v>1.1790000000000001E-4</v>
      </c>
      <c r="D9" s="2">
        <v>-3.0360000000000001E-4</v>
      </c>
      <c r="E9" s="2">
        <v>0</v>
      </c>
      <c r="F9" s="2">
        <v>0</v>
      </c>
      <c r="G9" s="2">
        <v>0</v>
      </c>
      <c r="H9" s="2">
        <v>2.2718249999999999E-5</v>
      </c>
      <c r="I9" s="2">
        <v>1.0720559E-5</v>
      </c>
      <c r="J9" s="2">
        <v>-6.0685908000000003E-5</v>
      </c>
      <c r="K9" s="3"/>
      <c r="L9" s="3">
        <f t="shared" si="0"/>
        <v>0.16936758893280632</v>
      </c>
      <c r="M9" s="3"/>
      <c r="N9" s="2">
        <f>IF('Modell einstellen'!$B$1="Voll",H9/0.35,H9/0.35*2)</f>
        <v>1.2981857142857142E-4</v>
      </c>
      <c r="O9" s="2">
        <f>IF('Modell einstellen'!$B$1="Voll",J9/0.35,J9/0.35*2)</f>
        <v>-3.4677661714285719E-4</v>
      </c>
      <c r="P9" s="3">
        <f t="shared" si="1"/>
        <v>0.37435791518518591</v>
      </c>
      <c r="Q9" s="3"/>
      <c r="R9" s="3"/>
      <c r="S9" s="3"/>
      <c r="T9" s="3"/>
      <c r="U9" s="3"/>
      <c r="V9" s="3"/>
      <c r="W9" s="3"/>
    </row>
    <row r="10" spans="1:23" x14ac:dyDescent="0.25">
      <c r="A10" s="2">
        <v>1E-8</v>
      </c>
      <c r="B10" s="2">
        <v>4.8959999999999999E-5</v>
      </c>
      <c r="C10" s="2">
        <v>1.2019999999999999E-4</v>
      </c>
      <c r="D10" s="2">
        <v>-3.0469999999999998E-4</v>
      </c>
      <c r="E10" s="2">
        <v>0</v>
      </c>
      <c r="F10" s="2">
        <v>0</v>
      </c>
      <c r="G10" s="2">
        <v>0</v>
      </c>
      <c r="H10" s="2">
        <v>2.3435806999999999E-5</v>
      </c>
      <c r="I10" s="2">
        <v>1.0936179E-5</v>
      </c>
      <c r="J10" s="2">
        <v>-6.1900651000000001E-5</v>
      </c>
      <c r="K10" s="3"/>
      <c r="L10" s="3">
        <f t="shared" si="0"/>
        <v>0.16068263866097801</v>
      </c>
      <c r="M10" s="3"/>
      <c r="N10" s="2">
        <f>IF('Modell einstellen'!$B$1="Voll",H10/0.35,H10/0.35*2)</f>
        <v>1.3391889714285714E-4</v>
      </c>
      <c r="O10" s="2">
        <f>IF('Modell einstellen'!$B$1="Voll",J10/0.35,J10/0.35*2)</f>
        <v>-3.5371800571428575E-4</v>
      </c>
      <c r="P10" s="3">
        <f t="shared" si="1"/>
        <v>0.37860356266689338</v>
      </c>
      <c r="Q10" s="3"/>
      <c r="R10" s="3"/>
      <c r="S10" s="3"/>
      <c r="T10" s="3"/>
      <c r="U10" s="3"/>
      <c r="V10" s="3"/>
      <c r="W10" s="3"/>
    </row>
    <row r="11" spans="1:23" x14ac:dyDescent="0.25">
      <c r="A11" s="2">
        <v>9.9999999999999995E-8</v>
      </c>
      <c r="B11" s="2">
        <v>4.6180000000000002E-5</v>
      </c>
      <c r="C11" s="2">
        <v>1.2349999999999999E-4</v>
      </c>
      <c r="D11" s="2">
        <v>-3.0650000000000002E-4</v>
      </c>
      <c r="E11" s="2">
        <v>0</v>
      </c>
      <c r="F11" s="2">
        <v>0</v>
      </c>
      <c r="G11" s="2">
        <v>0</v>
      </c>
      <c r="H11" s="2">
        <v>2.4257426E-5</v>
      </c>
      <c r="I11" s="2">
        <v>1.1206693999999999E-5</v>
      </c>
      <c r="J11" s="2">
        <v>-6.3329322000000004E-5</v>
      </c>
      <c r="K11" s="3"/>
      <c r="L11" s="3">
        <f t="shared" si="0"/>
        <v>0.15066884176182707</v>
      </c>
      <c r="M11" s="3"/>
      <c r="N11" s="2">
        <f>IF('Modell einstellen'!$B$1="Voll",H11/0.35,H11/0.35*2)</f>
        <v>1.3861386285714286E-4</v>
      </c>
      <c r="O11" s="2">
        <f>IF('Modell einstellen'!$B$1="Voll",J11/0.35,J11/0.35*2)</f>
        <v>-3.6188184000000005E-4</v>
      </c>
      <c r="P11" s="3">
        <f t="shared" si="1"/>
        <v>0.3830362497801571</v>
      </c>
      <c r="Q11" s="3"/>
      <c r="R11" s="3"/>
      <c r="S11" s="3"/>
      <c r="T11" s="3"/>
      <c r="U11" s="3"/>
      <c r="V11" s="3"/>
      <c r="W11" s="3"/>
    </row>
    <row r="12" spans="1:23" x14ac:dyDescent="0.25">
      <c r="A12" s="2">
        <v>9.9999999999999995E-7</v>
      </c>
      <c r="B12" s="2">
        <v>4.21E-5</v>
      </c>
      <c r="C12" s="2">
        <v>1.26E-4</v>
      </c>
      <c r="D12" s="2">
        <v>-3.0640000000000002E-4</v>
      </c>
      <c r="E12" s="2">
        <v>0</v>
      </c>
      <c r="F12" s="2">
        <v>0</v>
      </c>
      <c r="G12" s="2">
        <v>0</v>
      </c>
      <c r="H12" s="2">
        <v>2.5188472000000001E-5</v>
      </c>
      <c r="I12" s="2">
        <v>1.1446399E-5</v>
      </c>
      <c r="J12" s="2">
        <v>-6.4822742E-5</v>
      </c>
      <c r="K12" s="3"/>
      <c r="L12" s="3">
        <f t="shared" si="0"/>
        <v>0.13740208877284593</v>
      </c>
      <c r="M12" s="3"/>
      <c r="N12" s="2">
        <f>IF('Modell einstellen'!$B$1="Voll",H12/0.35,H12/0.35*2)</f>
        <v>1.4393412571428574E-4</v>
      </c>
      <c r="O12" s="2">
        <f>IF('Modell einstellen'!$B$1="Voll",J12/0.35,J12/0.35*2)</f>
        <v>-3.704156685714286E-4</v>
      </c>
      <c r="P12" s="3">
        <f t="shared" si="1"/>
        <v>0.3885746147548032</v>
      </c>
      <c r="Q12" s="3"/>
      <c r="R12" s="3"/>
      <c r="S12" s="3"/>
      <c r="T12" s="3"/>
      <c r="U12" s="3"/>
      <c r="V12" s="3"/>
      <c r="W12" s="3"/>
    </row>
    <row r="13" spans="1:23" x14ac:dyDescent="0.25">
      <c r="A13" s="2">
        <v>1.0000000000000001E-5</v>
      </c>
      <c r="B13" s="2">
        <v>3.8160000000000001E-5</v>
      </c>
      <c r="C13" s="2">
        <v>1.293E-4</v>
      </c>
      <c r="D13" s="2">
        <v>-3.0719999999999999E-4</v>
      </c>
      <c r="E13" s="2">
        <v>0</v>
      </c>
      <c r="F13" s="2">
        <v>0</v>
      </c>
      <c r="G13" s="2">
        <v>0</v>
      </c>
      <c r="H13" s="2">
        <v>2.6126614E-5</v>
      </c>
      <c r="I13" s="2">
        <v>1.1728173999999999E-5</v>
      </c>
      <c r="J13" s="2">
        <v>-6.6394811E-5</v>
      </c>
      <c r="K13" s="3"/>
      <c r="L13" s="3">
        <f t="shared" si="0"/>
        <v>0.12421875</v>
      </c>
      <c r="M13" s="3"/>
      <c r="N13" s="2">
        <f>IF('Modell einstellen'!$B$1="Voll",H13/0.35,H13/0.35*2)</f>
        <v>1.4929493714285714E-4</v>
      </c>
      <c r="O13" s="2">
        <f>IF('Modell einstellen'!$B$1="Voll",J13/0.35,J13/0.35*2)</f>
        <v>-3.7939892000000004E-4</v>
      </c>
      <c r="P13" s="3">
        <f t="shared" si="1"/>
        <v>0.39350385378760994</v>
      </c>
      <c r="Q13" s="3"/>
      <c r="R13" s="3"/>
      <c r="S13" s="3"/>
      <c r="T13" s="3"/>
      <c r="U13" s="3"/>
      <c r="V13" s="3"/>
      <c r="W13" s="3"/>
    </row>
    <row r="14" spans="1:23" x14ac:dyDescent="0.25">
      <c r="A14" s="2">
        <v>1E-4</v>
      </c>
      <c r="B14" s="2">
        <v>3.2929999999999998E-5</v>
      </c>
      <c r="C14" s="2">
        <v>1.3180000000000001E-4</v>
      </c>
      <c r="D14" s="2">
        <v>-3.0590000000000001E-4</v>
      </c>
      <c r="E14" s="2">
        <v>0</v>
      </c>
      <c r="F14" s="2">
        <v>0</v>
      </c>
      <c r="G14" s="2">
        <v>0</v>
      </c>
      <c r="H14" s="2">
        <v>2.7154771E-5</v>
      </c>
      <c r="I14" s="2">
        <v>1.1967990000000001E-5</v>
      </c>
      <c r="J14" s="2">
        <v>-6.7985897999999997E-5</v>
      </c>
      <c r="K14" s="3"/>
      <c r="L14" s="3">
        <f t="shared" si="0"/>
        <v>0.10764955867930695</v>
      </c>
      <c r="M14" s="3"/>
      <c r="N14" s="2">
        <f>IF('Modell einstellen'!$B$1="Voll",H14/0.35,H14/0.35*2)</f>
        <v>1.5517012E-4</v>
      </c>
      <c r="O14" s="2">
        <f>IF('Modell einstellen'!$B$1="Voll",J14/0.35,J14/0.35*2)</f>
        <v>-3.8849084571428573E-4</v>
      </c>
      <c r="P14" s="3">
        <f t="shared" si="1"/>
        <v>0.3994176998294558</v>
      </c>
      <c r="Q14" s="3"/>
      <c r="R14" s="3"/>
      <c r="S14" s="3"/>
      <c r="T14" s="3"/>
      <c r="U14" s="3"/>
      <c r="V14" s="3"/>
      <c r="W14" s="3"/>
    </row>
    <row r="15" spans="1:23" x14ac:dyDescent="0.25">
      <c r="A15" s="2">
        <v>1E-3</v>
      </c>
      <c r="B15" s="2">
        <v>2.5760000000000001E-5</v>
      </c>
      <c r="C15" s="2">
        <v>1.3630000000000001E-4</v>
      </c>
      <c r="D15" s="2">
        <v>-3.0509999999999999E-4</v>
      </c>
      <c r="E15" s="2">
        <v>0</v>
      </c>
      <c r="F15" s="2">
        <v>0</v>
      </c>
      <c r="G15" s="2">
        <v>0</v>
      </c>
      <c r="H15" s="2">
        <v>2.8573171E-5</v>
      </c>
      <c r="I15" s="2">
        <v>1.2346541E-5</v>
      </c>
      <c r="J15" s="2">
        <v>-7.0259930999999999E-5</v>
      </c>
      <c r="K15" s="3"/>
      <c r="L15" s="3">
        <f t="shared" si="0"/>
        <v>8.4431333988856119E-2</v>
      </c>
      <c r="M15" s="3"/>
      <c r="N15" s="2">
        <f>IF('Modell einstellen'!$B$1="Voll",H15/0.35,H15/0.35*2)</f>
        <v>1.6327526285714287E-4</v>
      </c>
      <c r="O15" s="2">
        <f>IF('Modell einstellen'!$B$1="Voll",J15/0.35,J15/0.35*2)</f>
        <v>-4.0148532E-4</v>
      </c>
      <c r="P15" s="3">
        <f t="shared" si="1"/>
        <v>0.40667803957849036</v>
      </c>
      <c r="Q15" s="3"/>
      <c r="R15" s="3"/>
      <c r="S15" s="3"/>
      <c r="T15" s="3"/>
      <c r="U15" s="3"/>
      <c r="V15" s="3"/>
      <c r="W15" s="3"/>
    </row>
    <row r="16" spans="1:23" x14ac:dyDescent="0.25">
      <c r="A16" s="2">
        <v>0.01</v>
      </c>
      <c r="B16" s="2">
        <v>1.5840000000000001E-5</v>
      </c>
      <c r="C16" s="2">
        <v>1.4080000000000001E-4</v>
      </c>
      <c r="D16" s="2">
        <v>-3.0180000000000002E-4</v>
      </c>
      <c r="E16" s="2">
        <v>0</v>
      </c>
      <c r="F16" s="2">
        <v>0</v>
      </c>
      <c r="G16" s="2">
        <v>0</v>
      </c>
      <c r="H16" s="2">
        <v>3.0295241999999999E-5</v>
      </c>
      <c r="I16" s="2">
        <v>1.2742461E-5</v>
      </c>
      <c r="J16" s="2">
        <v>-7.2889758000000007E-5</v>
      </c>
      <c r="K16" s="3"/>
      <c r="L16" s="3">
        <f t="shared" si="0"/>
        <v>5.2485089463220676E-2</v>
      </c>
      <c r="M16" s="3"/>
      <c r="N16" s="2">
        <f>IF('Modell einstellen'!$B$1="Voll",H16/0.35,H16/0.35*2)</f>
        <v>1.7311566857142858E-4</v>
      </c>
      <c r="O16" s="2">
        <f>IF('Modell einstellen'!$B$1="Voll",J16/0.35,J16/0.35*2)</f>
        <v>-4.165129028571429E-4</v>
      </c>
      <c r="P16" s="3">
        <f t="shared" si="1"/>
        <v>0.41563098618052757</v>
      </c>
      <c r="Q16" s="3"/>
      <c r="R16" s="3"/>
      <c r="S16" s="3"/>
      <c r="T16" s="3"/>
      <c r="U16" s="3"/>
      <c r="V16" s="3"/>
      <c r="W16" s="3"/>
    </row>
    <row r="17" spans="1:23" x14ac:dyDescent="0.25">
      <c r="A17" s="2">
        <v>0.1</v>
      </c>
      <c r="B17" s="2">
        <v>4.5109999999999997E-6</v>
      </c>
      <c r="C17" s="2">
        <v>1.45E-4</v>
      </c>
      <c r="D17" s="2">
        <v>-2.968E-4</v>
      </c>
      <c r="E17" s="2">
        <v>0</v>
      </c>
      <c r="F17" s="2">
        <v>0</v>
      </c>
      <c r="G17" s="2">
        <v>0</v>
      </c>
      <c r="H17" s="2">
        <v>3.2088775000000002E-5</v>
      </c>
      <c r="I17" s="2">
        <v>1.3120883E-5</v>
      </c>
      <c r="J17" s="2">
        <v>-7.5550995999999998E-5</v>
      </c>
      <c r="K17" s="3"/>
      <c r="L17" s="3">
        <f t="shared" si="0"/>
        <v>1.5198787061994607E-2</v>
      </c>
      <c r="M17" s="3"/>
      <c r="N17" s="2">
        <f>IF('Modell einstellen'!$B$1="Voll",H17/0.35,H17/0.35*2)</f>
        <v>1.833644285714286E-4</v>
      </c>
      <c r="O17" s="2">
        <f>IF('Modell einstellen'!$B$1="Voll",J17/0.35,J17/0.35*2)</f>
        <v>-4.3171997714285714E-4</v>
      </c>
      <c r="P17" s="3">
        <f t="shared" si="1"/>
        <v>0.42473000620666873</v>
      </c>
      <c r="Q17" s="3"/>
      <c r="R17" s="3"/>
      <c r="S17" s="3"/>
      <c r="T17" s="3"/>
      <c r="U17" s="3"/>
      <c r="V17" s="3"/>
      <c r="W17" s="3"/>
    </row>
    <row r="18" spans="1:23" x14ac:dyDescent="0.25">
      <c r="A18" s="2">
        <v>1</v>
      </c>
      <c r="B18" s="2">
        <v>-6.2469999999999997E-6</v>
      </c>
      <c r="C18" s="2">
        <v>1.485E-4</v>
      </c>
      <c r="D18" s="2">
        <v>-2.9119999999999998E-4</v>
      </c>
      <c r="E18" s="2">
        <v>0</v>
      </c>
      <c r="F18" s="2">
        <v>0</v>
      </c>
      <c r="G18" s="2">
        <v>0</v>
      </c>
      <c r="H18" s="2">
        <v>3.3672035999999997E-5</v>
      </c>
      <c r="I18" s="2">
        <v>1.3429962E-5</v>
      </c>
      <c r="J18" s="2">
        <v>-7.7842737E-5</v>
      </c>
      <c r="K18" s="3"/>
      <c r="L18" s="3">
        <f t="shared" si="0"/>
        <v>-2.145260989010989E-2</v>
      </c>
      <c r="M18" s="3"/>
      <c r="N18" s="2">
        <f>IF('Modell einstellen'!$B$1="Voll",H18/0.35,H18/0.35*2)</f>
        <v>1.9241163428571428E-4</v>
      </c>
      <c r="O18" s="2">
        <f>IF('Modell einstellen'!$B$1="Voll",J18/0.35,J18/0.35*2)</f>
        <v>-4.4481564000000003E-4</v>
      </c>
      <c r="P18" s="3">
        <f t="shared" si="1"/>
        <v>0.43256490326130231</v>
      </c>
      <c r="Q18" s="3"/>
      <c r="R18" s="3"/>
      <c r="S18" s="3"/>
      <c r="T18" s="3"/>
      <c r="U18" s="3"/>
      <c r="V18" s="3"/>
      <c r="W18" s="3"/>
    </row>
    <row r="19" spans="1:23" x14ac:dyDescent="0.25">
      <c r="A19" s="2">
        <v>10</v>
      </c>
      <c r="B19" s="2">
        <v>-1.9040000000000001E-5</v>
      </c>
      <c r="C19" s="2">
        <v>1.5220000000000001E-4</v>
      </c>
      <c r="D19" s="2">
        <v>-2.8390000000000002E-4</v>
      </c>
      <c r="E19" s="2">
        <v>0</v>
      </c>
      <c r="F19" s="2">
        <v>0</v>
      </c>
      <c r="G19" s="2">
        <v>0</v>
      </c>
      <c r="H19" s="2">
        <v>3.5455837999999997E-5</v>
      </c>
      <c r="I19" s="2">
        <v>1.3754799999999999E-5</v>
      </c>
      <c r="J19" s="2">
        <v>-8.0371351999999996E-5</v>
      </c>
      <c r="K19" s="3"/>
      <c r="L19" s="3">
        <f t="shared" si="0"/>
        <v>-6.706586826347305E-2</v>
      </c>
      <c r="M19" s="3"/>
      <c r="N19" s="2">
        <f>IF('Modell einstellen'!$B$1="Voll",H19/0.35,H19/0.35*2)</f>
        <v>2.0260478857142856E-4</v>
      </c>
      <c r="O19" s="2">
        <f>IF('Modell einstellen'!$B$1="Voll",J19/0.35,J19/0.35*2)</f>
        <v>-4.5926486857142857E-4</v>
      </c>
      <c r="P19" s="3">
        <f t="shared" si="1"/>
        <v>0.44115019988714382</v>
      </c>
      <c r="Q19" s="3"/>
      <c r="R19" s="3"/>
      <c r="S19" s="3"/>
      <c r="T19" s="3"/>
      <c r="U19" s="3"/>
      <c r="V19" s="3"/>
      <c r="W19" s="3"/>
    </row>
    <row r="20" spans="1:23" x14ac:dyDescent="0.25">
      <c r="A20" s="2">
        <v>100</v>
      </c>
      <c r="B20" s="2">
        <v>-3.3359999999999999E-5</v>
      </c>
      <c r="C20" s="2">
        <v>1.5579999999999999E-4</v>
      </c>
      <c r="D20" s="2">
        <v>-2.7490000000000001E-4</v>
      </c>
      <c r="E20" s="2">
        <v>0</v>
      </c>
      <c r="F20" s="2">
        <v>0</v>
      </c>
      <c r="G20" s="2">
        <v>0</v>
      </c>
      <c r="H20" s="2">
        <v>3.7344146E-5</v>
      </c>
      <c r="I20" s="2">
        <v>1.4073248000000001E-5</v>
      </c>
      <c r="J20" s="2">
        <v>-8.2989255999999995E-5</v>
      </c>
      <c r="K20" s="3"/>
      <c r="L20" s="3">
        <f t="shared" si="0"/>
        <v>-0.12135321935249181</v>
      </c>
      <c r="M20" s="3"/>
      <c r="N20" s="2">
        <f>IF('Modell einstellen'!$B$1="Voll",H20/0.35,H20/0.35*2)</f>
        <v>2.1339512000000002E-4</v>
      </c>
      <c r="O20" s="2">
        <f>IF('Modell einstellen'!$B$1="Voll",J20/0.35,J20/0.35*2)</f>
        <v>-4.7422432E-4</v>
      </c>
      <c r="P20" s="3">
        <f t="shared" si="1"/>
        <v>0.44998771889219014</v>
      </c>
      <c r="Q20" s="3"/>
      <c r="R20" s="3"/>
      <c r="S20" s="3"/>
      <c r="T20" s="3"/>
      <c r="U20" s="3"/>
      <c r="V20" s="3"/>
      <c r="W20" s="3"/>
    </row>
    <row r="21" spans="1:23" x14ac:dyDescent="0.25">
      <c r="A21" s="2">
        <v>1000</v>
      </c>
      <c r="B21" s="2">
        <v>-5.0800000000000002E-5</v>
      </c>
      <c r="C21" s="2">
        <v>1.5980000000000001E-4</v>
      </c>
      <c r="D21" s="2">
        <v>-2.633E-4</v>
      </c>
      <c r="E21" s="2">
        <v>0</v>
      </c>
      <c r="F21" s="2">
        <v>0</v>
      </c>
      <c r="G21" s="2">
        <v>0</v>
      </c>
      <c r="H21" s="2">
        <v>3.9560330999999999E-5</v>
      </c>
      <c r="I21" s="2">
        <v>1.442548E-5</v>
      </c>
      <c r="J21" s="2">
        <v>-8.6007707999999995E-5</v>
      </c>
      <c r="K21" s="3"/>
      <c r="L21" s="3">
        <f t="shared" si="0"/>
        <v>-0.19293581466008355</v>
      </c>
      <c r="M21" s="3"/>
      <c r="N21" s="2">
        <f>IF('Modell einstellen'!$B$1="Voll",H21/0.35,H21/0.35*2)</f>
        <v>2.2605903428571429E-4</v>
      </c>
      <c r="O21" s="2">
        <f>IF('Modell einstellen'!$B$1="Voll",J21/0.35,J21/0.35*2)</f>
        <v>-4.9147261714285718E-4</v>
      </c>
      <c r="P21" s="3">
        <f t="shared" si="1"/>
        <v>0.45996262334999088</v>
      </c>
      <c r="Q21" s="3"/>
      <c r="R21" s="3"/>
      <c r="S21" s="3"/>
      <c r="T21" s="3"/>
      <c r="U21" s="3"/>
      <c r="V21" s="3"/>
      <c r="W21" s="3"/>
    </row>
    <row r="22" spans="1:23" x14ac:dyDescent="0.25">
      <c r="A22" s="2">
        <v>10000</v>
      </c>
      <c r="B22" s="2">
        <v>-6.7840000000000001E-5</v>
      </c>
      <c r="C22" s="2">
        <v>1.6430000000000001E-4</v>
      </c>
      <c r="D22" s="2">
        <v>-2.522E-4</v>
      </c>
      <c r="E22" s="2">
        <v>0</v>
      </c>
      <c r="F22" s="2">
        <v>0</v>
      </c>
      <c r="G22" s="2">
        <v>0</v>
      </c>
      <c r="H22" s="2">
        <v>4.1974984E-5</v>
      </c>
      <c r="I22" s="2">
        <v>1.4872725000000001E-5</v>
      </c>
      <c r="J22" s="2">
        <v>-8.9390867999999997E-5</v>
      </c>
      <c r="K22" s="3"/>
      <c r="L22" s="3">
        <f t="shared" si="0"/>
        <v>-0.26899286280729579</v>
      </c>
      <c r="M22" s="3"/>
      <c r="N22" s="2">
        <f>IF('Modell einstellen'!$B$1="Voll",H22/0.35,H22/0.35*2)</f>
        <v>2.3985705142857145E-4</v>
      </c>
      <c r="O22" s="2">
        <f>IF('Modell einstellen'!$B$1="Voll",J22/0.35,J22/0.35*2)</f>
        <v>-5.1080495999999997E-4</v>
      </c>
      <c r="P22" s="3">
        <f t="shared" si="1"/>
        <v>0.46956680183483623</v>
      </c>
      <c r="Q22" s="3"/>
      <c r="R22" s="3"/>
      <c r="S22" s="3"/>
      <c r="T22" s="3"/>
      <c r="U22" s="3"/>
      <c r="V22" s="3"/>
      <c r="W22" s="3"/>
    </row>
    <row r="23" spans="1:23" x14ac:dyDescent="0.25">
      <c r="A23" s="2">
        <v>100000</v>
      </c>
      <c r="B23" s="2">
        <v>-7.6359999999999994E-5</v>
      </c>
      <c r="C23" s="2">
        <v>1.7550000000000001E-4</v>
      </c>
      <c r="D23" s="2">
        <v>-2.5520000000000002E-4</v>
      </c>
      <c r="E23" s="2">
        <v>0</v>
      </c>
      <c r="F23" s="2">
        <v>0</v>
      </c>
      <c r="G23" s="2">
        <v>0</v>
      </c>
      <c r="H23" s="2">
        <v>4.6306103999999998E-5</v>
      </c>
      <c r="I23" s="2">
        <v>1.6369997999999999E-5</v>
      </c>
      <c r="J23" s="2">
        <v>-9.6664837999999994E-5</v>
      </c>
      <c r="K23" s="3"/>
      <c r="L23" s="3">
        <f t="shared" si="0"/>
        <v>-0.29921630094043883</v>
      </c>
      <c r="M23" s="3"/>
      <c r="N23" s="2">
        <f>IF('Modell einstellen'!$B$1="Voll",H23/0.35,H23/0.35*2)</f>
        <v>2.6460630857142858E-4</v>
      </c>
      <c r="O23" s="2">
        <f>IF('Modell einstellen'!$B$1="Voll",J23/0.35,J23/0.35*2)</f>
        <v>-5.5237050285714281E-4</v>
      </c>
      <c r="P23" s="3">
        <f t="shared" si="1"/>
        <v>0.47903772414122292</v>
      </c>
      <c r="Q23" s="3"/>
      <c r="R23" s="3"/>
      <c r="S23" s="3"/>
      <c r="T23" s="3"/>
      <c r="U23" s="3"/>
      <c r="V23" s="3"/>
      <c r="W23" s="3"/>
    </row>
    <row r="24" spans="1:23" x14ac:dyDescent="0.25">
      <c r="A24" s="2">
        <v>1000000</v>
      </c>
      <c r="B24" s="2">
        <v>-2.565E-5</v>
      </c>
      <c r="C24" s="2">
        <v>2.0450000000000001E-4</v>
      </c>
      <c r="D24" s="2">
        <v>-3.2860000000000002E-4</v>
      </c>
      <c r="E24" s="2">
        <v>0</v>
      </c>
      <c r="F24" s="2">
        <v>0</v>
      </c>
      <c r="G24" s="2">
        <v>0</v>
      </c>
      <c r="H24" s="2">
        <v>5.4567519000000001E-5</v>
      </c>
      <c r="I24" s="2">
        <v>2.1369020999999999E-5</v>
      </c>
      <c r="J24" s="2">
        <v>-1.1435880999999999E-4</v>
      </c>
      <c r="K24" s="3"/>
      <c r="L24" s="3">
        <f t="shared" si="0"/>
        <v>-7.8058429701765061E-2</v>
      </c>
      <c r="M24" s="3"/>
      <c r="N24" s="2">
        <f>IF('Modell einstellen'!$B$1="Voll",H24/0.35,H24/0.35*2)</f>
        <v>3.1181439428571431E-4</v>
      </c>
      <c r="O24" s="2">
        <f>IF('Modell einstellen'!$B$1="Voll",J24/0.35,J24/0.35*2)</f>
        <v>-6.5347891428571428E-4</v>
      </c>
      <c r="P24" s="3">
        <f t="shared" si="1"/>
        <v>0.47716060529136328</v>
      </c>
      <c r="Q24" s="3"/>
      <c r="R24" s="3"/>
      <c r="S24" s="3"/>
      <c r="T24" s="3"/>
      <c r="U24" s="3"/>
      <c r="V24" s="3"/>
      <c r="W24" s="3"/>
    </row>
    <row r="25" spans="1:23" x14ac:dyDescent="0.25">
      <c r="A25" s="2">
        <v>10000000</v>
      </c>
      <c r="B25" s="2">
        <v>8.3570000000000001E-5</v>
      </c>
      <c r="C25" s="2">
        <v>2.5720000000000002E-4</v>
      </c>
      <c r="D25" s="2">
        <v>-4.7869999999999998E-4</v>
      </c>
      <c r="E25" s="2">
        <v>0</v>
      </c>
      <c r="F25" s="2">
        <v>0</v>
      </c>
      <c r="G25" s="2">
        <v>0</v>
      </c>
      <c r="H25" s="2">
        <v>6.7631170999999998E-5</v>
      </c>
      <c r="I25" s="2">
        <v>3.0813545000000002E-5</v>
      </c>
      <c r="J25" s="2">
        <v>-1.45241E-4</v>
      </c>
      <c r="K25" s="3"/>
      <c r="L25" s="3">
        <f t="shared" si="0"/>
        <v>0.17457697931898894</v>
      </c>
      <c r="M25" s="3"/>
      <c r="N25" s="2">
        <f>IF('Modell einstellen'!$B$1="Voll",H25/0.35,H25/0.35*2)</f>
        <v>3.8646383428571427E-4</v>
      </c>
      <c r="O25" s="2">
        <f>IF('Modell einstellen'!$B$1="Voll",J25/0.35,J25/0.35*2)</f>
        <v>-8.2994857142857151E-4</v>
      </c>
      <c r="P25" s="3">
        <f t="shared" si="1"/>
        <v>0.46564792999221977</v>
      </c>
      <c r="Q25" s="3"/>
      <c r="R25" s="3"/>
      <c r="S25" s="3"/>
      <c r="T25" s="3"/>
      <c r="U25" s="3"/>
      <c r="V25" s="3"/>
      <c r="W25" s="3"/>
    </row>
    <row r="26" spans="1:23" x14ac:dyDescent="0.25">
      <c r="A26" s="2">
        <v>100000000</v>
      </c>
      <c r="B26" s="2">
        <v>2.1240000000000001E-4</v>
      </c>
      <c r="C26" s="2">
        <v>3.2949999999999999E-4</v>
      </c>
      <c r="D26" s="2">
        <v>-6.6810000000000003E-4</v>
      </c>
      <c r="E26" s="2">
        <v>0</v>
      </c>
      <c r="F26" s="2">
        <v>0</v>
      </c>
      <c r="G26" s="2">
        <v>0</v>
      </c>
      <c r="H26" s="2">
        <v>8.4053103999999994E-5</v>
      </c>
      <c r="I26" s="2">
        <v>4.3394313999999997E-5</v>
      </c>
      <c r="J26" s="2">
        <v>-1.8558577000000001E-4</v>
      </c>
      <c r="K26" s="3"/>
      <c r="L26" s="3">
        <f t="shared" si="0"/>
        <v>0.31791647956892682</v>
      </c>
      <c r="M26" s="3"/>
      <c r="N26" s="2">
        <f>IF('Modell einstellen'!$B$1="Voll",H26/0.35,H26/0.35*2)</f>
        <v>4.803034514285714E-4</v>
      </c>
      <c r="O26" s="2">
        <f>IF('Modell einstellen'!$B$1="Voll",J26/0.35,J26/0.35*2)</f>
        <v>-1.0604901142857144E-3</v>
      </c>
      <c r="P26" s="3">
        <f t="shared" si="1"/>
        <v>0.45290705208702148</v>
      </c>
      <c r="Q26" s="3"/>
      <c r="R26" s="3"/>
      <c r="S26" s="3"/>
      <c r="T26" s="3"/>
      <c r="U26" s="3"/>
      <c r="V26" s="3"/>
      <c r="W26" s="3"/>
    </row>
    <row r="27" spans="1:23" x14ac:dyDescent="0.25">
      <c r="A27" s="2">
        <v>1000000000</v>
      </c>
      <c r="B27" s="2">
        <v>3.3520000000000002E-4</v>
      </c>
      <c r="C27" s="2">
        <v>4.261E-4</v>
      </c>
      <c r="D27" s="2">
        <v>-8.7830000000000004E-4</v>
      </c>
      <c r="E27" s="2">
        <v>0</v>
      </c>
      <c r="F27" s="2">
        <v>0</v>
      </c>
      <c r="G27" s="2">
        <v>0</v>
      </c>
      <c r="H27" s="2">
        <v>1.0549494E-4</v>
      </c>
      <c r="I27" s="2">
        <v>5.9769967000000002E-5</v>
      </c>
      <c r="J27" s="2">
        <v>-2.3846206E-4</v>
      </c>
      <c r="K27" s="3"/>
      <c r="L27" s="3">
        <f t="shared" si="0"/>
        <v>0.38164636229078902</v>
      </c>
      <c r="M27" s="3"/>
      <c r="N27" s="2">
        <f>IF('Modell einstellen'!$B$1="Voll",H27/0.35,H27/0.35*2)</f>
        <v>6.0282822857142863E-4</v>
      </c>
      <c r="O27" s="2">
        <f>IF('Modell einstellen'!$B$1="Voll",J27/0.35,J27/0.35*2)</f>
        <v>-1.3626403428571429E-3</v>
      </c>
      <c r="P27" s="3">
        <f t="shared" si="1"/>
        <v>0.44239716791845213</v>
      </c>
      <c r="Q27" s="3"/>
      <c r="R27" s="3"/>
      <c r="S27" s="3"/>
      <c r="T27" s="3"/>
      <c r="U27" s="3"/>
      <c r="V27" s="3"/>
      <c r="W27" s="3"/>
    </row>
    <row r="28" spans="1:23" x14ac:dyDescent="0.25">
      <c r="A28" s="2">
        <v>10000000000</v>
      </c>
      <c r="B28" s="2">
        <v>4.4799999999999999E-4</v>
      </c>
      <c r="C28" s="2">
        <v>5.6450000000000001E-4</v>
      </c>
      <c r="D28" s="2">
        <v>-1.122E-3</v>
      </c>
      <c r="E28" s="2">
        <v>0</v>
      </c>
      <c r="F28" s="2">
        <v>0</v>
      </c>
      <c r="G28" s="2">
        <v>0</v>
      </c>
      <c r="H28" s="2">
        <v>1.3578654999999999E-4</v>
      </c>
      <c r="I28" s="2">
        <v>8.3304609000000007E-5</v>
      </c>
      <c r="J28" s="2">
        <v>-3.1418534000000003E-4</v>
      </c>
      <c r="K28" s="3"/>
      <c r="L28" s="3">
        <f t="shared" si="0"/>
        <v>0.39928698752228164</v>
      </c>
      <c r="M28" s="3"/>
      <c r="N28" s="2">
        <f>IF('Modell einstellen'!$B$1="Voll",H28/0.35,H28/0.35*2)</f>
        <v>7.7592314285714287E-4</v>
      </c>
      <c r="O28" s="2">
        <f>IF('Modell einstellen'!$B$1="Voll",J28/0.35,J28/0.35*2)</f>
        <v>-1.7953448000000002E-3</v>
      </c>
      <c r="P28" s="3">
        <f t="shared" si="1"/>
        <v>0.43218614210325657</v>
      </c>
      <c r="Q28" s="3"/>
      <c r="R28" s="3"/>
      <c r="S28" s="3"/>
      <c r="T28" s="3"/>
      <c r="U28" s="3"/>
      <c r="V28" s="3"/>
      <c r="W28" s="3"/>
    </row>
    <row r="29" spans="1:23" x14ac:dyDescent="0.25">
      <c r="A29" s="2">
        <v>100000000000</v>
      </c>
      <c r="B29" s="2">
        <v>5.5210000000000003E-4</v>
      </c>
      <c r="C29" s="2">
        <v>7.9420000000000001E-4</v>
      </c>
      <c r="D29" s="2">
        <v>-1.449E-3</v>
      </c>
      <c r="E29" s="2">
        <v>0</v>
      </c>
      <c r="F29" s="2">
        <v>0</v>
      </c>
      <c r="G29" s="2">
        <v>0</v>
      </c>
      <c r="H29" s="2">
        <v>1.8564690000000001E-4</v>
      </c>
      <c r="I29" s="2">
        <v>1.2298754999999999E-4</v>
      </c>
      <c r="J29" s="2">
        <v>-4.4076776E-4</v>
      </c>
      <c r="K29" s="3"/>
      <c r="L29" s="3">
        <f t="shared" si="0"/>
        <v>0.38102139406487234</v>
      </c>
      <c r="M29" s="3"/>
      <c r="N29" s="2">
        <f>IF('Modell einstellen'!$B$1="Voll",H29/0.35,H29/0.35*2)</f>
        <v>1.0608394285714286E-3</v>
      </c>
      <c r="O29" s="2">
        <f>IF('Modell einstellen'!$B$1="Voll",J29/0.35,J29/0.35*2)</f>
        <v>-2.5186729142857144E-3</v>
      </c>
      <c r="P29" s="3">
        <f t="shared" si="1"/>
        <v>0.42118983475560917</v>
      </c>
      <c r="Q29" s="3"/>
      <c r="R29" s="3"/>
      <c r="S29" s="3"/>
      <c r="T29" s="3"/>
      <c r="U29" s="3"/>
      <c r="V29" s="3"/>
      <c r="W29" s="3"/>
    </row>
    <row r="30" spans="1:23" x14ac:dyDescent="0.25">
      <c r="A30" s="2">
        <v>1000000000000</v>
      </c>
      <c r="B30" s="2">
        <v>6.6399999999999999E-4</v>
      </c>
      <c r="C30" s="2">
        <v>1.139E-3</v>
      </c>
      <c r="D30" s="2">
        <v>-1.8990000000000001E-3</v>
      </c>
      <c r="E30" s="2">
        <v>0</v>
      </c>
      <c r="F30" s="2">
        <v>0</v>
      </c>
      <c r="G30" s="2">
        <v>0</v>
      </c>
      <c r="H30" s="2">
        <v>2.5920049000000001E-4</v>
      </c>
      <c r="I30" s="2">
        <v>1.8383363999999999E-4</v>
      </c>
      <c r="J30" s="2">
        <v>-6.3172369999999996E-4</v>
      </c>
      <c r="K30" s="3"/>
      <c r="L30" s="3">
        <f t="shared" si="0"/>
        <v>0.34965771458662454</v>
      </c>
      <c r="M30" s="3"/>
      <c r="N30" s="2">
        <f>IF('Modell einstellen'!$B$1="Voll",H30/0.35,H30/0.35*2)</f>
        <v>1.4811456571428572E-3</v>
      </c>
      <c r="O30" s="2">
        <f>IF('Modell einstellen'!$B$1="Voll",J30/0.35,J30/0.35*2)</f>
        <v>-3.6098497142857144E-3</v>
      </c>
      <c r="P30" s="3">
        <f t="shared" si="1"/>
        <v>0.41030673694844755</v>
      </c>
      <c r="Q30" s="3"/>
      <c r="R30" s="3"/>
      <c r="S30" s="3"/>
      <c r="T30" s="3"/>
      <c r="U30" s="3"/>
      <c r="V30" s="3"/>
      <c r="W30" s="3"/>
    </row>
    <row r="31" spans="1:23" x14ac:dyDescent="0.25">
      <c r="A31" s="2">
        <v>10000000000000</v>
      </c>
      <c r="B31" s="2">
        <v>8.0829999999999997E-4</v>
      </c>
      <c r="C31" s="2">
        <v>1.6280000000000001E-3</v>
      </c>
      <c r="D31" s="2">
        <v>-2.5249999999999999E-3</v>
      </c>
      <c r="E31" s="2">
        <v>0</v>
      </c>
      <c r="F31" s="2">
        <v>0</v>
      </c>
      <c r="G31" s="2">
        <v>0</v>
      </c>
      <c r="H31" s="2">
        <v>3.6388220000000001E-4</v>
      </c>
      <c r="I31" s="2">
        <v>2.7201653999999999E-4</v>
      </c>
      <c r="J31" s="2">
        <v>-9.0600939000000001E-4</v>
      </c>
      <c r="K31" s="3"/>
      <c r="L31" s="3">
        <f t="shared" si="0"/>
        <v>0.32011881188118813</v>
      </c>
      <c r="M31" s="3"/>
      <c r="N31" s="2">
        <f>IF('Modell einstellen'!$B$1="Voll",H31/0.35,H31/0.35*2)</f>
        <v>2.0793268571428574E-3</v>
      </c>
      <c r="O31" s="2">
        <f>IF('Modell einstellen'!$B$1="Voll",J31/0.35,J31/0.35*2)</f>
        <v>-5.1771965142857149E-3</v>
      </c>
      <c r="P31" s="3">
        <f t="shared" si="1"/>
        <v>0.40163181973202289</v>
      </c>
      <c r="Q31" s="3"/>
      <c r="R31" s="3"/>
      <c r="S31" s="3"/>
      <c r="T31" s="3"/>
      <c r="U31" s="3"/>
      <c r="V31" s="3"/>
      <c r="W31" s="3"/>
    </row>
    <row r="32" spans="1:23" x14ac:dyDescent="0.25">
      <c r="A32" s="2">
        <v>100000000000000</v>
      </c>
      <c r="B32" s="2">
        <v>1.0089999999999999E-3</v>
      </c>
      <c r="C32" s="2">
        <v>2.1090000000000002E-3</v>
      </c>
      <c r="D32" s="2">
        <v>-3.2009999999999999E-3</v>
      </c>
      <c r="E32" s="2">
        <v>0</v>
      </c>
      <c r="F32" s="2">
        <v>0</v>
      </c>
      <c r="G32" s="2">
        <v>0</v>
      </c>
      <c r="H32" s="2">
        <v>4.6090551999999999E-4</v>
      </c>
      <c r="I32" s="2">
        <v>3.5832810000000002E-4</v>
      </c>
      <c r="J32" s="2">
        <v>-1.1684054999999999E-3</v>
      </c>
      <c r="K32" s="3"/>
      <c r="L32" s="3">
        <f t="shared" si="0"/>
        <v>0.31521399562636676</v>
      </c>
      <c r="M32" s="3"/>
      <c r="N32" s="2">
        <f>IF('Modell einstellen'!$B$1="Voll",H32/0.35,H32/0.35*2)</f>
        <v>2.6337458285714288E-3</v>
      </c>
      <c r="O32" s="2">
        <f>IF('Modell einstellen'!$B$1="Voll",J32/0.35,J32/0.35*2)</f>
        <v>-6.6766028571428569E-3</v>
      </c>
      <c r="P32" s="3">
        <f t="shared" si="1"/>
        <v>0.39447393905626088</v>
      </c>
      <c r="Q32" s="3"/>
      <c r="R32" s="3"/>
      <c r="S32" s="3"/>
      <c r="T32" s="3"/>
      <c r="U32" s="3"/>
      <c r="V32" s="3"/>
      <c r="W32" s="3"/>
    </row>
    <row r="33" spans="1:23" x14ac:dyDescent="0.25">
      <c r="A33" s="2">
        <v>1000000000000000</v>
      </c>
      <c r="B33" s="2">
        <v>1.2210000000000001E-3</v>
      </c>
      <c r="C33" s="2">
        <v>2.526E-3</v>
      </c>
      <c r="D33" s="2">
        <v>-3.8270000000000001E-3</v>
      </c>
      <c r="E33" s="2">
        <v>0</v>
      </c>
      <c r="F33" s="2">
        <v>0</v>
      </c>
      <c r="G33" s="2">
        <v>0</v>
      </c>
      <c r="H33" s="2">
        <v>5.4235587E-4</v>
      </c>
      <c r="I33" s="2">
        <v>4.327736E-4</v>
      </c>
      <c r="J33" s="2">
        <v>-1.3920287E-3</v>
      </c>
      <c r="K33" s="3"/>
      <c r="L33" s="3">
        <f t="shared" si="0"/>
        <v>0.31904886333943039</v>
      </c>
      <c r="M33" s="3"/>
      <c r="N33" s="2">
        <f>IF('Modell einstellen'!$B$1="Voll",H33/0.35,H33/0.35*2)</f>
        <v>3.0991764000000001E-3</v>
      </c>
      <c r="O33" s="2">
        <f>IF('Modell einstellen'!$B$1="Voll",J33/0.35,J33/0.35*2)</f>
        <v>-7.9544497142857145E-3</v>
      </c>
      <c r="P33" s="3">
        <f t="shared" si="1"/>
        <v>0.38961543680816352</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6.2100000000000005E-5</v>
      </c>
      <c r="C3" s="3">
        <v>1.0959999999999999E-4</v>
      </c>
      <c r="D3" s="3">
        <v>-3.0069999999999999E-4</v>
      </c>
      <c r="E3" s="3">
        <v>0</v>
      </c>
      <c r="F3" s="3">
        <v>0</v>
      </c>
      <c r="G3" s="3">
        <v>0</v>
      </c>
      <c r="H3" s="3">
        <v>2.0301824000000002E-5</v>
      </c>
      <c r="I3" s="3">
        <v>1.0020302E-5</v>
      </c>
      <c r="J3" s="3">
        <v>-5.6673799999999999E-5</v>
      </c>
      <c r="L3" s="3">
        <f>-B3/D3</f>
        <v>0.20651812437645498</v>
      </c>
      <c r="M3" s="3"/>
      <c r="N3" s="2">
        <f>IF('Modell einstellen'!$B$1="Voll",H3/0.35,H3/0.35*2)</f>
        <v>1.1601042285714288E-4</v>
      </c>
      <c r="O3" s="2">
        <f>IF('Modell einstellen'!$B$1="Voll",J3/0.35,J3/0.35*2)</f>
        <v>-3.2385028571428571E-4</v>
      </c>
      <c r="P3" s="3">
        <f>-N3/O3</f>
        <v>0.35822238847580368</v>
      </c>
    </row>
    <row r="4" spans="1:16" x14ac:dyDescent="0.25">
      <c r="A4" s="3">
        <v>1E-14</v>
      </c>
      <c r="B4" s="3">
        <v>6.0340000000000002E-5</v>
      </c>
      <c r="C4" s="3">
        <v>1.121E-4</v>
      </c>
      <c r="D4" s="3">
        <v>-3.0289999999999999E-4</v>
      </c>
      <c r="E4" s="3">
        <v>0</v>
      </c>
      <c r="F4" s="3">
        <v>0</v>
      </c>
      <c r="G4" s="3">
        <v>0</v>
      </c>
      <c r="H4" s="3">
        <v>2.1051953999999999E-5</v>
      </c>
      <c r="I4" s="3">
        <v>1.0269155E-5</v>
      </c>
      <c r="J4" s="3">
        <v>-5.7998787999999998E-5</v>
      </c>
      <c r="L4" s="3">
        <f t="shared" ref="L4:L33" si="0">-B4/D4</f>
        <v>0.19920765929349621</v>
      </c>
      <c r="M4" s="3"/>
      <c r="N4" s="2">
        <f>IF('Modell einstellen'!$B$1="Voll",H4/0.35,H4/0.35*2)</f>
        <v>1.2029688E-4</v>
      </c>
      <c r="O4" s="2">
        <f>IF('Modell einstellen'!$B$1="Voll",J4/0.35,J4/0.35*2)</f>
        <v>-3.3142164571428574E-4</v>
      </c>
      <c r="P4" s="3">
        <f t="shared" ref="P4:P33" si="1">-N4/O4</f>
        <v>0.36297230900756061</v>
      </c>
    </row>
    <row r="5" spans="1:16" x14ac:dyDescent="0.25">
      <c r="A5" s="3">
        <v>1E-13</v>
      </c>
      <c r="B5" s="3">
        <v>5.931E-5</v>
      </c>
      <c r="C5" s="3">
        <v>1.139E-4</v>
      </c>
      <c r="D5" s="3">
        <v>-3.0449999999999997E-4</v>
      </c>
      <c r="E5" s="3">
        <v>0</v>
      </c>
      <c r="F5" s="3">
        <v>0</v>
      </c>
      <c r="G5" s="3">
        <v>0</v>
      </c>
      <c r="H5" s="3">
        <v>2.1531716999999999E-5</v>
      </c>
      <c r="I5" s="3">
        <v>1.0431962E-5</v>
      </c>
      <c r="J5" s="3">
        <v>-5.8849572999999999E-5</v>
      </c>
      <c r="L5" s="3">
        <f t="shared" si="0"/>
        <v>0.19477832512315271</v>
      </c>
      <c r="M5" s="3"/>
      <c r="N5" s="2">
        <f>IF('Modell einstellen'!$B$1="Voll",H5/0.35,H5/0.35*2)</f>
        <v>1.2303838285714286E-4</v>
      </c>
      <c r="O5" s="2">
        <f>IF('Modell einstellen'!$B$1="Voll",J5/0.35,J5/0.35*2)</f>
        <v>-3.362832742857143E-4</v>
      </c>
      <c r="P5" s="3">
        <f t="shared" si="1"/>
        <v>0.36587720016252284</v>
      </c>
    </row>
    <row r="6" spans="1:16" x14ac:dyDescent="0.25">
      <c r="A6" s="3">
        <v>9.9999999999999998E-13</v>
      </c>
      <c r="B6" s="3">
        <v>5.8069999999999998E-5</v>
      </c>
      <c r="C6" s="3">
        <v>1.1569999999999999E-4</v>
      </c>
      <c r="D6" s="3">
        <v>-3.0600000000000001E-4</v>
      </c>
      <c r="E6" s="3">
        <v>0</v>
      </c>
      <c r="F6" s="3">
        <v>0</v>
      </c>
      <c r="G6" s="3">
        <v>0</v>
      </c>
      <c r="H6" s="3">
        <v>2.2033420999999999E-5</v>
      </c>
      <c r="I6" s="3">
        <v>1.0598279000000001E-5</v>
      </c>
      <c r="J6" s="3">
        <v>-5.9730866000000001E-5</v>
      </c>
      <c r="L6" s="3">
        <f t="shared" si="0"/>
        <v>0.18977124183006536</v>
      </c>
      <c r="M6" s="3"/>
      <c r="N6" s="2">
        <f>IF('Modell einstellen'!$B$1="Voll",H6/0.35,H6/0.35*2)</f>
        <v>1.2590526285714287E-4</v>
      </c>
      <c r="O6" s="2">
        <f>IF('Modell einstellen'!$B$1="Voll",J6/0.35,J6/0.35*2)</f>
        <v>-3.4131923428571434E-4</v>
      </c>
      <c r="P6" s="3">
        <f t="shared" si="1"/>
        <v>0.36887831159186607</v>
      </c>
    </row>
    <row r="7" spans="1:16" x14ac:dyDescent="0.25">
      <c r="A7" s="3">
        <v>9.9999999999999994E-12</v>
      </c>
      <c r="B7" s="3">
        <v>5.6530000000000003E-5</v>
      </c>
      <c r="C7" s="3">
        <v>1.177E-4</v>
      </c>
      <c r="D7" s="3">
        <v>-3.0729999999999999E-4</v>
      </c>
      <c r="E7" s="3">
        <v>0</v>
      </c>
      <c r="F7" s="3">
        <v>0</v>
      </c>
      <c r="G7" s="3">
        <v>0</v>
      </c>
      <c r="H7" s="3">
        <v>2.2592985000000001E-5</v>
      </c>
      <c r="I7" s="3">
        <v>1.0778779999999999E-5</v>
      </c>
      <c r="J7" s="3">
        <v>-6.0702865000000002E-5</v>
      </c>
      <c r="L7" s="3">
        <f t="shared" si="0"/>
        <v>0.18395704523267167</v>
      </c>
      <c r="M7" s="3"/>
      <c r="N7" s="2">
        <f>IF('Modell einstellen'!$B$1="Voll",H7/0.35,H7/0.35*2)</f>
        <v>1.2910277142857144E-4</v>
      </c>
      <c r="O7" s="2">
        <f>IF('Modell einstellen'!$B$1="Voll",J7/0.35,J7/0.35*2)</f>
        <v>-3.4687351428571431E-4</v>
      </c>
      <c r="P7" s="3">
        <f t="shared" si="1"/>
        <v>0.37218976402514115</v>
      </c>
    </row>
    <row r="8" spans="1:16" x14ac:dyDescent="0.25">
      <c r="A8" s="3">
        <v>1E-10</v>
      </c>
      <c r="B8" s="3">
        <v>5.4549999999999998E-5</v>
      </c>
      <c r="C8" s="3">
        <v>1.199E-4</v>
      </c>
      <c r="D8" s="3">
        <v>-3.0870000000000002E-4</v>
      </c>
      <c r="E8" s="3">
        <v>0</v>
      </c>
      <c r="F8" s="3">
        <v>0</v>
      </c>
      <c r="G8" s="3">
        <v>0</v>
      </c>
      <c r="H8" s="3">
        <v>2.3241697999999999E-5</v>
      </c>
      <c r="I8" s="3">
        <v>1.0982056000000001E-5</v>
      </c>
      <c r="J8" s="3">
        <v>-6.1816356000000006E-5</v>
      </c>
      <c r="L8" s="3">
        <f t="shared" si="0"/>
        <v>0.17670877874959506</v>
      </c>
      <c r="M8" s="3"/>
      <c r="N8" s="2">
        <f>IF('Modell einstellen'!$B$1="Voll",H8/0.35,H8/0.35*2)</f>
        <v>1.3280970285714286E-4</v>
      </c>
      <c r="O8" s="2">
        <f>IF('Modell einstellen'!$B$1="Voll",J8/0.35,J8/0.35*2)</f>
        <v>-3.5323632000000007E-4</v>
      </c>
      <c r="P8" s="3">
        <f t="shared" si="1"/>
        <v>0.37597974879010976</v>
      </c>
    </row>
    <row r="9" spans="1:16" x14ac:dyDescent="0.25">
      <c r="A9" s="3">
        <v>1.0000000000000001E-9</v>
      </c>
      <c r="B9" s="3">
        <v>5.2030000000000002E-5</v>
      </c>
      <c r="C9" s="3">
        <v>1.2229999999999999E-4</v>
      </c>
      <c r="D9" s="3">
        <v>-3.098E-4</v>
      </c>
      <c r="E9" s="3">
        <v>0</v>
      </c>
      <c r="F9" s="3">
        <v>0</v>
      </c>
      <c r="G9" s="3">
        <v>0</v>
      </c>
      <c r="H9" s="3">
        <v>2.3989041999999998E-5</v>
      </c>
      <c r="I9" s="3">
        <v>1.1208861E-5</v>
      </c>
      <c r="J9" s="3">
        <v>-6.3082177000000001E-5</v>
      </c>
      <c r="L9" s="3">
        <f t="shared" si="0"/>
        <v>0.16794706262104583</v>
      </c>
      <c r="M9" s="3"/>
      <c r="N9" s="2">
        <f>IF('Modell einstellen'!$B$1="Voll",H9/0.35,H9/0.35*2)</f>
        <v>1.3708024E-4</v>
      </c>
      <c r="O9" s="2">
        <f>IF('Modell einstellen'!$B$1="Voll",J9/0.35,J9/0.35*2)</f>
        <v>-3.604695828571429E-4</v>
      </c>
      <c r="P9" s="3">
        <f t="shared" si="1"/>
        <v>0.38028240528223994</v>
      </c>
    </row>
    <row r="10" spans="1:16" x14ac:dyDescent="0.25">
      <c r="A10" s="3">
        <v>1E-8</v>
      </c>
      <c r="B10" s="3">
        <v>4.9030000000000003E-5</v>
      </c>
      <c r="C10" s="3">
        <v>1.2579999999999999E-4</v>
      </c>
      <c r="D10" s="3">
        <v>-3.1169999999999999E-4</v>
      </c>
      <c r="E10" s="3">
        <v>0</v>
      </c>
      <c r="F10" s="3">
        <v>0</v>
      </c>
      <c r="G10" s="3">
        <v>0</v>
      </c>
      <c r="H10" s="3">
        <v>2.4889954000000001E-5</v>
      </c>
      <c r="I10" s="3">
        <v>1.1505414999999999E-5</v>
      </c>
      <c r="J10" s="3">
        <v>-6.4645257000000005E-5</v>
      </c>
      <c r="L10" s="3">
        <f t="shared" si="0"/>
        <v>0.15729868463265961</v>
      </c>
      <c r="M10" s="3"/>
      <c r="N10" s="2">
        <f>IF('Modell einstellen'!$B$1="Voll",H10/0.35,H10/0.35*2)</f>
        <v>1.4222830857142858E-4</v>
      </c>
      <c r="O10" s="2">
        <f>IF('Modell einstellen'!$B$1="Voll",J10/0.35,J10/0.35*2)</f>
        <v>-3.6940146857142862E-4</v>
      </c>
      <c r="P10" s="3">
        <f t="shared" si="1"/>
        <v>0.38502366848042691</v>
      </c>
    </row>
    <row r="11" spans="1:16" x14ac:dyDescent="0.25">
      <c r="A11" s="3">
        <v>9.9999999999999995E-8</v>
      </c>
      <c r="B11" s="3">
        <v>4.5000000000000003E-5</v>
      </c>
      <c r="C11" s="3">
        <v>1.282E-4</v>
      </c>
      <c r="D11" s="3">
        <v>-3.1149999999999998E-4</v>
      </c>
      <c r="E11" s="3">
        <v>0</v>
      </c>
      <c r="F11" s="3">
        <v>0</v>
      </c>
      <c r="G11" s="3">
        <v>0</v>
      </c>
      <c r="H11" s="3">
        <v>2.5812558999999999E-5</v>
      </c>
      <c r="I11" s="3">
        <v>1.1744579E-5</v>
      </c>
      <c r="J11" s="3">
        <v>-6.6123516999999998E-5</v>
      </c>
      <c r="L11" s="3">
        <f t="shared" si="0"/>
        <v>0.14446227929373998</v>
      </c>
      <c r="M11" s="3"/>
      <c r="N11" s="2">
        <f>IF('Modell einstellen'!$B$1="Voll",H11/0.35,H11/0.35*2)</f>
        <v>1.4750033714285715E-4</v>
      </c>
      <c r="O11" s="2">
        <f>IF('Modell einstellen'!$B$1="Voll",J11/0.35,J11/0.35*2)</f>
        <v>-3.778486685714286E-4</v>
      </c>
      <c r="P11" s="3">
        <f t="shared" si="1"/>
        <v>0.39036881537925455</v>
      </c>
    </row>
    <row r="12" spans="1:16" x14ac:dyDescent="0.25">
      <c r="A12" s="3">
        <v>9.9999999999999995E-7</v>
      </c>
      <c r="B12" s="3">
        <v>4.0930000000000003E-5</v>
      </c>
      <c r="C12" s="3">
        <v>1.317E-4</v>
      </c>
      <c r="D12" s="3">
        <v>-3.123E-4</v>
      </c>
      <c r="E12" s="3">
        <v>0</v>
      </c>
      <c r="F12" s="3">
        <v>0</v>
      </c>
      <c r="G12" s="3">
        <v>0</v>
      </c>
      <c r="H12" s="3">
        <v>2.6788614000000001E-5</v>
      </c>
      <c r="I12" s="3">
        <v>1.2037723E-5</v>
      </c>
      <c r="J12" s="3">
        <v>-6.7755722000000006E-5</v>
      </c>
      <c r="L12" s="3">
        <f t="shared" si="0"/>
        <v>0.13105987832212618</v>
      </c>
      <c r="M12" s="3"/>
      <c r="N12" s="2">
        <f>IF('Modell einstellen'!$B$1="Voll",H12/0.35,H12/0.35*2)</f>
        <v>1.5307779428571429E-4</v>
      </c>
      <c r="O12" s="2">
        <f>IF('Modell einstellen'!$B$1="Voll",J12/0.35,J12/0.35*2)</f>
        <v>-3.8717555428571435E-4</v>
      </c>
      <c r="P12" s="3">
        <f t="shared" si="1"/>
        <v>0.39537050464903906</v>
      </c>
    </row>
    <row r="13" spans="1:16" x14ac:dyDescent="0.25">
      <c r="A13" s="3">
        <v>1.0000000000000001E-5</v>
      </c>
      <c r="B13" s="3">
        <v>3.523E-5</v>
      </c>
      <c r="C13" s="3">
        <v>1.351E-4</v>
      </c>
      <c r="D13" s="3">
        <v>-3.1159999999999998E-4</v>
      </c>
      <c r="E13" s="3">
        <v>0</v>
      </c>
      <c r="F13" s="3">
        <v>0</v>
      </c>
      <c r="G13" s="3">
        <v>0</v>
      </c>
      <c r="H13" s="3">
        <v>2.7971635000000001E-5</v>
      </c>
      <c r="I13" s="3">
        <v>1.234827E-5</v>
      </c>
      <c r="J13" s="3">
        <v>-6.9645441999999997E-5</v>
      </c>
      <c r="L13" s="3">
        <f t="shared" si="0"/>
        <v>0.11306161745827985</v>
      </c>
      <c r="M13" s="3"/>
      <c r="N13" s="2">
        <f>IF('Modell einstellen'!$B$1="Voll",H13/0.35,H13/0.35*2)</f>
        <v>1.598379142857143E-4</v>
      </c>
      <c r="O13" s="2">
        <f>IF('Modell einstellen'!$B$1="Voll",J13/0.35,J13/0.35*2)</f>
        <v>-3.9797395428571429E-4</v>
      </c>
      <c r="P13" s="3">
        <f t="shared" si="1"/>
        <v>0.40162908291974087</v>
      </c>
    </row>
    <row r="14" spans="1:16" x14ac:dyDescent="0.25">
      <c r="A14" s="3">
        <v>1E-4</v>
      </c>
      <c r="B14" s="3">
        <v>2.709E-5</v>
      </c>
      <c r="C14" s="3">
        <v>1.393E-4</v>
      </c>
      <c r="D14" s="3">
        <v>-3.0969999999999999E-4</v>
      </c>
      <c r="E14" s="3">
        <v>0</v>
      </c>
      <c r="F14" s="3">
        <v>0</v>
      </c>
      <c r="G14" s="3">
        <v>0</v>
      </c>
      <c r="H14" s="3">
        <v>2.9516060000000001E-5</v>
      </c>
      <c r="I14" s="3">
        <v>1.2728556E-5</v>
      </c>
      <c r="J14" s="3">
        <v>-7.2055614999999996E-5</v>
      </c>
      <c r="L14" s="3">
        <f t="shared" si="0"/>
        <v>8.7471746851792057E-2</v>
      </c>
      <c r="M14" s="3"/>
      <c r="N14" s="2">
        <f>IF('Modell einstellen'!$B$1="Voll",H14/0.35,H14/0.35*2)</f>
        <v>1.6866320000000001E-4</v>
      </c>
      <c r="O14" s="2">
        <f>IF('Modell einstellen'!$B$1="Voll",J14/0.35,J14/0.35*2)</f>
        <v>-4.1174637142857144E-4</v>
      </c>
      <c r="P14" s="3">
        <f t="shared" si="1"/>
        <v>0.40962886792375586</v>
      </c>
    </row>
    <row r="15" spans="1:16" x14ac:dyDescent="0.25">
      <c r="A15" s="3">
        <v>1E-3</v>
      </c>
      <c r="B15" s="3">
        <v>1.6670000000000001E-5</v>
      </c>
      <c r="C15" s="3">
        <v>1.438E-4</v>
      </c>
      <c r="D15" s="3">
        <v>-3.0590000000000001E-4</v>
      </c>
      <c r="E15" s="3">
        <v>0</v>
      </c>
      <c r="F15" s="3">
        <v>0</v>
      </c>
      <c r="G15" s="3">
        <v>0</v>
      </c>
      <c r="H15" s="3">
        <v>3.1306505000000003E-5</v>
      </c>
      <c r="I15" s="3">
        <v>1.3136494000000001E-5</v>
      </c>
      <c r="J15" s="3">
        <v>-7.4774592000000005E-5</v>
      </c>
      <c r="L15" s="3">
        <f t="shared" si="0"/>
        <v>5.4494932984635508E-2</v>
      </c>
      <c r="M15" s="3"/>
      <c r="N15" s="2">
        <f>IF('Modell einstellen'!$B$1="Voll",H15/0.35,H15/0.35*2)</f>
        <v>1.7889431428571431E-4</v>
      </c>
      <c r="O15" s="2">
        <f>IF('Modell einstellen'!$B$1="Voll",J15/0.35,J15/0.35*2)</f>
        <v>-4.2728338285714294E-4</v>
      </c>
      <c r="P15" s="3">
        <f t="shared" si="1"/>
        <v>0.41867837941529656</v>
      </c>
    </row>
    <row r="16" spans="1:16" x14ac:dyDescent="0.25">
      <c r="A16" s="3">
        <v>0.01</v>
      </c>
      <c r="B16" s="3">
        <v>5.8139999999999997E-6</v>
      </c>
      <c r="C16" s="3">
        <v>1.4779999999999999E-4</v>
      </c>
      <c r="D16" s="3">
        <v>-3.009E-4</v>
      </c>
      <c r="E16" s="3">
        <v>0</v>
      </c>
      <c r="F16" s="3">
        <v>0</v>
      </c>
      <c r="G16" s="3">
        <v>0</v>
      </c>
      <c r="H16" s="3">
        <v>3.3012536000000001E-5</v>
      </c>
      <c r="I16" s="3">
        <v>1.3494560999999999E-5</v>
      </c>
      <c r="J16" s="3">
        <v>-7.7295376999999996E-5</v>
      </c>
      <c r="L16" s="3">
        <f t="shared" si="0"/>
        <v>1.9322033898305085E-2</v>
      </c>
      <c r="M16" s="3"/>
      <c r="N16" s="2">
        <f>IF('Modell einstellen'!$B$1="Voll",H16/0.35,H16/0.35*2)</f>
        <v>1.8864306285714289E-4</v>
      </c>
      <c r="O16" s="2">
        <f>IF('Modell einstellen'!$B$1="Voll",J16/0.35,J16/0.35*2)</f>
        <v>-4.4168786857142855E-4</v>
      </c>
      <c r="P16" s="3">
        <f t="shared" si="1"/>
        <v>0.42709586628964896</v>
      </c>
    </row>
    <row r="17" spans="1:16" x14ac:dyDescent="0.25">
      <c r="A17" s="3">
        <v>0.1</v>
      </c>
      <c r="B17" s="3">
        <v>-5.4219999999999999E-6</v>
      </c>
      <c r="C17" s="3">
        <v>1.5139999999999999E-4</v>
      </c>
      <c r="D17" s="3">
        <v>-2.9500000000000001E-4</v>
      </c>
      <c r="E17" s="3">
        <v>0</v>
      </c>
      <c r="F17" s="3">
        <v>0</v>
      </c>
      <c r="G17" s="3">
        <v>0</v>
      </c>
      <c r="H17" s="3">
        <v>3.4669246999999999E-5</v>
      </c>
      <c r="I17" s="3">
        <v>1.3818923E-5</v>
      </c>
      <c r="J17" s="3">
        <v>-7.9690122000000005E-5</v>
      </c>
      <c r="L17" s="3">
        <f t="shared" si="0"/>
        <v>-1.8379661016949152E-2</v>
      </c>
      <c r="M17" s="3"/>
      <c r="N17" s="2">
        <f>IF('Modell einstellen'!$B$1="Voll",H17/0.35,H17/0.35*2)</f>
        <v>1.9810998285714286E-4</v>
      </c>
      <c r="O17" s="2">
        <f>IF('Modell einstellen'!$B$1="Voll",J17/0.35,J17/0.35*2)</f>
        <v>-4.5537212571428577E-4</v>
      </c>
      <c r="P17" s="3">
        <f t="shared" si="1"/>
        <v>0.43505074568715052</v>
      </c>
    </row>
    <row r="18" spans="1:16" x14ac:dyDescent="0.25">
      <c r="A18" s="3">
        <v>1</v>
      </c>
      <c r="B18" s="3">
        <v>-1.853E-5</v>
      </c>
      <c r="C18" s="3">
        <v>1.551E-4</v>
      </c>
      <c r="D18" s="3">
        <v>-2.8729999999999999E-4</v>
      </c>
      <c r="E18" s="3">
        <v>0</v>
      </c>
      <c r="F18" s="3">
        <v>0</v>
      </c>
      <c r="G18" s="3">
        <v>0</v>
      </c>
      <c r="H18" s="3">
        <v>3.6491062999999999E-5</v>
      </c>
      <c r="I18" s="3">
        <v>1.4150159E-5</v>
      </c>
      <c r="J18" s="3">
        <v>-8.2265480000000006E-5</v>
      </c>
      <c r="L18" s="3">
        <f t="shared" si="0"/>
        <v>-6.4497041420118348E-2</v>
      </c>
      <c r="M18" s="3"/>
      <c r="N18" s="2">
        <f>IF('Modell einstellen'!$B$1="Voll",H18/0.35,H18/0.35*2)</f>
        <v>2.0852036000000001E-4</v>
      </c>
      <c r="O18" s="2">
        <f>IF('Modell einstellen'!$B$1="Voll",J18/0.35,J18/0.35*2)</f>
        <v>-4.7008845714285722E-4</v>
      </c>
      <c r="P18" s="3">
        <f t="shared" si="1"/>
        <v>0.4435768562950097</v>
      </c>
    </row>
    <row r="19" spans="1:16" x14ac:dyDescent="0.25">
      <c r="A19" s="3">
        <v>10</v>
      </c>
      <c r="B19" s="3">
        <v>-3.3890000000000002E-5</v>
      </c>
      <c r="C19" s="3">
        <v>1.5890000000000001E-4</v>
      </c>
      <c r="D19" s="3">
        <v>-2.7750000000000002E-4</v>
      </c>
      <c r="E19" s="3">
        <v>0</v>
      </c>
      <c r="F19" s="3">
        <v>0</v>
      </c>
      <c r="G19" s="3">
        <v>0</v>
      </c>
      <c r="H19" s="3">
        <v>3.8528295000000001E-5</v>
      </c>
      <c r="I19" s="3">
        <v>1.4497084999999999E-5</v>
      </c>
      <c r="J19" s="3">
        <v>-8.5089511000000003E-5</v>
      </c>
      <c r="L19" s="3">
        <f t="shared" si="0"/>
        <v>-0.12212612612612612</v>
      </c>
      <c r="M19" s="3"/>
      <c r="N19" s="2">
        <f>IF('Modell einstellen'!$B$1="Voll",H19/0.35,H19/0.35*2)</f>
        <v>2.2016168571428575E-4</v>
      </c>
      <c r="O19" s="2">
        <f>IF('Modell einstellen'!$B$1="Voll",J19/0.35,J19/0.35*2)</f>
        <v>-4.8622577714285719E-4</v>
      </c>
      <c r="P19" s="3">
        <f t="shared" si="1"/>
        <v>0.45279723137673222</v>
      </c>
    </row>
    <row r="20" spans="1:16" x14ac:dyDescent="0.25">
      <c r="A20" s="3">
        <v>100</v>
      </c>
      <c r="B20" s="3">
        <v>-5.045E-5</v>
      </c>
      <c r="C20" s="3">
        <v>1.6310000000000001E-4</v>
      </c>
      <c r="D20" s="3">
        <v>-2.6679999999999998E-4</v>
      </c>
      <c r="E20" s="3">
        <v>0</v>
      </c>
      <c r="F20" s="3">
        <v>0</v>
      </c>
      <c r="G20" s="3">
        <v>0</v>
      </c>
      <c r="H20" s="3">
        <v>4.0795951E-5</v>
      </c>
      <c r="I20" s="3">
        <v>1.4900319000000001E-5</v>
      </c>
      <c r="J20" s="3">
        <v>-8.8245809999999995E-5</v>
      </c>
      <c r="L20" s="3">
        <f t="shared" si="0"/>
        <v>-0.18909295352323841</v>
      </c>
      <c r="M20" s="3"/>
      <c r="N20" s="2">
        <f>IF('Modell einstellen'!$B$1="Voll",H20/0.35,H20/0.35*2)</f>
        <v>2.3311972000000003E-4</v>
      </c>
      <c r="O20" s="2">
        <f>IF('Modell einstellen'!$B$1="Voll",J20/0.35,J20/0.35*2)</f>
        <v>-5.042617714285714E-4</v>
      </c>
      <c r="P20" s="3">
        <f t="shared" si="1"/>
        <v>0.46229901453678091</v>
      </c>
    </row>
    <row r="21" spans="1:16" x14ac:dyDescent="0.25">
      <c r="A21" s="3">
        <v>1000</v>
      </c>
      <c r="B21" s="3">
        <v>-6.1270000000000001E-5</v>
      </c>
      <c r="C21" s="3">
        <v>1.7110000000000001E-4</v>
      </c>
      <c r="D21" s="3">
        <v>-2.6479999999999999E-4</v>
      </c>
      <c r="E21" s="3">
        <v>0</v>
      </c>
      <c r="F21" s="3">
        <v>0</v>
      </c>
      <c r="G21" s="3">
        <v>0</v>
      </c>
      <c r="H21" s="3">
        <v>4.4067976E-5</v>
      </c>
      <c r="I21" s="3">
        <v>1.5898326000000001E-5</v>
      </c>
      <c r="J21" s="3">
        <v>-9.3513925000000001E-5</v>
      </c>
      <c r="L21" s="3">
        <f t="shared" si="0"/>
        <v>-0.23138217522658611</v>
      </c>
      <c r="M21" s="3"/>
      <c r="N21" s="2">
        <f>IF('Modell einstellen'!$B$1="Voll",H21/0.35,H21/0.35*2)</f>
        <v>2.5181700571428575E-4</v>
      </c>
      <c r="O21" s="2">
        <f>IF('Modell einstellen'!$B$1="Voll",J21/0.35,J21/0.35*2)</f>
        <v>-5.3436528571428575E-4</v>
      </c>
      <c r="P21" s="3">
        <f t="shared" si="1"/>
        <v>0.47124506858203208</v>
      </c>
    </row>
    <row r="22" spans="1:16" x14ac:dyDescent="0.25">
      <c r="A22" s="3">
        <v>10000</v>
      </c>
      <c r="B22" s="3">
        <v>-2.9269999999999999E-5</v>
      </c>
      <c r="C22" s="3">
        <v>1.94E-4</v>
      </c>
      <c r="D22" s="3">
        <v>-3.1540000000000002E-4</v>
      </c>
      <c r="E22" s="3">
        <v>0</v>
      </c>
      <c r="F22" s="3">
        <v>0</v>
      </c>
      <c r="G22" s="3">
        <v>0</v>
      </c>
      <c r="H22" s="3">
        <v>5.0792236999999999E-5</v>
      </c>
      <c r="I22" s="3">
        <v>1.9647924000000001E-5</v>
      </c>
      <c r="J22" s="3">
        <v>-1.0733526000000001E-4</v>
      </c>
      <c r="L22" s="3">
        <f t="shared" si="0"/>
        <v>-9.2802790107799613E-2</v>
      </c>
      <c r="M22" s="3"/>
      <c r="N22" s="2">
        <f>IF('Modell einstellen'!$B$1="Voll",H22/0.35,H22/0.35*2)</f>
        <v>2.9024135428571432E-4</v>
      </c>
      <c r="O22" s="2">
        <f>IF('Modell einstellen'!$B$1="Voll",J22/0.35,J22/0.35*2)</f>
        <v>-6.1334434285714289E-4</v>
      </c>
      <c r="P22" s="3">
        <f t="shared" si="1"/>
        <v>0.47321110509258563</v>
      </c>
    </row>
    <row r="23" spans="1:16" x14ac:dyDescent="0.25">
      <c r="A23" s="3">
        <v>100000</v>
      </c>
      <c r="B23" s="3">
        <v>6.7910000000000005E-5</v>
      </c>
      <c r="C23" s="3">
        <v>2.396E-4</v>
      </c>
      <c r="D23" s="3">
        <v>-4.4729999999999998E-4</v>
      </c>
      <c r="E23" s="3">
        <v>0</v>
      </c>
      <c r="F23" s="3">
        <v>0</v>
      </c>
      <c r="G23" s="3">
        <v>0</v>
      </c>
      <c r="H23" s="3">
        <v>6.1986800000000001E-5</v>
      </c>
      <c r="I23" s="3">
        <v>2.7697891999999999E-5</v>
      </c>
      <c r="J23" s="3">
        <v>-1.3366389999999999E-4</v>
      </c>
      <c r="L23" s="3">
        <f t="shared" si="0"/>
        <v>0.15182204337133917</v>
      </c>
      <c r="M23" s="3"/>
      <c r="N23" s="2">
        <f>IF('Modell einstellen'!$B$1="Voll",H23/0.35,H23/0.35*2)</f>
        <v>3.5421028571428577E-4</v>
      </c>
      <c r="O23" s="2">
        <f>IF('Modell einstellen'!$B$1="Voll",J23/0.35,J23/0.35*2)</f>
        <v>-7.6379371428571426E-4</v>
      </c>
      <c r="P23" s="3">
        <f t="shared" si="1"/>
        <v>0.46375124472651186</v>
      </c>
    </row>
    <row r="24" spans="1:16" x14ac:dyDescent="0.25">
      <c r="A24" s="3">
        <v>1000000</v>
      </c>
      <c r="B24" s="3">
        <v>1.9259999999999999E-4</v>
      </c>
      <c r="C24" s="3">
        <v>3.0449999999999997E-4</v>
      </c>
      <c r="D24" s="3">
        <v>-6.2480000000000001E-4</v>
      </c>
      <c r="E24" s="3">
        <v>0</v>
      </c>
      <c r="F24" s="3">
        <v>0</v>
      </c>
      <c r="G24" s="3">
        <v>0</v>
      </c>
      <c r="H24" s="3">
        <v>7.6467685999999995E-5</v>
      </c>
      <c r="I24" s="3">
        <v>3.8882913000000002E-5</v>
      </c>
      <c r="J24" s="3">
        <v>-1.6932448E-4</v>
      </c>
      <c r="L24" s="3">
        <f t="shared" si="0"/>
        <v>0.30825864276568499</v>
      </c>
      <c r="M24" s="3"/>
      <c r="N24" s="2">
        <f>IF('Modell einstellen'!$B$1="Voll",H24/0.35,H24/0.35*2)</f>
        <v>4.3695820571428571E-4</v>
      </c>
      <c r="O24" s="2">
        <f>IF('Modell einstellen'!$B$1="Voll",J24/0.35,J24/0.35*2)</f>
        <v>-9.6756845714285724E-4</v>
      </c>
      <c r="P24" s="3">
        <f t="shared" si="1"/>
        <v>0.45160443427908353</v>
      </c>
    </row>
    <row r="25" spans="1:16" x14ac:dyDescent="0.25">
      <c r="A25" s="3">
        <v>10000000</v>
      </c>
      <c r="B25" s="3">
        <v>3.1520000000000002E-4</v>
      </c>
      <c r="C25" s="3">
        <v>3.8759999999999999E-4</v>
      </c>
      <c r="D25" s="3">
        <v>-8.206E-4</v>
      </c>
      <c r="E25" s="3">
        <v>0</v>
      </c>
      <c r="F25" s="3">
        <v>0</v>
      </c>
      <c r="G25" s="3">
        <v>0</v>
      </c>
      <c r="H25" s="3">
        <v>9.4162888999999996E-5</v>
      </c>
      <c r="I25" s="3">
        <v>5.2719646000000002E-5</v>
      </c>
      <c r="J25" s="3">
        <v>-2.1347375000000001E-4</v>
      </c>
      <c r="L25" s="3">
        <f t="shared" si="0"/>
        <v>0.38410918839873265</v>
      </c>
      <c r="M25" s="3"/>
      <c r="N25" s="2">
        <f>IF('Modell einstellen'!$B$1="Voll",H25/0.35,H25/0.35*2)</f>
        <v>5.3807365142857148E-4</v>
      </c>
      <c r="O25" s="2">
        <f>IF('Modell einstellen'!$B$1="Voll",J25/0.35,J25/0.35*2)</f>
        <v>-1.2198500000000002E-3</v>
      </c>
      <c r="P25" s="3">
        <f t="shared" si="1"/>
        <v>0.44109820996726762</v>
      </c>
    </row>
    <row r="26" spans="1:16" x14ac:dyDescent="0.25">
      <c r="A26" s="3">
        <v>100000000</v>
      </c>
      <c r="B26" s="3">
        <v>4.2860000000000001E-4</v>
      </c>
      <c r="C26" s="3">
        <v>5.0029999999999996E-4</v>
      </c>
      <c r="D26" s="3">
        <v>-1.039E-3</v>
      </c>
      <c r="E26" s="3">
        <v>0</v>
      </c>
      <c r="F26" s="3">
        <v>0</v>
      </c>
      <c r="G26" s="3">
        <v>0</v>
      </c>
      <c r="H26" s="3">
        <v>1.1790231000000001E-4</v>
      </c>
      <c r="I26" s="3">
        <v>7.1394641999999997E-5</v>
      </c>
      <c r="J26" s="3">
        <v>-2.7319558000000002E-4</v>
      </c>
      <c r="L26" s="3">
        <f t="shared" si="0"/>
        <v>0.41251203079884508</v>
      </c>
      <c r="M26" s="3"/>
      <c r="N26" s="2">
        <f>IF('Modell einstellen'!$B$1="Voll",H26/0.35,H26/0.35*2)</f>
        <v>6.7372748571428579E-4</v>
      </c>
      <c r="O26" s="2">
        <f>IF('Modell einstellen'!$B$1="Voll",J26/0.35,J26/0.35*2)</f>
        <v>-1.5611176000000001E-3</v>
      </c>
      <c r="P26" s="3">
        <f t="shared" si="1"/>
        <v>0.43156741408481064</v>
      </c>
    </row>
    <row r="27" spans="1:16" x14ac:dyDescent="0.25">
      <c r="A27" s="3">
        <v>1000000000</v>
      </c>
      <c r="B27" s="3">
        <v>5.3399999999999997E-4</v>
      </c>
      <c r="C27" s="3">
        <v>6.7100000000000005E-4</v>
      </c>
      <c r="D27" s="3">
        <v>-1.3090000000000001E-3</v>
      </c>
      <c r="E27" s="3">
        <v>0</v>
      </c>
      <c r="F27" s="3">
        <v>0</v>
      </c>
      <c r="G27" s="3">
        <v>0</v>
      </c>
      <c r="H27" s="3">
        <v>1.5411006999999999E-4</v>
      </c>
      <c r="I27" s="3">
        <v>1.0030216E-4</v>
      </c>
      <c r="J27" s="3">
        <v>-3.6529046E-4</v>
      </c>
      <c r="L27" s="3">
        <f t="shared" si="0"/>
        <v>0.40794499618029023</v>
      </c>
      <c r="M27" s="3"/>
      <c r="N27" s="2">
        <f>IF('Modell einstellen'!$B$1="Voll",H27/0.35,H27/0.35*2)</f>
        <v>8.8062897142857143E-4</v>
      </c>
      <c r="O27" s="2">
        <f>IF('Modell einstellen'!$B$1="Voll",J27/0.35,J27/0.35*2)</f>
        <v>-2.0873740571428572E-3</v>
      </c>
      <c r="P27" s="3">
        <f t="shared" si="1"/>
        <v>0.42188364295087255</v>
      </c>
    </row>
    <row r="28" spans="1:16" x14ac:dyDescent="0.25">
      <c r="A28" s="3">
        <v>10000000000</v>
      </c>
      <c r="B28" s="3">
        <v>6.4249999999999995E-4</v>
      </c>
      <c r="C28" s="3">
        <v>9.5169999999999999E-4</v>
      </c>
      <c r="D28" s="3">
        <v>-1.691E-3</v>
      </c>
      <c r="E28" s="3">
        <v>0</v>
      </c>
      <c r="F28" s="3">
        <v>0</v>
      </c>
      <c r="G28" s="3">
        <v>0</v>
      </c>
      <c r="H28" s="3">
        <v>2.130686E-4</v>
      </c>
      <c r="I28" s="3">
        <v>1.4874771999999999E-4</v>
      </c>
      <c r="J28" s="3">
        <v>-5.1786422999999999E-4</v>
      </c>
      <c r="L28" s="3">
        <f t="shared" si="0"/>
        <v>0.37995269071555288</v>
      </c>
      <c r="M28" s="3"/>
      <c r="N28" s="2">
        <f>IF('Modell einstellen'!$B$1="Voll",H28/0.35,H28/0.35*2)</f>
        <v>1.2175348571428573E-3</v>
      </c>
      <c r="O28" s="2">
        <f>IF('Modell einstellen'!$B$1="Voll",J28/0.35,J28/0.35*2)</f>
        <v>-2.9592241714285717E-3</v>
      </c>
      <c r="P28" s="3">
        <f t="shared" si="1"/>
        <v>0.41143718306244093</v>
      </c>
    </row>
    <row r="29" spans="1:16" x14ac:dyDescent="0.25">
      <c r="A29" s="3">
        <v>100000000000</v>
      </c>
      <c r="B29" s="3">
        <v>7.7059999999999997E-4</v>
      </c>
      <c r="C29" s="3">
        <v>1.359E-3</v>
      </c>
      <c r="D29" s="3">
        <v>-2.2200000000000002E-3</v>
      </c>
      <c r="E29" s="3">
        <v>0</v>
      </c>
      <c r="F29" s="3">
        <v>0</v>
      </c>
      <c r="G29" s="3">
        <v>0</v>
      </c>
      <c r="H29" s="3">
        <v>2.9890264000000002E-4</v>
      </c>
      <c r="I29" s="3">
        <v>2.2082648000000001E-4</v>
      </c>
      <c r="J29" s="3">
        <v>-7.4261111999999996E-4</v>
      </c>
      <c r="L29" s="3">
        <f t="shared" si="0"/>
        <v>0.34711711711711707</v>
      </c>
      <c r="M29" s="3"/>
      <c r="N29" s="2">
        <f>IF('Modell einstellen'!$B$1="Voll",H29/0.35,H29/0.35*2)</f>
        <v>1.7080150857142859E-3</v>
      </c>
      <c r="O29" s="2">
        <f>IF('Modell einstellen'!$B$1="Voll",J29/0.35,J29/0.35*2)</f>
        <v>-4.2434921142857143E-3</v>
      </c>
      <c r="P29" s="3">
        <f t="shared" si="1"/>
        <v>0.40250224101141935</v>
      </c>
    </row>
    <row r="30" spans="1:16" x14ac:dyDescent="0.25">
      <c r="A30" s="3">
        <v>1000000000000</v>
      </c>
      <c r="B30" s="3">
        <v>9.4410000000000002E-4</v>
      </c>
      <c r="C30" s="3">
        <v>1.872E-3</v>
      </c>
      <c r="D30" s="3">
        <v>-2.9009999999999999E-3</v>
      </c>
      <c r="E30" s="3">
        <v>0</v>
      </c>
      <c r="F30" s="3">
        <v>0</v>
      </c>
      <c r="G30" s="3">
        <v>0</v>
      </c>
      <c r="H30" s="3">
        <v>4.0690438999999999E-4</v>
      </c>
      <c r="I30" s="3">
        <v>3.1346389000000001E-4</v>
      </c>
      <c r="J30" s="3">
        <v>-1.0284967999999999E-3</v>
      </c>
      <c r="L30" s="3">
        <f t="shared" si="0"/>
        <v>0.32543950361944157</v>
      </c>
      <c r="M30" s="3"/>
      <c r="N30" s="2">
        <f>IF('Modell einstellen'!$B$1="Voll",H30/0.35,H30/0.35*2)</f>
        <v>2.325167942857143E-3</v>
      </c>
      <c r="O30" s="2">
        <f>IF('Modell einstellen'!$B$1="Voll",J30/0.35,J30/0.35*2)</f>
        <v>-5.8771245714285712E-3</v>
      </c>
      <c r="P30" s="3">
        <f t="shared" si="1"/>
        <v>0.39563019544640299</v>
      </c>
    </row>
    <row r="31" spans="1:16" x14ac:dyDescent="0.25">
      <c r="A31" s="3">
        <v>10000000000000</v>
      </c>
      <c r="B31" s="3">
        <v>1.1490000000000001E-3</v>
      </c>
      <c r="C31" s="3">
        <v>2.3210000000000001E-3</v>
      </c>
      <c r="D31" s="3">
        <v>-3.5509999999999999E-3</v>
      </c>
      <c r="E31" s="3">
        <v>0</v>
      </c>
      <c r="F31" s="3">
        <v>0</v>
      </c>
      <c r="G31" s="3">
        <v>0</v>
      </c>
      <c r="H31" s="3">
        <v>4.9681034000000003E-4</v>
      </c>
      <c r="I31" s="3">
        <v>3.9408348000000002E-4</v>
      </c>
      <c r="J31" s="3">
        <v>-1.2726364000000001E-3</v>
      </c>
      <c r="L31" s="3">
        <f t="shared" si="0"/>
        <v>0.3235708251196846</v>
      </c>
      <c r="M31" s="3"/>
      <c r="N31" s="2">
        <f>IF('Modell einstellen'!$B$1="Voll",H31/0.35,H31/0.35*2)</f>
        <v>2.8389162285714291E-3</v>
      </c>
      <c r="O31" s="2">
        <f>IF('Modell einstellen'!$B$1="Voll",J31/0.35,J31/0.35*2)</f>
        <v>-7.2722080000000014E-3</v>
      </c>
      <c r="P31" s="3">
        <f t="shared" si="1"/>
        <v>0.39037885447878123</v>
      </c>
    </row>
    <row r="32" spans="1:16" x14ac:dyDescent="0.25">
      <c r="A32" s="3">
        <v>100000000000000</v>
      </c>
      <c r="B32" s="3">
        <v>1.341E-3</v>
      </c>
      <c r="C32" s="3">
        <v>2.666E-3</v>
      </c>
      <c r="D32" s="3">
        <v>-4.0850000000000001E-3</v>
      </c>
      <c r="E32" s="3">
        <v>0</v>
      </c>
      <c r="F32" s="3">
        <v>0</v>
      </c>
      <c r="G32" s="3">
        <v>0</v>
      </c>
      <c r="H32" s="3">
        <v>5.6264689999999996E-4</v>
      </c>
      <c r="I32" s="3">
        <v>4.5511348000000002E-4</v>
      </c>
      <c r="J32" s="3">
        <v>-1.4548979E-3</v>
      </c>
      <c r="L32" s="3">
        <f t="shared" si="0"/>
        <v>0.3282741738066095</v>
      </c>
      <c r="M32" s="3"/>
      <c r="N32" s="2">
        <f>IF('Modell einstellen'!$B$1="Voll",H32/0.35,H32/0.35*2)</f>
        <v>3.2151251428571429E-3</v>
      </c>
      <c r="O32" s="2">
        <f>IF('Modell einstellen'!$B$1="Voll",J32/0.35,J32/0.35*2)</f>
        <v>-8.3137022857142865E-3</v>
      </c>
      <c r="P32" s="3">
        <f t="shared" si="1"/>
        <v>0.38672603761404833</v>
      </c>
    </row>
    <row r="33" spans="1:16" x14ac:dyDescent="0.25">
      <c r="A33" s="3">
        <v>1000000000000000</v>
      </c>
      <c r="B33" s="3">
        <v>1.4859999999999999E-3</v>
      </c>
      <c r="C33" s="3">
        <v>2.882E-3</v>
      </c>
      <c r="D33" s="3">
        <v>-4.4450000000000002E-3</v>
      </c>
      <c r="E33" s="3">
        <v>0</v>
      </c>
      <c r="F33" s="3">
        <v>0</v>
      </c>
      <c r="G33" s="3">
        <v>0</v>
      </c>
      <c r="H33" s="3">
        <v>6.0091563999999998E-4</v>
      </c>
      <c r="I33" s="3">
        <v>4.9229883999999996E-4</v>
      </c>
      <c r="J33" s="3">
        <v>-1.5639718E-3</v>
      </c>
      <c r="L33" s="3">
        <f t="shared" si="0"/>
        <v>0.33430821147356576</v>
      </c>
      <c r="M33" s="3"/>
      <c r="N33" s="2">
        <f>IF('Modell einstellen'!$B$1="Voll",H33/0.35,H33/0.35*2)</f>
        <v>3.4338036571428571E-3</v>
      </c>
      <c r="O33" s="2">
        <f>IF('Modell einstellen'!$B$1="Voll",J33/0.35,J33/0.35*2)</f>
        <v>-8.936981714285714E-3</v>
      </c>
      <c r="P33" s="3">
        <f t="shared" si="1"/>
        <v>0.38422408895096449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6.3059999999999996E-5</v>
      </c>
      <c r="C3" s="3">
        <v>1.13E-4</v>
      </c>
      <c r="D3" s="3">
        <v>-3.0600000000000001E-4</v>
      </c>
      <c r="E3" s="3">
        <v>0</v>
      </c>
      <c r="F3" s="3">
        <v>0</v>
      </c>
      <c r="G3" s="3">
        <v>0</v>
      </c>
      <c r="H3" s="3">
        <v>2.1144722000000001E-5</v>
      </c>
      <c r="I3" s="3">
        <v>1.0372287E-5</v>
      </c>
      <c r="J3" s="3">
        <v>-5.8333437000000001E-5</v>
      </c>
      <c r="K3" s="3"/>
      <c r="L3" s="3">
        <f>-B3/D3</f>
        <v>0.206078431372549</v>
      </c>
      <c r="M3" s="3"/>
      <c r="N3" s="2">
        <f>IF('Modell einstellen'!$B$1="Voll",H3/0.35,H3/0.35*2)</f>
        <v>1.2082698285714287E-4</v>
      </c>
      <c r="O3" s="2">
        <f>IF('Modell einstellen'!$B$1="Voll",J3/0.35,J3/0.35*2)</f>
        <v>-3.3333392571428572E-4</v>
      </c>
      <c r="P3" s="3">
        <f>-N3/O3</f>
        <v>0.36248030439214479</v>
      </c>
      <c r="Q3" s="3"/>
      <c r="R3" s="3"/>
      <c r="S3" s="3"/>
      <c r="T3" s="3"/>
      <c r="U3" s="3"/>
    </row>
    <row r="4" spans="1:21" x14ac:dyDescent="0.25">
      <c r="A4" s="3">
        <v>1E-14</v>
      </c>
      <c r="B4" s="3">
        <v>6.1630000000000005E-5</v>
      </c>
      <c r="C4" s="3">
        <v>1.148E-4</v>
      </c>
      <c r="D4" s="3">
        <v>-3.0749999999999999E-4</v>
      </c>
      <c r="E4" s="3">
        <v>0</v>
      </c>
      <c r="F4" s="3">
        <v>0</v>
      </c>
      <c r="G4" s="3">
        <v>0</v>
      </c>
      <c r="H4" s="3">
        <v>2.1714305E-5</v>
      </c>
      <c r="I4" s="3">
        <v>1.0558233E-5</v>
      </c>
      <c r="J4" s="3">
        <v>-5.9329213000000003E-5</v>
      </c>
      <c r="K4" s="3"/>
      <c r="L4" s="3">
        <f t="shared" ref="L4:L33" si="0">-B4/D4</f>
        <v>0.2004227642276423</v>
      </c>
      <c r="M4" s="3"/>
      <c r="N4" s="2">
        <f>IF('Modell einstellen'!$B$1="Voll",H4/0.35,H4/0.35*2)</f>
        <v>1.2408174285714286E-4</v>
      </c>
      <c r="O4" s="2">
        <f>IF('Modell einstellen'!$B$1="Voll",J4/0.35,J4/0.35*2)</f>
        <v>-3.3902407428571435E-4</v>
      </c>
      <c r="P4" s="3">
        <f t="shared" ref="P4:P33" si="1">-N4/O4</f>
        <v>0.36599684880364075</v>
      </c>
      <c r="Q4" s="3"/>
      <c r="R4" s="3"/>
      <c r="S4" s="3"/>
      <c r="T4" s="3"/>
      <c r="U4" s="3"/>
    </row>
    <row r="5" spans="1:21" x14ac:dyDescent="0.25">
      <c r="A5" s="3">
        <v>1E-13</v>
      </c>
      <c r="B5" s="3">
        <v>6.0390000000000003E-5</v>
      </c>
      <c r="C5" s="3">
        <v>1.166E-4</v>
      </c>
      <c r="D5" s="3">
        <v>-3.0899999999999998E-4</v>
      </c>
      <c r="E5" s="3">
        <v>0</v>
      </c>
      <c r="F5" s="3">
        <v>0</v>
      </c>
      <c r="G5" s="3">
        <v>0</v>
      </c>
      <c r="H5" s="3">
        <v>2.2232509999999998E-5</v>
      </c>
      <c r="I5" s="3">
        <v>1.0728766999999999E-5</v>
      </c>
      <c r="J5" s="3">
        <v>-6.0236308E-5</v>
      </c>
      <c r="K5" s="3"/>
      <c r="L5" s="3">
        <f t="shared" si="0"/>
        <v>0.19543689320388352</v>
      </c>
      <c r="M5" s="3"/>
      <c r="N5" s="2">
        <f>IF('Modell einstellen'!$B$1="Voll",H5/0.35,H5/0.35*2)</f>
        <v>1.2704291428571428E-4</v>
      </c>
      <c r="O5" s="2">
        <f>IF('Modell einstellen'!$B$1="Voll",J5/0.35,J5/0.35*2)</f>
        <v>-3.4420747428571429E-4</v>
      </c>
      <c r="P5" s="3">
        <f t="shared" si="1"/>
        <v>0.3690881917928967</v>
      </c>
      <c r="Q5" s="3"/>
      <c r="R5" s="3"/>
      <c r="S5" s="3"/>
      <c r="T5" s="3"/>
      <c r="U5" s="3"/>
    </row>
    <row r="6" spans="1:21" x14ac:dyDescent="0.25">
      <c r="A6" s="3">
        <v>9.9999999999999998E-13</v>
      </c>
      <c r="B6" s="3">
        <v>5.8879999999999999E-5</v>
      </c>
      <c r="C6" s="3">
        <v>1.186E-4</v>
      </c>
      <c r="D6" s="3">
        <v>-3.1040000000000001E-4</v>
      </c>
      <c r="E6" s="3">
        <v>0</v>
      </c>
      <c r="F6" s="3">
        <v>0</v>
      </c>
      <c r="G6" s="3">
        <v>0</v>
      </c>
      <c r="H6" s="3">
        <v>2.2800314000000001E-5</v>
      </c>
      <c r="I6" s="3">
        <v>1.0912356E-5</v>
      </c>
      <c r="J6" s="3">
        <v>-6.1222061000000005E-5</v>
      </c>
      <c r="K6" s="3"/>
      <c r="L6" s="3">
        <f t="shared" si="0"/>
        <v>0.18969072164948453</v>
      </c>
      <c r="M6" s="3"/>
      <c r="N6" s="2">
        <f>IF('Modell einstellen'!$B$1="Voll",H6/0.35,H6/0.35*2)</f>
        <v>1.3028750857142858E-4</v>
      </c>
      <c r="O6" s="2">
        <f>IF('Modell einstellen'!$B$1="Voll",J6/0.35,J6/0.35*2)</f>
        <v>-3.4984034857142864E-4</v>
      </c>
      <c r="P6" s="3">
        <f t="shared" si="1"/>
        <v>0.37241990268834624</v>
      </c>
      <c r="Q6" s="3"/>
      <c r="R6" s="3"/>
      <c r="S6" s="3"/>
      <c r="T6" s="3"/>
      <c r="U6" s="3"/>
    </row>
    <row r="7" spans="1:21" x14ac:dyDescent="0.25">
      <c r="A7" s="3">
        <v>9.9999999999999994E-12</v>
      </c>
      <c r="B7" s="3">
        <v>5.6919999999999997E-5</v>
      </c>
      <c r="C7" s="3">
        <v>1.208E-4</v>
      </c>
      <c r="D7" s="3">
        <v>-3.1169999999999999E-4</v>
      </c>
      <c r="E7" s="3">
        <v>0</v>
      </c>
      <c r="F7" s="3">
        <v>0</v>
      </c>
      <c r="G7" s="3">
        <v>0</v>
      </c>
      <c r="H7" s="3">
        <v>2.3466014E-5</v>
      </c>
      <c r="I7" s="3">
        <v>1.1121946E-5</v>
      </c>
      <c r="J7" s="3">
        <v>-6.2364980000000002E-5</v>
      </c>
      <c r="K7" s="3"/>
      <c r="L7" s="3">
        <f t="shared" si="0"/>
        <v>0.18261148540263072</v>
      </c>
      <c r="M7" s="3"/>
      <c r="N7" s="2">
        <f>IF('Modell einstellen'!$B$1="Voll",H7/0.35,H7/0.35*2)</f>
        <v>1.3409150857142857E-4</v>
      </c>
      <c r="O7" s="2">
        <f>IF('Modell einstellen'!$B$1="Voll",J7/0.35,J7/0.35*2)</f>
        <v>-3.5637131428571434E-4</v>
      </c>
      <c r="P7" s="3">
        <f t="shared" si="1"/>
        <v>0.37626908563107048</v>
      </c>
      <c r="Q7" s="3"/>
      <c r="R7" s="3"/>
      <c r="S7" s="3"/>
      <c r="T7" s="3"/>
      <c r="U7" s="3"/>
    </row>
    <row r="8" spans="1:21" x14ac:dyDescent="0.25">
      <c r="A8" s="3">
        <v>1E-10</v>
      </c>
      <c r="B8" s="3">
        <v>5.4450000000000002E-5</v>
      </c>
      <c r="C8" s="3">
        <v>1.2329999999999999E-4</v>
      </c>
      <c r="D8" s="3">
        <v>-3.1300000000000002E-4</v>
      </c>
      <c r="E8" s="3">
        <v>0</v>
      </c>
      <c r="F8" s="3">
        <v>0</v>
      </c>
      <c r="G8" s="3">
        <v>0</v>
      </c>
      <c r="H8" s="3">
        <v>2.4222978000000002E-5</v>
      </c>
      <c r="I8" s="3">
        <v>1.1353355000000001E-5</v>
      </c>
      <c r="J8" s="3">
        <v>-6.3648451999999994E-5</v>
      </c>
      <c r="K8" s="3"/>
      <c r="L8" s="3">
        <f t="shared" si="0"/>
        <v>0.17396166134185304</v>
      </c>
      <c r="M8" s="3"/>
      <c r="N8" s="2">
        <f>IF('Modell einstellen'!$B$1="Voll",H8/0.35,H8/0.35*2)</f>
        <v>1.3841701714285715E-4</v>
      </c>
      <c r="O8" s="2">
        <f>IF('Modell einstellen'!$B$1="Voll",J8/0.35,J8/0.35*2)</f>
        <v>-3.6370544000000001E-4</v>
      </c>
      <c r="P8" s="3">
        <f t="shared" si="1"/>
        <v>0.38057450321022734</v>
      </c>
      <c r="Q8" s="3"/>
      <c r="R8" s="3"/>
      <c r="S8" s="3"/>
      <c r="T8" s="3"/>
      <c r="U8" s="3"/>
    </row>
    <row r="9" spans="1:21" x14ac:dyDescent="0.25">
      <c r="A9" s="3">
        <v>1.0000000000000001E-9</v>
      </c>
      <c r="B9" s="3">
        <v>5.1490000000000003E-5</v>
      </c>
      <c r="C9" s="3">
        <v>1.2689999999999999E-4</v>
      </c>
      <c r="D9" s="3">
        <v>-3.1500000000000001E-4</v>
      </c>
      <c r="E9" s="3">
        <v>0</v>
      </c>
      <c r="F9" s="3">
        <v>0</v>
      </c>
      <c r="G9" s="3">
        <v>0</v>
      </c>
      <c r="H9" s="3">
        <v>2.5149006999999998E-5</v>
      </c>
      <c r="I9" s="3">
        <v>1.1658258E-5</v>
      </c>
      <c r="J9" s="3">
        <v>-6.5253354999999998E-5</v>
      </c>
      <c r="K9" s="3"/>
      <c r="L9" s="3">
        <f t="shared" si="0"/>
        <v>0.16346031746031747</v>
      </c>
      <c r="M9" s="3"/>
      <c r="N9" s="2">
        <f>IF('Modell einstellen'!$B$1="Voll",H9/0.35,H9/0.35*2)</f>
        <v>1.4370861142857142E-4</v>
      </c>
      <c r="O9" s="2">
        <f>IF('Modell einstellen'!$B$1="Voll",J9/0.35,J9/0.35*2)</f>
        <v>-3.7287631428571427E-4</v>
      </c>
      <c r="P9" s="3">
        <f t="shared" si="1"/>
        <v>0.38540557799671754</v>
      </c>
      <c r="Q9" s="3"/>
      <c r="R9" s="3"/>
      <c r="S9" s="3"/>
      <c r="T9" s="3"/>
      <c r="U9" s="3"/>
    </row>
    <row r="10" spans="1:21" x14ac:dyDescent="0.25">
      <c r="A10" s="3">
        <v>1E-8</v>
      </c>
      <c r="B10" s="3">
        <v>4.7530000000000001E-5</v>
      </c>
      <c r="C10" s="3">
        <v>1.293E-4</v>
      </c>
      <c r="D10" s="3">
        <v>-3.1480000000000001E-4</v>
      </c>
      <c r="E10" s="3">
        <v>0</v>
      </c>
      <c r="F10" s="3">
        <v>0</v>
      </c>
      <c r="G10" s="3">
        <v>0</v>
      </c>
      <c r="H10" s="3">
        <v>2.606807E-5</v>
      </c>
      <c r="I10" s="3">
        <v>1.1899598E-5</v>
      </c>
      <c r="J10" s="3">
        <v>-6.6729690999999994E-5</v>
      </c>
      <c r="K10" s="3"/>
      <c r="L10" s="3">
        <f t="shared" si="0"/>
        <v>0.15098475222363406</v>
      </c>
      <c r="M10" s="3"/>
      <c r="N10" s="2">
        <f>IF('Modell einstellen'!$B$1="Voll",H10/0.35,H10/0.35*2)</f>
        <v>1.4896040000000001E-4</v>
      </c>
      <c r="O10" s="2">
        <f>IF('Modell einstellen'!$B$1="Voll",J10/0.35,J10/0.35*2)</f>
        <v>-3.8131252000000001E-4</v>
      </c>
      <c r="P10" s="3">
        <f t="shared" si="1"/>
        <v>0.39065174151638138</v>
      </c>
      <c r="Q10" s="3"/>
      <c r="R10" s="3"/>
      <c r="S10" s="3"/>
      <c r="T10" s="3"/>
      <c r="U10" s="3"/>
    </row>
    <row r="11" spans="1:21" x14ac:dyDescent="0.25">
      <c r="A11" s="3">
        <v>9.9999999999999995E-8</v>
      </c>
      <c r="B11" s="3">
        <v>4.3510000000000002E-5</v>
      </c>
      <c r="C11" s="3">
        <v>1.328E-4</v>
      </c>
      <c r="D11" s="3">
        <v>-3.1559999999999997E-4</v>
      </c>
      <c r="E11" s="3">
        <v>0</v>
      </c>
      <c r="F11" s="3">
        <v>0</v>
      </c>
      <c r="G11" s="3">
        <v>0</v>
      </c>
      <c r="H11" s="3">
        <v>2.7061317000000001E-5</v>
      </c>
      <c r="I11" s="3">
        <v>1.2199051000000001E-5</v>
      </c>
      <c r="J11" s="3">
        <v>-6.8391079999999995E-5</v>
      </c>
      <c r="K11" s="3"/>
      <c r="L11" s="3">
        <f t="shared" si="0"/>
        <v>0.13786438529784539</v>
      </c>
      <c r="M11" s="3"/>
      <c r="N11" s="2">
        <f>IF('Modell einstellen'!$B$1="Voll",H11/0.35,H11/0.35*2)</f>
        <v>1.5463609714285717E-4</v>
      </c>
      <c r="O11" s="2">
        <f>IF('Modell einstellen'!$B$1="Voll",J11/0.35,J11/0.35*2)</f>
        <v>-3.9080617142857142E-4</v>
      </c>
      <c r="P11" s="3">
        <f t="shared" si="1"/>
        <v>0.39568489048571837</v>
      </c>
      <c r="Q11" s="3"/>
      <c r="R11" s="3"/>
      <c r="S11" s="3"/>
      <c r="T11" s="3"/>
      <c r="U11" s="3"/>
    </row>
    <row r="12" spans="1:21" x14ac:dyDescent="0.25">
      <c r="A12" s="3">
        <v>9.9999999999999995E-7</v>
      </c>
      <c r="B12" s="3">
        <v>3.7719999999999998E-5</v>
      </c>
      <c r="C12" s="3">
        <v>1.3630000000000001E-4</v>
      </c>
      <c r="D12" s="3">
        <v>-3.1510000000000002E-4</v>
      </c>
      <c r="E12" s="3">
        <v>0</v>
      </c>
      <c r="F12" s="3">
        <v>0</v>
      </c>
      <c r="G12" s="3">
        <v>0</v>
      </c>
      <c r="H12" s="3">
        <v>2.8283920999999999E-5</v>
      </c>
      <c r="I12" s="3">
        <v>1.2523022E-5</v>
      </c>
      <c r="J12" s="3">
        <v>-7.0347503000000005E-5</v>
      </c>
      <c r="K12" s="3"/>
      <c r="L12" s="3">
        <f t="shared" si="0"/>
        <v>0.11970802919708028</v>
      </c>
      <c r="M12" s="3"/>
      <c r="N12" s="2">
        <f>IF('Modell einstellen'!$B$1="Voll",H12/0.35,H12/0.35*2)</f>
        <v>1.6162240571428573E-4</v>
      </c>
      <c r="O12" s="2">
        <f>IF('Modell einstellen'!$B$1="Voll",J12/0.35,J12/0.35*2)</f>
        <v>-4.0198573142857146E-4</v>
      </c>
      <c r="P12" s="3">
        <f t="shared" si="1"/>
        <v>0.40206005606197565</v>
      </c>
      <c r="Q12" s="3"/>
      <c r="R12" s="3"/>
      <c r="S12" s="3"/>
      <c r="T12" s="3"/>
      <c r="U12" s="3"/>
    </row>
    <row r="13" spans="1:21" x14ac:dyDescent="0.25">
      <c r="A13" s="3">
        <v>1.0000000000000001E-5</v>
      </c>
      <c r="B13" s="3">
        <v>2.9479999999999999E-5</v>
      </c>
      <c r="C13" s="3">
        <v>1.406E-4</v>
      </c>
      <c r="D13" s="3">
        <v>-3.1310000000000002E-4</v>
      </c>
      <c r="E13" s="3">
        <v>0</v>
      </c>
      <c r="F13" s="3">
        <v>0</v>
      </c>
      <c r="G13" s="3">
        <v>0</v>
      </c>
      <c r="H13" s="3">
        <v>2.9866336000000001E-5</v>
      </c>
      <c r="I13" s="3">
        <v>1.2916160000000001E-5</v>
      </c>
      <c r="J13" s="3">
        <v>-7.2820676000000007E-5</v>
      </c>
      <c r="K13" s="3"/>
      <c r="L13" s="3">
        <f t="shared" si="0"/>
        <v>9.415522197381028E-2</v>
      </c>
      <c r="M13" s="3"/>
      <c r="N13" s="2">
        <f>IF('Modell einstellen'!$B$1="Voll",H13/0.35,H13/0.35*2)</f>
        <v>1.7066477714285715E-4</v>
      </c>
      <c r="O13" s="2">
        <f>IF('Modell einstellen'!$B$1="Voll",J13/0.35,J13/0.35*2)</f>
        <v>-4.1611814857142864E-4</v>
      </c>
      <c r="P13" s="3">
        <f t="shared" si="1"/>
        <v>0.41013538517549597</v>
      </c>
      <c r="Q13" s="3"/>
      <c r="R13" s="3"/>
      <c r="S13" s="3"/>
      <c r="T13" s="3"/>
      <c r="U13" s="3"/>
    </row>
    <row r="14" spans="1:21" x14ac:dyDescent="0.25">
      <c r="A14" s="3">
        <v>1E-4</v>
      </c>
      <c r="B14" s="3">
        <v>1.9089999999999998E-5</v>
      </c>
      <c r="C14" s="3">
        <v>1.451E-4</v>
      </c>
      <c r="D14" s="3">
        <v>-3.0939999999999999E-4</v>
      </c>
      <c r="E14" s="3">
        <v>0</v>
      </c>
      <c r="F14" s="3">
        <v>0</v>
      </c>
      <c r="G14" s="3">
        <v>0</v>
      </c>
      <c r="H14" s="3">
        <v>3.1670608000000003E-5</v>
      </c>
      <c r="I14" s="3">
        <v>1.3330874E-5</v>
      </c>
      <c r="J14" s="3">
        <v>-7.5564392999999999E-5</v>
      </c>
      <c r="K14" s="3"/>
      <c r="L14" s="3">
        <f t="shared" si="0"/>
        <v>6.1700064641241108E-2</v>
      </c>
      <c r="M14" s="3"/>
      <c r="N14" s="2">
        <f>IF('Modell einstellen'!$B$1="Voll",H14/0.35,H14/0.35*2)</f>
        <v>1.809749028571429E-4</v>
      </c>
      <c r="O14" s="2">
        <f>IF('Modell einstellen'!$B$1="Voll",J14/0.35,J14/0.35*2)</f>
        <v>-4.3179653142857147E-4</v>
      </c>
      <c r="P14" s="3">
        <f t="shared" si="1"/>
        <v>0.41912078880855963</v>
      </c>
      <c r="Q14" s="3"/>
      <c r="R14" s="3"/>
      <c r="S14" s="3"/>
      <c r="T14" s="3"/>
      <c r="U14" s="3"/>
    </row>
    <row r="15" spans="1:21" x14ac:dyDescent="0.25">
      <c r="A15" s="3">
        <v>1E-3</v>
      </c>
      <c r="B15" s="3">
        <v>8.4659999999999999E-6</v>
      </c>
      <c r="C15" s="3">
        <v>1.4899999999999999E-4</v>
      </c>
      <c r="D15" s="3">
        <v>-3.0449999999999997E-4</v>
      </c>
      <c r="E15" s="3">
        <v>0</v>
      </c>
      <c r="F15" s="3">
        <v>0</v>
      </c>
      <c r="G15" s="3">
        <v>0</v>
      </c>
      <c r="H15" s="3">
        <v>3.3354530999999999E-5</v>
      </c>
      <c r="I15" s="3">
        <v>1.3687830999999999E-5</v>
      </c>
      <c r="J15" s="3">
        <v>-7.8056648999999995E-5</v>
      </c>
      <c r="K15" s="3"/>
      <c r="L15" s="3">
        <f t="shared" si="0"/>
        <v>2.7802955665024633E-2</v>
      </c>
      <c r="M15" s="3"/>
      <c r="N15" s="2">
        <f>IF('Modell einstellen'!$B$1="Voll",H15/0.35,H15/0.35*2)</f>
        <v>1.9059732E-4</v>
      </c>
      <c r="O15" s="2">
        <f>IF('Modell einstellen'!$B$1="Voll",J15/0.35,J15/0.35*2)</f>
        <v>-4.4603799428571429E-4</v>
      </c>
      <c r="P15" s="3">
        <f t="shared" si="1"/>
        <v>0.42731184885992224</v>
      </c>
      <c r="Q15" s="3"/>
      <c r="R15" s="3"/>
      <c r="S15" s="3"/>
      <c r="T15" s="3"/>
      <c r="U15" s="3"/>
    </row>
    <row r="16" spans="1:21" x14ac:dyDescent="0.25">
      <c r="A16" s="3">
        <v>0.01</v>
      </c>
      <c r="B16" s="3">
        <v>-2.8559999999999998E-6</v>
      </c>
      <c r="C16" s="3">
        <v>1.527E-4</v>
      </c>
      <c r="D16" s="3">
        <v>-2.9859999999999999E-4</v>
      </c>
      <c r="E16" s="3">
        <v>0</v>
      </c>
      <c r="F16" s="3">
        <v>0</v>
      </c>
      <c r="G16" s="3">
        <v>0</v>
      </c>
      <c r="H16" s="3">
        <v>3.5040031000000001E-5</v>
      </c>
      <c r="I16" s="3">
        <v>1.4021669E-5</v>
      </c>
      <c r="J16" s="3">
        <v>-8.0498156999999997E-5</v>
      </c>
      <c r="K16" s="3"/>
      <c r="L16" s="3">
        <f t="shared" si="0"/>
        <v>-9.5646349631614194E-3</v>
      </c>
      <c r="M16" s="3"/>
      <c r="N16" s="2">
        <f>IF('Modell einstellen'!$B$1="Voll",H16/0.35,H16/0.35*2)</f>
        <v>2.0022874857142858E-4</v>
      </c>
      <c r="O16" s="2">
        <f>IF('Modell einstellen'!$B$1="Voll",J16/0.35,J16/0.35*2)</f>
        <v>-4.5998946857142857E-4</v>
      </c>
      <c r="P16" s="3">
        <f t="shared" si="1"/>
        <v>0.43528985390311487</v>
      </c>
      <c r="Q16" s="3"/>
      <c r="R16" s="3"/>
      <c r="S16" s="3"/>
      <c r="T16" s="3"/>
      <c r="U16" s="3"/>
    </row>
    <row r="17" spans="1:25" x14ac:dyDescent="0.25">
      <c r="A17" s="3">
        <v>0.1</v>
      </c>
      <c r="B17" s="3">
        <v>-1.594E-5</v>
      </c>
      <c r="C17" s="3">
        <v>1.563E-4</v>
      </c>
      <c r="D17" s="3">
        <v>-2.9090000000000002E-4</v>
      </c>
      <c r="E17" s="3">
        <v>0</v>
      </c>
      <c r="F17" s="3">
        <v>0</v>
      </c>
      <c r="G17" s="3">
        <v>0</v>
      </c>
      <c r="H17" s="3">
        <v>3.6871693999999998E-5</v>
      </c>
      <c r="I17" s="3">
        <v>1.4358376000000001E-5</v>
      </c>
      <c r="J17" s="3">
        <v>-8.3092199000000001E-5</v>
      </c>
      <c r="K17" s="3"/>
      <c r="L17" s="3">
        <f t="shared" si="0"/>
        <v>-5.4795462358198689E-2</v>
      </c>
      <c r="M17" s="3"/>
      <c r="N17" s="2">
        <f>IF('Modell einstellen'!$B$1="Voll",H17/0.35,H17/0.35*2)</f>
        <v>2.106953942857143E-4</v>
      </c>
      <c r="O17" s="2">
        <f>IF('Modell einstellen'!$B$1="Voll",J17/0.35,J17/0.35*2)</f>
        <v>-4.7481256571428577E-4</v>
      </c>
      <c r="P17" s="3">
        <f t="shared" si="1"/>
        <v>0.44374435198182682</v>
      </c>
      <c r="Q17" s="3"/>
      <c r="R17" s="3"/>
      <c r="S17" s="3"/>
      <c r="T17" s="3"/>
      <c r="U17" s="3"/>
      <c r="V17" s="3"/>
      <c r="W17" s="3"/>
      <c r="X17" s="3"/>
      <c r="Y17" s="3"/>
    </row>
    <row r="18" spans="1:25" x14ac:dyDescent="0.25">
      <c r="A18" s="3">
        <v>1</v>
      </c>
      <c r="B18" s="3">
        <v>-3.1529999999999998E-5</v>
      </c>
      <c r="C18" s="3">
        <v>1.6019999999999999E-4</v>
      </c>
      <c r="D18" s="3">
        <v>-2.81E-4</v>
      </c>
      <c r="E18" s="3">
        <v>0</v>
      </c>
      <c r="F18" s="3">
        <v>0</v>
      </c>
      <c r="G18" s="3">
        <v>0</v>
      </c>
      <c r="H18" s="3">
        <v>3.8948264999999999E-5</v>
      </c>
      <c r="I18" s="3">
        <v>1.4714572E-5</v>
      </c>
      <c r="J18" s="3">
        <v>-8.5973596999999998E-5</v>
      </c>
      <c r="K18" s="3"/>
      <c r="L18" s="3">
        <f t="shared" si="0"/>
        <v>-0.11220640569395017</v>
      </c>
      <c r="M18" s="3"/>
      <c r="N18" s="2">
        <f>IF('Modell einstellen'!$B$1="Voll",H18/0.35,H18/0.35*2)</f>
        <v>2.225615142857143E-4</v>
      </c>
      <c r="O18" s="2">
        <f>IF('Modell einstellen'!$B$1="Voll",J18/0.35,J18/0.35*2)</f>
        <v>-4.9127769714285715E-4</v>
      </c>
      <c r="P18" s="3">
        <f t="shared" si="1"/>
        <v>0.4530258865404922</v>
      </c>
      <c r="Q18" s="3"/>
      <c r="R18" s="3"/>
      <c r="S18" s="3"/>
      <c r="T18" s="3"/>
      <c r="U18" s="3"/>
      <c r="V18" s="3"/>
      <c r="W18" s="3"/>
      <c r="X18" s="3"/>
      <c r="Y18" s="3"/>
    </row>
    <row r="19" spans="1:25" x14ac:dyDescent="0.25">
      <c r="A19" s="3">
        <v>10</v>
      </c>
      <c r="B19" s="3">
        <v>-4.8350000000000003E-5</v>
      </c>
      <c r="C19" s="3">
        <v>1.6430000000000001E-4</v>
      </c>
      <c r="D19" s="3">
        <v>-2.699E-4</v>
      </c>
      <c r="E19" s="3">
        <v>0</v>
      </c>
      <c r="F19" s="3">
        <v>0</v>
      </c>
      <c r="G19" s="3">
        <v>0</v>
      </c>
      <c r="H19" s="3">
        <v>4.1198980999999998E-5</v>
      </c>
      <c r="I19" s="3">
        <v>1.5103281E-5</v>
      </c>
      <c r="J19" s="3">
        <v>-8.9084417000000004E-5</v>
      </c>
      <c r="K19" s="3"/>
      <c r="L19" s="3">
        <f t="shared" si="0"/>
        <v>-0.17914042237865876</v>
      </c>
      <c r="M19" s="3"/>
      <c r="N19" s="2">
        <f>IF('Modell einstellen'!$B$1="Voll",H19/0.35,H19/0.35*2)</f>
        <v>2.3542274857142858E-4</v>
      </c>
      <c r="O19" s="2">
        <f>IF('Modell einstellen'!$B$1="Voll",J19/0.35,J19/0.35*2)</f>
        <v>-5.0905381142857145E-4</v>
      </c>
      <c r="P19" s="3">
        <f t="shared" si="1"/>
        <v>0.4624712423049252</v>
      </c>
      <c r="Q19" s="3"/>
      <c r="R19" s="3"/>
      <c r="S19" s="3"/>
      <c r="T19" s="3"/>
      <c r="U19" s="3"/>
      <c r="V19" s="3"/>
      <c r="W19" s="3"/>
      <c r="X19" s="3"/>
      <c r="Y19" s="3"/>
    </row>
    <row r="20" spans="1:25" x14ac:dyDescent="0.25">
      <c r="A20" s="3">
        <v>100</v>
      </c>
      <c r="B20" s="3">
        <v>-6.3020000000000003E-5</v>
      </c>
      <c r="C20" s="3">
        <v>1.7139999999999999E-4</v>
      </c>
      <c r="D20" s="3">
        <v>-2.6360000000000001E-4</v>
      </c>
      <c r="E20" s="3">
        <v>0</v>
      </c>
      <c r="F20" s="3">
        <v>0</v>
      </c>
      <c r="G20" s="3">
        <v>0</v>
      </c>
      <c r="H20" s="3">
        <v>4.4433481000000002E-5</v>
      </c>
      <c r="I20" s="3">
        <v>1.5965503999999999E-5</v>
      </c>
      <c r="J20" s="3">
        <v>-9.4071058E-5</v>
      </c>
      <c r="K20" s="3"/>
      <c r="L20" s="3">
        <f t="shared" si="0"/>
        <v>-0.23907435508345978</v>
      </c>
      <c r="M20" s="3"/>
      <c r="N20" s="2">
        <f>IF('Modell einstellen'!$B$1="Voll",H20/0.35,H20/0.35*2)</f>
        <v>2.5390560571428577E-4</v>
      </c>
      <c r="O20" s="2">
        <f>IF('Modell einstellen'!$B$1="Voll",J20/0.35,J20/0.35*2)</f>
        <v>-5.3754890285714289E-4</v>
      </c>
      <c r="P20" s="3">
        <f t="shared" si="1"/>
        <v>0.472339547834149</v>
      </c>
      <c r="Q20" s="3"/>
      <c r="R20" s="3"/>
      <c r="S20" s="3"/>
      <c r="T20" s="3"/>
      <c r="U20" s="3"/>
      <c r="V20" s="3"/>
      <c r="W20" s="3"/>
      <c r="X20" s="3"/>
      <c r="Y20" s="3"/>
    </row>
    <row r="21" spans="1:25" x14ac:dyDescent="0.25">
      <c r="A21" s="3">
        <v>1000</v>
      </c>
      <c r="B21" s="3">
        <v>-4.295E-5</v>
      </c>
      <c r="C21" s="3">
        <v>1.918E-4</v>
      </c>
      <c r="D21" s="3">
        <v>-3.01E-4</v>
      </c>
      <c r="E21" s="3">
        <v>0</v>
      </c>
      <c r="F21" s="3">
        <v>0</v>
      </c>
      <c r="G21" s="3">
        <v>0</v>
      </c>
      <c r="H21" s="3">
        <v>5.0612273000000003E-5</v>
      </c>
      <c r="I21" s="3">
        <v>1.9169187E-5</v>
      </c>
      <c r="J21" s="3">
        <v>-1.0633593E-4</v>
      </c>
      <c r="K21" s="3"/>
      <c r="L21" s="3">
        <f t="shared" si="0"/>
        <v>-0.14269102990033222</v>
      </c>
      <c r="M21" s="3"/>
      <c r="N21" s="2">
        <f>IF('Modell einstellen'!$B$1="Voll",H21/0.35,H21/0.35*2)</f>
        <v>2.8921298857142861E-4</v>
      </c>
      <c r="O21" s="2">
        <f>IF('Modell einstellen'!$B$1="Voll",J21/0.35,J21/0.35*2)</f>
        <v>-6.0763388571428577E-4</v>
      </c>
      <c r="P21" s="3">
        <f t="shared" si="1"/>
        <v>0.47596586591192652</v>
      </c>
      <c r="Q21" s="3"/>
      <c r="R21" s="3"/>
      <c r="S21" s="3"/>
      <c r="T21" s="3"/>
      <c r="U21" s="3"/>
      <c r="V21" s="3"/>
      <c r="W21" s="3"/>
      <c r="X21" s="3"/>
      <c r="Y21" s="3"/>
    </row>
    <row r="22" spans="1:25" x14ac:dyDescent="0.25">
      <c r="A22" s="3">
        <v>10000</v>
      </c>
      <c r="B22" s="3">
        <v>4.7700000000000001E-5</v>
      </c>
      <c r="C22" s="3">
        <v>2.3499999999999999E-4</v>
      </c>
      <c r="D22" s="3">
        <v>-4.2460000000000002E-4</v>
      </c>
      <c r="E22" s="3">
        <v>0</v>
      </c>
      <c r="F22" s="3">
        <v>0</v>
      </c>
      <c r="G22" s="3">
        <v>0</v>
      </c>
      <c r="H22" s="3">
        <v>6.1721644000000002E-5</v>
      </c>
      <c r="I22" s="3">
        <v>2.6891657000000001E-5</v>
      </c>
      <c r="J22" s="3">
        <v>-1.319723E-4</v>
      </c>
      <c r="K22" s="3"/>
      <c r="L22" s="3">
        <f t="shared" si="0"/>
        <v>0.11234102684879886</v>
      </c>
      <c r="M22" s="3"/>
      <c r="N22" s="2">
        <f>IF('Modell einstellen'!$B$1="Voll",H22/0.35,H22/0.35*2)</f>
        <v>3.5269510857142863E-4</v>
      </c>
      <c r="O22" s="2">
        <f>IF('Modell einstellen'!$B$1="Voll",J22/0.35,J22/0.35*2)</f>
        <v>-7.5412742857142862E-4</v>
      </c>
      <c r="P22" s="3">
        <f t="shared" si="1"/>
        <v>0.467686355394276</v>
      </c>
      <c r="Q22" s="3"/>
      <c r="R22" s="3"/>
      <c r="S22" s="3"/>
      <c r="T22" s="3"/>
      <c r="U22" s="3"/>
      <c r="V22" s="3"/>
      <c r="W22" s="3"/>
      <c r="X22" s="3"/>
      <c r="Y22" s="3"/>
    </row>
    <row r="23" spans="1:25" x14ac:dyDescent="0.25">
      <c r="A23" s="3">
        <v>100000</v>
      </c>
      <c r="B23" s="3">
        <v>1.718E-4</v>
      </c>
      <c r="C23" s="3">
        <v>2.9940000000000001E-4</v>
      </c>
      <c r="D23" s="3">
        <v>-6.0099999999999997E-4</v>
      </c>
      <c r="E23" s="3">
        <v>0</v>
      </c>
      <c r="F23" s="3">
        <v>0</v>
      </c>
      <c r="G23" s="3">
        <v>0</v>
      </c>
      <c r="H23" s="3">
        <v>7.6470255000000002E-5</v>
      </c>
      <c r="I23" s="3">
        <v>3.8134245999999997E-5</v>
      </c>
      <c r="J23" s="3">
        <v>-1.6799794000000001E-4</v>
      </c>
      <c r="K23" s="3"/>
      <c r="L23" s="3">
        <f t="shared" si="0"/>
        <v>0.28585690515806988</v>
      </c>
      <c r="M23" s="3"/>
      <c r="N23" s="2">
        <f>IF('Modell einstellen'!$B$1="Voll",H23/0.35,H23/0.35*2)</f>
        <v>4.3697288571428576E-4</v>
      </c>
      <c r="O23" s="2">
        <f>IF('Modell einstellen'!$B$1="Voll",J23/0.35,J23/0.35*2)</f>
        <v>-9.5998822857142866E-4</v>
      </c>
      <c r="P23" s="3">
        <f t="shared" si="1"/>
        <v>0.45518567072905775</v>
      </c>
      <c r="Q23" s="3"/>
      <c r="R23" s="3"/>
      <c r="S23" s="3"/>
      <c r="T23" s="3"/>
      <c r="U23" s="3"/>
      <c r="V23" s="3"/>
      <c r="W23" s="3"/>
      <c r="X23" s="3"/>
      <c r="Y23" s="3"/>
    </row>
    <row r="24" spans="1:25" x14ac:dyDescent="0.25">
      <c r="A24" s="3">
        <v>1000000</v>
      </c>
      <c r="B24" s="3">
        <v>2.966E-4</v>
      </c>
      <c r="C24" s="3">
        <v>3.836E-4</v>
      </c>
      <c r="D24" s="3">
        <v>-7.9980000000000003E-4</v>
      </c>
      <c r="E24" s="3">
        <v>0</v>
      </c>
      <c r="F24" s="3">
        <v>0</v>
      </c>
      <c r="G24" s="3">
        <v>0</v>
      </c>
      <c r="H24" s="3">
        <v>9.4876635000000001E-5</v>
      </c>
      <c r="I24" s="3">
        <v>5.2350035999999997E-5</v>
      </c>
      <c r="J24" s="3">
        <v>-2.1356922999999999E-4</v>
      </c>
      <c r="K24" s="3"/>
      <c r="L24" s="3">
        <f t="shared" si="0"/>
        <v>0.37084271067766938</v>
      </c>
      <c r="M24" s="3"/>
      <c r="N24" s="2">
        <f>IF('Modell einstellen'!$B$1="Voll",H24/0.35,H24/0.35*2)</f>
        <v>5.4215220000000002E-4</v>
      </c>
      <c r="O24" s="2">
        <f>IF('Modell einstellen'!$B$1="Voll",J24/0.35,J24/0.35*2)</f>
        <v>-1.2203956E-3</v>
      </c>
      <c r="P24" s="3">
        <f t="shared" si="1"/>
        <v>0.44424299792624622</v>
      </c>
      <c r="Q24" s="3"/>
      <c r="R24" s="3"/>
      <c r="S24" s="3"/>
      <c r="T24" s="3"/>
      <c r="U24" s="3"/>
      <c r="V24" s="3"/>
      <c r="W24" s="3"/>
      <c r="X24" s="3"/>
      <c r="Y24" s="3"/>
    </row>
    <row r="25" spans="1:25" x14ac:dyDescent="0.25">
      <c r="A25" s="3">
        <v>10000000</v>
      </c>
      <c r="B25" s="3">
        <v>4.126E-4</v>
      </c>
      <c r="C25" s="3">
        <v>4.9879999999999998E-4</v>
      </c>
      <c r="D25" s="3">
        <v>-1.023E-3</v>
      </c>
      <c r="E25" s="3">
        <v>0</v>
      </c>
      <c r="F25" s="3">
        <v>0</v>
      </c>
      <c r="G25" s="3">
        <v>0</v>
      </c>
      <c r="H25" s="3">
        <v>1.1969413000000001E-4</v>
      </c>
      <c r="I25" s="3">
        <v>7.1659267000000003E-5</v>
      </c>
      <c r="J25" s="3">
        <v>-2.7557419E-4</v>
      </c>
      <c r="K25" s="3"/>
      <c r="L25" s="3">
        <f t="shared" si="0"/>
        <v>0.40332355816226784</v>
      </c>
      <c r="M25" s="3"/>
      <c r="N25" s="2">
        <f>IF('Modell einstellen'!$B$1="Voll",H25/0.35,H25/0.35*2)</f>
        <v>6.8396645714285725E-4</v>
      </c>
      <c r="O25" s="2">
        <f>IF('Modell einstellen'!$B$1="Voll",J25/0.35,J25/0.35*2)</f>
        <v>-1.5747096571428571E-3</v>
      </c>
      <c r="P25" s="3">
        <f t="shared" si="1"/>
        <v>0.43434448632508005</v>
      </c>
      <c r="Q25" s="3"/>
      <c r="R25" s="3"/>
      <c r="S25" s="3"/>
      <c r="T25" s="3"/>
      <c r="U25" s="3"/>
      <c r="V25" s="3"/>
      <c r="W25" s="3"/>
      <c r="X25" s="3"/>
      <c r="Y25" s="3"/>
    </row>
    <row r="26" spans="1:25" x14ac:dyDescent="0.25">
      <c r="A26" s="3">
        <v>100000000</v>
      </c>
      <c r="B26" s="3">
        <v>5.1880000000000003E-4</v>
      </c>
      <c r="C26" s="3">
        <v>6.7540000000000005E-4</v>
      </c>
      <c r="D26" s="3">
        <v>-1.299E-3</v>
      </c>
      <c r="E26" s="3">
        <v>0</v>
      </c>
      <c r="F26" s="3">
        <v>0</v>
      </c>
      <c r="G26" s="3">
        <v>0</v>
      </c>
      <c r="H26" s="3">
        <v>1.5793200999999999E-4</v>
      </c>
      <c r="I26" s="3">
        <v>1.0185306999999999E-4</v>
      </c>
      <c r="J26" s="3">
        <v>-3.7216752E-4</v>
      </c>
      <c r="K26" s="3"/>
      <c r="L26" s="3">
        <f t="shared" si="0"/>
        <v>0.39938414164742109</v>
      </c>
      <c r="M26" s="3"/>
      <c r="N26" s="2">
        <f>IF('Modell einstellen'!$B$1="Voll",H26/0.35,H26/0.35*2)</f>
        <v>9.0246862857142854E-4</v>
      </c>
      <c r="O26" s="2">
        <f>IF('Modell einstellen'!$B$1="Voll",J26/0.35,J26/0.35*2)</f>
        <v>-2.126671542857143E-3</v>
      </c>
      <c r="P26" s="3">
        <f t="shared" si="1"/>
        <v>0.4243573162967042</v>
      </c>
      <c r="Q26" s="3"/>
      <c r="R26" s="3"/>
      <c r="S26" s="3"/>
      <c r="T26" s="3"/>
      <c r="U26" s="3"/>
      <c r="V26" s="3"/>
      <c r="W26" s="3"/>
      <c r="X26" s="3"/>
      <c r="Y26" s="3"/>
    </row>
    <row r="27" spans="1:25" x14ac:dyDescent="0.25">
      <c r="A27" s="3">
        <v>1000000000</v>
      </c>
      <c r="B27" s="3">
        <v>6.2629999999999999E-4</v>
      </c>
      <c r="C27" s="3">
        <v>9.634E-4</v>
      </c>
      <c r="D27" s="3">
        <v>-1.6869999999999999E-3</v>
      </c>
      <c r="E27" s="3">
        <v>0</v>
      </c>
      <c r="F27" s="3">
        <v>0</v>
      </c>
      <c r="G27" s="3">
        <v>0</v>
      </c>
      <c r="H27" s="3">
        <v>2.1896519E-4</v>
      </c>
      <c r="I27" s="3">
        <v>1.5183870999999999E-4</v>
      </c>
      <c r="J27" s="3">
        <v>-5.2975768000000005E-4</v>
      </c>
      <c r="K27" s="3"/>
      <c r="L27" s="3">
        <f t="shared" si="0"/>
        <v>0.37125074096028454</v>
      </c>
      <c r="M27" s="3"/>
      <c r="N27" s="2">
        <f>IF('Modell einstellen'!$B$1="Voll",H27/0.35,H27/0.35*2)</f>
        <v>1.2512296571428572E-3</v>
      </c>
      <c r="O27" s="2">
        <f>IF('Modell einstellen'!$B$1="Voll",J27/0.35,J27/0.35*2)</f>
        <v>-3.0271867428571433E-3</v>
      </c>
      <c r="P27" s="3">
        <f t="shared" si="1"/>
        <v>0.41333084590675495</v>
      </c>
      <c r="Q27" s="3"/>
      <c r="R27" s="3"/>
      <c r="S27" s="3"/>
      <c r="T27" s="3"/>
      <c r="U27" s="3"/>
      <c r="V27" s="3"/>
      <c r="W27" s="3"/>
      <c r="X27" s="3"/>
      <c r="Y27" s="3"/>
    </row>
    <row r="28" spans="1:25" x14ac:dyDescent="0.25">
      <c r="A28" s="3">
        <v>10000000000</v>
      </c>
      <c r="B28" s="3">
        <v>7.5339999999999999E-4</v>
      </c>
      <c r="C28" s="3">
        <v>1.3810000000000001E-3</v>
      </c>
      <c r="D28" s="3">
        <v>-2.2260000000000001E-3</v>
      </c>
      <c r="E28" s="3">
        <v>0</v>
      </c>
      <c r="F28" s="3">
        <v>0</v>
      </c>
      <c r="G28" s="3">
        <v>0</v>
      </c>
      <c r="H28" s="3">
        <v>3.0773615000000002E-4</v>
      </c>
      <c r="I28" s="3">
        <v>2.2622773E-4</v>
      </c>
      <c r="J28" s="3">
        <v>-7.6184620999999997E-4</v>
      </c>
      <c r="K28" s="3"/>
      <c r="L28" s="3">
        <f t="shared" si="0"/>
        <v>0.33845462713387242</v>
      </c>
      <c r="M28" s="3"/>
      <c r="N28" s="2">
        <f>IF('Modell einstellen'!$B$1="Voll",H28/0.35,H28/0.35*2)</f>
        <v>1.758492285714286E-3</v>
      </c>
      <c r="O28" s="2">
        <f>IF('Modell einstellen'!$B$1="Voll",J28/0.35,J28/0.35*2)</f>
        <v>-4.3534069142857146E-3</v>
      </c>
      <c r="P28" s="3">
        <f t="shared" si="1"/>
        <v>0.40393473900723353</v>
      </c>
      <c r="Q28" s="3"/>
      <c r="R28" s="3"/>
      <c r="S28" s="3"/>
      <c r="T28" s="3"/>
      <c r="U28" s="3"/>
      <c r="V28" s="3"/>
      <c r="W28" s="3"/>
      <c r="X28" s="3"/>
      <c r="Y28" s="3"/>
    </row>
    <row r="29" spans="1:25" x14ac:dyDescent="0.25">
      <c r="A29" s="3">
        <v>100000000000</v>
      </c>
      <c r="B29" s="3">
        <v>9.2940000000000004E-4</v>
      </c>
      <c r="C29" s="3">
        <v>1.892E-3</v>
      </c>
      <c r="D29" s="3">
        <v>-2.9069999999999999E-3</v>
      </c>
      <c r="E29" s="3">
        <v>0</v>
      </c>
      <c r="F29" s="3">
        <v>0</v>
      </c>
      <c r="G29" s="3">
        <v>0</v>
      </c>
      <c r="H29" s="3">
        <v>4.1475475000000002E-4</v>
      </c>
      <c r="I29" s="3">
        <v>3.1847287999999999E-4</v>
      </c>
      <c r="J29" s="3">
        <v>-1.0459375E-3</v>
      </c>
      <c r="K29" s="3"/>
      <c r="L29" s="3">
        <f t="shared" si="0"/>
        <v>0.31971104231166153</v>
      </c>
      <c r="M29" s="3"/>
      <c r="N29" s="2">
        <f>IF('Modell einstellen'!$B$1="Voll",H29/0.35,H29/0.35*2)</f>
        <v>2.370027142857143E-3</v>
      </c>
      <c r="O29" s="2">
        <f>IF('Modell einstellen'!$B$1="Voll",J29/0.35,J29/0.35*2)</f>
        <v>-5.9767857142857149E-3</v>
      </c>
      <c r="P29" s="3">
        <f t="shared" si="1"/>
        <v>0.39653875112040632</v>
      </c>
      <c r="Q29" s="3"/>
      <c r="R29" s="3"/>
      <c r="S29" s="3"/>
      <c r="T29" s="3"/>
      <c r="U29" s="3"/>
      <c r="V29" s="3"/>
      <c r="W29" s="3"/>
      <c r="X29" s="3"/>
      <c r="Y29" s="3"/>
    </row>
    <row r="30" spans="1:25" x14ac:dyDescent="0.25">
      <c r="A30" s="3">
        <v>1000000000000</v>
      </c>
      <c r="B30" s="3">
        <v>1.1379999999999999E-3</v>
      </c>
      <c r="C30" s="3">
        <v>2.3410000000000002E-3</v>
      </c>
      <c r="D30" s="3">
        <v>-3.5609999999999999E-3</v>
      </c>
      <c r="E30" s="3">
        <v>0</v>
      </c>
      <c r="F30" s="3">
        <v>0</v>
      </c>
      <c r="G30" s="3">
        <v>0</v>
      </c>
      <c r="H30" s="3">
        <v>5.0396733E-4</v>
      </c>
      <c r="I30" s="3">
        <v>3.9888765000000001E-4</v>
      </c>
      <c r="J30" s="3">
        <v>-1.2889526999999999E-3</v>
      </c>
      <c r="K30" s="3"/>
      <c r="L30" s="3">
        <f t="shared" si="0"/>
        <v>0.31957315360853689</v>
      </c>
      <c r="M30" s="3"/>
      <c r="N30" s="2">
        <f>IF('Modell einstellen'!$B$1="Voll",H30/0.35,H30/0.35*2)</f>
        <v>2.8798133142857144E-3</v>
      </c>
      <c r="O30" s="2">
        <f>IF('Modell einstellen'!$B$1="Voll",J30/0.35,J30/0.35*2)</f>
        <v>-7.3654439999999996E-3</v>
      </c>
      <c r="P30" s="3">
        <f t="shared" si="1"/>
        <v>0.39098977798021606</v>
      </c>
      <c r="Q30" s="3"/>
      <c r="R30" s="3"/>
      <c r="S30" s="3"/>
      <c r="T30" s="3"/>
      <c r="U30" s="3"/>
      <c r="V30" s="3"/>
      <c r="W30" s="3"/>
      <c r="X30" s="3"/>
      <c r="Y30" s="3"/>
    </row>
    <row r="31" spans="1:25" x14ac:dyDescent="0.25">
      <c r="A31" s="3">
        <v>10000000000000</v>
      </c>
      <c r="B31" s="3">
        <v>1.333E-3</v>
      </c>
      <c r="C31" s="3">
        <v>2.673E-3</v>
      </c>
      <c r="D31" s="3">
        <v>-4.084E-3</v>
      </c>
      <c r="E31" s="3">
        <v>0</v>
      </c>
      <c r="F31" s="3">
        <v>0</v>
      </c>
      <c r="G31" s="3">
        <v>0</v>
      </c>
      <c r="H31" s="3">
        <v>5.6582666999999999E-4</v>
      </c>
      <c r="I31" s="3">
        <v>4.5713976000000001E-4</v>
      </c>
      <c r="J31" s="3">
        <v>-1.4619218E-3</v>
      </c>
      <c r="K31" s="3"/>
      <c r="L31" s="3">
        <f t="shared" si="0"/>
        <v>0.32639569049951028</v>
      </c>
      <c r="M31" s="3"/>
      <c r="N31" s="2">
        <f>IF('Modell einstellen'!$B$1="Voll",H31/0.35,H31/0.35*2)</f>
        <v>3.2332952571428571E-3</v>
      </c>
      <c r="O31" s="2">
        <f>IF('Modell einstellen'!$B$1="Voll",J31/0.35,J31/0.35*2)</f>
        <v>-8.3538388571428573E-3</v>
      </c>
      <c r="P31" s="3">
        <f t="shared" si="1"/>
        <v>0.3870430484038202</v>
      </c>
      <c r="Q31" s="3"/>
      <c r="R31" s="3"/>
      <c r="S31" s="3"/>
      <c r="T31" s="3"/>
      <c r="U31" s="3"/>
      <c r="V31" s="3"/>
      <c r="W31" s="3"/>
      <c r="X31" s="3"/>
      <c r="Y31" s="3"/>
    </row>
    <row r="32" spans="1:25" x14ac:dyDescent="0.25">
      <c r="A32" s="3">
        <v>100000000000000</v>
      </c>
      <c r="B32" s="3">
        <v>1.4809999999999999E-3</v>
      </c>
      <c r="C32" s="3">
        <v>2.8909999999999999E-3</v>
      </c>
      <c r="D32" s="3">
        <v>-4.4489999999999998E-3</v>
      </c>
      <c r="E32" s="3">
        <v>0</v>
      </c>
      <c r="F32" s="3">
        <v>0</v>
      </c>
      <c r="G32" s="3">
        <v>0</v>
      </c>
      <c r="H32" s="3">
        <v>6.0437405999999995E-4</v>
      </c>
      <c r="I32" s="3">
        <v>4.9466606000000003E-4</v>
      </c>
      <c r="J32" s="3">
        <v>-1.5719162000000001E-3</v>
      </c>
      <c r="K32" s="3"/>
      <c r="L32" s="3">
        <f t="shared" si="0"/>
        <v>0.33288379411103619</v>
      </c>
      <c r="M32" s="3"/>
      <c r="N32" s="2">
        <f>IF('Modell einstellen'!$B$1="Voll",H32/0.35,H32/0.35*2)</f>
        <v>3.4535660571428572E-3</v>
      </c>
      <c r="O32" s="2">
        <f>IF('Modell einstellen'!$B$1="Voll",J32/0.35,J32/0.35*2)</f>
        <v>-8.9823782857142865E-3</v>
      </c>
      <c r="P32" s="3">
        <f t="shared" si="1"/>
        <v>0.38448236617193715</v>
      </c>
      <c r="Q32" s="3"/>
      <c r="R32" s="3"/>
      <c r="S32" s="3"/>
      <c r="T32" s="3"/>
      <c r="U32" s="3"/>
      <c r="V32" s="3"/>
      <c r="W32" s="3"/>
      <c r="X32" s="3"/>
      <c r="Y32" s="3"/>
    </row>
    <row r="33" spans="1:25" x14ac:dyDescent="0.25">
      <c r="A33" s="2">
        <v>1000000000000000</v>
      </c>
      <c r="B33" s="3">
        <v>1.4729999999999999E-3</v>
      </c>
      <c r="C33" s="3">
        <v>2.97E-3</v>
      </c>
      <c r="D33" s="3">
        <v>-4.5209999999999998E-3</v>
      </c>
      <c r="E33" s="3">
        <v>0</v>
      </c>
      <c r="F33" s="3">
        <v>0</v>
      </c>
      <c r="G33" s="3">
        <v>0</v>
      </c>
      <c r="H33" s="3">
        <v>6.3125439999999996E-4</v>
      </c>
      <c r="I33" s="3">
        <v>5.1252372000000002E-4</v>
      </c>
      <c r="J33" s="3">
        <v>-1.6326901E-3</v>
      </c>
      <c r="K33" s="3"/>
      <c r="L33" s="3">
        <f t="shared" si="0"/>
        <v>0.32581287325812874</v>
      </c>
      <c r="M33" s="3"/>
      <c r="N33" s="2">
        <f>IF('Modell einstellen'!$B$1="Voll",H33/0.35,H33/0.35*2)</f>
        <v>3.607168E-3</v>
      </c>
      <c r="O33" s="2">
        <f>IF('Modell einstellen'!$B$1="Voll",J33/0.35,J33/0.35*2)</f>
        <v>-9.3296577142857155E-3</v>
      </c>
      <c r="P33" s="3">
        <f t="shared" si="1"/>
        <v>0.38663454871196923</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6.4610000000000007E-5</v>
      </c>
      <c r="C3" s="3">
        <v>1.153E-4</v>
      </c>
      <c r="D3" s="3">
        <v>-3.1040000000000001E-4</v>
      </c>
      <c r="E3" s="3">
        <v>0</v>
      </c>
      <c r="F3" s="3">
        <v>0</v>
      </c>
      <c r="G3" s="3">
        <v>0</v>
      </c>
      <c r="H3" s="3">
        <v>2.1749181999999999E-5</v>
      </c>
      <c r="I3" s="3">
        <v>1.0638167000000001E-5</v>
      </c>
      <c r="J3" s="3">
        <v>-5.9556908999999997E-5</v>
      </c>
      <c r="K3" s="3"/>
      <c r="L3" s="3">
        <f>-B3/D3</f>
        <v>0.2081507731958763</v>
      </c>
      <c r="M3" s="3"/>
      <c r="N3" s="2">
        <f>IF('Modell einstellen'!$B$1="Voll",H3/0.35,H3/0.35*2)</f>
        <v>1.2428104000000001E-4</v>
      </c>
      <c r="O3" s="2">
        <f>IF('Modell einstellen'!$B$1="Voll",J3/0.35,J3/0.35*2)</f>
        <v>-3.403251942857143E-4</v>
      </c>
      <c r="P3" s="3">
        <f>-N3/O3</f>
        <v>0.36518318974545844</v>
      </c>
      <c r="Q3" s="3"/>
      <c r="R3" s="3"/>
      <c r="S3" s="3"/>
      <c r="T3" s="3"/>
      <c r="U3" s="3"/>
    </row>
    <row r="4" spans="1:21" x14ac:dyDescent="0.25">
      <c r="A4" s="3">
        <v>1E-14</v>
      </c>
      <c r="B4" s="3">
        <v>6.3029999999999998E-5</v>
      </c>
      <c r="C4" s="3">
        <v>1.1730000000000001E-4</v>
      </c>
      <c r="D4" s="3">
        <v>-3.1179999999999999E-4</v>
      </c>
      <c r="E4" s="3">
        <v>0</v>
      </c>
      <c r="F4" s="3">
        <v>0</v>
      </c>
      <c r="G4" s="3">
        <v>0</v>
      </c>
      <c r="H4" s="3">
        <v>2.2353666999999999E-5</v>
      </c>
      <c r="I4" s="3">
        <v>1.0833878E-5</v>
      </c>
      <c r="J4" s="3">
        <v>-6.0607399000000002E-5</v>
      </c>
      <c r="K4" s="3"/>
      <c r="L4" s="3">
        <f t="shared" ref="L4:L33" si="0">-B4/D4</f>
        <v>0.20214881334188584</v>
      </c>
      <c r="M4" s="3"/>
      <c r="N4" s="2">
        <f>IF('Modell einstellen'!$B$1="Voll",H4/0.35,H4/0.35*2)</f>
        <v>1.2773524000000001E-4</v>
      </c>
      <c r="O4" s="2">
        <f>IF('Modell einstellen'!$B$1="Voll",J4/0.35,J4/0.35*2)</f>
        <v>-3.4632799428571432E-4</v>
      </c>
      <c r="P4" s="3">
        <f t="shared" ref="P4:P33" si="1">-N4/O4</f>
        <v>0.36882736050098436</v>
      </c>
      <c r="Q4" s="3"/>
      <c r="R4" s="3"/>
      <c r="S4" s="3"/>
      <c r="T4" s="3"/>
      <c r="U4" s="3"/>
    </row>
    <row r="5" spans="1:21" x14ac:dyDescent="0.25">
      <c r="A5" s="3">
        <v>1E-13</v>
      </c>
      <c r="B5" s="3">
        <v>6.1569999999999995E-5</v>
      </c>
      <c r="C5" s="3">
        <v>1.193E-4</v>
      </c>
      <c r="D5" s="3">
        <v>-3.1330000000000003E-4</v>
      </c>
      <c r="E5" s="3">
        <v>0</v>
      </c>
      <c r="F5" s="3">
        <v>0</v>
      </c>
      <c r="G5" s="3">
        <v>0</v>
      </c>
      <c r="H5" s="3">
        <v>2.2931129000000001E-5</v>
      </c>
      <c r="I5" s="3">
        <v>1.1021543E-5</v>
      </c>
      <c r="J5" s="3">
        <v>-6.1610794999999996E-5</v>
      </c>
      <c r="K5" s="3"/>
      <c r="L5" s="3">
        <f t="shared" si="0"/>
        <v>0.19652090647941267</v>
      </c>
      <c r="M5" s="3"/>
      <c r="N5" s="2">
        <f>IF('Modell einstellen'!$B$1="Voll",H5/0.35,H5/0.35*2)</f>
        <v>1.3103502285714288E-4</v>
      </c>
      <c r="O5" s="2">
        <f>IF('Modell einstellen'!$B$1="Voll",J5/0.35,J5/0.35*2)</f>
        <v>-3.5206168571428573E-4</v>
      </c>
      <c r="P5" s="3">
        <f t="shared" si="1"/>
        <v>0.37219336319227825</v>
      </c>
      <c r="Q5" s="3"/>
      <c r="R5" s="3"/>
      <c r="S5" s="3"/>
      <c r="T5" s="3"/>
      <c r="U5" s="3"/>
    </row>
    <row r="6" spans="1:21" x14ac:dyDescent="0.25">
      <c r="A6" s="3">
        <v>9.9999999999999998E-13</v>
      </c>
      <c r="B6" s="3">
        <v>5.9719999999999997E-5</v>
      </c>
      <c r="C6" s="3">
        <v>1.215E-4</v>
      </c>
      <c r="D6" s="3">
        <v>-3.1480000000000001E-4</v>
      </c>
      <c r="E6" s="3">
        <v>0</v>
      </c>
      <c r="F6" s="3">
        <v>0</v>
      </c>
      <c r="G6" s="3">
        <v>0</v>
      </c>
      <c r="H6" s="3">
        <v>2.3595212E-5</v>
      </c>
      <c r="I6" s="3">
        <v>1.1232962E-5</v>
      </c>
      <c r="J6" s="3">
        <v>-6.2754045999999995E-5</v>
      </c>
      <c r="K6" s="3"/>
      <c r="L6" s="3">
        <f t="shared" si="0"/>
        <v>0.189707750952986</v>
      </c>
      <c r="M6" s="3"/>
      <c r="N6" s="2">
        <f>IF('Modell einstellen'!$B$1="Voll",H6/0.35,H6/0.35*2)</f>
        <v>1.3482978285714287E-4</v>
      </c>
      <c r="O6" s="2">
        <f>IF('Modell einstellen'!$B$1="Voll",J6/0.35,J6/0.35*2)</f>
        <v>-3.5859454857142857E-4</v>
      </c>
      <c r="P6" s="3">
        <f t="shared" si="1"/>
        <v>0.37599507129787302</v>
      </c>
      <c r="Q6" s="3"/>
      <c r="R6" s="3"/>
      <c r="S6" s="3"/>
      <c r="T6" s="3"/>
      <c r="U6" s="3"/>
    </row>
    <row r="7" spans="1:21" x14ac:dyDescent="0.25">
      <c r="A7" s="3">
        <v>9.9999999999999994E-12</v>
      </c>
      <c r="B7" s="3">
        <v>5.736E-5</v>
      </c>
      <c r="C7" s="3">
        <v>1.2400000000000001E-4</v>
      </c>
      <c r="D7" s="3">
        <v>-3.1609999999999999E-4</v>
      </c>
      <c r="E7" s="3">
        <v>0</v>
      </c>
      <c r="F7" s="3">
        <v>0</v>
      </c>
      <c r="G7" s="3">
        <v>0</v>
      </c>
      <c r="H7" s="3">
        <v>2.4353440999999998E-5</v>
      </c>
      <c r="I7" s="3">
        <v>1.1467678E-5</v>
      </c>
      <c r="J7" s="3">
        <v>-6.4043796000000001E-5</v>
      </c>
      <c r="K7" s="3"/>
      <c r="L7" s="3">
        <f t="shared" si="0"/>
        <v>0.18146156279658338</v>
      </c>
      <c r="M7" s="3"/>
      <c r="N7" s="2">
        <f>IF('Modell einstellen'!$B$1="Voll",H7/0.35,H7/0.35*2)</f>
        <v>1.3916252E-4</v>
      </c>
      <c r="O7" s="2">
        <f>IF('Modell einstellen'!$B$1="Voll",J7/0.35,J7/0.35*2)</f>
        <v>-3.6596454857142861E-4</v>
      </c>
      <c r="P7" s="3">
        <f t="shared" si="1"/>
        <v>0.38026229738162298</v>
      </c>
      <c r="Q7" s="3"/>
      <c r="R7" s="3"/>
      <c r="S7" s="3"/>
      <c r="T7" s="3"/>
      <c r="U7" s="3"/>
    </row>
    <row r="8" spans="1:21" x14ac:dyDescent="0.25">
      <c r="A8" s="3">
        <v>1E-10</v>
      </c>
      <c r="B8" s="3">
        <v>5.4559999999999999E-5</v>
      </c>
      <c r="C8" s="3">
        <v>1.2750000000000001E-4</v>
      </c>
      <c r="D8" s="3">
        <v>-3.1819999999999998E-4</v>
      </c>
      <c r="E8" s="3">
        <v>0</v>
      </c>
      <c r="F8" s="3">
        <v>0</v>
      </c>
      <c r="G8" s="3">
        <v>0</v>
      </c>
      <c r="H8" s="3">
        <v>2.5277583E-5</v>
      </c>
      <c r="I8" s="3">
        <v>1.1774434999999999E-5</v>
      </c>
      <c r="J8" s="3">
        <v>-6.5648682000000005E-5</v>
      </c>
      <c r="K8" s="3"/>
      <c r="L8" s="3">
        <f t="shared" si="0"/>
        <v>0.17146448774355752</v>
      </c>
      <c r="M8" s="3"/>
      <c r="N8" s="2">
        <f>IF('Modell einstellen'!$B$1="Voll",H8/0.35,H8/0.35*2)</f>
        <v>1.4444333142857145E-4</v>
      </c>
      <c r="O8" s="2">
        <f>IF('Modell einstellen'!$B$1="Voll",J8/0.35,J8/0.35*2)</f>
        <v>-3.7513532571428575E-4</v>
      </c>
      <c r="P8" s="3">
        <f t="shared" si="1"/>
        <v>0.38504326712911008</v>
      </c>
      <c r="Q8" s="3"/>
      <c r="R8" s="3"/>
      <c r="S8" s="3"/>
      <c r="T8" s="3"/>
      <c r="U8" s="3"/>
    </row>
    <row r="9" spans="1:21" x14ac:dyDescent="0.25">
      <c r="A9" s="3">
        <v>1.0000000000000001E-9</v>
      </c>
      <c r="B9" s="3">
        <v>5.0710000000000001E-5</v>
      </c>
      <c r="C9" s="3">
        <v>1.2999999999999999E-4</v>
      </c>
      <c r="D9" s="3">
        <v>-3.1819999999999998E-4</v>
      </c>
      <c r="E9" s="3">
        <v>0</v>
      </c>
      <c r="F9" s="3">
        <v>0</v>
      </c>
      <c r="G9" s="3">
        <v>0</v>
      </c>
      <c r="H9" s="3">
        <v>2.6202189000000001E-5</v>
      </c>
      <c r="I9" s="3">
        <v>1.2022158999999999E-5</v>
      </c>
      <c r="J9" s="3">
        <v>-6.7141760999999995E-5</v>
      </c>
      <c r="K9" s="3"/>
      <c r="L9" s="3">
        <f t="shared" si="0"/>
        <v>0.15936517913262099</v>
      </c>
      <c r="M9" s="3"/>
      <c r="N9" s="2">
        <f>IF('Modell einstellen'!$B$1="Voll",H9/0.35,H9/0.35*2)</f>
        <v>1.497267942857143E-4</v>
      </c>
      <c r="O9" s="2">
        <f>IF('Modell einstellen'!$B$1="Voll",J9/0.35,J9/0.35*2)</f>
        <v>-3.8366720571428569E-4</v>
      </c>
      <c r="P9" s="3">
        <f t="shared" si="1"/>
        <v>0.3902517391523288</v>
      </c>
      <c r="Q9" s="3"/>
      <c r="R9" s="3"/>
      <c r="S9" s="3"/>
      <c r="T9" s="3"/>
      <c r="U9" s="3"/>
    </row>
    <row r="10" spans="1:21" x14ac:dyDescent="0.25">
      <c r="A10" s="3">
        <v>1E-8</v>
      </c>
      <c r="B10" s="3">
        <v>4.6839999999999999E-5</v>
      </c>
      <c r="C10" s="3">
        <v>1.3339999999999999E-4</v>
      </c>
      <c r="D10" s="3">
        <v>-3.1920000000000001E-4</v>
      </c>
      <c r="E10" s="3">
        <v>0</v>
      </c>
      <c r="F10" s="3">
        <v>0</v>
      </c>
      <c r="G10" s="3">
        <v>0</v>
      </c>
      <c r="H10" s="3">
        <v>2.7195444000000001E-5</v>
      </c>
      <c r="I10" s="3">
        <v>1.2325492000000001E-5</v>
      </c>
      <c r="J10" s="3">
        <v>-6.8809267000000002E-5</v>
      </c>
      <c r="K10" s="3"/>
      <c r="L10" s="3">
        <f t="shared" si="0"/>
        <v>0.14674185463659148</v>
      </c>
      <c r="M10" s="3"/>
      <c r="N10" s="2">
        <f>IF('Modell einstellen'!$B$1="Voll",H10/0.35,H10/0.35*2)</f>
        <v>1.5540253714285717E-4</v>
      </c>
      <c r="O10" s="2">
        <f>IF('Modell einstellen'!$B$1="Voll",J10/0.35,J10/0.35*2)</f>
        <v>-3.9319581142857146E-4</v>
      </c>
      <c r="P10" s="3">
        <f t="shared" si="1"/>
        <v>0.3952293809495166</v>
      </c>
      <c r="Q10" s="3"/>
      <c r="R10" s="3"/>
      <c r="S10" s="3"/>
      <c r="T10" s="3"/>
      <c r="U10" s="3"/>
    </row>
    <row r="11" spans="1:21" x14ac:dyDescent="0.25">
      <c r="A11" s="3">
        <v>9.9999999999999995E-8</v>
      </c>
      <c r="B11" s="3">
        <v>4.1279999999999998E-5</v>
      </c>
      <c r="C11" s="3">
        <v>1.37E-4</v>
      </c>
      <c r="D11" s="3">
        <v>-3.188E-4</v>
      </c>
      <c r="E11" s="3">
        <v>0</v>
      </c>
      <c r="F11" s="3">
        <v>0</v>
      </c>
      <c r="G11" s="3">
        <v>0</v>
      </c>
      <c r="H11" s="3">
        <v>2.8406935E-5</v>
      </c>
      <c r="I11" s="3">
        <v>1.2652179999999999E-5</v>
      </c>
      <c r="J11" s="3">
        <v>-7.0757169999999999E-5</v>
      </c>
      <c r="K11" s="3"/>
      <c r="L11" s="3">
        <f t="shared" si="0"/>
        <v>0.12948557089084065</v>
      </c>
      <c r="M11" s="3"/>
      <c r="N11" s="2">
        <f>IF('Modell einstellen'!$B$1="Voll",H11/0.35,H11/0.35*2)</f>
        <v>1.6232534285714288E-4</v>
      </c>
      <c r="O11" s="2">
        <f>IF('Modell einstellen'!$B$1="Voll",J11/0.35,J11/0.35*2)</f>
        <v>-4.0432668571428575E-4</v>
      </c>
      <c r="P11" s="3">
        <f t="shared" si="1"/>
        <v>0.40147076260964087</v>
      </c>
      <c r="Q11" s="3"/>
      <c r="R11" s="3"/>
      <c r="S11" s="3"/>
      <c r="T11" s="3"/>
      <c r="U11" s="3"/>
    </row>
    <row r="12" spans="1:21" x14ac:dyDescent="0.25">
      <c r="A12" s="3">
        <v>9.9999999999999995E-7</v>
      </c>
      <c r="B12" s="3">
        <v>3.3309999999999998E-5</v>
      </c>
      <c r="C12" s="3">
        <v>1.4129999999999999E-4</v>
      </c>
      <c r="D12" s="3">
        <v>-3.1710000000000001E-4</v>
      </c>
      <c r="E12" s="3">
        <v>0</v>
      </c>
      <c r="F12" s="3">
        <v>0</v>
      </c>
      <c r="G12" s="3">
        <v>0</v>
      </c>
      <c r="H12" s="3">
        <v>2.9980218000000001E-5</v>
      </c>
      <c r="I12" s="3">
        <v>1.3050636E-5</v>
      </c>
      <c r="J12" s="3">
        <v>-7.3228888E-5</v>
      </c>
      <c r="K12" s="3"/>
      <c r="L12" s="3">
        <f t="shared" si="0"/>
        <v>0.10504572690003153</v>
      </c>
      <c r="M12" s="3"/>
      <c r="N12" s="2">
        <f>IF('Modell einstellen'!$B$1="Voll",H12/0.35,H12/0.35*2)</f>
        <v>1.7131553142857143E-4</v>
      </c>
      <c r="O12" s="2">
        <f>IF('Modell einstellen'!$B$1="Voll",J12/0.35,J12/0.35*2)</f>
        <v>-4.1845078857142859E-4</v>
      </c>
      <c r="P12" s="3">
        <f t="shared" si="1"/>
        <v>0.40940425041002942</v>
      </c>
      <c r="Q12" s="3"/>
      <c r="R12" s="3"/>
      <c r="S12" s="3"/>
      <c r="T12" s="3"/>
      <c r="U12" s="3"/>
    </row>
    <row r="13" spans="1:21" x14ac:dyDescent="0.25">
      <c r="A13" s="3">
        <v>1.0000000000000001E-5</v>
      </c>
      <c r="B13" s="3">
        <v>2.315E-5</v>
      </c>
      <c r="C13" s="3">
        <v>1.4579999999999999E-4</v>
      </c>
      <c r="D13" s="3">
        <v>-3.1359999999999998E-4</v>
      </c>
      <c r="E13" s="3">
        <v>0</v>
      </c>
      <c r="F13" s="3">
        <v>0</v>
      </c>
      <c r="G13" s="3">
        <v>0</v>
      </c>
      <c r="H13" s="3">
        <v>3.1786589000000001E-5</v>
      </c>
      <c r="I13" s="3">
        <v>1.3474529E-5</v>
      </c>
      <c r="J13" s="3">
        <v>-7.5990842000000006E-5</v>
      </c>
      <c r="K13" s="3"/>
      <c r="L13" s="3">
        <f t="shared" si="0"/>
        <v>7.3820153061224497E-2</v>
      </c>
      <c r="M13" s="3"/>
      <c r="N13" s="2">
        <f>IF('Modell einstellen'!$B$1="Voll",H13/0.35,H13/0.35*2)</f>
        <v>1.8163765142857144E-4</v>
      </c>
      <c r="O13" s="2">
        <f>IF('Modell einstellen'!$B$1="Voll",J13/0.35,J13/0.35*2)</f>
        <v>-4.3423338285714292E-4</v>
      </c>
      <c r="P13" s="3">
        <f t="shared" si="1"/>
        <v>0.41829499665235975</v>
      </c>
      <c r="Q13" s="3"/>
      <c r="R13" s="3"/>
      <c r="S13" s="3"/>
      <c r="T13" s="3"/>
      <c r="U13" s="3"/>
    </row>
    <row r="14" spans="1:21" x14ac:dyDescent="0.25">
      <c r="A14" s="3">
        <v>1E-4</v>
      </c>
      <c r="B14" s="3">
        <v>1.2649999999999999E-5</v>
      </c>
      <c r="C14" s="3">
        <v>1.4980000000000001E-4</v>
      </c>
      <c r="D14" s="3">
        <v>-3.0899999999999998E-4</v>
      </c>
      <c r="E14" s="3">
        <v>0</v>
      </c>
      <c r="F14" s="3">
        <v>0</v>
      </c>
      <c r="G14" s="3">
        <v>0</v>
      </c>
      <c r="H14" s="3">
        <v>3.3487193999999997E-5</v>
      </c>
      <c r="I14" s="3">
        <v>1.3842846999999999E-5</v>
      </c>
      <c r="J14" s="3">
        <v>-7.8521472E-5</v>
      </c>
      <c r="K14" s="3"/>
      <c r="L14" s="3">
        <f t="shared" si="0"/>
        <v>4.0938511326860841E-2</v>
      </c>
      <c r="M14" s="3"/>
      <c r="N14" s="2">
        <f>IF('Modell einstellen'!$B$1="Voll",H14/0.35,H14/0.35*2)</f>
        <v>1.9135539428571428E-4</v>
      </c>
      <c r="O14" s="2">
        <f>IF('Modell einstellen'!$B$1="Voll",J14/0.35,J14/0.35*2)</f>
        <v>-4.4869412571428574E-4</v>
      </c>
      <c r="P14" s="3">
        <f t="shared" si="1"/>
        <v>0.42647180633597898</v>
      </c>
      <c r="Q14" s="3"/>
      <c r="R14" s="3"/>
      <c r="S14" s="3"/>
      <c r="T14" s="3"/>
      <c r="U14" s="3"/>
    </row>
    <row r="15" spans="1:21" x14ac:dyDescent="0.25">
      <c r="A15" s="3">
        <v>1E-3</v>
      </c>
      <c r="B15" s="3">
        <v>1.5770000000000001E-6</v>
      </c>
      <c r="C15" s="3">
        <v>1.5339999999999999E-4</v>
      </c>
      <c r="D15" s="3">
        <v>-3.033E-4</v>
      </c>
      <c r="E15" s="3">
        <v>0</v>
      </c>
      <c r="F15" s="3">
        <v>0</v>
      </c>
      <c r="G15" s="3">
        <v>0</v>
      </c>
      <c r="H15" s="3">
        <v>3.5166119000000001E-5</v>
      </c>
      <c r="I15" s="3">
        <v>1.4182682E-5</v>
      </c>
      <c r="J15" s="3">
        <v>-8.0966235000000007E-5</v>
      </c>
      <c r="K15" s="3"/>
      <c r="L15" s="3">
        <f t="shared" si="0"/>
        <v>5.199472469502143E-3</v>
      </c>
      <c r="M15" s="3"/>
      <c r="N15" s="2">
        <f>IF('Modell einstellen'!$B$1="Voll",H15/0.35,H15/0.35*2)</f>
        <v>2.0094925142857145E-4</v>
      </c>
      <c r="O15" s="2">
        <f>IF('Modell einstellen'!$B$1="Voll",J15/0.35,J15/0.35*2)</f>
        <v>-4.6266420000000007E-4</v>
      </c>
      <c r="P15" s="3">
        <f t="shared" si="1"/>
        <v>0.43433066882756743</v>
      </c>
      <c r="Q15" s="3"/>
      <c r="R15" s="3"/>
      <c r="S15" s="3"/>
      <c r="T15" s="3"/>
      <c r="U15" s="3"/>
    </row>
    <row r="16" spans="1:21" x14ac:dyDescent="0.25">
      <c r="A16" s="3">
        <v>0.01</v>
      </c>
      <c r="B16" s="3">
        <v>-1.13E-5</v>
      </c>
      <c r="C16" s="3">
        <v>1.572E-4</v>
      </c>
      <c r="D16" s="3">
        <v>-2.9579999999999998E-4</v>
      </c>
      <c r="E16" s="3">
        <v>0</v>
      </c>
      <c r="F16" s="3">
        <v>0</v>
      </c>
      <c r="G16" s="3">
        <v>0</v>
      </c>
      <c r="H16" s="3">
        <v>3.6999407999999999E-5</v>
      </c>
      <c r="I16" s="3">
        <v>1.4527301999999999E-5</v>
      </c>
      <c r="J16" s="3">
        <v>-8.3576111000000004E-5</v>
      </c>
      <c r="K16" s="3"/>
      <c r="L16" s="3">
        <f t="shared" si="0"/>
        <v>-3.820148749154835E-2</v>
      </c>
      <c r="M16" s="3"/>
      <c r="N16" s="2">
        <f>IF('Modell einstellen'!$B$1="Voll",H16/0.35,H16/0.35*2)</f>
        <v>2.1142518857142858E-4</v>
      </c>
      <c r="O16" s="2">
        <f>IF('Modell einstellen'!$B$1="Voll",J16/0.35,J16/0.35*2)</f>
        <v>-4.775777771428572E-4</v>
      </c>
      <c r="P16" s="3">
        <f t="shared" si="1"/>
        <v>0.44270315473281591</v>
      </c>
      <c r="Q16" s="3"/>
      <c r="R16" s="3"/>
      <c r="S16" s="3"/>
      <c r="T16" s="3"/>
      <c r="U16" s="3"/>
    </row>
    <row r="17" spans="1:21" x14ac:dyDescent="0.25">
      <c r="A17" s="3">
        <v>0.1</v>
      </c>
      <c r="B17" s="3">
        <v>-2.6610000000000001E-5</v>
      </c>
      <c r="C17" s="3">
        <v>1.6100000000000001E-4</v>
      </c>
      <c r="D17" s="3">
        <v>-2.8620000000000002E-4</v>
      </c>
      <c r="E17" s="3">
        <v>0</v>
      </c>
      <c r="F17" s="3">
        <v>0</v>
      </c>
      <c r="G17" s="3">
        <v>0</v>
      </c>
      <c r="H17" s="3">
        <v>3.9062488999999997E-5</v>
      </c>
      <c r="I17" s="3">
        <v>1.4887880000000001E-5</v>
      </c>
      <c r="J17" s="3">
        <v>-8.6450868999999998E-5</v>
      </c>
      <c r="K17" s="3"/>
      <c r="L17" s="3">
        <f t="shared" si="0"/>
        <v>-9.29769392033543E-2</v>
      </c>
      <c r="M17" s="3"/>
      <c r="N17" s="2">
        <f>IF('Modell einstellen'!$B$1="Voll",H17/0.35,H17/0.35*2)</f>
        <v>2.2321422285714285E-4</v>
      </c>
      <c r="O17" s="2">
        <f>IF('Modell einstellen'!$B$1="Voll",J17/0.35,J17/0.35*2)</f>
        <v>-4.940049657142857E-4</v>
      </c>
      <c r="P17" s="3">
        <f t="shared" si="1"/>
        <v>0.45184611157581306</v>
      </c>
      <c r="Q17" s="3"/>
      <c r="R17" s="3"/>
      <c r="S17" s="3"/>
      <c r="T17" s="3"/>
      <c r="U17" s="3"/>
    </row>
    <row r="18" spans="1:21" x14ac:dyDescent="0.25">
      <c r="A18" s="3">
        <v>1</v>
      </c>
      <c r="B18" s="3">
        <v>-4.3659999999999999E-5</v>
      </c>
      <c r="C18" s="3">
        <v>1.65E-4</v>
      </c>
      <c r="D18" s="3">
        <v>-2.7490000000000001E-4</v>
      </c>
      <c r="E18" s="3">
        <v>0</v>
      </c>
      <c r="F18" s="3">
        <v>0</v>
      </c>
      <c r="G18" s="3">
        <v>0</v>
      </c>
      <c r="H18" s="3">
        <v>4.1297939999999999E-5</v>
      </c>
      <c r="I18" s="3">
        <v>1.5263712E-5</v>
      </c>
      <c r="J18" s="3">
        <v>-8.9523112000000003E-5</v>
      </c>
      <c r="K18" s="3"/>
      <c r="L18" s="3">
        <f t="shared" si="0"/>
        <v>-0.15882138959621681</v>
      </c>
      <c r="M18" s="3"/>
      <c r="N18" s="2">
        <f>IF('Modell einstellen'!$B$1="Voll",H18/0.35,H18/0.35*2)</f>
        <v>2.3598822857142859E-4</v>
      </c>
      <c r="O18" s="2">
        <f>IF('Modell einstellen'!$B$1="Voll",J18/0.35,J18/0.35*2)</f>
        <v>-5.1156064000000003E-4</v>
      </c>
      <c r="P18" s="3">
        <f t="shared" si="1"/>
        <v>0.46131037089059196</v>
      </c>
      <c r="Q18" s="3"/>
      <c r="R18" s="3"/>
      <c r="S18" s="3"/>
      <c r="T18" s="3"/>
      <c r="U18" s="3"/>
    </row>
    <row r="19" spans="1:21" x14ac:dyDescent="0.25">
      <c r="A19" s="3">
        <v>10</v>
      </c>
      <c r="B19" s="3">
        <v>-6.1740000000000002E-5</v>
      </c>
      <c r="C19" s="3">
        <v>1.708E-4</v>
      </c>
      <c r="D19" s="3">
        <v>-2.6420000000000003E-4</v>
      </c>
      <c r="E19" s="3">
        <v>0</v>
      </c>
      <c r="F19" s="3">
        <v>0</v>
      </c>
      <c r="G19" s="3">
        <v>0</v>
      </c>
      <c r="H19" s="3">
        <v>4.4287730999999998E-5</v>
      </c>
      <c r="I19" s="3">
        <v>1.5917714E-5</v>
      </c>
      <c r="J19" s="3">
        <v>-9.3880491000000006E-5</v>
      </c>
      <c r="K19" s="3"/>
      <c r="L19" s="3">
        <f t="shared" si="0"/>
        <v>-0.23368660105980316</v>
      </c>
      <c r="M19" s="3"/>
      <c r="N19" s="2">
        <f>IF('Modell einstellen'!$B$1="Voll",H19/0.35,H19/0.35*2)</f>
        <v>2.5307274857142855E-4</v>
      </c>
      <c r="O19" s="2">
        <f>IF('Modell einstellen'!$B$1="Voll",J19/0.35,J19/0.35*2)</f>
        <v>-5.3645994857142863E-4</v>
      </c>
      <c r="P19" s="3">
        <f t="shared" si="1"/>
        <v>0.47174583907960166</v>
      </c>
      <c r="Q19" s="3"/>
      <c r="R19" s="3"/>
      <c r="S19" s="3"/>
      <c r="T19" s="3"/>
      <c r="U19" s="3"/>
    </row>
    <row r="20" spans="1:21" x14ac:dyDescent="0.25">
      <c r="A20" s="3">
        <v>100</v>
      </c>
      <c r="B20" s="3">
        <v>-5.7970000000000002E-5</v>
      </c>
      <c r="C20" s="3">
        <v>1.863E-4</v>
      </c>
      <c r="D20" s="3">
        <v>-2.8229999999999998E-4</v>
      </c>
      <c r="E20" s="3">
        <v>0</v>
      </c>
      <c r="F20" s="3">
        <v>0</v>
      </c>
      <c r="G20" s="3">
        <v>0</v>
      </c>
      <c r="H20" s="3">
        <v>4.9616590000000001E-5</v>
      </c>
      <c r="I20" s="3">
        <v>1.8245507999999999E-5</v>
      </c>
      <c r="J20" s="3">
        <v>-1.0368206000000001E-4</v>
      </c>
      <c r="K20" s="3"/>
      <c r="L20" s="3">
        <f t="shared" si="0"/>
        <v>-0.20534891958908966</v>
      </c>
      <c r="M20" s="3"/>
      <c r="N20" s="2">
        <f>IF('Modell einstellen'!$B$1="Voll",H20/0.35,H20/0.35*2)</f>
        <v>2.8352337142857143E-4</v>
      </c>
      <c r="O20" s="2">
        <f>IF('Modell einstellen'!$B$1="Voll",J20/0.35,J20/0.35*2)</f>
        <v>-5.9246891428571438E-4</v>
      </c>
      <c r="P20" s="3">
        <f t="shared" si="1"/>
        <v>0.4785455651633464</v>
      </c>
      <c r="Q20" s="3"/>
      <c r="R20" s="3"/>
      <c r="S20" s="3"/>
      <c r="T20" s="3"/>
      <c r="U20" s="3"/>
    </row>
    <row r="21" spans="1:21" x14ac:dyDescent="0.25">
      <c r="A21" s="3">
        <v>1000</v>
      </c>
      <c r="B21" s="3">
        <v>1.4080000000000001E-5</v>
      </c>
      <c r="C21" s="3">
        <v>2.2359999999999999E-4</v>
      </c>
      <c r="D21" s="3">
        <v>-3.8309999999999999E-4</v>
      </c>
      <c r="E21" s="3">
        <v>0</v>
      </c>
      <c r="F21" s="3">
        <v>0</v>
      </c>
      <c r="G21" s="3">
        <v>0</v>
      </c>
      <c r="H21" s="3">
        <v>5.9746427999999998E-5</v>
      </c>
      <c r="I21" s="3">
        <v>2.4873671999999999E-5</v>
      </c>
      <c r="J21" s="3">
        <v>-1.2628910999999999E-4</v>
      </c>
      <c r="K21" s="3"/>
      <c r="L21" s="3">
        <f t="shared" si="0"/>
        <v>3.6752806055860093E-2</v>
      </c>
      <c r="M21" s="3"/>
      <c r="N21" s="2">
        <f>IF('Modell einstellen'!$B$1="Voll",H21/0.35,H21/0.35*2)</f>
        <v>3.4140816000000003E-4</v>
      </c>
      <c r="O21" s="2">
        <f>IF('Modell einstellen'!$B$1="Voll",J21/0.35,J21/0.35*2)</f>
        <v>-7.2165205714285711E-4</v>
      </c>
      <c r="P21" s="3">
        <f t="shared" si="1"/>
        <v>0.47309247804501914</v>
      </c>
      <c r="Q21" s="3"/>
      <c r="R21" s="3"/>
      <c r="S21" s="3"/>
      <c r="T21" s="3"/>
      <c r="U21" s="3"/>
    </row>
    <row r="22" spans="1:21" x14ac:dyDescent="0.25">
      <c r="A22" s="3">
        <v>10000</v>
      </c>
      <c r="B22" s="3">
        <v>1.3320000000000001E-4</v>
      </c>
      <c r="C22" s="3">
        <v>2.8449999999999998E-4</v>
      </c>
      <c r="D22" s="3">
        <v>-5.5099999999999995E-4</v>
      </c>
      <c r="E22" s="3">
        <v>0</v>
      </c>
      <c r="F22" s="3">
        <v>0</v>
      </c>
      <c r="G22" s="3">
        <v>0</v>
      </c>
      <c r="H22" s="3">
        <v>7.4246235000000003E-5</v>
      </c>
      <c r="I22" s="3">
        <v>3.5664323E-5</v>
      </c>
      <c r="J22" s="3">
        <v>-1.6117959000000001E-4</v>
      </c>
      <c r="K22" s="3"/>
      <c r="L22" s="3">
        <f t="shared" si="0"/>
        <v>0.2417422867513612</v>
      </c>
      <c r="M22" s="3"/>
      <c r="N22" s="2">
        <f>IF('Modell einstellen'!$B$1="Voll",H22/0.35,H22/0.35*2)</f>
        <v>4.2426420000000006E-4</v>
      </c>
      <c r="O22" s="2">
        <f>IF('Modell einstellen'!$B$1="Voll",J22/0.35,J22/0.35*2)</f>
        <v>-9.2102622857142874E-4</v>
      </c>
      <c r="P22" s="3">
        <f t="shared" si="1"/>
        <v>0.46064290770314031</v>
      </c>
      <c r="Q22" s="3"/>
      <c r="R22" s="3"/>
      <c r="S22" s="3"/>
      <c r="T22" s="3"/>
      <c r="U22" s="3"/>
    </row>
    <row r="23" spans="1:21" x14ac:dyDescent="0.25">
      <c r="A23" s="3">
        <v>100000</v>
      </c>
      <c r="B23" s="3">
        <v>2.6039999999999999E-4</v>
      </c>
      <c r="C23" s="3">
        <v>3.6640000000000002E-4</v>
      </c>
      <c r="D23" s="3">
        <v>-7.4930000000000005E-4</v>
      </c>
      <c r="E23" s="3">
        <v>0</v>
      </c>
      <c r="F23" s="3">
        <v>0</v>
      </c>
      <c r="G23" s="3">
        <v>0</v>
      </c>
      <c r="H23" s="3">
        <v>9.2668220999999999E-5</v>
      </c>
      <c r="I23" s="3">
        <v>4.9720557000000002E-5</v>
      </c>
      <c r="J23" s="3">
        <v>-2.0641138000000001E-4</v>
      </c>
      <c r="K23" s="3"/>
      <c r="L23" s="3">
        <f t="shared" si="0"/>
        <v>0.34752435606566123</v>
      </c>
      <c r="M23" s="3"/>
      <c r="N23" s="2">
        <f>IF('Modell einstellen'!$B$1="Voll",H23/0.35,H23/0.35*2)</f>
        <v>5.295326914285715E-4</v>
      </c>
      <c r="O23" s="2">
        <f>IF('Modell einstellen'!$B$1="Voll",J23/0.35,J23/0.35*2)</f>
        <v>-1.1794936000000002E-3</v>
      </c>
      <c r="P23" s="3">
        <f t="shared" si="1"/>
        <v>0.4489491858443076</v>
      </c>
      <c r="Q23" s="3"/>
      <c r="R23" s="3"/>
      <c r="S23" s="3"/>
      <c r="T23" s="3"/>
      <c r="U23" s="3"/>
    </row>
    <row r="24" spans="1:21" x14ac:dyDescent="0.25">
      <c r="A24" s="3">
        <v>1000000</v>
      </c>
      <c r="B24" s="3">
        <v>3.8000000000000002E-4</v>
      </c>
      <c r="C24" s="3">
        <v>4.7849999999999998E-4</v>
      </c>
      <c r="D24" s="3">
        <v>-9.7249999999999995E-4</v>
      </c>
      <c r="E24" s="3">
        <v>0</v>
      </c>
      <c r="F24" s="3">
        <v>0</v>
      </c>
      <c r="G24" s="3">
        <v>0</v>
      </c>
      <c r="H24" s="3">
        <v>1.1746431999999999E-4</v>
      </c>
      <c r="I24" s="3">
        <v>6.8736947999999994E-5</v>
      </c>
      <c r="J24" s="3">
        <v>-2.6778453000000002E-4</v>
      </c>
      <c r="K24" s="3"/>
      <c r="L24" s="3">
        <f t="shared" si="0"/>
        <v>0.39074550128534707</v>
      </c>
      <c r="M24" s="3"/>
      <c r="N24" s="2">
        <f>IF('Modell einstellen'!$B$1="Voll",H24/0.35,H24/0.35*2)</f>
        <v>6.712246857142857E-4</v>
      </c>
      <c r="O24" s="2">
        <f>IF('Modell einstellen'!$B$1="Voll",J24/0.35,J24/0.35*2)</f>
        <v>-1.5301973142857145E-3</v>
      </c>
      <c r="P24" s="3">
        <f t="shared" si="1"/>
        <v>0.4386523747282936</v>
      </c>
      <c r="Q24" s="3"/>
      <c r="R24" s="3"/>
      <c r="S24" s="3"/>
      <c r="T24" s="3"/>
      <c r="U24" s="3"/>
    </row>
    <row r="25" spans="1:21" x14ac:dyDescent="0.25">
      <c r="A25" s="3">
        <v>10000000</v>
      </c>
      <c r="B25" s="3">
        <v>4.8799999999999999E-4</v>
      </c>
      <c r="C25" s="3">
        <v>6.4919999999999995E-4</v>
      </c>
      <c r="D25" s="3">
        <v>-1.2440000000000001E-3</v>
      </c>
      <c r="E25" s="3">
        <v>0</v>
      </c>
      <c r="F25" s="3">
        <v>0</v>
      </c>
      <c r="G25" s="3">
        <v>0</v>
      </c>
      <c r="H25" s="3">
        <v>1.5519087E-4</v>
      </c>
      <c r="I25" s="3">
        <v>9.8127203000000006E-5</v>
      </c>
      <c r="J25" s="3">
        <v>-3.6228144000000003E-4</v>
      </c>
      <c r="K25" s="3"/>
      <c r="L25" s="3">
        <f t="shared" si="0"/>
        <v>0.39228295819935688</v>
      </c>
      <c r="M25" s="3"/>
      <c r="N25" s="2">
        <f>IF('Modell einstellen'!$B$1="Voll",H25/0.35,H25/0.35*2)</f>
        <v>8.8680497142857152E-4</v>
      </c>
      <c r="O25" s="2">
        <f>IF('Modell einstellen'!$B$1="Voll",J25/0.35,J25/0.35*2)</f>
        <v>-2.0701796571428576E-3</v>
      </c>
      <c r="P25" s="3">
        <f t="shared" si="1"/>
        <v>0.42837102005556782</v>
      </c>
      <c r="Q25" s="3"/>
      <c r="R25" s="3"/>
      <c r="S25" s="3"/>
      <c r="T25" s="3"/>
      <c r="U25" s="3"/>
    </row>
    <row r="26" spans="1:21" x14ac:dyDescent="0.25">
      <c r="A26" s="3">
        <v>100000000</v>
      </c>
      <c r="B26" s="3">
        <v>5.9329999999999995E-4</v>
      </c>
      <c r="C26" s="3">
        <v>9.2969999999999999E-4</v>
      </c>
      <c r="D26" s="3">
        <v>-1.622E-3</v>
      </c>
      <c r="E26" s="3">
        <v>0</v>
      </c>
      <c r="F26" s="3">
        <v>0</v>
      </c>
      <c r="G26" s="3">
        <v>0</v>
      </c>
      <c r="H26" s="3">
        <v>2.1550656999999999E-4</v>
      </c>
      <c r="I26" s="3">
        <v>1.4702617E-4</v>
      </c>
      <c r="J26" s="3">
        <v>-5.1704555000000002E-4</v>
      </c>
      <c r="K26" s="3"/>
      <c r="L26" s="3">
        <f t="shared" si="0"/>
        <v>0.36578298397040687</v>
      </c>
      <c r="M26" s="3"/>
      <c r="N26" s="2">
        <f>IF('Modell einstellen'!$B$1="Voll",H26/0.35,H26/0.35*2)</f>
        <v>1.2314661142857144E-3</v>
      </c>
      <c r="O26" s="2">
        <f>IF('Modell einstellen'!$B$1="Voll",J26/0.35,J26/0.35*2)</f>
        <v>-2.9545460000000002E-3</v>
      </c>
      <c r="P26" s="3">
        <f t="shared" si="1"/>
        <v>0.41680383865599463</v>
      </c>
      <c r="Q26" s="3"/>
      <c r="R26" s="3"/>
      <c r="S26" s="3"/>
      <c r="T26" s="3"/>
      <c r="U26" s="3"/>
    </row>
    <row r="27" spans="1:21" x14ac:dyDescent="0.25">
      <c r="A27" s="3">
        <v>1000000000</v>
      </c>
      <c r="B27" s="3">
        <v>7.1509999999999998E-4</v>
      </c>
      <c r="C27" s="3">
        <v>1.3389999999999999E-3</v>
      </c>
      <c r="D27" s="3">
        <v>-2.147E-3</v>
      </c>
      <c r="E27" s="3">
        <v>0</v>
      </c>
      <c r="F27" s="3">
        <v>0</v>
      </c>
      <c r="G27" s="3">
        <v>0</v>
      </c>
      <c r="H27" s="3">
        <v>3.0298135999999999E-4</v>
      </c>
      <c r="I27" s="3">
        <v>2.2002434E-4</v>
      </c>
      <c r="J27" s="3">
        <v>-7.4516844999999998E-4</v>
      </c>
      <c r="K27" s="3"/>
      <c r="L27" s="3">
        <f t="shared" si="0"/>
        <v>0.33306939916162087</v>
      </c>
      <c r="M27" s="3"/>
      <c r="N27" s="2">
        <f>IF('Modell einstellen'!$B$1="Voll",H27/0.35,H27/0.35*2)</f>
        <v>1.7313220571428573E-3</v>
      </c>
      <c r="O27" s="2">
        <f>IF('Modell einstellen'!$B$1="Voll",J27/0.35,J27/0.35*2)</f>
        <v>-4.2581054285714291E-3</v>
      </c>
      <c r="P27" s="3">
        <f t="shared" si="1"/>
        <v>0.40659445525370808</v>
      </c>
      <c r="Q27" s="3"/>
      <c r="R27" s="3"/>
      <c r="S27" s="3"/>
      <c r="T27" s="3"/>
      <c r="U27" s="3"/>
    </row>
    <row r="28" spans="1:21" x14ac:dyDescent="0.25">
      <c r="A28" s="3">
        <v>10000000000</v>
      </c>
      <c r="B28" s="3">
        <v>8.8650000000000003E-4</v>
      </c>
      <c r="C28" s="3">
        <v>1.8500000000000001E-3</v>
      </c>
      <c r="D28" s="3">
        <v>-2.8240000000000001E-3</v>
      </c>
      <c r="E28" s="3">
        <v>0</v>
      </c>
      <c r="F28" s="3">
        <v>0</v>
      </c>
      <c r="G28" s="3">
        <v>0</v>
      </c>
      <c r="H28" s="3">
        <v>4.1044912999999998E-4</v>
      </c>
      <c r="I28" s="3">
        <v>3.1246183999999999E-4</v>
      </c>
      <c r="J28" s="3">
        <v>-1.0301074000000001E-3</v>
      </c>
      <c r="K28" s="3"/>
      <c r="L28" s="3">
        <f t="shared" si="0"/>
        <v>0.31391643059490082</v>
      </c>
      <c r="M28" s="3"/>
      <c r="N28" s="2">
        <f>IF('Modell einstellen'!$B$1="Voll",H28/0.35,H28/0.35*2)</f>
        <v>2.3454235999999999E-3</v>
      </c>
      <c r="O28" s="2">
        <f>IF('Modell einstellen'!$B$1="Voll",J28/0.35,J28/0.35*2)</f>
        <v>-5.8863280000000006E-3</v>
      </c>
      <c r="P28" s="3">
        <f t="shared" si="1"/>
        <v>0.39845275356724935</v>
      </c>
      <c r="Q28" s="3"/>
      <c r="R28" s="3"/>
      <c r="S28" s="3"/>
      <c r="T28" s="3"/>
      <c r="U28" s="3"/>
    </row>
    <row r="29" spans="1:21" x14ac:dyDescent="0.25">
      <c r="A29" s="3">
        <v>100000000000</v>
      </c>
      <c r="B29" s="3">
        <v>1.098E-3</v>
      </c>
      <c r="C29" s="3">
        <v>2.3040000000000001E-3</v>
      </c>
      <c r="D29" s="3">
        <v>-3.4840000000000001E-3</v>
      </c>
      <c r="E29" s="3">
        <v>0</v>
      </c>
      <c r="F29" s="3">
        <v>0</v>
      </c>
      <c r="G29" s="3">
        <v>0</v>
      </c>
      <c r="H29" s="3">
        <v>5.0002730999999996E-4</v>
      </c>
      <c r="I29" s="3">
        <v>3.9353836E-4</v>
      </c>
      <c r="J29" s="3">
        <v>-1.2747809E-3</v>
      </c>
      <c r="K29" s="3"/>
      <c r="L29" s="3">
        <f t="shared" si="0"/>
        <v>0.31515499425947185</v>
      </c>
      <c r="M29" s="3"/>
      <c r="N29" s="2">
        <f>IF('Modell einstellen'!$B$1="Voll",H29/0.35,H29/0.35*2)</f>
        <v>2.8572989142857143E-3</v>
      </c>
      <c r="O29" s="2">
        <f>IF('Modell einstellen'!$B$1="Voll",J29/0.35,J29/0.35*2)</f>
        <v>-7.2844622857142858E-3</v>
      </c>
      <c r="P29" s="3">
        <f t="shared" si="1"/>
        <v>0.39224568708238411</v>
      </c>
      <c r="Q29" s="3"/>
      <c r="R29" s="3"/>
      <c r="S29" s="3"/>
      <c r="T29" s="3"/>
      <c r="U29" s="3"/>
    </row>
    <row r="30" spans="1:21" x14ac:dyDescent="0.25">
      <c r="A30" s="3">
        <v>1000000000000</v>
      </c>
      <c r="B30" s="3">
        <v>1.3010000000000001E-3</v>
      </c>
      <c r="C30" s="3">
        <v>2.647E-3</v>
      </c>
      <c r="D30" s="3">
        <v>-4.0280000000000003E-3</v>
      </c>
      <c r="E30" s="3">
        <v>0</v>
      </c>
      <c r="F30" s="3">
        <v>0</v>
      </c>
      <c r="G30" s="3">
        <v>0</v>
      </c>
      <c r="H30" s="3">
        <v>5.6381160999999995E-4</v>
      </c>
      <c r="I30" s="3">
        <v>4.5382890999999997E-4</v>
      </c>
      <c r="J30" s="3">
        <v>-1.4535793999999999E-3</v>
      </c>
      <c r="K30" s="3"/>
      <c r="L30" s="3">
        <f t="shared" si="0"/>
        <v>0.32298907646474678</v>
      </c>
      <c r="M30" s="3"/>
      <c r="N30" s="2">
        <f>IF('Modell einstellen'!$B$1="Voll",H30/0.35,H30/0.35*2)</f>
        <v>3.2217806285714285E-3</v>
      </c>
      <c r="O30" s="2">
        <f>IF('Modell einstellen'!$B$1="Voll",J30/0.35,J30/0.35*2)</f>
        <v>-8.3061679999999992E-3</v>
      </c>
      <c r="P30" s="3">
        <f t="shared" si="1"/>
        <v>0.38787809596090866</v>
      </c>
      <c r="Q30" s="3"/>
      <c r="R30" s="3"/>
      <c r="S30" s="3"/>
      <c r="T30" s="3"/>
      <c r="U30" s="3"/>
    </row>
    <row r="31" spans="1:21" x14ac:dyDescent="0.25">
      <c r="A31" s="3">
        <v>10000000000000</v>
      </c>
      <c r="B31" s="3">
        <v>1.4580000000000001E-3</v>
      </c>
      <c r="C31" s="3">
        <v>2.8709999999999999E-3</v>
      </c>
      <c r="D31" s="3">
        <v>-4.4060000000000002E-3</v>
      </c>
      <c r="E31" s="3">
        <v>0</v>
      </c>
      <c r="F31" s="3">
        <v>0</v>
      </c>
      <c r="G31" s="3">
        <v>0</v>
      </c>
      <c r="H31" s="3">
        <v>6.0239690000000003E-4</v>
      </c>
      <c r="I31" s="3">
        <v>4.9192531E-4</v>
      </c>
      <c r="J31" s="3">
        <v>-1.5647066999999999E-3</v>
      </c>
      <c r="K31" s="3"/>
      <c r="L31" s="3">
        <f t="shared" si="0"/>
        <v>0.33091239219246482</v>
      </c>
      <c r="M31" s="3"/>
      <c r="N31" s="2">
        <f>IF('Modell einstellen'!$B$1="Voll",H31/0.35,H31/0.35*2)</f>
        <v>3.4422680000000005E-3</v>
      </c>
      <c r="O31" s="2">
        <f>IF('Modell einstellen'!$B$1="Voll",J31/0.35,J31/0.35*2)</f>
        <v>-8.9411811428571422E-3</v>
      </c>
      <c r="P31" s="3">
        <f t="shared" si="1"/>
        <v>0.38499029882085894</v>
      </c>
      <c r="Q31" s="3"/>
      <c r="R31" s="3"/>
      <c r="S31" s="3"/>
      <c r="T31" s="3"/>
      <c r="U31" s="3"/>
    </row>
    <row r="32" spans="1:21" x14ac:dyDescent="0.25">
      <c r="A32" s="3">
        <v>100000000000000</v>
      </c>
      <c r="B32" s="3">
        <v>1.4480000000000001E-3</v>
      </c>
      <c r="C32" s="3">
        <v>2.9520000000000002E-3</v>
      </c>
      <c r="D32" s="3">
        <v>-4.4780000000000002E-3</v>
      </c>
      <c r="E32" s="3">
        <v>0</v>
      </c>
      <c r="F32" s="3">
        <v>0</v>
      </c>
      <c r="G32" s="3">
        <v>0</v>
      </c>
      <c r="H32" s="3">
        <v>6.3006805999999999E-4</v>
      </c>
      <c r="I32" s="3">
        <v>5.1025075E-4</v>
      </c>
      <c r="J32" s="3">
        <v>-1.6271606000000001E-3</v>
      </c>
      <c r="K32" s="3"/>
      <c r="L32" s="3">
        <f t="shared" si="0"/>
        <v>0.32335864225100491</v>
      </c>
      <c r="M32" s="3"/>
      <c r="N32" s="2">
        <f>IF('Modell einstellen'!$B$1="Voll",H32/0.35,H32/0.35*2)</f>
        <v>3.6003889142857144E-3</v>
      </c>
      <c r="O32" s="2">
        <f>IF('Modell einstellen'!$B$1="Voll",J32/0.35,J32/0.35*2)</f>
        <v>-9.2980605714285732E-3</v>
      </c>
      <c r="P32" s="3">
        <f t="shared" si="1"/>
        <v>0.38721934392954199</v>
      </c>
      <c r="Q32" s="3"/>
      <c r="R32" s="3"/>
      <c r="S32" s="3"/>
      <c r="T32" s="3"/>
      <c r="U32" s="3"/>
    </row>
    <row r="33" spans="1:21" x14ac:dyDescent="0.25">
      <c r="A33" s="2">
        <v>1000000000000000</v>
      </c>
      <c r="B33" s="3">
        <v>1.6440000000000001E-3</v>
      </c>
      <c r="C33" s="3">
        <v>3.1189999999999998E-3</v>
      </c>
      <c r="D33" s="3">
        <v>-4.8390000000000004E-3</v>
      </c>
      <c r="E33" s="3">
        <v>0</v>
      </c>
      <c r="F33" s="3">
        <v>0</v>
      </c>
      <c r="G33" s="3">
        <v>0</v>
      </c>
      <c r="H33" s="3">
        <v>6.4626503999999998E-4</v>
      </c>
      <c r="I33" s="3">
        <v>5.3493541000000004E-4</v>
      </c>
      <c r="J33" s="3">
        <v>-1.6903407000000001E-3</v>
      </c>
      <c r="K33" s="3"/>
      <c r="L33" s="3">
        <f t="shared" si="0"/>
        <v>0.3397396156230626</v>
      </c>
      <c r="M33" s="3"/>
      <c r="N33" s="2">
        <f>IF('Modell einstellen'!$B$1="Voll",H33/0.35,H33/0.35*2)</f>
        <v>3.6929430857142857E-3</v>
      </c>
      <c r="O33" s="2">
        <f>IF('Modell einstellen'!$B$1="Voll",J33/0.35,J33/0.35*2)</f>
        <v>-9.6590897142857148E-3</v>
      </c>
      <c r="P33" s="3">
        <f t="shared" si="1"/>
        <v>0.38232827263758129</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6.6470000000000006E-5</v>
      </c>
      <c r="C3" s="3">
        <v>1.184E-4</v>
      </c>
      <c r="D3" s="3">
        <v>-3.1589999999999998E-4</v>
      </c>
      <c r="E3" s="3">
        <v>0</v>
      </c>
      <c r="F3" s="3">
        <v>0</v>
      </c>
      <c r="G3" s="3">
        <v>0</v>
      </c>
      <c r="H3" s="3">
        <v>2.254163E-5</v>
      </c>
      <c r="I3" s="3">
        <v>1.0983850999999999E-5</v>
      </c>
      <c r="J3" s="3">
        <v>-6.1149377000000005E-5</v>
      </c>
      <c r="K3" s="2"/>
      <c r="L3" s="3"/>
      <c r="M3" s="3"/>
      <c r="N3" s="2">
        <f>IF('Modell einstellen'!$B$1="Voll",H3/0.35,H3/0.35*2)</f>
        <v>1.2880931428571428E-4</v>
      </c>
      <c r="O3" s="2">
        <f>IF('Modell einstellen'!$B$1="Voll",J3/0.35,J3/0.35*2)</f>
        <v>-3.4942501142857146E-4</v>
      </c>
      <c r="P3" s="3">
        <f>-N3/O3</f>
        <v>0.36863221026765319</v>
      </c>
      <c r="Q3" s="3"/>
      <c r="R3" s="3"/>
      <c r="S3" s="3"/>
      <c r="T3" s="3"/>
      <c r="U3" s="3"/>
    </row>
    <row r="4" spans="1:21" x14ac:dyDescent="0.25">
      <c r="A4" s="3">
        <v>1E-14</v>
      </c>
      <c r="B4" s="3">
        <v>6.4499999999999996E-5</v>
      </c>
      <c r="C4" s="3">
        <v>1.2070000000000001E-4</v>
      </c>
      <c r="D4" s="3">
        <v>-3.1740000000000002E-4</v>
      </c>
      <c r="E4" s="3">
        <v>0</v>
      </c>
      <c r="F4" s="3">
        <v>0</v>
      </c>
      <c r="G4" s="3">
        <v>0</v>
      </c>
      <c r="H4" s="3">
        <v>2.3258552999999999E-5</v>
      </c>
      <c r="I4" s="3">
        <v>1.1212945E-5</v>
      </c>
      <c r="J4" s="3">
        <v>-6.2385052999999998E-5</v>
      </c>
      <c r="K4" s="2"/>
      <c r="L4" s="3"/>
      <c r="M4" s="3"/>
      <c r="N4" s="2">
        <f>IF('Modell einstellen'!$B$1="Voll",H4/0.35,H4/0.35*2)</f>
        <v>1.3290601714285714E-4</v>
      </c>
      <c r="O4" s="2">
        <f>IF('Modell einstellen'!$B$1="Voll",J4/0.35,J4/0.35*2)</f>
        <v>-3.5648601714285716E-4</v>
      </c>
      <c r="P4" s="3">
        <f t="shared" ref="P4:P33" si="0">-N4/O4</f>
        <v>0.37282252529303772</v>
      </c>
      <c r="Q4" s="3"/>
      <c r="R4" s="3"/>
      <c r="S4" s="3"/>
      <c r="T4" s="3"/>
      <c r="U4" s="3"/>
    </row>
    <row r="5" spans="1:21" x14ac:dyDescent="0.25">
      <c r="A5" s="3">
        <v>1E-13</v>
      </c>
      <c r="B5" s="3">
        <v>6.2570000000000006E-5</v>
      </c>
      <c r="C5" s="3">
        <v>1.2300000000000001E-4</v>
      </c>
      <c r="D5" s="3">
        <v>-3.189E-4</v>
      </c>
      <c r="E5" s="3">
        <v>0</v>
      </c>
      <c r="F5" s="3">
        <v>0</v>
      </c>
      <c r="G5" s="3">
        <v>0</v>
      </c>
      <c r="H5" s="3">
        <v>2.3970517E-5</v>
      </c>
      <c r="I5" s="3">
        <v>1.1440042E-5</v>
      </c>
      <c r="J5" s="3">
        <v>-6.3609303000000003E-5</v>
      </c>
      <c r="K5" s="2"/>
      <c r="L5" s="3"/>
      <c r="M5" s="3"/>
      <c r="N5" s="2">
        <f>IF('Modell einstellen'!$B$1="Voll",H5/0.35,H5/0.35*2)</f>
        <v>1.3697438285714287E-4</v>
      </c>
      <c r="O5" s="2">
        <f>IF('Modell einstellen'!$B$1="Voll",J5/0.35,J5/0.35*2)</f>
        <v>-3.6348173142857149E-4</v>
      </c>
      <c r="P5" s="3">
        <f t="shared" si="0"/>
        <v>0.37683979967521414</v>
      </c>
      <c r="Q5" s="3"/>
      <c r="R5" s="3"/>
      <c r="S5" s="3"/>
      <c r="T5" s="3"/>
      <c r="U5" s="3"/>
    </row>
    <row r="6" spans="1:21" x14ac:dyDescent="0.25">
      <c r="A6" s="3">
        <v>9.9999999999999998E-13</v>
      </c>
      <c r="B6" s="3">
        <v>6.0510000000000002E-5</v>
      </c>
      <c r="C6" s="3">
        <v>1.262E-4</v>
      </c>
      <c r="D6" s="3">
        <v>-3.213E-4</v>
      </c>
      <c r="E6" s="3">
        <v>0</v>
      </c>
      <c r="F6" s="3">
        <v>0</v>
      </c>
      <c r="G6" s="3">
        <v>0</v>
      </c>
      <c r="H6" s="3">
        <v>2.4787664000000001E-5</v>
      </c>
      <c r="I6" s="3">
        <v>1.1718235E-5</v>
      </c>
      <c r="J6" s="3">
        <v>-6.5041674000000007E-5</v>
      </c>
      <c r="K6" s="2"/>
      <c r="L6" s="3"/>
      <c r="M6" s="3"/>
      <c r="N6" s="2">
        <f>IF('Modell einstellen'!$B$1="Voll",H6/0.35,H6/0.35*2)</f>
        <v>1.4164379428571429E-4</v>
      </c>
      <c r="O6" s="2">
        <f>IF('Modell einstellen'!$B$1="Voll",J6/0.35,J6/0.35*2)</f>
        <v>-3.7166670857142863E-4</v>
      </c>
      <c r="P6" s="3">
        <f t="shared" si="0"/>
        <v>0.38110433627523177</v>
      </c>
      <c r="Q6" s="3"/>
      <c r="R6" s="3"/>
      <c r="S6" s="3"/>
      <c r="T6" s="3"/>
      <c r="U6" s="3"/>
    </row>
    <row r="7" spans="1:21" x14ac:dyDescent="0.25">
      <c r="A7" s="3">
        <v>9.9999999999999994E-12</v>
      </c>
      <c r="B7" s="3">
        <v>5.7120000000000002E-5</v>
      </c>
      <c r="C7" s="3">
        <v>1.2870000000000001E-4</v>
      </c>
      <c r="D7" s="3">
        <v>-3.2180000000000002E-4</v>
      </c>
      <c r="E7" s="3">
        <v>0</v>
      </c>
      <c r="F7" s="3">
        <v>0</v>
      </c>
      <c r="G7" s="3">
        <v>0</v>
      </c>
      <c r="H7" s="3">
        <v>2.5698279E-5</v>
      </c>
      <c r="I7" s="3">
        <v>1.1977004999999999E-5</v>
      </c>
      <c r="J7" s="3">
        <v>-6.6541623999999999E-5</v>
      </c>
      <c r="K7" s="2"/>
      <c r="L7" s="3"/>
      <c r="M7" s="3"/>
      <c r="N7" s="2">
        <f>IF('Modell einstellen'!$B$1="Voll",H7/0.35,H7/0.35*2)</f>
        <v>1.4684730857142858E-4</v>
      </c>
      <c r="O7" s="2">
        <f>IF('Modell einstellen'!$B$1="Voll",J7/0.35,J7/0.35*2)</f>
        <v>-3.8023785142857143E-4</v>
      </c>
      <c r="P7" s="3">
        <f t="shared" si="0"/>
        <v>0.38619855445668116</v>
      </c>
      <c r="Q7" s="3"/>
      <c r="R7" s="3"/>
      <c r="S7" s="3"/>
      <c r="T7" s="3"/>
      <c r="U7" s="3"/>
    </row>
    <row r="8" spans="1:21" x14ac:dyDescent="0.25">
      <c r="A8" s="3">
        <v>1E-10</v>
      </c>
      <c r="B8" s="3">
        <v>5.3810000000000001E-5</v>
      </c>
      <c r="C8" s="3">
        <v>1.3219999999999999E-4</v>
      </c>
      <c r="D8" s="3">
        <v>-3.233E-4</v>
      </c>
      <c r="E8" s="3">
        <v>0</v>
      </c>
      <c r="F8" s="3">
        <v>0</v>
      </c>
      <c r="G8" s="3">
        <v>0</v>
      </c>
      <c r="H8" s="3">
        <v>2.6667211000000001E-5</v>
      </c>
      <c r="I8" s="3">
        <v>1.2284389E-5</v>
      </c>
      <c r="J8" s="3">
        <v>-6.8190935999999996E-5</v>
      </c>
      <c r="K8" s="2"/>
      <c r="L8" s="3"/>
      <c r="M8" s="3"/>
      <c r="N8" s="2">
        <f>IF('Modell einstellen'!$B$1="Voll",H8/0.35,H8/0.35*2)</f>
        <v>1.5238406285714287E-4</v>
      </c>
      <c r="O8" s="2">
        <f>IF('Modell einstellen'!$B$1="Voll",J8/0.35,J8/0.35*2)</f>
        <v>-3.8966249142857143E-4</v>
      </c>
      <c r="P8" s="3">
        <f t="shared" si="0"/>
        <v>0.39106679808589229</v>
      </c>
      <c r="Q8" s="3"/>
      <c r="R8" s="3"/>
      <c r="S8" s="3"/>
      <c r="T8" s="3"/>
      <c r="U8" s="3"/>
    </row>
    <row r="9" spans="1:21" x14ac:dyDescent="0.25">
      <c r="A9" s="3">
        <v>1.0000000000000001E-9</v>
      </c>
      <c r="B9" s="3">
        <v>4.9440000000000001E-5</v>
      </c>
      <c r="C9" s="3">
        <v>1.3459999999999999E-4</v>
      </c>
      <c r="D9" s="3">
        <v>-3.2279999999999999E-4</v>
      </c>
      <c r="E9" s="3">
        <v>0</v>
      </c>
      <c r="F9" s="3">
        <v>0</v>
      </c>
      <c r="G9" s="3">
        <v>0</v>
      </c>
      <c r="H9" s="3">
        <v>2.7648361000000001E-5</v>
      </c>
      <c r="I9" s="3">
        <v>1.2538389999999999E-5</v>
      </c>
      <c r="J9" s="3">
        <v>-6.9750753000000001E-5</v>
      </c>
      <c r="K9" s="2"/>
      <c r="L9" s="3"/>
      <c r="M9" s="3"/>
      <c r="N9" s="2">
        <f>IF('Modell einstellen'!$B$1="Voll",H9/0.35,H9/0.35*2)</f>
        <v>1.5799063428571431E-4</v>
      </c>
      <c r="O9" s="2">
        <f>IF('Modell einstellen'!$B$1="Voll",J9/0.35,J9/0.35*2)</f>
        <v>-3.9857573142857144E-4</v>
      </c>
      <c r="P9" s="3">
        <f t="shared" si="0"/>
        <v>0.3963879931160027</v>
      </c>
      <c r="Q9" s="3"/>
      <c r="R9" s="3"/>
      <c r="S9" s="3"/>
      <c r="T9" s="3"/>
      <c r="U9" s="3"/>
    </row>
    <row r="10" spans="1:21" x14ac:dyDescent="0.25">
      <c r="A10" s="3">
        <v>1E-8</v>
      </c>
      <c r="B10" s="3">
        <v>4.3739999999999998E-5</v>
      </c>
      <c r="C10" s="3">
        <v>1.3889999999999999E-4</v>
      </c>
      <c r="D10" s="3">
        <v>-3.2309999999999999E-4</v>
      </c>
      <c r="E10" s="3">
        <v>0</v>
      </c>
      <c r="F10" s="3">
        <v>0</v>
      </c>
      <c r="G10" s="3">
        <v>0</v>
      </c>
      <c r="H10" s="3">
        <v>2.8980475999999999E-5</v>
      </c>
      <c r="I10" s="3">
        <v>1.2923810000000001E-5</v>
      </c>
      <c r="J10" s="3">
        <v>-7.1937665999999994E-5</v>
      </c>
      <c r="K10" s="2"/>
      <c r="L10" s="3"/>
      <c r="M10" s="3"/>
      <c r="N10" s="2">
        <f>IF('Modell einstellen'!$B$1="Voll",H10/0.35,H10/0.35*2)</f>
        <v>1.6560272000000001E-4</v>
      </c>
      <c r="O10" s="2">
        <f>IF('Modell einstellen'!$B$1="Voll",J10/0.35,J10/0.35*2)</f>
        <v>-4.1107237714285716E-4</v>
      </c>
      <c r="P10" s="3">
        <f t="shared" si="0"/>
        <v>0.40285538315908109</v>
      </c>
      <c r="Q10" s="3"/>
      <c r="R10" s="3"/>
      <c r="S10" s="3"/>
      <c r="T10" s="3"/>
      <c r="U10" s="3"/>
    </row>
    <row r="11" spans="1:21" x14ac:dyDescent="0.25">
      <c r="A11" s="3">
        <v>9.9999999999999995E-8</v>
      </c>
      <c r="B11" s="3">
        <v>3.5370000000000002E-5</v>
      </c>
      <c r="C11" s="3">
        <v>1.4339999999999999E-4</v>
      </c>
      <c r="D11" s="3">
        <v>-3.213E-4</v>
      </c>
      <c r="E11" s="3">
        <v>0</v>
      </c>
      <c r="F11" s="3">
        <v>0</v>
      </c>
      <c r="G11" s="3">
        <v>0</v>
      </c>
      <c r="H11" s="3">
        <v>3.0640043000000002E-5</v>
      </c>
      <c r="I11" s="3">
        <v>1.3346376000000001E-5</v>
      </c>
      <c r="J11" s="3">
        <v>-7.4544074999999995E-5</v>
      </c>
      <c r="K11" s="2"/>
      <c r="L11" s="3"/>
      <c r="M11" s="3"/>
      <c r="N11" s="2">
        <f>IF('Modell einstellen'!$B$1="Voll",H11/0.35,H11/0.35*2)</f>
        <v>1.7508596000000002E-4</v>
      </c>
      <c r="O11" s="2">
        <f>IF('Modell einstellen'!$B$1="Voll",J11/0.35,J11/0.35*2)</f>
        <v>-4.2596614285714284E-4</v>
      </c>
      <c r="P11" s="3">
        <f t="shared" si="0"/>
        <v>0.41103257368208007</v>
      </c>
      <c r="Q11" s="3"/>
      <c r="R11" s="3"/>
      <c r="S11" s="3"/>
      <c r="T11" s="3"/>
      <c r="U11" s="3"/>
    </row>
    <row r="12" spans="1:21" x14ac:dyDescent="0.25">
      <c r="A12" s="3">
        <v>9.9999999999999995E-7</v>
      </c>
      <c r="B12" s="3">
        <v>2.5089999999999999E-5</v>
      </c>
      <c r="C12" s="3">
        <v>1.4799999999999999E-4</v>
      </c>
      <c r="D12" s="3">
        <v>-3.1770000000000002E-4</v>
      </c>
      <c r="E12" s="3">
        <v>0</v>
      </c>
      <c r="F12" s="3">
        <v>0</v>
      </c>
      <c r="G12" s="3">
        <v>0</v>
      </c>
      <c r="H12" s="3">
        <v>3.2468585999999998E-5</v>
      </c>
      <c r="I12" s="3">
        <v>1.3776478000000001E-5</v>
      </c>
      <c r="J12" s="3">
        <v>-7.7336375999999995E-5</v>
      </c>
      <c r="K12" s="2"/>
      <c r="L12" s="3"/>
      <c r="M12" s="3"/>
      <c r="N12" s="2">
        <f>IF('Modell einstellen'!$B$1="Voll",H12/0.35,H12/0.35*2)</f>
        <v>1.8553477714285715E-4</v>
      </c>
      <c r="O12" s="2">
        <f>IF('Modell einstellen'!$B$1="Voll",J12/0.35,J12/0.35*2)</f>
        <v>-4.4192214857142857E-4</v>
      </c>
      <c r="P12" s="3">
        <f t="shared" si="0"/>
        <v>0.41983588680183309</v>
      </c>
      <c r="Q12" s="3"/>
      <c r="R12" s="3"/>
      <c r="S12" s="3"/>
      <c r="T12" s="3"/>
      <c r="U12" s="3"/>
    </row>
    <row r="13" spans="1:21" x14ac:dyDescent="0.25">
      <c r="A13" s="3">
        <v>1.0000000000000001E-5</v>
      </c>
      <c r="B13" s="3">
        <v>1.4960000000000001E-5</v>
      </c>
      <c r="C13" s="3">
        <v>1.518E-4</v>
      </c>
      <c r="D13" s="3">
        <v>-3.1310000000000002E-4</v>
      </c>
      <c r="E13" s="3">
        <v>0</v>
      </c>
      <c r="F13" s="3">
        <v>0</v>
      </c>
      <c r="G13" s="3">
        <v>0</v>
      </c>
      <c r="H13" s="3">
        <v>3.4113462999999997E-5</v>
      </c>
      <c r="I13" s="3">
        <v>1.4134279E-5</v>
      </c>
      <c r="J13" s="3">
        <v>-7.9782727999999994E-5</v>
      </c>
      <c r="K13" s="2"/>
      <c r="L13" s="3"/>
      <c r="M13" s="3"/>
      <c r="N13" s="2">
        <f>IF('Modell einstellen'!$B$1="Voll",H13/0.35,H13/0.35*2)</f>
        <v>1.9493407428571429E-4</v>
      </c>
      <c r="O13" s="2">
        <f>IF('Modell einstellen'!$B$1="Voll",J13/0.35,J13/0.35*2)</f>
        <v>-4.5590130285714283E-4</v>
      </c>
      <c r="P13" s="3">
        <f t="shared" si="0"/>
        <v>0.42757955080202326</v>
      </c>
      <c r="Q13" s="3"/>
      <c r="R13" s="3"/>
      <c r="S13" s="3"/>
      <c r="T13" s="3"/>
      <c r="U13" s="3"/>
    </row>
    <row r="14" spans="1:21" x14ac:dyDescent="0.25">
      <c r="A14" s="3">
        <v>1E-4</v>
      </c>
      <c r="B14" s="3">
        <v>3.523E-6</v>
      </c>
      <c r="C14" s="3">
        <v>1.5550000000000001E-4</v>
      </c>
      <c r="D14" s="3">
        <v>-3.0719999999999999E-4</v>
      </c>
      <c r="E14" s="3">
        <v>0</v>
      </c>
      <c r="F14" s="3">
        <v>0</v>
      </c>
      <c r="G14" s="3">
        <v>0</v>
      </c>
      <c r="H14" s="3">
        <v>3.5857605999999997E-5</v>
      </c>
      <c r="I14" s="3">
        <v>1.4489721E-5</v>
      </c>
      <c r="J14" s="3">
        <v>-8.2323184000000001E-5</v>
      </c>
      <c r="K14" s="2"/>
      <c r="L14" s="3"/>
      <c r="M14" s="3"/>
      <c r="N14" s="2">
        <f>IF('Modell einstellen'!$B$1="Voll",H14/0.35,H14/0.35*2)</f>
        <v>2.0490060571428571E-4</v>
      </c>
      <c r="O14" s="2">
        <f>IF('Modell einstellen'!$B$1="Voll",J14/0.35,J14/0.35*2)</f>
        <v>-4.7041819428571432E-4</v>
      </c>
      <c r="P14" s="3">
        <f t="shared" si="0"/>
        <v>0.43557117518681004</v>
      </c>
      <c r="Q14" s="3"/>
      <c r="R14" s="3"/>
      <c r="S14" s="3"/>
      <c r="T14" s="3"/>
      <c r="U14" s="3"/>
    </row>
    <row r="15" spans="1:21" x14ac:dyDescent="0.25">
      <c r="A15" s="3">
        <v>1E-3</v>
      </c>
      <c r="B15" s="3">
        <v>-9.4860000000000003E-6</v>
      </c>
      <c r="C15" s="3">
        <v>1.5919999999999999E-4</v>
      </c>
      <c r="D15" s="3">
        <v>-2.9960000000000002E-4</v>
      </c>
      <c r="E15" s="3">
        <v>0</v>
      </c>
      <c r="F15" s="3">
        <v>0</v>
      </c>
      <c r="G15" s="3">
        <v>0</v>
      </c>
      <c r="H15" s="3">
        <v>3.7715027000000001E-5</v>
      </c>
      <c r="I15" s="3">
        <v>1.4840872000000001E-5</v>
      </c>
      <c r="J15" s="3">
        <v>-8.4967196000000004E-5</v>
      </c>
      <c r="K15" s="2"/>
      <c r="L15" s="3"/>
      <c r="M15" s="3"/>
      <c r="N15" s="2">
        <f>IF('Modell einstellen'!$B$1="Voll",H15/0.35,H15/0.35*2)</f>
        <v>2.1551444000000001E-4</v>
      </c>
      <c r="O15" s="2">
        <f>IF('Modell einstellen'!$B$1="Voll",J15/0.35,J15/0.35*2)</f>
        <v>-4.8552683428571436E-4</v>
      </c>
      <c r="P15" s="3">
        <f t="shared" si="0"/>
        <v>0.44387750538454862</v>
      </c>
      <c r="Q15" s="3"/>
      <c r="R15" s="3"/>
      <c r="S15" s="3"/>
      <c r="T15" s="3"/>
      <c r="U15" s="3"/>
    </row>
    <row r="16" spans="1:21" x14ac:dyDescent="0.25">
      <c r="A16" s="3">
        <v>0.01</v>
      </c>
      <c r="B16" s="3">
        <v>-2.546E-5</v>
      </c>
      <c r="C16" s="3">
        <v>1.6320000000000001E-4</v>
      </c>
      <c r="D16" s="3">
        <v>-2.8949999999999999E-4</v>
      </c>
      <c r="E16" s="3">
        <v>0</v>
      </c>
      <c r="F16" s="3">
        <v>0</v>
      </c>
      <c r="G16" s="3">
        <v>0</v>
      </c>
      <c r="H16" s="3">
        <v>3.9868942999999998E-5</v>
      </c>
      <c r="I16" s="3">
        <v>1.5218452E-5</v>
      </c>
      <c r="J16" s="3">
        <v>-8.7966473999999994E-5</v>
      </c>
      <c r="K16" s="2"/>
      <c r="L16" s="3"/>
      <c r="M16" s="3"/>
      <c r="N16" s="2">
        <f>IF('Modell einstellen'!$B$1="Voll",H16/0.35,H16/0.35*2)</f>
        <v>2.2782253142857142E-4</v>
      </c>
      <c r="O16" s="2">
        <f>IF('Modell einstellen'!$B$1="Voll",J16/0.35,J16/0.35*2)</f>
        <v>-5.0266556571428576E-4</v>
      </c>
      <c r="P16" s="3">
        <f t="shared" si="0"/>
        <v>0.45322884034206029</v>
      </c>
      <c r="Q16" s="3"/>
      <c r="R16" s="3"/>
      <c r="S16" s="3"/>
      <c r="T16" s="3"/>
      <c r="U16" s="3"/>
    </row>
    <row r="17" spans="1:21" x14ac:dyDescent="0.25">
      <c r="A17" s="3">
        <v>0.1</v>
      </c>
      <c r="B17" s="3">
        <v>-4.278E-5</v>
      </c>
      <c r="C17" s="3">
        <v>1.6699999999999999E-4</v>
      </c>
      <c r="D17" s="3">
        <v>-2.7769999999999997E-4</v>
      </c>
      <c r="E17" s="3">
        <v>0</v>
      </c>
      <c r="F17" s="3">
        <v>0</v>
      </c>
      <c r="G17" s="3">
        <v>0</v>
      </c>
      <c r="H17" s="3">
        <v>4.2105353999999999E-5</v>
      </c>
      <c r="I17" s="3">
        <v>1.5586730999999999E-5</v>
      </c>
      <c r="J17" s="3">
        <v>-9.1022491999999996E-5</v>
      </c>
      <c r="K17" s="2"/>
      <c r="L17" s="3"/>
      <c r="M17" s="3"/>
      <c r="N17" s="2">
        <f>IF('Modell einstellen'!$B$1="Voll",H17/0.35,H17/0.35*2)</f>
        <v>2.4060202285714288E-4</v>
      </c>
      <c r="O17" s="2">
        <f>IF('Modell einstellen'!$B$1="Voll",J17/0.35,J17/0.35*2)</f>
        <v>-5.2012852571428571E-4</v>
      </c>
      <c r="P17" s="3">
        <f t="shared" si="0"/>
        <v>0.46258186383207356</v>
      </c>
      <c r="Q17" s="3"/>
      <c r="R17" s="3"/>
      <c r="S17" s="3"/>
      <c r="T17" s="3"/>
      <c r="U17" s="3"/>
    </row>
    <row r="18" spans="1:21" x14ac:dyDescent="0.25">
      <c r="A18" s="3">
        <v>1</v>
      </c>
      <c r="B18" s="3">
        <v>-6.5289999999999993E-5</v>
      </c>
      <c r="C18" s="3">
        <v>1.7249999999999999E-4</v>
      </c>
      <c r="D18" s="3">
        <v>-2.6259999999999999E-4</v>
      </c>
      <c r="E18" s="3">
        <v>0</v>
      </c>
      <c r="F18" s="3">
        <v>0</v>
      </c>
      <c r="G18" s="3">
        <v>0</v>
      </c>
      <c r="H18" s="3">
        <v>4.5265641999999997E-5</v>
      </c>
      <c r="I18" s="3">
        <v>1.6169909E-5</v>
      </c>
      <c r="J18" s="3">
        <v>-9.5432157E-5</v>
      </c>
      <c r="K18" s="2"/>
      <c r="L18" s="3"/>
      <c r="M18" s="3"/>
      <c r="N18" s="2">
        <f>IF('Modell einstellen'!$B$1="Voll",H18/0.35,H18/0.35*2)</f>
        <v>2.5866081142857144E-4</v>
      </c>
      <c r="O18" s="2">
        <f>IF('Modell einstellen'!$B$1="Voll",J18/0.35,J18/0.35*2)</f>
        <v>-5.4532661142857146E-4</v>
      </c>
      <c r="P18" s="3">
        <f t="shared" si="0"/>
        <v>0.47432273798443014</v>
      </c>
      <c r="Q18" s="3"/>
      <c r="R18" s="3"/>
      <c r="S18" s="3"/>
      <c r="T18" s="3"/>
      <c r="U18" s="3"/>
    </row>
    <row r="19" spans="1:21" x14ac:dyDescent="0.25">
      <c r="A19" s="3">
        <v>10</v>
      </c>
      <c r="B19" s="3">
        <v>-7.5080000000000006E-5</v>
      </c>
      <c r="C19" s="3">
        <v>1.8450000000000001E-4</v>
      </c>
      <c r="D19" s="3">
        <v>-2.6489999999999999E-4</v>
      </c>
      <c r="E19" s="3">
        <v>0</v>
      </c>
      <c r="F19" s="3">
        <v>0</v>
      </c>
      <c r="G19" s="3">
        <v>0</v>
      </c>
      <c r="H19" s="3">
        <v>5.0132285E-5</v>
      </c>
      <c r="I19" s="3">
        <v>1.7875525E-5</v>
      </c>
      <c r="J19" s="3">
        <v>-1.0362925E-4</v>
      </c>
      <c r="K19" s="2"/>
      <c r="L19" s="3"/>
      <c r="M19" s="3"/>
      <c r="N19" s="2">
        <f>IF('Modell einstellen'!$B$1="Voll",H19/0.35,H19/0.35*2)</f>
        <v>2.864702E-4</v>
      </c>
      <c r="O19" s="2">
        <f>IF('Modell einstellen'!$B$1="Voll",J19/0.35,J19/0.35*2)</f>
        <v>-5.9216714285714289E-4</v>
      </c>
      <c r="P19" s="3">
        <f t="shared" si="0"/>
        <v>0.48376578041431351</v>
      </c>
      <c r="Q19" s="3"/>
      <c r="R19" s="3"/>
      <c r="S19" s="3"/>
      <c r="T19" s="3"/>
      <c r="U19" s="3"/>
    </row>
    <row r="20" spans="1:21" x14ac:dyDescent="0.25">
      <c r="A20" s="3">
        <v>100</v>
      </c>
      <c r="B20" s="3">
        <v>-2.5040000000000001E-5</v>
      </c>
      <c r="C20" s="3">
        <v>2.165E-4</v>
      </c>
      <c r="D20" s="3">
        <v>-3.4059999999999998E-4</v>
      </c>
      <c r="E20" s="3">
        <v>0</v>
      </c>
      <c r="F20" s="3">
        <v>0</v>
      </c>
      <c r="G20" s="3">
        <v>0</v>
      </c>
      <c r="H20" s="3">
        <v>5.9741328E-5</v>
      </c>
      <c r="I20" s="3">
        <v>2.3545891E-5</v>
      </c>
      <c r="J20" s="3">
        <v>-1.2394825E-4</v>
      </c>
      <c r="K20" s="2"/>
      <c r="L20" s="3"/>
      <c r="M20" s="3"/>
      <c r="N20" s="2">
        <f>IF('Modell einstellen'!$B$1="Voll",H20/0.35,H20/0.35*2)</f>
        <v>3.4137901714285717E-4</v>
      </c>
      <c r="O20" s="2">
        <f>IF('Modell einstellen'!$B$1="Voll",J20/0.35,J20/0.35*2)</f>
        <v>-7.0827571428571431E-4</v>
      </c>
      <c r="P20" s="3">
        <f t="shared" si="0"/>
        <v>0.48198605466394245</v>
      </c>
      <c r="Q20" s="3"/>
      <c r="R20" s="3"/>
      <c r="S20" s="3"/>
      <c r="T20" s="3"/>
      <c r="U20" s="3"/>
    </row>
    <row r="21" spans="1:21" x14ac:dyDescent="0.25">
      <c r="A21" s="3">
        <v>1000</v>
      </c>
      <c r="B21" s="3">
        <v>8.5760000000000006E-5</v>
      </c>
      <c r="C21" s="3">
        <v>2.7480000000000001E-4</v>
      </c>
      <c r="D21" s="3">
        <v>-4.9810000000000002E-4</v>
      </c>
      <c r="E21" s="3">
        <v>0</v>
      </c>
      <c r="F21" s="3">
        <v>0</v>
      </c>
      <c r="G21" s="3">
        <v>0</v>
      </c>
      <c r="H21" s="3">
        <v>7.4608661000000003E-5</v>
      </c>
      <c r="I21" s="3">
        <v>3.4135328999999998E-5</v>
      </c>
      <c r="J21" s="3">
        <v>-1.5882375000000001E-4</v>
      </c>
      <c r="K21" s="2"/>
      <c r="L21" s="3"/>
      <c r="M21" s="3"/>
      <c r="N21" s="2">
        <f>IF('Modell einstellen'!$B$1="Voll",H21/0.35,H21/0.35*2)</f>
        <v>4.2633520571428574E-4</v>
      </c>
      <c r="O21" s="2">
        <f>IF('Modell einstellen'!$B$1="Voll",J21/0.35,J21/0.35*2)</f>
        <v>-9.0756428571428581E-4</v>
      </c>
      <c r="P21" s="3">
        <f t="shared" si="0"/>
        <v>0.4697575834848377</v>
      </c>
      <c r="Q21" s="3"/>
      <c r="R21" s="3"/>
      <c r="S21" s="3"/>
      <c r="T21" s="3"/>
      <c r="U21" s="3"/>
    </row>
    <row r="22" spans="1:21" x14ac:dyDescent="0.25">
      <c r="A22" s="3">
        <v>10000</v>
      </c>
      <c r="B22" s="3">
        <v>2.1359999999999999E-4</v>
      </c>
      <c r="C22" s="3">
        <v>3.5829999999999998E-4</v>
      </c>
      <c r="D22" s="3">
        <v>-6.9830000000000001E-4</v>
      </c>
      <c r="E22" s="3">
        <v>0</v>
      </c>
      <c r="F22" s="3">
        <v>0</v>
      </c>
      <c r="G22" s="3">
        <v>0</v>
      </c>
      <c r="H22" s="3">
        <v>9.4667483999999997E-5</v>
      </c>
      <c r="I22" s="3">
        <v>4.8921322999999998E-5</v>
      </c>
      <c r="J22" s="3">
        <v>-2.0707005E-4</v>
      </c>
      <c r="K22" s="2"/>
      <c r="L22" s="3"/>
      <c r="M22" s="3"/>
      <c r="N22" s="2">
        <f>IF('Modell einstellen'!$B$1="Voll",H22/0.35,H22/0.35*2)</f>
        <v>5.4095705142857148E-4</v>
      </c>
      <c r="O22" s="2">
        <f>IF('Modell einstellen'!$B$1="Voll",J22/0.35,J22/0.35*2)</f>
        <v>-1.1832574285714286E-3</v>
      </c>
      <c r="P22" s="3">
        <f t="shared" si="0"/>
        <v>0.45717612952718178</v>
      </c>
      <c r="Q22" s="3"/>
      <c r="R22" s="3"/>
      <c r="S22" s="3"/>
      <c r="T22" s="3"/>
      <c r="U22" s="3"/>
    </row>
    <row r="23" spans="1:21" x14ac:dyDescent="0.25">
      <c r="A23" s="3">
        <v>100000</v>
      </c>
      <c r="B23" s="3">
        <v>3.3639999999999999E-4</v>
      </c>
      <c r="C23" s="3">
        <v>4.7580000000000002E-4</v>
      </c>
      <c r="D23" s="3">
        <v>-9.2949999999999999E-4</v>
      </c>
      <c r="E23" s="3">
        <v>0</v>
      </c>
      <c r="F23" s="3">
        <v>0</v>
      </c>
      <c r="G23" s="3">
        <v>0</v>
      </c>
      <c r="H23" s="3">
        <v>1.2222154999999999E-4</v>
      </c>
      <c r="I23" s="3">
        <v>6.9444545999999995E-5</v>
      </c>
      <c r="J23" s="3">
        <v>-2.7407339000000002E-4</v>
      </c>
      <c r="K23" s="2"/>
      <c r="L23" s="3"/>
      <c r="M23" s="3"/>
      <c r="N23" s="2">
        <f>IF('Modell einstellen'!$B$1="Voll",H23/0.35,H23/0.35*2)</f>
        <v>6.984088571428571E-4</v>
      </c>
      <c r="O23" s="2">
        <f>IF('Modell einstellen'!$B$1="Voll",J23/0.35,J23/0.35*2)</f>
        <v>-1.5661336571428574E-3</v>
      </c>
      <c r="P23" s="3">
        <f t="shared" si="0"/>
        <v>0.44594460629687532</v>
      </c>
      <c r="Q23" s="3"/>
      <c r="R23" s="3"/>
      <c r="S23" s="3"/>
      <c r="T23" s="3"/>
      <c r="U23" s="3"/>
    </row>
    <row r="24" spans="1:21" x14ac:dyDescent="0.25">
      <c r="A24" s="3">
        <v>1000000</v>
      </c>
      <c r="B24" s="3">
        <v>4.4319999999999999E-4</v>
      </c>
      <c r="C24" s="3">
        <v>6.602E-4</v>
      </c>
      <c r="D24" s="3">
        <v>-1.2130000000000001E-3</v>
      </c>
      <c r="E24" s="3">
        <v>0</v>
      </c>
      <c r="F24" s="3">
        <v>0</v>
      </c>
      <c r="G24" s="3">
        <v>0</v>
      </c>
      <c r="H24" s="3">
        <v>1.6533235000000001E-4</v>
      </c>
      <c r="I24" s="3">
        <v>1.0205235E-4</v>
      </c>
      <c r="J24" s="3">
        <v>-3.8013589E-4</v>
      </c>
      <c r="K24" s="2"/>
      <c r="L24" s="3"/>
      <c r="M24" s="3"/>
      <c r="N24" s="2">
        <f>IF('Modell einstellen'!$B$1="Voll",H24/0.35,H24/0.35*2)</f>
        <v>9.4475628571428583E-4</v>
      </c>
      <c r="O24" s="2">
        <f>IF('Modell einstellen'!$B$1="Voll",J24/0.35,J24/0.35*2)</f>
        <v>-2.1722050857142859E-3</v>
      </c>
      <c r="P24" s="3">
        <f t="shared" si="0"/>
        <v>0.434929598465433</v>
      </c>
      <c r="Q24" s="3"/>
      <c r="R24" s="3"/>
      <c r="S24" s="3"/>
      <c r="T24" s="3"/>
      <c r="U24" s="3"/>
    </row>
    <row r="25" spans="1:21" x14ac:dyDescent="0.25">
      <c r="A25" s="3">
        <v>10000000</v>
      </c>
      <c r="B25" s="3">
        <v>5.4569999999999998E-4</v>
      </c>
      <c r="C25" s="3">
        <v>9.5859999999999999E-4</v>
      </c>
      <c r="D25" s="3">
        <v>-1.606E-3</v>
      </c>
      <c r="E25" s="3">
        <v>0</v>
      </c>
      <c r="F25" s="3">
        <v>0</v>
      </c>
      <c r="G25" s="3">
        <v>0</v>
      </c>
      <c r="H25" s="3">
        <v>2.3106455000000001E-4</v>
      </c>
      <c r="I25" s="3">
        <v>1.5487378999999999E-4</v>
      </c>
      <c r="J25" s="3">
        <v>-5.4781629000000005E-4</v>
      </c>
      <c r="K25" s="2"/>
      <c r="L25" s="3"/>
      <c r="M25" s="3"/>
      <c r="N25" s="2">
        <f>IF('Modell einstellen'!$B$1="Voll",H25/0.35,H25/0.35*2)</f>
        <v>1.3203688571428573E-3</v>
      </c>
      <c r="O25" s="2">
        <f>IF('Modell einstellen'!$B$1="Voll",J25/0.35,J25/0.35*2)</f>
        <v>-3.1303788000000003E-3</v>
      </c>
      <c r="P25" s="3">
        <f t="shared" si="0"/>
        <v>0.42179203907937823</v>
      </c>
      <c r="Q25" s="3"/>
      <c r="R25" s="3"/>
      <c r="S25" s="3"/>
      <c r="T25" s="3"/>
      <c r="U25" s="3"/>
    </row>
    <row r="26" spans="1:21" x14ac:dyDescent="0.25">
      <c r="A26" s="3">
        <v>100000000</v>
      </c>
      <c r="B26" s="3">
        <v>6.6450000000000005E-4</v>
      </c>
      <c r="C26" s="3">
        <v>1.3960000000000001E-3</v>
      </c>
      <c r="D26" s="3">
        <v>-2.1540000000000001E-3</v>
      </c>
      <c r="E26" s="3">
        <v>0</v>
      </c>
      <c r="F26" s="3">
        <v>0</v>
      </c>
      <c r="G26" s="3">
        <v>0</v>
      </c>
      <c r="H26" s="3">
        <v>3.2606322000000001E-4</v>
      </c>
      <c r="I26" s="3">
        <v>2.3372939E-4</v>
      </c>
      <c r="J26" s="3">
        <v>-7.9463221000000001E-4</v>
      </c>
      <c r="K26" s="2"/>
      <c r="L26" s="3"/>
      <c r="M26" s="3"/>
      <c r="N26" s="2">
        <f>IF('Modell einstellen'!$B$1="Voll",H26/0.35,H26/0.35*2)</f>
        <v>1.8632184000000002E-3</v>
      </c>
      <c r="O26" s="2">
        <f>IF('Modell einstellen'!$B$1="Voll",J26/0.35,J26/0.35*2)</f>
        <v>-4.5407554857142861E-3</v>
      </c>
      <c r="P26" s="3">
        <f t="shared" si="0"/>
        <v>0.41033224666289325</v>
      </c>
      <c r="Q26" s="3"/>
      <c r="R26" s="3"/>
      <c r="S26" s="3"/>
      <c r="T26" s="3"/>
      <c r="U26" s="3"/>
    </row>
    <row r="27" spans="1:21" x14ac:dyDescent="0.25">
      <c r="A27" s="3">
        <v>1000000000</v>
      </c>
      <c r="B27" s="3">
        <v>8.4719999999999999E-4</v>
      </c>
      <c r="C27" s="3">
        <v>1.9E-3</v>
      </c>
      <c r="D27" s="3">
        <v>-2.8340000000000001E-3</v>
      </c>
      <c r="E27" s="3">
        <v>0</v>
      </c>
      <c r="F27" s="3">
        <v>0</v>
      </c>
      <c r="G27" s="3">
        <v>0</v>
      </c>
      <c r="H27" s="3">
        <v>4.3010215999999998E-4</v>
      </c>
      <c r="I27" s="3">
        <v>3.2476698999999999E-4</v>
      </c>
      <c r="J27" s="3">
        <v>-1.0733191999999999E-3</v>
      </c>
      <c r="K27" s="2"/>
      <c r="L27" s="3"/>
      <c r="M27" s="3"/>
      <c r="N27" s="2">
        <f>IF('Modell einstellen'!$B$1="Voll",H27/0.35,H27/0.35*2)</f>
        <v>2.4577266285714288E-3</v>
      </c>
      <c r="O27" s="2">
        <f>IF('Modell einstellen'!$B$1="Voll",J27/0.35,J27/0.35*2)</f>
        <v>-6.1332525714285716E-3</v>
      </c>
      <c r="P27" s="3">
        <f t="shared" si="0"/>
        <v>0.4007215747188721</v>
      </c>
      <c r="Q27" s="3"/>
      <c r="R27" s="3"/>
      <c r="S27" s="3"/>
      <c r="T27" s="3"/>
      <c r="U27" s="3"/>
    </row>
    <row r="28" spans="1:21" x14ac:dyDescent="0.25">
      <c r="A28" s="3">
        <v>10000000000</v>
      </c>
      <c r="B28" s="3">
        <v>1.07E-3</v>
      </c>
      <c r="C28" s="3">
        <v>2.3519999999999999E-3</v>
      </c>
      <c r="D28" s="3">
        <v>-3.5049999999999999E-3</v>
      </c>
      <c r="E28" s="3">
        <v>0</v>
      </c>
      <c r="F28" s="3">
        <v>0</v>
      </c>
      <c r="G28" s="3">
        <v>0</v>
      </c>
      <c r="H28" s="3">
        <v>5.1774738000000004E-4</v>
      </c>
      <c r="I28" s="3">
        <v>4.0530960000000001E-4</v>
      </c>
      <c r="J28" s="3">
        <v>-1.3149469999999999E-3</v>
      </c>
      <c r="K28" s="2"/>
      <c r="L28" s="3"/>
      <c r="M28" s="3"/>
      <c r="N28" s="2">
        <f>IF('Modell einstellen'!$B$1="Voll",H28/0.35,H28/0.35*2)</f>
        <v>2.9585564571428576E-3</v>
      </c>
      <c r="O28" s="2">
        <f>IF('Modell einstellen'!$B$1="Voll",J28/0.35,J28/0.35*2)</f>
        <v>-7.5139828571428573E-3</v>
      </c>
      <c r="P28" s="3">
        <f t="shared" si="0"/>
        <v>0.39374011271937204</v>
      </c>
      <c r="Q28" s="3"/>
      <c r="R28" s="3"/>
      <c r="S28" s="3"/>
      <c r="T28" s="3"/>
      <c r="U28" s="3"/>
    </row>
    <row r="29" spans="1:21" x14ac:dyDescent="0.25">
      <c r="A29" s="3">
        <v>100000000000</v>
      </c>
      <c r="B29" s="3">
        <v>1.2830000000000001E-3</v>
      </c>
      <c r="C29" s="3">
        <v>2.6640000000000001E-3</v>
      </c>
      <c r="D29" s="3">
        <v>-4.0270000000000002E-3</v>
      </c>
      <c r="E29" s="3">
        <v>0</v>
      </c>
      <c r="F29" s="3">
        <v>0</v>
      </c>
      <c r="G29" s="3">
        <v>0</v>
      </c>
      <c r="H29" s="3">
        <v>5.7171119999999999E-4</v>
      </c>
      <c r="I29" s="3">
        <v>4.5892761999999999E-4</v>
      </c>
      <c r="J29" s="3">
        <v>-1.4711651E-3</v>
      </c>
      <c r="K29" s="2"/>
      <c r="L29" s="3"/>
      <c r="M29" s="3"/>
      <c r="N29" s="2">
        <f>IF('Modell einstellen'!$B$1="Voll",H29/0.35,H29/0.35*2)</f>
        <v>3.2669211428571431E-3</v>
      </c>
      <c r="O29" s="2">
        <f>IF('Modell einstellen'!$B$1="Voll",J29/0.35,J29/0.35*2)</f>
        <v>-8.4066577142857153E-3</v>
      </c>
      <c r="P29" s="3">
        <f t="shared" si="0"/>
        <v>0.38861117627110647</v>
      </c>
      <c r="Q29" s="3"/>
      <c r="R29" s="3"/>
      <c r="S29" s="3"/>
      <c r="T29" s="3"/>
      <c r="U29" s="3"/>
    </row>
    <row r="30" spans="1:21" x14ac:dyDescent="0.25">
      <c r="A30" s="3">
        <v>1000000000000</v>
      </c>
      <c r="B30" s="3">
        <v>1.4450000000000001E-3</v>
      </c>
      <c r="C30" s="3">
        <v>2.8939999999999999E-3</v>
      </c>
      <c r="D30" s="3">
        <v>-4.4169999999999999E-3</v>
      </c>
      <c r="E30" s="3">
        <v>0</v>
      </c>
      <c r="F30" s="3">
        <v>0</v>
      </c>
      <c r="G30" s="3">
        <v>0</v>
      </c>
      <c r="H30" s="3">
        <v>6.1082113000000002E-4</v>
      </c>
      <c r="I30" s="3">
        <v>4.9769623999999996E-4</v>
      </c>
      <c r="J30" s="3">
        <v>-1.5840791E-3</v>
      </c>
      <c r="K30" s="2"/>
      <c r="L30" s="3"/>
      <c r="M30" s="3"/>
      <c r="N30" s="2">
        <f>IF('Modell einstellen'!$B$1="Voll",H30/0.35,H30/0.35*2)</f>
        <v>3.4904064571428576E-3</v>
      </c>
      <c r="O30" s="2">
        <f>IF('Modell einstellen'!$B$1="Voll",J30/0.35,J30/0.35*2)</f>
        <v>-9.0518805714285711E-3</v>
      </c>
      <c r="P30" s="3">
        <f t="shared" si="0"/>
        <v>0.38560014458873937</v>
      </c>
      <c r="Q30" s="3"/>
      <c r="R30" s="3"/>
      <c r="S30" s="3"/>
      <c r="T30" s="3"/>
      <c r="U30" s="3"/>
    </row>
    <row r="31" spans="1:21" x14ac:dyDescent="0.25">
      <c r="A31" s="3">
        <v>10000000000000</v>
      </c>
      <c r="B31" s="3">
        <v>1.446E-3</v>
      </c>
      <c r="C31" s="3">
        <v>2.9680000000000002E-3</v>
      </c>
      <c r="D31" s="3">
        <v>-4.4929999999999996E-3</v>
      </c>
      <c r="E31" s="3">
        <v>0</v>
      </c>
      <c r="F31" s="3">
        <v>0</v>
      </c>
      <c r="G31" s="3">
        <v>0</v>
      </c>
      <c r="H31" s="3">
        <v>6.3388251000000002E-4</v>
      </c>
      <c r="I31" s="3">
        <v>5.1362059999999999E-4</v>
      </c>
      <c r="J31" s="3">
        <v>-1.6373627000000001E-3</v>
      </c>
      <c r="K31" s="2"/>
      <c r="L31" s="3"/>
      <c r="M31" s="3"/>
      <c r="N31" s="2">
        <f>IF('Modell einstellen'!$B$1="Voll",H31/0.35,H31/0.35*2)</f>
        <v>3.6221857714285716E-3</v>
      </c>
      <c r="O31" s="2">
        <f>IF('Modell einstellen'!$B$1="Voll",J31/0.35,J31/0.35*2)</f>
        <v>-9.3563582857142859E-3</v>
      </c>
      <c r="P31" s="3">
        <f t="shared" si="0"/>
        <v>0.3871362832437798</v>
      </c>
      <c r="Q31" s="3"/>
      <c r="R31" s="3"/>
      <c r="S31" s="3"/>
      <c r="T31" s="3"/>
      <c r="U31" s="3"/>
    </row>
    <row r="32" spans="1:21" x14ac:dyDescent="0.25">
      <c r="A32" s="3">
        <v>100000000000000</v>
      </c>
      <c r="B32" s="3">
        <v>1.6379999999999999E-3</v>
      </c>
      <c r="C32" s="3">
        <v>3.1259999999999999E-3</v>
      </c>
      <c r="D32" s="3">
        <v>-4.8390000000000004E-3</v>
      </c>
      <c r="E32" s="3">
        <v>0</v>
      </c>
      <c r="F32" s="3">
        <v>0</v>
      </c>
      <c r="G32" s="3">
        <v>0</v>
      </c>
      <c r="H32" s="3">
        <v>6.4927829000000002E-4</v>
      </c>
      <c r="I32" s="3">
        <v>5.3696813999999995E-4</v>
      </c>
      <c r="J32" s="3">
        <v>-1.6971915E-3</v>
      </c>
      <c r="K32" s="2"/>
      <c r="L32" s="3"/>
      <c r="M32" s="3"/>
      <c r="N32" s="2">
        <f>IF('Modell einstellen'!$B$1="Voll",H32/0.35,H32/0.35*2)</f>
        <v>3.7101616571428575E-3</v>
      </c>
      <c r="O32" s="2">
        <f>IF('Modell einstellen'!$B$1="Voll",J32/0.35,J32/0.35*2)</f>
        <v>-9.698237142857143E-3</v>
      </c>
      <c r="P32" s="3">
        <f t="shared" si="0"/>
        <v>0.38256041819676806</v>
      </c>
      <c r="Q32" s="3"/>
      <c r="R32" s="3"/>
      <c r="S32" s="3"/>
      <c r="T32" s="3"/>
      <c r="U32" s="3"/>
    </row>
    <row r="33" spans="1:21" x14ac:dyDescent="0.25">
      <c r="A33" s="2">
        <v>1000000000000000</v>
      </c>
      <c r="B33" s="3">
        <v>1.634E-3</v>
      </c>
      <c r="C33" s="3">
        <v>3.2299999999999998E-3</v>
      </c>
      <c r="D33" s="3">
        <v>-4.9399999999999999E-3</v>
      </c>
      <c r="E33" s="3">
        <v>0</v>
      </c>
      <c r="F33" s="3">
        <v>0</v>
      </c>
      <c r="G33" s="3">
        <v>0</v>
      </c>
      <c r="H33" s="3">
        <v>6.8097815999999995E-4</v>
      </c>
      <c r="I33" s="3">
        <v>5.5924947999999998E-4</v>
      </c>
      <c r="J33" s="3">
        <v>-1.7711140000000001E-3</v>
      </c>
      <c r="K33" s="2"/>
      <c r="L33" s="3"/>
      <c r="M33" s="3"/>
      <c r="N33" s="2">
        <f>IF('Modell einstellen'!$B$1="Voll",H33/0.35,H33/0.35*2)</f>
        <v>3.8913037714285712E-3</v>
      </c>
      <c r="O33" s="2">
        <f>IF('Modell einstellen'!$B$1="Voll",J33/0.35,J33/0.35*2)</f>
        <v>-1.012065142857143E-2</v>
      </c>
      <c r="P33" s="3">
        <f t="shared" si="0"/>
        <v>0.38449143307545414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6.7340000000000002E-5</v>
      </c>
      <c r="C3" s="3">
        <v>1.26E-4</v>
      </c>
      <c r="D3" s="3">
        <v>-3.2640000000000002E-4</v>
      </c>
      <c r="E3" s="3">
        <v>0</v>
      </c>
      <c r="F3" s="3">
        <v>0</v>
      </c>
      <c r="G3" s="3">
        <v>0</v>
      </c>
      <c r="H3" s="3">
        <v>2.4586145000000001E-5</v>
      </c>
      <c r="I3" s="3">
        <v>1.1802269000000001E-5</v>
      </c>
      <c r="J3" s="3">
        <v>-6.5053676999999994E-5</v>
      </c>
      <c r="L3" s="3">
        <f>-B3/D3</f>
        <v>0.20631127450980391</v>
      </c>
      <c r="M3" s="3"/>
      <c r="N3" s="2">
        <f>IF('Modell einstellen'!$B$1="Voll",H3/0.35,H3/0.35*2)</f>
        <v>1.4049225714285715E-4</v>
      </c>
      <c r="O3" s="2">
        <f>IF('Modell einstellen'!$B$1="Voll",J3/0.35,J3/0.35*2)</f>
        <v>-3.7173529714285713E-4</v>
      </c>
      <c r="P3" s="3">
        <f>-N3/O3</f>
        <v>0.37793628483137087</v>
      </c>
    </row>
    <row r="4" spans="1:16" x14ac:dyDescent="0.25">
      <c r="A4" s="3">
        <v>1E-14</v>
      </c>
      <c r="B4" s="3">
        <v>6.4330000000000002E-5</v>
      </c>
      <c r="C4" s="3">
        <v>1.295E-4</v>
      </c>
      <c r="D4" s="3">
        <v>-3.2850000000000002E-4</v>
      </c>
      <c r="E4" s="3">
        <v>0</v>
      </c>
      <c r="F4" s="3">
        <v>0</v>
      </c>
      <c r="G4" s="3">
        <v>0</v>
      </c>
      <c r="H4" s="3">
        <v>2.5651515000000001E-5</v>
      </c>
      <c r="I4" s="3">
        <v>1.2141925999999999E-5</v>
      </c>
      <c r="J4" s="3">
        <v>-6.6872195999999996E-5</v>
      </c>
      <c r="L4" s="3">
        <f t="shared" ref="L4:L33" si="0">-B4/D4</f>
        <v>0.19582952815829527</v>
      </c>
      <c r="M4" s="3"/>
      <c r="N4" s="2">
        <f>IF('Modell einstellen'!$B$1="Voll",H4/0.35,H4/0.35*2)</f>
        <v>1.4658008571428574E-4</v>
      </c>
      <c r="O4" s="2">
        <f>IF('Modell einstellen'!$B$1="Voll",J4/0.35,J4/0.35*2)</f>
        <v>-3.8212683428571429E-4</v>
      </c>
      <c r="P4" s="3">
        <f t="shared" ref="P4:P33" si="1">-N4/O4</f>
        <v>0.38359013961497546</v>
      </c>
    </row>
    <row r="5" spans="1:16" x14ac:dyDescent="0.25">
      <c r="A5" s="3">
        <v>1E-13</v>
      </c>
      <c r="B5" s="3">
        <v>6.0730000000000003E-5</v>
      </c>
      <c r="C5" s="3">
        <v>1.3219999999999999E-4</v>
      </c>
      <c r="D5" s="3">
        <v>-3.2890000000000003E-4</v>
      </c>
      <c r="E5" s="3">
        <v>0</v>
      </c>
      <c r="F5" s="3">
        <v>0</v>
      </c>
      <c r="G5" s="3">
        <v>0</v>
      </c>
      <c r="H5" s="3">
        <v>2.6614454000000002E-5</v>
      </c>
      <c r="I5" s="3">
        <v>1.2416367E-5</v>
      </c>
      <c r="J5" s="3">
        <v>-6.8453160000000001E-5</v>
      </c>
      <c r="L5" s="3">
        <f t="shared" si="0"/>
        <v>0.18464578899361508</v>
      </c>
      <c r="M5" s="3"/>
      <c r="N5" s="2">
        <f>IF('Modell einstellen'!$B$1="Voll",H5/0.35,H5/0.35*2)</f>
        <v>1.5208259428571431E-4</v>
      </c>
      <c r="O5" s="2">
        <f>IF('Modell einstellen'!$B$1="Voll",J5/0.35,J5/0.35*2)</f>
        <v>-3.9116091428571429E-4</v>
      </c>
      <c r="P5" s="3">
        <f t="shared" si="1"/>
        <v>0.38879803357507531</v>
      </c>
    </row>
    <row r="6" spans="1:16" x14ac:dyDescent="0.25">
      <c r="A6" s="3">
        <v>9.9999999999999998E-13</v>
      </c>
      <c r="B6" s="3">
        <v>5.7420000000000003E-5</v>
      </c>
      <c r="C6" s="3">
        <v>1.3559999999999999E-4</v>
      </c>
      <c r="D6" s="3">
        <v>-3.3040000000000001E-4</v>
      </c>
      <c r="E6" s="3">
        <v>0</v>
      </c>
      <c r="F6" s="3">
        <v>0</v>
      </c>
      <c r="G6" s="3">
        <v>0</v>
      </c>
      <c r="H6" s="3">
        <v>2.7616499E-5</v>
      </c>
      <c r="I6" s="3">
        <v>1.2731067000000001E-5</v>
      </c>
      <c r="J6" s="3">
        <v>-7.0147123000000001E-5</v>
      </c>
      <c r="L6" s="3">
        <f t="shared" si="0"/>
        <v>0.17378934624697337</v>
      </c>
      <c r="M6" s="3"/>
      <c r="N6" s="2">
        <f>IF('Modell einstellen'!$B$1="Voll",H6/0.35,H6/0.35*2)</f>
        <v>1.5780856571428572E-4</v>
      </c>
      <c r="O6" s="2">
        <f>IF('Modell einstellen'!$B$1="Voll",J6/0.35,J6/0.35*2)</f>
        <v>-4.0084070285714289E-4</v>
      </c>
      <c r="P6" s="3">
        <f t="shared" si="1"/>
        <v>0.39369396518229266</v>
      </c>
    </row>
    <row r="7" spans="1:16" x14ac:dyDescent="0.25">
      <c r="A7" s="3">
        <v>9.9999999999999994E-12</v>
      </c>
      <c r="B7" s="3">
        <v>5.2580000000000001E-5</v>
      </c>
      <c r="C7" s="3">
        <v>1.3909999999999999E-4</v>
      </c>
      <c r="D7" s="3">
        <v>-3.3060000000000001E-4</v>
      </c>
      <c r="E7" s="3">
        <v>0</v>
      </c>
      <c r="F7" s="3">
        <v>0</v>
      </c>
      <c r="G7" s="3">
        <v>0</v>
      </c>
      <c r="H7" s="3">
        <v>2.8794595999999999E-5</v>
      </c>
      <c r="I7" s="3">
        <v>1.3064977999999999E-5</v>
      </c>
      <c r="J7" s="3">
        <v>-7.2067026000000004E-5</v>
      </c>
      <c r="L7" s="3">
        <f t="shared" si="0"/>
        <v>0.15904416212946157</v>
      </c>
      <c r="M7" s="3"/>
      <c r="N7" s="2">
        <f>IF('Modell einstellen'!$B$1="Voll",H7/0.35,H7/0.35*2)</f>
        <v>1.6454054857142859E-4</v>
      </c>
      <c r="O7" s="2">
        <f>IF('Modell einstellen'!$B$1="Voll",J7/0.35,J7/0.35*2)</f>
        <v>-4.1181157714285721E-4</v>
      </c>
      <c r="P7" s="3">
        <f t="shared" si="1"/>
        <v>0.39955299390320337</v>
      </c>
    </row>
    <row r="8" spans="1:16" x14ac:dyDescent="0.25">
      <c r="A8" s="3">
        <v>1E-10</v>
      </c>
      <c r="B8" s="3">
        <v>4.5500000000000001E-5</v>
      </c>
      <c r="C8" s="3">
        <v>1.4339999999999999E-4</v>
      </c>
      <c r="D8" s="3">
        <v>-3.2969999999999999E-4</v>
      </c>
      <c r="E8" s="3">
        <v>0</v>
      </c>
      <c r="F8" s="3">
        <v>0</v>
      </c>
      <c r="G8" s="3">
        <v>0</v>
      </c>
      <c r="H8" s="3">
        <v>3.0339592000000001E-5</v>
      </c>
      <c r="I8" s="3">
        <v>1.3479242E-5</v>
      </c>
      <c r="J8" s="3">
        <v>-7.4532390999999993E-5</v>
      </c>
      <c r="L8" s="3">
        <f t="shared" si="0"/>
        <v>0.13800424628450106</v>
      </c>
      <c r="M8" s="3"/>
      <c r="N8" s="2">
        <f>IF('Modell einstellen'!$B$1="Voll",H8/0.35,H8/0.35*2)</f>
        <v>1.7336909714285717E-4</v>
      </c>
      <c r="O8" s="2">
        <f>IF('Modell einstellen'!$B$1="Voll",J8/0.35,J8/0.35*2)</f>
        <v>-4.2589937714285713E-4</v>
      </c>
      <c r="P8" s="3">
        <f t="shared" si="1"/>
        <v>0.40706586214307822</v>
      </c>
    </row>
    <row r="9" spans="1:16" x14ac:dyDescent="0.25">
      <c r="A9" s="3">
        <v>1.0000000000000001E-9</v>
      </c>
      <c r="B9" s="3">
        <v>3.6149999999999998E-5</v>
      </c>
      <c r="C9" s="3">
        <v>1.4799999999999999E-4</v>
      </c>
      <c r="D9" s="3">
        <v>-3.2719999999999998E-4</v>
      </c>
      <c r="E9" s="3">
        <v>0</v>
      </c>
      <c r="F9" s="3">
        <v>0</v>
      </c>
      <c r="G9" s="3">
        <v>0</v>
      </c>
      <c r="H9" s="3">
        <v>3.2152756999999997E-5</v>
      </c>
      <c r="I9" s="3">
        <v>1.3932403000000001E-5</v>
      </c>
      <c r="J9" s="3">
        <v>-7.7352021999999994E-5</v>
      </c>
      <c r="L9" s="3">
        <f t="shared" si="0"/>
        <v>0.11048288508557456</v>
      </c>
      <c r="M9" s="3"/>
      <c r="N9" s="2">
        <f>IF('Modell einstellen'!$B$1="Voll",H9/0.35,H9/0.35*2)</f>
        <v>1.8373004000000001E-4</v>
      </c>
      <c r="O9" s="2">
        <f>IF('Modell einstellen'!$B$1="Voll",J9/0.35,J9/0.35*2)</f>
        <v>-4.420115542857143E-4</v>
      </c>
      <c r="P9" s="3">
        <f t="shared" si="1"/>
        <v>0.41566795758745645</v>
      </c>
    </row>
    <row r="10" spans="1:16" x14ac:dyDescent="0.25">
      <c r="A10" s="3">
        <v>1E-8</v>
      </c>
      <c r="B10" s="3">
        <v>2.6060000000000001E-5</v>
      </c>
      <c r="C10" s="3">
        <v>1.5220000000000001E-4</v>
      </c>
      <c r="D10" s="3">
        <v>-3.232E-4</v>
      </c>
      <c r="E10" s="3">
        <v>0</v>
      </c>
      <c r="F10" s="3">
        <v>0</v>
      </c>
      <c r="G10" s="3">
        <v>0</v>
      </c>
      <c r="H10" s="3">
        <v>3.3910635000000003E-5</v>
      </c>
      <c r="I10" s="3">
        <v>1.4339204000000001E-5</v>
      </c>
      <c r="J10" s="3">
        <v>-8.0013066999999998E-5</v>
      </c>
      <c r="L10" s="3">
        <f t="shared" si="0"/>
        <v>8.0631188118811883E-2</v>
      </c>
      <c r="M10" s="3"/>
      <c r="N10" s="2">
        <f>IF('Modell einstellen'!$B$1="Voll",H10/0.35,H10/0.35*2)</f>
        <v>1.9377505714285716E-4</v>
      </c>
      <c r="O10" s="2">
        <f>IF('Modell einstellen'!$B$1="Voll",J10/0.35,J10/0.35*2)</f>
        <v>-4.5721752571428574E-4</v>
      </c>
      <c r="P10" s="3">
        <f t="shared" si="1"/>
        <v>0.42381371282768104</v>
      </c>
    </row>
    <row r="11" spans="1:16" x14ac:dyDescent="0.25">
      <c r="A11" s="3">
        <v>9.9999999999999995E-8</v>
      </c>
      <c r="B11" s="3">
        <v>1.579E-5</v>
      </c>
      <c r="C11" s="3">
        <v>1.5589999999999999E-4</v>
      </c>
      <c r="D11" s="3">
        <v>-3.1829999999999998E-4</v>
      </c>
      <c r="E11" s="3">
        <v>0</v>
      </c>
      <c r="F11" s="3">
        <v>0</v>
      </c>
      <c r="G11" s="3">
        <v>0</v>
      </c>
      <c r="H11" s="3">
        <v>3.5569572000000003E-5</v>
      </c>
      <c r="I11" s="3">
        <v>1.4698388E-5</v>
      </c>
      <c r="J11" s="3">
        <v>-8.2469332999999997E-5</v>
      </c>
      <c r="L11" s="3">
        <f t="shared" si="0"/>
        <v>4.9607288721332077E-2</v>
      </c>
      <c r="M11" s="3"/>
      <c r="N11" s="2">
        <f>IF('Modell einstellen'!$B$1="Voll",H11/0.35,H11/0.35*2)</f>
        <v>2.0325469714285716E-4</v>
      </c>
      <c r="O11" s="2">
        <f>IF('Modell einstellen'!$B$1="Voll",J11/0.35,J11/0.35*2)</f>
        <v>-4.7125333142857142E-4</v>
      </c>
      <c r="P11" s="3">
        <f t="shared" si="1"/>
        <v>0.4313066531046153</v>
      </c>
    </row>
    <row r="12" spans="1:16" x14ac:dyDescent="0.25">
      <c r="A12" s="3">
        <v>9.9999999999999995E-7</v>
      </c>
      <c r="B12" s="3">
        <v>3.5920000000000001E-6</v>
      </c>
      <c r="C12" s="3">
        <v>1.5970000000000001E-4</v>
      </c>
      <c r="D12" s="3">
        <v>-3.1169999999999999E-4</v>
      </c>
      <c r="E12" s="3">
        <v>0</v>
      </c>
      <c r="F12" s="3">
        <v>0</v>
      </c>
      <c r="G12" s="3">
        <v>0</v>
      </c>
      <c r="H12" s="3">
        <v>3.7410531999999998E-5</v>
      </c>
      <c r="I12" s="3">
        <v>1.5069913999999999E-5</v>
      </c>
      <c r="J12" s="3">
        <v>-8.5135076999999994E-5</v>
      </c>
      <c r="L12" s="3">
        <f t="shared" si="0"/>
        <v>1.152390118703882E-2</v>
      </c>
      <c r="M12" s="3"/>
      <c r="N12" s="2">
        <f>IF('Modell einstellen'!$B$1="Voll",H12/0.35,H12/0.35*2)</f>
        <v>2.1377446857142858E-4</v>
      </c>
      <c r="O12" s="2">
        <f>IF('Modell einstellen'!$B$1="Voll",J12/0.35,J12/0.35*2)</f>
        <v>-4.8648615428571431E-4</v>
      </c>
      <c r="P12" s="3">
        <f t="shared" si="1"/>
        <v>0.43942559657284386</v>
      </c>
    </row>
    <row r="13" spans="1:16" x14ac:dyDescent="0.25">
      <c r="A13" s="3">
        <v>1.0000000000000001E-5</v>
      </c>
      <c r="B13" s="3">
        <v>-1.0710000000000001E-5</v>
      </c>
      <c r="C13" s="3">
        <v>1.6359999999999999E-4</v>
      </c>
      <c r="D13" s="3">
        <v>-3.0309999999999999E-4</v>
      </c>
      <c r="E13" s="3">
        <v>0</v>
      </c>
      <c r="F13" s="3">
        <v>0</v>
      </c>
      <c r="G13" s="3">
        <v>0</v>
      </c>
      <c r="H13" s="3">
        <v>3.9433593999999998E-5</v>
      </c>
      <c r="I13" s="3">
        <v>1.5448887000000002E-5</v>
      </c>
      <c r="J13" s="3">
        <v>-8.7999335999999995E-5</v>
      </c>
      <c r="L13" s="3">
        <f t="shared" si="0"/>
        <v>-3.5334872979214782E-2</v>
      </c>
      <c r="M13" s="3"/>
      <c r="N13" s="2">
        <f>IF('Modell einstellen'!$B$1="Voll",H13/0.35,H13/0.35*2)</f>
        <v>2.2533482285714285E-4</v>
      </c>
      <c r="O13" s="2">
        <f>IF('Modell einstellen'!$B$1="Voll",J13/0.35,J13/0.35*2)</f>
        <v>-5.028533485714286E-4</v>
      </c>
      <c r="P13" s="3">
        <f t="shared" si="1"/>
        <v>0.44811240393904789</v>
      </c>
    </row>
    <row r="14" spans="1:16" x14ac:dyDescent="0.25">
      <c r="A14" s="3">
        <v>1E-4</v>
      </c>
      <c r="B14" s="3">
        <v>-2.756E-5</v>
      </c>
      <c r="C14" s="3">
        <v>1.6750000000000001E-4</v>
      </c>
      <c r="D14" s="3">
        <v>-2.92E-4</v>
      </c>
      <c r="E14" s="3">
        <v>0</v>
      </c>
      <c r="F14" s="3">
        <v>0</v>
      </c>
      <c r="G14" s="3">
        <v>0</v>
      </c>
      <c r="H14" s="3">
        <v>4.1670488999999997E-5</v>
      </c>
      <c r="I14" s="3">
        <v>1.5833922000000001E-5</v>
      </c>
      <c r="J14" s="3">
        <v>-9.1090711999999998E-5</v>
      </c>
      <c r="L14" s="3">
        <f t="shared" si="0"/>
        <v>-9.4383561643835615E-2</v>
      </c>
      <c r="M14" s="3"/>
      <c r="N14" s="2">
        <f>IF('Modell einstellen'!$B$1="Voll",H14/0.35,H14/0.35*2)</f>
        <v>2.3811707999999999E-4</v>
      </c>
      <c r="O14" s="2">
        <f>IF('Modell einstellen'!$B$1="Voll",J14/0.35,J14/0.35*2)</f>
        <v>-5.2051835428571435E-4</v>
      </c>
      <c r="P14" s="3">
        <f t="shared" si="1"/>
        <v>0.45746144788065762</v>
      </c>
    </row>
    <row r="15" spans="1:16" x14ac:dyDescent="0.25">
      <c r="A15" s="3">
        <v>1E-3</v>
      </c>
      <c r="B15" s="3">
        <v>-4.8359999999999998E-5</v>
      </c>
      <c r="C15" s="3">
        <v>1.717E-4</v>
      </c>
      <c r="D15" s="3">
        <v>-2.7730000000000002E-4</v>
      </c>
      <c r="E15" s="3">
        <v>0</v>
      </c>
      <c r="F15" s="3">
        <v>0</v>
      </c>
      <c r="G15" s="3">
        <v>0</v>
      </c>
      <c r="H15" s="3">
        <v>4.4286480999999998E-5</v>
      </c>
      <c r="I15" s="3">
        <v>1.6248192999999999E-5</v>
      </c>
      <c r="J15" s="3">
        <v>-9.4625595000000004E-5</v>
      </c>
      <c r="L15" s="3">
        <f t="shared" si="0"/>
        <v>-0.17439596105301117</v>
      </c>
      <c r="M15" s="3"/>
      <c r="N15" s="2">
        <f>IF('Modell einstellen'!$B$1="Voll",H15/0.35,H15/0.35*2)</f>
        <v>2.5306560571428571E-4</v>
      </c>
      <c r="O15" s="2">
        <f>IF('Modell einstellen'!$B$1="Voll",J15/0.35,J15/0.35*2)</f>
        <v>-5.4071768571428572E-4</v>
      </c>
      <c r="P15" s="3">
        <f t="shared" si="1"/>
        <v>0.46801799238356173</v>
      </c>
    </row>
    <row r="16" spans="1:16" x14ac:dyDescent="0.25">
      <c r="A16" s="3">
        <v>0.01</v>
      </c>
      <c r="B16" s="3">
        <v>-7.8250000000000005E-5</v>
      </c>
      <c r="C16" s="3">
        <v>1.7679999999999999E-4</v>
      </c>
      <c r="D16" s="3">
        <v>-2.5490000000000002E-4</v>
      </c>
      <c r="E16" s="3">
        <v>0</v>
      </c>
      <c r="F16" s="3">
        <v>0</v>
      </c>
      <c r="G16" s="3">
        <v>0</v>
      </c>
      <c r="H16" s="3">
        <v>4.7847055999999998E-5</v>
      </c>
      <c r="I16" s="3">
        <v>1.6760588000000001E-5</v>
      </c>
      <c r="J16" s="3">
        <v>-9.9318565000000006E-5</v>
      </c>
      <c r="L16" s="3">
        <f t="shared" si="0"/>
        <v>-0.30698313063946647</v>
      </c>
      <c r="M16" s="3"/>
      <c r="N16" s="2">
        <f>IF('Modell einstellen'!$B$1="Voll",H16/0.35,H16/0.35*2)</f>
        <v>2.7341174857142857E-4</v>
      </c>
      <c r="O16" s="2">
        <f>IF('Modell einstellen'!$B$1="Voll",J16/0.35,J16/0.35*2)</f>
        <v>-5.6753465714285724E-4</v>
      </c>
      <c r="P16" s="3">
        <f t="shared" si="1"/>
        <v>0.48175339625577546</v>
      </c>
    </row>
    <row r="17" spans="1:16" x14ac:dyDescent="0.25">
      <c r="A17" s="3">
        <v>0.1</v>
      </c>
      <c r="B17" s="3">
        <v>-1.1569999999999999E-4</v>
      </c>
      <c r="C17" s="3">
        <v>1.8310000000000001E-4</v>
      </c>
      <c r="D17" s="3">
        <v>-2.2609999999999999E-4</v>
      </c>
      <c r="E17" s="3">
        <v>0</v>
      </c>
      <c r="F17" s="3">
        <v>0</v>
      </c>
      <c r="G17" s="3">
        <v>0</v>
      </c>
      <c r="H17" s="3">
        <v>5.2387423999999998E-5</v>
      </c>
      <c r="I17" s="3">
        <v>1.7439590000000001E-5</v>
      </c>
      <c r="J17" s="3">
        <v>-1.0531449E-4</v>
      </c>
      <c r="L17" s="3">
        <f t="shared" si="0"/>
        <v>-0.51172047766475015</v>
      </c>
      <c r="M17" s="3"/>
      <c r="N17" s="2">
        <f>IF('Modell einstellen'!$B$1="Voll",H17/0.35,H17/0.35*2)</f>
        <v>2.9935670857142855E-4</v>
      </c>
      <c r="O17" s="2">
        <f>IF('Modell einstellen'!$B$1="Voll",J17/0.35,J17/0.35*2)</f>
        <v>-6.0179708571428576E-4</v>
      </c>
      <c r="P17" s="3">
        <f t="shared" si="1"/>
        <v>0.49743794989654311</v>
      </c>
    </row>
    <row r="18" spans="1:16" x14ac:dyDescent="0.25">
      <c r="A18" s="3">
        <v>1</v>
      </c>
      <c r="B18" s="3">
        <v>-1.5029999999999999E-4</v>
      </c>
      <c r="C18" s="3">
        <v>1.9599999999999999E-4</v>
      </c>
      <c r="D18" s="3">
        <v>-2.0550000000000001E-4</v>
      </c>
      <c r="E18" s="3">
        <v>0</v>
      </c>
      <c r="F18" s="3">
        <v>0</v>
      </c>
      <c r="G18" s="3">
        <v>0</v>
      </c>
      <c r="H18" s="3">
        <v>5.9615799000000003E-5</v>
      </c>
      <c r="I18" s="3">
        <v>1.9344374999999999E-5</v>
      </c>
      <c r="J18" s="3">
        <v>-1.1630265E-4</v>
      </c>
      <c r="L18" s="3">
        <f t="shared" si="0"/>
        <v>-0.73138686131386854</v>
      </c>
      <c r="M18" s="3"/>
      <c r="N18" s="2">
        <f>IF('Modell einstellen'!$B$1="Voll",H18/0.35,H18/0.35*2)</f>
        <v>3.4066170857142861E-4</v>
      </c>
      <c r="O18" s="2">
        <f>IF('Modell einstellen'!$B$1="Voll",J18/0.35,J18/0.35*2)</f>
        <v>-6.6458657142857145E-4</v>
      </c>
      <c r="P18" s="3">
        <f t="shared" si="1"/>
        <v>0.51259192288395838</v>
      </c>
    </row>
    <row r="19" spans="1:16" x14ac:dyDescent="0.25">
      <c r="A19" s="3">
        <v>10</v>
      </c>
      <c r="B19" s="3">
        <v>-1.2779999999999999E-4</v>
      </c>
      <c r="C19" s="3">
        <v>2.31E-4</v>
      </c>
      <c r="D19" s="3">
        <v>-2.5779999999999998E-4</v>
      </c>
      <c r="E19" s="3">
        <v>0</v>
      </c>
      <c r="F19" s="3">
        <v>0</v>
      </c>
      <c r="G19" s="3">
        <v>0</v>
      </c>
      <c r="H19" s="3">
        <v>7.3502628E-5</v>
      </c>
      <c r="I19" s="3">
        <v>2.6070837999999998E-5</v>
      </c>
      <c r="J19" s="3">
        <v>-1.4299116000000001E-4</v>
      </c>
      <c r="L19" s="3">
        <f t="shared" si="0"/>
        <v>-0.49573312645461598</v>
      </c>
      <c r="M19" s="3"/>
      <c r="N19" s="2">
        <f>IF('Modell einstellen'!$B$1="Voll",H19/0.35,H19/0.35*2)</f>
        <v>4.2001501714285716E-4</v>
      </c>
      <c r="O19" s="2">
        <f>IF('Modell einstellen'!$B$1="Voll",J19/0.35,J19/0.35*2)</f>
        <v>-8.1709234285714302E-4</v>
      </c>
      <c r="P19" s="3">
        <f t="shared" si="1"/>
        <v>0.51403616838971011</v>
      </c>
    </row>
    <row r="20" spans="1:16" x14ac:dyDescent="0.25">
      <c r="A20" s="3">
        <v>100</v>
      </c>
      <c r="B20" s="3">
        <v>-4.159E-5</v>
      </c>
      <c r="C20" s="3">
        <v>3.0219999999999997E-4</v>
      </c>
      <c r="D20" s="3">
        <v>-4.0470000000000002E-4</v>
      </c>
      <c r="E20" s="3">
        <v>0</v>
      </c>
      <c r="F20" s="3">
        <v>0</v>
      </c>
      <c r="G20" s="3">
        <v>0</v>
      </c>
      <c r="H20" s="3">
        <v>9.7487250999999997E-5</v>
      </c>
      <c r="I20" s="3">
        <v>4.0475042999999999E-5</v>
      </c>
      <c r="J20" s="3">
        <v>-1.9440024E-4</v>
      </c>
      <c r="L20" s="3">
        <f t="shared" si="0"/>
        <v>-0.10276748208549542</v>
      </c>
      <c r="M20" s="3"/>
      <c r="N20" s="2">
        <f>IF('Modell einstellen'!$B$1="Voll",H20/0.35,H20/0.35*2)</f>
        <v>5.5707000571428571E-4</v>
      </c>
      <c r="O20" s="2">
        <f>IF('Modell einstellen'!$B$1="Voll",J20/0.35,J20/0.35*2)</f>
        <v>-1.1108585142857144E-3</v>
      </c>
      <c r="P20" s="3">
        <f t="shared" si="1"/>
        <v>0.5014770094934039</v>
      </c>
    </row>
    <row r="21" spans="1:16" x14ac:dyDescent="0.25">
      <c r="A21" s="3">
        <v>1000</v>
      </c>
      <c r="B21" s="3">
        <v>5.9150000000000001E-5</v>
      </c>
      <c r="C21" s="3">
        <v>4.215E-4</v>
      </c>
      <c r="D21" s="3">
        <v>-6.1379999999999996E-4</v>
      </c>
      <c r="E21" s="3">
        <v>0</v>
      </c>
      <c r="F21" s="3">
        <v>0</v>
      </c>
      <c r="G21" s="3">
        <v>0</v>
      </c>
      <c r="H21" s="3">
        <v>1.3513881E-4</v>
      </c>
      <c r="I21" s="3">
        <v>6.4340236000000003E-5</v>
      </c>
      <c r="J21" s="3">
        <v>-2.7780357999999998E-4</v>
      </c>
      <c r="L21" s="3">
        <f t="shared" si="0"/>
        <v>9.636689475399153E-2</v>
      </c>
      <c r="M21" s="3"/>
      <c r="N21" s="2">
        <f>IF('Modell einstellen'!$B$1="Voll",H21/0.35,H21/0.35*2)</f>
        <v>7.7222177142857143E-4</v>
      </c>
      <c r="O21" s="2">
        <f>IF('Modell einstellen'!$B$1="Voll",J21/0.35,J21/0.35*2)</f>
        <v>-1.5874490285714285E-3</v>
      </c>
      <c r="P21" s="3">
        <f t="shared" si="1"/>
        <v>0.48645453021159774</v>
      </c>
    </row>
    <row r="22" spans="1:16" x14ac:dyDescent="0.25">
      <c r="A22" s="3">
        <v>10000</v>
      </c>
      <c r="B22" s="3">
        <v>1.3880000000000001E-4</v>
      </c>
      <c r="C22" s="3">
        <v>6.2600000000000004E-4</v>
      </c>
      <c r="D22" s="3">
        <v>-8.8739999999999999E-4</v>
      </c>
      <c r="E22" s="3">
        <v>0</v>
      </c>
      <c r="F22" s="3">
        <v>0</v>
      </c>
      <c r="G22" s="3">
        <v>0</v>
      </c>
      <c r="H22" s="3">
        <v>1.9542297E-4</v>
      </c>
      <c r="I22" s="3">
        <v>1.0461228E-4</v>
      </c>
      <c r="J22" s="3">
        <v>-4.1565104000000001E-4</v>
      </c>
      <c r="L22" s="3">
        <f t="shared" si="0"/>
        <v>0.15641199008338968</v>
      </c>
      <c r="M22" s="3"/>
      <c r="N22" s="2">
        <f>IF('Modell einstellen'!$B$1="Voll",H22/0.35,H22/0.35*2)</f>
        <v>1.1167026857142857E-3</v>
      </c>
      <c r="O22" s="2">
        <f>IF('Modell einstellen'!$B$1="Voll",J22/0.35,J22/0.35*2)</f>
        <v>-2.3751488000000004E-3</v>
      </c>
      <c r="P22" s="3">
        <f t="shared" si="1"/>
        <v>0.4701611476781099</v>
      </c>
    </row>
    <row r="23" spans="1:16" x14ac:dyDescent="0.25">
      <c r="A23" s="3">
        <v>100000</v>
      </c>
      <c r="B23" s="3">
        <v>2.1479999999999999E-4</v>
      </c>
      <c r="C23" s="3">
        <v>9.5870000000000005E-4</v>
      </c>
      <c r="D23" s="3">
        <v>-1.2849999999999999E-3</v>
      </c>
      <c r="E23" s="3">
        <v>0</v>
      </c>
      <c r="F23" s="3">
        <v>0</v>
      </c>
      <c r="G23" s="3">
        <v>0</v>
      </c>
      <c r="H23" s="3">
        <v>2.8062410000000002E-4</v>
      </c>
      <c r="I23" s="3">
        <v>1.6826864E-4</v>
      </c>
      <c r="J23" s="3">
        <v>-6.2345238000000003E-4</v>
      </c>
      <c r="L23" s="3">
        <f t="shared" si="0"/>
        <v>0.16715953307392997</v>
      </c>
      <c r="M23" s="3"/>
      <c r="N23" s="2">
        <f>IF('Modell einstellen'!$B$1="Voll",H23/0.35,H23/0.35*2)</f>
        <v>1.6035662857142858E-3</v>
      </c>
      <c r="O23" s="2">
        <f>IF('Modell einstellen'!$B$1="Voll",J23/0.35,J23/0.35*2)</f>
        <v>-3.5625850285714291E-3</v>
      </c>
      <c r="P23" s="3">
        <f t="shared" si="1"/>
        <v>0.45011312652299118</v>
      </c>
    </row>
    <row r="24" spans="1:16" x14ac:dyDescent="0.25">
      <c r="A24" s="3">
        <v>1000000</v>
      </c>
      <c r="B24" s="3">
        <v>3.3649999999999999E-4</v>
      </c>
      <c r="C24" s="3">
        <v>1.4369999999999999E-3</v>
      </c>
      <c r="D24" s="3">
        <v>-1.8749999999999999E-3</v>
      </c>
      <c r="E24" s="3">
        <v>0</v>
      </c>
      <c r="F24" s="3">
        <v>0</v>
      </c>
      <c r="G24" s="3">
        <v>0</v>
      </c>
      <c r="H24" s="3">
        <v>3.8971060000000002E-4</v>
      </c>
      <c r="I24" s="3">
        <v>2.5821603000000001E-4</v>
      </c>
      <c r="J24" s="3">
        <v>-9.0536356E-4</v>
      </c>
      <c r="L24" s="3">
        <f t="shared" si="0"/>
        <v>0.17946666666666666</v>
      </c>
      <c r="M24" s="3"/>
      <c r="N24" s="2">
        <f>IF('Modell einstellen'!$B$1="Voll",H24/0.35,H24/0.35*2)</f>
        <v>2.2269177142857145E-3</v>
      </c>
      <c r="O24" s="2">
        <f>IF('Modell einstellen'!$B$1="Voll",J24/0.35,J24/0.35*2)</f>
        <v>-5.1735060571428577E-3</v>
      </c>
      <c r="P24" s="3">
        <f t="shared" si="1"/>
        <v>0.4304465269178715</v>
      </c>
    </row>
    <row r="25" spans="1:16" x14ac:dyDescent="0.25">
      <c r="A25" s="3">
        <v>10000000</v>
      </c>
      <c r="B25" s="3">
        <v>5.8520000000000002E-4</v>
      </c>
      <c r="C25" s="3">
        <v>1.9239999999999999E-3</v>
      </c>
      <c r="D25" s="3">
        <v>-2.6020000000000001E-3</v>
      </c>
      <c r="E25" s="3">
        <v>0</v>
      </c>
      <c r="F25" s="3">
        <v>0</v>
      </c>
      <c r="G25" s="3">
        <v>0</v>
      </c>
      <c r="H25" s="3">
        <v>4.8141503E-4</v>
      </c>
      <c r="I25" s="3">
        <v>3.4555168999999999E-4</v>
      </c>
      <c r="J25" s="3">
        <v>-1.1643395999999999E-3</v>
      </c>
      <c r="L25" s="3">
        <f t="shared" si="0"/>
        <v>0.22490392006149115</v>
      </c>
      <c r="M25" s="3"/>
      <c r="N25" s="2">
        <f>IF('Modell einstellen'!$B$1="Voll",H25/0.35,H25/0.35*2)</f>
        <v>2.7509430285714287E-3</v>
      </c>
      <c r="O25" s="2">
        <f>IF('Modell einstellen'!$B$1="Voll",J25/0.35,J25/0.35*2)</f>
        <v>-6.6533691428571429E-3</v>
      </c>
      <c r="P25" s="3">
        <f t="shared" si="1"/>
        <v>0.4134661657131648</v>
      </c>
    </row>
    <row r="26" spans="1:16" x14ac:dyDescent="0.25">
      <c r="A26" s="3">
        <v>100000000</v>
      </c>
      <c r="B26" s="3">
        <v>8.7460000000000001E-4</v>
      </c>
      <c r="C26" s="3">
        <v>2.3519999999999999E-3</v>
      </c>
      <c r="D26" s="3">
        <v>-3.313E-3</v>
      </c>
      <c r="E26" s="3">
        <v>0</v>
      </c>
      <c r="F26" s="3">
        <v>0</v>
      </c>
      <c r="G26" s="3">
        <v>0</v>
      </c>
      <c r="H26" s="3">
        <v>5.5219052000000002E-4</v>
      </c>
      <c r="I26" s="3">
        <v>4.1902756999999998E-4</v>
      </c>
      <c r="J26" s="3">
        <v>-1.3754628999999999E-3</v>
      </c>
      <c r="L26" s="3">
        <f t="shared" si="0"/>
        <v>0.26399034108059161</v>
      </c>
      <c r="M26" s="3"/>
      <c r="N26" s="2">
        <f>IF('Modell einstellen'!$B$1="Voll",H26/0.35,H26/0.35*2)</f>
        <v>3.1553744000000004E-3</v>
      </c>
      <c r="O26" s="2">
        <f>IF('Modell einstellen'!$B$1="Voll",J26/0.35,J26/0.35*2)</f>
        <v>-7.8597879999999995E-3</v>
      </c>
      <c r="P26" s="3">
        <f t="shared" si="1"/>
        <v>0.40145795280992319</v>
      </c>
    </row>
    <row r="27" spans="1:16" x14ac:dyDescent="0.25">
      <c r="A27" s="3">
        <v>1000000000</v>
      </c>
      <c r="B27" s="3">
        <v>1.1180000000000001E-3</v>
      </c>
      <c r="C27" s="3">
        <v>2.624E-3</v>
      </c>
      <c r="D27" s="3">
        <v>-3.8249999999999998E-3</v>
      </c>
      <c r="E27" s="3">
        <v>0</v>
      </c>
      <c r="F27" s="3">
        <v>0</v>
      </c>
      <c r="G27" s="3">
        <v>0</v>
      </c>
      <c r="H27" s="3">
        <v>5.9173457999999997E-4</v>
      </c>
      <c r="I27" s="3">
        <v>4.6480787000000002E-4</v>
      </c>
      <c r="J27" s="3">
        <v>-1.502293E-3</v>
      </c>
      <c r="L27" s="3">
        <f t="shared" si="0"/>
        <v>0.29228758169934643</v>
      </c>
      <c r="M27" s="3"/>
      <c r="N27" s="2">
        <f>IF('Modell einstellen'!$B$1="Voll",H27/0.35,H27/0.35*2)</f>
        <v>3.381340457142857E-3</v>
      </c>
      <c r="O27" s="2">
        <f>IF('Modell einstellen'!$B$1="Voll",J27/0.35,J27/0.35*2)</f>
        <v>-8.5845314285714295E-3</v>
      </c>
      <c r="P27" s="3">
        <f t="shared" si="1"/>
        <v>0.39388759715980831</v>
      </c>
    </row>
    <row r="28" spans="1:16" x14ac:dyDescent="0.25">
      <c r="A28" s="3">
        <v>10000000000</v>
      </c>
      <c r="B28" s="3">
        <v>1.317E-3</v>
      </c>
      <c r="C28" s="3">
        <v>2.8570000000000002E-3</v>
      </c>
      <c r="D28" s="3">
        <v>-4.254E-3</v>
      </c>
      <c r="E28" s="3">
        <v>0</v>
      </c>
      <c r="F28" s="3">
        <v>0</v>
      </c>
      <c r="G28" s="3">
        <v>0</v>
      </c>
      <c r="H28" s="3">
        <v>6.2541569999999996E-4</v>
      </c>
      <c r="I28" s="3">
        <v>5.0222663999999998E-4</v>
      </c>
      <c r="J28" s="3">
        <v>-1.6072044E-3</v>
      </c>
      <c r="L28" s="3">
        <f t="shared" si="0"/>
        <v>0.30959097320169254</v>
      </c>
      <c r="M28" s="3"/>
      <c r="N28" s="2">
        <f>IF('Modell einstellen'!$B$1="Voll",H28/0.35,H28/0.35*2)</f>
        <v>3.5738039999999999E-3</v>
      </c>
      <c r="O28" s="2">
        <f>IF('Modell einstellen'!$B$1="Voll",J28/0.35,J28/0.35*2)</f>
        <v>-9.184025142857143E-3</v>
      </c>
      <c r="P28" s="3">
        <f t="shared" si="1"/>
        <v>0.38913264548056237</v>
      </c>
    </row>
    <row r="29" spans="1:16" x14ac:dyDescent="0.25">
      <c r="A29" s="3">
        <v>100000000000</v>
      </c>
      <c r="B29" s="3">
        <v>1.485E-3</v>
      </c>
      <c r="C29" s="3">
        <v>3.0209999999999998E-3</v>
      </c>
      <c r="D29" s="3">
        <v>-4.5830000000000003E-3</v>
      </c>
      <c r="E29" s="3">
        <v>0</v>
      </c>
      <c r="F29" s="3">
        <v>0</v>
      </c>
      <c r="G29" s="3">
        <v>0</v>
      </c>
      <c r="H29" s="3">
        <v>6.4212297999999995E-4</v>
      </c>
      <c r="I29" s="3">
        <v>5.2456878000000002E-4</v>
      </c>
      <c r="J29" s="3">
        <v>-1.6664200000000001E-3</v>
      </c>
      <c r="L29" s="3">
        <f t="shared" si="0"/>
        <v>0.32402356535020727</v>
      </c>
      <c r="M29" s="3"/>
      <c r="N29" s="2">
        <f>IF('Modell einstellen'!$B$1="Voll",H29/0.35,H29/0.35*2)</f>
        <v>3.6692741714285716E-3</v>
      </c>
      <c r="O29" s="2">
        <f>IF('Modell einstellen'!$B$1="Voll",J29/0.35,J29/0.35*2)</f>
        <v>-9.5224000000000003E-3</v>
      </c>
      <c r="P29" s="3">
        <f t="shared" si="1"/>
        <v>0.38533081696091021</v>
      </c>
    </row>
    <row r="30" spans="1:16" x14ac:dyDescent="0.25">
      <c r="A30" s="3">
        <v>1000000000000</v>
      </c>
      <c r="B30" s="3">
        <v>1.4829999999999999E-3</v>
      </c>
      <c r="C30" s="3">
        <v>3.0990000000000002E-3</v>
      </c>
      <c r="D30" s="3">
        <v>-4.6600000000000001E-3</v>
      </c>
      <c r="E30" s="3">
        <v>0</v>
      </c>
      <c r="F30" s="3">
        <v>0</v>
      </c>
      <c r="G30" s="3">
        <v>0</v>
      </c>
      <c r="H30" s="3">
        <v>6.6374070999999999E-4</v>
      </c>
      <c r="I30" s="3">
        <v>5.3964069000000004E-4</v>
      </c>
      <c r="J30" s="3">
        <v>-1.7166055999999999E-3</v>
      </c>
      <c r="L30" s="3">
        <f t="shared" si="0"/>
        <v>0.31824034334763945</v>
      </c>
      <c r="M30" s="3"/>
      <c r="N30" s="2">
        <f>IF('Modell einstellen'!$B$1="Voll",H30/0.35,H30/0.35*2)</f>
        <v>3.7928040571428572E-3</v>
      </c>
      <c r="O30" s="2">
        <f>IF('Modell einstellen'!$B$1="Voll",J30/0.35,J30/0.35*2)</f>
        <v>-9.8091748571428571E-3</v>
      </c>
      <c r="P30" s="3">
        <f t="shared" si="1"/>
        <v>0.38665882832958254</v>
      </c>
    </row>
    <row r="31" spans="1:16" x14ac:dyDescent="0.25">
      <c r="A31" s="3">
        <v>10000000000000</v>
      </c>
      <c r="B31" s="3">
        <v>1.6949999999999999E-3</v>
      </c>
      <c r="C31" s="3">
        <v>3.3279999999999998E-3</v>
      </c>
      <c r="D31" s="3">
        <v>-5.0980000000000001E-3</v>
      </c>
      <c r="E31" s="3">
        <v>0</v>
      </c>
      <c r="F31" s="3">
        <v>0</v>
      </c>
      <c r="G31" s="3">
        <v>0</v>
      </c>
      <c r="H31" s="3">
        <v>6.9598253999999995E-4</v>
      </c>
      <c r="I31" s="3">
        <v>5.7565050999999995E-4</v>
      </c>
      <c r="J31" s="3">
        <v>-1.8172278000000001E-3</v>
      </c>
      <c r="L31" s="3">
        <f t="shared" si="0"/>
        <v>0.33248332679482145</v>
      </c>
      <c r="M31" s="3"/>
      <c r="N31" s="2">
        <f>IF('Modell einstellen'!$B$1="Voll",H31/0.35,H31/0.35*2)</f>
        <v>3.9770430857142859E-3</v>
      </c>
      <c r="O31" s="2">
        <f>IF('Modell einstellen'!$B$1="Voll",J31/0.35,J31/0.35*2)</f>
        <v>-1.0384158857142858E-2</v>
      </c>
      <c r="P31" s="3">
        <f t="shared" si="1"/>
        <v>0.38299135639461379</v>
      </c>
    </row>
    <row r="32" spans="1:16" x14ac:dyDescent="0.25">
      <c r="A32" s="3">
        <v>100000000000000</v>
      </c>
      <c r="B32" s="3">
        <v>1.6559999999999999E-3</v>
      </c>
      <c r="C32" s="3">
        <v>3.3310000000000002E-3</v>
      </c>
      <c r="D32" s="3">
        <v>-5.0629999999999998E-3</v>
      </c>
      <c r="E32" s="3">
        <v>0</v>
      </c>
      <c r="F32" s="3">
        <v>0</v>
      </c>
      <c r="G32" s="3">
        <v>0</v>
      </c>
      <c r="H32" s="3">
        <v>7.0014366000000004E-4</v>
      </c>
      <c r="I32" s="3">
        <v>5.7642448E-4</v>
      </c>
      <c r="J32" s="3">
        <v>-1.8228204000000001E-3</v>
      </c>
      <c r="L32" s="3">
        <f t="shared" si="0"/>
        <v>0.3270788070314043</v>
      </c>
      <c r="M32" s="3"/>
      <c r="N32" s="2">
        <f>IF('Modell einstellen'!$B$1="Voll",H32/0.35,H32/0.35*2)</f>
        <v>4.0008209142857144E-3</v>
      </c>
      <c r="O32" s="2">
        <f>IF('Modell einstellen'!$B$1="Voll",J32/0.35,J32/0.35*2)</f>
        <v>-1.0416116571428572E-2</v>
      </c>
      <c r="P32" s="3">
        <f t="shared" si="1"/>
        <v>0.38409909171523421</v>
      </c>
    </row>
    <row r="33" spans="1:16" x14ac:dyDescent="0.25">
      <c r="A33" s="3">
        <v>1000000000000000</v>
      </c>
      <c r="B33" s="3">
        <v>1.7849999999999999E-3</v>
      </c>
      <c r="C33" s="3">
        <v>3.3930000000000002E-3</v>
      </c>
      <c r="D33" s="3">
        <v>-5.2529999999999999E-3</v>
      </c>
      <c r="E33" s="3">
        <v>0</v>
      </c>
      <c r="F33" s="3">
        <v>0</v>
      </c>
      <c r="G33" s="3">
        <v>0</v>
      </c>
      <c r="H33" s="3">
        <v>7.0276235000000002E-4</v>
      </c>
      <c r="I33" s="3">
        <v>5.8551073000000003E-4</v>
      </c>
      <c r="J33" s="3">
        <v>-1.8427283E-3</v>
      </c>
      <c r="L33" s="3">
        <f t="shared" si="0"/>
        <v>0.33980582524271846</v>
      </c>
      <c r="M33" s="3"/>
      <c r="N33" s="2">
        <f>IF('Modell einstellen'!$B$1="Voll",H33/0.35,H33/0.35*2)</f>
        <v>4.0157848571428572E-3</v>
      </c>
      <c r="O33" s="2">
        <f>IF('Modell einstellen'!$B$1="Voll",J33/0.35,J33/0.35*2)</f>
        <v>-1.0529876000000001E-2</v>
      </c>
      <c r="P33" s="3">
        <f t="shared" si="1"/>
        <v>0.3813705742729408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6.4919999999999995E-5</v>
      </c>
      <c r="C3" s="3">
        <v>1.348E-4</v>
      </c>
      <c r="D3" s="3">
        <v>-3.3540000000000002E-4</v>
      </c>
      <c r="E3" s="3">
        <v>0</v>
      </c>
      <c r="F3" s="3">
        <v>0</v>
      </c>
      <c r="G3" s="3">
        <v>0</v>
      </c>
      <c r="H3" s="3">
        <v>2.7120073000000001E-5</v>
      </c>
      <c r="I3" s="3">
        <v>1.273458E-5</v>
      </c>
      <c r="J3" s="3">
        <v>-6.9673385999999998E-5</v>
      </c>
      <c r="L3" s="3">
        <f>-B3/D3</f>
        <v>0.19355992844364936</v>
      </c>
      <c r="M3" s="3"/>
      <c r="N3" s="2">
        <f>IF('Modell einstellen'!$B$1="Voll",H3/0.35,H3/0.35*2)</f>
        <v>1.5497184571428574E-4</v>
      </c>
      <c r="O3" s="2">
        <f>IF('Modell einstellen'!$B$1="Voll",J3/0.35,J3/0.35*2)</f>
        <v>-3.9813363428571429E-4</v>
      </c>
      <c r="P3" s="3">
        <f>-N3/O3</f>
        <v>0.38924580183314195</v>
      </c>
    </row>
    <row r="4" spans="1:16" x14ac:dyDescent="0.25">
      <c r="A4" s="3">
        <v>1E-14</v>
      </c>
      <c r="B4" s="3">
        <v>6.0229999999999998E-5</v>
      </c>
      <c r="C4" s="3">
        <v>1.3870000000000001E-4</v>
      </c>
      <c r="D4" s="3">
        <v>-3.3639999999999999E-4</v>
      </c>
      <c r="E4" s="3">
        <v>0</v>
      </c>
      <c r="F4" s="3">
        <v>0</v>
      </c>
      <c r="G4" s="3">
        <v>0</v>
      </c>
      <c r="H4" s="3">
        <v>2.8446374000000001E-5</v>
      </c>
      <c r="I4" s="3">
        <v>1.3126029E-5</v>
      </c>
      <c r="J4" s="3">
        <v>-7.1861599999999997E-5</v>
      </c>
      <c r="L4" s="3">
        <f t="shared" ref="L4:L33" si="0">-B4/D4</f>
        <v>0.17904280618311533</v>
      </c>
      <c r="M4" s="3"/>
      <c r="N4" s="2">
        <f>IF('Modell einstellen'!$B$1="Voll",H4/0.35,H4/0.35*2)</f>
        <v>1.625507085714286E-4</v>
      </c>
      <c r="O4" s="2">
        <f>IF('Modell einstellen'!$B$1="Voll",J4/0.35,J4/0.35*2)</f>
        <v>-4.1063771428571428E-4</v>
      </c>
      <c r="P4" s="3">
        <f t="shared" ref="P4:P33" si="1">-N4/O4</f>
        <v>0.39584943836485698</v>
      </c>
    </row>
    <row r="5" spans="1:16" x14ac:dyDescent="0.25">
      <c r="A5" s="3">
        <v>1E-13</v>
      </c>
      <c r="B5" s="3">
        <v>5.4429999999999999E-5</v>
      </c>
      <c r="C5" s="3">
        <v>1.427E-4</v>
      </c>
      <c r="D5" s="3">
        <v>-3.3639999999999999E-4</v>
      </c>
      <c r="E5" s="3">
        <v>0</v>
      </c>
      <c r="F5" s="3">
        <v>0</v>
      </c>
      <c r="G5" s="3">
        <v>0</v>
      </c>
      <c r="H5" s="3">
        <v>2.9861342E-5</v>
      </c>
      <c r="I5" s="3">
        <v>1.3522327E-5</v>
      </c>
      <c r="J5" s="3">
        <v>-7.4151272999999995E-5</v>
      </c>
      <c r="L5" s="3">
        <f t="shared" si="0"/>
        <v>0.16180142687277052</v>
      </c>
      <c r="M5" s="3"/>
      <c r="N5" s="2">
        <f>IF('Modell einstellen'!$B$1="Voll",H5/0.35,H5/0.35*2)</f>
        <v>1.7063624000000001E-4</v>
      </c>
      <c r="O5" s="2">
        <f>IF('Modell einstellen'!$B$1="Voll",J5/0.35,J5/0.35*2)</f>
        <v>-4.2372155999999999E-4</v>
      </c>
      <c r="P5" s="3">
        <f t="shared" si="1"/>
        <v>0.40270842012381908</v>
      </c>
    </row>
    <row r="6" spans="1:16" x14ac:dyDescent="0.25">
      <c r="A6" s="3">
        <v>9.9999999999999998E-13</v>
      </c>
      <c r="B6" s="3">
        <v>4.634E-5</v>
      </c>
      <c r="C6" s="3">
        <v>1.474E-4</v>
      </c>
      <c r="D6" s="3">
        <v>-3.3500000000000001E-4</v>
      </c>
      <c r="E6" s="3">
        <v>0</v>
      </c>
      <c r="F6" s="3">
        <v>0</v>
      </c>
      <c r="G6" s="3">
        <v>0</v>
      </c>
      <c r="H6" s="3">
        <v>3.1600634000000003E-5</v>
      </c>
      <c r="I6" s="3">
        <v>1.3981389E-5</v>
      </c>
      <c r="J6" s="3">
        <v>-7.6903374999999998E-5</v>
      </c>
      <c r="L6" s="3">
        <f t="shared" si="0"/>
        <v>0.13832835820895523</v>
      </c>
      <c r="M6" s="3"/>
      <c r="N6" s="2">
        <f>IF('Modell einstellen'!$B$1="Voll",H6/0.35,H6/0.35*2)</f>
        <v>1.8057505142857146E-4</v>
      </c>
      <c r="O6" s="2">
        <f>IF('Modell einstellen'!$B$1="Voll",J6/0.35,J6/0.35*2)</f>
        <v>-4.3944785714285716E-4</v>
      </c>
      <c r="P6" s="3">
        <f t="shared" si="1"/>
        <v>0.41091348721691345</v>
      </c>
    </row>
    <row r="7" spans="1:16" x14ac:dyDescent="0.25">
      <c r="A7" s="3">
        <v>9.9999999999999994E-12</v>
      </c>
      <c r="B7" s="3">
        <v>3.6579999999999999E-5</v>
      </c>
      <c r="C7" s="3">
        <v>1.5190000000000001E-4</v>
      </c>
      <c r="D7" s="3">
        <v>-3.3189999999999999E-4</v>
      </c>
      <c r="E7" s="3">
        <v>0</v>
      </c>
      <c r="F7" s="3">
        <v>0</v>
      </c>
      <c r="G7" s="3">
        <v>0</v>
      </c>
      <c r="H7" s="3">
        <v>3.3455630000000001E-5</v>
      </c>
      <c r="I7" s="3">
        <v>1.4436581E-5</v>
      </c>
      <c r="J7" s="3">
        <v>-7.9762151000000006E-5</v>
      </c>
      <c r="L7" s="3">
        <f t="shared" si="0"/>
        <v>0.11021391985537812</v>
      </c>
      <c r="M7" s="3"/>
      <c r="N7" s="2">
        <f>IF('Modell einstellen'!$B$1="Voll",H7/0.35,H7/0.35*2)</f>
        <v>1.9117502857142859E-4</v>
      </c>
      <c r="O7" s="2">
        <f>IF('Modell einstellen'!$B$1="Voll",J7/0.35,J7/0.35*2)</f>
        <v>-4.5578372000000007E-4</v>
      </c>
      <c r="P7" s="3">
        <f t="shared" si="1"/>
        <v>0.4194424245153569</v>
      </c>
    </row>
    <row r="8" spans="1:16" x14ac:dyDescent="0.25">
      <c r="A8" s="3">
        <v>1E-10</v>
      </c>
      <c r="B8" s="3">
        <v>2.7080000000000002E-5</v>
      </c>
      <c r="C8" s="3">
        <v>1.5569999999999999E-4</v>
      </c>
      <c r="D8" s="3">
        <v>-3.279E-4</v>
      </c>
      <c r="E8" s="3">
        <v>0</v>
      </c>
      <c r="F8" s="3">
        <v>0</v>
      </c>
      <c r="G8" s="3">
        <v>0</v>
      </c>
      <c r="H8" s="3">
        <v>3.5090309999999999E-5</v>
      </c>
      <c r="I8" s="3">
        <v>1.4809872E-5</v>
      </c>
      <c r="J8" s="3">
        <v>-8.2219629999999997E-5</v>
      </c>
      <c r="L8" s="3">
        <f t="shared" si="0"/>
        <v>8.2586154315340041E-2</v>
      </c>
      <c r="M8" s="3"/>
      <c r="N8" s="2">
        <f>IF('Modell einstellen'!$B$1="Voll",H8/0.35,H8/0.35*2)</f>
        <v>2.0051605714285715E-4</v>
      </c>
      <c r="O8" s="2">
        <f>IF('Modell einstellen'!$B$1="Voll",J8/0.35,J8/0.35*2)</f>
        <v>-4.6982645714285716E-4</v>
      </c>
      <c r="P8" s="3">
        <f t="shared" si="1"/>
        <v>0.42678749588145798</v>
      </c>
    </row>
    <row r="9" spans="1:16" x14ac:dyDescent="0.25">
      <c r="A9" s="3">
        <v>1.0000000000000001E-9</v>
      </c>
      <c r="B9" s="3">
        <v>1.588E-5</v>
      </c>
      <c r="C9" s="3">
        <v>1.596E-4</v>
      </c>
      <c r="D9" s="3">
        <v>-3.2229999999999997E-4</v>
      </c>
      <c r="E9" s="3">
        <v>0</v>
      </c>
      <c r="F9" s="3">
        <v>0</v>
      </c>
      <c r="G9" s="3">
        <v>0</v>
      </c>
      <c r="H9" s="3">
        <v>3.6888382000000002E-5</v>
      </c>
      <c r="I9" s="3">
        <v>1.5195988E-5</v>
      </c>
      <c r="J9" s="3">
        <v>-8.4868810000000004E-5</v>
      </c>
      <c r="L9" s="3">
        <f t="shared" si="0"/>
        <v>4.9270865653118216E-2</v>
      </c>
      <c r="M9" s="3"/>
      <c r="N9" s="2">
        <f>IF('Modell einstellen'!$B$1="Voll",H9/0.35,H9/0.35*2)</f>
        <v>2.107907542857143E-4</v>
      </c>
      <c r="O9" s="2">
        <f>IF('Modell einstellen'!$B$1="Voll",J9/0.35,J9/0.35*2)</f>
        <v>-4.8496462857142863E-4</v>
      </c>
      <c r="P9" s="3">
        <f t="shared" si="1"/>
        <v>0.43465181142518666</v>
      </c>
    </row>
    <row r="10" spans="1:16" x14ac:dyDescent="0.25">
      <c r="A10" s="3">
        <v>1E-8</v>
      </c>
      <c r="B10" s="3">
        <v>3.1939999999999998E-6</v>
      </c>
      <c r="C10" s="3">
        <v>1.6330000000000001E-4</v>
      </c>
      <c r="D10" s="3">
        <v>-3.1510000000000002E-4</v>
      </c>
      <c r="E10" s="3">
        <v>0</v>
      </c>
      <c r="F10" s="3">
        <v>0</v>
      </c>
      <c r="G10" s="3">
        <v>0</v>
      </c>
      <c r="H10" s="3">
        <v>3.8784359999999998E-5</v>
      </c>
      <c r="I10" s="3">
        <v>1.5574631999999999E-5</v>
      </c>
      <c r="J10" s="3">
        <v>-8.7599233000000003E-5</v>
      </c>
      <c r="L10" s="3">
        <f t="shared" si="0"/>
        <v>1.0136464614408123E-2</v>
      </c>
      <c r="M10" s="3"/>
      <c r="N10" s="2">
        <f>IF('Modell einstellen'!$B$1="Voll",H10/0.35,H10/0.35*2)</f>
        <v>2.2162491428571429E-4</v>
      </c>
      <c r="O10" s="2">
        <f>IF('Modell einstellen'!$B$1="Voll",J10/0.35,J10/0.35*2)</f>
        <v>-5.0056704571428581E-4</v>
      </c>
      <c r="P10" s="3">
        <f t="shared" si="1"/>
        <v>0.44274771218601872</v>
      </c>
    </row>
    <row r="11" spans="1:16" x14ac:dyDescent="0.25">
      <c r="A11" s="3">
        <v>9.9999999999999995E-8</v>
      </c>
      <c r="B11" s="3">
        <v>-1.2649999999999999E-5</v>
      </c>
      <c r="C11" s="3">
        <v>1.674E-4</v>
      </c>
      <c r="D11" s="3">
        <v>-3.0529999999999999E-4</v>
      </c>
      <c r="E11" s="3">
        <v>0</v>
      </c>
      <c r="F11" s="3">
        <v>0</v>
      </c>
      <c r="G11" s="3">
        <v>0</v>
      </c>
      <c r="H11" s="3">
        <v>4.1002784000000003E-5</v>
      </c>
      <c r="I11" s="3">
        <v>1.5985185999999999E-5</v>
      </c>
      <c r="J11" s="3">
        <v>-9.0722349000000005E-5</v>
      </c>
      <c r="L11" s="3">
        <f t="shared" si="0"/>
        <v>-4.1434654438257452E-2</v>
      </c>
      <c r="M11" s="3"/>
      <c r="N11" s="2">
        <f>IF('Modell einstellen'!$B$1="Voll",H11/0.35,H11/0.35*2)</f>
        <v>2.3430162285714289E-4</v>
      </c>
      <c r="O11" s="2">
        <f>IF('Modell einstellen'!$B$1="Voll",J11/0.35,J11/0.35*2)</f>
        <v>-5.1841342285714287E-4</v>
      </c>
      <c r="P11" s="3">
        <f t="shared" si="1"/>
        <v>0.45195902059370185</v>
      </c>
    </row>
    <row r="12" spans="1:16" x14ac:dyDescent="0.25">
      <c r="A12" s="3">
        <v>9.9999999999999995E-7</v>
      </c>
      <c r="B12" s="3">
        <v>-2.9960000000000001E-5</v>
      </c>
      <c r="C12" s="3">
        <v>1.7119999999999999E-4</v>
      </c>
      <c r="D12" s="3">
        <v>-2.9359999999999998E-4</v>
      </c>
      <c r="E12" s="3">
        <v>0</v>
      </c>
      <c r="F12" s="3">
        <v>0</v>
      </c>
      <c r="G12" s="3">
        <v>0</v>
      </c>
      <c r="H12" s="3">
        <v>4.3275605000000003E-5</v>
      </c>
      <c r="I12" s="3">
        <v>1.6370953000000001E-5</v>
      </c>
      <c r="J12" s="3">
        <v>-9.3844936000000005E-5</v>
      </c>
      <c r="L12" s="3">
        <f t="shared" si="0"/>
        <v>-0.10204359673024524</v>
      </c>
      <c r="M12" s="3"/>
      <c r="N12" s="2">
        <f>IF('Modell einstellen'!$B$1="Voll",H12/0.35,H12/0.35*2)</f>
        <v>2.4728917142857146E-4</v>
      </c>
      <c r="O12" s="2">
        <f>IF('Modell einstellen'!$B$1="Voll",J12/0.35,J12/0.35*2)</f>
        <v>-5.3625677714285716E-4</v>
      </c>
      <c r="P12" s="3">
        <f t="shared" si="1"/>
        <v>0.46113948013135203</v>
      </c>
    </row>
    <row r="13" spans="1:16" x14ac:dyDescent="0.25">
      <c r="A13" s="3">
        <v>1.0000000000000001E-5</v>
      </c>
      <c r="B13" s="3">
        <v>-5.5930000000000002E-5</v>
      </c>
      <c r="C13" s="3">
        <v>1.762E-4</v>
      </c>
      <c r="D13" s="3">
        <v>-2.7480000000000001E-4</v>
      </c>
      <c r="E13" s="3">
        <v>0</v>
      </c>
      <c r="F13" s="3">
        <v>0</v>
      </c>
      <c r="G13" s="3">
        <v>0</v>
      </c>
      <c r="H13" s="3">
        <v>4.6497394999999999E-5</v>
      </c>
      <c r="I13" s="3">
        <v>1.6870271000000001E-5</v>
      </c>
      <c r="J13" s="3">
        <v>-9.8166656000000003E-5</v>
      </c>
      <c r="L13" s="3">
        <f t="shared" si="0"/>
        <v>-0.20352983988355167</v>
      </c>
      <c r="M13" s="3"/>
      <c r="N13" s="2">
        <f>IF('Modell einstellen'!$B$1="Voll",H13/0.35,H13/0.35*2)</f>
        <v>2.6569940000000002E-4</v>
      </c>
      <c r="O13" s="2">
        <f>IF('Modell einstellen'!$B$1="Voll",J13/0.35,J13/0.35*2)</f>
        <v>-5.6095232E-4</v>
      </c>
      <c r="P13" s="3">
        <f t="shared" si="1"/>
        <v>0.47365772549082252</v>
      </c>
    </row>
    <row r="14" spans="1:16" x14ac:dyDescent="0.25">
      <c r="A14" s="3">
        <v>1E-4</v>
      </c>
      <c r="B14" s="3">
        <v>-8.9549999999999995E-5</v>
      </c>
      <c r="C14" s="3">
        <v>1.8129999999999999E-4</v>
      </c>
      <c r="D14" s="3">
        <v>-2.4879999999999998E-4</v>
      </c>
      <c r="E14" s="3">
        <v>0</v>
      </c>
      <c r="F14" s="3">
        <v>0</v>
      </c>
      <c r="G14" s="3">
        <v>0</v>
      </c>
      <c r="H14" s="3">
        <v>5.0383253999999997E-5</v>
      </c>
      <c r="I14" s="3">
        <v>1.7399932E-5</v>
      </c>
      <c r="J14" s="3">
        <v>-1.0321844E-4</v>
      </c>
      <c r="L14" s="3">
        <f t="shared" si="0"/>
        <v>-0.359927652733119</v>
      </c>
      <c r="M14" s="3"/>
      <c r="N14" s="2">
        <f>IF('Modell einstellen'!$B$1="Voll",H14/0.35,H14/0.35*2)</f>
        <v>2.8790430857142857E-4</v>
      </c>
      <c r="O14" s="2">
        <f>IF('Modell einstellen'!$B$1="Voll",J14/0.35,J14/0.35*2)</f>
        <v>-5.8981965714285716E-4</v>
      </c>
      <c r="P14" s="3">
        <f t="shared" si="1"/>
        <v>0.4881226067745259</v>
      </c>
    </row>
    <row r="15" spans="1:16" x14ac:dyDescent="0.25">
      <c r="A15" s="3">
        <v>1E-3</v>
      </c>
      <c r="B15" s="3">
        <v>-1.384E-4</v>
      </c>
      <c r="C15" s="3">
        <v>1.874E-4</v>
      </c>
      <c r="D15" s="3">
        <v>-2.0890000000000001E-4</v>
      </c>
      <c r="E15" s="3">
        <v>0</v>
      </c>
      <c r="F15" s="3">
        <v>0</v>
      </c>
      <c r="G15" s="3">
        <v>0</v>
      </c>
      <c r="H15" s="3">
        <v>5.5688156E-5</v>
      </c>
      <c r="I15" s="3">
        <v>1.8028703000000001E-5</v>
      </c>
      <c r="J15" s="3">
        <v>-1.0990501E-4</v>
      </c>
      <c r="L15" s="3">
        <f t="shared" si="0"/>
        <v>-0.66251795117280998</v>
      </c>
      <c r="M15" s="3"/>
      <c r="N15" s="2">
        <f>IF('Modell einstellen'!$B$1="Voll",H15/0.35,H15/0.35*2)</f>
        <v>3.1821803428571429E-4</v>
      </c>
      <c r="O15" s="2">
        <f>IF('Modell einstellen'!$B$1="Voll",J15/0.35,J15/0.35*2)</f>
        <v>-6.2802862857142862E-4</v>
      </c>
      <c r="P15" s="3">
        <f t="shared" si="1"/>
        <v>0.50669351651940164</v>
      </c>
    </row>
    <row r="16" spans="1:16" x14ac:dyDescent="0.25">
      <c r="A16" s="3">
        <v>0.01</v>
      </c>
      <c r="B16" s="3">
        <v>-2.0939999999999999E-4</v>
      </c>
      <c r="C16" s="3">
        <v>1.9440000000000001E-4</v>
      </c>
      <c r="D16" s="3">
        <v>-1.482E-4</v>
      </c>
      <c r="E16" s="3">
        <v>0</v>
      </c>
      <c r="F16" s="3">
        <v>0</v>
      </c>
      <c r="G16" s="3">
        <v>0</v>
      </c>
      <c r="H16" s="3">
        <v>6.3040757000000004E-5</v>
      </c>
      <c r="I16" s="3">
        <v>1.8800813E-5</v>
      </c>
      <c r="J16" s="3">
        <v>-1.1893222999999999E-4</v>
      </c>
      <c r="L16" s="3">
        <f t="shared" si="0"/>
        <v>-1.4129554655870444</v>
      </c>
      <c r="M16" s="3"/>
      <c r="N16" s="2">
        <f>IF('Modell einstellen'!$B$1="Voll",H16/0.35,H16/0.35*2)</f>
        <v>3.6023289714285717E-4</v>
      </c>
      <c r="O16" s="2">
        <f>IF('Modell einstellen'!$B$1="Voll",J16/0.35,J16/0.35*2)</f>
        <v>-6.7961274285714289E-4</v>
      </c>
      <c r="P16" s="3">
        <f t="shared" si="1"/>
        <v>0.53005612524039958</v>
      </c>
    </row>
    <row r="17" spans="1:16" x14ac:dyDescent="0.25">
      <c r="A17" s="3">
        <v>0.1</v>
      </c>
      <c r="B17" s="3">
        <v>-3.1550000000000003E-4</v>
      </c>
      <c r="C17" s="3">
        <v>2.0599999999999999E-4</v>
      </c>
      <c r="D17" s="3">
        <v>-5.6669999999999998E-5</v>
      </c>
      <c r="E17" s="3">
        <v>0</v>
      </c>
      <c r="F17" s="3">
        <v>0</v>
      </c>
      <c r="G17" s="3">
        <v>0</v>
      </c>
      <c r="H17" s="3">
        <v>7.5065020999999998E-5</v>
      </c>
      <c r="I17" s="3">
        <v>2.0408179000000001E-5</v>
      </c>
      <c r="J17" s="3">
        <v>-1.3423648000000001E-4</v>
      </c>
      <c r="L17" s="3">
        <f t="shared" si="0"/>
        <v>-5.5673195694370925</v>
      </c>
      <c r="M17" s="3"/>
      <c r="N17" s="2">
        <f>IF('Modell einstellen'!$B$1="Voll",H17/0.35,H17/0.35*2)</f>
        <v>4.2894297714285716E-4</v>
      </c>
      <c r="O17" s="2">
        <f>IF('Modell einstellen'!$B$1="Voll",J17/0.35,J17/0.35*2)</f>
        <v>-7.6706560000000014E-4</v>
      </c>
      <c r="P17" s="3">
        <f t="shared" si="1"/>
        <v>0.55919986131936705</v>
      </c>
    </row>
    <row r="18" spans="1:16" x14ac:dyDescent="0.25">
      <c r="A18" s="3">
        <v>1</v>
      </c>
      <c r="B18" s="3">
        <v>-4.2480000000000003E-4</v>
      </c>
      <c r="C18" s="3">
        <v>2.351E-4</v>
      </c>
      <c r="D18" s="3">
        <v>2.4530000000000001E-5</v>
      </c>
      <c r="E18" s="3">
        <v>0</v>
      </c>
      <c r="F18" s="3">
        <v>0</v>
      </c>
      <c r="G18" s="3">
        <v>0</v>
      </c>
      <c r="H18" s="3">
        <v>9.7672135999999995E-5</v>
      </c>
      <c r="I18" s="3">
        <v>2.6557007999999999E-5</v>
      </c>
      <c r="J18" s="3">
        <v>-1.6869039E-4</v>
      </c>
      <c r="L18" s="3">
        <f t="shared" si="0"/>
        <v>17.317570322054628</v>
      </c>
      <c r="M18" s="3"/>
      <c r="N18" s="2">
        <f>IF('Modell einstellen'!$B$1="Voll",H18/0.35,H18/0.35*2)</f>
        <v>5.5812649142857138E-4</v>
      </c>
      <c r="O18" s="2">
        <f>IF('Modell einstellen'!$B$1="Voll",J18/0.35,J18/0.35*2)</f>
        <v>-9.6394508571428573E-4</v>
      </c>
      <c r="P18" s="3">
        <f t="shared" si="1"/>
        <v>0.57900237233431018</v>
      </c>
    </row>
    <row r="19" spans="1:16" x14ac:dyDescent="0.25">
      <c r="A19" s="3">
        <v>10</v>
      </c>
      <c r="B19" s="3">
        <v>-5.2240000000000001E-4</v>
      </c>
      <c r="C19" s="3">
        <v>3.0689999999999998E-4</v>
      </c>
      <c r="D19" s="3">
        <v>5.7779999999999999E-5</v>
      </c>
      <c r="E19" s="3">
        <v>0</v>
      </c>
      <c r="F19" s="3">
        <v>0</v>
      </c>
      <c r="G19" s="3">
        <v>0</v>
      </c>
      <c r="H19" s="3">
        <v>1.4230115E-4</v>
      </c>
      <c r="I19" s="3">
        <v>4.4378761999999999E-5</v>
      </c>
      <c r="J19" s="3">
        <v>-2.4740255E-4</v>
      </c>
      <c r="L19" s="3">
        <f t="shared" si="0"/>
        <v>9.041190723433715</v>
      </c>
      <c r="M19" s="3"/>
      <c r="N19" s="2">
        <f>IF('Modell einstellen'!$B$1="Voll",H19/0.35,H19/0.35*2)</f>
        <v>8.1314942857142866E-4</v>
      </c>
      <c r="O19" s="2">
        <f>IF('Modell einstellen'!$B$1="Voll",J19/0.35,J19/0.35*2)</f>
        <v>-1.4137288571428573E-3</v>
      </c>
      <c r="P19" s="3">
        <f t="shared" si="1"/>
        <v>0.57518061151754496</v>
      </c>
    </row>
    <row r="20" spans="1:16" x14ac:dyDescent="0.25">
      <c r="A20" s="3">
        <v>100</v>
      </c>
      <c r="B20" s="3">
        <v>-5.9360000000000001E-4</v>
      </c>
      <c r="C20" s="3">
        <v>4.5249999999999999E-4</v>
      </c>
      <c r="D20" s="3">
        <v>-5.3229999999999997E-6</v>
      </c>
      <c r="E20" s="3">
        <v>0</v>
      </c>
      <c r="F20" s="3">
        <v>0</v>
      </c>
      <c r="G20" s="3">
        <v>0</v>
      </c>
      <c r="H20" s="3">
        <v>2.1381091000000001E-4</v>
      </c>
      <c r="I20" s="3">
        <v>8.0171760000000001E-5</v>
      </c>
      <c r="J20" s="3">
        <v>-3.8754787000000001E-4</v>
      </c>
      <c r="L20" s="3">
        <f t="shared" si="0"/>
        <v>-111.51606237084351</v>
      </c>
      <c r="M20" s="3"/>
      <c r="N20" s="2">
        <f>IF('Modell einstellen'!$B$1="Voll",H20/0.35,H20/0.35*2)</f>
        <v>1.2217766285714288E-3</v>
      </c>
      <c r="O20" s="2">
        <f>IF('Modell einstellen'!$B$1="Voll",J20/0.35,J20/0.35*2)</f>
        <v>-2.2145592571428574E-3</v>
      </c>
      <c r="P20" s="3">
        <f t="shared" si="1"/>
        <v>0.55170193555701907</v>
      </c>
    </row>
    <row r="21" spans="1:16" x14ac:dyDescent="0.25">
      <c r="A21" s="3">
        <v>1000</v>
      </c>
      <c r="B21" s="3">
        <v>-6.244E-4</v>
      </c>
      <c r="C21" s="3">
        <v>7.3349999999999999E-4</v>
      </c>
      <c r="D21" s="3">
        <v>-2.4169999999999999E-4</v>
      </c>
      <c r="E21" s="3">
        <v>0</v>
      </c>
      <c r="F21" s="3">
        <v>0</v>
      </c>
      <c r="G21" s="3">
        <v>0</v>
      </c>
      <c r="H21" s="3">
        <v>3.1767754E-4</v>
      </c>
      <c r="I21" s="3">
        <v>1.436664E-4</v>
      </c>
      <c r="J21" s="3">
        <v>-6.1341719E-4</v>
      </c>
      <c r="L21" s="3">
        <f t="shared" si="0"/>
        <v>-2.5833678113363674</v>
      </c>
      <c r="M21" s="3"/>
      <c r="N21" s="2">
        <f>IF('Modell einstellen'!$B$1="Voll",H21/0.35,H21/0.35*2)</f>
        <v>1.8153002285714287E-3</v>
      </c>
      <c r="O21" s="2">
        <f>IF('Modell einstellen'!$B$1="Voll",J21/0.35,J21/0.35*2)</f>
        <v>-3.505241085714286E-3</v>
      </c>
      <c r="P21" s="3">
        <f t="shared" si="1"/>
        <v>0.51788170461933092</v>
      </c>
    </row>
    <row r="22" spans="1:16" x14ac:dyDescent="0.25">
      <c r="A22" s="3">
        <v>10000</v>
      </c>
      <c r="B22" s="3">
        <v>-4.1790000000000002E-4</v>
      </c>
      <c r="C22" s="3">
        <v>1.163E-3</v>
      </c>
      <c r="D22" s="3">
        <v>-8.6240000000000004E-4</v>
      </c>
      <c r="E22" s="3">
        <v>0</v>
      </c>
      <c r="F22" s="3">
        <v>0</v>
      </c>
      <c r="G22" s="3">
        <v>0</v>
      </c>
      <c r="H22" s="3">
        <v>4.2359282000000001E-4</v>
      </c>
      <c r="I22" s="3">
        <v>2.3098904E-4</v>
      </c>
      <c r="J22" s="3">
        <v>-8.8694958999999997E-4</v>
      </c>
      <c r="L22" s="3">
        <f t="shared" si="0"/>
        <v>-0.48457792207792211</v>
      </c>
      <c r="M22" s="3"/>
      <c r="N22" s="2">
        <f>IF('Modell einstellen'!$B$1="Voll",H22/0.35,H22/0.35*2)</f>
        <v>2.4205304000000003E-3</v>
      </c>
      <c r="O22" s="2">
        <f>IF('Modell einstellen'!$B$1="Voll",J22/0.35,J22/0.35*2)</f>
        <v>-5.0682833714285717E-3</v>
      </c>
      <c r="P22" s="3">
        <f t="shared" si="1"/>
        <v>0.47758387260768681</v>
      </c>
    </row>
    <row r="23" spans="1:16" x14ac:dyDescent="0.25">
      <c r="A23" s="3">
        <v>100000</v>
      </c>
      <c r="B23" s="3">
        <v>-4.4360000000000002E-5</v>
      </c>
      <c r="C23" s="3">
        <v>1.6620000000000001E-3</v>
      </c>
      <c r="D23" s="3">
        <v>-1.722E-3</v>
      </c>
      <c r="E23" s="3">
        <v>0</v>
      </c>
      <c r="F23" s="3">
        <v>0</v>
      </c>
      <c r="G23" s="3">
        <v>0</v>
      </c>
      <c r="H23" s="3">
        <v>5.1334636999999996E-4</v>
      </c>
      <c r="I23" s="3">
        <v>3.2364577999999998E-4</v>
      </c>
      <c r="J23" s="3">
        <v>-1.1541571000000001E-3</v>
      </c>
      <c r="L23" s="3">
        <f t="shared" si="0"/>
        <v>-2.5760743321718932E-2</v>
      </c>
      <c r="M23" s="3"/>
      <c r="N23" s="2">
        <f>IF('Modell einstellen'!$B$1="Voll",H23/0.35,H23/0.35*2)</f>
        <v>2.9334078285714283E-3</v>
      </c>
      <c r="O23" s="2">
        <f>IF('Modell einstellen'!$B$1="Voll",J23/0.35,J23/0.35*2)</f>
        <v>-6.5951834285714293E-3</v>
      </c>
      <c r="P23" s="3">
        <f t="shared" si="1"/>
        <v>0.44478032496615921</v>
      </c>
    </row>
    <row r="24" spans="1:16" x14ac:dyDescent="0.25">
      <c r="A24" s="3">
        <v>1000000</v>
      </c>
      <c r="B24" s="3">
        <v>4.215E-4</v>
      </c>
      <c r="C24" s="3">
        <v>2.0990000000000002E-3</v>
      </c>
      <c r="D24" s="3">
        <v>-2.6150000000000001E-3</v>
      </c>
      <c r="E24" s="3">
        <v>0</v>
      </c>
      <c r="F24" s="3">
        <v>0</v>
      </c>
      <c r="G24" s="3">
        <v>0</v>
      </c>
      <c r="H24" s="3">
        <v>5.6528144000000003E-4</v>
      </c>
      <c r="I24" s="3">
        <v>3.9618090999999999E-4</v>
      </c>
      <c r="J24" s="3">
        <v>-1.3447521999999999E-3</v>
      </c>
      <c r="L24" s="3">
        <f t="shared" si="0"/>
        <v>0.16118546845124282</v>
      </c>
      <c r="M24" s="3"/>
      <c r="N24" s="2">
        <f>IF('Modell einstellen'!$B$1="Voll",H24/0.35,H24/0.35*2)</f>
        <v>3.2301796571428576E-3</v>
      </c>
      <c r="O24" s="2">
        <f>IF('Modell einstellen'!$B$1="Voll",J24/0.35,J24/0.35*2)</f>
        <v>-7.6842982857142856E-3</v>
      </c>
      <c r="P24" s="3">
        <f t="shared" si="1"/>
        <v>0.42036104495683302</v>
      </c>
    </row>
    <row r="25" spans="1:16" x14ac:dyDescent="0.25">
      <c r="A25" s="3">
        <v>10000000</v>
      </c>
      <c r="B25" s="3">
        <v>7.8249999999999999E-4</v>
      </c>
      <c r="C25" s="3">
        <v>2.4680000000000001E-3</v>
      </c>
      <c r="D25" s="3">
        <v>-3.3379999999999998E-3</v>
      </c>
      <c r="E25" s="3">
        <v>0</v>
      </c>
      <c r="F25" s="3">
        <v>0</v>
      </c>
      <c r="G25" s="3">
        <v>0</v>
      </c>
      <c r="H25" s="3">
        <v>6.0667540999999998E-4</v>
      </c>
      <c r="I25" s="3">
        <v>4.5373945999999999E-4</v>
      </c>
      <c r="J25" s="3">
        <v>-1.4959654000000001E-3</v>
      </c>
      <c r="L25" s="3">
        <f t="shared" si="0"/>
        <v>0.23442180946674657</v>
      </c>
      <c r="M25" s="3"/>
      <c r="N25" s="2">
        <f>IF('Modell einstellen'!$B$1="Voll",H25/0.35,H25/0.35*2)</f>
        <v>3.4667166285714287E-3</v>
      </c>
      <c r="O25" s="2">
        <f>IF('Modell einstellen'!$B$1="Voll",J25/0.35,J25/0.35*2)</f>
        <v>-8.5483737142857154E-3</v>
      </c>
      <c r="P25" s="3">
        <f t="shared" si="1"/>
        <v>0.4055410706691478</v>
      </c>
    </row>
    <row r="26" spans="1:16" x14ac:dyDescent="0.25">
      <c r="A26" s="3">
        <v>100000000</v>
      </c>
      <c r="B26" s="3">
        <v>1.0839999999999999E-3</v>
      </c>
      <c r="C26" s="3">
        <v>2.7369999999999998E-3</v>
      </c>
      <c r="D26" s="3">
        <v>-3.9039999999999999E-3</v>
      </c>
      <c r="E26" s="3">
        <v>0</v>
      </c>
      <c r="F26" s="3">
        <v>0</v>
      </c>
      <c r="G26" s="3">
        <v>0</v>
      </c>
      <c r="H26" s="3">
        <v>6.3097331000000001E-4</v>
      </c>
      <c r="I26" s="3">
        <v>4.9267992E-4</v>
      </c>
      <c r="J26" s="3">
        <v>-1.594477E-3</v>
      </c>
      <c r="L26" s="3">
        <f t="shared" si="0"/>
        <v>0.2776639344262295</v>
      </c>
      <c r="M26" s="3"/>
      <c r="N26" s="2">
        <f>IF('Modell einstellen'!$B$1="Voll",H26/0.35,H26/0.35*2)</f>
        <v>3.6055617714285718E-3</v>
      </c>
      <c r="O26" s="2">
        <f>IF('Modell einstellen'!$B$1="Voll",J26/0.35,J26/0.35*2)</f>
        <v>-9.1112971428571436E-3</v>
      </c>
      <c r="P26" s="3">
        <f t="shared" si="1"/>
        <v>0.39572430960120469</v>
      </c>
    </row>
    <row r="27" spans="1:16" x14ac:dyDescent="0.25">
      <c r="A27" s="3">
        <v>1000000000</v>
      </c>
      <c r="B27" s="3">
        <v>1.3029999999999999E-3</v>
      </c>
      <c r="C27" s="3">
        <v>2.9269999999999999E-3</v>
      </c>
      <c r="D27" s="3">
        <v>-4.3099999999999996E-3</v>
      </c>
      <c r="E27" s="3">
        <v>0</v>
      </c>
      <c r="F27" s="3">
        <v>0</v>
      </c>
      <c r="G27" s="3">
        <v>0</v>
      </c>
      <c r="H27" s="3">
        <v>6.4686487000000003E-4</v>
      </c>
      <c r="I27" s="3">
        <v>5.1855127999999998E-4</v>
      </c>
      <c r="J27" s="3">
        <v>-1.6596267E-3</v>
      </c>
      <c r="L27" s="3">
        <f t="shared" si="0"/>
        <v>0.30232018561484919</v>
      </c>
      <c r="M27" s="3"/>
      <c r="N27" s="2">
        <f>IF('Modell einstellen'!$B$1="Voll",H27/0.35,H27/0.35*2)</f>
        <v>3.6963706857142862E-3</v>
      </c>
      <c r="O27" s="2">
        <f>IF('Modell einstellen'!$B$1="Voll",J27/0.35,J27/0.35*2)</f>
        <v>-9.4835811428571441E-3</v>
      </c>
      <c r="P27" s="3">
        <f t="shared" si="1"/>
        <v>0.38976528275906863</v>
      </c>
    </row>
    <row r="28" spans="1:16" x14ac:dyDescent="0.25">
      <c r="A28" s="3">
        <v>10000000000</v>
      </c>
      <c r="B28" s="3">
        <v>1.4660000000000001E-3</v>
      </c>
      <c r="C28" s="3">
        <v>3.1580000000000002E-3</v>
      </c>
      <c r="D28" s="3">
        <v>-4.7019999999999996E-3</v>
      </c>
      <c r="E28" s="3">
        <v>0</v>
      </c>
      <c r="F28" s="3">
        <v>0</v>
      </c>
      <c r="G28" s="3">
        <v>0</v>
      </c>
      <c r="H28" s="3">
        <v>6.8354798000000005E-4</v>
      </c>
      <c r="I28" s="3">
        <v>5.5494381999999999E-4</v>
      </c>
      <c r="J28" s="3">
        <v>-1.7654201E-3</v>
      </c>
      <c r="L28" s="3">
        <f t="shared" si="0"/>
        <v>0.31178222033177377</v>
      </c>
      <c r="M28" s="3"/>
      <c r="N28" s="2">
        <f>IF('Modell einstellen'!$B$1="Voll",H28/0.35,H28/0.35*2)</f>
        <v>3.9059884571428579E-3</v>
      </c>
      <c r="O28" s="2">
        <f>IF('Modell einstellen'!$B$1="Voll",J28/0.35,J28/0.35*2)</f>
        <v>-1.0088114857142857E-2</v>
      </c>
      <c r="P28" s="3">
        <f t="shared" si="1"/>
        <v>0.38718715165869028</v>
      </c>
    </row>
    <row r="29" spans="1:16" x14ac:dyDescent="0.25">
      <c r="A29" s="3">
        <v>100000000000</v>
      </c>
      <c r="B29" s="3">
        <v>1.5009999999999999E-3</v>
      </c>
      <c r="C29" s="3">
        <v>3.2209999999999999E-3</v>
      </c>
      <c r="D29" s="3">
        <v>-4.7999999999999996E-3</v>
      </c>
      <c r="E29" s="3">
        <v>0</v>
      </c>
      <c r="F29" s="3">
        <v>0</v>
      </c>
      <c r="G29" s="3">
        <v>0</v>
      </c>
      <c r="H29" s="3">
        <v>6.9665107E-4</v>
      </c>
      <c r="I29" s="3">
        <v>5.6592665000000002E-4</v>
      </c>
      <c r="J29" s="3">
        <v>-1.7993296000000001E-3</v>
      </c>
      <c r="L29" s="3">
        <f t="shared" si="0"/>
        <v>0.31270833333333337</v>
      </c>
      <c r="M29" s="3"/>
      <c r="N29" s="2">
        <f>IF('Modell einstellen'!$B$1="Voll",H29/0.35,H29/0.35*2)</f>
        <v>3.9808632571428576E-3</v>
      </c>
      <c r="O29" s="2">
        <f>IF('Modell einstellen'!$B$1="Voll",J29/0.35,J29/0.35*2)</f>
        <v>-1.028188342857143E-2</v>
      </c>
      <c r="P29" s="3">
        <f t="shared" si="1"/>
        <v>0.38717257249588954</v>
      </c>
    </row>
    <row r="30" spans="1:16" x14ac:dyDescent="0.25">
      <c r="A30" s="3">
        <v>1000000000000</v>
      </c>
      <c r="B30" s="3">
        <v>1.683E-3</v>
      </c>
      <c r="C30" s="3">
        <v>3.3319999999999999E-3</v>
      </c>
      <c r="D30" s="3">
        <v>-5.091E-3</v>
      </c>
      <c r="E30" s="3">
        <v>0</v>
      </c>
      <c r="F30" s="3">
        <v>0</v>
      </c>
      <c r="G30" s="3">
        <v>0</v>
      </c>
      <c r="H30" s="3">
        <v>7.0122070000000003E-4</v>
      </c>
      <c r="I30" s="3">
        <v>5.7960764000000004E-4</v>
      </c>
      <c r="J30" s="3">
        <v>-1.8299321999999999E-3</v>
      </c>
      <c r="L30" s="3">
        <f t="shared" si="0"/>
        <v>0.33058338243959928</v>
      </c>
      <c r="M30" s="3"/>
      <c r="N30" s="2">
        <f>IF('Modell einstellen'!$B$1="Voll",H30/0.35,H30/0.35*2)</f>
        <v>4.0069754285714286E-3</v>
      </c>
      <c r="O30" s="2">
        <f>IF('Modell einstellen'!$B$1="Voll",J30/0.35,J30/0.35*2)</f>
        <v>-1.0456755428571428E-2</v>
      </c>
      <c r="P30" s="3">
        <f t="shared" si="1"/>
        <v>0.38319490743974016</v>
      </c>
    </row>
    <row r="31" spans="1:16" x14ac:dyDescent="0.25">
      <c r="A31" s="3">
        <v>10000000000000</v>
      </c>
      <c r="B31" s="3">
        <v>1.691E-3</v>
      </c>
      <c r="C31" s="3">
        <v>3.3370000000000001E-3</v>
      </c>
      <c r="D31" s="3">
        <v>-5.1029999999999999E-3</v>
      </c>
      <c r="E31" s="3">
        <v>0</v>
      </c>
      <c r="F31" s="3">
        <v>0</v>
      </c>
      <c r="G31" s="3">
        <v>0</v>
      </c>
      <c r="H31" s="3">
        <v>7.0161914999999995E-4</v>
      </c>
      <c r="I31" s="3">
        <v>5.8028682000000004E-4</v>
      </c>
      <c r="J31" s="3">
        <v>-1.8316145E-3</v>
      </c>
      <c r="L31" s="3">
        <f t="shared" si="0"/>
        <v>0.3313737017440721</v>
      </c>
      <c r="M31" s="3"/>
      <c r="N31" s="2">
        <f>IF('Modell einstellen'!$B$1="Voll",H31/0.35,H31/0.35*2)</f>
        <v>4.009252285714286E-3</v>
      </c>
      <c r="O31" s="2">
        <f>IF('Modell einstellen'!$B$1="Voll",J31/0.35,J31/0.35*2)</f>
        <v>-1.0466368571428573E-2</v>
      </c>
      <c r="P31" s="3">
        <f t="shared" si="1"/>
        <v>0.38306049116776481</v>
      </c>
    </row>
    <row r="32" spans="1:16" x14ac:dyDescent="0.25">
      <c r="A32" s="3">
        <v>100000000000000</v>
      </c>
      <c r="B32" s="3">
        <v>1.769E-3</v>
      </c>
      <c r="C32" s="3">
        <v>3.3939999999999999E-3</v>
      </c>
      <c r="D32" s="3">
        <v>-5.2370000000000003E-3</v>
      </c>
      <c r="E32" s="3">
        <v>0</v>
      </c>
      <c r="F32" s="3">
        <v>0</v>
      </c>
      <c r="G32" s="3">
        <v>0</v>
      </c>
      <c r="H32" s="3">
        <v>7.0325102000000003E-4</v>
      </c>
      <c r="I32" s="3">
        <v>5.8588170000000003E-4</v>
      </c>
      <c r="J32" s="3">
        <v>-1.8438947E-3</v>
      </c>
      <c r="L32" s="3">
        <f t="shared" si="0"/>
        <v>0.33778881038762648</v>
      </c>
      <c r="M32" s="3"/>
      <c r="N32" s="2">
        <f>IF('Modell einstellen'!$B$1="Voll",H32/0.35,H32/0.35*2)</f>
        <v>4.018577257142858E-3</v>
      </c>
      <c r="O32" s="2">
        <f>IF('Modell einstellen'!$B$1="Voll",J32/0.35,J32/0.35*2)</f>
        <v>-1.0536541142857144E-2</v>
      </c>
      <c r="P32" s="3">
        <f t="shared" si="1"/>
        <v>0.38139434968818992</v>
      </c>
    </row>
    <row r="33" spans="1:16" x14ac:dyDescent="0.25">
      <c r="A33" s="3">
        <v>1000000000000000</v>
      </c>
      <c r="B33" s="3">
        <v>1.8259999999999999E-3</v>
      </c>
      <c r="C33" s="3">
        <v>3.4359999999999998E-3</v>
      </c>
      <c r="D33" s="3">
        <v>-5.3350000000000003E-3</v>
      </c>
      <c r="E33" s="3">
        <v>0</v>
      </c>
      <c r="F33" s="3">
        <v>0</v>
      </c>
      <c r="G33" s="3">
        <v>0</v>
      </c>
      <c r="H33" s="3">
        <v>7.0419090000000003E-4</v>
      </c>
      <c r="I33" s="3">
        <v>5.8939878999999997E-4</v>
      </c>
      <c r="J33" s="3">
        <v>-1.8515252E-3</v>
      </c>
      <c r="L33" s="3">
        <f t="shared" si="0"/>
        <v>0.34226804123711335</v>
      </c>
      <c r="M33" s="3"/>
      <c r="N33" s="2">
        <f>IF('Modell einstellen'!$B$1="Voll",H33/0.35,H33/0.35*2)</f>
        <v>4.0239480000000003E-3</v>
      </c>
      <c r="O33" s="2">
        <f>IF('Modell einstellen'!$B$1="Voll",J33/0.35,J33/0.35*2)</f>
        <v>-1.0580144000000001E-2</v>
      </c>
      <c r="P33" s="3">
        <f t="shared" si="1"/>
        <v>0.38033017319991108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2022-01-12T17:39:05Z</dcterms:modified>
</cp:coreProperties>
</file>